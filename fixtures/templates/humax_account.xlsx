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name="요약" sheetId="1" state="visible" r:id="rId1"/>
    <sheet name="팀별" sheetId="2" state="visible" r:id="rId2"/>
    <sheet name="지급수수료" sheetId="3" state="visible" r:id="rId3"/>
    <sheet name="소모성경비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,,_);[Red]\-#,##0,,_);\-_)"/>
    <numFmt numFmtId="165" formatCode="0.0%;;\-"/>
  </numFmts>
  <fonts count="14">
    <font>
      <name val="Calibri"/>
      <charset val="1"/>
      <family val="2"/>
      <color theme="1"/>
      <sz val="11"/>
    </font>
    <font>
      <name val="Arial"/>
      <charset val="1"/>
      <family val="2"/>
      <b val="1"/>
      <color rgb="FF1F3864"/>
      <sz val="12"/>
    </font>
    <font>
      <name val="DejaVu Sans"/>
      <family val="2"/>
      <b val="1"/>
      <color rgb="FF1F3864"/>
      <sz val="12"/>
    </font>
    <font>
      <name val="Arial"/>
      <charset val="1"/>
      <family val="2"/>
      <color rgb="FF888888"/>
      <sz val="9"/>
    </font>
    <font>
      <name val="DejaVu Sans"/>
      <family val="2"/>
      <color rgb="FF888888"/>
      <sz val="9"/>
    </font>
    <font>
      <name val="Arial"/>
      <charset val="1"/>
      <family val="2"/>
      <b val="1"/>
      <color rgb="FFFFFFFF"/>
      <sz val="10"/>
    </font>
    <font>
      <name val="DejaVu Sans"/>
      <family val="2"/>
      <b val="1"/>
      <color rgb="FFFFFFFF"/>
      <sz val="10"/>
    </font>
    <font>
      <name val="Arial"/>
      <charset val="1"/>
      <family val="2"/>
      <color rgb="FF1F2937"/>
      <sz val="10"/>
    </font>
    <font>
      <name val="DejaVu Sans"/>
      <family val="2"/>
      <color rgb="FF1F2937"/>
      <sz val="10"/>
    </font>
    <font>
      <name val="맑은 고딕"/>
      <charset val="129"/>
      <family val="3"/>
      <b val="1"/>
      <color rgb="FF1F3864"/>
      <sz val="12"/>
    </font>
    <font>
      <name val="맑은 고딕"/>
      <charset val="129"/>
      <family val="3"/>
      <color rgb="FF888888"/>
      <sz val="9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1F2937"/>
      <sz val="10"/>
    </font>
    <font>
      <name val="돋움"/>
      <charset val="129"/>
      <family val="3"/>
      <sz val="8"/>
    </font>
  </fonts>
  <fills count="8">
    <fill>
      <patternFill/>
    </fill>
    <fill>
      <patternFill patternType="gray125"/>
    </fill>
    <fill>
      <patternFill patternType="solid">
        <fgColor rgb="FF1F3864"/>
        <bgColor rgb="FF1F2937"/>
      </patternFill>
    </fill>
    <fill>
      <patternFill patternType="solid">
        <fgColor rgb="FF2F5496"/>
        <bgColor rgb="FF1F3864"/>
      </patternFill>
    </fill>
    <fill>
      <patternFill patternType="solid">
        <fgColor rgb="FFDCE6F1"/>
        <bgColor rgb="FFEEF3FB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FFFFFF"/>
      </patternFill>
    </fill>
    <fill>
      <patternFill patternType="solid">
        <fgColor rgb="FFC6EFCE"/>
        <bgColor rgb="FFDCE6F1"/>
      </patternFill>
    </fill>
  </fills>
  <borders count="9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/>
      <bottom/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0" fontId="0" fillId="4" borderId="1" pivotButton="0" quotePrefix="0" xfId="0"/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0" fontId="0" fillId="5" borderId="1" pivotButton="0" quotePrefix="0" xfId="0"/>
    <xf numFmtId="164" fontId="7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0" fillId="3" borderId="1" pivotButton="0" quotePrefix="0" xfId="0"/>
    <xf numFmtId="0" fontId="8" fillId="5" borderId="1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6" fillId="3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64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0" fontId="12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164" fontId="12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0" fontId="12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164" fontId="5" fillId="2" borderId="1" applyAlignment="1" pivotButton="0" quotePrefix="0" xfId="0">
      <alignment horizontal="right" vertical="center"/>
    </xf>
    <xf numFmtId="165" fontId="5" fillId="2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6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0" fillId="0" borderId="7" pivotButton="0" quotePrefix="0" xfId="0"/>
    <xf numFmtId="164" fontId="11" fillId="2" borderId="1" applyAlignment="1" pivotButton="0" quotePrefix="0" xfId="0">
      <alignment horizontal="right" vertical="center"/>
    </xf>
    <xf numFmtId="165" fontId="11" fillId="2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right" vertical="center"/>
    </xf>
    <xf numFmtId="165" fontId="11" fillId="3" borderId="1" applyAlignment="1" pivotButton="0" quotePrefix="0" xfId="0">
      <alignment horizontal="right" vertical="center"/>
    </xf>
    <xf numFmtId="164" fontId="12" fillId="5" borderId="1" applyAlignment="1" pivotButton="0" quotePrefix="0" xfId="0">
      <alignment horizontal="right" vertical="center"/>
    </xf>
    <xf numFmtId="165" fontId="12" fillId="5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EEF3FB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73"/>
  <sheetViews>
    <sheetView showGridLines="0" tabSelected="1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8.7109375" defaultRowHeight="15" outlineLevelRow="1"/>
  <cols>
    <col width="18" customWidth="1" min="1" max="1"/>
    <col width="12" customWidth="1" min="2" max="2"/>
    <col width="20" customWidth="1" min="3" max="3"/>
    <col width="10" customWidth="1" min="4" max="6"/>
    <col width="7" customWidth="1" min="7" max="7"/>
    <col width="10" customWidth="1" min="8" max="11"/>
    <col width="7" customWidth="1" min="12" max="12"/>
    <col width="10" customWidth="1" min="13" max="16"/>
    <col width="7" customWidth="1" min="17" max="17"/>
    <col width="10" customWidth="1" min="18" max="21"/>
    <col width="7" customWidth="1" min="22" max="22"/>
    <col width="10" customWidth="1" min="23" max="26"/>
    <col width="7" customWidth="1" min="27" max="27"/>
    <col width="10" customWidth="1" min="28" max="31"/>
    <col width="7" customWidth="1" min="32" max="32"/>
    <col width="10" customWidth="1" min="33" max="36"/>
    <col width="7" customWidth="1" min="37" max="37"/>
    <col width="10" customWidth="1" min="38" max="41"/>
    <col width="7" customWidth="1" min="42" max="42"/>
    <col width="10" customWidth="1" min="43" max="46"/>
    <col width="7" customWidth="1" min="47" max="47"/>
    <col width="10" customWidth="1" min="48" max="51"/>
    <col width="7" customWidth="1" min="52" max="52"/>
    <col width="10" customWidth="1" min="53" max="56"/>
    <col width="7" customWidth="1" min="57" max="57"/>
    <col width="10" customWidth="1" min="58" max="61"/>
    <col width="7" customWidth="1" min="62" max="62"/>
    <col width="10" customWidth="1" min="63" max="66"/>
    <col width="7" customWidth="1" min="67" max="67"/>
    <col width="10" customWidth="1" min="68" max="71"/>
    <col width="7" customWidth="1" min="72" max="72"/>
    <col width="10" customWidth="1" min="73" max="76"/>
    <col width="7" customWidth="1" min="77" max="77"/>
    <col width="10" customWidth="1" min="78" max="81"/>
    <col width="7" customWidth="1" min="82" max="82"/>
    <col width="10" customWidth="1" min="83" max="86"/>
    <col width="7" customWidth="1" min="87" max="87"/>
    <col width="10" customWidth="1" min="88" max="91"/>
    <col width="7" customWidth="1" min="92" max="92"/>
    <col width="10" customWidth="1" min="93" max="96"/>
    <col width="7" customWidth="1" min="97" max="97"/>
    <col width="10" customWidth="1" min="98" max="101"/>
    <col width="7" customWidth="1" min="102" max="102"/>
    <col width="10" customWidth="1" min="103" max="106"/>
    <col width="7" customWidth="1" min="107" max="107"/>
    <col width="10" customWidth="1" min="108" max="111"/>
    <col width="7" customWidth="1" min="112" max="112"/>
    <col width="10" customWidth="1" min="113" max="116"/>
    <col width="7" customWidth="1" min="117" max="117"/>
    <col width="10" customWidth="1" min="118" max="118"/>
    <col width="11" customWidth="1" min="119" max="119"/>
  </cols>
  <sheetData>
    <row r="1" ht="24" customHeight="1">
      <c r="A1" s="10" t="n"/>
    </row>
    <row r="2" ht="13.5" customHeight="1">
      <c r="A2" s="11" t="n"/>
    </row>
    <row r="3" ht="19.5" customHeight="1">
      <c r="A3" s="9" t="n"/>
      <c r="B3" s="12" t="n"/>
      <c r="C3" s="12" t="n"/>
      <c r="D3" s="9" t="n"/>
      <c r="E3" s="53" t="n"/>
      <c r="F3" s="53" t="n"/>
      <c r="G3" s="53" t="n"/>
      <c r="H3" s="54" t="n"/>
      <c r="I3" s="9" t="n"/>
      <c r="J3" s="53" t="n"/>
      <c r="K3" s="53" t="n"/>
      <c r="L3" s="53" t="n"/>
      <c r="M3" s="54" t="n"/>
      <c r="N3" s="7" t="n"/>
      <c r="O3" s="53" t="n"/>
      <c r="P3" s="53" t="n"/>
      <c r="Q3" s="53" t="n"/>
      <c r="R3" s="54" t="n"/>
      <c r="S3" s="9" t="n"/>
      <c r="T3" s="53" t="n"/>
      <c r="U3" s="53" t="n"/>
      <c r="V3" s="53" t="n"/>
      <c r="W3" s="54" t="n"/>
      <c r="X3" s="7" t="n"/>
      <c r="Y3" s="53" t="n"/>
      <c r="Z3" s="53" t="n"/>
      <c r="AA3" s="53" t="n"/>
      <c r="AB3" s="54" t="n"/>
      <c r="AC3" s="9" t="n"/>
      <c r="AD3" s="53" t="n"/>
      <c r="AE3" s="53" t="n"/>
      <c r="AF3" s="53" t="n"/>
      <c r="AG3" s="54" t="n"/>
      <c r="AH3" s="7" t="n"/>
      <c r="AI3" s="53" t="n"/>
      <c r="AJ3" s="53" t="n"/>
      <c r="AK3" s="53" t="n"/>
      <c r="AL3" s="54" t="n"/>
      <c r="AM3" s="9" t="n"/>
      <c r="AN3" s="53" t="n"/>
      <c r="AO3" s="53" t="n"/>
      <c r="AP3" s="53" t="n"/>
      <c r="AQ3" s="54" t="n"/>
      <c r="AR3" s="7" t="n"/>
      <c r="AS3" s="53" t="n"/>
      <c r="AT3" s="53" t="n"/>
      <c r="AU3" s="53" t="n"/>
      <c r="AV3" s="54" t="n"/>
      <c r="AW3" s="9" t="n"/>
      <c r="AX3" s="53" t="n"/>
      <c r="AY3" s="53" t="n"/>
      <c r="AZ3" s="53" t="n"/>
      <c r="BA3" s="54" t="n"/>
      <c r="BB3" s="7" t="n"/>
      <c r="BC3" s="53" t="n"/>
      <c r="BD3" s="53" t="n"/>
      <c r="BE3" s="53" t="n"/>
      <c r="BF3" s="54" t="n"/>
      <c r="BG3" s="9" t="n"/>
      <c r="BH3" s="53" t="n"/>
      <c r="BI3" s="53" t="n"/>
      <c r="BJ3" s="53" t="n"/>
      <c r="BK3" s="54" t="n"/>
      <c r="BL3" s="7" t="n"/>
      <c r="BM3" s="53" t="n"/>
      <c r="BN3" s="53" t="n"/>
      <c r="BO3" s="53" t="n"/>
      <c r="BP3" s="54" t="n"/>
      <c r="BQ3" s="9" t="n"/>
      <c r="BR3" s="53" t="n"/>
      <c r="BS3" s="53" t="n"/>
      <c r="BT3" s="53" t="n"/>
      <c r="BU3" s="54" t="n"/>
      <c r="BV3" s="7" t="n"/>
      <c r="BW3" s="53" t="n"/>
      <c r="BX3" s="53" t="n"/>
      <c r="BY3" s="53" t="n"/>
      <c r="BZ3" s="54" t="n"/>
      <c r="CA3" s="9" t="n"/>
      <c r="CB3" s="53" t="n"/>
      <c r="CC3" s="53" t="n"/>
      <c r="CD3" s="53" t="n"/>
      <c r="CE3" s="54" t="n"/>
      <c r="CF3" s="7" t="n"/>
      <c r="CG3" s="53" t="n"/>
      <c r="CH3" s="53" t="n"/>
      <c r="CI3" s="53" t="n"/>
      <c r="CJ3" s="54" t="n"/>
      <c r="CK3" s="9" t="n"/>
      <c r="CL3" s="53" t="n"/>
      <c r="CM3" s="53" t="n"/>
      <c r="CN3" s="53" t="n"/>
      <c r="CO3" s="54" t="n"/>
      <c r="CP3" s="7" t="n"/>
      <c r="CQ3" s="53" t="n"/>
      <c r="CR3" s="53" t="n"/>
      <c r="CS3" s="53" t="n"/>
      <c r="CT3" s="54" t="n"/>
      <c r="CU3" s="9" t="n"/>
      <c r="CV3" s="53" t="n"/>
      <c r="CW3" s="53" t="n"/>
      <c r="CX3" s="53" t="n"/>
      <c r="CY3" s="54" t="n"/>
      <c r="CZ3" s="7" t="n"/>
      <c r="DA3" s="53" t="n"/>
      <c r="DB3" s="53" t="n"/>
      <c r="DC3" s="53" t="n"/>
      <c r="DD3" s="54" t="n"/>
      <c r="DE3" s="9" t="n"/>
      <c r="DF3" s="53" t="n"/>
      <c r="DG3" s="53" t="n"/>
      <c r="DH3" s="53" t="n"/>
      <c r="DI3" s="54" t="n"/>
      <c r="DJ3" s="7" t="n"/>
      <c r="DK3" s="53" t="n"/>
      <c r="DL3" s="53" t="n"/>
      <c r="DM3" s="53" t="n"/>
      <c r="DN3" s="54" t="n"/>
      <c r="DO3" s="9" t="n"/>
    </row>
    <row r="4" ht="33.75" customHeight="1">
      <c r="A4" s="55" t="n"/>
      <c r="B4" s="55" t="n"/>
      <c r="C4" s="55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14" t="n"/>
      <c r="P4" s="14" t="n"/>
      <c r="Q4" s="14" t="n"/>
      <c r="R4" s="14" t="n"/>
      <c r="S4" s="13" t="n"/>
      <c r="T4" s="13" t="n"/>
      <c r="U4" s="13" t="n"/>
      <c r="V4" s="13" t="n"/>
      <c r="W4" s="13" t="n"/>
      <c r="X4" s="14" t="n"/>
      <c r="Y4" s="14" t="n"/>
      <c r="Z4" s="14" t="n"/>
      <c r="AA4" s="14" t="n"/>
      <c r="AB4" s="14" t="n"/>
      <c r="AC4" s="13" t="n"/>
      <c r="AD4" s="13" t="n"/>
      <c r="AE4" s="13" t="n"/>
      <c r="AF4" s="13" t="n"/>
      <c r="AG4" s="13" t="n"/>
      <c r="AH4" s="14" t="n"/>
      <c r="AI4" s="14" t="n"/>
      <c r="AJ4" s="14" t="n"/>
      <c r="AK4" s="14" t="n"/>
      <c r="AL4" s="14" t="n"/>
      <c r="AM4" s="13" t="n"/>
      <c r="AN4" s="13" t="n"/>
      <c r="AO4" s="13" t="n"/>
      <c r="AP4" s="13" t="n"/>
      <c r="AQ4" s="13" t="n"/>
      <c r="AR4" s="14" t="n"/>
      <c r="AS4" s="14" t="n"/>
      <c r="AT4" s="14" t="n"/>
      <c r="AU4" s="14" t="n"/>
      <c r="AV4" s="14" t="n"/>
      <c r="AW4" s="13" t="n"/>
      <c r="AX4" s="13" t="n"/>
      <c r="AY4" s="13" t="n"/>
      <c r="AZ4" s="13" t="n"/>
      <c r="BA4" s="13" t="n"/>
      <c r="BB4" s="14" t="n"/>
      <c r="BC4" s="14" t="n"/>
      <c r="BD4" s="14" t="n"/>
      <c r="BE4" s="14" t="n"/>
      <c r="BF4" s="14" t="n"/>
      <c r="BG4" s="13" t="n"/>
      <c r="BH4" s="13" t="n"/>
      <c r="BI4" s="13" t="n"/>
      <c r="BJ4" s="13" t="n"/>
      <c r="BK4" s="13" t="n"/>
      <c r="BL4" s="14" t="n"/>
      <c r="BM4" s="14" t="n"/>
      <c r="BN4" s="14" t="n"/>
      <c r="BO4" s="14" t="n"/>
      <c r="BP4" s="14" t="n"/>
      <c r="BQ4" s="13" t="n"/>
      <c r="BR4" s="13" t="n"/>
      <c r="BS4" s="13" t="n"/>
      <c r="BT4" s="13" t="n"/>
      <c r="BU4" s="13" t="n"/>
      <c r="BV4" s="14" t="n"/>
      <c r="BW4" s="14" t="n"/>
      <c r="BX4" s="14" t="n"/>
      <c r="BY4" s="14" t="n"/>
      <c r="BZ4" s="14" t="n"/>
      <c r="CA4" s="13" t="n"/>
      <c r="CB4" s="13" t="n"/>
      <c r="CC4" s="13" t="n"/>
      <c r="CD4" s="13" t="n"/>
      <c r="CE4" s="13" t="n"/>
      <c r="CF4" s="14" t="n"/>
      <c r="CG4" s="14" t="n"/>
      <c r="CH4" s="14" t="n"/>
      <c r="CI4" s="14" t="n"/>
      <c r="CJ4" s="14" t="n"/>
      <c r="CK4" s="13" t="n"/>
      <c r="CL4" s="13" t="n"/>
      <c r="CM4" s="13" t="n"/>
      <c r="CN4" s="13" t="n"/>
      <c r="CO4" s="13" t="n"/>
      <c r="CP4" s="14" t="n"/>
      <c r="CQ4" s="14" t="n"/>
      <c r="CR4" s="14" t="n"/>
      <c r="CS4" s="14" t="n"/>
      <c r="CT4" s="14" t="n"/>
      <c r="CU4" s="13" t="n"/>
      <c r="CV4" s="13" t="n"/>
      <c r="CW4" s="13" t="n"/>
      <c r="CX4" s="13" t="n"/>
      <c r="CY4" s="13" t="n"/>
      <c r="CZ4" s="14" t="n"/>
      <c r="DA4" s="14" t="n"/>
      <c r="DB4" s="14" t="n"/>
      <c r="DC4" s="14" t="n"/>
      <c r="DD4" s="14" t="n"/>
      <c r="DE4" s="13" t="n"/>
      <c r="DF4" s="13" t="n"/>
      <c r="DG4" s="13" t="n"/>
      <c r="DH4" s="13" t="n"/>
      <c r="DI4" s="13" t="n"/>
      <c r="DJ4" s="14" t="n"/>
      <c r="DK4" s="14" t="n"/>
      <c r="DL4" s="14" t="n"/>
      <c r="DM4" s="14" t="n"/>
      <c r="DN4" s="14" t="n"/>
      <c r="DO4" s="55" t="n"/>
    </row>
    <row r="5" ht="15" customHeight="1">
      <c r="A5" s="15" t="n"/>
      <c r="B5" s="15" t="n"/>
      <c r="C5" s="15" t="n"/>
      <c r="D5" s="56">
        <f>D7+D8+D9+D11+D13+D14+D15+D16+D18+D20+D22+D23+D24+D25+D26+D27+D28+D29+D30+D31+D32+D33+D34+D35+D36+D37+D38+D39+D40+D41+D42+D43</f>
        <v/>
      </c>
      <c r="E5" s="56">
        <f>E7+E8+E9+E11+E13+E14+E15+E16+E18+E20+E22+E23+E24+E25+E26+E27+E28+E29+E30+E31+E32+E33+E34+E35+E36+E37+E38+E39+E40+E41+E42+E43</f>
        <v/>
      </c>
      <c r="F5" s="56">
        <f>E5-D5</f>
        <v/>
      </c>
      <c r="G5" s="57">
        <f>IF(D5=0,"",E5/D5)</f>
        <v/>
      </c>
      <c r="H5" s="18" t="n"/>
      <c r="I5" s="56">
        <f>I7+I8+I9+I11+I13+I14+I15+I16+I18+I20+I22+I23+I24+I25+I26+I27+I28+I29+I30+I31+I32+I33+I34+I35+I36+I37+I38+I39+I40+I41+I42+I43</f>
        <v/>
      </c>
      <c r="J5" s="56">
        <f>J7+J8+J9+J11+J13+J14+J15+J16+J18+J20+J22+J23+J24+J25+J26+J27+J28+J29+J30+J31+J32+J33+J34+J35+J36+J37+J38+J39+J40+J41+J42+J43</f>
        <v/>
      </c>
      <c r="K5" s="56">
        <f>J5-I5</f>
        <v/>
      </c>
      <c r="L5" s="57">
        <f>IF(I5=0,"",J5/I5)</f>
        <v/>
      </c>
      <c r="M5" s="18" t="n"/>
      <c r="N5" s="56">
        <f>N7+N8+N9+N11+N13+N14+N15+N16+N18+N20+N22+N23+N24+N25+N26+N27+N28+N29+N30+N31+N32+N33+N34+N35+N36+N37+N38+N39+N40+N41+N42+N43</f>
        <v/>
      </c>
      <c r="O5" s="56">
        <f>O7+O8+O9+O11+O13+O14+O15+O16+O18+O20+O22+O23+O24+O25+O26+O27+O28+O29+O30+O31+O32+O33+O34+O35+O36+O37+O38+O39+O40+O41+O42+O43</f>
        <v/>
      </c>
      <c r="P5" s="56">
        <f>O5-N5</f>
        <v/>
      </c>
      <c r="Q5" s="57">
        <f>IF(N5=0,"",O5/N5)</f>
        <v/>
      </c>
      <c r="R5" s="18" t="n"/>
      <c r="S5" s="56">
        <f>S7+S8+S9+S11+S13+S14+S15+S16+S18+S20+S22+S23+S24+S25+S26+S27+S28+S29+S30+S31+S32+S33+S34+S35+S36+S37+S38+S39+S40+S41+S42+S43</f>
        <v/>
      </c>
      <c r="T5" s="56">
        <f>T7+T8+T9+T11+T13+T14+T15+T16+T18+T20+T22+T23+T24+T25+T26+T27+T28+T29+T30+T31+T32+T33+T34+T35+T36+T37+T38+T39+T40+T41+T42+T43</f>
        <v/>
      </c>
      <c r="U5" s="56">
        <f>T5-S5</f>
        <v/>
      </c>
      <c r="V5" s="57">
        <f>IF(S5=0,"",T5/S5)</f>
        <v/>
      </c>
      <c r="W5" s="18" t="n"/>
      <c r="X5" s="56">
        <f>X7+X8+X9+X11+X13+X14+X15+X16+X18+X20+X22+X23+X24+X25+X26+X27+X28+X29+X30+X31+X32+X33+X34+X35+X36+X37+X38+X39+X40+X41+X42+X43</f>
        <v/>
      </c>
      <c r="Y5" s="56">
        <f>Y7+Y8+Y9+Y11+Y13+Y14+Y15+Y16+Y18+Y20+Y22+Y23+Y24+Y25+Y26+Y27+Y28+Y29+Y30+Y31+Y32+Y33+Y34+Y35+Y36+Y37+Y38+Y39+Y40+Y41+Y42+Y43</f>
        <v/>
      </c>
      <c r="Z5" s="56">
        <f>Y5-X5</f>
        <v/>
      </c>
      <c r="AA5" s="57">
        <f>IF(X5=0,"",Y5/X5)</f>
        <v/>
      </c>
      <c r="AB5" s="18" t="n"/>
      <c r="AC5" s="56">
        <f>AC7+AC8+AC9+AC11+AC13+AC14+AC15+AC16+AC18+AC20+AC22+AC23+AC24+AC25+AC26+AC27+AC28+AC29+AC30+AC31+AC32+AC33+AC34+AC35+AC36+AC37+AC38+AC39+AC40+AC41+AC42+AC43</f>
        <v/>
      </c>
      <c r="AD5" s="56">
        <f>AD7+AD8+AD9+AD11+AD13+AD14+AD15+AD16+AD18+AD20+AD22+AD23+AD24+AD25+AD26+AD27+AD28+AD29+AD30+AD31+AD32+AD33+AD34+AD35+AD36+AD37+AD38+AD39+AD40+AD41+AD42+AD43</f>
        <v/>
      </c>
      <c r="AE5" s="56">
        <f>AD5-AC5</f>
        <v/>
      </c>
      <c r="AF5" s="57">
        <f>IF(AC5=0,"",AD5/AC5)</f>
        <v/>
      </c>
      <c r="AG5" s="18" t="n"/>
      <c r="AH5" s="56">
        <f>AH7+AH8+AH9+AH11+AH13+AH14+AH15+AH16+AH18+AH20+AH22+AH23+AH24+AH25+AH26+AH27+AH28+AH29+AH30+AH31+AH32+AH33+AH34+AH35+AH36+AH37+AH38+AH39+AH40+AH41+AH42+AH43</f>
        <v/>
      </c>
      <c r="AI5" s="56">
        <f>AI7+AI8+AI9+AI11+AI13+AI14+AI15+AI16+AI18+AI20+AI22+AI23+AI24+AI25+AI26+AI27+AI28+AI29+AI30+AI31+AI32+AI33+AI34+AI35+AI36+AI37+AI38+AI39+AI40+AI41+AI42+AI43</f>
        <v/>
      </c>
      <c r="AJ5" s="56">
        <f>AI5-AH5</f>
        <v/>
      </c>
      <c r="AK5" s="57">
        <f>IF(AH5=0,"",AI5/AH5)</f>
        <v/>
      </c>
      <c r="AL5" s="18" t="n"/>
      <c r="AM5" s="56">
        <f>AM7+AM8+AM9+AM11+AM13+AM14+AM15+AM16+AM18+AM20+AM22+AM23+AM24+AM25+AM26+AM27+AM28+AM29+AM30+AM31+AM32+AM33+AM34+AM35+AM36+AM37+AM38+AM39+AM40+AM41+AM42+AM43</f>
        <v/>
      </c>
      <c r="AN5" s="56">
        <f>AN7+AN8+AN9+AN11+AN13+AN14+AN15+AN16+AN18+AN20+AN22+AN23+AN24+AN25+AN26+AN27+AN28+AN29+AN30+AN31+AN32+AN33+AN34+AN35+AN36+AN37+AN38+AN39+AN40+AN41+AN42+AN43</f>
        <v/>
      </c>
      <c r="AO5" s="56">
        <f>AN5-AM5</f>
        <v/>
      </c>
      <c r="AP5" s="57">
        <f>IF(AM5=0,"",AN5/AM5)</f>
        <v/>
      </c>
      <c r="AQ5" s="18" t="n"/>
      <c r="AR5" s="56">
        <f>AR7+AR8+AR9+AR11+AR13+AR14+AR15+AR16+AR18+AR20+AR22+AR23+AR24+AR25+AR26+AR27+AR28+AR29+AR30+AR31+AR32+AR33+AR34+AR35+AR36+AR37+AR38+AR39+AR40+AR41+AR42+AR43</f>
        <v/>
      </c>
      <c r="AS5" s="56">
        <f>AS7+AS8+AS9+AS11+AS13+AS14+AS15+AS16+AS18+AS20+AS22+AS23+AS24+AS25+AS26+AS27+AS28+AS29+AS30+AS31+AS32+AS33+AS34+AS35+AS36+AS37+AS38+AS39+AS40+AS41+AS42+AS43</f>
        <v/>
      </c>
      <c r="AT5" s="56">
        <f>AS5-AR5</f>
        <v/>
      </c>
      <c r="AU5" s="57">
        <f>IF(AR5=0,"",AS5/AR5)</f>
        <v/>
      </c>
      <c r="AV5" s="18" t="n"/>
      <c r="AW5" s="56">
        <f>AW7+AW8+AW9+AW11+AW13+AW14+AW15+AW16+AW18+AW20+AW22+AW23+AW24+AW25+AW26+AW27+AW28+AW29+AW30+AW31+AW32+AW33+AW34+AW35+AW36+AW37+AW38+AW39+AW40+AW41+AW42+AW43</f>
        <v/>
      </c>
      <c r="AX5" s="56">
        <f>AX7+AX8+AX9+AX11+AX13+AX14+AX15+AX16+AX18+AX20+AX22+AX23+AX24+AX25+AX26+AX27+AX28+AX29+AX30+AX31+AX32+AX33+AX34+AX35+AX36+AX37+AX38+AX39+AX40+AX41+AX42+AX43</f>
        <v/>
      </c>
      <c r="AY5" s="56">
        <f>AX5-AW5</f>
        <v/>
      </c>
      <c r="AZ5" s="57">
        <f>IF(AW5=0,"",AX5/AW5)</f>
        <v/>
      </c>
      <c r="BA5" s="18" t="n"/>
      <c r="BB5" s="56">
        <f>BB7+BB8+BB9+BB11+BB13+BB14+BB15+BB16+BB18+BB20+BB22+BB23+BB24+BB25+BB26+BB27+BB28+BB29+BB30+BB31+BB32+BB33+BB34+BB35+BB36+BB37+BB38+BB39+BB40+BB41+BB42+BB43</f>
        <v/>
      </c>
      <c r="BC5" s="56">
        <f>BC7+BC8+BC9+BC11+BC13+BC14+BC15+BC16+BC18+BC20+BC22+BC23+BC24+BC25+BC26+BC27+BC28+BC29+BC30+BC31+BC32+BC33+BC34+BC35+BC36+BC37+BC38+BC39+BC40+BC41+BC42+BC43</f>
        <v/>
      </c>
      <c r="BD5" s="56">
        <f>BC5-BB5</f>
        <v/>
      </c>
      <c r="BE5" s="57">
        <f>IF(BB5=0,"",BC5/BB5)</f>
        <v/>
      </c>
      <c r="BF5" s="18" t="n"/>
      <c r="BG5" s="56">
        <f>BG7+BG8+BG9+BG11+BG13+BG14+BG15+BG16+BG18+BG20+BG22+BG23+BG24+BG25+BG26+BG27+BG28+BG29+BG30+BG31+BG32+BG33+BG34+BG35+BG36+BG37+BG38+BG39+BG40+BG41+BG42+BG43</f>
        <v/>
      </c>
      <c r="BH5" s="56">
        <f>BH7+BH8+BH9+BH11+BH13+BH14+BH15+BH16+BH18+BH20+BH22+BH23+BH24+BH25+BH26+BH27+BH28+BH29+BH30+BH31+BH32+BH33+BH34+BH35+BH36+BH37+BH38+BH39+BH40+BH41+BH42+BH43</f>
        <v/>
      </c>
      <c r="BI5" s="56">
        <f>BH5-BG5</f>
        <v/>
      </c>
      <c r="BJ5" s="57">
        <f>IF(BG5=0,"",BH5/BG5)</f>
        <v/>
      </c>
      <c r="BK5" s="18" t="n"/>
      <c r="BL5" s="56">
        <f>BL7+BL8+BL9+BL11+BL13+BL14+BL15+BL16+BL18+BL20+BL22+BL23+BL24+BL25+BL26+BL27+BL28+BL29+BL30+BL31+BL32+BL33+BL34+BL35+BL36+BL37+BL38+BL39+BL40+BL41+BL42+BL43</f>
        <v/>
      </c>
      <c r="BM5" s="56">
        <f>BM7+BM8+BM9+BM11+BM13+BM14+BM15+BM16+BM18+BM20+BM22+BM23+BM24+BM25+BM26+BM27+BM28+BM29+BM30+BM31+BM32+BM33+BM34+BM35+BM36+BM37+BM38+BM39+BM40+BM41+BM42+BM43</f>
        <v/>
      </c>
      <c r="BN5" s="56">
        <f>BM5-BL5</f>
        <v/>
      </c>
      <c r="BO5" s="57">
        <f>IF(BL5=0,"",BM5/BL5)</f>
        <v/>
      </c>
      <c r="BP5" s="18" t="n"/>
      <c r="BQ5" s="56">
        <f>BQ7+BQ8+BQ9+BQ11+BQ13+BQ14+BQ15+BQ16+BQ18+BQ20+BQ22+BQ23+BQ24+BQ25+BQ26+BQ27+BQ28+BQ29+BQ30+BQ31+BQ32+BQ33+BQ34+BQ35+BQ36+BQ37+BQ38+BQ39+BQ40+BQ41+BQ42+BQ43</f>
        <v/>
      </c>
      <c r="BR5" s="56">
        <f>BR7+BR8+BR9+BR11+BR13+BR14+BR15+BR16+BR18+BR20+BR22+BR23+BR24+BR25+BR26+BR27+BR28+BR29+BR30+BR31+BR32+BR33+BR34+BR35+BR36+BR37+BR38+BR39+BR40+BR41+BR42+BR43</f>
        <v/>
      </c>
      <c r="BS5" s="56">
        <f>BR5-BQ5</f>
        <v/>
      </c>
      <c r="BT5" s="57">
        <f>IF(BQ5=0,"",BR5/BQ5)</f>
        <v/>
      </c>
      <c r="BU5" s="18" t="n"/>
      <c r="BV5" s="56">
        <f>BV7+BV8+BV9+BV11+BV13+BV14+BV15+BV16+BV18+BV20+BV22+BV23+BV24+BV25+BV26+BV27+BV28+BV29+BV30+BV31+BV32+BV33+BV34+BV35+BV36+BV37+BV38+BV39+BV40+BV41+BV42+BV43</f>
        <v/>
      </c>
      <c r="BW5" s="56">
        <f>BW7+BW8+BW9+BW11+BW13+BW14+BW15+BW16+BW18+BW20+BW22+BW23+BW24+BW25+BW26+BW27+BW28+BW29+BW30+BW31+BW32+BW33+BW34+BW35+BW36+BW37+BW38+BW39+BW40+BW41+BW42+BW43</f>
        <v/>
      </c>
      <c r="BX5" s="56">
        <f>BW5-BV5</f>
        <v/>
      </c>
      <c r="BY5" s="57">
        <f>IF(BV5=0,"",BW5/BV5)</f>
        <v/>
      </c>
      <c r="BZ5" s="18" t="n"/>
      <c r="CA5" s="56">
        <f>CA7+CA8+CA9+CA11+CA13+CA14+CA15+CA16+CA18+CA20+CA22+CA23+CA24+CA25+CA26+CA27+CA28+CA29+CA30+CA31+CA32+CA33+CA34+CA35+CA36+CA37+CA38+CA39+CA40+CA41+CA42+CA43</f>
        <v/>
      </c>
      <c r="CB5" s="56">
        <f>CB7+CB8+CB9+CB11+CB13+CB14+CB15+CB16+CB18+CB20+CB22+CB23+CB24+CB25+CB26+CB27+CB28+CB29+CB30+CB31+CB32+CB33+CB34+CB35+CB36+CB37+CB38+CB39+CB40+CB41+CB42+CB43</f>
        <v/>
      </c>
      <c r="CC5" s="56">
        <f>CB5-CA5</f>
        <v/>
      </c>
      <c r="CD5" s="57">
        <f>IF(CA5=0,"",CB5/CA5)</f>
        <v/>
      </c>
      <c r="CE5" s="18" t="n"/>
      <c r="CF5" s="56">
        <f>CF7+CF8+CF9+CF11+CF13+CF14+CF15+CF16+CF18+CF20+CF22+CF23+CF24+CF25+CF26+CF27+CF28+CF29+CF30+CF31+CF32+CF33+CF34+CF35+CF36+CF37+CF38+CF39+CF40+CF41+CF42+CF43</f>
        <v/>
      </c>
      <c r="CG5" s="56">
        <f>CG7+CG8+CG9+CG11+CG13+CG14+CG15+CG16+CG18+CG20+CG22+CG23+CG24+CG25+CG26+CG27+CG28+CG29+CG30+CG31+CG32+CG33+CG34+CG35+CG36+CG37+CG38+CG39+CG40+CG41+CG42+CG43</f>
        <v/>
      </c>
      <c r="CH5" s="56">
        <f>CG5-CF5</f>
        <v/>
      </c>
      <c r="CI5" s="57">
        <f>IF(CF5=0,"",CG5/CF5)</f>
        <v/>
      </c>
      <c r="CJ5" s="18" t="n"/>
      <c r="CK5" s="56">
        <f>CK7+CK8+CK9+CK11+CK13+CK14+CK15+CK16+CK18+CK20+CK22+CK23+CK24+CK25+CK26+CK27+CK28+CK29+CK30+CK31+CK32+CK33+CK34+CK35+CK36+CK37+CK38+CK39+CK40+CK41+CK42+CK43</f>
        <v/>
      </c>
      <c r="CL5" s="56">
        <f>CL7+CL8+CL9+CL11+CL13+CL14+CL15+CL16+CL18+CL20+CL22+CL23+CL24+CL25+CL26+CL27+CL28+CL29+CL30+CL31+CL32+CL33+CL34+CL35+CL36+CL37+CL38+CL39+CL40+CL41+CL42+CL43</f>
        <v/>
      </c>
      <c r="CM5" s="56">
        <f>CL5-CK5</f>
        <v/>
      </c>
      <c r="CN5" s="57">
        <f>IF(CK5=0,"",CL5/CK5)</f>
        <v/>
      </c>
      <c r="CO5" s="18" t="n"/>
      <c r="CP5" s="56">
        <f>CP7+CP8+CP9+CP11+CP13+CP14+CP15+CP16+CP18+CP20+CP22+CP23+CP24+CP25+CP26+CP27+CP28+CP29+CP30+CP31+CP32+CP33+CP34+CP35+CP36+CP37+CP38+CP39+CP40+CP41+CP42+CP43</f>
        <v/>
      </c>
      <c r="CQ5" s="56">
        <f>CQ7+CQ8+CQ9+CQ11+CQ13+CQ14+CQ15+CQ16+CQ18+CQ20+CQ22+CQ23+CQ24+CQ25+CQ26+CQ27+CQ28+CQ29+CQ30+CQ31+CQ32+CQ33+CQ34+CQ35+CQ36+CQ37+CQ38+CQ39+CQ40+CQ41+CQ42+CQ43</f>
        <v/>
      </c>
      <c r="CR5" s="56">
        <f>CQ5-CP5</f>
        <v/>
      </c>
      <c r="CS5" s="57">
        <f>IF(CP5=0,"",CQ5/CP5)</f>
        <v/>
      </c>
      <c r="CT5" s="18" t="n"/>
      <c r="CU5" s="56">
        <f>CU7+CU8+CU9+CU11+CU13+CU14+CU15+CU16+CU18+CU20+CU22+CU23+CU24+CU25+CU26+CU27+CU28+CU29+CU30+CU31+CU32+CU33+CU34+CU35+CU36+CU37+CU38+CU39+CU40+CU41+CU42+CU43</f>
        <v/>
      </c>
      <c r="CV5" s="56">
        <f>CV7+CV8+CV9+CV11+CV13+CV14+CV15+CV16+CV18+CV20+CV22+CV23+CV24+CV25+CV26+CV27+CV28+CV29+CV30+CV31+CV32+CV33+CV34+CV35+CV36+CV37+CV38+CV39+CV40+CV41+CV42+CV43</f>
        <v/>
      </c>
      <c r="CW5" s="56">
        <f>CV5-CU5</f>
        <v/>
      </c>
      <c r="CX5" s="57">
        <f>IF(CU5=0,"",CV5/CU5)</f>
        <v/>
      </c>
      <c r="CY5" s="18" t="n"/>
      <c r="CZ5" s="56">
        <f>CZ7+CZ8+CZ9+CZ11+CZ13+CZ14+CZ15+CZ16+CZ18+CZ20+CZ22+CZ23+CZ24+CZ25+CZ26+CZ27+CZ28+CZ29+CZ30+CZ31+CZ32+CZ33+CZ34+CZ35+CZ36+CZ37+CZ38+CZ39+CZ40+CZ41+CZ42+CZ43</f>
        <v/>
      </c>
      <c r="DA5" s="56">
        <f>DA7+DA8+DA9+DA11+DA13+DA14+DA15+DA16+DA18+DA20+DA22+DA23+DA24+DA25+DA26+DA27+DA28+DA29+DA30+DA31+DA32+DA33+DA34+DA35+DA36+DA37+DA38+DA39+DA40+DA41+DA42+DA43</f>
        <v/>
      </c>
      <c r="DB5" s="56">
        <f>DA5-CZ5</f>
        <v/>
      </c>
      <c r="DC5" s="57">
        <f>IF(CZ5=0,"",DA5/CZ5)</f>
        <v/>
      </c>
      <c r="DD5" s="18" t="n"/>
      <c r="DE5" s="56">
        <f>DE7+DE8+DE9+DE11+DE13+DE14+DE15+DE16+DE18+DE20+DE22+DE23+DE24+DE25+DE26+DE27+DE28+DE29+DE30+DE31+DE32+DE33+DE34+DE35+DE36+DE37+DE38+DE39+DE40+DE41+DE42+DE43</f>
        <v/>
      </c>
      <c r="DF5" s="56">
        <f>DF7+DF8+DF9+DF11+DF13+DF14+DF15+DF16+DF18+DF20+DF22+DF23+DF24+DF25+DF26+DF27+DF28+DF29+DF30+DF31+DF32+DF33+DF34+DF35+DF36+DF37+DF38+DF39+DF40+DF41+DF42+DF43</f>
        <v/>
      </c>
      <c r="DG5" s="56">
        <f>DF5-DE5</f>
        <v/>
      </c>
      <c r="DH5" s="57">
        <f>IF(DE5=0,"",DF5/DE5)</f>
        <v/>
      </c>
      <c r="DI5" s="18" t="n"/>
      <c r="DJ5" s="56">
        <f>DJ7+DJ8+DJ9+DJ11+DJ13+DJ14+DJ15+DJ16+DJ18+DJ20+DJ22+DJ23+DJ24+DJ25+DJ26+DJ27+DJ28+DJ29+DJ30+DJ31+DJ32+DJ33+DJ34+DJ35+DJ36+DJ37+DJ38+DJ39+DJ40+DJ41+DJ42+DJ43</f>
        <v/>
      </c>
      <c r="DK5" s="56">
        <f>DK7+DK8+DK9+DK11+DK13+DK14+DK15+DK16+DK18+DK20+DK22+DK23+DK24+DK25+DK26+DK27+DK28+DK29+DK30+DK31+DK32+DK33+DK34+DK35+DK36+DK37+DK38+DK39+DK40+DK41+DK42+DK43</f>
        <v/>
      </c>
      <c r="DL5" s="56">
        <f>DK5-DJ5</f>
        <v/>
      </c>
      <c r="DM5" s="57">
        <f>IF(DJ5=0,"",DK5/DJ5)</f>
        <v/>
      </c>
      <c r="DN5" s="18" t="n"/>
      <c r="DO5" s="56">
        <f>DO7+DO8+DO9+DO11+DO13+DO14+DO15+DO16+DO18+DO20+DO22+DO23+DO24+DO25+DO26+DO27+DO28+DO29+DO30+DO31+DO32+DO33+DO34+DO35+DO36+DO37+DO38+DO39+DO40+DO41+DO42+DO43</f>
        <v/>
      </c>
    </row>
    <row r="6" ht="15" customHeight="1">
      <c r="A6" s="19" t="n"/>
      <c r="B6" s="20" t="n"/>
      <c r="C6" s="19" t="n"/>
      <c r="D6" s="58">
        <f>D7+D8+D9</f>
        <v/>
      </c>
      <c r="E6" s="58">
        <f>E7+E8+E9</f>
        <v/>
      </c>
      <c r="F6" s="58">
        <f>E6-D6</f>
        <v/>
      </c>
      <c r="G6" s="59">
        <f>IF(D6=0,"",E6/D6)</f>
        <v/>
      </c>
      <c r="H6" s="23" t="n"/>
      <c r="I6" s="58">
        <f>I7+I8+I9</f>
        <v/>
      </c>
      <c r="J6" s="58">
        <f>J7+J8+J9</f>
        <v/>
      </c>
      <c r="K6" s="58">
        <f>J6-I6</f>
        <v/>
      </c>
      <c r="L6" s="59">
        <f>IF(I6=0,"",J6/I6)</f>
        <v/>
      </c>
      <c r="M6" s="23" t="n"/>
      <c r="N6" s="58">
        <f>N7+N8+N9</f>
        <v/>
      </c>
      <c r="O6" s="58">
        <f>O7+O8+O9</f>
        <v/>
      </c>
      <c r="P6" s="58">
        <f>O6-N6</f>
        <v/>
      </c>
      <c r="Q6" s="59">
        <f>IF(N6=0,"",O6/N6)</f>
        <v/>
      </c>
      <c r="R6" s="23" t="n"/>
      <c r="S6" s="58">
        <f>S7+S8+S9</f>
        <v/>
      </c>
      <c r="T6" s="58">
        <f>T7+T8+T9</f>
        <v/>
      </c>
      <c r="U6" s="58">
        <f>T6-S6</f>
        <v/>
      </c>
      <c r="V6" s="59">
        <f>IF(S6=0,"",T6/S6)</f>
        <v/>
      </c>
      <c r="W6" s="23" t="n"/>
      <c r="X6" s="58">
        <f>X7+X8+X9</f>
        <v/>
      </c>
      <c r="Y6" s="58">
        <f>Y7+Y8+Y9</f>
        <v/>
      </c>
      <c r="Z6" s="58">
        <f>Y6-X6</f>
        <v/>
      </c>
      <c r="AA6" s="59">
        <f>IF(X6=0,"",Y6/X6)</f>
        <v/>
      </c>
      <c r="AB6" s="23" t="n"/>
      <c r="AC6" s="58">
        <f>AC7+AC8+AC9</f>
        <v/>
      </c>
      <c r="AD6" s="58">
        <f>AD7+AD8+AD9</f>
        <v/>
      </c>
      <c r="AE6" s="58">
        <f>AD6-AC6</f>
        <v/>
      </c>
      <c r="AF6" s="59">
        <f>IF(AC6=0,"",AD6/AC6)</f>
        <v/>
      </c>
      <c r="AG6" s="23" t="n"/>
      <c r="AH6" s="58">
        <f>AH7+AH8+AH9</f>
        <v/>
      </c>
      <c r="AI6" s="58">
        <f>AI7+AI8+AI9</f>
        <v/>
      </c>
      <c r="AJ6" s="58">
        <f>AI6-AH6</f>
        <v/>
      </c>
      <c r="AK6" s="59">
        <f>IF(AH6=0,"",AI6/AH6)</f>
        <v/>
      </c>
      <c r="AL6" s="23" t="n"/>
      <c r="AM6" s="58">
        <f>AM7+AM8+AM9</f>
        <v/>
      </c>
      <c r="AN6" s="58">
        <f>AN7+AN8+AN9</f>
        <v/>
      </c>
      <c r="AO6" s="58">
        <f>AN6-AM6</f>
        <v/>
      </c>
      <c r="AP6" s="59">
        <f>IF(AM6=0,"",AN6/AM6)</f>
        <v/>
      </c>
      <c r="AQ6" s="23" t="n"/>
      <c r="AR6" s="58">
        <f>AR7+AR8+AR9</f>
        <v/>
      </c>
      <c r="AS6" s="58">
        <f>AS7+AS8+AS9</f>
        <v/>
      </c>
      <c r="AT6" s="58">
        <f>AS6-AR6</f>
        <v/>
      </c>
      <c r="AU6" s="59">
        <f>IF(AR6=0,"",AS6/AR6)</f>
        <v/>
      </c>
      <c r="AV6" s="23" t="n"/>
      <c r="AW6" s="58">
        <f>AW7+AW8+AW9</f>
        <v/>
      </c>
      <c r="AX6" s="58">
        <f>AX7+AX8+AX9</f>
        <v/>
      </c>
      <c r="AY6" s="58">
        <f>AX6-AW6</f>
        <v/>
      </c>
      <c r="AZ6" s="59">
        <f>IF(AW6=0,"",AX6/AW6)</f>
        <v/>
      </c>
      <c r="BA6" s="23" t="n"/>
      <c r="BB6" s="58">
        <f>BB7+BB8+BB9</f>
        <v/>
      </c>
      <c r="BC6" s="58">
        <f>BC7+BC8+BC9</f>
        <v/>
      </c>
      <c r="BD6" s="58">
        <f>BC6-BB6</f>
        <v/>
      </c>
      <c r="BE6" s="59">
        <f>IF(BB6=0,"",BC6/BB6)</f>
        <v/>
      </c>
      <c r="BF6" s="23" t="n"/>
      <c r="BG6" s="58">
        <f>BG7+BG8+BG9</f>
        <v/>
      </c>
      <c r="BH6" s="58">
        <f>BH7+BH8+BH9</f>
        <v/>
      </c>
      <c r="BI6" s="58">
        <f>BH6-BG6</f>
        <v/>
      </c>
      <c r="BJ6" s="59">
        <f>IF(BG6=0,"",BH6/BG6)</f>
        <v/>
      </c>
      <c r="BK6" s="23" t="n"/>
      <c r="BL6" s="58">
        <f>BL7+BL8+BL9</f>
        <v/>
      </c>
      <c r="BM6" s="58">
        <f>BM7+BM8+BM9</f>
        <v/>
      </c>
      <c r="BN6" s="58">
        <f>BM6-BL6</f>
        <v/>
      </c>
      <c r="BO6" s="59">
        <f>IF(BL6=0,"",BM6/BL6)</f>
        <v/>
      </c>
      <c r="BP6" s="23" t="n"/>
      <c r="BQ6" s="58">
        <f>BQ7+BQ8+BQ9</f>
        <v/>
      </c>
      <c r="BR6" s="58">
        <f>BR7+BR8+BR9</f>
        <v/>
      </c>
      <c r="BS6" s="58">
        <f>BR6-BQ6</f>
        <v/>
      </c>
      <c r="BT6" s="59">
        <f>IF(BQ6=0,"",BR6/BQ6)</f>
        <v/>
      </c>
      <c r="BU6" s="23" t="n"/>
      <c r="BV6" s="58">
        <f>BV7+BV8+BV9</f>
        <v/>
      </c>
      <c r="BW6" s="58">
        <f>BW7+BW8+BW9</f>
        <v/>
      </c>
      <c r="BX6" s="58">
        <f>BW6-BV6</f>
        <v/>
      </c>
      <c r="BY6" s="59">
        <f>IF(BV6=0,"",BW6/BV6)</f>
        <v/>
      </c>
      <c r="BZ6" s="23" t="n"/>
      <c r="CA6" s="58">
        <f>CA7+CA8+CA9</f>
        <v/>
      </c>
      <c r="CB6" s="58">
        <f>CB7+CB8+CB9</f>
        <v/>
      </c>
      <c r="CC6" s="58">
        <f>CB6-CA6</f>
        <v/>
      </c>
      <c r="CD6" s="59">
        <f>IF(CA6=0,"",CB6/CA6)</f>
        <v/>
      </c>
      <c r="CE6" s="23" t="n"/>
      <c r="CF6" s="58">
        <f>CF7+CF8+CF9</f>
        <v/>
      </c>
      <c r="CG6" s="58">
        <f>CG7+CG8+CG9</f>
        <v/>
      </c>
      <c r="CH6" s="58">
        <f>CG6-CF6</f>
        <v/>
      </c>
      <c r="CI6" s="59">
        <f>IF(CF6=0,"",CG6/CF6)</f>
        <v/>
      </c>
      <c r="CJ6" s="23" t="n"/>
      <c r="CK6" s="58">
        <f>CK7+CK8+CK9</f>
        <v/>
      </c>
      <c r="CL6" s="58">
        <f>CL7+CL8+CL9</f>
        <v/>
      </c>
      <c r="CM6" s="58">
        <f>CL6-CK6</f>
        <v/>
      </c>
      <c r="CN6" s="59">
        <f>IF(CK6=0,"",CL6/CK6)</f>
        <v/>
      </c>
      <c r="CO6" s="23" t="n"/>
      <c r="CP6" s="58">
        <f>CP7+CP8+CP9</f>
        <v/>
      </c>
      <c r="CQ6" s="58">
        <f>CQ7+CQ8+CQ9</f>
        <v/>
      </c>
      <c r="CR6" s="58">
        <f>CQ6-CP6</f>
        <v/>
      </c>
      <c r="CS6" s="59">
        <f>IF(CP6=0,"",CQ6/CP6)</f>
        <v/>
      </c>
      <c r="CT6" s="23" t="n"/>
      <c r="CU6" s="58">
        <f>CU7+CU8+CU9</f>
        <v/>
      </c>
      <c r="CV6" s="58">
        <f>CV7+CV8+CV9</f>
        <v/>
      </c>
      <c r="CW6" s="58">
        <f>CV6-CU6</f>
        <v/>
      </c>
      <c r="CX6" s="59">
        <f>IF(CU6=0,"",CV6/CU6)</f>
        <v/>
      </c>
      <c r="CY6" s="23" t="n"/>
      <c r="CZ6" s="58">
        <f>CZ7+CZ8+CZ9</f>
        <v/>
      </c>
      <c r="DA6" s="58">
        <f>DA7+DA8+DA9</f>
        <v/>
      </c>
      <c r="DB6" s="58">
        <f>DA6-CZ6</f>
        <v/>
      </c>
      <c r="DC6" s="59">
        <f>IF(CZ6=0,"",DA6/CZ6)</f>
        <v/>
      </c>
      <c r="DD6" s="23" t="n"/>
      <c r="DE6" s="58">
        <f>DE7+DE8+DE9</f>
        <v/>
      </c>
      <c r="DF6" s="58">
        <f>DF7+DF8+DF9</f>
        <v/>
      </c>
      <c r="DG6" s="58">
        <f>DF6-DE6</f>
        <v/>
      </c>
      <c r="DH6" s="59">
        <f>IF(DE6=0,"",DF6/DE6)</f>
        <v/>
      </c>
      <c r="DI6" s="23" t="n"/>
      <c r="DJ6" s="58">
        <f>DJ7+DJ8+DJ9</f>
        <v/>
      </c>
      <c r="DK6" s="58">
        <f>DK7+DK8+DK9</f>
        <v/>
      </c>
      <c r="DL6" s="58">
        <f>DK6-DJ6</f>
        <v/>
      </c>
      <c r="DM6" s="59">
        <f>IF(DJ6=0,"",DK6/DJ6)</f>
        <v/>
      </c>
      <c r="DN6" s="23" t="n"/>
      <c r="DO6" s="58">
        <f>DO7+DO8+DO9</f>
        <v/>
      </c>
    </row>
    <row r="7" outlineLevel="1" ht="15" customHeight="1">
      <c r="A7" s="24" t="n"/>
      <c r="B7" s="24" t="n"/>
      <c r="C7" s="24" t="n"/>
      <c r="D7" s="60" t="n"/>
      <c r="E7" s="60" t="n"/>
      <c r="F7" s="60">
        <f>E7-D7</f>
        <v/>
      </c>
      <c r="G7" s="61">
        <f>IF(D7=0,"",E7/D7)</f>
        <v/>
      </c>
      <c r="H7" s="27" t="n"/>
      <c r="I7" s="60" t="n"/>
      <c r="J7" s="60" t="n"/>
      <c r="K7" s="60">
        <f>J7-I7</f>
        <v/>
      </c>
      <c r="L7" s="61">
        <f>IF(I7=0,"",J7/I7)</f>
        <v/>
      </c>
      <c r="M7" s="27" t="n"/>
      <c r="N7" s="62" t="n"/>
      <c r="O7" s="62" t="n"/>
      <c r="P7" s="63">
        <f>O7-N7</f>
        <v/>
      </c>
      <c r="Q7" s="64">
        <f>IF(N7=0,"",O7/N7)</f>
        <v/>
      </c>
      <c r="R7" s="31" t="n"/>
      <c r="S7" s="60" t="n"/>
      <c r="T7" s="60" t="n"/>
      <c r="U7" s="60">
        <f>T7-S7</f>
        <v/>
      </c>
      <c r="V7" s="61">
        <f>IF(S7=0,"",T7/S7)</f>
        <v/>
      </c>
      <c r="W7" s="27" t="n"/>
      <c r="X7" s="62" t="n"/>
      <c r="Y7" s="62" t="n"/>
      <c r="Z7" s="63">
        <f>Y7-X7</f>
        <v/>
      </c>
      <c r="AA7" s="64">
        <f>IF(X7=0,"",Y7/X7)</f>
        <v/>
      </c>
      <c r="AB7" s="31" t="n"/>
      <c r="AC7" s="60" t="n"/>
      <c r="AD7" s="60" t="n"/>
      <c r="AE7" s="60">
        <f>AD7-AC7</f>
        <v/>
      </c>
      <c r="AF7" s="61">
        <f>IF(AC7=0,"",AD7/AC7)</f>
        <v/>
      </c>
      <c r="AG7" s="27" t="n"/>
      <c r="AH7" s="62" t="n"/>
      <c r="AI7" s="62" t="n"/>
      <c r="AJ7" s="62">
        <f>AI7-AH7</f>
        <v/>
      </c>
      <c r="AK7" s="64">
        <f>IF(AH7=0,"",AI7/AH7)</f>
        <v/>
      </c>
      <c r="AL7" s="31" t="n"/>
      <c r="AM7" s="60" t="n"/>
      <c r="AN7" s="60" t="n"/>
      <c r="AO7" s="60">
        <f>AN7-AM7</f>
        <v/>
      </c>
      <c r="AP7" s="61">
        <f>IF(AM7=0,"",AN7/AM7)</f>
        <v/>
      </c>
      <c r="AQ7" s="27" t="n"/>
      <c r="AR7" s="62" t="n"/>
      <c r="AS7" s="62" t="n"/>
      <c r="AT7" s="62">
        <f>AS7-AR7</f>
        <v/>
      </c>
      <c r="AU7" s="64">
        <f>IF(AR7=0,"",AS7/AR7)</f>
        <v/>
      </c>
      <c r="AV7" s="31" t="n"/>
      <c r="AW7" s="60" t="n"/>
      <c r="AX7" s="60" t="n"/>
      <c r="AY7" s="60">
        <f>AX7-AW7</f>
        <v/>
      </c>
      <c r="AZ7" s="61">
        <f>IF(AW7=0,"",AX7/AW7)</f>
        <v/>
      </c>
      <c r="BA7" s="27" t="n"/>
      <c r="BB7" s="62" t="n"/>
      <c r="BC7" s="62" t="n"/>
      <c r="BD7" s="62">
        <f>BC7-BB7</f>
        <v/>
      </c>
      <c r="BE7" s="64">
        <f>IF(BB7=0,"",BC7/BB7)</f>
        <v/>
      </c>
      <c r="BF7" s="31" t="n"/>
      <c r="BG7" s="60" t="n"/>
      <c r="BH7" s="60" t="n"/>
      <c r="BI7" s="60">
        <f>BH7-BG7</f>
        <v/>
      </c>
      <c r="BJ7" s="61">
        <f>IF(BG7=0,"",BH7/BG7)</f>
        <v/>
      </c>
      <c r="BK7" s="27" t="n"/>
      <c r="BL7" s="62" t="n"/>
      <c r="BM7" s="62" t="n"/>
      <c r="BN7" s="62">
        <f>BM7-BL7</f>
        <v/>
      </c>
      <c r="BO7" s="64">
        <f>IF(BL7=0,"",BM7/BL7)</f>
        <v/>
      </c>
      <c r="BP7" s="31" t="n"/>
      <c r="BQ7" s="60" t="n"/>
      <c r="BR7" s="60" t="n"/>
      <c r="BS7" s="60">
        <f>BR7-BQ7</f>
        <v/>
      </c>
      <c r="BT7" s="61">
        <f>IF(BQ7=0,"",BR7/BQ7)</f>
        <v/>
      </c>
      <c r="BU7" s="27" t="n"/>
      <c r="BV7" s="62" t="n"/>
      <c r="BW7" s="62" t="n"/>
      <c r="BX7" s="62">
        <f>BW7-BV7</f>
        <v/>
      </c>
      <c r="BY7" s="64">
        <f>IF(BV7=0,"",BW7/BV7)</f>
        <v/>
      </c>
      <c r="BZ7" s="31" t="n"/>
      <c r="CA7" s="60" t="n"/>
      <c r="CB7" s="60" t="n"/>
      <c r="CC7" s="60">
        <f>CB7-CA7</f>
        <v/>
      </c>
      <c r="CD7" s="61">
        <f>IF(CA7=0,"",CB7/CA7)</f>
        <v/>
      </c>
      <c r="CE7" s="27" t="n"/>
      <c r="CF7" s="62" t="n"/>
      <c r="CG7" s="62" t="n"/>
      <c r="CH7" s="62">
        <f>CG7-CF7</f>
        <v/>
      </c>
      <c r="CI7" s="64">
        <f>IF(CF7=0,"",CG7/CF7)</f>
        <v/>
      </c>
      <c r="CJ7" s="31" t="n"/>
      <c r="CK7" s="60" t="n"/>
      <c r="CL7" s="60" t="n"/>
      <c r="CM7" s="60">
        <f>CL7-CK7</f>
        <v/>
      </c>
      <c r="CN7" s="61">
        <f>IF(CK7=0,"",CL7/CK7)</f>
        <v/>
      </c>
      <c r="CO7" s="27" t="n"/>
      <c r="CP7" s="62" t="n"/>
      <c r="CQ7" s="62" t="n"/>
      <c r="CR7" s="62">
        <f>CQ7-CP7</f>
        <v/>
      </c>
      <c r="CS7" s="64">
        <f>IF(CP7=0,"",CQ7/CP7)</f>
        <v/>
      </c>
      <c r="CT7" s="31" t="n"/>
      <c r="CU7" s="60" t="n"/>
      <c r="CV7" s="60" t="n"/>
      <c r="CW7" s="60">
        <f>CV7-CU7</f>
        <v/>
      </c>
      <c r="CX7" s="61">
        <f>IF(CU7=0,"",CV7/CU7)</f>
        <v/>
      </c>
      <c r="CY7" s="27" t="n"/>
      <c r="CZ7" s="62" t="n"/>
      <c r="DA7" s="62" t="n"/>
      <c r="DB7" s="62">
        <f>DA7-CZ7</f>
        <v/>
      </c>
      <c r="DC7" s="64">
        <f>IF(CZ7=0,"",DA7/CZ7)</f>
        <v/>
      </c>
      <c r="DD7" s="31" t="n"/>
      <c r="DE7" s="60" t="n"/>
      <c r="DF7" s="60" t="n"/>
      <c r="DG7" s="60">
        <f>DF7-DE7</f>
        <v/>
      </c>
      <c r="DH7" s="61">
        <f>IF(DE7=0,"",DF7/DE7)</f>
        <v/>
      </c>
      <c r="DI7" s="27" t="n"/>
      <c r="DJ7" s="62" t="n"/>
      <c r="DK7" s="62" t="n"/>
      <c r="DL7" s="62">
        <f>DK7-DJ7</f>
        <v/>
      </c>
      <c r="DM7" s="64">
        <f>IF(DJ7=0,"",DK7/DJ7)</f>
        <v/>
      </c>
      <c r="DN7" s="31" t="n"/>
      <c r="DO7" s="60" t="n"/>
    </row>
    <row r="8" outlineLevel="1" ht="15" customHeight="1">
      <c r="A8" s="24" t="n"/>
      <c r="B8" s="24" t="n"/>
      <c r="C8" s="24" t="n"/>
      <c r="D8" s="60" t="n"/>
      <c r="E8" s="60" t="n"/>
      <c r="F8" s="60">
        <f>E8-D8</f>
        <v/>
      </c>
      <c r="G8" s="61">
        <f>IF(D8=0,"",E8/D8)</f>
        <v/>
      </c>
      <c r="H8" s="27" t="n"/>
      <c r="I8" s="60" t="n"/>
      <c r="J8" s="60" t="n"/>
      <c r="K8" s="60">
        <f>J8-I8</f>
        <v/>
      </c>
      <c r="L8" s="61">
        <f>IF(I8=0,"",J8/I8)</f>
        <v/>
      </c>
      <c r="M8" s="27" t="n"/>
      <c r="N8" s="62" t="n"/>
      <c r="O8" s="62" t="n"/>
      <c r="P8" s="62">
        <f>O8-N8</f>
        <v/>
      </c>
      <c r="Q8" s="64">
        <f>IF(N8=0,"",O8/N8)</f>
        <v/>
      </c>
      <c r="R8" s="31" t="n"/>
      <c r="S8" s="60" t="n"/>
      <c r="T8" s="60" t="n"/>
      <c r="U8" s="60">
        <f>T8-S8</f>
        <v/>
      </c>
      <c r="V8" s="61">
        <f>IF(S8=0,"",T8/S8)</f>
        <v/>
      </c>
      <c r="W8" s="27" t="n"/>
      <c r="X8" s="62" t="n"/>
      <c r="Y8" s="62" t="n"/>
      <c r="Z8" s="63">
        <f>Y8-X8</f>
        <v/>
      </c>
      <c r="AA8" s="64">
        <f>IF(X8=0,"",Y8/X8)</f>
        <v/>
      </c>
      <c r="AB8" s="31" t="n"/>
      <c r="AC8" s="60" t="n"/>
      <c r="AD8" s="60" t="n"/>
      <c r="AE8" s="60">
        <f>AD8-AC8</f>
        <v/>
      </c>
      <c r="AF8" s="61">
        <f>IF(AC8=0,"",AD8/AC8)</f>
        <v/>
      </c>
      <c r="AG8" s="27" t="n"/>
      <c r="AH8" s="62" t="n"/>
      <c r="AI8" s="62" t="n"/>
      <c r="AJ8" s="62">
        <f>AI8-AH8</f>
        <v/>
      </c>
      <c r="AK8" s="64">
        <f>IF(AH8=0,"",AI8/AH8)</f>
        <v/>
      </c>
      <c r="AL8" s="31" t="n"/>
      <c r="AM8" s="60" t="n"/>
      <c r="AN8" s="60" t="n"/>
      <c r="AO8" s="60">
        <f>AN8-AM8</f>
        <v/>
      </c>
      <c r="AP8" s="61">
        <f>IF(AM8=0,"",AN8/AM8)</f>
        <v/>
      </c>
      <c r="AQ8" s="27" t="n"/>
      <c r="AR8" s="62" t="n"/>
      <c r="AS8" s="62" t="n"/>
      <c r="AT8" s="62">
        <f>AS8-AR8</f>
        <v/>
      </c>
      <c r="AU8" s="64">
        <f>IF(AR8=0,"",AS8/AR8)</f>
        <v/>
      </c>
      <c r="AV8" s="31" t="n"/>
      <c r="AW8" s="60" t="n"/>
      <c r="AX8" s="60" t="n"/>
      <c r="AY8" s="60">
        <f>AX8-AW8</f>
        <v/>
      </c>
      <c r="AZ8" s="61">
        <f>IF(AW8=0,"",AX8/AW8)</f>
        <v/>
      </c>
      <c r="BA8" s="27" t="n"/>
      <c r="BB8" s="62" t="n"/>
      <c r="BC8" s="62" t="n"/>
      <c r="BD8" s="62">
        <f>BC8-BB8</f>
        <v/>
      </c>
      <c r="BE8" s="64">
        <f>IF(BB8=0,"",BC8/BB8)</f>
        <v/>
      </c>
      <c r="BF8" s="31" t="n"/>
      <c r="BG8" s="60" t="n"/>
      <c r="BH8" s="60" t="n"/>
      <c r="BI8" s="60">
        <f>BH8-BG8</f>
        <v/>
      </c>
      <c r="BJ8" s="61">
        <f>IF(BG8=0,"",BH8/BG8)</f>
        <v/>
      </c>
      <c r="BK8" s="27" t="n"/>
      <c r="BL8" s="62" t="n"/>
      <c r="BM8" s="62" t="n"/>
      <c r="BN8" s="62">
        <f>BM8-BL8</f>
        <v/>
      </c>
      <c r="BO8" s="64">
        <f>IF(BL8=0,"",BM8/BL8)</f>
        <v/>
      </c>
      <c r="BP8" s="31" t="n"/>
      <c r="BQ8" s="60" t="n"/>
      <c r="BR8" s="60" t="n"/>
      <c r="BS8" s="60">
        <f>BR8-BQ8</f>
        <v/>
      </c>
      <c r="BT8" s="61">
        <f>IF(BQ8=0,"",BR8/BQ8)</f>
        <v/>
      </c>
      <c r="BU8" s="27" t="n"/>
      <c r="BV8" s="62" t="n"/>
      <c r="BW8" s="62" t="n"/>
      <c r="BX8" s="62">
        <f>BW8-BV8</f>
        <v/>
      </c>
      <c r="BY8" s="64">
        <f>IF(BV8=0,"",BW8/BV8)</f>
        <v/>
      </c>
      <c r="BZ8" s="31" t="n"/>
      <c r="CA8" s="60" t="n"/>
      <c r="CB8" s="60" t="n"/>
      <c r="CC8" s="60">
        <f>CB8-CA8</f>
        <v/>
      </c>
      <c r="CD8" s="61">
        <f>IF(CA8=0,"",CB8/CA8)</f>
        <v/>
      </c>
      <c r="CE8" s="27" t="n"/>
      <c r="CF8" s="62" t="n"/>
      <c r="CG8" s="62" t="n"/>
      <c r="CH8" s="62">
        <f>CG8-CF8</f>
        <v/>
      </c>
      <c r="CI8" s="64">
        <f>IF(CF8=0,"",CG8/CF8)</f>
        <v/>
      </c>
      <c r="CJ8" s="31" t="n"/>
      <c r="CK8" s="60" t="n"/>
      <c r="CL8" s="60" t="n"/>
      <c r="CM8" s="60">
        <f>CL8-CK8</f>
        <v/>
      </c>
      <c r="CN8" s="61">
        <f>IF(CK8=0,"",CL8/CK8)</f>
        <v/>
      </c>
      <c r="CO8" s="27" t="n"/>
      <c r="CP8" s="62" t="n"/>
      <c r="CQ8" s="62" t="n"/>
      <c r="CR8" s="62">
        <f>CQ8-CP8</f>
        <v/>
      </c>
      <c r="CS8" s="64">
        <f>IF(CP8=0,"",CQ8/CP8)</f>
        <v/>
      </c>
      <c r="CT8" s="31" t="n"/>
      <c r="CU8" s="60" t="n"/>
      <c r="CV8" s="60" t="n"/>
      <c r="CW8" s="60">
        <f>CV8-CU8</f>
        <v/>
      </c>
      <c r="CX8" s="61">
        <f>IF(CU8=0,"",CV8/CU8)</f>
        <v/>
      </c>
      <c r="CY8" s="27" t="n"/>
      <c r="CZ8" s="62" t="n"/>
      <c r="DA8" s="62" t="n"/>
      <c r="DB8" s="62">
        <f>DA8-CZ8</f>
        <v/>
      </c>
      <c r="DC8" s="64">
        <f>IF(CZ8=0,"",DA8/CZ8)</f>
        <v/>
      </c>
      <c r="DD8" s="31" t="n"/>
      <c r="DE8" s="60" t="n"/>
      <c r="DF8" s="60" t="n"/>
      <c r="DG8" s="60">
        <f>DF8-DE8</f>
        <v/>
      </c>
      <c r="DH8" s="61">
        <f>IF(DE8=0,"",DF8/DE8)</f>
        <v/>
      </c>
      <c r="DI8" s="27" t="n"/>
      <c r="DJ8" s="62" t="n"/>
      <c r="DK8" s="62" t="n"/>
      <c r="DL8" s="62">
        <f>DK8-DJ8</f>
        <v/>
      </c>
      <c r="DM8" s="64">
        <f>IF(DJ8=0,"",DK8/DJ8)</f>
        <v/>
      </c>
      <c r="DN8" s="31" t="n"/>
      <c r="DO8" s="60" t="n"/>
    </row>
    <row r="9" outlineLevel="1" ht="15" customHeight="1">
      <c r="A9" s="24" t="n"/>
      <c r="B9" s="24" t="n"/>
      <c r="C9" s="24" t="n"/>
      <c r="D9" s="60" t="n"/>
      <c r="E9" s="60" t="n"/>
      <c r="F9" s="60">
        <f>E9-D9</f>
        <v/>
      </c>
      <c r="G9" s="61">
        <f>IF(D9=0,"",E9/D9)</f>
        <v/>
      </c>
      <c r="H9" s="27" t="n"/>
      <c r="I9" s="60" t="n"/>
      <c r="J9" s="60" t="n"/>
      <c r="K9" s="60">
        <f>J9-I9</f>
        <v/>
      </c>
      <c r="L9" s="61">
        <f>IF(I9=0,"",J9/I9)</f>
        <v/>
      </c>
      <c r="M9" s="27" t="n"/>
      <c r="N9" s="62" t="n"/>
      <c r="O9" s="62" t="n"/>
      <c r="P9" s="63">
        <f>O9-N9</f>
        <v/>
      </c>
      <c r="Q9" s="64">
        <f>IF(N9=0,"",O9/N9)</f>
        <v/>
      </c>
      <c r="R9" s="31" t="n"/>
      <c r="S9" s="60" t="n"/>
      <c r="T9" s="60" t="n"/>
      <c r="U9" s="60">
        <f>T9-S9</f>
        <v/>
      </c>
      <c r="V9" s="61">
        <f>IF(S9=0,"",T9/S9)</f>
        <v/>
      </c>
      <c r="W9" s="27" t="n"/>
      <c r="X9" s="62" t="n"/>
      <c r="Y9" s="62" t="n"/>
      <c r="Z9" s="63">
        <f>Y9-X9</f>
        <v/>
      </c>
      <c r="AA9" s="64">
        <f>IF(X9=0,"",Y9/X9)</f>
        <v/>
      </c>
      <c r="AB9" s="31" t="n"/>
      <c r="AC9" s="60" t="n"/>
      <c r="AD9" s="60" t="n"/>
      <c r="AE9" s="60">
        <f>AD9-AC9</f>
        <v/>
      </c>
      <c r="AF9" s="61">
        <f>IF(AC9=0,"",AD9/AC9)</f>
        <v/>
      </c>
      <c r="AG9" s="27" t="n"/>
      <c r="AH9" s="62" t="n"/>
      <c r="AI9" s="62" t="n"/>
      <c r="AJ9" s="62">
        <f>AI9-AH9</f>
        <v/>
      </c>
      <c r="AK9" s="64">
        <f>IF(AH9=0,"",AI9/AH9)</f>
        <v/>
      </c>
      <c r="AL9" s="31" t="n"/>
      <c r="AM9" s="60" t="n"/>
      <c r="AN9" s="60" t="n"/>
      <c r="AO9" s="60">
        <f>AN9-AM9</f>
        <v/>
      </c>
      <c r="AP9" s="61">
        <f>IF(AM9=0,"",AN9/AM9)</f>
        <v/>
      </c>
      <c r="AQ9" s="27" t="n"/>
      <c r="AR9" s="62" t="n"/>
      <c r="AS9" s="62" t="n"/>
      <c r="AT9" s="62">
        <f>AS9-AR9</f>
        <v/>
      </c>
      <c r="AU9" s="64">
        <f>IF(AR9=0,"",AS9/AR9)</f>
        <v/>
      </c>
      <c r="AV9" s="31" t="n"/>
      <c r="AW9" s="60" t="n"/>
      <c r="AX9" s="60" t="n"/>
      <c r="AY9" s="60">
        <f>AX9-AW9</f>
        <v/>
      </c>
      <c r="AZ9" s="61">
        <f>IF(AW9=0,"",AX9/AW9)</f>
        <v/>
      </c>
      <c r="BA9" s="27" t="n"/>
      <c r="BB9" s="62" t="n"/>
      <c r="BC9" s="62" t="n"/>
      <c r="BD9" s="62">
        <f>BC9-BB9</f>
        <v/>
      </c>
      <c r="BE9" s="64">
        <f>IF(BB9=0,"",BC9/BB9)</f>
        <v/>
      </c>
      <c r="BF9" s="31" t="n"/>
      <c r="BG9" s="60" t="n"/>
      <c r="BH9" s="60" t="n"/>
      <c r="BI9" s="60">
        <f>BH9-BG9</f>
        <v/>
      </c>
      <c r="BJ9" s="61">
        <f>IF(BG9=0,"",BH9/BG9)</f>
        <v/>
      </c>
      <c r="BK9" s="27" t="n"/>
      <c r="BL9" s="62" t="n"/>
      <c r="BM9" s="62" t="n"/>
      <c r="BN9" s="62">
        <f>BM9-BL9</f>
        <v/>
      </c>
      <c r="BO9" s="64">
        <f>IF(BL9=0,"",BM9/BL9)</f>
        <v/>
      </c>
      <c r="BP9" s="31" t="n"/>
      <c r="BQ9" s="60" t="n"/>
      <c r="BR9" s="60" t="n"/>
      <c r="BS9" s="60">
        <f>BR9-BQ9</f>
        <v/>
      </c>
      <c r="BT9" s="61">
        <f>IF(BQ9=0,"",BR9/BQ9)</f>
        <v/>
      </c>
      <c r="BU9" s="27" t="n"/>
      <c r="BV9" s="62" t="n"/>
      <c r="BW9" s="62" t="n"/>
      <c r="BX9" s="62">
        <f>BW9-BV9</f>
        <v/>
      </c>
      <c r="BY9" s="64">
        <f>IF(BV9=0,"",BW9/BV9)</f>
        <v/>
      </c>
      <c r="BZ9" s="31" t="n"/>
      <c r="CA9" s="60" t="n"/>
      <c r="CB9" s="60" t="n"/>
      <c r="CC9" s="60">
        <f>CB9-CA9</f>
        <v/>
      </c>
      <c r="CD9" s="61">
        <f>IF(CA9=0,"",CB9/CA9)</f>
        <v/>
      </c>
      <c r="CE9" s="27" t="n"/>
      <c r="CF9" s="62" t="n"/>
      <c r="CG9" s="62" t="n"/>
      <c r="CH9" s="62">
        <f>CG9-CF9</f>
        <v/>
      </c>
      <c r="CI9" s="64">
        <f>IF(CF9=0,"",CG9/CF9)</f>
        <v/>
      </c>
      <c r="CJ9" s="31" t="n"/>
      <c r="CK9" s="60" t="n"/>
      <c r="CL9" s="60" t="n"/>
      <c r="CM9" s="60">
        <f>CL9-CK9</f>
        <v/>
      </c>
      <c r="CN9" s="61">
        <f>IF(CK9=0,"",CL9/CK9)</f>
        <v/>
      </c>
      <c r="CO9" s="27" t="n"/>
      <c r="CP9" s="62" t="n"/>
      <c r="CQ9" s="62" t="n"/>
      <c r="CR9" s="62">
        <f>CQ9-CP9</f>
        <v/>
      </c>
      <c r="CS9" s="64">
        <f>IF(CP9=0,"",CQ9/CP9)</f>
        <v/>
      </c>
      <c r="CT9" s="31" t="n"/>
      <c r="CU9" s="60" t="n"/>
      <c r="CV9" s="60" t="n"/>
      <c r="CW9" s="60">
        <f>CV9-CU9</f>
        <v/>
      </c>
      <c r="CX9" s="61">
        <f>IF(CU9=0,"",CV9/CU9)</f>
        <v/>
      </c>
      <c r="CY9" s="27" t="n"/>
      <c r="CZ9" s="62" t="n"/>
      <c r="DA9" s="62" t="n"/>
      <c r="DB9" s="62">
        <f>DA9-CZ9</f>
        <v/>
      </c>
      <c r="DC9" s="64">
        <f>IF(CZ9=0,"",DA9/CZ9)</f>
        <v/>
      </c>
      <c r="DD9" s="31" t="n"/>
      <c r="DE9" s="60" t="n"/>
      <c r="DF9" s="60" t="n"/>
      <c r="DG9" s="60">
        <f>DF9-DE9</f>
        <v/>
      </c>
      <c r="DH9" s="61">
        <f>IF(DE9=0,"",DF9/DE9)</f>
        <v/>
      </c>
      <c r="DI9" s="27" t="n"/>
      <c r="DJ9" s="62" t="n"/>
      <c r="DK9" s="62" t="n"/>
      <c r="DL9" s="62">
        <f>DK9-DJ9</f>
        <v/>
      </c>
      <c r="DM9" s="64">
        <f>IF(DJ9=0,"",DK9/DJ9)</f>
        <v/>
      </c>
      <c r="DN9" s="31" t="n"/>
      <c r="DO9" s="60" t="n"/>
    </row>
    <row r="10" ht="15" customHeight="1">
      <c r="A10" s="19" t="n"/>
      <c r="B10" s="20" t="n"/>
      <c r="C10" s="19" t="n"/>
      <c r="D10" s="58">
        <f>D11</f>
        <v/>
      </c>
      <c r="E10" s="58">
        <f>E11</f>
        <v/>
      </c>
      <c r="F10" s="58">
        <f>E10-D10</f>
        <v/>
      </c>
      <c r="G10" s="59">
        <f>IF(D10=0,"",E10/D10)</f>
        <v/>
      </c>
      <c r="H10" s="23" t="n"/>
      <c r="I10" s="58">
        <f>I11</f>
        <v/>
      </c>
      <c r="J10" s="58">
        <f>J11</f>
        <v/>
      </c>
      <c r="K10" s="58">
        <f>J10-I10</f>
        <v/>
      </c>
      <c r="L10" s="59">
        <f>IF(I10=0,"",J10/I10)</f>
        <v/>
      </c>
      <c r="M10" s="23" t="n"/>
      <c r="N10" s="58">
        <f>N11</f>
        <v/>
      </c>
      <c r="O10" s="58">
        <f>O11</f>
        <v/>
      </c>
      <c r="P10" s="58">
        <f>O10-N10</f>
        <v/>
      </c>
      <c r="Q10" s="59">
        <f>IF(N10=0,"",O10/N10)</f>
        <v/>
      </c>
      <c r="R10" s="23" t="n"/>
      <c r="S10" s="58">
        <f>S11</f>
        <v/>
      </c>
      <c r="T10" s="58">
        <f>T11</f>
        <v/>
      </c>
      <c r="U10" s="58">
        <f>T10-S10</f>
        <v/>
      </c>
      <c r="V10" s="59">
        <f>IF(S10=0,"",T10/S10)</f>
        <v/>
      </c>
      <c r="W10" s="23" t="n"/>
      <c r="X10" s="58">
        <f>X11</f>
        <v/>
      </c>
      <c r="Y10" s="58">
        <f>Y11</f>
        <v/>
      </c>
      <c r="Z10" s="58">
        <f>Y10-X10</f>
        <v/>
      </c>
      <c r="AA10" s="59">
        <f>IF(X10=0,"",Y10/X10)</f>
        <v/>
      </c>
      <c r="AB10" s="23" t="n"/>
      <c r="AC10" s="58">
        <f>AC11</f>
        <v/>
      </c>
      <c r="AD10" s="58">
        <f>AD11</f>
        <v/>
      </c>
      <c r="AE10" s="58">
        <f>AD10-AC10</f>
        <v/>
      </c>
      <c r="AF10" s="59">
        <f>IF(AC10=0,"",AD10/AC10)</f>
        <v/>
      </c>
      <c r="AG10" s="23" t="n"/>
      <c r="AH10" s="58">
        <f>AH11</f>
        <v/>
      </c>
      <c r="AI10" s="58">
        <f>AI11</f>
        <v/>
      </c>
      <c r="AJ10" s="58">
        <f>AI10-AH10</f>
        <v/>
      </c>
      <c r="AK10" s="59">
        <f>IF(AH10=0,"",AI10/AH10)</f>
        <v/>
      </c>
      <c r="AL10" s="23" t="n"/>
      <c r="AM10" s="58">
        <f>AM11</f>
        <v/>
      </c>
      <c r="AN10" s="58">
        <f>AN11</f>
        <v/>
      </c>
      <c r="AO10" s="58">
        <f>AN10-AM10</f>
        <v/>
      </c>
      <c r="AP10" s="59">
        <f>IF(AM10=0,"",AN10/AM10)</f>
        <v/>
      </c>
      <c r="AQ10" s="23" t="n"/>
      <c r="AR10" s="58">
        <f>AR11</f>
        <v/>
      </c>
      <c r="AS10" s="58">
        <f>AS11</f>
        <v/>
      </c>
      <c r="AT10" s="58">
        <f>AS10-AR10</f>
        <v/>
      </c>
      <c r="AU10" s="59">
        <f>IF(AR10=0,"",AS10/AR10)</f>
        <v/>
      </c>
      <c r="AV10" s="23" t="n"/>
      <c r="AW10" s="58">
        <f>AW11</f>
        <v/>
      </c>
      <c r="AX10" s="58">
        <f>AX11</f>
        <v/>
      </c>
      <c r="AY10" s="58">
        <f>AX10-AW10</f>
        <v/>
      </c>
      <c r="AZ10" s="59">
        <f>IF(AW10=0,"",AX10/AW10)</f>
        <v/>
      </c>
      <c r="BA10" s="23" t="n"/>
      <c r="BB10" s="58">
        <f>BB11</f>
        <v/>
      </c>
      <c r="BC10" s="58">
        <f>BC11</f>
        <v/>
      </c>
      <c r="BD10" s="58">
        <f>BC10-BB10</f>
        <v/>
      </c>
      <c r="BE10" s="59">
        <f>IF(BB10=0,"",BC10/BB10)</f>
        <v/>
      </c>
      <c r="BF10" s="23" t="n"/>
      <c r="BG10" s="58">
        <f>BG11</f>
        <v/>
      </c>
      <c r="BH10" s="58">
        <f>BH11</f>
        <v/>
      </c>
      <c r="BI10" s="58">
        <f>BH10-BG10</f>
        <v/>
      </c>
      <c r="BJ10" s="59">
        <f>IF(BG10=0,"",BH10/BG10)</f>
        <v/>
      </c>
      <c r="BK10" s="23" t="n"/>
      <c r="BL10" s="58">
        <f>BL11</f>
        <v/>
      </c>
      <c r="BM10" s="58">
        <f>BM11</f>
        <v/>
      </c>
      <c r="BN10" s="58">
        <f>BM10-BL10</f>
        <v/>
      </c>
      <c r="BO10" s="59">
        <f>IF(BL10=0,"",BM10/BL10)</f>
        <v/>
      </c>
      <c r="BP10" s="23" t="n"/>
      <c r="BQ10" s="58">
        <f>BQ11</f>
        <v/>
      </c>
      <c r="BR10" s="58">
        <f>BR11</f>
        <v/>
      </c>
      <c r="BS10" s="58">
        <f>BR10-BQ10</f>
        <v/>
      </c>
      <c r="BT10" s="59">
        <f>IF(BQ10=0,"",BR10/BQ10)</f>
        <v/>
      </c>
      <c r="BU10" s="23" t="n"/>
      <c r="BV10" s="58">
        <f>BV11</f>
        <v/>
      </c>
      <c r="BW10" s="58">
        <f>BW11</f>
        <v/>
      </c>
      <c r="BX10" s="58">
        <f>BW10-BV10</f>
        <v/>
      </c>
      <c r="BY10" s="59">
        <f>IF(BV10=0,"",BW10/BV10)</f>
        <v/>
      </c>
      <c r="BZ10" s="23" t="n"/>
      <c r="CA10" s="58">
        <f>CA11</f>
        <v/>
      </c>
      <c r="CB10" s="58">
        <f>CB11</f>
        <v/>
      </c>
      <c r="CC10" s="58">
        <f>CB10-CA10</f>
        <v/>
      </c>
      <c r="CD10" s="59">
        <f>IF(CA10=0,"",CB10/CA10)</f>
        <v/>
      </c>
      <c r="CE10" s="23" t="n"/>
      <c r="CF10" s="58">
        <f>CF11</f>
        <v/>
      </c>
      <c r="CG10" s="58">
        <f>CG11</f>
        <v/>
      </c>
      <c r="CH10" s="58">
        <f>CG10-CF10</f>
        <v/>
      </c>
      <c r="CI10" s="59">
        <f>IF(CF10=0,"",CG10/CF10)</f>
        <v/>
      </c>
      <c r="CJ10" s="23" t="n"/>
      <c r="CK10" s="58">
        <f>CK11</f>
        <v/>
      </c>
      <c r="CL10" s="58">
        <f>CL11</f>
        <v/>
      </c>
      <c r="CM10" s="58">
        <f>CL10-CK10</f>
        <v/>
      </c>
      <c r="CN10" s="59">
        <f>IF(CK10=0,"",CL10/CK10)</f>
        <v/>
      </c>
      <c r="CO10" s="23" t="n"/>
      <c r="CP10" s="58">
        <f>CP11</f>
        <v/>
      </c>
      <c r="CQ10" s="58">
        <f>CQ11</f>
        <v/>
      </c>
      <c r="CR10" s="58">
        <f>CQ10-CP10</f>
        <v/>
      </c>
      <c r="CS10" s="59">
        <f>IF(CP10=0,"",CQ10/CP10)</f>
        <v/>
      </c>
      <c r="CT10" s="23" t="n"/>
      <c r="CU10" s="58">
        <f>CU11</f>
        <v/>
      </c>
      <c r="CV10" s="58">
        <f>CV11</f>
        <v/>
      </c>
      <c r="CW10" s="58">
        <f>CV10-CU10</f>
        <v/>
      </c>
      <c r="CX10" s="59">
        <f>IF(CU10=0,"",CV10/CU10)</f>
        <v/>
      </c>
      <c r="CY10" s="23" t="n"/>
      <c r="CZ10" s="58">
        <f>CZ11</f>
        <v/>
      </c>
      <c r="DA10" s="58">
        <f>DA11</f>
        <v/>
      </c>
      <c r="DB10" s="58">
        <f>DA10-CZ10</f>
        <v/>
      </c>
      <c r="DC10" s="59">
        <f>IF(CZ10=0,"",DA10/CZ10)</f>
        <v/>
      </c>
      <c r="DD10" s="23" t="n"/>
      <c r="DE10" s="58">
        <f>DE11</f>
        <v/>
      </c>
      <c r="DF10" s="58">
        <f>DF11</f>
        <v/>
      </c>
      <c r="DG10" s="58">
        <f>DF10-DE10</f>
        <v/>
      </c>
      <c r="DH10" s="59">
        <f>IF(DE10=0,"",DF10/DE10)</f>
        <v/>
      </c>
      <c r="DI10" s="23" t="n"/>
      <c r="DJ10" s="58">
        <f>DJ11</f>
        <v/>
      </c>
      <c r="DK10" s="58">
        <f>DK11</f>
        <v/>
      </c>
      <c r="DL10" s="58">
        <f>DK10-DJ10</f>
        <v/>
      </c>
      <c r="DM10" s="59">
        <f>IF(DJ10=0,"",DK10/DJ10)</f>
        <v/>
      </c>
      <c r="DN10" s="23" t="n"/>
      <c r="DO10" s="58">
        <f>DO11</f>
        <v/>
      </c>
    </row>
    <row r="11" outlineLevel="1" ht="15" customHeight="1">
      <c r="A11" s="24" t="n"/>
      <c r="B11" s="24" t="n"/>
      <c r="C11" s="24" t="n"/>
      <c r="D11" s="60" t="n"/>
      <c r="E11" s="60" t="n"/>
      <c r="F11" s="60">
        <f>E11-D11</f>
        <v/>
      </c>
      <c r="G11" s="61">
        <f>IF(D11=0,"",E11/D11)</f>
        <v/>
      </c>
      <c r="H11" s="27" t="n"/>
      <c r="I11" s="60" t="n"/>
      <c r="J11" s="60" t="n"/>
      <c r="K11" s="60">
        <f>J11-I11</f>
        <v/>
      </c>
      <c r="L11" s="61">
        <f>IF(I11=0,"",J11/I11)</f>
        <v/>
      </c>
      <c r="M11" s="27" t="n"/>
      <c r="N11" s="62" t="n"/>
      <c r="O11" s="62" t="n"/>
      <c r="P11" s="63">
        <f>O11-N11</f>
        <v/>
      </c>
      <c r="Q11" s="64">
        <f>IF(N11=0,"",O11/N11)</f>
        <v/>
      </c>
      <c r="R11" s="31" t="n"/>
      <c r="S11" s="60" t="n"/>
      <c r="T11" s="60" t="n"/>
      <c r="U11" s="60">
        <f>T11-S11</f>
        <v/>
      </c>
      <c r="V11" s="61">
        <f>IF(S11=0,"",T11/S11)</f>
        <v/>
      </c>
      <c r="W11" s="27" t="n"/>
      <c r="X11" s="62" t="n"/>
      <c r="Y11" s="62" t="n"/>
      <c r="Z11" s="63">
        <f>Y11-X11</f>
        <v/>
      </c>
      <c r="AA11" s="64">
        <f>IF(X11=0,"",Y11/X11)</f>
        <v/>
      </c>
      <c r="AB11" s="31" t="n"/>
      <c r="AC11" s="60" t="n"/>
      <c r="AD11" s="60" t="n"/>
      <c r="AE11" s="60">
        <f>AD11-AC11</f>
        <v/>
      </c>
      <c r="AF11" s="61">
        <f>IF(AC11=0,"",AD11/AC11)</f>
        <v/>
      </c>
      <c r="AG11" s="27" t="n"/>
      <c r="AH11" s="62" t="n"/>
      <c r="AI11" s="62" t="n"/>
      <c r="AJ11" s="62">
        <f>AI11-AH11</f>
        <v/>
      </c>
      <c r="AK11" s="64">
        <f>IF(AH11=0,"",AI11/AH11)</f>
        <v/>
      </c>
      <c r="AL11" s="31" t="n"/>
      <c r="AM11" s="60" t="n"/>
      <c r="AN11" s="60" t="n"/>
      <c r="AO11" s="60">
        <f>AN11-AM11</f>
        <v/>
      </c>
      <c r="AP11" s="61">
        <f>IF(AM11=0,"",AN11/AM11)</f>
        <v/>
      </c>
      <c r="AQ11" s="27" t="n"/>
      <c r="AR11" s="62" t="n"/>
      <c r="AS11" s="62" t="n"/>
      <c r="AT11" s="62">
        <f>AS11-AR11</f>
        <v/>
      </c>
      <c r="AU11" s="64">
        <f>IF(AR11=0,"",AS11/AR11)</f>
        <v/>
      </c>
      <c r="AV11" s="31" t="n"/>
      <c r="AW11" s="60" t="n"/>
      <c r="AX11" s="60" t="n"/>
      <c r="AY11" s="60">
        <f>AX11-AW11</f>
        <v/>
      </c>
      <c r="AZ11" s="61">
        <f>IF(AW11=0,"",AX11/AW11)</f>
        <v/>
      </c>
      <c r="BA11" s="27" t="n"/>
      <c r="BB11" s="62" t="n"/>
      <c r="BC11" s="62" t="n"/>
      <c r="BD11" s="62">
        <f>BC11-BB11</f>
        <v/>
      </c>
      <c r="BE11" s="64">
        <f>IF(BB11=0,"",BC11/BB11)</f>
        <v/>
      </c>
      <c r="BF11" s="31" t="n"/>
      <c r="BG11" s="60" t="n"/>
      <c r="BH11" s="60" t="n"/>
      <c r="BI11" s="60">
        <f>BH11-BG11</f>
        <v/>
      </c>
      <c r="BJ11" s="61">
        <f>IF(BG11=0,"",BH11/BG11)</f>
        <v/>
      </c>
      <c r="BK11" s="27" t="n"/>
      <c r="BL11" s="62" t="n"/>
      <c r="BM11" s="62" t="n"/>
      <c r="BN11" s="62">
        <f>BM11-BL11</f>
        <v/>
      </c>
      <c r="BO11" s="64">
        <f>IF(BL11=0,"",BM11/BL11)</f>
        <v/>
      </c>
      <c r="BP11" s="31" t="n"/>
      <c r="BQ11" s="60" t="n"/>
      <c r="BR11" s="60" t="n"/>
      <c r="BS11" s="60">
        <f>BR11-BQ11</f>
        <v/>
      </c>
      <c r="BT11" s="61">
        <f>IF(BQ11=0,"",BR11/BQ11)</f>
        <v/>
      </c>
      <c r="BU11" s="27" t="n"/>
      <c r="BV11" s="62" t="n"/>
      <c r="BW11" s="62" t="n"/>
      <c r="BX11" s="62">
        <f>BW11-BV11</f>
        <v/>
      </c>
      <c r="BY11" s="64">
        <f>IF(BV11=0,"",BW11/BV11)</f>
        <v/>
      </c>
      <c r="BZ11" s="31" t="n"/>
      <c r="CA11" s="60" t="n"/>
      <c r="CB11" s="60" t="n"/>
      <c r="CC11" s="60">
        <f>CB11-CA11</f>
        <v/>
      </c>
      <c r="CD11" s="61">
        <f>IF(CA11=0,"",CB11/CA11)</f>
        <v/>
      </c>
      <c r="CE11" s="27" t="n"/>
      <c r="CF11" s="62" t="n"/>
      <c r="CG11" s="62" t="n"/>
      <c r="CH11" s="62">
        <f>CG11-CF11</f>
        <v/>
      </c>
      <c r="CI11" s="64">
        <f>IF(CF11=0,"",CG11/CF11)</f>
        <v/>
      </c>
      <c r="CJ11" s="31" t="n"/>
      <c r="CK11" s="60" t="n"/>
      <c r="CL11" s="60" t="n"/>
      <c r="CM11" s="60">
        <f>CL11-CK11</f>
        <v/>
      </c>
      <c r="CN11" s="61">
        <f>IF(CK11=0,"",CL11/CK11)</f>
        <v/>
      </c>
      <c r="CO11" s="27" t="n"/>
      <c r="CP11" s="62" t="n"/>
      <c r="CQ11" s="62" t="n"/>
      <c r="CR11" s="62">
        <f>CQ11-CP11</f>
        <v/>
      </c>
      <c r="CS11" s="64">
        <f>IF(CP11=0,"",CQ11/CP11)</f>
        <v/>
      </c>
      <c r="CT11" s="31" t="n"/>
      <c r="CU11" s="60" t="n"/>
      <c r="CV11" s="60" t="n"/>
      <c r="CW11" s="60">
        <f>CV11-CU11</f>
        <v/>
      </c>
      <c r="CX11" s="61">
        <f>IF(CU11=0,"",CV11/CU11)</f>
        <v/>
      </c>
      <c r="CY11" s="27" t="n"/>
      <c r="CZ11" s="62" t="n"/>
      <c r="DA11" s="62" t="n"/>
      <c r="DB11" s="62">
        <f>DA11-CZ11</f>
        <v/>
      </c>
      <c r="DC11" s="64">
        <f>IF(CZ11=0,"",DA11/CZ11)</f>
        <v/>
      </c>
      <c r="DD11" s="31" t="n"/>
      <c r="DE11" s="60" t="n"/>
      <c r="DF11" s="60" t="n"/>
      <c r="DG11" s="60">
        <f>DF11-DE11</f>
        <v/>
      </c>
      <c r="DH11" s="61">
        <f>IF(DE11=0,"",DF11/DE11)</f>
        <v/>
      </c>
      <c r="DI11" s="27" t="n"/>
      <c r="DJ11" s="62" t="n"/>
      <c r="DK11" s="62" t="n"/>
      <c r="DL11" s="62">
        <f>DK11-DJ11</f>
        <v/>
      </c>
      <c r="DM11" s="64">
        <f>IF(DJ11=0,"",DK11/DJ11)</f>
        <v/>
      </c>
      <c r="DN11" s="31" t="n"/>
      <c r="DO11" s="60" t="n"/>
    </row>
    <row r="12" ht="15" customHeight="1">
      <c r="A12" s="19" t="n"/>
      <c r="B12" s="20" t="n"/>
      <c r="C12" s="19" t="n"/>
      <c r="D12" s="58">
        <f>D13+D14+D15+D16</f>
        <v/>
      </c>
      <c r="E12" s="58">
        <f>E13+E14+E15+E16</f>
        <v/>
      </c>
      <c r="F12" s="58">
        <f>E12-D12</f>
        <v/>
      </c>
      <c r="G12" s="59">
        <f>IF(D12=0,"",E12/D12)</f>
        <v/>
      </c>
      <c r="H12" s="23" t="n"/>
      <c r="I12" s="58">
        <f>I13+I14+I15+I16</f>
        <v/>
      </c>
      <c r="J12" s="58">
        <f>J13+J14+J15+J16</f>
        <v/>
      </c>
      <c r="K12" s="58">
        <f>J12-I12</f>
        <v/>
      </c>
      <c r="L12" s="59">
        <f>IF(I12=0,"",J12/I12)</f>
        <v/>
      </c>
      <c r="M12" s="23" t="n"/>
      <c r="N12" s="58">
        <f>N13+N14+N15+N16</f>
        <v/>
      </c>
      <c r="O12" s="58">
        <f>O13+O14+O15+O16</f>
        <v/>
      </c>
      <c r="P12" s="58">
        <f>O12-N12</f>
        <v/>
      </c>
      <c r="Q12" s="59">
        <f>IF(N12=0,"",O12/N12)</f>
        <v/>
      </c>
      <c r="R12" s="23" t="n"/>
      <c r="S12" s="58">
        <f>S13+S14+S15+S16</f>
        <v/>
      </c>
      <c r="T12" s="58">
        <f>T13+T14+T15+T16</f>
        <v/>
      </c>
      <c r="U12" s="58">
        <f>T12-S12</f>
        <v/>
      </c>
      <c r="V12" s="59">
        <f>IF(S12=0,"",T12/S12)</f>
        <v/>
      </c>
      <c r="W12" s="23" t="n"/>
      <c r="X12" s="58">
        <f>X13+X14+X15+X16</f>
        <v/>
      </c>
      <c r="Y12" s="58">
        <f>Y13+Y14+Y15+Y16</f>
        <v/>
      </c>
      <c r="Z12" s="58">
        <f>Y12-X12</f>
        <v/>
      </c>
      <c r="AA12" s="59">
        <f>IF(X12=0,"",Y12/X12)</f>
        <v/>
      </c>
      <c r="AB12" s="23" t="n"/>
      <c r="AC12" s="58">
        <f>AC13+AC14+AC15+AC16</f>
        <v/>
      </c>
      <c r="AD12" s="58">
        <f>AD13+AD14+AD15+AD16</f>
        <v/>
      </c>
      <c r="AE12" s="58">
        <f>AD12-AC12</f>
        <v/>
      </c>
      <c r="AF12" s="59">
        <f>IF(AC12=0,"",AD12/AC12)</f>
        <v/>
      </c>
      <c r="AG12" s="23" t="n"/>
      <c r="AH12" s="58">
        <f>AH13+AH14+AH15+AH16</f>
        <v/>
      </c>
      <c r="AI12" s="58">
        <f>AI13+AI14+AI15+AI16</f>
        <v/>
      </c>
      <c r="AJ12" s="58">
        <f>AI12-AH12</f>
        <v/>
      </c>
      <c r="AK12" s="59">
        <f>IF(AH12=0,"",AI12/AH12)</f>
        <v/>
      </c>
      <c r="AL12" s="23" t="n"/>
      <c r="AM12" s="58">
        <f>AM13+AM14+AM15+AM16</f>
        <v/>
      </c>
      <c r="AN12" s="58">
        <f>AN13+AN14+AN15+AN16</f>
        <v/>
      </c>
      <c r="AO12" s="58">
        <f>AN12-AM12</f>
        <v/>
      </c>
      <c r="AP12" s="59">
        <f>IF(AM12=0,"",AN12/AM12)</f>
        <v/>
      </c>
      <c r="AQ12" s="23" t="n"/>
      <c r="AR12" s="58">
        <f>AR13+AR14+AR15+AR16</f>
        <v/>
      </c>
      <c r="AS12" s="58">
        <f>AS13+AS14+AS15+AS16</f>
        <v/>
      </c>
      <c r="AT12" s="58">
        <f>AS12-AR12</f>
        <v/>
      </c>
      <c r="AU12" s="59">
        <f>IF(AR12=0,"",AS12/AR12)</f>
        <v/>
      </c>
      <c r="AV12" s="23" t="n"/>
      <c r="AW12" s="58">
        <f>AW13+AW14+AW15+AW16</f>
        <v/>
      </c>
      <c r="AX12" s="58">
        <f>AX13+AX14+AX15+AX16</f>
        <v/>
      </c>
      <c r="AY12" s="58">
        <f>AX12-AW12</f>
        <v/>
      </c>
      <c r="AZ12" s="59">
        <f>IF(AW12=0,"",AX12/AW12)</f>
        <v/>
      </c>
      <c r="BA12" s="23" t="n"/>
      <c r="BB12" s="58">
        <f>BB13+BB14+BB15+BB16</f>
        <v/>
      </c>
      <c r="BC12" s="58">
        <f>BC13+BC14+BC15+BC16</f>
        <v/>
      </c>
      <c r="BD12" s="58">
        <f>BC12-BB12</f>
        <v/>
      </c>
      <c r="BE12" s="59">
        <f>IF(BB12=0,"",BC12/BB12)</f>
        <v/>
      </c>
      <c r="BF12" s="23" t="n"/>
      <c r="BG12" s="58">
        <f>BG13+BG14+BG15+BG16</f>
        <v/>
      </c>
      <c r="BH12" s="58">
        <f>BH13+BH14+BH15+BH16</f>
        <v/>
      </c>
      <c r="BI12" s="58">
        <f>BH12-BG12</f>
        <v/>
      </c>
      <c r="BJ12" s="59">
        <f>IF(BG12=0,"",BH12/BG12)</f>
        <v/>
      </c>
      <c r="BK12" s="23" t="n"/>
      <c r="BL12" s="58">
        <f>BL13+BL14+BL15+BL16</f>
        <v/>
      </c>
      <c r="BM12" s="58">
        <f>BM13+BM14+BM15+BM16</f>
        <v/>
      </c>
      <c r="BN12" s="58">
        <f>BM12-BL12</f>
        <v/>
      </c>
      <c r="BO12" s="59">
        <f>IF(BL12=0,"",BM12/BL12)</f>
        <v/>
      </c>
      <c r="BP12" s="23" t="n"/>
      <c r="BQ12" s="58">
        <f>BQ13+BQ14+BQ15+BQ16</f>
        <v/>
      </c>
      <c r="BR12" s="58">
        <f>BR13+BR14+BR15+BR16</f>
        <v/>
      </c>
      <c r="BS12" s="58">
        <f>BR12-BQ12</f>
        <v/>
      </c>
      <c r="BT12" s="59">
        <f>IF(BQ12=0,"",BR12/BQ12)</f>
        <v/>
      </c>
      <c r="BU12" s="23" t="n"/>
      <c r="BV12" s="58">
        <f>BV13+BV14+BV15+BV16</f>
        <v/>
      </c>
      <c r="BW12" s="58">
        <f>BW13+BW14+BW15+BW16</f>
        <v/>
      </c>
      <c r="BX12" s="58">
        <f>BW12-BV12</f>
        <v/>
      </c>
      <c r="BY12" s="59">
        <f>IF(BV12=0,"",BW12/BV12)</f>
        <v/>
      </c>
      <c r="BZ12" s="23" t="n"/>
      <c r="CA12" s="58">
        <f>CA13+CA14+CA15+CA16</f>
        <v/>
      </c>
      <c r="CB12" s="58">
        <f>CB13+CB14+CB15+CB16</f>
        <v/>
      </c>
      <c r="CC12" s="58">
        <f>CB12-CA12</f>
        <v/>
      </c>
      <c r="CD12" s="59">
        <f>IF(CA12=0,"",CB12/CA12)</f>
        <v/>
      </c>
      <c r="CE12" s="23" t="n"/>
      <c r="CF12" s="58">
        <f>CF13+CF14+CF15+CF16</f>
        <v/>
      </c>
      <c r="CG12" s="58">
        <f>CG13+CG14+CG15+CG16</f>
        <v/>
      </c>
      <c r="CH12" s="58">
        <f>CG12-CF12</f>
        <v/>
      </c>
      <c r="CI12" s="59">
        <f>IF(CF12=0,"",CG12/CF12)</f>
        <v/>
      </c>
      <c r="CJ12" s="23" t="n"/>
      <c r="CK12" s="58">
        <f>CK13+CK14+CK15+CK16</f>
        <v/>
      </c>
      <c r="CL12" s="58">
        <f>CL13+CL14+CL15+CL16</f>
        <v/>
      </c>
      <c r="CM12" s="58">
        <f>CL12-CK12</f>
        <v/>
      </c>
      <c r="CN12" s="59">
        <f>IF(CK12=0,"",CL12/CK12)</f>
        <v/>
      </c>
      <c r="CO12" s="23" t="n"/>
      <c r="CP12" s="58">
        <f>CP13+CP14+CP15+CP16</f>
        <v/>
      </c>
      <c r="CQ12" s="58">
        <f>CQ13+CQ14+CQ15+CQ16</f>
        <v/>
      </c>
      <c r="CR12" s="58">
        <f>CQ12-CP12</f>
        <v/>
      </c>
      <c r="CS12" s="59">
        <f>IF(CP12=0,"",CQ12/CP12)</f>
        <v/>
      </c>
      <c r="CT12" s="23" t="n"/>
      <c r="CU12" s="58">
        <f>CU13+CU14+CU15+CU16</f>
        <v/>
      </c>
      <c r="CV12" s="58">
        <f>CV13+CV14+CV15+CV16</f>
        <v/>
      </c>
      <c r="CW12" s="58">
        <f>CV12-CU12</f>
        <v/>
      </c>
      <c r="CX12" s="59">
        <f>IF(CU12=0,"",CV12/CU12)</f>
        <v/>
      </c>
      <c r="CY12" s="23" t="n"/>
      <c r="CZ12" s="58">
        <f>CZ13+CZ14+CZ15+CZ16</f>
        <v/>
      </c>
      <c r="DA12" s="58">
        <f>DA13+DA14+DA15+DA16</f>
        <v/>
      </c>
      <c r="DB12" s="58">
        <f>DA12-CZ12</f>
        <v/>
      </c>
      <c r="DC12" s="59">
        <f>IF(CZ12=0,"",DA12/CZ12)</f>
        <v/>
      </c>
      <c r="DD12" s="23" t="n"/>
      <c r="DE12" s="58">
        <f>DE13+DE14+DE15+DE16</f>
        <v/>
      </c>
      <c r="DF12" s="58">
        <f>DF13+DF14+DF15+DF16</f>
        <v/>
      </c>
      <c r="DG12" s="58">
        <f>DF12-DE12</f>
        <v/>
      </c>
      <c r="DH12" s="59">
        <f>IF(DE12=0,"",DF12/DE12)</f>
        <v/>
      </c>
      <c r="DI12" s="23" t="n"/>
      <c r="DJ12" s="58">
        <f>DJ13+DJ14+DJ15+DJ16</f>
        <v/>
      </c>
      <c r="DK12" s="58">
        <f>DK13+DK14+DK15+DK16</f>
        <v/>
      </c>
      <c r="DL12" s="58">
        <f>DK12-DJ12</f>
        <v/>
      </c>
      <c r="DM12" s="59">
        <f>IF(DJ12=0,"",DK12/DJ12)</f>
        <v/>
      </c>
      <c r="DN12" s="23" t="n"/>
      <c r="DO12" s="58">
        <f>DO13+DO14+DO15+DO16</f>
        <v/>
      </c>
    </row>
    <row r="13" outlineLevel="1" ht="15" customHeight="1">
      <c r="A13" s="24" t="n"/>
      <c r="B13" s="24" t="n"/>
      <c r="C13" s="24" t="n"/>
      <c r="D13" s="60" t="n"/>
      <c r="E13" s="60" t="n"/>
      <c r="F13" s="60">
        <f>E13-D13</f>
        <v/>
      </c>
      <c r="G13" s="61">
        <f>IF(D13=0,"",E13/D13)</f>
        <v/>
      </c>
      <c r="H13" s="27" t="n"/>
      <c r="I13" s="60" t="n"/>
      <c r="J13" s="60" t="n"/>
      <c r="K13" s="60">
        <f>J13-I13</f>
        <v/>
      </c>
      <c r="L13" s="61">
        <f>IF(I13=0,"",J13/I13)</f>
        <v/>
      </c>
      <c r="M13" s="27" t="n"/>
      <c r="N13" s="62" t="n"/>
      <c r="O13" s="62" t="n"/>
      <c r="P13" s="63">
        <f>O13-N13</f>
        <v/>
      </c>
      <c r="Q13" s="64">
        <f>IF(N13=0,"",O13/N13)</f>
        <v/>
      </c>
      <c r="R13" s="31" t="n"/>
      <c r="S13" s="60" t="n"/>
      <c r="T13" s="60" t="n"/>
      <c r="U13" s="60">
        <f>T13-S13</f>
        <v/>
      </c>
      <c r="V13" s="61">
        <f>IF(S13=0,"",T13/S13)</f>
        <v/>
      </c>
      <c r="W13" s="27" t="n"/>
      <c r="X13" s="62" t="n"/>
      <c r="Y13" s="62" t="n"/>
      <c r="Z13" s="63">
        <f>Y13-X13</f>
        <v/>
      </c>
      <c r="AA13" s="64">
        <f>IF(X13=0,"",Y13/X13)</f>
        <v/>
      </c>
      <c r="AB13" s="31" t="n"/>
      <c r="AC13" s="60" t="n"/>
      <c r="AD13" s="60" t="n"/>
      <c r="AE13" s="60">
        <f>AD13-AC13</f>
        <v/>
      </c>
      <c r="AF13" s="61">
        <f>IF(AC13=0,"",AD13/AC13)</f>
        <v/>
      </c>
      <c r="AG13" s="27" t="n"/>
      <c r="AH13" s="62" t="n"/>
      <c r="AI13" s="62" t="n"/>
      <c r="AJ13" s="62">
        <f>AI13-AH13</f>
        <v/>
      </c>
      <c r="AK13" s="64">
        <f>IF(AH13=0,"",AI13/AH13)</f>
        <v/>
      </c>
      <c r="AL13" s="31" t="n"/>
      <c r="AM13" s="60" t="n"/>
      <c r="AN13" s="60" t="n"/>
      <c r="AO13" s="60">
        <f>AN13-AM13</f>
        <v/>
      </c>
      <c r="AP13" s="61">
        <f>IF(AM13=0,"",AN13/AM13)</f>
        <v/>
      </c>
      <c r="AQ13" s="27" t="n"/>
      <c r="AR13" s="62" t="n"/>
      <c r="AS13" s="62" t="n"/>
      <c r="AT13" s="62">
        <f>AS13-AR13</f>
        <v/>
      </c>
      <c r="AU13" s="64">
        <f>IF(AR13=0,"",AS13/AR13)</f>
        <v/>
      </c>
      <c r="AV13" s="31" t="n"/>
      <c r="AW13" s="60" t="n"/>
      <c r="AX13" s="60" t="n"/>
      <c r="AY13" s="60">
        <f>AX13-AW13</f>
        <v/>
      </c>
      <c r="AZ13" s="61">
        <f>IF(AW13=0,"",AX13/AW13)</f>
        <v/>
      </c>
      <c r="BA13" s="27" t="n"/>
      <c r="BB13" s="62" t="n"/>
      <c r="BC13" s="62" t="n"/>
      <c r="BD13" s="62">
        <f>BC13-BB13</f>
        <v/>
      </c>
      <c r="BE13" s="64">
        <f>IF(BB13=0,"",BC13/BB13)</f>
        <v/>
      </c>
      <c r="BF13" s="31" t="n"/>
      <c r="BG13" s="60" t="n"/>
      <c r="BH13" s="60" t="n"/>
      <c r="BI13" s="60">
        <f>BH13-BG13</f>
        <v/>
      </c>
      <c r="BJ13" s="61">
        <f>IF(BG13=0,"",BH13/BG13)</f>
        <v/>
      </c>
      <c r="BK13" s="27" t="n"/>
      <c r="BL13" s="62" t="n"/>
      <c r="BM13" s="62" t="n"/>
      <c r="BN13" s="62">
        <f>BM13-BL13</f>
        <v/>
      </c>
      <c r="BO13" s="64">
        <f>IF(BL13=0,"",BM13/BL13)</f>
        <v/>
      </c>
      <c r="BP13" s="31" t="n"/>
      <c r="BQ13" s="60" t="n"/>
      <c r="BR13" s="60" t="n"/>
      <c r="BS13" s="60">
        <f>BR13-BQ13</f>
        <v/>
      </c>
      <c r="BT13" s="61">
        <f>IF(BQ13=0,"",BR13/BQ13)</f>
        <v/>
      </c>
      <c r="BU13" s="27" t="n"/>
      <c r="BV13" s="62" t="n"/>
      <c r="BW13" s="62" t="n"/>
      <c r="BX13" s="62">
        <f>BW13-BV13</f>
        <v/>
      </c>
      <c r="BY13" s="64">
        <f>IF(BV13=0,"",BW13/BV13)</f>
        <v/>
      </c>
      <c r="BZ13" s="31" t="n"/>
      <c r="CA13" s="60" t="n"/>
      <c r="CB13" s="60" t="n"/>
      <c r="CC13" s="60">
        <f>CB13-CA13</f>
        <v/>
      </c>
      <c r="CD13" s="61">
        <f>IF(CA13=0,"",CB13/CA13)</f>
        <v/>
      </c>
      <c r="CE13" s="27" t="n"/>
      <c r="CF13" s="62" t="n"/>
      <c r="CG13" s="62" t="n"/>
      <c r="CH13" s="62">
        <f>CG13-CF13</f>
        <v/>
      </c>
      <c r="CI13" s="64">
        <f>IF(CF13=0,"",CG13/CF13)</f>
        <v/>
      </c>
      <c r="CJ13" s="31" t="n"/>
      <c r="CK13" s="60" t="n"/>
      <c r="CL13" s="60" t="n"/>
      <c r="CM13" s="60">
        <f>CL13-CK13</f>
        <v/>
      </c>
      <c r="CN13" s="61">
        <f>IF(CK13=0,"",CL13/CK13)</f>
        <v/>
      </c>
      <c r="CO13" s="27" t="n"/>
      <c r="CP13" s="62" t="n"/>
      <c r="CQ13" s="62" t="n"/>
      <c r="CR13" s="62">
        <f>CQ13-CP13</f>
        <v/>
      </c>
      <c r="CS13" s="64">
        <f>IF(CP13=0,"",CQ13/CP13)</f>
        <v/>
      </c>
      <c r="CT13" s="31" t="n"/>
      <c r="CU13" s="60" t="n"/>
      <c r="CV13" s="60" t="n"/>
      <c r="CW13" s="60">
        <f>CV13-CU13</f>
        <v/>
      </c>
      <c r="CX13" s="61">
        <f>IF(CU13=0,"",CV13/CU13)</f>
        <v/>
      </c>
      <c r="CY13" s="27" t="n"/>
      <c r="CZ13" s="62" t="n"/>
      <c r="DA13" s="62" t="n"/>
      <c r="DB13" s="62">
        <f>DA13-CZ13</f>
        <v/>
      </c>
      <c r="DC13" s="64">
        <f>IF(CZ13=0,"",DA13/CZ13)</f>
        <v/>
      </c>
      <c r="DD13" s="31" t="n"/>
      <c r="DE13" s="60" t="n"/>
      <c r="DF13" s="60" t="n"/>
      <c r="DG13" s="60">
        <f>DF13-DE13</f>
        <v/>
      </c>
      <c r="DH13" s="61">
        <f>IF(DE13=0,"",DF13/DE13)</f>
        <v/>
      </c>
      <c r="DI13" s="27" t="n"/>
      <c r="DJ13" s="62" t="n"/>
      <c r="DK13" s="62" t="n"/>
      <c r="DL13" s="62">
        <f>DK13-DJ13</f>
        <v/>
      </c>
      <c r="DM13" s="64">
        <f>IF(DJ13=0,"",DK13/DJ13)</f>
        <v/>
      </c>
      <c r="DN13" s="31" t="n"/>
      <c r="DO13" s="60" t="n"/>
    </row>
    <row r="14" outlineLevel="1" ht="15" customHeight="1">
      <c r="A14" s="24" t="n"/>
      <c r="B14" s="24" t="n"/>
      <c r="C14" s="24" t="n"/>
      <c r="D14" s="60" t="n"/>
      <c r="E14" s="60" t="n"/>
      <c r="F14" s="60">
        <f>E14-D14</f>
        <v/>
      </c>
      <c r="G14" s="61">
        <f>IF(D14=0,"",E14/D14)</f>
        <v/>
      </c>
      <c r="H14" s="27" t="n"/>
      <c r="I14" s="60" t="n"/>
      <c r="J14" s="60" t="n"/>
      <c r="K14" s="60">
        <f>J14-I14</f>
        <v/>
      </c>
      <c r="L14" s="61">
        <f>IF(I14=0,"",J14/I14)</f>
        <v/>
      </c>
      <c r="M14" s="27" t="n"/>
      <c r="N14" s="62" t="n"/>
      <c r="O14" s="62" t="n"/>
      <c r="P14" s="63">
        <f>O14-N14</f>
        <v/>
      </c>
      <c r="Q14" s="64">
        <f>IF(N14=0,"",O14/N14)</f>
        <v/>
      </c>
      <c r="R14" s="31" t="n"/>
      <c r="S14" s="60" t="n"/>
      <c r="T14" s="60" t="n"/>
      <c r="U14" s="60">
        <f>T14-S14</f>
        <v/>
      </c>
      <c r="V14" s="61">
        <f>IF(S14=0,"",T14/S14)</f>
        <v/>
      </c>
      <c r="W14" s="27" t="n"/>
      <c r="X14" s="62" t="n"/>
      <c r="Y14" s="62" t="n"/>
      <c r="Z14" s="63">
        <f>Y14-X14</f>
        <v/>
      </c>
      <c r="AA14" s="64">
        <f>IF(X14=0,"",Y14/X14)</f>
        <v/>
      </c>
      <c r="AB14" s="31" t="n"/>
      <c r="AC14" s="60" t="n"/>
      <c r="AD14" s="60" t="n"/>
      <c r="AE14" s="60">
        <f>AD14-AC14</f>
        <v/>
      </c>
      <c r="AF14" s="61">
        <f>IF(AC14=0,"",AD14/AC14)</f>
        <v/>
      </c>
      <c r="AG14" s="27" t="n"/>
      <c r="AH14" s="62" t="n"/>
      <c r="AI14" s="62" t="n"/>
      <c r="AJ14" s="62">
        <f>AI14-AH14</f>
        <v/>
      </c>
      <c r="AK14" s="64">
        <f>IF(AH14=0,"",AI14/AH14)</f>
        <v/>
      </c>
      <c r="AL14" s="31" t="n"/>
      <c r="AM14" s="60" t="n"/>
      <c r="AN14" s="60" t="n"/>
      <c r="AO14" s="60">
        <f>AN14-AM14</f>
        <v/>
      </c>
      <c r="AP14" s="61">
        <f>IF(AM14=0,"",AN14/AM14)</f>
        <v/>
      </c>
      <c r="AQ14" s="27" t="n"/>
      <c r="AR14" s="62" t="n"/>
      <c r="AS14" s="62" t="n"/>
      <c r="AT14" s="62">
        <f>AS14-AR14</f>
        <v/>
      </c>
      <c r="AU14" s="64">
        <f>IF(AR14=0,"",AS14/AR14)</f>
        <v/>
      </c>
      <c r="AV14" s="31" t="n"/>
      <c r="AW14" s="60" t="n"/>
      <c r="AX14" s="60" t="n"/>
      <c r="AY14" s="60">
        <f>AX14-AW14</f>
        <v/>
      </c>
      <c r="AZ14" s="61">
        <f>IF(AW14=0,"",AX14/AW14)</f>
        <v/>
      </c>
      <c r="BA14" s="27" t="n"/>
      <c r="BB14" s="62" t="n"/>
      <c r="BC14" s="62" t="n"/>
      <c r="BD14" s="62">
        <f>BC14-BB14</f>
        <v/>
      </c>
      <c r="BE14" s="64">
        <f>IF(BB14=0,"",BC14/BB14)</f>
        <v/>
      </c>
      <c r="BF14" s="31" t="n"/>
      <c r="BG14" s="60" t="n"/>
      <c r="BH14" s="60" t="n"/>
      <c r="BI14" s="60">
        <f>BH14-BG14</f>
        <v/>
      </c>
      <c r="BJ14" s="61">
        <f>IF(BG14=0,"",BH14/BG14)</f>
        <v/>
      </c>
      <c r="BK14" s="27" t="n"/>
      <c r="BL14" s="62" t="n"/>
      <c r="BM14" s="62" t="n"/>
      <c r="BN14" s="62">
        <f>BM14-BL14</f>
        <v/>
      </c>
      <c r="BO14" s="64">
        <f>IF(BL14=0,"",BM14/BL14)</f>
        <v/>
      </c>
      <c r="BP14" s="31" t="n"/>
      <c r="BQ14" s="60" t="n"/>
      <c r="BR14" s="60" t="n"/>
      <c r="BS14" s="60">
        <f>BR14-BQ14</f>
        <v/>
      </c>
      <c r="BT14" s="61">
        <f>IF(BQ14=0,"",BR14/BQ14)</f>
        <v/>
      </c>
      <c r="BU14" s="27" t="n"/>
      <c r="BV14" s="62" t="n"/>
      <c r="BW14" s="62" t="n"/>
      <c r="BX14" s="62">
        <f>BW14-BV14</f>
        <v/>
      </c>
      <c r="BY14" s="64">
        <f>IF(BV14=0,"",BW14/BV14)</f>
        <v/>
      </c>
      <c r="BZ14" s="31" t="n"/>
      <c r="CA14" s="60" t="n"/>
      <c r="CB14" s="60" t="n"/>
      <c r="CC14" s="60">
        <f>CB14-CA14</f>
        <v/>
      </c>
      <c r="CD14" s="61">
        <f>IF(CA14=0,"",CB14/CA14)</f>
        <v/>
      </c>
      <c r="CE14" s="27" t="n"/>
      <c r="CF14" s="62" t="n"/>
      <c r="CG14" s="62" t="n"/>
      <c r="CH14" s="62">
        <f>CG14-CF14</f>
        <v/>
      </c>
      <c r="CI14" s="64">
        <f>IF(CF14=0,"",CG14/CF14)</f>
        <v/>
      </c>
      <c r="CJ14" s="31" t="n"/>
      <c r="CK14" s="60" t="n"/>
      <c r="CL14" s="60" t="n"/>
      <c r="CM14" s="60">
        <f>CL14-CK14</f>
        <v/>
      </c>
      <c r="CN14" s="61">
        <f>IF(CK14=0,"",CL14/CK14)</f>
        <v/>
      </c>
      <c r="CO14" s="27" t="n"/>
      <c r="CP14" s="62" t="n"/>
      <c r="CQ14" s="62" t="n"/>
      <c r="CR14" s="62">
        <f>CQ14-CP14</f>
        <v/>
      </c>
      <c r="CS14" s="64">
        <f>IF(CP14=0,"",CQ14/CP14)</f>
        <v/>
      </c>
      <c r="CT14" s="31" t="n"/>
      <c r="CU14" s="60" t="n"/>
      <c r="CV14" s="60" t="n"/>
      <c r="CW14" s="60">
        <f>CV14-CU14</f>
        <v/>
      </c>
      <c r="CX14" s="61">
        <f>IF(CU14=0,"",CV14/CU14)</f>
        <v/>
      </c>
      <c r="CY14" s="27" t="n"/>
      <c r="CZ14" s="62" t="n"/>
      <c r="DA14" s="62" t="n"/>
      <c r="DB14" s="62">
        <f>DA14-CZ14</f>
        <v/>
      </c>
      <c r="DC14" s="64">
        <f>IF(CZ14=0,"",DA14/CZ14)</f>
        <v/>
      </c>
      <c r="DD14" s="31" t="n"/>
      <c r="DE14" s="60" t="n"/>
      <c r="DF14" s="60" t="n"/>
      <c r="DG14" s="60">
        <f>DF14-DE14</f>
        <v/>
      </c>
      <c r="DH14" s="61">
        <f>IF(DE14=0,"",DF14/DE14)</f>
        <v/>
      </c>
      <c r="DI14" s="27" t="n"/>
      <c r="DJ14" s="62" t="n"/>
      <c r="DK14" s="62" t="n"/>
      <c r="DL14" s="62">
        <f>DK14-DJ14</f>
        <v/>
      </c>
      <c r="DM14" s="64">
        <f>IF(DJ14=0,"",DK14/DJ14)</f>
        <v/>
      </c>
      <c r="DN14" s="31" t="n"/>
      <c r="DO14" s="60" t="n"/>
    </row>
    <row r="15" outlineLevel="1" ht="15" customHeight="1">
      <c r="A15" s="24" t="n"/>
      <c r="B15" s="24" t="n"/>
      <c r="C15" s="24" t="n"/>
      <c r="D15" s="60" t="n"/>
      <c r="E15" s="60" t="n"/>
      <c r="F15" s="60">
        <f>E15-D15</f>
        <v/>
      </c>
      <c r="G15" s="61">
        <f>IF(D15=0,"",E15/D15)</f>
        <v/>
      </c>
      <c r="H15" s="27" t="n"/>
      <c r="I15" s="60" t="n"/>
      <c r="J15" s="60" t="n"/>
      <c r="K15" s="60">
        <f>J15-I15</f>
        <v/>
      </c>
      <c r="L15" s="61">
        <f>IF(I15=0,"",J15/I15)</f>
        <v/>
      </c>
      <c r="M15" s="27" t="n"/>
      <c r="N15" s="62" t="n"/>
      <c r="O15" s="62" t="n"/>
      <c r="P15" s="63">
        <f>O15-N15</f>
        <v/>
      </c>
      <c r="Q15" s="64">
        <f>IF(N15=0,"",O15/N15)</f>
        <v/>
      </c>
      <c r="R15" s="31" t="n"/>
      <c r="S15" s="60" t="n"/>
      <c r="T15" s="60" t="n"/>
      <c r="U15" s="60">
        <f>T15-S15</f>
        <v/>
      </c>
      <c r="V15" s="61">
        <f>IF(S15=0,"",T15/S15)</f>
        <v/>
      </c>
      <c r="W15" s="27" t="n"/>
      <c r="X15" s="62" t="n"/>
      <c r="Y15" s="62" t="n"/>
      <c r="Z15" s="63">
        <f>Y15-X15</f>
        <v/>
      </c>
      <c r="AA15" s="64">
        <f>IF(X15=0,"",Y15/X15)</f>
        <v/>
      </c>
      <c r="AB15" s="31" t="n"/>
      <c r="AC15" s="60" t="n"/>
      <c r="AD15" s="60" t="n"/>
      <c r="AE15" s="60">
        <f>AD15-AC15</f>
        <v/>
      </c>
      <c r="AF15" s="61">
        <f>IF(AC15=0,"",AD15/AC15)</f>
        <v/>
      </c>
      <c r="AG15" s="27" t="n"/>
      <c r="AH15" s="62" t="n"/>
      <c r="AI15" s="62" t="n"/>
      <c r="AJ15" s="62">
        <f>AI15-AH15</f>
        <v/>
      </c>
      <c r="AK15" s="64">
        <f>IF(AH15=0,"",AI15/AH15)</f>
        <v/>
      </c>
      <c r="AL15" s="31" t="n"/>
      <c r="AM15" s="60" t="n"/>
      <c r="AN15" s="60" t="n"/>
      <c r="AO15" s="60">
        <f>AN15-AM15</f>
        <v/>
      </c>
      <c r="AP15" s="61">
        <f>IF(AM15=0,"",AN15/AM15)</f>
        <v/>
      </c>
      <c r="AQ15" s="27" t="n"/>
      <c r="AR15" s="62" t="n"/>
      <c r="AS15" s="62" t="n"/>
      <c r="AT15" s="62">
        <f>AS15-AR15</f>
        <v/>
      </c>
      <c r="AU15" s="64">
        <f>IF(AR15=0,"",AS15/AR15)</f>
        <v/>
      </c>
      <c r="AV15" s="31" t="n"/>
      <c r="AW15" s="60" t="n"/>
      <c r="AX15" s="60" t="n"/>
      <c r="AY15" s="60">
        <f>AX15-AW15</f>
        <v/>
      </c>
      <c r="AZ15" s="61">
        <f>IF(AW15=0,"",AX15/AW15)</f>
        <v/>
      </c>
      <c r="BA15" s="27" t="n"/>
      <c r="BB15" s="62" t="n"/>
      <c r="BC15" s="62" t="n"/>
      <c r="BD15" s="62">
        <f>BC15-BB15</f>
        <v/>
      </c>
      <c r="BE15" s="64">
        <f>IF(BB15=0,"",BC15/BB15)</f>
        <v/>
      </c>
      <c r="BF15" s="31" t="n"/>
      <c r="BG15" s="60" t="n"/>
      <c r="BH15" s="60" t="n"/>
      <c r="BI15" s="60">
        <f>BH15-BG15</f>
        <v/>
      </c>
      <c r="BJ15" s="61">
        <f>IF(BG15=0,"",BH15/BG15)</f>
        <v/>
      </c>
      <c r="BK15" s="27" t="n"/>
      <c r="BL15" s="62" t="n"/>
      <c r="BM15" s="62" t="n"/>
      <c r="BN15" s="62">
        <f>BM15-BL15</f>
        <v/>
      </c>
      <c r="BO15" s="64">
        <f>IF(BL15=0,"",BM15/BL15)</f>
        <v/>
      </c>
      <c r="BP15" s="31" t="n"/>
      <c r="BQ15" s="60" t="n"/>
      <c r="BR15" s="60" t="n"/>
      <c r="BS15" s="60">
        <f>BR15-BQ15</f>
        <v/>
      </c>
      <c r="BT15" s="61">
        <f>IF(BQ15=0,"",BR15/BQ15)</f>
        <v/>
      </c>
      <c r="BU15" s="27" t="n"/>
      <c r="BV15" s="62" t="n"/>
      <c r="BW15" s="62" t="n"/>
      <c r="BX15" s="62">
        <f>BW15-BV15</f>
        <v/>
      </c>
      <c r="BY15" s="64">
        <f>IF(BV15=0,"",BW15/BV15)</f>
        <v/>
      </c>
      <c r="BZ15" s="31" t="n"/>
      <c r="CA15" s="60" t="n"/>
      <c r="CB15" s="60" t="n"/>
      <c r="CC15" s="60">
        <f>CB15-CA15</f>
        <v/>
      </c>
      <c r="CD15" s="61">
        <f>IF(CA15=0,"",CB15/CA15)</f>
        <v/>
      </c>
      <c r="CE15" s="27" t="n"/>
      <c r="CF15" s="62" t="n"/>
      <c r="CG15" s="62" t="n"/>
      <c r="CH15" s="62">
        <f>CG15-CF15</f>
        <v/>
      </c>
      <c r="CI15" s="64">
        <f>IF(CF15=0,"",CG15/CF15)</f>
        <v/>
      </c>
      <c r="CJ15" s="31" t="n"/>
      <c r="CK15" s="60" t="n"/>
      <c r="CL15" s="60" t="n"/>
      <c r="CM15" s="60">
        <f>CL15-CK15</f>
        <v/>
      </c>
      <c r="CN15" s="61">
        <f>IF(CK15=0,"",CL15/CK15)</f>
        <v/>
      </c>
      <c r="CO15" s="27" t="n"/>
      <c r="CP15" s="62" t="n"/>
      <c r="CQ15" s="62" t="n"/>
      <c r="CR15" s="62">
        <f>CQ15-CP15</f>
        <v/>
      </c>
      <c r="CS15" s="64">
        <f>IF(CP15=0,"",CQ15/CP15)</f>
        <v/>
      </c>
      <c r="CT15" s="31" t="n"/>
      <c r="CU15" s="60" t="n"/>
      <c r="CV15" s="60" t="n"/>
      <c r="CW15" s="60">
        <f>CV15-CU15</f>
        <v/>
      </c>
      <c r="CX15" s="61">
        <f>IF(CU15=0,"",CV15/CU15)</f>
        <v/>
      </c>
      <c r="CY15" s="27" t="n"/>
      <c r="CZ15" s="62" t="n"/>
      <c r="DA15" s="62" t="n"/>
      <c r="DB15" s="62">
        <f>DA15-CZ15</f>
        <v/>
      </c>
      <c r="DC15" s="64">
        <f>IF(CZ15=0,"",DA15/CZ15)</f>
        <v/>
      </c>
      <c r="DD15" s="31" t="n"/>
      <c r="DE15" s="60" t="n"/>
      <c r="DF15" s="60" t="n"/>
      <c r="DG15" s="60">
        <f>DF15-DE15</f>
        <v/>
      </c>
      <c r="DH15" s="61">
        <f>IF(DE15=0,"",DF15/DE15)</f>
        <v/>
      </c>
      <c r="DI15" s="27" t="n"/>
      <c r="DJ15" s="62" t="n"/>
      <c r="DK15" s="62" t="n"/>
      <c r="DL15" s="62">
        <f>DK15-DJ15</f>
        <v/>
      </c>
      <c r="DM15" s="64">
        <f>IF(DJ15=0,"",DK15/DJ15)</f>
        <v/>
      </c>
      <c r="DN15" s="31" t="n"/>
      <c r="DO15" s="60" t="n"/>
    </row>
    <row r="16" outlineLevel="1" ht="15" customHeight="1">
      <c r="A16" s="24" t="n"/>
      <c r="B16" s="24" t="n"/>
      <c r="C16" s="24" t="n"/>
      <c r="D16" s="60" t="n"/>
      <c r="E16" s="60" t="n"/>
      <c r="F16" s="60">
        <f>E16-D16</f>
        <v/>
      </c>
      <c r="G16" s="61">
        <f>IF(D16=0,"",E16/D16)</f>
        <v/>
      </c>
      <c r="H16" s="27" t="n"/>
      <c r="I16" s="60" t="n"/>
      <c r="J16" s="60" t="n"/>
      <c r="K16" s="60">
        <f>J16-I16</f>
        <v/>
      </c>
      <c r="L16" s="61">
        <f>IF(I16=0,"",J16/I16)</f>
        <v/>
      </c>
      <c r="M16" s="27" t="n"/>
      <c r="N16" s="62" t="n"/>
      <c r="O16" s="62" t="n"/>
      <c r="P16" s="63">
        <f>O16-N16</f>
        <v/>
      </c>
      <c r="Q16" s="64">
        <f>IF(N16=0,"",O16/N16)</f>
        <v/>
      </c>
      <c r="R16" s="31" t="n"/>
      <c r="S16" s="60" t="n"/>
      <c r="T16" s="60" t="n"/>
      <c r="U16" s="60">
        <f>T16-S16</f>
        <v/>
      </c>
      <c r="V16" s="61">
        <f>IF(S16=0,"",T16/S16)</f>
        <v/>
      </c>
      <c r="W16" s="27" t="n"/>
      <c r="X16" s="62" t="n"/>
      <c r="Y16" s="62" t="n"/>
      <c r="Z16" s="63">
        <f>Y16-X16</f>
        <v/>
      </c>
      <c r="AA16" s="64">
        <f>IF(X16=0,"",Y16/X16)</f>
        <v/>
      </c>
      <c r="AB16" s="31" t="n"/>
      <c r="AC16" s="60" t="n"/>
      <c r="AD16" s="60" t="n"/>
      <c r="AE16" s="60">
        <f>AD16-AC16</f>
        <v/>
      </c>
      <c r="AF16" s="61">
        <f>IF(AC16=0,"",AD16/AC16)</f>
        <v/>
      </c>
      <c r="AG16" s="27" t="n"/>
      <c r="AH16" s="62" t="n"/>
      <c r="AI16" s="62" t="n"/>
      <c r="AJ16" s="62">
        <f>AI16-AH16</f>
        <v/>
      </c>
      <c r="AK16" s="64">
        <f>IF(AH16=0,"",AI16/AH16)</f>
        <v/>
      </c>
      <c r="AL16" s="31" t="n"/>
      <c r="AM16" s="60" t="n"/>
      <c r="AN16" s="60" t="n"/>
      <c r="AO16" s="60">
        <f>AN16-AM16</f>
        <v/>
      </c>
      <c r="AP16" s="61">
        <f>IF(AM16=0,"",AN16/AM16)</f>
        <v/>
      </c>
      <c r="AQ16" s="27" t="n"/>
      <c r="AR16" s="62" t="n"/>
      <c r="AS16" s="62" t="n"/>
      <c r="AT16" s="62">
        <f>AS16-AR16</f>
        <v/>
      </c>
      <c r="AU16" s="64">
        <f>IF(AR16=0,"",AS16/AR16)</f>
        <v/>
      </c>
      <c r="AV16" s="31" t="n"/>
      <c r="AW16" s="60" t="n"/>
      <c r="AX16" s="60" t="n"/>
      <c r="AY16" s="60">
        <f>AX16-AW16</f>
        <v/>
      </c>
      <c r="AZ16" s="61">
        <f>IF(AW16=0,"",AX16/AW16)</f>
        <v/>
      </c>
      <c r="BA16" s="27" t="n"/>
      <c r="BB16" s="62" t="n"/>
      <c r="BC16" s="62" t="n"/>
      <c r="BD16" s="62">
        <f>BC16-BB16</f>
        <v/>
      </c>
      <c r="BE16" s="64">
        <f>IF(BB16=0,"",BC16/BB16)</f>
        <v/>
      </c>
      <c r="BF16" s="31" t="n"/>
      <c r="BG16" s="60" t="n"/>
      <c r="BH16" s="60" t="n"/>
      <c r="BI16" s="60">
        <f>BH16-BG16</f>
        <v/>
      </c>
      <c r="BJ16" s="61">
        <f>IF(BG16=0,"",BH16/BG16)</f>
        <v/>
      </c>
      <c r="BK16" s="27" t="n"/>
      <c r="BL16" s="62" t="n"/>
      <c r="BM16" s="62" t="n"/>
      <c r="BN16" s="62">
        <f>BM16-BL16</f>
        <v/>
      </c>
      <c r="BO16" s="64">
        <f>IF(BL16=0,"",BM16/BL16)</f>
        <v/>
      </c>
      <c r="BP16" s="31" t="n"/>
      <c r="BQ16" s="60" t="n"/>
      <c r="BR16" s="60" t="n"/>
      <c r="BS16" s="60">
        <f>BR16-BQ16</f>
        <v/>
      </c>
      <c r="BT16" s="61">
        <f>IF(BQ16=0,"",BR16/BQ16)</f>
        <v/>
      </c>
      <c r="BU16" s="27" t="n"/>
      <c r="BV16" s="62" t="n"/>
      <c r="BW16" s="62" t="n"/>
      <c r="BX16" s="62">
        <f>BW16-BV16</f>
        <v/>
      </c>
      <c r="BY16" s="64">
        <f>IF(BV16=0,"",BW16/BV16)</f>
        <v/>
      </c>
      <c r="BZ16" s="31" t="n"/>
      <c r="CA16" s="60" t="n"/>
      <c r="CB16" s="60" t="n"/>
      <c r="CC16" s="60">
        <f>CB16-CA16</f>
        <v/>
      </c>
      <c r="CD16" s="61">
        <f>IF(CA16=0,"",CB16/CA16)</f>
        <v/>
      </c>
      <c r="CE16" s="27" t="n"/>
      <c r="CF16" s="62" t="n"/>
      <c r="CG16" s="62" t="n"/>
      <c r="CH16" s="62">
        <f>CG16-CF16</f>
        <v/>
      </c>
      <c r="CI16" s="64">
        <f>IF(CF16=0,"",CG16/CF16)</f>
        <v/>
      </c>
      <c r="CJ16" s="31" t="n"/>
      <c r="CK16" s="60" t="n"/>
      <c r="CL16" s="60" t="n"/>
      <c r="CM16" s="60">
        <f>CL16-CK16</f>
        <v/>
      </c>
      <c r="CN16" s="61">
        <f>IF(CK16=0,"",CL16/CK16)</f>
        <v/>
      </c>
      <c r="CO16" s="27" t="n"/>
      <c r="CP16" s="62" t="n"/>
      <c r="CQ16" s="62" t="n"/>
      <c r="CR16" s="62">
        <f>CQ16-CP16</f>
        <v/>
      </c>
      <c r="CS16" s="64">
        <f>IF(CP16=0,"",CQ16/CP16)</f>
        <v/>
      </c>
      <c r="CT16" s="31" t="n"/>
      <c r="CU16" s="60" t="n"/>
      <c r="CV16" s="60" t="n"/>
      <c r="CW16" s="60">
        <f>CV16-CU16</f>
        <v/>
      </c>
      <c r="CX16" s="61">
        <f>IF(CU16=0,"",CV16/CU16)</f>
        <v/>
      </c>
      <c r="CY16" s="27" t="n"/>
      <c r="CZ16" s="62" t="n"/>
      <c r="DA16" s="62" t="n"/>
      <c r="DB16" s="62">
        <f>DA16-CZ16</f>
        <v/>
      </c>
      <c r="DC16" s="64">
        <f>IF(CZ16=0,"",DA16/CZ16)</f>
        <v/>
      </c>
      <c r="DD16" s="31" t="n"/>
      <c r="DE16" s="60" t="n"/>
      <c r="DF16" s="60" t="n"/>
      <c r="DG16" s="60">
        <f>DF16-DE16</f>
        <v/>
      </c>
      <c r="DH16" s="61">
        <f>IF(DE16=0,"",DF16/DE16)</f>
        <v/>
      </c>
      <c r="DI16" s="27" t="n"/>
      <c r="DJ16" s="62" t="n"/>
      <c r="DK16" s="62" t="n"/>
      <c r="DL16" s="62">
        <f>DK16-DJ16</f>
        <v/>
      </c>
      <c r="DM16" s="64">
        <f>IF(DJ16=0,"",DK16/DJ16)</f>
        <v/>
      </c>
      <c r="DN16" s="31" t="n"/>
      <c r="DO16" s="60" t="n"/>
    </row>
    <row r="17" ht="15" customHeight="1">
      <c r="A17" s="19" t="n"/>
      <c r="B17" s="20" t="n"/>
      <c r="C17" s="19" t="n"/>
      <c r="D17" s="58">
        <f>D18</f>
        <v/>
      </c>
      <c r="E17" s="58">
        <f>E18</f>
        <v/>
      </c>
      <c r="F17" s="58">
        <f>E17-D17</f>
        <v/>
      </c>
      <c r="G17" s="59">
        <f>IF(D17=0,"",E17/D17)</f>
        <v/>
      </c>
      <c r="H17" s="23" t="n"/>
      <c r="I17" s="58">
        <f>I18</f>
        <v/>
      </c>
      <c r="J17" s="58">
        <f>J18</f>
        <v/>
      </c>
      <c r="K17" s="58">
        <f>J17-I17</f>
        <v/>
      </c>
      <c r="L17" s="59">
        <f>IF(I17=0,"",J17/I17)</f>
        <v/>
      </c>
      <c r="M17" s="23" t="n"/>
      <c r="N17" s="58">
        <f>N18</f>
        <v/>
      </c>
      <c r="O17" s="58">
        <f>O18</f>
        <v/>
      </c>
      <c r="P17" s="58">
        <f>O17-N17</f>
        <v/>
      </c>
      <c r="Q17" s="59">
        <f>IF(N17=0,"",O17/N17)</f>
        <v/>
      </c>
      <c r="R17" s="23" t="n"/>
      <c r="S17" s="58">
        <f>S18</f>
        <v/>
      </c>
      <c r="T17" s="58">
        <f>T18</f>
        <v/>
      </c>
      <c r="U17" s="58">
        <f>T17-S17</f>
        <v/>
      </c>
      <c r="V17" s="59">
        <f>IF(S17=0,"",T17/S17)</f>
        <v/>
      </c>
      <c r="W17" s="23" t="n"/>
      <c r="X17" s="58">
        <f>X18</f>
        <v/>
      </c>
      <c r="Y17" s="58">
        <f>Y18</f>
        <v/>
      </c>
      <c r="Z17" s="58">
        <f>Y17-X17</f>
        <v/>
      </c>
      <c r="AA17" s="59">
        <f>IF(X17=0,"",Y17/X17)</f>
        <v/>
      </c>
      <c r="AB17" s="23" t="n"/>
      <c r="AC17" s="58">
        <f>AC18</f>
        <v/>
      </c>
      <c r="AD17" s="58">
        <f>AD18</f>
        <v/>
      </c>
      <c r="AE17" s="58">
        <f>AD17-AC17</f>
        <v/>
      </c>
      <c r="AF17" s="59">
        <f>IF(AC17=0,"",AD17/AC17)</f>
        <v/>
      </c>
      <c r="AG17" s="23" t="n"/>
      <c r="AH17" s="58">
        <f>AH18</f>
        <v/>
      </c>
      <c r="AI17" s="58">
        <f>AI18</f>
        <v/>
      </c>
      <c r="AJ17" s="58">
        <f>AI17-AH17</f>
        <v/>
      </c>
      <c r="AK17" s="59">
        <f>IF(AH17=0,"",AI17/AH17)</f>
        <v/>
      </c>
      <c r="AL17" s="23" t="n"/>
      <c r="AM17" s="58">
        <f>AM18</f>
        <v/>
      </c>
      <c r="AN17" s="58">
        <f>AN18</f>
        <v/>
      </c>
      <c r="AO17" s="58">
        <f>AN17-AM17</f>
        <v/>
      </c>
      <c r="AP17" s="59">
        <f>IF(AM17=0,"",AN17/AM17)</f>
        <v/>
      </c>
      <c r="AQ17" s="23" t="n"/>
      <c r="AR17" s="58">
        <f>AR18</f>
        <v/>
      </c>
      <c r="AS17" s="58">
        <f>AS18</f>
        <v/>
      </c>
      <c r="AT17" s="58">
        <f>AS17-AR17</f>
        <v/>
      </c>
      <c r="AU17" s="59">
        <f>IF(AR17=0,"",AS17/AR17)</f>
        <v/>
      </c>
      <c r="AV17" s="23" t="n"/>
      <c r="AW17" s="58">
        <f>AW18</f>
        <v/>
      </c>
      <c r="AX17" s="58">
        <f>AX18</f>
        <v/>
      </c>
      <c r="AY17" s="58">
        <f>AX17-AW17</f>
        <v/>
      </c>
      <c r="AZ17" s="59">
        <f>IF(AW17=0,"",AX17/AW17)</f>
        <v/>
      </c>
      <c r="BA17" s="23" t="n"/>
      <c r="BB17" s="58">
        <f>BB18</f>
        <v/>
      </c>
      <c r="BC17" s="58">
        <f>BC18</f>
        <v/>
      </c>
      <c r="BD17" s="58">
        <f>BC17-BB17</f>
        <v/>
      </c>
      <c r="BE17" s="59">
        <f>IF(BB17=0,"",BC17/BB17)</f>
        <v/>
      </c>
      <c r="BF17" s="23" t="n"/>
      <c r="BG17" s="58">
        <f>BG18</f>
        <v/>
      </c>
      <c r="BH17" s="58">
        <f>BH18</f>
        <v/>
      </c>
      <c r="BI17" s="58">
        <f>BH17-BG17</f>
        <v/>
      </c>
      <c r="BJ17" s="59">
        <f>IF(BG17=0,"",BH17/BG17)</f>
        <v/>
      </c>
      <c r="BK17" s="23" t="n"/>
      <c r="BL17" s="58">
        <f>BL18</f>
        <v/>
      </c>
      <c r="BM17" s="58">
        <f>BM18</f>
        <v/>
      </c>
      <c r="BN17" s="58">
        <f>BM17-BL17</f>
        <v/>
      </c>
      <c r="BO17" s="59">
        <f>IF(BL17=0,"",BM17/BL17)</f>
        <v/>
      </c>
      <c r="BP17" s="23" t="n"/>
      <c r="BQ17" s="58">
        <f>BQ18</f>
        <v/>
      </c>
      <c r="BR17" s="58">
        <f>BR18</f>
        <v/>
      </c>
      <c r="BS17" s="58">
        <f>BR17-BQ17</f>
        <v/>
      </c>
      <c r="BT17" s="59">
        <f>IF(BQ17=0,"",BR17/BQ17)</f>
        <v/>
      </c>
      <c r="BU17" s="23" t="n"/>
      <c r="BV17" s="58">
        <f>BV18</f>
        <v/>
      </c>
      <c r="BW17" s="58">
        <f>BW18</f>
        <v/>
      </c>
      <c r="BX17" s="58">
        <f>BW17-BV17</f>
        <v/>
      </c>
      <c r="BY17" s="59">
        <f>IF(BV17=0,"",BW17/BV17)</f>
        <v/>
      </c>
      <c r="BZ17" s="23" t="n"/>
      <c r="CA17" s="58">
        <f>CA18</f>
        <v/>
      </c>
      <c r="CB17" s="58">
        <f>CB18</f>
        <v/>
      </c>
      <c r="CC17" s="58">
        <f>CB17-CA17</f>
        <v/>
      </c>
      <c r="CD17" s="59">
        <f>IF(CA17=0,"",CB17/CA17)</f>
        <v/>
      </c>
      <c r="CE17" s="23" t="n"/>
      <c r="CF17" s="58">
        <f>CF18</f>
        <v/>
      </c>
      <c r="CG17" s="58">
        <f>CG18</f>
        <v/>
      </c>
      <c r="CH17" s="58">
        <f>CG17-CF17</f>
        <v/>
      </c>
      <c r="CI17" s="59">
        <f>IF(CF17=0,"",CG17/CF17)</f>
        <v/>
      </c>
      <c r="CJ17" s="23" t="n"/>
      <c r="CK17" s="58">
        <f>CK18</f>
        <v/>
      </c>
      <c r="CL17" s="58">
        <f>CL18</f>
        <v/>
      </c>
      <c r="CM17" s="58">
        <f>CL17-CK17</f>
        <v/>
      </c>
      <c r="CN17" s="59">
        <f>IF(CK17=0,"",CL17/CK17)</f>
        <v/>
      </c>
      <c r="CO17" s="23" t="n"/>
      <c r="CP17" s="58">
        <f>CP18</f>
        <v/>
      </c>
      <c r="CQ17" s="58">
        <f>CQ18</f>
        <v/>
      </c>
      <c r="CR17" s="58">
        <f>CQ17-CP17</f>
        <v/>
      </c>
      <c r="CS17" s="59">
        <f>IF(CP17=0,"",CQ17/CP17)</f>
        <v/>
      </c>
      <c r="CT17" s="23" t="n"/>
      <c r="CU17" s="58">
        <f>CU18</f>
        <v/>
      </c>
      <c r="CV17" s="58">
        <f>CV18</f>
        <v/>
      </c>
      <c r="CW17" s="58">
        <f>CV17-CU17</f>
        <v/>
      </c>
      <c r="CX17" s="59">
        <f>IF(CU17=0,"",CV17/CU17)</f>
        <v/>
      </c>
      <c r="CY17" s="23" t="n"/>
      <c r="CZ17" s="58">
        <f>CZ18</f>
        <v/>
      </c>
      <c r="DA17" s="58">
        <f>DA18</f>
        <v/>
      </c>
      <c r="DB17" s="58">
        <f>DA17-CZ17</f>
        <v/>
      </c>
      <c r="DC17" s="59">
        <f>IF(CZ17=0,"",DA17/CZ17)</f>
        <v/>
      </c>
      <c r="DD17" s="23" t="n"/>
      <c r="DE17" s="58">
        <f>DE18</f>
        <v/>
      </c>
      <c r="DF17" s="58">
        <f>DF18</f>
        <v/>
      </c>
      <c r="DG17" s="58">
        <f>DF17-DE17</f>
        <v/>
      </c>
      <c r="DH17" s="59">
        <f>IF(DE17=0,"",DF17/DE17)</f>
        <v/>
      </c>
      <c r="DI17" s="23" t="n"/>
      <c r="DJ17" s="58">
        <f>DJ18</f>
        <v/>
      </c>
      <c r="DK17" s="58">
        <f>DK18</f>
        <v/>
      </c>
      <c r="DL17" s="58">
        <f>DK17-DJ17</f>
        <v/>
      </c>
      <c r="DM17" s="59">
        <f>IF(DJ17=0,"",DK17/DJ17)</f>
        <v/>
      </c>
      <c r="DN17" s="23" t="n"/>
      <c r="DO17" s="58">
        <f>DO18</f>
        <v/>
      </c>
    </row>
    <row r="18" outlineLevel="1" ht="15" customHeight="1">
      <c r="A18" s="24" t="n"/>
      <c r="B18" s="24" t="n"/>
      <c r="C18" s="24" t="n"/>
      <c r="D18" s="60" t="n"/>
      <c r="E18" s="60" t="n"/>
      <c r="F18" s="60">
        <f>E18-D18</f>
        <v/>
      </c>
      <c r="G18" s="61">
        <f>IF(D18=0,"",E18/D18)</f>
        <v/>
      </c>
      <c r="H18" s="27" t="n"/>
      <c r="I18" s="60" t="n"/>
      <c r="J18" s="60" t="n"/>
      <c r="K18" s="60">
        <f>J18-I18</f>
        <v/>
      </c>
      <c r="L18" s="61">
        <f>IF(I18=0,"",J18/I18)</f>
        <v/>
      </c>
      <c r="M18" s="27" t="n"/>
      <c r="N18" s="62" t="n"/>
      <c r="O18" s="62" t="n"/>
      <c r="P18" s="63">
        <f>O18-N18</f>
        <v/>
      </c>
      <c r="Q18" s="64">
        <f>IF(N18=0,"",O18/N18)</f>
        <v/>
      </c>
      <c r="R18" s="31" t="n"/>
      <c r="S18" s="60" t="n"/>
      <c r="T18" s="60" t="n"/>
      <c r="U18" s="60">
        <f>T18-S18</f>
        <v/>
      </c>
      <c r="V18" s="61">
        <f>IF(S18=0,"",T18/S18)</f>
        <v/>
      </c>
      <c r="W18" s="27" t="n"/>
      <c r="X18" s="62" t="n"/>
      <c r="Y18" s="62" t="n"/>
      <c r="Z18" s="63">
        <f>Y18-X18</f>
        <v/>
      </c>
      <c r="AA18" s="64">
        <f>IF(X18=0,"",Y18/X18)</f>
        <v/>
      </c>
      <c r="AB18" s="31" t="n"/>
      <c r="AC18" s="60" t="n"/>
      <c r="AD18" s="60" t="n"/>
      <c r="AE18" s="60">
        <f>AD18-AC18</f>
        <v/>
      </c>
      <c r="AF18" s="61">
        <f>IF(AC18=0,"",AD18/AC18)</f>
        <v/>
      </c>
      <c r="AG18" s="27" t="n"/>
      <c r="AH18" s="62" t="n"/>
      <c r="AI18" s="62" t="n"/>
      <c r="AJ18" s="62">
        <f>AI18-AH18</f>
        <v/>
      </c>
      <c r="AK18" s="64">
        <f>IF(AH18=0,"",AI18/AH18)</f>
        <v/>
      </c>
      <c r="AL18" s="31" t="n"/>
      <c r="AM18" s="60" t="n"/>
      <c r="AN18" s="60" t="n"/>
      <c r="AO18" s="60">
        <f>AN18-AM18</f>
        <v/>
      </c>
      <c r="AP18" s="61">
        <f>IF(AM18=0,"",AN18/AM18)</f>
        <v/>
      </c>
      <c r="AQ18" s="27" t="n"/>
      <c r="AR18" s="62" t="n"/>
      <c r="AS18" s="62" t="n"/>
      <c r="AT18" s="62">
        <f>AS18-AR18</f>
        <v/>
      </c>
      <c r="AU18" s="64">
        <f>IF(AR18=0,"",AS18/AR18)</f>
        <v/>
      </c>
      <c r="AV18" s="31" t="n"/>
      <c r="AW18" s="60" t="n"/>
      <c r="AX18" s="60" t="n"/>
      <c r="AY18" s="60">
        <f>AX18-AW18</f>
        <v/>
      </c>
      <c r="AZ18" s="61">
        <f>IF(AW18=0,"",AX18/AW18)</f>
        <v/>
      </c>
      <c r="BA18" s="27" t="n"/>
      <c r="BB18" s="62" t="n"/>
      <c r="BC18" s="62" t="n"/>
      <c r="BD18" s="62">
        <f>BC18-BB18</f>
        <v/>
      </c>
      <c r="BE18" s="64">
        <f>IF(BB18=0,"",BC18/BB18)</f>
        <v/>
      </c>
      <c r="BF18" s="31" t="n"/>
      <c r="BG18" s="60" t="n"/>
      <c r="BH18" s="60" t="n"/>
      <c r="BI18" s="60">
        <f>BH18-BG18</f>
        <v/>
      </c>
      <c r="BJ18" s="61">
        <f>IF(BG18=0,"",BH18/BG18)</f>
        <v/>
      </c>
      <c r="BK18" s="27" t="n"/>
      <c r="BL18" s="62" t="n"/>
      <c r="BM18" s="62" t="n"/>
      <c r="BN18" s="62">
        <f>BM18-BL18</f>
        <v/>
      </c>
      <c r="BO18" s="64">
        <f>IF(BL18=0,"",BM18/BL18)</f>
        <v/>
      </c>
      <c r="BP18" s="31" t="n"/>
      <c r="BQ18" s="60" t="n"/>
      <c r="BR18" s="60" t="n"/>
      <c r="BS18" s="60">
        <f>BR18-BQ18</f>
        <v/>
      </c>
      <c r="BT18" s="61">
        <f>IF(BQ18=0,"",BR18/BQ18)</f>
        <v/>
      </c>
      <c r="BU18" s="27" t="n"/>
      <c r="BV18" s="62" t="n"/>
      <c r="BW18" s="62" t="n"/>
      <c r="BX18" s="62">
        <f>BW18-BV18</f>
        <v/>
      </c>
      <c r="BY18" s="64">
        <f>IF(BV18=0,"",BW18/BV18)</f>
        <v/>
      </c>
      <c r="BZ18" s="31" t="n"/>
      <c r="CA18" s="60" t="n"/>
      <c r="CB18" s="60" t="n"/>
      <c r="CC18" s="60">
        <f>CB18-CA18</f>
        <v/>
      </c>
      <c r="CD18" s="61">
        <f>IF(CA18=0,"",CB18/CA18)</f>
        <v/>
      </c>
      <c r="CE18" s="27" t="n"/>
      <c r="CF18" s="62" t="n"/>
      <c r="CG18" s="62" t="n"/>
      <c r="CH18" s="62">
        <f>CG18-CF18</f>
        <v/>
      </c>
      <c r="CI18" s="64">
        <f>IF(CF18=0,"",CG18/CF18)</f>
        <v/>
      </c>
      <c r="CJ18" s="31" t="n"/>
      <c r="CK18" s="60" t="n"/>
      <c r="CL18" s="60" t="n"/>
      <c r="CM18" s="60">
        <f>CL18-CK18</f>
        <v/>
      </c>
      <c r="CN18" s="61">
        <f>IF(CK18=0,"",CL18/CK18)</f>
        <v/>
      </c>
      <c r="CO18" s="27" t="n"/>
      <c r="CP18" s="62" t="n"/>
      <c r="CQ18" s="62" t="n"/>
      <c r="CR18" s="62">
        <f>CQ18-CP18</f>
        <v/>
      </c>
      <c r="CS18" s="64">
        <f>IF(CP18=0,"",CQ18/CP18)</f>
        <v/>
      </c>
      <c r="CT18" s="31" t="n"/>
      <c r="CU18" s="60" t="n"/>
      <c r="CV18" s="60" t="n"/>
      <c r="CW18" s="60">
        <f>CV18-CU18</f>
        <v/>
      </c>
      <c r="CX18" s="61">
        <f>IF(CU18=0,"",CV18/CU18)</f>
        <v/>
      </c>
      <c r="CY18" s="27" t="n"/>
      <c r="CZ18" s="62" t="n"/>
      <c r="DA18" s="62" t="n"/>
      <c r="DB18" s="62">
        <f>DA18-CZ18</f>
        <v/>
      </c>
      <c r="DC18" s="64">
        <f>IF(CZ18=0,"",DA18/CZ18)</f>
        <v/>
      </c>
      <c r="DD18" s="31" t="n"/>
      <c r="DE18" s="60" t="n"/>
      <c r="DF18" s="60" t="n"/>
      <c r="DG18" s="60">
        <f>DF18-DE18</f>
        <v/>
      </c>
      <c r="DH18" s="61">
        <f>IF(DE18=0,"",DF18/DE18)</f>
        <v/>
      </c>
      <c r="DI18" s="27" t="n"/>
      <c r="DJ18" s="62" t="n"/>
      <c r="DK18" s="62" t="n"/>
      <c r="DL18" s="62">
        <f>DK18-DJ18</f>
        <v/>
      </c>
      <c r="DM18" s="64">
        <f>IF(DJ18=0,"",DK18/DJ18)</f>
        <v/>
      </c>
      <c r="DN18" s="31" t="n"/>
      <c r="DO18" s="60" t="n"/>
    </row>
    <row r="19" ht="15" customHeight="1">
      <c r="A19" s="19" t="n"/>
      <c r="B19" s="20" t="n"/>
      <c r="C19" s="19" t="n"/>
      <c r="D19" s="58">
        <f>D20</f>
        <v/>
      </c>
      <c r="E19" s="58">
        <f>E20</f>
        <v/>
      </c>
      <c r="F19" s="58">
        <f>E19-D19</f>
        <v/>
      </c>
      <c r="G19" s="59">
        <f>IF(D19=0,"",E19/D19)</f>
        <v/>
      </c>
      <c r="H19" s="23" t="n"/>
      <c r="I19" s="58">
        <f>I20</f>
        <v/>
      </c>
      <c r="J19" s="58">
        <f>J20</f>
        <v/>
      </c>
      <c r="K19" s="58">
        <f>J19-I19</f>
        <v/>
      </c>
      <c r="L19" s="59">
        <f>IF(I19=0,"",J19/I19)</f>
        <v/>
      </c>
      <c r="M19" s="23" t="n"/>
      <c r="N19" s="58">
        <f>N20</f>
        <v/>
      </c>
      <c r="O19" s="58">
        <f>O20</f>
        <v/>
      </c>
      <c r="P19" s="58">
        <f>O19-N19</f>
        <v/>
      </c>
      <c r="Q19" s="59">
        <f>IF(N19=0,"",O19/N19)</f>
        <v/>
      </c>
      <c r="R19" s="23" t="n"/>
      <c r="S19" s="58">
        <f>S20</f>
        <v/>
      </c>
      <c r="T19" s="58">
        <f>T20</f>
        <v/>
      </c>
      <c r="U19" s="58">
        <f>T19-S19</f>
        <v/>
      </c>
      <c r="V19" s="59">
        <f>IF(S19=0,"",T19/S19)</f>
        <v/>
      </c>
      <c r="W19" s="23" t="n"/>
      <c r="X19" s="58">
        <f>X20</f>
        <v/>
      </c>
      <c r="Y19" s="58">
        <f>Y20</f>
        <v/>
      </c>
      <c r="Z19" s="58">
        <f>Y19-X19</f>
        <v/>
      </c>
      <c r="AA19" s="59">
        <f>IF(X19=0,"",Y19/X19)</f>
        <v/>
      </c>
      <c r="AB19" s="23" t="n"/>
      <c r="AC19" s="58">
        <f>AC20</f>
        <v/>
      </c>
      <c r="AD19" s="58">
        <f>AD20</f>
        <v/>
      </c>
      <c r="AE19" s="58">
        <f>AD19-AC19</f>
        <v/>
      </c>
      <c r="AF19" s="59">
        <f>IF(AC19=0,"",AD19/AC19)</f>
        <v/>
      </c>
      <c r="AG19" s="23" t="n"/>
      <c r="AH19" s="58">
        <f>AH20</f>
        <v/>
      </c>
      <c r="AI19" s="58">
        <f>AI20</f>
        <v/>
      </c>
      <c r="AJ19" s="58">
        <f>AI19-AH19</f>
        <v/>
      </c>
      <c r="AK19" s="59">
        <f>IF(AH19=0,"",AI19/AH19)</f>
        <v/>
      </c>
      <c r="AL19" s="23" t="n"/>
      <c r="AM19" s="58">
        <f>AM20</f>
        <v/>
      </c>
      <c r="AN19" s="58">
        <f>AN20</f>
        <v/>
      </c>
      <c r="AO19" s="58">
        <f>AN19-AM19</f>
        <v/>
      </c>
      <c r="AP19" s="59">
        <f>IF(AM19=0,"",AN19/AM19)</f>
        <v/>
      </c>
      <c r="AQ19" s="23" t="n"/>
      <c r="AR19" s="58">
        <f>AR20</f>
        <v/>
      </c>
      <c r="AS19" s="58">
        <f>AS20</f>
        <v/>
      </c>
      <c r="AT19" s="58">
        <f>AS19-AR19</f>
        <v/>
      </c>
      <c r="AU19" s="59">
        <f>IF(AR19=0,"",AS19/AR19)</f>
        <v/>
      </c>
      <c r="AV19" s="23" t="n"/>
      <c r="AW19" s="58">
        <f>AW20</f>
        <v/>
      </c>
      <c r="AX19" s="58">
        <f>AX20</f>
        <v/>
      </c>
      <c r="AY19" s="58">
        <f>AX19-AW19</f>
        <v/>
      </c>
      <c r="AZ19" s="59">
        <f>IF(AW19=0,"",AX19/AW19)</f>
        <v/>
      </c>
      <c r="BA19" s="23" t="n"/>
      <c r="BB19" s="58">
        <f>BB20</f>
        <v/>
      </c>
      <c r="BC19" s="58">
        <f>BC20</f>
        <v/>
      </c>
      <c r="BD19" s="58">
        <f>BC19-BB19</f>
        <v/>
      </c>
      <c r="BE19" s="59">
        <f>IF(BB19=0,"",BC19/BB19)</f>
        <v/>
      </c>
      <c r="BF19" s="23" t="n"/>
      <c r="BG19" s="58">
        <f>BG20</f>
        <v/>
      </c>
      <c r="BH19" s="58">
        <f>BH20</f>
        <v/>
      </c>
      <c r="BI19" s="58">
        <f>BH19-BG19</f>
        <v/>
      </c>
      <c r="BJ19" s="59">
        <f>IF(BG19=0,"",BH19/BG19)</f>
        <v/>
      </c>
      <c r="BK19" s="23" t="n"/>
      <c r="BL19" s="58">
        <f>BL20</f>
        <v/>
      </c>
      <c r="BM19" s="58">
        <f>BM20</f>
        <v/>
      </c>
      <c r="BN19" s="58">
        <f>BM19-BL19</f>
        <v/>
      </c>
      <c r="BO19" s="59">
        <f>IF(BL19=0,"",BM19/BL19)</f>
        <v/>
      </c>
      <c r="BP19" s="23" t="n"/>
      <c r="BQ19" s="58">
        <f>BQ20</f>
        <v/>
      </c>
      <c r="BR19" s="58">
        <f>BR20</f>
        <v/>
      </c>
      <c r="BS19" s="58">
        <f>BR19-BQ19</f>
        <v/>
      </c>
      <c r="BT19" s="59">
        <f>IF(BQ19=0,"",BR19/BQ19)</f>
        <v/>
      </c>
      <c r="BU19" s="23" t="n"/>
      <c r="BV19" s="58">
        <f>BV20</f>
        <v/>
      </c>
      <c r="BW19" s="58">
        <f>BW20</f>
        <v/>
      </c>
      <c r="BX19" s="58">
        <f>BW19-BV19</f>
        <v/>
      </c>
      <c r="BY19" s="59">
        <f>IF(BV19=0,"",BW19/BV19)</f>
        <v/>
      </c>
      <c r="BZ19" s="23" t="n"/>
      <c r="CA19" s="58">
        <f>CA20</f>
        <v/>
      </c>
      <c r="CB19" s="58">
        <f>CB20</f>
        <v/>
      </c>
      <c r="CC19" s="58">
        <f>CB19-CA19</f>
        <v/>
      </c>
      <c r="CD19" s="59">
        <f>IF(CA19=0,"",CB19/CA19)</f>
        <v/>
      </c>
      <c r="CE19" s="23" t="n"/>
      <c r="CF19" s="58">
        <f>CF20</f>
        <v/>
      </c>
      <c r="CG19" s="58">
        <f>CG20</f>
        <v/>
      </c>
      <c r="CH19" s="58">
        <f>CG19-CF19</f>
        <v/>
      </c>
      <c r="CI19" s="59">
        <f>IF(CF19=0,"",CG19/CF19)</f>
        <v/>
      </c>
      <c r="CJ19" s="23" t="n"/>
      <c r="CK19" s="58">
        <f>CK20</f>
        <v/>
      </c>
      <c r="CL19" s="58">
        <f>CL20</f>
        <v/>
      </c>
      <c r="CM19" s="58">
        <f>CL19-CK19</f>
        <v/>
      </c>
      <c r="CN19" s="59">
        <f>IF(CK19=0,"",CL19/CK19)</f>
        <v/>
      </c>
      <c r="CO19" s="23" t="n"/>
      <c r="CP19" s="58">
        <f>CP20</f>
        <v/>
      </c>
      <c r="CQ19" s="58">
        <f>CQ20</f>
        <v/>
      </c>
      <c r="CR19" s="58">
        <f>CQ19-CP19</f>
        <v/>
      </c>
      <c r="CS19" s="59">
        <f>IF(CP19=0,"",CQ19/CP19)</f>
        <v/>
      </c>
      <c r="CT19" s="23" t="n"/>
      <c r="CU19" s="58">
        <f>CU20</f>
        <v/>
      </c>
      <c r="CV19" s="58">
        <f>CV20</f>
        <v/>
      </c>
      <c r="CW19" s="58">
        <f>CV19-CU19</f>
        <v/>
      </c>
      <c r="CX19" s="59">
        <f>IF(CU19=0,"",CV19/CU19)</f>
        <v/>
      </c>
      <c r="CY19" s="23" t="n"/>
      <c r="CZ19" s="58">
        <f>CZ20</f>
        <v/>
      </c>
      <c r="DA19" s="58">
        <f>DA20</f>
        <v/>
      </c>
      <c r="DB19" s="58">
        <f>DA19-CZ19</f>
        <v/>
      </c>
      <c r="DC19" s="59">
        <f>IF(CZ19=0,"",DA19/CZ19)</f>
        <v/>
      </c>
      <c r="DD19" s="23" t="n"/>
      <c r="DE19" s="58">
        <f>DE20</f>
        <v/>
      </c>
      <c r="DF19" s="58">
        <f>DF20</f>
        <v/>
      </c>
      <c r="DG19" s="58">
        <f>DF19-DE19</f>
        <v/>
      </c>
      <c r="DH19" s="59">
        <f>IF(DE19=0,"",DF19/DE19)</f>
        <v/>
      </c>
      <c r="DI19" s="23" t="n"/>
      <c r="DJ19" s="58">
        <f>DJ20</f>
        <v/>
      </c>
      <c r="DK19" s="58">
        <f>DK20</f>
        <v/>
      </c>
      <c r="DL19" s="58">
        <f>DK19-DJ19</f>
        <v/>
      </c>
      <c r="DM19" s="59">
        <f>IF(DJ19=0,"",DK19/DJ19)</f>
        <v/>
      </c>
      <c r="DN19" s="23" t="n"/>
      <c r="DO19" s="58">
        <f>DO20</f>
        <v/>
      </c>
    </row>
    <row r="20" outlineLevel="1" ht="15" customHeight="1">
      <c r="A20" s="24" t="n"/>
      <c r="B20" s="24" t="n"/>
      <c r="C20" s="24" t="n"/>
      <c r="D20" s="60" t="n"/>
      <c r="E20" s="60" t="n"/>
      <c r="F20" s="60">
        <f>E20-D20</f>
        <v/>
      </c>
      <c r="G20" s="61">
        <f>IF(D20=0,"",E20/D20)</f>
        <v/>
      </c>
      <c r="H20" s="27" t="n"/>
      <c r="I20" s="60" t="n"/>
      <c r="J20" s="60" t="n"/>
      <c r="K20" s="60">
        <f>J20-I20</f>
        <v/>
      </c>
      <c r="L20" s="61">
        <f>IF(I20=0,"",J20/I20)</f>
        <v/>
      </c>
      <c r="M20" s="27" t="n"/>
      <c r="N20" s="62" t="n"/>
      <c r="O20" s="62" t="n"/>
      <c r="P20" s="63">
        <f>O20-N20</f>
        <v/>
      </c>
      <c r="Q20" s="64">
        <f>IF(N20=0,"",O20/N20)</f>
        <v/>
      </c>
      <c r="R20" s="31" t="n"/>
      <c r="S20" s="60" t="n"/>
      <c r="T20" s="60" t="n"/>
      <c r="U20" s="60">
        <f>T20-S20</f>
        <v/>
      </c>
      <c r="V20" s="61">
        <f>IF(S20=0,"",T20/S20)</f>
        <v/>
      </c>
      <c r="W20" s="27" t="n"/>
      <c r="X20" s="62" t="n"/>
      <c r="Y20" s="62" t="n"/>
      <c r="Z20" s="63">
        <f>Y20-X20</f>
        <v/>
      </c>
      <c r="AA20" s="64">
        <f>IF(X20=0,"",Y20/X20)</f>
        <v/>
      </c>
      <c r="AB20" s="31" t="n"/>
      <c r="AC20" s="60" t="n"/>
      <c r="AD20" s="60" t="n"/>
      <c r="AE20" s="60">
        <f>AD20-AC20</f>
        <v/>
      </c>
      <c r="AF20" s="61">
        <f>IF(AC20=0,"",AD20/AC20)</f>
        <v/>
      </c>
      <c r="AG20" s="27" t="n"/>
      <c r="AH20" s="62" t="n"/>
      <c r="AI20" s="62" t="n"/>
      <c r="AJ20" s="62">
        <f>AI20-AH20</f>
        <v/>
      </c>
      <c r="AK20" s="64">
        <f>IF(AH20=0,"",AI20/AH20)</f>
        <v/>
      </c>
      <c r="AL20" s="31" t="n"/>
      <c r="AM20" s="60" t="n"/>
      <c r="AN20" s="60" t="n"/>
      <c r="AO20" s="60">
        <f>AN20-AM20</f>
        <v/>
      </c>
      <c r="AP20" s="61">
        <f>IF(AM20=0,"",AN20/AM20)</f>
        <v/>
      </c>
      <c r="AQ20" s="27" t="n"/>
      <c r="AR20" s="62" t="n"/>
      <c r="AS20" s="62" t="n"/>
      <c r="AT20" s="62">
        <f>AS20-AR20</f>
        <v/>
      </c>
      <c r="AU20" s="64">
        <f>IF(AR20=0,"",AS20/AR20)</f>
        <v/>
      </c>
      <c r="AV20" s="31" t="n"/>
      <c r="AW20" s="60" t="n"/>
      <c r="AX20" s="60" t="n"/>
      <c r="AY20" s="60">
        <f>AX20-AW20</f>
        <v/>
      </c>
      <c r="AZ20" s="61">
        <f>IF(AW20=0,"",AX20/AW20)</f>
        <v/>
      </c>
      <c r="BA20" s="27" t="n"/>
      <c r="BB20" s="62" t="n"/>
      <c r="BC20" s="62" t="n"/>
      <c r="BD20" s="62">
        <f>BC20-BB20</f>
        <v/>
      </c>
      <c r="BE20" s="64">
        <f>IF(BB20=0,"",BC20/BB20)</f>
        <v/>
      </c>
      <c r="BF20" s="31" t="n"/>
      <c r="BG20" s="60" t="n"/>
      <c r="BH20" s="60" t="n"/>
      <c r="BI20" s="60">
        <f>BH20-BG20</f>
        <v/>
      </c>
      <c r="BJ20" s="61">
        <f>IF(BG20=0,"",BH20/BG20)</f>
        <v/>
      </c>
      <c r="BK20" s="27" t="n"/>
      <c r="BL20" s="62" t="n"/>
      <c r="BM20" s="62" t="n"/>
      <c r="BN20" s="62">
        <f>BM20-BL20</f>
        <v/>
      </c>
      <c r="BO20" s="64">
        <f>IF(BL20=0,"",BM20/BL20)</f>
        <v/>
      </c>
      <c r="BP20" s="31" t="n"/>
      <c r="BQ20" s="60" t="n"/>
      <c r="BR20" s="60" t="n"/>
      <c r="BS20" s="60">
        <f>BR20-BQ20</f>
        <v/>
      </c>
      <c r="BT20" s="61">
        <f>IF(BQ20=0,"",BR20/BQ20)</f>
        <v/>
      </c>
      <c r="BU20" s="27" t="n"/>
      <c r="BV20" s="62" t="n"/>
      <c r="BW20" s="62" t="n"/>
      <c r="BX20" s="62">
        <f>BW20-BV20</f>
        <v/>
      </c>
      <c r="BY20" s="64">
        <f>IF(BV20=0,"",BW20/BV20)</f>
        <v/>
      </c>
      <c r="BZ20" s="31" t="n"/>
      <c r="CA20" s="60" t="n"/>
      <c r="CB20" s="60" t="n"/>
      <c r="CC20" s="60">
        <f>CB20-CA20</f>
        <v/>
      </c>
      <c r="CD20" s="61">
        <f>IF(CA20=0,"",CB20/CA20)</f>
        <v/>
      </c>
      <c r="CE20" s="27" t="n"/>
      <c r="CF20" s="62" t="n"/>
      <c r="CG20" s="62" t="n"/>
      <c r="CH20" s="62">
        <f>CG20-CF20</f>
        <v/>
      </c>
      <c r="CI20" s="64">
        <f>IF(CF20=0,"",CG20/CF20)</f>
        <v/>
      </c>
      <c r="CJ20" s="31" t="n"/>
      <c r="CK20" s="60" t="n"/>
      <c r="CL20" s="60" t="n"/>
      <c r="CM20" s="60">
        <f>CL20-CK20</f>
        <v/>
      </c>
      <c r="CN20" s="61">
        <f>IF(CK20=0,"",CL20/CK20)</f>
        <v/>
      </c>
      <c r="CO20" s="27" t="n"/>
      <c r="CP20" s="62" t="n"/>
      <c r="CQ20" s="62" t="n"/>
      <c r="CR20" s="62">
        <f>CQ20-CP20</f>
        <v/>
      </c>
      <c r="CS20" s="64">
        <f>IF(CP20=0,"",CQ20/CP20)</f>
        <v/>
      </c>
      <c r="CT20" s="31" t="n"/>
      <c r="CU20" s="60" t="n"/>
      <c r="CV20" s="60" t="n"/>
      <c r="CW20" s="60">
        <f>CV20-CU20</f>
        <v/>
      </c>
      <c r="CX20" s="61">
        <f>IF(CU20=0,"",CV20/CU20)</f>
        <v/>
      </c>
      <c r="CY20" s="27" t="n"/>
      <c r="CZ20" s="62" t="n"/>
      <c r="DA20" s="62" t="n"/>
      <c r="DB20" s="62">
        <f>DA20-CZ20</f>
        <v/>
      </c>
      <c r="DC20" s="64">
        <f>IF(CZ20=0,"",DA20/CZ20)</f>
        <v/>
      </c>
      <c r="DD20" s="31" t="n"/>
      <c r="DE20" s="60" t="n"/>
      <c r="DF20" s="60" t="n"/>
      <c r="DG20" s="60">
        <f>DF20-DE20</f>
        <v/>
      </c>
      <c r="DH20" s="61">
        <f>IF(DE20=0,"",DF20/DE20)</f>
        <v/>
      </c>
      <c r="DI20" s="27" t="n"/>
      <c r="DJ20" s="62" t="n"/>
      <c r="DK20" s="62" t="n"/>
      <c r="DL20" s="62">
        <f>DK20-DJ20</f>
        <v/>
      </c>
      <c r="DM20" s="64">
        <f>IF(DJ20=0,"",DK20/DJ20)</f>
        <v/>
      </c>
      <c r="DN20" s="31" t="n"/>
      <c r="DO20" s="60" t="n"/>
    </row>
    <row r="21" ht="15" customHeight="1">
      <c r="A21" s="19" t="n"/>
      <c r="B21" s="20" t="n"/>
      <c r="C21" s="19" t="n"/>
      <c r="D21" s="58">
        <f>D22+D23+D24+D25+D26+D27+D28+D29+D30+D31+D32+D33+D34+D35+D36+D37+D38+D39+D40+D41+D42+D43</f>
        <v/>
      </c>
      <c r="E21" s="58">
        <f>E22+E23+E24+E25+E26+E27+E28+E29+E30+E31+E32+E33+E34+E35+E36+E37+E38+E39+E40+E41+E42+E43</f>
        <v/>
      </c>
      <c r="F21" s="58">
        <f>E21-D21</f>
        <v/>
      </c>
      <c r="G21" s="59">
        <f>IF(D21=0,"",E21/D21)</f>
        <v/>
      </c>
      <c r="H21" s="23" t="n"/>
      <c r="I21" s="58">
        <f>I22+I23+I24+I25+I26+I27+I28+I29+I30+I31+I32+I33+I34+I35+I36+I37+I38+I39+I40+I41+I42+I43</f>
        <v/>
      </c>
      <c r="J21" s="58">
        <f>J22+J23+J24+J25+J26+J27+J28+J29+J30+J31+J32+J33+J34+J35+J36+J37+J38+J39+J40+J41+J42+J43</f>
        <v/>
      </c>
      <c r="K21" s="58">
        <f>J21-I21</f>
        <v/>
      </c>
      <c r="L21" s="59">
        <f>IF(I21=0,"",J21/I21)</f>
        <v/>
      </c>
      <c r="M21" s="23" t="n"/>
      <c r="N21" s="58">
        <f>N22+N23+N24+N25+N26+N27+N28+N29+N30+N31+N32+N33+N34+N35+N36+N37+N38+N39+N40+N41+N42+N43</f>
        <v/>
      </c>
      <c r="O21" s="58">
        <f>O22+O23+O24+O25+O26+O27+O28+O29+O30+O31+O32+O33+O34+O35+O36+O37+O38+O39+O40+O41+O42+O43</f>
        <v/>
      </c>
      <c r="P21" s="58">
        <f>O21-N21</f>
        <v/>
      </c>
      <c r="Q21" s="59">
        <f>IF(N21=0,"",O21/N21)</f>
        <v/>
      </c>
      <c r="R21" s="23" t="n"/>
      <c r="S21" s="58">
        <f>S22+S23+S24+S25+S26+S27+S28+S29+S30+S31+S32+S33+S34+S35+S36+S37+S38+S39+S40+S41+S42+S43</f>
        <v/>
      </c>
      <c r="T21" s="58">
        <f>T22+T23+T24+T25+T26+T27+T28+T29+T30+T31+T32+T33+T34+T35+T36+T37+T38+T39+T40+T41+T42+T43</f>
        <v/>
      </c>
      <c r="U21" s="58">
        <f>T21-S21</f>
        <v/>
      </c>
      <c r="V21" s="59">
        <f>IF(S21=0,"",T21/S21)</f>
        <v/>
      </c>
      <c r="W21" s="23" t="n"/>
      <c r="X21" s="58">
        <f>X22+X23+X24+X25+X26+X27+X28+X29+X30+X31+X32+X33+X34+X35+X36+X37+X38+X39+X40+X41+X42+X43</f>
        <v/>
      </c>
      <c r="Y21" s="58">
        <f>Y22+Y23+Y24+Y25+Y26+Y27+Y28+Y29+Y30+Y31+Y32+Y33+Y34+Y35+Y36+Y37+Y38+Y39+Y40+Y41+Y42+Y43</f>
        <v/>
      </c>
      <c r="Z21" s="58">
        <f>Y21-X21</f>
        <v/>
      </c>
      <c r="AA21" s="59">
        <f>IF(X21=0,"",Y21/X21)</f>
        <v/>
      </c>
      <c r="AB21" s="23" t="n"/>
      <c r="AC21" s="58">
        <f>AC22+AC23+AC24+AC25+AC26+AC27+AC28+AC29+AC30+AC31+AC32+AC33+AC34+AC35+AC36+AC37+AC38+AC39+AC40+AC41+AC42+AC43</f>
        <v/>
      </c>
      <c r="AD21" s="58">
        <f>AD22+AD23+AD24+AD25+AD26+AD27+AD28+AD29+AD30+AD31+AD32+AD33+AD34+AD35+AD36+AD37+AD38+AD39+AD40+AD41+AD42+AD43</f>
        <v/>
      </c>
      <c r="AE21" s="58">
        <f>AD21-AC21</f>
        <v/>
      </c>
      <c r="AF21" s="59">
        <f>IF(AC21=0,"",AD21/AC21)</f>
        <v/>
      </c>
      <c r="AG21" s="23" t="n"/>
      <c r="AH21" s="58">
        <f>AH22+AH23+AH24+AH25+AH26+AH27+AH28+AH29+AH30+AH31+AH32+AH33+AH34+AH35+AH36+AH37+AH38+AH39+AH40+AH41+AH42+AH43</f>
        <v/>
      </c>
      <c r="AI21" s="58">
        <f>AI22+AI23+AI24+AI25+AI26+AI27+AI28+AI29+AI30+AI31+AI32+AI33+AI34+AI35+AI36+AI37+AI38+AI39+AI40+AI41+AI42+AI43</f>
        <v/>
      </c>
      <c r="AJ21" s="58">
        <f>AI21-AH21</f>
        <v/>
      </c>
      <c r="AK21" s="59">
        <f>IF(AH21=0,"",AI21/AH21)</f>
        <v/>
      </c>
      <c r="AL21" s="23" t="n"/>
      <c r="AM21" s="58">
        <f>AM22+AM23+AM24+AM25+AM26+AM27+AM28+AM29+AM30+AM31+AM32+AM33+AM34+AM35+AM36+AM37+AM38+AM39+AM40+AM41+AM42+AM43</f>
        <v/>
      </c>
      <c r="AN21" s="58">
        <f>AN22+AN23+AN24+AN25+AN26+AN27+AN28+AN29+AN30+AN31+AN32+AN33+AN34+AN35+AN36+AN37+AN38+AN39+AN40+AN41+AN42+AN43</f>
        <v/>
      </c>
      <c r="AO21" s="58">
        <f>AN21-AM21</f>
        <v/>
      </c>
      <c r="AP21" s="59">
        <f>IF(AM21=0,"",AN21/AM21)</f>
        <v/>
      </c>
      <c r="AQ21" s="23" t="n"/>
      <c r="AR21" s="58">
        <f>AR22+AR23+AR24+AR25+AR26+AR27+AR28+AR29+AR30+AR31+AR32+AR33+AR34+AR35+AR36+AR37+AR38+AR39+AR40+AR41+AR42+AR43</f>
        <v/>
      </c>
      <c r="AS21" s="58">
        <f>AS22+AS23+AS24+AS25+AS26+AS27+AS28+AS29+AS30+AS31+AS32+AS33+AS34+AS35+AS36+AS37+AS38+AS39+AS40+AS41+AS42+AS43</f>
        <v/>
      </c>
      <c r="AT21" s="58">
        <f>AS21-AR21</f>
        <v/>
      </c>
      <c r="AU21" s="59">
        <f>IF(AR21=0,"",AS21/AR21)</f>
        <v/>
      </c>
      <c r="AV21" s="23" t="n"/>
      <c r="AW21" s="58">
        <f>AW22+AW23+AW24+AW25+AW26+AW27+AW28+AW29+AW30+AW31+AW32+AW33+AW34+AW35+AW36+AW37+AW38+AW39+AW40+AW41+AW42+AW43</f>
        <v/>
      </c>
      <c r="AX21" s="58">
        <f>AX22+AX23+AX24+AX25+AX26+AX27+AX28+AX29+AX30+AX31+AX32+AX33+AX34+AX35+AX36+AX37+AX38+AX39+AX40+AX41+AX42+AX43</f>
        <v/>
      </c>
      <c r="AY21" s="58">
        <f>AX21-AW21</f>
        <v/>
      </c>
      <c r="AZ21" s="59">
        <f>IF(AW21=0,"",AX21/AW21)</f>
        <v/>
      </c>
      <c r="BA21" s="23" t="n"/>
      <c r="BB21" s="58">
        <f>BB22+BB23+BB24+BB25+BB26+BB27+BB28+BB29+BB30+BB31+BB32+BB33+BB34+BB35+BB36+BB37+BB38+BB39+BB40+BB41+BB42+BB43</f>
        <v/>
      </c>
      <c r="BC21" s="58">
        <f>BC22+BC23+BC24+BC25+BC26+BC27+BC28+BC29+BC30+BC31+BC32+BC33+BC34+BC35+BC36+BC37+BC38+BC39+BC40+BC41+BC42+BC43</f>
        <v/>
      </c>
      <c r="BD21" s="58">
        <f>BC21-BB21</f>
        <v/>
      </c>
      <c r="BE21" s="59">
        <f>IF(BB21=0,"",BC21/BB21)</f>
        <v/>
      </c>
      <c r="BF21" s="23" t="n"/>
      <c r="BG21" s="58">
        <f>BG22+BG23+BG24+BG25+BG26+BG27+BG28+BG29+BG30+BG31+BG32+BG33+BG34+BG35+BG36+BG37+BG38+BG39+BG40+BG41+BG42+BG43</f>
        <v/>
      </c>
      <c r="BH21" s="58">
        <f>BH22+BH23+BH24+BH25+BH26+BH27+BH28+BH29+BH30+BH31+BH32+BH33+BH34+BH35+BH36+BH37+BH38+BH39+BH40+BH41+BH42+BH43</f>
        <v/>
      </c>
      <c r="BI21" s="58">
        <f>BH21-BG21</f>
        <v/>
      </c>
      <c r="BJ21" s="59">
        <f>IF(BG21=0,"",BH21/BG21)</f>
        <v/>
      </c>
      <c r="BK21" s="23" t="n"/>
      <c r="BL21" s="58">
        <f>BL22+BL23+BL24+BL25+BL26+BL27+BL28+BL29+BL30+BL31+BL32+BL33+BL34+BL35+BL36+BL37+BL38+BL39+BL40+BL41+BL42+BL43</f>
        <v/>
      </c>
      <c r="BM21" s="58">
        <f>BM22+BM23+BM24+BM25+BM26+BM27+BM28+BM29+BM30+BM31+BM32+BM33+BM34+BM35+BM36+BM37+BM38+BM39+BM40+BM41+BM42+BM43</f>
        <v/>
      </c>
      <c r="BN21" s="58">
        <f>BM21-BL21</f>
        <v/>
      </c>
      <c r="BO21" s="59">
        <f>IF(BL21=0,"",BM21/BL21)</f>
        <v/>
      </c>
      <c r="BP21" s="23" t="n"/>
      <c r="BQ21" s="58">
        <f>BQ22+BQ23+BQ24+BQ25+BQ26+BQ27+BQ28+BQ29+BQ30+BQ31+BQ32+BQ33+BQ34+BQ35+BQ36+BQ37+BQ38+BQ39+BQ40+BQ41+BQ42+BQ43</f>
        <v/>
      </c>
      <c r="BR21" s="58">
        <f>BR22+BR23+BR24+BR25+BR26+BR27+BR28+BR29+BR30+BR31+BR32+BR33+BR34+BR35+BR36+BR37+BR38+BR39+BR40+BR41+BR42+BR43</f>
        <v/>
      </c>
      <c r="BS21" s="58">
        <f>BR21-BQ21</f>
        <v/>
      </c>
      <c r="BT21" s="59">
        <f>IF(BQ21=0,"",BR21/BQ21)</f>
        <v/>
      </c>
      <c r="BU21" s="23" t="n"/>
      <c r="BV21" s="58">
        <f>BV22+BV23+BV24+BV25+BV26+BV27+BV28+BV29+BV30+BV31+BV32+BV33+BV34+BV35+BV36+BV37+BV38+BV39+BV40+BV41+BV42+BV43</f>
        <v/>
      </c>
      <c r="BW21" s="58">
        <f>BW22+BW23+BW24+BW25+BW26+BW27+BW28+BW29+BW30+BW31+BW32+BW33+BW34+BW35+BW36+BW37+BW38+BW39+BW40+BW41+BW42+BW43</f>
        <v/>
      </c>
      <c r="BX21" s="58">
        <f>BW21-BV21</f>
        <v/>
      </c>
      <c r="BY21" s="59">
        <f>IF(BV21=0,"",BW21/BV21)</f>
        <v/>
      </c>
      <c r="BZ21" s="23" t="n"/>
      <c r="CA21" s="58">
        <f>CA22+CA23+CA24+CA25+CA26+CA27+CA28+CA29+CA30+CA31+CA32+CA33+CA34+CA35+CA36+CA37+CA38+CA39+CA40+CA41+CA42+CA43</f>
        <v/>
      </c>
      <c r="CB21" s="58">
        <f>CB22+CB23+CB24+CB25+CB26+CB27+CB28+CB29+CB30+CB31+CB32+CB33+CB34+CB35+CB36+CB37+CB38+CB39+CB40+CB41+CB42+CB43</f>
        <v/>
      </c>
      <c r="CC21" s="58">
        <f>CB21-CA21</f>
        <v/>
      </c>
      <c r="CD21" s="59">
        <f>IF(CA21=0,"",CB21/CA21)</f>
        <v/>
      </c>
      <c r="CE21" s="23" t="n"/>
      <c r="CF21" s="58">
        <f>CF22+CF23+CF24+CF25+CF26+CF27+CF28+CF29+CF30+CF31+CF32+CF33+CF34+CF35+CF36+CF37+CF38+CF39+CF40+CF41+CF42+CF43</f>
        <v/>
      </c>
      <c r="CG21" s="58">
        <f>CG22+CG23+CG24+CG25+CG26+CG27+CG28+CG29+CG30+CG31+CG32+CG33+CG34+CG35+CG36+CG37+CG38+CG39+CG40+CG41+CG42+CG43</f>
        <v/>
      </c>
      <c r="CH21" s="58">
        <f>CG21-CF21</f>
        <v/>
      </c>
      <c r="CI21" s="59">
        <f>IF(CF21=0,"",CG21/CF21)</f>
        <v/>
      </c>
      <c r="CJ21" s="23" t="n"/>
      <c r="CK21" s="58">
        <f>CK22+CK23+CK24+CK25+CK26+CK27+CK28+CK29+CK30+CK31+CK32+CK33+CK34+CK35+CK36+CK37+CK38+CK39+CK40+CK41+CK42+CK43</f>
        <v/>
      </c>
      <c r="CL21" s="58">
        <f>CL22+CL23+CL24+CL25+CL26+CL27+CL28+CL29+CL30+CL31+CL32+CL33+CL34+CL35+CL36+CL37+CL38+CL39+CL40+CL41+CL42+CL43</f>
        <v/>
      </c>
      <c r="CM21" s="58">
        <f>CL21-CK21</f>
        <v/>
      </c>
      <c r="CN21" s="59">
        <f>IF(CK21=0,"",CL21/CK21)</f>
        <v/>
      </c>
      <c r="CO21" s="23" t="n"/>
      <c r="CP21" s="58">
        <f>CP22+CP23+CP24+CP25+CP26+CP27+CP28+CP29+CP30+CP31+CP32+CP33+CP34+CP35+CP36+CP37+CP38+CP39+CP40+CP41+CP42+CP43</f>
        <v/>
      </c>
      <c r="CQ21" s="58">
        <f>CQ22+CQ23+CQ24+CQ25+CQ26+CQ27+CQ28+CQ29+CQ30+CQ31+CQ32+CQ33+CQ34+CQ35+CQ36+CQ37+CQ38+CQ39+CQ40+CQ41+CQ42+CQ43</f>
        <v/>
      </c>
      <c r="CR21" s="58">
        <f>CQ21-CP21</f>
        <v/>
      </c>
      <c r="CS21" s="59">
        <f>IF(CP21=0,"",CQ21/CP21)</f>
        <v/>
      </c>
      <c r="CT21" s="23" t="n"/>
      <c r="CU21" s="58">
        <f>CU22+CU23+CU24+CU25+CU26+CU27+CU28+CU29+CU30+CU31+CU32+CU33+CU34+CU35+CU36+CU37+CU38+CU39+CU40+CU41+CU42+CU43</f>
        <v/>
      </c>
      <c r="CV21" s="58">
        <f>CV22+CV23+CV24+CV25+CV26+CV27+CV28+CV29+CV30+CV31+CV32+CV33+CV34+CV35+CV36+CV37+CV38+CV39+CV40+CV41+CV42+CV43</f>
        <v/>
      </c>
      <c r="CW21" s="58">
        <f>CV21-CU21</f>
        <v/>
      </c>
      <c r="CX21" s="59">
        <f>IF(CU21=0,"",CV21/CU21)</f>
        <v/>
      </c>
      <c r="CY21" s="23" t="n"/>
      <c r="CZ21" s="58">
        <f>CZ22+CZ23+CZ24+CZ25+CZ26+CZ27+CZ28+CZ29+CZ30+CZ31+CZ32+CZ33+CZ34+CZ35+CZ36+CZ37+CZ38+CZ39+CZ40+CZ41+CZ42+CZ43</f>
        <v/>
      </c>
      <c r="DA21" s="58">
        <f>DA22+DA23+DA24+DA25+DA26+DA27+DA28+DA29+DA30+DA31+DA32+DA33+DA34+DA35+DA36+DA37+DA38+DA39+DA40+DA41+DA42+DA43</f>
        <v/>
      </c>
      <c r="DB21" s="58">
        <f>DA21-CZ21</f>
        <v/>
      </c>
      <c r="DC21" s="59">
        <f>IF(CZ21=0,"",DA21/CZ21)</f>
        <v/>
      </c>
      <c r="DD21" s="23" t="n"/>
      <c r="DE21" s="58">
        <f>DE22+DE23+DE24+DE25+DE26+DE27+DE28+DE29+DE30+DE31+DE32+DE33+DE34+DE35+DE36+DE37+DE38+DE39+DE40+DE41+DE42+DE43</f>
        <v/>
      </c>
      <c r="DF21" s="58">
        <f>DF22+DF23+DF24+DF25+DF26+DF27+DF28+DF29+DF30+DF31+DF32+DF33+DF34+DF35+DF36+DF37+DF38+DF39+DF40+DF41+DF42+DF43</f>
        <v/>
      </c>
      <c r="DG21" s="58">
        <f>DF21-DE21</f>
        <v/>
      </c>
      <c r="DH21" s="59">
        <f>IF(DE21=0,"",DF21/DE21)</f>
        <v/>
      </c>
      <c r="DI21" s="23" t="n"/>
      <c r="DJ21" s="58">
        <f>DJ22+DJ23+DJ24+DJ25+DJ26+DJ27+DJ28+DJ29+DJ30+DJ31+DJ32+DJ33+DJ34+DJ35+DJ36+DJ37+DJ38+DJ39+DJ40+DJ41+DJ42+DJ43</f>
        <v/>
      </c>
      <c r="DK21" s="58">
        <f>DK22+DK23+DK24+DK25+DK26+DK27+DK28+DK29+DK30+DK31+DK32+DK33+DK34+DK35+DK36+DK37+DK38+DK39+DK40+DK41+DK42+DK43</f>
        <v/>
      </c>
      <c r="DL21" s="58">
        <f>DK21-DJ21</f>
        <v/>
      </c>
      <c r="DM21" s="59">
        <f>IF(DJ21=0,"",DK21/DJ21)</f>
        <v/>
      </c>
      <c r="DN21" s="23" t="n"/>
      <c r="DO21" s="58">
        <f>DO22+DO23+DO24+DO25+DO26+DO27+DO28+DO29+DO30+DO31+DO32+DO33+DO34+DO35+DO36+DO37+DO38+DO39+DO40+DO41+DO42+DO43</f>
        <v/>
      </c>
    </row>
    <row r="22" outlineLevel="1" ht="15" customHeight="1">
      <c r="A22" s="24" t="n"/>
      <c r="B22" s="24" t="n"/>
      <c r="C22" s="24" t="n"/>
      <c r="D22" s="60" t="n"/>
      <c r="E22" s="60" t="n"/>
      <c r="F22" s="60">
        <f>E22-D22</f>
        <v/>
      </c>
      <c r="G22" s="61">
        <f>IF(D22=0,"",E22/D22)</f>
        <v/>
      </c>
      <c r="H22" s="27" t="n"/>
      <c r="I22" s="60" t="n"/>
      <c r="J22" s="60" t="n"/>
      <c r="K22" s="60">
        <f>J22-I22</f>
        <v/>
      </c>
      <c r="L22" s="61">
        <f>IF(I22=0,"",J22/I22)</f>
        <v/>
      </c>
      <c r="M22" s="27" t="n"/>
      <c r="N22" s="62" t="n"/>
      <c r="O22" s="62" t="n"/>
      <c r="P22" s="63">
        <f>O22-N22</f>
        <v/>
      </c>
      <c r="Q22" s="64">
        <f>IF(N22=0,"",O22/N22)</f>
        <v/>
      </c>
      <c r="R22" s="31" t="n"/>
      <c r="S22" s="60" t="n"/>
      <c r="T22" s="60" t="n"/>
      <c r="U22" s="60">
        <f>T22-S22</f>
        <v/>
      </c>
      <c r="V22" s="61">
        <f>IF(S22=0,"",T22/S22)</f>
        <v/>
      </c>
      <c r="W22" s="27" t="n"/>
      <c r="X22" s="62" t="n"/>
      <c r="Y22" s="62" t="n"/>
      <c r="Z22" s="63">
        <f>Y22-X22</f>
        <v/>
      </c>
      <c r="AA22" s="64">
        <f>IF(X22=0,"",Y22/X22)</f>
        <v/>
      </c>
      <c r="AB22" s="31" t="n"/>
      <c r="AC22" s="60" t="n"/>
      <c r="AD22" s="60" t="n"/>
      <c r="AE22" s="60">
        <f>AD22-AC22</f>
        <v/>
      </c>
      <c r="AF22" s="61">
        <f>IF(AC22=0,"",AD22/AC22)</f>
        <v/>
      </c>
      <c r="AG22" s="27" t="n"/>
      <c r="AH22" s="62" t="n"/>
      <c r="AI22" s="62" t="n"/>
      <c r="AJ22" s="62">
        <f>AI22-AH22</f>
        <v/>
      </c>
      <c r="AK22" s="64">
        <f>IF(AH22=0,"",AI22/AH22)</f>
        <v/>
      </c>
      <c r="AL22" s="31" t="n"/>
      <c r="AM22" s="60" t="n"/>
      <c r="AN22" s="60" t="n"/>
      <c r="AO22" s="60">
        <f>AN22-AM22</f>
        <v/>
      </c>
      <c r="AP22" s="61">
        <f>IF(AM22=0,"",AN22/AM22)</f>
        <v/>
      </c>
      <c r="AQ22" s="27" t="n"/>
      <c r="AR22" s="62" t="n"/>
      <c r="AS22" s="62" t="n"/>
      <c r="AT22" s="62">
        <f>AS22-AR22</f>
        <v/>
      </c>
      <c r="AU22" s="64">
        <f>IF(AR22=0,"",AS22/AR22)</f>
        <v/>
      </c>
      <c r="AV22" s="31" t="n"/>
      <c r="AW22" s="60" t="n"/>
      <c r="AX22" s="60" t="n"/>
      <c r="AY22" s="60">
        <f>AX22-AW22</f>
        <v/>
      </c>
      <c r="AZ22" s="61">
        <f>IF(AW22=0,"",AX22/AW22)</f>
        <v/>
      </c>
      <c r="BA22" s="27" t="n"/>
      <c r="BB22" s="62" t="n"/>
      <c r="BC22" s="62" t="n"/>
      <c r="BD22" s="62">
        <f>BC22-BB22</f>
        <v/>
      </c>
      <c r="BE22" s="64">
        <f>IF(BB22=0,"",BC22/BB22)</f>
        <v/>
      </c>
      <c r="BF22" s="31" t="n"/>
      <c r="BG22" s="60" t="n"/>
      <c r="BH22" s="60" t="n"/>
      <c r="BI22" s="60">
        <f>BH22-BG22</f>
        <v/>
      </c>
      <c r="BJ22" s="61">
        <f>IF(BG22=0,"",BH22/BG22)</f>
        <v/>
      </c>
      <c r="BK22" s="27" t="n"/>
      <c r="BL22" s="62" t="n"/>
      <c r="BM22" s="62" t="n"/>
      <c r="BN22" s="62">
        <f>BM22-BL22</f>
        <v/>
      </c>
      <c r="BO22" s="64">
        <f>IF(BL22=0,"",BM22/BL22)</f>
        <v/>
      </c>
      <c r="BP22" s="31" t="n"/>
      <c r="BQ22" s="60" t="n"/>
      <c r="BR22" s="60" t="n"/>
      <c r="BS22" s="60">
        <f>BR22-BQ22</f>
        <v/>
      </c>
      <c r="BT22" s="61">
        <f>IF(BQ22=0,"",BR22/BQ22)</f>
        <v/>
      </c>
      <c r="BU22" s="27" t="n"/>
      <c r="BV22" s="62" t="n"/>
      <c r="BW22" s="62" t="n"/>
      <c r="BX22" s="62">
        <f>BW22-BV22</f>
        <v/>
      </c>
      <c r="BY22" s="64">
        <f>IF(BV22=0,"",BW22/BV22)</f>
        <v/>
      </c>
      <c r="BZ22" s="31" t="n"/>
      <c r="CA22" s="60" t="n"/>
      <c r="CB22" s="60" t="n"/>
      <c r="CC22" s="60">
        <f>CB22-CA22</f>
        <v/>
      </c>
      <c r="CD22" s="61">
        <f>IF(CA22=0,"",CB22/CA22)</f>
        <v/>
      </c>
      <c r="CE22" s="27" t="n"/>
      <c r="CF22" s="62" t="n"/>
      <c r="CG22" s="62" t="n"/>
      <c r="CH22" s="62">
        <f>CG22-CF22</f>
        <v/>
      </c>
      <c r="CI22" s="64">
        <f>IF(CF22=0,"",CG22/CF22)</f>
        <v/>
      </c>
      <c r="CJ22" s="31" t="n"/>
      <c r="CK22" s="60" t="n"/>
      <c r="CL22" s="60" t="n"/>
      <c r="CM22" s="60">
        <f>CL22-CK22</f>
        <v/>
      </c>
      <c r="CN22" s="61">
        <f>IF(CK22=0,"",CL22/CK22)</f>
        <v/>
      </c>
      <c r="CO22" s="27" t="n"/>
      <c r="CP22" s="62" t="n"/>
      <c r="CQ22" s="62" t="n"/>
      <c r="CR22" s="62">
        <f>CQ22-CP22</f>
        <v/>
      </c>
      <c r="CS22" s="64">
        <f>IF(CP22=0,"",CQ22/CP22)</f>
        <v/>
      </c>
      <c r="CT22" s="31" t="n"/>
      <c r="CU22" s="60" t="n"/>
      <c r="CV22" s="60" t="n"/>
      <c r="CW22" s="60">
        <f>CV22-CU22</f>
        <v/>
      </c>
      <c r="CX22" s="61">
        <f>IF(CU22=0,"",CV22/CU22)</f>
        <v/>
      </c>
      <c r="CY22" s="27" t="n"/>
      <c r="CZ22" s="62" t="n"/>
      <c r="DA22" s="62" t="n"/>
      <c r="DB22" s="62">
        <f>DA22-CZ22</f>
        <v/>
      </c>
      <c r="DC22" s="64">
        <f>IF(CZ22=0,"",DA22/CZ22)</f>
        <v/>
      </c>
      <c r="DD22" s="31" t="n"/>
      <c r="DE22" s="60" t="n"/>
      <c r="DF22" s="60" t="n"/>
      <c r="DG22" s="60">
        <f>DF22-DE22</f>
        <v/>
      </c>
      <c r="DH22" s="61">
        <f>IF(DE22=0,"",DF22/DE22)</f>
        <v/>
      </c>
      <c r="DI22" s="27" t="n"/>
      <c r="DJ22" s="62" t="n"/>
      <c r="DK22" s="62" t="n"/>
      <c r="DL22" s="62">
        <f>DK22-DJ22</f>
        <v/>
      </c>
      <c r="DM22" s="64">
        <f>IF(DJ22=0,"",DK22/DJ22)</f>
        <v/>
      </c>
      <c r="DN22" s="31" t="n"/>
      <c r="DO22" s="60" t="n"/>
    </row>
    <row r="23" outlineLevel="1" ht="15" customHeight="1">
      <c r="A23" s="24" t="n"/>
      <c r="B23" s="24" t="n"/>
      <c r="C23" s="24" t="n"/>
      <c r="D23" s="60" t="n"/>
      <c r="E23" s="60" t="n"/>
      <c r="F23" s="60">
        <f>E23-D23</f>
        <v/>
      </c>
      <c r="G23" s="61">
        <f>IF(D23=0,"",E23/D23)</f>
        <v/>
      </c>
      <c r="H23" s="27" t="n"/>
      <c r="I23" s="60" t="n"/>
      <c r="J23" s="60" t="n"/>
      <c r="K23" s="60">
        <f>J23-I23</f>
        <v/>
      </c>
      <c r="L23" s="61">
        <f>IF(I23=0,"",J23/I23)</f>
        <v/>
      </c>
      <c r="M23" s="27" t="n"/>
      <c r="N23" s="62" t="n"/>
      <c r="O23" s="62" t="n"/>
      <c r="P23" s="62">
        <f>O23-N23</f>
        <v/>
      </c>
      <c r="Q23" s="64">
        <f>IF(N23=0,"",O23/N23)</f>
        <v/>
      </c>
      <c r="R23" s="31" t="n"/>
      <c r="S23" s="60" t="n"/>
      <c r="T23" s="60" t="n"/>
      <c r="U23" s="60">
        <f>T23-S23</f>
        <v/>
      </c>
      <c r="V23" s="61">
        <f>IF(S23=0,"",T23/S23)</f>
        <v/>
      </c>
      <c r="W23" s="27" t="n"/>
      <c r="X23" s="62" t="n"/>
      <c r="Y23" s="62" t="n"/>
      <c r="Z23" s="63">
        <f>Y23-X23</f>
        <v/>
      </c>
      <c r="AA23" s="64">
        <f>IF(X23=0,"",Y23/X23)</f>
        <v/>
      </c>
      <c r="AB23" s="31" t="n"/>
      <c r="AC23" s="60" t="n"/>
      <c r="AD23" s="60" t="n"/>
      <c r="AE23" s="60">
        <f>AD23-AC23</f>
        <v/>
      </c>
      <c r="AF23" s="61">
        <f>IF(AC23=0,"",AD23/AC23)</f>
        <v/>
      </c>
      <c r="AG23" s="27" t="n"/>
      <c r="AH23" s="62" t="n"/>
      <c r="AI23" s="62" t="n"/>
      <c r="AJ23" s="62">
        <f>AI23-AH23</f>
        <v/>
      </c>
      <c r="AK23" s="64">
        <f>IF(AH23=0,"",AI23/AH23)</f>
        <v/>
      </c>
      <c r="AL23" s="31" t="n"/>
      <c r="AM23" s="60" t="n"/>
      <c r="AN23" s="60" t="n"/>
      <c r="AO23" s="60">
        <f>AN23-AM23</f>
        <v/>
      </c>
      <c r="AP23" s="61">
        <f>IF(AM23=0,"",AN23/AM23)</f>
        <v/>
      </c>
      <c r="AQ23" s="27" t="n"/>
      <c r="AR23" s="62" t="n"/>
      <c r="AS23" s="62" t="n"/>
      <c r="AT23" s="62">
        <f>AS23-AR23</f>
        <v/>
      </c>
      <c r="AU23" s="64">
        <f>IF(AR23=0,"",AS23/AR23)</f>
        <v/>
      </c>
      <c r="AV23" s="31" t="n"/>
      <c r="AW23" s="60" t="n"/>
      <c r="AX23" s="60" t="n"/>
      <c r="AY23" s="60">
        <f>AX23-AW23</f>
        <v/>
      </c>
      <c r="AZ23" s="61">
        <f>IF(AW23=0,"",AX23/AW23)</f>
        <v/>
      </c>
      <c r="BA23" s="27" t="n"/>
      <c r="BB23" s="62" t="n"/>
      <c r="BC23" s="62" t="n"/>
      <c r="BD23" s="62">
        <f>BC23-BB23</f>
        <v/>
      </c>
      <c r="BE23" s="64">
        <f>IF(BB23=0,"",BC23/BB23)</f>
        <v/>
      </c>
      <c r="BF23" s="31" t="n"/>
      <c r="BG23" s="60" t="n"/>
      <c r="BH23" s="60" t="n"/>
      <c r="BI23" s="60">
        <f>BH23-BG23</f>
        <v/>
      </c>
      <c r="BJ23" s="61">
        <f>IF(BG23=0,"",BH23/BG23)</f>
        <v/>
      </c>
      <c r="BK23" s="27" t="n"/>
      <c r="BL23" s="62" t="n"/>
      <c r="BM23" s="62" t="n"/>
      <c r="BN23" s="62">
        <f>BM23-BL23</f>
        <v/>
      </c>
      <c r="BO23" s="64">
        <f>IF(BL23=0,"",BM23/BL23)</f>
        <v/>
      </c>
      <c r="BP23" s="31" t="n"/>
      <c r="BQ23" s="60" t="n"/>
      <c r="BR23" s="60" t="n"/>
      <c r="BS23" s="60">
        <f>BR23-BQ23</f>
        <v/>
      </c>
      <c r="BT23" s="61">
        <f>IF(BQ23=0,"",BR23/BQ23)</f>
        <v/>
      </c>
      <c r="BU23" s="27" t="n"/>
      <c r="BV23" s="62" t="n"/>
      <c r="BW23" s="62" t="n"/>
      <c r="BX23" s="62">
        <f>BW23-BV23</f>
        <v/>
      </c>
      <c r="BY23" s="64">
        <f>IF(BV23=0,"",BW23/BV23)</f>
        <v/>
      </c>
      <c r="BZ23" s="31" t="n"/>
      <c r="CA23" s="60" t="n"/>
      <c r="CB23" s="60" t="n"/>
      <c r="CC23" s="60">
        <f>CB23-CA23</f>
        <v/>
      </c>
      <c r="CD23" s="61">
        <f>IF(CA23=0,"",CB23/CA23)</f>
        <v/>
      </c>
      <c r="CE23" s="27" t="n"/>
      <c r="CF23" s="62" t="n"/>
      <c r="CG23" s="62" t="n"/>
      <c r="CH23" s="62">
        <f>CG23-CF23</f>
        <v/>
      </c>
      <c r="CI23" s="64">
        <f>IF(CF23=0,"",CG23/CF23)</f>
        <v/>
      </c>
      <c r="CJ23" s="31" t="n"/>
      <c r="CK23" s="60" t="n"/>
      <c r="CL23" s="60" t="n"/>
      <c r="CM23" s="60">
        <f>CL23-CK23</f>
        <v/>
      </c>
      <c r="CN23" s="61">
        <f>IF(CK23=0,"",CL23/CK23)</f>
        <v/>
      </c>
      <c r="CO23" s="27" t="n"/>
      <c r="CP23" s="62" t="n"/>
      <c r="CQ23" s="62" t="n"/>
      <c r="CR23" s="62">
        <f>CQ23-CP23</f>
        <v/>
      </c>
      <c r="CS23" s="64">
        <f>IF(CP23=0,"",CQ23/CP23)</f>
        <v/>
      </c>
      <c r="CT23" s="31" t="n"/>
      <c r="CU23" s="60" t="n"/>
      <c r="CV23" s="60" t="n"/>
      <c r="CW23" s="60">
        <f>CV23-CU23</f>
        <v/>
      </c>
      <c r="CX23" s="61">
        <f>IF(CU23=0,"",CV23/CU23)</f>
        <v/>
      </c>
      <c r="CY23" s="27" t="n"/>
      <c r="CZ23" s="62" t="n"/>
      <c r="DA23" s="62" t="n"/>
      <c r="DB23" s="62">
        <f>DA23-CZ23</f>
        <v/>
      </c>
      <c r="DC23" s="64">
        <f>IF(CZ23=0,"",DA23/CZ23)</f>
        <v/>
      </c>
      <c r="DD23" s="31" t="n"/>
      <c r="DE23" s="60" t="n"/>
      <c r="DF23" s="60" t="n"/>
      <c r="DG23" s="60">
        <f>DF23-DE23</f>
        <v/>
      </c>
      <c r="DH23" s="61">
        <f>IF(DE23=0,"",DF23/DE23)</f>
        <v/>
      </c>
      <c r="DI23" s="27" t="n"/>
      <c r="DJ23" s="62" t="n"/>
      <c r="DK23" s="62" t="n"/>
      <c r="DL23" s="62">
        <f>DK23-DJ23</f>
        <v/>
      </c>
      <c r="DM23" s="64">
        <f>IF(DJ23=0,"",DK23/DJ23)</f>
        <v/>
      </c>
      <c r="DN23" s="31" t="n"/>
      <c r="DO23" s="60" t="n"/>
    </row>
    <row r="24" outlineLevel="1" ht="15" customHeight="1">
      <c r="A24" s="24" t="n"/>
      <c r="B24" s="24" t="n"/>
      <c r="C24" s="24" t="n"/>
      <c r="D24" s="60" t="n"/>
      <c r="E24" s="60" t="n"/>
      <c r="F24" s="60">
        <f>E24-D24</f>
        <v/>
      </c>
      <c r="G24" s="61">
        <f>IF(D24=0,"",E24/D24)</f>
        <v/>
      </c>
      <c r="H24" s="27" t="n"/>
      <c r="I24" s="60" t="n"/>
      <c r="J24" s="60" t="n"/>
      <c r="K24" s="60">
        <f>J24-I24</f>
        <v/>
      </c>
      <c r="L24" s="61">
        <f>IF(I24=0,"",J24/I24)</f>
        <v/>
      </c>
      <c r="M24" s="27" t="n"/>
      <c r="N24" s="62" t="n"/>
      <c r="O24" s="62" t="n"/>
      <c r="P24" s="62">
        <f>O24-N24</f>
        <v/>
      </c>
      <c r="Q24" s="64">
        <f>IF(N24=0,"",O24/N24)</f>
        <v/>
      </c>
      <c r="R24" s="31" t="n"/>
      <c r="S24" s="60" t="n"/>
      <c r="T24" s="60" t="n"/>
      <c r="U24" s="60">
        <f>T24-S24</f>
        <v/>
      </c>
      <c r="V24" s="61">
        <f>IF(S24=0,"",T24/S24)</f>
        <v/>
      </c>
      <c r="W24" s="27" t="n"/>
      <c r="X24" s="62" t="n"/>
      <c r="Y24" s="62" t="n"/>
      <c r="Z24" s="62">
        <f>Y24-X24</f>
        <v/>
      </c>
      <c r="AA24" s="64">
        <f>IF(X24=0,"",Y24/X24)</f>
        <v/>
      </c>
      <c r="AB24" s="31" t="n"/>
      <c r="AC24" s="60" t="n"/>
      <c r="AD24" s="60" t="n"/>
      <c r="AE24" s="60">
        <f>AD24-AC24</f>
        <v/>
      </c>
      <c r="AF24" s="61">
        <f>IF(AC24=0,"",AD24/AC24)</f>
        <v/>
      </c>
      <c r="AG24" s="27" t="n"/>
      <c r="AH24" s="62" t="n"/>
      <c r="AI24" s="62" t="n"/>
      <c r="AJ24" s="62">
        <f>AI24-AH24</f>
        <v/>
      </c>
      <c r="AK24" s="64">
        <f>IF(AH24=0,"",AI24/AH24)</f>
        <v/>
      </c>
      <c r="AL24" s="31" t="n"/>
      <c r="AM24" s="60" t="n"/>
      <c r="AN24" s="60" t="n"/>
      <c r="AO24" s="60">
        <f>AN24-AM24</f>
        <v/>
      </c>
      <c r="AP24" s="61">
        <f>IF(AM24=0,"",AN24/AM24)</f>
        <v/>
      </c>
      <c r="AQ24" s="27" t="n"/>
      <c r="AR24" s="62" t="n"/>
      <c r="AS24" s="62" t="n"/>
      <c r="AT24" s="62">
        <f>AS24-AR24</f>
        <v/>
      </c>
      <c r="AU24" s="64">
        <f>IF(AR24=0,"",AS24/AR24)</f>
        <v/>
      </c>
      <c r="AV24" s="31" t="n"/>
      <c r="AW24" s="60" t="n"/>
      <c r="AX24" s="60" t="n"/>
      <c r="AY24" s="60">
        <f>AX24-AW24</f>
        <v/>
      </c>
      <c r="AZ24" s="61">
        <f>IF(AW24=0,"",AX24/AW24)</f>
        <v/>
      </c>
      <c r="BA24" s="27" t="n"/>
      <c r="BB24" s="62" t="n"/>
      <c r="BC24" s="62" t="n"/>
      <c r="BD24" s="62">
        <f>BC24-BB24</f>
        <v/>
      </c>
      <c r="BE24" s="64">
        <f>IF(BB24=0,"",BC24/BB24)</f>
        <v/>
      </c>
      <c r="BF24" s="31" t="n"/>
      <c r="BG24" s="60" t="n"/>
      <c r="BH24" s="60" t="n"/>
      <c r="BI24" s="60">
        <f>BH24-BG24</f>
        <v/>
      </c>
      <c r="BJ24" s="61">
        <f>IF(BG24=0,"",BH24/BG24)</f>
        <v/>
      </c>
      <c r="BK24" s="27" t="n"/>
      <c r="BL24" s="62" t="n"/>
      <c r="BM24" s="62" t="n"/>
      <c r="BN24" s="62">
        <f>BM24-BL24</f>
        <v/>
      </c>
      <c r="BO24" s="64">
        <f>IF(BL24=0,"",BM24/BL24)</f>
        <v/>
      </c>
      <c r="BP24" s="31" t="n"/>
      <c r="BQ24" s="60" t="n"/>
      <c r="BR24" s="60" t="n"/>
      <c r="BS24" s="60">
        <f>BR24-BQ24</f>
        <v/>
      </c>
      <c r="BT24" s="61">
        <f>IF(BQ24=0,"",BR24/BQ24)</f>
        <v/>
      </c>
      <c r="BU24" s="27" t="n"/>
      <c r="BV24" s="62" t="n"/>
      <c r="BW24" s="62" t="n"/>
      <c r="BX24" s="62">
        <f>BW24-BV24</f>
        <v/>
      </c>
      <c r="BY24" s="64">
        <f>IF(BV24=0,"",BW24/BV24)</f>
        <v/>
      </c>
      <c r="BZ24" s="31" t="n"/>
      <c r="CA24" s="60" t="n"/>
      <c r="CB24" s="60" t="n"/>
      <c r="CC24" s="60">
        <f>CB24-CA24</f>
        <v/>
      </c>
      <c r="CD24" s="61">
        <f>IF(CA24=0,"",CB24/CA24)</f>
        <v/>
      </c>
      <c r="CE24" s="27" t="n"/>
      <c r="CF24" s="62" t="n"/>
      <c r="CG24" s="62" t="n"/>
      <c r="CH24" s="62">
        <f>CG24-CF24</f>
        <v/>
      </c>
      <c r="CI24" s="64">
        <f>IF(CF24=0,"",CG24/CF24)</f>
        <v/>
      </c>
      <c r="CJ24" s="31" t="n"/>
      <c r="CK24" s="60" t="n"/>
      <c r="CL24" s="60" t="n"/>
      <c r="CM24" s="60">
        <f>CL24-CK24</f>
        <v/>
      </c>
      <c r="CN24" s="61">
        <f>IF(CK24=0,"",CL24/CK24)</f>
        <v/>
      </c>
      <c r="CO24" s="27" t="n"/>
      <c r="CP24" s="62" t="n"/>
      <c r="CQ24" s="62" t="n"/>
      <c r="CR24" s="62">
        <f>CQ24-CP24</f>
        <v/>
      </c>
      <c r="CS24" s="64">
        <f>IF(CP24=0,"",CQ24/CP24)</f>
        <v/>
      </c>
      <c r="CT24" s="31" t="n"/>
      <c r="CU24" s="60" t="n"/>
      <c r="CV24" s="60" t="n"/>
      <c r="CW24" s="60">
        <f>CV24-CU24</f>
        <v/>
      </c>
      <c r="CX24" s="61">
        <f>IF(CU24=0,"",CV24/CU24)</f>
        <v/>
      </c>
      <c r="CY24" s="27" t="n"/>
      <c r="CZ24" s="62" t="n"/>
      <c r="DA24" s="62" t="n"/>
      <c r="DB24" s="62">
        <f>DA24-CZ24</f>
        <v/>
      </c>
      <c r="DC24" s="64">
        <f>IF(CZ24=0,"",DA24/CZ24)</f>
        <v/>
      </c>
      <c r="DD24" s="31" t="n"/>
      <c r="DE24" s="60" t="n"/>
      <c r="DF24" s="60" t="n"/>
      <c r="DG24" s="60">
        <f>DF24-DE24</f>
        <v/>
      </c>
      <c r="DH24" s="61">
        <f>IF(DE24=0,"",DF24/DE24)</f>
        <v/>
      </c>
      <c r="DI24" s="27" t="n"/>
      <c r="DJ24" s="62" t="n"/>
      <c r="DK24" s="62" t="n"/>
      <c r="DL24" s="62">
        <f>DK24-DJ24</f>
        <v/>
      </c>
      <c r="DM24" s="64">
        <f>IF(DJ24=0,"",DK24/DJ24)</f>
        <v/>
      </c>
      <c r="DN24" s="31" t="n"/>
      <c r="DO24" s="60" t="n"/>
    </row>
    <row r="25" outlineLevel="1" ht="15" customHeight="1">
      <c r="A25" s="24" t="n"/>
      <c r="B25" s="24" t="n"/>
      <c r="C25" s="24" t="n"/>
      <c r="D25" s="60" t="n"/>
      <c r="E25" s="60" t="n"/>
      <c r="F25" s="60">
        <f>E25-D25</f>
        <v/>
      </c>
      <c r="G25" s="61">
        <f>IF(D25=0,"",E25/D25)</f>
        <v/>
      </c>
      <c r="H25" s="27" t="n"/>
      <c r="I25" s="60" t="n"/>
      <c r="J25" s="60" t="n"/>
      <c r="K25" s="60">
        <f>J25-I25</f>
        <v/>
      </c>
      <c r="L25" s="61">
        <f>IF(I25=0,"",J25/I25)</f>
        <v/>
      </c>
      <c r="M25" s="27" t="n"/>
      <c r="N25" s="62" t="n"/>
      <c r="O25" s="62" t="n"/>
      <c r="P25" s="62">
        <f>O25-N25</f>
        <v/>
      </c>
      <c r="Q25" s="64">
        <f>IF(N25=0,"",O25/N25)</f>
        <v/>
      </c>
      <c r="R25" s="31" t="n"/>
      <c r="S25" s="60" t="n"/>
      <c r="T25" s="60" t="n"/>
      <c r="U25" s="60">
        <f>T25-S25</f>
        <v/>
      </c>
      <c r="V25" s="61">
        <f>IF(S25=0,"",T25/S25)</f>
        <v/>
      </c>
      <c r="W25" s="27" t="n"/>
      <c r="X25" s="62" t="n"/>
      <c r="Y25" s="62" t="n"/>
      <c r="Z25" s="62">
        <f>Y25-X25</f>
        <v/>
      </c>
      <c r="AA25" s="64">
        <f>IF(X25=0,"",Y25/X25)</f>
        <v/>
      </c>
      <c r="AB25" s="31" t="n"/>
      <c r="AC25" s="60" t="n"/>
      <c r="AD25" s="60" t="n"/>
      <c r="AE25" s="60">
        <f>AD25-AC25</f>
        <v/>
      </c>
      <c r="AF25" s="61">
        <f>IF(AC25=0,"",AD25/AC25)</f>
        <v/>
      </c>
      <c r="AG25" s="27" t="n"/>
      <c r="AH25" s="62" t="n"/>
      <c r="AI25" s="62" t="n"/>
      <c r="AJ25" s="62">
        <f>AI25-AH25</f>
        <v/>
      </c>
      <c r="AK25" s="64">
        <f>IF(AH25=0,"",AI25/AH25)</f>
        <v/>
      </c>
      <c r="AL25" s="31" t="n"/>
      <c r="AM25" s="60" t="n"/>
      <c r="AN25" s="60" t="n"/>
      <c r="AO25" s="60">
        <f>AN25-AM25</f>
        <v/>
      </c>
      <c r="AP25" s="61">
        <f>IF(AM25=0,"",AN25/AM25)</f>
        <v/>
      </c>
      <c r="AQ25" s="27" t="n"/>
      <c r="AR25" s="62" t="n"/>
      <c r="AS25" s="62" t="n"/>
      <c r="AT25" s="62">
        <f>AS25-AR25</f>
        <v/>
      </c>
      <c r="AU25" s="64">
        <f>IF(AR25=0,"",AS25/AR25)</f>
        <v/>
      </c>
      <c r="AV25" s="31" t="n"/>
      <c r="AW25" s="60" t="n"/>
      <c r="AX25" s="60" t="n"/>
      <c r="AY25" s="60">
        <f>AX25-AW25</f>
        <v/>
      </c>
      <c r="AZ25" s="61">
        <f>IF(AW25=0,"",AX25/AW25)</f>
        <v/>
      </c>
      <c r="BA25" s="27" t="n"/>
      <c r="BB25" s="62" t="n"/>
      <c r="BC25" s="62" t="n"/>
      <c r="BD25" s="62">
        <f>BC25-BB25</f>
        <v/>
      </c>
      <c r="BE25" s="64">
        <f>IF(BB25=0,"",BC25/BB25)</f>
        <v/>
      </c>
      <c r="BF25" s="31" t="n"/>
      <c r="BG25" s="60" t="n"/>
      <c r="BH25" s="60" t="n"/>
      <c r="BI25" s="60">
        <f>BH25-BG25</f>
        <v/>
      </c>
      <c r="BJ25" s="61">
        <f>IF(BG25=0,"",BH25/BG25)</f>
        <v/>
      </c>
      <c r="BK25" s="27" t="n"/>
      <c r="BL25" s="62" t="n"/>
      <c r="BM25" s="62" t="n"/>
      <c r="BN25" s="62">
        <f>BM25-BL25</f>
        <v/>
      </c>
      <c r="BO25" s="64">
        <f>IF(BL25=0,"",BM25/BL25)</f>
        <v/>
      </c>
      <c r="BP25" s="31" t="n"/>
      <c r="BQ25" s="60" t="n"/>
      <c r="BR25" s="60" t="n"/>
      <c r="BS25" s="60">
        <f>BR25-BQ25</f>
        <v/>
      </c>
      <c r="BT25" s="61">
        <f>IF(BQ25=0,"",BR25/BQ25)</f>
        <v/>
      </c>
      <c r="BU25" s="27" t="n"/>
      <c r="BV25" s="62" t="n"/>
      <c r="BW25" s="62" t="n"/>
      <c r="BX25" s="62">
        <f>BW25-BV25</f>
        <v/>
      </c>
      <c r="BY25" s="64">
        <f>IF(BV25=0,"",BW25/BV25)</f>
        <v/>
      </c>
      <c r="BZ25" s="31" t="n"/>
      <c r="CA25" s="60" t="n"/>
      <c r="CB25" s="60" t="n"/>
      <c r="CC25" s="60">
        <f>CB25-CA25</f>
        <v/>
      </c>
      <c r="CD25" s="61">
        <f>IF(CA25=0,"",CB25/CA25)</f>
        <v/>
      </c>
      <c r="CE25" s="27" t="n"/>
      <c r="CF25" s="62" t="n"/>
      <c r="CG25" s="62" t="n"/>
      <c r="CH25" s="62">
        <f>CG25-CF25</f>
        <v/>
      </c>
      <c r="CI25" s="64">
        <f>IF(CF25=0,"",CG25/CF25)</f>
        <v/>
      </c>
      <c r="CJ25" s="31" t="n"/>
      <c r="CK25" s="60" t="n"/>
      <c r="CL25" s="60" t="n"/>
      <c r="CM25" s="60">
        <f>CL25-CK25</f>
        <v/>
      </c>
      <c r="CN25" s="61">
        <f>IF(CK25=0,"",CL25/CK25)</f>
        <v/>
      </c>
      <c r="CO25" s="27" t="n"/>
      <c r="CP25" s="62" t="n"/>
      <c r="CQ25" s="62" t="n"/>
      <c r="CR25" s="62">
        <f>CQ25-CP25</f>
        <v/>
      </c>
      <c r="CS25" s="64">
        <f>IF(CP25=0,"",CQ25/CP25)</f>
        <v/>
      </c>
      <c r="CT25" s="31" t="n"/>
      <c r="CU25" s="60" t="n"/>
      <c r="CV25" s="60" t="n"/>
      <c r="CW25" s="60">
        <f>CV25-CU25</f>
        <v/>
      </c>
      <c r="CX25" s="61">
        <f>IF(CU25=0,"",CV25/CU25)</f>
        <v/>
      </c>
      <c r="CY25" s="27" t="n"/>
      <c r="CZ25" s="62" t="n"/>
      <c r="DA25" s="62" t="n"/>
      <c r="DB25" s="62">
        <f>DA25-CZ25</f>
        <v/>
      </c>
      <c r="DC25" s="64">
        <f>IF(CZ25=0,"",DA25/CZ25)</f>
        <v/>
      </c>
      <c r="DD25" s="31" t="n"/>
      <c r="DE25" s="60" t="n"/>
      <c r="DF25" s="60" t="n"/>
      <c r="DG25" s="60">
        <f>DF25-DE25</f>
        <v/>
      </c>
      <c r="DH25" s="61">
        <f>IF(DE25=0,"",DF25/DE25)</f>
        <v/>
      </c>
      <c r="DI25" s="27" t="n"/>
      <c r="DJ25" s="62" t="n"/>
      <c r="DK25" s="62" t="n"/>
      <c r="DL25" s="62">
        <f>DK25-DJ25</f>
        <v/>
      </c>
      <c r="DM25" s="64">
        <f>IF(DJ25=0,"",DK25/DJ25)</f>
        <v/>
      </c>
      <c r="DN25" s="31" t="n"/>
      <c r="DO25" s="60" t="n"/>
    </row>
    <row r="26" outlineLevel="1" ht="15" customHeight="1">
      <c r="A26" s="24" t="n"/>
      <c r="B26" s="24" t="n"/>
      <c r="C26" s="24" t="n"/>
      <c r="D26" s="60" t="n"/>
      <c r="E26" s="60" t="n"/>
      <c r="F26" s="60">
        <f>E26-D26</f>
        <v/>
      </c>
      <c r="G26" s="61">
        <f>IF(D26=0,"",E26/D26)</f>
        <v/>
      </c>
      <c r="H26" s="27" t="n"/>
      <c r="I26" s="60" t="n"/>
      <c r="J26" s="60" t="n"/>
      <c r="K26" s="60">
        <f>J26-I26</f>
        <v/>
      </c>
      <c r="L26" s="61">
        <f>IF(I26=0,"",J26/I26)</f>
        <v/>
      </c>
      <c r="M26" s="27" t="n"/>
      <c r="N26" s="62" t="n"/>
      <c r="O26" s="62" t="n"/>
      <c r="P26" s="62">
        <f>O26-N26</f>
        <v/>
      </c>
      <c r="Q26" s="64">
        <f>IF(N26=0,"",O26/N26)</f>
        <v/>
      </c>
      <c r="R26" s="31" t="n"/>
      <c r="S26" s="60" t="n"/>
      <c r="T26" s="60" t="n"/>
      <c r="U26" s="60">
        <f>T26-S26</f>
        <v/>
      </c>
      <c r="V26" s="61">
        <f>IF(S26=0,"",T26/S26)</f>
        <v/>
      </c>
      <c r="W26" s="27" t="n"/>
      <c r="X26" s="62" t="n"/>
      <c r="Y26" s="62" t="n"/>
      <c r="Z26" s="62">
        <f>Y26-X26</f>
        <v/>
      </c>
      <c r="AA26" s="64">
        <f>IF(X26=0,"",Y26/X26)</f>
        <v/>
      </c>
      <c r="AB26" s="31" t="n"/>
      <c r="AC26" s="60" t="n"/>
      <c r="AD26" s="60" t="n"/>
      <c r="AE26" s="60">
        <f>AD26-AC26</f>
        <v/>
      </c>
      <c r="AF26" s="61">
        <f>IF(AC26=0,"",AD26/AC26)</f>
        <v/>
      </c>
      <c r="AG26" s="27" t="n"/>
      <c r="AH26" s="62" t="n"/>
      <c r="AI26" s="62" t="n"/>
      <c r="AJ26" s="62">
        <f>AI26-AH26</f>
        <v/>
      </c>
      <c r="AK26" s="64">
        <f>IF(AH26=0,"",AI26/AH26)</f>
        <v/>
      </c>
      <c r="AL26" s="31" t="n"/>
      <c r="AM26" s="60" t="n"/>
      <c r="AN26" s="60" t="n"/>
      <c r="AO26" s="60">
        <f>AN26-AM26</f>
        <v/>
      </c>
      <c r="AP26" s="61">
        <f>IF(AM26=0,"",AN26/AM26)</f>
        <v/>
      </c>
      <c r="AQ26" s="27" t="n"/>
      <c r="AR26" s="62" t="n"/>
      <c r="AS26" s="62" t="n"/>
      <c r="AT26" s="62">
        <f>AS26-AR26</f>
        <v/>
      </c>
      <c r="AU26" s="64">
        <f>IF(AR26=0,"",AS26/AR26)</f>
        <v/>
      </c>
      <c r="AV26" s="31" t="n"/>
      <c r="AW26" s="60" t="n"/>
      <c r="AX26" s="60" t="n"/>
      <c r="AY26" s="60">
        <f>AX26-AW26</f>
        <v/>
      </c>
      <c r="AZ26" s="61">
        <f>IF(AW26=0,"",AX26/AW26)</f>
        <v/>
      </c>
      <c r="BA26" s="27" t="n"/>
      <c r="BB26" s="62" t="n"/>
      <c r="BC26" s="62" t="n"/>
      <c r="BD26" s="62">
        <f>BC26-BB26</f>
        <v/>
      </c>
      <c r="BE26" s="64">
        <f>IF(BB26=0,"",BC26/BB26)</f>
        <v/>
      </c>
      <c r="BF26" s="31" t="n"/>
      <c r="BG26" s="60" t="n"/>
      <c r="BH26" s="60" t="n"/>
      <c r="BI26" s="60">
        <f>BH26-BG26</f>
        <v/>
      </c>
      <c r="BJ26" s="61">
        <f>IF(BG26=0,"",BH26/BG26)</f>
        <v/>
      </c>
      <c r="BK26" s="27" t="n"/>
      <c r="BL26" s="62" t="n"/>
      <c r="BM26" s="62" t="n"/>
      <c r="BN26" s="62">
        <f>BM26-BL26</f>
        <v/>
      </c>
      <c r="BO26" s="64">
        <f>IF(BL26=0,"",BM26/BL26)</f>
        <v/>
      </c>
      <c r="BP26" s="31" t="n"/>
      <c r="BQ26" s="60" t="n"/>
      <c r="BR26" s="60" t="n"/>
      <c r="BS26" s="60">
        <f>BR26-BQ26</f>
        <v/>
      </c>
      <c r="BT26" s="61">
        <f>IF(BQ26=0,"",BR26/BQ26)</f>
        <v/>
      </c>
      <c r="BU26" s="27" t="n"/>
      <c r="BV26" s="62" t="n"/>
      <c r="BW26" s="62" t="n"/>
      <c r="BX26" s="62">
        <f>BW26-BV26</f>
        <v/>
      </c>
      <c r="BY26" s="64">
        <f>IF(BV26=0,"",BW26/BV26)</f>
        <v/>
      </c>
      <c r="BZ26" s="31" t="n"/>
      <c r="CA26" s="60" t="n"/>
      <c r="CB26" s="60" t="n"/>
      <c r="CC26" s="60">
        <f>CB26-CA26</f>
        <v/>
      </c>
      <c r="CD26" s="61">
        <f>IF(CA26=0,"",CB26/CA26)</f>
        <v/>
      </c>
      <c r="CE26" s="27" t="n"/>
      <c r="CF26" s="62" t="n"/>
      <c r="CG26" s="62" t="n"/>
      <c r="CH26" s="62">
        <f>CG26-CF26</f>
        <v/>
      </c>
      <c r="CI26" s="64">
        <f>IF(CF26=0,"",CG26/CF26)</f>
        <v/>
      </c>
      <c r="CJ26" s="31" t="n"/>
      <c r="CK26" s="60" t="n"/>
      <c r="CL26" s="60" t="n"/>
      <c r="CM26" s="60">
        <f>CL26-CK26</f>
        <v/>
      </c>
      <c r="CN26" s="61">
        <f>IF(CK26=0,"",CL26/CK26)</f>
        <v/>
      </c>
      <c r="CO26" s="27" t="n"/>
      <c r="CP26" s="62" t="n"/>
      <c r="CQ26" s="62" t="n"/>
      <c r="CR26" s="62">
        <f>CQ26-CP26</f>
        <v/>
      </c>
      <c r="CS26" s="64">
        <f>IF(CP26=0,"",CQ26/CP26)</f>
        <v/>
      </c>
      <c r="CT26" s="31" t="n"/>
      <c r="CU26" s="60" t="n"/>
      <c r="CV26" s="60" t="n"/>
      <c r="CW26" s="60">
        <f>CV26-CU26</f>
        <v/>
      </c>
      <c r="CX26" s="61">
        <f>IF(CU26=0,"",CV26/CU26)</f>
        <v/>
      </c>
      <c r="CY26" s="27" t="n"/>
      <c r="CZ26" s="62" t="n"/>
      <c r="DA26" s="62" t="n"/>
      <c r="DB26" s="62">
        <f>DA26-CZ26</f>
        <v/>
      </c>
      <c r="DC26" s="64">
        <f>IF(CZ26=0,"",DA26/CZ26)</f>
        <v/>
      </c>
      <c r="DD26" s="31" t="n"/>
      <c r="DE26" s="60" t="n"/>
      <c r="DF26" s="60" t="n"/>
      <c r="DG26" s="60">
        <f>DF26-DE26</f>
        <v/>
      </c>
      <c r="DH26" s="61">
        <f>IF(DE26=0,"",DF26/DE26)</f>
        <v/>
      </c>
      <c r="DI26" s="27" t="n"/>
      <c r="DJ26" s="62" t="n"/>
      <c r="DK26" s="62" t="n"/>
      <c r="DL26" s="62">
        <f>DK26-DJ26</f>
        <v/>
      </c>
      <c r="DM26" s="64">
        <f>IF(DJ26=0,"",DK26/DJ26)</f>
        <v/>
      </c>
      <c r="DN26" s="31" t="n"/>
      <c r="DO26" s="60" t="n"/>
    </row>
    <row r="27" outlineLevel="1" ht="15" customHeight="1">
      <c r="A27" s="24" t="n"/>
      <c r="B27" s="24" t="n"/>
      <c r="C27" s="24" t="n"/>
      <c r="D27" s="60" t="n"/>
      <c r="E27" s="60" t="n"/>
      <c r="F27" s="60">
        <f>E27-D27</f>
        <v/>
      </c>
      <c r="G27" s="61">
        <f>IF(D27=0,"",E27/D27)</f>
        <v/>
      </c>
      <c r="H27" s="27" t="n"/>
      <c r="I27" s="60" t="n"/>
      <c r="J27" s="60" t="n"/>
      <c r="K27" s="60">
        <f>J27-I27</f>
        <v/>
      </c>
      <c r="L27" s="61">
        <f>IF(I27=0,"",J27/I27)</f>
        <v/>
      </c>
      <c r="M27" s="27" t="n"/>
      <c r="N27" s="62" t="n"/>
      <c r="O27" s="62" t="n"/>
      <c r="P27" s="63">
        <f>O27-N27</f>
        <v/>
      </c>
      <c r="Q27" s="64">
        <f>IF(N27=0,"",O27/N27)</f>
        <v/>
      </c>
      <c r="R27" s="31" t="n"/>
      <c r="S27" s="60" t="n"/>
      <c r="T27" s="60" t="n"/>
      <c r="U27" s="60">
        <f>T27-S27</f>
        <v/>
      </c>
      <c r="V27" s="61">
        <f>IF(S27=0,"",T27/S27)</f>
        <v/>
      </c>
      <c r="W27" s="27" t="n"/>
      <c r="X27" s="62" t="n"/>
      <c r="Y27" s="62" t="n"/>
      <c r="Z27" s="63">
        <f>Y27-X27</f>
        <v/>
      </c>
      <c r="AA27" s="64">
        <f>IF(X27=0,"",Y27/X27)</f>
        <v/>
      </c>
      <c r="AB27" s="31" t="n"/>
      <c r="AC27" s="60" t="n"/>
      <c r="AD27" s="60" t="n"/>
      <c r="AE27" s="60">
        <f>AD27-AC27</f>
        <v/>
      </c>
      <c r="AF27" s="61">
        <f>IF(AC27=0,"",AD27/AC27)</f>
        <v/>
      </c>
      <c r="AG27" s="27" t="n"/>
      <c r="AH27" s="62" t="n"/>
      <c r="AI27" s="62" t="n"/>
      <c r="AJ27" s="62">
        <f>AI27-AH27</f>
        <v/>
      </c>
      <c r="AK27" s="64">
        <f>IF(AH27=0,"",AI27/AH27)</f>
        <v/>
      </c>
      <c r="AL27" s="31" t="n"/>
      <c r="AM27" s="60" t="n"/>
      <c r="AN27" s="60" t="n"/>
      <c r="AO27" s="60">
        <f>AN27-AM27</f>
        <v/>
      </c>
      <c r="AP27" s="61">
        <f>IF(AM27=0,"",AN27/AM27)</f>
        <v/>
      </c>
      <c r="AQ27" s="27" t="n"/>
      <c r="AR27" s="62" t="n"/>
      <c r="AS27" s="62" t="n"/>
      <c r="AT27" s="62">
        <f>AS27-AR27</f>
        <v/>
      </c>
      <c r="AU27" s="64">
        <f>IF(AR27=0,"",AS27/AR27)</f>
        <v/>
      </c>
      <c r="AV27" s="31" t="n"/>
      <c r="AW27" s="60" t="n"/>
      <c r="AX27" s="60" t="n"/>
      <c r="AY27" s="60">
        <f>AX27-AW27</f>
        <v/>
      </c>
      <c r="AZ27" s="61">
        <f>IF(AW27=0,"",AX27/AW27)</f>
        <v/>
      </c>
      <c r="BA27" s="27" t="n"/>
      <c r="BB27" s="62" t="n"/>
      <c r="BC27" s="62" t="n"/>
      <c r="BD27" s="62">
        <f>BC27-BB27</f>
        <v/>
      </c>
      <c r="BE27" s="64">
        <f>IF(BB27=0,"",BC27/BB27)</f>
        <v/>
      </c>
      <c r="BF27" s="31" t="n"/>
      <c r="BG27" s="60" t="n"/>
      <c r="BH27" s="60" t="n"/>
      <c r="BI27" s="60">
        <f>BH27-BG27</f>
        <v/>
      </c>
      <c r="BJ27" s="61">
        <f>IF(BG27=0,"",BH27/BG27)</f>
        <v/>
      </c>
      <c r="BK27" s="27" t="n"/>
      <c r="BL27" s="62" t="n"/>
      <c r="BM27" s="62" t="n"/>
      <c r="BN27" s="62">
        <f>BM27-BL27</f>
        <v/>
      </c>
      <c r="BO27" s="64">
        <f>IF(BL27=0,"",BM27/BL27)</f>
        <v/>
      </c>
      <c r="BP27" s="31" t="n"/>
      <c r="BQ27" s="60" t="n"/>
      <c r="BR27" s="60" t="n"/>
      <c r="BS27" s="60">
        <f>BR27-BQ27</f>
        <v/>
      </c>
      <c r="BT27" s="61">
        <f>IF(BQ27=0,"",BR27/BQ27)</f>
        <v/>
      </c>
      <c r="BU27" s="27" t="n"/>
      <c r="BV27" s="62" t="n"/>
      <c r="BW27" s="62" t="n"/>
      <c r="BX27" s="62">
        <f>BW27-BV27</f>
        <v/>
      </c>
      <c r="BY27" s="64">
        <f>IF(BV27=0,"",BW27/BV27)</f>
        <v/>
      </c>
      <c r="BZ27" s="31" t="n"/>
      <c r="CA27" s="60" t="n"/>
      <c r="CB27" s="60" t="n"/>
      <c r="CC27" s="60">
        <f>CB27-CA27</f>
        <v/>
      </c>
      <c r="CD27" s="61">
        <f>IF(CA27=0,"",CB27/CA27)</f>
        <v/>
      </c>
      <c r="CE27" s="27" t="n"/>
      <c r="CF27" s="62" t="n"/>
      <c r="CG27" s="62" t="n"/>
      <c r="CH27" s="62">
        <f>CG27-CF27</f>
        <v/>
      </c>
      <c r="CI27" s="64">
        <f>IF(CF27=0,"",CG27/CF27)</f>
        <v/>
      </c>
      <c r="CJ27" s="31" t="n"/>
      <c r="CK27" s="60" t="n"/>
      <c r="CL27" s="60" t="n"/>
      <c r="CM27" s="60">
        <f>CL27-CK27</f>
        <v/>
      </c>
      <c r="CN27" s="61">
        <f>IF(CK27=0,"",CL27/CK27)</f>
        <v/>
      </c>
      <c r="CO27" s="27" t="n"/>
      <c r="CP27" s="62" t="n"/>
      <c r="CQ27" s="62" t="n"/>
      <c r="CR27" s="62">
        <f>CQ27-CP27</f>
        <v/>
      </c>
      <c r="CS27" s="64">
        <f>IF(CP27=0,"",CQ27/CP27)</f>
        <v/>
      </c>
      <c r="CT27" s="31" t="n"/>
      <c r="CU27" s="60" t="n"/>
      <c r="CV27" s="60" t="n"/>
      <c r="CW27" s="60">
        <f>CV27-CU27</f>
        <v/>
      </c>
      <c r="CX27" s="61">
        <f>IF(CU27=0,"",CV27/CU27)</f>
        <v/>
      </c>
      <c r="CY27" s="27" t="n"/>
      <c r="CZ27" s="62" t="n"/>
      <c r="DA27" s="62" t="n"/>
      <c r="DB27" s="62">
        <f>DA27-CZ27</f>
        <v/>
      </c>
      <c r="DC27" s="64">
        <f>IF(CZ27=0,"",DA27/CZ27)</f>
        <v/>
      </c>
      <c r="DD27" s="31" t="n"/>
      <c r="DE27" s="60" t="n"/>
      <c r="DF27" s="60" t="n"/>
      <c r="DG27" s="60">
        <f>DF27-DE27</f>
        <v/>
      </c>
      <c r="DH27" s="61">
        <f>IF(DE27=0,"",DF27/DE27)</f>
        <v/>
      </c>
      <c r="DI27" s="27" t="n"/>
      <c r="DJ27" s="62" t="n"/>
      <c r="DK27" s="62" t="n"/>
      <c r="DL27" s="62">
        <f>DK27-DJ27</f>
        <v/>
      </c>
      <c r="DM27" s="64">
        <f>IF(DJ27=0,"",DK27/DJ27)</f>
        <v/>
      </c>
      <c r="DN27" s="31" t="n"/>
      <c r="DO27" s="60" t="n"/>
    </row>
    <row r="28" outlineLevel="1" ht="15" customHeight="1">
      <c r="A28" s="24" t="n"/>
      <c r="B28" s="24" t="n"/>
      <c r="C28" s="24" t="n"/>
      <c r="D28" s="60" t="n"/>
      <c r="E28" s="60" t="n"/>
      <c r="F28" s="60">
        <f>E28-D28</f>
        <v/>
      </c>
      <c r="G28" s="61">
        <f>IF(D28=0,"",E28/D28)</f>
        <v/>
      </c>
      <c r="H28" s="27" t="n"/>
      <c r="I28" s="60" t="n"/>
      <c r="J28" s="60" t="n"/>
      <c r="K28" s="60">
        <f>J28-I28</f>
        <v/>
      </c>
      <c r="L28" s="61">
        <f>IF(I28=0,"",J28/I28)</f>
        <v/>
      </c>
      <c r="M28" s="27" t="n"/>
      <c r="N28" s="62" t="n"/>
      <c r="O28" s="62" t="n"/>
      <c r="P28" s="62">
        <f>O28-N28</f>
        <v/>
      </c>
      <c r="Q28" s="64">
        <f>IF(N28=0,"",O28/N28)</f>
        <v/>
      </c>
      <c r="R28" s="31" t="n"/>
      <c r="S28" s="60" t="n"/>
      <c r="T28" s="60" t="n"/>
      <c r="U28" s="60">
        <f>T28-S28</f>
        <v/>
      </c>
      <c r="V28" s="61">
        <f>IF(S28=0,"",T28/S28)</f>
        <v/>
      </c>
      <c r="W28" s="27" t="n"/>
      <c r="X28" s="62" t="n"/>
      <c r="Y28" s="62" t="n"/>
      <c r="Z28" s="62">
        <f>Y28-X28</f>
        <v/>
      </c>
      <c r="AA28" s="64">
        <f>IF(X28=0,"",Y28/X28)</f>
        <v/>
      </c>
      <c r="AB28" s="31" t="n"/>
      <c r="AC28" s="60" t="n"/>
      <c r="AD28" s="60" t="n"/>
      <c r="AE28" s="60">
        <f>AD28-AC28</f>
        <v/>
      </c>
      <c r="AF28" s="61">
        <f>IF(AC28=0,"",AD28/AC28)</f>
        <v/>
      </c>
      <c r="AG28" s="27" t="n"/>
      <c r="AH28" s="62" t="n"/>
      <c r="AI28" s="62" t="n"/>
      <c r="AJ28" s="62">
        <f>AI28-AH28</f>
        <v/>
      </c>
      <c r="AK28" s="64">
        <f>IF(AH28=0,"",AI28/AH28)</f>
        <v/>
      </c>
      <c r="AL28" s="31" t="n"/>
      <c r="AM28" s="60" t="n"/>
      <c r="AN28" s="60" t="n"/>
      <c r="AO28" s="60">
        <f>AN28-AM28</f>
        <v/>
      </c>
      <c r="AP28" s="61">
        <f>IF(AM28=0,"",AN28/AM28)</f>
        <v/>
      </c>
      <c r="AQ28" s="27" t="n"/>
      <c r="AR28" s="62" t="n"/>
      <c r="AS28" s="62" t="n"/>
      <c r="AT28" s="62">
        <f>AS28-AR28</f>
        <v/>
      </c>
      <c r="AU28" s="64">
        <f>IF(AR28=0,"",AS28/AR28)</f>
        <v/>
      </c>
      <c r="AV28" s="31" t="n"/>
      <c r="AW28" s="60" t="n"/>
      <c r="AX28" s="60" t="n"/>
      <c r="AY28" s="60">
        <f>AX28-AW28</f>
        <v/>
      </c>
      <c r="AZ28" s="61">
        <f>IF(AW28=0,"",AX28/AW28)</f>
        <v/>
      </c>
      <c r="BA28" s="27" t="n"/>
      <c r="BB28" s="62" t="n"/>
      <c r="BC28" s="62" t="n"/>
      <c r="BD28" s="62">
        <f>BC28-BB28</f>
        <v/>
      </c>
      <c r="BE28" s="64">
        <f>IF(BB28=0,"",BC28/BB28)</f>
        <v/>
      </c>
      <c r="BF28" s="31" t="n"/>
      <c r="BG28" s="60" t="n"/>
      <c r="BH28" s="60" t="n"/>
      <c r="BI28" s="60">
        <f>BH28-BG28</f>
        <v/>
      </c>
      <c r="BJ28" s="61">
        <f>IF(BG28=0,"",BH28/BG28)</f>
        <v/>
      </c>
      <c r="BK28" s="27" t="n"/>
      <c r="BL28" s="62" t="n"/>
      <c r="BM28" s="62" t="n"/>
      <c r="BN28" s="62">
        <f>BM28-BL28</f>
        <v/>
      </c>
      <c r="BO28" s="64">
        <f>IF(BL28=0,"",BM28/BL28)</f>
        <v/>
      </c>
      <c r="BP28" s="31" t="n"/>
      <c r="BQ28" s="60" t="n"/>
      <c r="BR28" s="60" t="n"/>
      <c r="BS28" s="60">
        <f>BR28-BQ28</f>
        <v/>
      </c>
      <c r="BT28" s="61">
        <f>IF(BQ28=0,"",BR28/BQ28)</f>
        <v/>
      </c>
      <c r="BU28" s="27" t="n"/>
      <c r="BV28" s="62" t="n"/>
      <c r="BW28" s="62" t="n"/>
      <c r="BX28" s="62">
        <f>BW28-BV28</f>
        <v/>
      </c>
      <c r="BY28" s="64">
        <f>IF(BV28=0,"",BW28/BV28)</f>
        <v/>
      </c>
      <c r="BZ28" s="31" t="n"/>
      <c r="CA28" s="60" t="n"/>
      <c r="CB28" s="60" t="n"/>
      <c r="CC28" s="60">
        <f>CB28-CA28</f>
        <v/>
      </c>
      <c r="CD28" s="61">
        <f>IF(CA28=0,"",CB28/CA28)</f>
        <v/>
      </c>
      <c r="CE28" s="27" t="n"/>
      <c r="CF28" s="62" t="n"/>
      <c r="CG28" s="62" t="n"/>
      <c r="CH28" s="62">
        <f>CG28-CF28</f>
        <v/>
      </c>
      <c r="CI28" s="64">
        <f>IF(CF28=0,"",CG28/CF28)</f>
        <v/>
      </c>
      <c r="CJ28" s="31" t="n"/>
      <c r="CK28" s="60" t="n"/>
      <c r="CL28" s="60" t="n"/>
      <c r="CM28" s="60">
        <f>CL28-CK28</f>
        <v/>
      </c>
      <c r="CN28" s="61">
        <f>IF(CK28=0,"",CL28/CK28)</f>
        <v/>
      </c>
      <c r="CO28" s="27" t="n"/>
      <c r="CP28" s="62" t="n"/>
      <c r="CQ28" s="62" t="n"/>
      <c r="CR28" s="62">
        <f>CQ28-CP28</f>
        <v/>
      </c>
      <c r="CS28" s="64">
        <f>IF(CP28=0,"",CQ28/CP28)</f>
        <v/>
      </c>
      <c r="CT28" s="31" t="n"/>
      <c r="CU28" s="60" t="n"/>
      <c r="CV28" s="60" t="n"/>
      <c r="CW28" s="60">
        <f>CV28-CU28</f>
        <v/>
      </c>
      <c r="CX28" s="61">
        <f>IF(CU28=0,"",CV28/CU28)</f>
        <v/>
      </c>
      <c r="CY28" s="27" t="n"/>
      <c r="CZ28" s="62" t="n"/>
      <c r="DA28" s="62" t="n"/>
      <c r="DB28" s="62">
        <f>DA28-CZ28</f>
        <v/>
      </c>
      <c r="DC28" s="64">
        <f>IF(CZ28=0,"",DA28/CZ28)</f>
        <v/>
      </c>
      <c r="DD28" s="31" t="n"/>
      <c r="DE28" s="60" t="n"/>
      <c r="DF28" s="60" t="n"/>
      <c r="DG28" s="60">
        <f>DF28-DE28</f>
        <v/>
      </c>
      <c r="DH28" s="61">
        <f>IF(DE28=0,"",DF28/DE28)</f>
        <v/>
      </c>
      <c r="DI28" s="27" t="n"/>
      <c r="DJ28" s="62" t="n"/>
      <c r="DK28" s="62" t="n"/>
      <c r="DL28" s="62">
        <f>DK28-DJ28</f>
        <v/>
      </c>
      <c r="DM28" s="64">
        <f>IF(DJ28=0,"",DK28/DJ28)</f>
        <v/>
      </c>
      <c r="DN28" s="31" t="n"/>
      <c r="DO28" s="60" t="n"/>
    </row>
    <row r="29" outlineLevel="1" ht="15" customHeight="1">
      <c r="A29" s="24" t="n"/>
      <c r="B29" s="24" t="n"/>
      <c r="C29" s="24" t="n"/>
      <c r="D29" s="60" t="n"/>
      <c r="E29" s="60" t="n"/>
      <c r="F29" s="60">
        <f>E29-D29</f>
        <v/>
      </c>
      <c r="G29" s="61">
        <f>IF(D29=0,"",E29/D29)</f>
        <v/>
      </c>
      <c r="H29" s="27" t="n"/>
      <c r="I29" s="60" t="n"/>
      <c r="J29" s="60" t="n"/>
      <c r="K29" s="60">
        <f>J29-I29</f>
        <v/>
      </c>
      <c r="L29" s="61">
        <f>IF(I29=0,"",J29/I29)</f>
        <v/>
      </c>
      <c r="M29" s="27" t="n"/>
      <c r="N29" s="62" t="n"/>
      <c r="O29" s="62" t="n"/>
      <c r="P29" s="63">
        <f>O29-N29</f>
        <v/>
      </c>
      <c r="Q29" s="64">
        <f>IF(N29=0,"",O29/N29)</f>
        <v/>
      </c>
      <c r="R29" s="31" t="n"/>
      <c r="S29" s="60" t="n"/>
      <c r="T29" s="60" t="n"/>
      <c r="U29" s="60">
        <f>T29-S29</f>
        <v/>
      </c>
      <c r="V29" s="61">
        <f>IF(S29=0,"",T29/S29)</f>
        <v/>
      </c>
      <c r="W29" s="27" t="n"/>
      <c r="X29" s="62" t="n"/>
      <c r="Y29" s="62" t="n"/>
      <c r="Z29" s="63">
        <f>Y29-X29</f>
        <v/>
      </c>
      <c r="AA29" s="64">
        <f>IF(X29=0,"",Y29/X29)</f>
        <v/>
      </c>
      <c r="AB29" s="31" t="n"/>
      <c r="AC29" s="60" t="n"/>
      <c r="AD29" s="60" t="n"/>
      <c r="AE29" s="60">
        <f>AD29-AC29</f>
        <v/>
      </c>
      <c r="AF29" s="61">
        <f>IF(AC29=0,"",AD29/AC29)</f>
        <v/>
      </c>
      <c r="AG29" s="27" t="n"/>
      <c r="AH29" s="62" t="n"/>
      <c r="AI29" s="62" t="n"/>
      <c r="AJ29" s="62">
        <f>AI29-AH29</f>
        <v/>
      </c>
      <c r="AK29" s="64">
        <f>IF(AH29=0,"",AI29/AH29)</f>
        <v/>
      </c>
      <c r="AL29" s="31" t="n"/>
      <c r="AM29" s="60" t="n"/>
      <c r="AN29" s="60" t="n"/>
      <c r="AO29" s="60">
        <f>AN29-AM29</f>
        <v/>
      </c>
      <c r="AP29" s="61">
        <f>IF(AM29=0,"",AN29/AM29)</f>
        <v/>
      </c>
      <c r="AQ29" s="27" t="n"/>
      <c r="AR29" s="62" t="n"/>
      <c r="AS29" s="62" t="n"/>
      <c r="AT29" s="62">
        <f>AS29-AR29</f>
        <v/>
      </c>
      <c r="AU29" s="64">
        <f>IF(AR29=0,"",AS29/AR29)</f>
        <v/>
      </c>
      <c r="AV29" s="31" t="n"/>
      <c r="AW29" s="60" t="n"/>
      <c r="AX29" s="60" t="n"/>
      <c r="AY29" s="60">
        <f>AX29-AW29</f>
        <v/>
      </c>
      <c r="AZ29" s="61">
        <f>IF(AW29=0,"",AX29/AW29)</f>
        <v/>
      </c>
      <c r="BA29" s="27" t="n"/>
      <c r="BB29" s="62" t="n"/>
      <c r="BC29" s="62" t="n"/>
      <c r="BD29" s="62">
        <f>BC29-BB29</f>
        <v/>
      </c>
      <c r="BE29" s="64">
        <f>IF(BB29=0,"",BC29/BB29)</f>
        <v/>
      </c>
      <c r="BF29" s="31" t="n"/>
      <c r="BG29" s="60" t="n"/>
      <c r="BH29" s="60" t="n"/>
      <c r="BI29" s="60">
        <f>BH29-BG29</f>
        <v/>
      </c>
      <c r="BJ29" s="61">
        <f>IF(BG29=0,"",BH29/BG29)</f>
        <v/>
      </c>
      <c r="BK29" s="27" t="n"/>
      <c r="BL29" s="62" t="n"/>
      <c r="BM29" s="62" t="n"/>
      <c r="BN29" s="62">
        <f>BM29-BL29</f>
        <v/>
      </c>
      <c r="BO29" s="64">
        <f>IF(BL29=0,"",BM29/BL29)</f>
        <v/>
      </c>
      <c r="BP29" s="31" t="n"/>
      <c r="BQ29" s="60" t="n"/>
      <c r="BR29" s="60" t="n"/>
      <c r="BS29" s="60">
        <f>BR29-BQ29</f>
        <v/>
      </c>
      <c r="BT29" s="61">
        <f>IF(BQ29=0,"",BR29/BQ29)</f>
        <v/>
      </c>
      <c r="BU29" s="27" t="n"/>
      <c r="BV29" s="62" t="n"/>
      <c r="BW29" s="62" t="n"/>
      <c r="BX29" s="62">
        <f>BW29-BV29</f>
        <v/>
      </c>
      <c r="BY29" s="64">
        <f>IF(BV29=0,"",BW29/BV29)</f>
        <v/>
      </c>
      <c r="BZ29" s="31" t="n"/>
      <c r="CA29" s="60" t="n"/>
      <c r="CB29" s="60" t="n"/>
      <c r="CC29" s="60">
        <f>CB29-CA29</f>
        <v/>
      </c>
      <c r="CD29" s="61">
        <f>IF(CA29=0,"",CB29/CA29)</f>
        <v/>
      </c>
      <c r="CE29" s="27" t="n"/>
      <c r="CF29" s="62" t="n"/>
      <c r="CG29" s="62" t="n"/>
      <c r="CH29" s="62">
        <f>CG29-CF29</f>
        <v/>
      </c>
      <c r="CI29" s="64">
        <f>IF(CF29=0,"",CG29/CF29)</f>
        <v/>
      </c>
      <c r="CJ29" s="31" t="n"/>
      <c r="CK29" s="60" t="n"/>
      <c r="CL29" s="60" t="n"/>
      <c r="CM29" s="60">
        <f>CL29-CK29</f>
        <v/>
      </c>
      <c r="CN29" s="61">
        <f>IF(CK29=0,"",CL29/CK29)</f>
        <v/>
      </c>
      <c r="CO29" s="27" t="n"/>
      <c r="CP29" s="62" t="n"/>
      <c r="CQ29" s="62" t="n"/>
      <c r="CR29" s="62">
        <f>CQ29-CP29</f>
        <v/>
      </c>
      <c r="CS29" s="64">
        <f>IF(CP29=0,"",CQ29/CP29)</f>
        <v/>
      </c>
      <c r="CT29" s="31" t="n"/>
      <c r="CU29" s="60" t="n"/>
      <c r="CV29" s="60" t="n"/>
      <c r="CW29" s="60">
        <f>CV29-CU29</f>
        <v/>
      </c>
      <c r="CX29" s="61">
        <f>IF(CU29=0,"",CV29/CU29)</f>
        <v/>
      </c>
      <c r="CY29" s="27" t="n"/>
      <c r="CZ29" s="62" t="n"/>
      <c r="DA29" s="62" t="n"/>
      <c r="DB29" s="62">
        <f>DA29-CZ29</f>
        <v/>
      </c>
      <c r="DC29" s="64">
        <f>IF(CZ29=0,"",DA29/CZ29)</f>
        <v/>
      </c>
      <c r="DD29" s="31" t="n"/>
      <c r="DE29" s="60" t="n"/>
      <c r="DF29" s="60" t="n"/>
      <c r="DG29" s="60">
        <f>DF29-DE29</f>
        <v/>
      </c>
      <c r="DH29" s="61">
        <f>IF(DE29=0,"",DF29/DE29)</f>
        <v/>
      </c>
      <c r="DI29" s="27" t="n"/>
      <c r="DJ29" s="62" t="n"/>
      <c r="DK29" s="62" t="n"/>
      <c r="DL29" s="62">
        <f>DK29-DJ29</f>
        <v/>
      </c>
      <c r="DM29" s="64">
        <f>IF(DJ29=0,"",DK29/DJ29)</f>
        <v/>
      </c>
      <c r="DN29" s="31" t="n"/>
      <c r="DO29" s="60" t="n"/>
    </row>
    <row r="30" outlineLevel="1" ht="15" customHeight="1">
      <c r="A30" s="24" t="n"/>
      <c r="B30" s="24" t="n"/>
      <c r="C30" s="24" t="n"/>
      <c r="D30" s="60" t="n"/>
      <c r="E30" s="60" t="n"/>
      <c r="F30" s="60">
        <f>E30-D30</f>
        <v/>
      </c>
      <c r="G30" s="61">
        <f>IF(D30=0,"",E30/D30)</f>
        <v/>
      </c>
      <c r="H30" s="27" t="n"/>
      <c r="I30" s="60" t="n"/>
      <c r="J30" s="60" t="n"/>
      <c r="K30" s="60">
        <f>J30-I30</f>
        <v/>
      </c>
      <c r="L30" s="61">
        <f>IF(I30=0,"",J30/I30)</f>
        <v/>
      </c>
      <c r="M30" s="27" t="n"/>
      <c r="N30" s="62" t="n"/>
      <c r="O30" s="62" t="n"/>
      <c r="P30" s="62">
        <f>O30-N30</f>
        <v/>
      </c>
      <c r="Q30" s="64">
        <f>IF(N30=0,"",O30/N30)</f>
        <v/>
      </c>
      <c r="R30" s="31" t="n"/>
      <c r="S30" s="60" t="n"/>
      <c r="T30" s="60" t="n"/>
      <c r="U30" s="60">
        <f>T30-S30</f>
        <v/>
      </c>
      <c r="V30" s="61">
        <f>IF(S30=0,"",T30/S30)</f>
        <v/>
      </c>
      <c r="W30" s="27" t="n"/>
      <c r="X30" s="62" t="n"/>
      <c r="Y30" s="62" t="n"/>
      <c r="Z30" s="62">
        <f>Y30-X30</f>
        <v/>
      </c>
      <c r="AA30" s="64">
        <f>IF(X30=0,"",Y30/X30)</f>
        <v/>
      </c>
      <c r="AB30" s="31" t="n"/>
      <c r="AC30" s="60" t="n"/>
      <c r="AD30" s="60" t="n"/>
      <c r="AE30" s="60">
        <f>AD30-AC30</f>
        <v/>
      </c>
      <c r="AF30" s="61">
        <f>IF(AC30=0,"",AD30/AC30)</f>
        <v/>
      </c>
      <c r="AG30" s="27" t="n"/>
      <c r="AH30" s="62" t="n"/>
      <c r="AI30" s="62" t="n"/>
      <c r="AJ30" s="62">
        <f>AI30-AH30</f>
        <v/>
      </c>
      <c r="AK30" s="64">
        <f>IF(AH30=0,"",AI30/AH30)</f>
        <v/>
      </c>
      <c r="AL30" s="31" t="n"/>
      <c r="AM30" s="60" t="n"/>
      <c r="AN30" s="60" t="n"/>
      <c r="AO30" s="60">
        <f>AN30-AM30</f>
        <v/>
      </c>
      <c r="AP30" s="61">
        <f>IF(AM30=0,"",AN30/AM30)</f>
        <v/>
      </c>
      <c r="AQ30" s="27" t="n"/>
      <c r="AR30" s="62" t="n"/>
      <c r="AS30" s="62" t="n"/>
      <c r="AT30" s="62">
        <f>AS30-AR30</f>
        <v/>
      </c>
      <c r="AU30" s="64">
        <f>IF(AR30=0,"",AS30/AR30)</f>
        <v/>
      </c>
      <c r="AV30" s="31" t="n"/>
      <c r="AW30" s="60" t="n"/>
      <c r="AX30" s="60" t="n"/>
      <c r="AY30" s="60">
        <f>AX30-AW30</f>
        <v/>
      </c>
      <c r="AZ30" s="61">
        <f>IF(AW30=0,"",AX30/AW30)</f>
        <v/>
      </c>
      <c r="BA30" s="27" t="n"/>
      <c r="BB30" s="62" t="n"/>
      <c r="BC30" s="62" t="n"/>
      <c r="BD30" s="62">
        <f>BC30-BB30</f>
        <v/>
      </c>
      <c r="BE30" s="64">
        <f>IF(BB30=0,"",BC30/BB30)</f>
        <v/>
      </c>
      <c r="BF30" s="31" t="n"/>
      <c r="BG30" s="60" t="n"/>
      <c r="BH30" s="60" t="n"/>
      <c r="BI30" s="60">
        <f>BH30-BG30</f>
        <v/>
      </c>
      <c r="BJ30" s="61">
        <f>IF(BG30=0,"",BH30/BG30)</f>
        <v/>
      </c>
      <c r="BK30" s="27" t="n"/>
      <c r="BL30" s="62" t="n"/>
      <c r="BM30" s="62" t="n"/>
      <c r="BN30" s="62">
        <f>BM30-BL30</f>
        <v/>
      </c>
      <c r="BO30" s="64">
        <f>IF(BL30=0,"",BM30/BL30)</f>
        <v/>
      </c>
      <c r="BP30" s="31" t="n"/>
      <c r="BQ30" s="60" t="n"/>
      <c r="BR30" s="60" t="n"/>
      <c r="BS30" s="60">
        <f>BR30-BQ30</f>
        <v/>
      </c>
      <c r="BT30" s="61">
        <f>IF(BQ30=0,"",BR30/BQ30)</f>
        <v/>
      </c>
      <c r="BU30" s="27" t="n"/>
      <c r="BV30" s="62" t="n"/>
      <c r="BW30" s="62" t="n"/>
      <c r="BX30" s="62">
        <f>BW30-BV30</f>
        <v/>
      </c>
      <c r="BY30" s="64">
        <f>IF(BV30=0,"",BW30/BV30)</f>
        <v/>
      </c>
      <c r="BZ30" s="31" t="n"/>
      <c r="CA30" s="60" t="n"/>
      <c r="CB30" s="60" t="n"/>
      <c r="CC30" s="60">
        <f>CB30-CA30</f>
        <v/>
      </c>
      <c r="CD30" s="61">
        <f>IF(CA30=0,"",CB30/CA30)</f>
        <v/>
      </c>
      <c r="CE30" s="27" t="n"/>
      <c r="CF30" s="62" t="n"/>
      <c r="CG30" s="62" t="n"/>
      <c r="CH30" s="62">
        <f>CG30-CF30</f>
        <v/>
      </c>
      <c r="CI30" s="64">
        <f>IF(CF30=0,"",CG30/CF30)</f>
        <v/>
      </c>
      <c r="CJ30" s="31" t="n"/>
      <c r="CK30" s="60" t="n"/>
      <c r="CL30" s="60" t="n"/>
      <c r="CM30" s="60">
        <f>CL30-CK30</f>
        <v/>
      </c>
      <c r="CN30" s="61">
        <f>IF(CK30=0,"",CL30/CK30)</f>
        <v/>
      </c>
      <c r="CO30" s="27" t="n"/>
      <c r="CP30" s="62" t="n"/>
      <c r="CQ30" s="62" t="n"/>
      <c r="CR30" s="62">
        <f>CQ30-CP30</f>
        <v/>
      </c>
      <c r="CS30" s="64">
        <f>IF(CP30=0,"",CQ30/CP30)</f>
        <v/>
      </c>
      <c r="CT30" s="31" t="n"/>
      <c r="CU30" s="60" t="n"/>
      <c r="CV30" s="60" t="n"/>
      <c r="CW30" s="60">
        <f>CV30-CU30</f>
        <v/>
      </c>
      <c r="CX30" s="61">
        <f>IF(CU30=0,"",CV30/CU30)</f>
        <v/>
      </c>
      <c r="CY30" s="27" t="n"/>
      <c r="CZ30" s="62" t="n"/>
      <c r="DA30" s="62" t="n"/>
      <c r="DB30" s="62">
        <f>DA30-CZ30</f>
        <v/>
      </c>
      <c r="DC30" s="64">
        <f>IF(CZ30=0,"",DA30/CZ30)</f>
        <v/>
      </c>
      <c r="DD30" s="31" t="n"/>
      <c r="DE30" s="60" t="n"/>
      <c r="DF30" s="60" t="n"/>
      <c r="DG30" s="60">
        <f>DF30-DE30</f>
        <v/>
      </c>
      <c r="DH30" s="61">
        <f>IF(DE30=0,"",DF30/DE30)</f>
        <v/>
      </c>
      <c r="DI30" s="27" t="n"/>
      <c r="DJ30" s="62" t="n"/>
      <c r="DK30" s="62" t="n"/>
      <c r="DL30" s="62">
        <f>DK30-DJ30</f>
        <v/>
      </c>
      <c r="DM30" s="64">
        <f>IF(DJ30=0,"",DK30/DJ30)</f>
        <v/>
      </c>
      <c r="DN30" s="31" t="n"/>
      <c r="DO30" s="60" t="n"/>
    </row>
    <row r="31" outlineLevel="1" ht="15" customHeight="1">
      <c r="A31" s="24" t="n"/>
      <c r="B31" s="24" t="n"/>
      <c r="C31" s="24" t="n"/>
      <c r="D31" s="60" t="n"/>
      <c r="E31" s="60" t="n"/>
      <c r="F31" s="60">
        <f>E31-D31</f>
        <v/>
      </c>
      <c r="G31" s="61">
        <f>IF(D31=0,"",E31/D31)</f>
        <v/>
      </c>
      <c r="H31" s="27" t="n"/>
      <c r="I31" s="60" t="n"/>
      <c r="J31" s="60" t="n"/>
      <c r="K31" s="60">
        <f>J31-I31</f>
        <v/>
      </c>
      <c r="L31" s="61">
        <f>IF(I31=0,"",J31/I31)</f>
        <v/>
      </c>
      <c r="M31" s="27" t="n"/>
      <c r="N31" s="62" t="n"/>
      <c r="O31" s="62" t="n"/>
      <c r="P31" s="62">
        <f>O31-N31</f>
        <v/>
      </c>
      <c r="Q31" s="64">
        <f>IF(N31=0,"",O31/N31)</f>
        <v/>
      </c>
      <c r="R31" s="31" t="n"/>
      <c r="S31" s="60" t="n"/>
      <c r="T31" s="60" t="n"/>
      <c r="U31" s="60">
        <f>T31-S31</f>
        <v/>
      </c>
      <c r="V31" s="61">
        <f>IF(S31=0,"",T31/S31)</f>
        <v/>
      </c>
      <c r="W31" s="27" t="n"/>
      <c r="X31" s="62" t="n"/>
      <c r="Y31" s="62" t="n"/>
      <c r="Z31" s="63">
        <f>Y31-X31</f>
        <v/>
      </c>
      <c r="AA31" s="64">
        <f>IF(X31=0,"",Y31/X31)</f>
        <v/>
      </c>
      <c r="AB31" s="31" t="n"/>
      <c r="AC31" s="60" t="n"/>
      <c r="AD31" s="60" t="n"/>
      <c r="AE31" s="60">
        <f>AD31-AC31</f>
        <v/>
      </c>
      <c r="AF31" s="61">
        <f>IF(AC31=0,"",AD31/AC31)</f>
        <v/>
      </c>
      <c r="AG31" s="27" t="n"/>
      <c r="AH31" s="62" t="n"/>
      <c r="AI31" s="62" t="n"/>
      <c r="AJ31" s="62">
        <f>AI31-AH31</f>
        <v/>
      </c>
      <c r="AK31" s="64">
        <f>IF(AH31=0,"",AI31/AH31)</f>
        <v/>
      </c>
      <c r="AL31" s="31" t="n"/>
      <c r="AM31" s="60" t="n"/>
      <c r="AN31" s="60" t="n"/>
      <c r="AO31" s="60">
        <f>AN31-AM31</f>
        <v/>
      </c>
      <c r="AP31" s="61">
        <f>IF(AM31=0,"",AN31/AM31)</f>
        <v/>
      </c>
      <c r="AQ31" s="27" t="n"/>
      <c r="AR31" s="62" t="n"/>
      <c r="AS31" s="62" t="n"/>
      <c r="AT31" s="62">
        <f>AS31-AR31</f>
        <v/>
      </c>
      <c r="AU31" s="64">
        <f>IF(AR31=0,"",AS31/AR31)</f>
        <v/>
      </c>
      <c r="AV31" s="31" t="n"/>
      <c r="AW31" s="60" t="n"/>
      <c r="AX31" s="60" t="n"/>
      <c r="AY31" s="60">
        <f>AX31-AW31</f>
        <v/>
      </c>
      <c r="AZ31" s="61">
        <f>IF(AW31=0,"",AX31/AW31)</f>
        <v/>
      </c>
      <c r="BA31" s="27" t="n"/>
      <c r="BB31" s="62" t="n"/>
      <c r="BC31" s="62" t="n"/>
      <c r="BD31" s="62">
        <f>BC31-BB31</f>
        <v/>
      </c>
      <c r="BE31" s="64">
        <f>IF(BB31=0,"",BC31/BB31)</f>
        <v/>
      </c>
      <c r="BF31" s="31" t="n"/>
      <c r="BG31" s="60" t="n"/>
      <c r="BH31" s="60" t="n"/>
      <c r="BI31" s="60">
        <f>BH31-BG31</f>
        <v/>
      </c>
      <c r="BJ31" s="61">
        <f>IF(BG31=0,"",BH31/BG31)</f>
        <v/>
      </c>
      <c r="BK31" s="27" t="n"/>
      <c r="BL31" s="62" t="n"/>
      <c r="BM31" s="62" t="n"/>
      <c r="BN31" s="62">
        <f>BM31-BL31</f>
        <v/>
      </c>
      <c r="BO31" s="64">
        <f>IF(BL31=0,"",BM31/BL31)</f>
        <v/>
      </c>
      <c r="BP31" s="31" t="n"/>
      <c r="BQ31" s="60" t="n"/>
      <c r="BR31" s="60" t="n"/>
      <c r="BS31" s="60">
        <f>BR31-BQ31</f>
        <v/>
      </c>
      <c r="BT31" s="61">
        <f>IF(BQ31=0,"",BR31/BQ31)</f>
        <v/>
      </c>
      <c r="BU31" s="27" t="n"/>
      <c r="BV31" s="62" t="n"/>
      <c r="BW31" s="62" t="n"/>
      <c r="BX31" s="62">
        <f>BW31-BV31</f>
        <v/>
      </c>
      <c r="BY31" s="64">
        <f>IF(BV31=0,"",BW31/BV31)</f>
        <v/>
      </c>
      <c r="BZ31" s="31" t="n"/>
      <c r="CA31" s="60" t="n"/>
      <c r="CB31" s="60" t="n"/>
      <c r="CC31" s="60">
        <f>CB31-CA31</f>
        <v/>
      </c>
      <c r="CD31" s="61">
        <f>IF(CA31=0,"",CB31/CA31)</f>
        <v/>
      </c>
      <c r="CE31" s="27" t="n"/>
      <c r="CF31" s="62" t="n"/>
      <c r="CG31" s="62" t="n"/>
      <c r="CH31" s="62">
        <f>CG31-CF31</f>
        <v/>
      </c>
      <c r="CI31" s="64">
        <f>IF(CF31=0,"",CG31/CF31)</f>
        <v/>
      </c>
      <c r="CJ31" s="31" t="n"/>
      <c r="CK31" s="60" t="n"/>
      <c r="CL31" s="60" t="n"/>
      <c r="CM31" s="60">
        <f>CL31-CK31</f>
        <v/>
      </c>
      <c r="CN31" s="61">
        <f>IF(CK31=0,"",CL31/CK31)</f>
        <v/>
      </c>
      <c r="CO31" s="27" t="n"/>
      <c r="CP31" s="62" t="n"/>
      <c r="CQ31" s="62" t="n"/>
      <c r="CR31" s="62">
        <f>CQ31-CP31</f>
        <v/>
      </c>
      <c r="CS31" s="64">
        <f>IF(CP31=0,"",CQ31/CP31)</f>
        <v/>
      </c>
      <c r="CT31" s="31" t="n"/>
      <c r="CU31" s="60" t="n"/>
      <c r="CV31" s="60" t="n"/>
      <c r="CW31" s="60">
        <f>CV31-CU31</f>
        <v/>
      </c>
      <c r="CX31" s="61">
        <f>IF(CU31=0,"",CV31/CU31)</f>
        <v/>
      </c>
      <c r="CY31" s="27" t="n"/>
      <c r="CZ31" s="62" t="n"/>
      <c r="DA31" s="62" t="n"/>
      <c r="DB31" s="62">
        <f>DA31-CZ31</f>
        <v/>
      </c>
      <c r="DC31" s="64">
        <f>IF(CZ31=0,"",DA31/CZ31)</f>
        <v/>
      </c>
      <c r="DD31" s="31" t="n"/>
      <c r="DE31" s="60" t="n"/>
      <c r="DF31" s="60" t="n"/>
      <c r="DG31" s="60">
        <f>DF31-DE31</f>
        <v/>
      </c>
      <c r="DH31" s="61">
        <f>IF(DE31=0,"",DF31/DE31)</f>
        <v/>
      </c>
      <c r="DI31" s="27" t="n"/>
      <c r="DJ31" s="62" t="n"/>
      <c r="DK31" s="62" t="n"/>
      <c r="DL31" s="62">
        <f>DK31-DJ31</f>
        <v/>
      </c>
      <c r="DM31" s="64">
        <f>IF(DJ31=0,"",DK31/DJ31)</f>
        <v/>
      </c>
      <c r="DN31" s="31" t="n"/>
      <c r="DO31" s="60" t="n"/>
    </row>
    <row r="32" outlineLevel="1" ht="15" customHeight="1">
      <c r="A32" s="24" t="n"/>
      <c r="B32" s="24" t="n"/>
      <c r="C32" s="24" t="n"/>
      <c r="D32" s="60" t="n"/>
      <c r="E32" s="60" t="n"/>
      <c r="F32" s="60">
        <f>E32-D32</f>
        <v/>
      </c>
      <c r="G32" s="61">
        <f>IF(D32=0,"",E32/D32)</f>
        <v/>
      </c>
      <c r="H32" s="27" t="n"/>
      <c r="I32" s="60" t="n"/>
      <c r="J32" s="60" t="n"/>
      <c r="K32" s="60">
        <f>J32-I32</f>
        <v/>
      </c>
      <c r="L32" s="61">
        <f>IF(I32=0,"",J32/I32)</f>
        <v/>
      </c>
      <c r="M32" s="27" t="n"/>
      <c r="N32" s="62" t="n"/>
      <c r="O32" s="62" t="n"/>
      <c r="P32" s="63">
        <f>O32-N32</f>
        <v/>
      </c>
      <c r="Q32" s="64">
        <f>IF(N32=0,"",O32/N32)</f>
        <v/>
      </c>
      <c r="R32" s="31" t="n"/>
      <c r="S32" s="60" t="n"/>
      <c r="T32" s="60" t="n"/>
      <c r="U32" s="60">
        <f>T32-S32</f>
        <v/>
      </c>
      <c r="V32" s="61">
        <f>IF(S32=0,"",T32/S32)</f>
        <v/>
      </c>
      <c r="W32" s="27" t="n"/>
      <c r="X32" s="62" t="n"/>
      <c r="Y32" s="62" t="n"/>
      <c r="Z32" s="62">
        <f>Y32-X32</f>
        <v/>
      </c>
      <c r="AA32" s="64">
        <f>IF(X32=0,"",Y32/X32)</f>
        <v/>
      </c>
      <c r="AB32" s="31" t="n"/>
      <c r="AC32" s="60" t="n"/>
      <c r="AD32" s="60" t="n"/>
      <c r="AE32" s="60">
        <f>AD32-AC32</f>
        <v/>
      </c>
      <c r="AF32" s="61">
        <f>IF(AC32=0,"",AD32/AC32)</f>
        <v/>
      </c>
      <c r="AG32" s="27" t="n"/>
      <c r="AH32" s="62" t="n"/>
      <c r="AI32" s="62" t="n"/>
      <c r="AJ32" s="62">
        <f>AI32-AH32</f>
        <v/>
      </c>
      <c r="AK32" s="64">
        <f>IF(AH32=0,"",AI32/AH32)</f>
        <v/>
      </c>
      <c r="AL32" s="31" t="n"/>
      <c r="AM32" s="60" t="n"/>
      <c r="AN32" s="60" t="n"/>
      <c r="AO32" s="60">
        <f>AN32-AM32</f>
        <v/>
      </c>
      <c r="AP32" s="61">
        <f>IF(AM32=0,"",AN32/AM32)</f>
        <v/>
      </c>
      <c r="AQ32" s="27" t="n"/>
      <c r="AR32" s="62" t="n"/>
      <c r="AS32" s="62" t="n"/>
      <c r="AT32" s="62">
        <f>AS32-AR32</f>
        <v/>
      </c>
      <c r="AU32" s="64">
        <f>IF(AR32=0,"",AS32/AR32)</f>
        <v/>
      </c>
      <c r="AV32" s="31" t="n"/>
      <c r="AW32" s="60" t="n"/>
      <c r="AX32" s="60" t="n"/>
      <c r="AY32" s="60">
        <f>AX32-AW32</f>
        <v/>
      </c>
      <c r="AZ32" s="61">
        <f>IF(AW32=0,"",AX32/AW32)</f>
        <v/>
      </c>
      <c r="BA32" s="27" t="n"/>
      <c r="BB32" s="62" t="n"/>
      <c r="BC32" s="62" t="n"/>
      <c r="BD32" s="62">
        <f>BC32-BB32</f>
        <v/>
      </c>
      <c r="BE32" s="64">
        <f>IF(BB32=0,"",BC32/BB32)</f>
        <v/>
      </c>
      <c r="BF32" s="31" t="n"/>
      <c r="BG32" s="60" t="n"/>
      <c r="BH32" s="60" t="n"/>
      <c r="BI32" s="60">
        <f>BH32-BG32</f>
        <v/>
      </c>
      <c r="BJ32" s="61">
        <f>IF(BG32=0,"",BH32/BG32)</f>
        <v/>
      </c>
      <c r="BK32" s="27" t="n"/>
      <c r="BL32" s="62" t="n"/>
      <c r="BM32" s="62" t="n"/>
      <c r="BN32" s="62">
        <f>BM32-BL32</f>
        <v/>
      </c>
      <c r="BO32" s="64">
        <f>IF(BL32=0,"",BM32/BL32)</f>
        <v/>
      </c>
      <c r="BP32" s="31" t="n"/>
      <c r="BQ32" s="60" t="n"/>
      <c r="BR32" s="60" t="n"/>
      <c r="BS32" s="60">
        <f>BR32-BQ32</f>
        <v/>
      </c>
      <c r="BT32" s="61">
        <f>IF(BQ32=0,"",BR32/BQ32)</f>
        <v/>
      </c>
      <c r="BU32" s="27" t="n"/>
      <c r="BV32" s="62" t="n"/>
      <c r="BW32" s="62" t="n"/>
      <c r="BX32" s="62">
        <f>BW32-BV32</f>
        <v/>
      </c>
      <c r="BY32" s="64">
        <f>IF(BV32=0,"",BW32/BV32)</f>
        <v/>
      </c>
      <c r="BZ32" s="31" t="n"/>
      <c r="CA32" s="60" t="n"/>
      <c r="CB32" s="60" t="n"/>
      <c r="CC32" s="60">
        <f>CB32-CA32</f>
        <v/>
      </c>
      <c r="CD32" s="61">
        <f>IF(CA32=0,"",CB32/CA32)</f>
        <v/>
      </c>
      <c r="CE32" s="27" t="n"/>
      <c r="CF32" s="62" t="n"/>
      <c r="CG32" s="62" t="n"/>
      <c r="CH32" s="62">
        <f>CG32-CF32</f>
        <v/>
      </c>
      <c r="CI32" s="64">
        <f>IF(CF32=0,"",CG32/CF32)</f>
        <v/>
      </c>
      <c r="CJ32" s="31" t="n"/>
      <c r="CK32" s="60" t="n"/>
      <c r="CL32" s="60" t="n"/>
      <c r="CM32" s="60">
        <f>CL32-CK32</f>
        <v/>
      </c>
      <c r="CN32" s="61">
        <f>IF(CK32=0,"",CL32/CK32)</f>
        <v/>
      </c>
      <c r="CO32" s="27" t="n"/>
      <c r="CP32" s="62" t="n"/>
      <c r="CQ32" s="62" t="n"/>
      <c r="CR32" s="62">
        <f>CQ32-CP32</f>
        <v/>
      </c>
      <c r="CS32" s="64">
        <f>IF(CP32=0,"",CQ32/CP32)</f>
        <v/>
      </c>
      <c r="CT32" s="31" t="n"/>
      <c r="CU32" s="60" t="n"/>
      <c r="CV32" s="60" t="n"/>
      <c r="CW32" s="60">
        <f>CV32-CU32</f>
        <v/>
      </c>
      <c r="CX32" s="61">
        <f>IF(CU32=0,"",CV32/CU32)</f>
        <v/>
      </c>
      <c r="CY32" s="27" t="n"/>
      <c r="CZ32" s="62" t="n"/>
      <c r="DA32" s="62" t="n"/>
      <c r="DB32" s="62">
        <f>DA32-CZ32</f>
        <v/>
      </c>
      <c r="DC32" s="64">
        <f>IF(CZ32=0,"",DA32/CZ32)</f>
        <v/>
      </c>
      <c r="DD32" s="31" t="n"/>
      <c r="DE32" s="60" t="n"/>
      <c r="DF32" s="60" t="n"/>
      <c r="DG32" s="60">
        <f>DF32-DE32</f>
        <v/>
      </c>
      <c r="DH32" s="61">
        <f>IF(DE32=0,"",DF32/DE32)</f>
        <v/>
      </c>
      <c r="DI32" s="27" t="n"/>
      <c r="DJ32" s="62" t="n"/>
      <c r="DK32" s="62" t="n"/>
      <c r="DL32" s="62">
        <f>DK32-DJ32</f>
        <v/>
      </c>
      <c r="DM32" s="64">
        <f>IF(DJ32=0,"",DK32/DJ32)</f>
        <v/>
      </c>
      <c r="DN32" s="31" t="n"/>
      <c r="DO32" s="60" t="n"/>
    </row>
    <row r="33" outlineLevel="1" ht="15" customHeight="1">
      <c r="A33" s="24" t="n"/>
      <c r="B33" s="24" t="n"/>
      <c r="C33" s="24" t="n"/>
      <c r="D33" s="60" t="n"/>
      <c r="E33" s="60" t="n"/>
      <c r="F33" s="60">
        <f>E33-D33</f>
        <v/>
      </c>
      <c r="G33" s="61">
        <f>IF(D33=0,"",E33/D33)</f>
        <v/>
      </c>
      <c r="H33" s="27" t="n"/>
      <c r="I33" s="60" t="n"/>
      <c r="J33" s="60" t="n"/>
      <c r="K33" s="60">
        <f>J33-I33</f>
        <v/>
      </c>
      <c r="L33" s="61">
        <f>IF(I33=0,"",J33/I33)</f>
        <v/>
      </c>
      <c r="M33" s="27" t="n"/>
      <c r="N33" s="62" t="n"/>
      <c r="O33" s="62" t="n"/>
      <c r="P33" s="63">
        <f>O33-N33</f>
        <v/>
      </c>
      <c r="Q33" s="64">
        <f>IF(N33=0,"",O33/N33)</f>
        <v/>
      </c>
      <c r="R33" s="31" t="n"/>
      <c r="S33" s="60" t="n"/>
      <c r="T33" s="60" t="n"/>
      <c r="U33" s="60">
        <f>T33-S33</f>
        <v/>
      </c>
      <c r="V33" s="61">
        <f>IF(S33=0,"",T33/S33)</f>
        <v/>
      </c>
      <c r="W33" s="27" t="n"/>
      <c r="X33" s="62" t="n"/>
      <c r="Y33" s="62" t="n"/>
      <c r="Z33" s="63">
        <f>Y33-X33</f>
        <v/>
      </c>
      <c r="AA33" s="64">
        <f>IF(X33=0,"",Y33/X33)</f>
        <v/>
      </c>
      <c r="AB33" s="31" t="n"/>
      <c r="AC33" s="60" t="n"/>
      <c r="AD33" s="60" t="n"/>
      <c r="AE33" s="60">
        <f>AD33-AC33</f>
        <v/>
      </c>
      <c r="AF33" s="61">
        <f>IF(AC33=0,"",AD33/AC33)</f>
        <v/>
      </c>
      <c r="AG33" s="27" t="n"/>
      <c r="AH33" s="62" t="n"/>
      <c r="AI33" s="62" t="n"/>
      <c r="AJ33" s="62">
        <f>AI33-AH33</f>
        <v/>
      </c>
      <c r="AK33" s="64">
        <f>IF(AH33=0,"",AI33/AH33)</f>
        <v/>
      </c>
      <c r="AL33" s="31" t="n"/>
      <c r="AM33" s="60" t="n"/>
      <c r="AN33" s="60" t="n"/>
      <c r="AO33" s="60">
        <f>AN33-AM33</f>
        <v/>
      </c>
      <c r="AP33" s="61">
        <f>IF(AM33=0,"",AN33/AM33)</f>
        <v/>
      </c>
      <c r="AQ33" s="27" t="n"/>
      <c r="AR33" s="62" t="n"/>
      <c r="AS33" s="62" t="n"/>
      <c r="AT33" s="62">
        <f>AS33-AR33</f>
        <v/>
      </c>
      <c r="AU33" s="64">
        <f>IF(AR33=0,"",AS33/AR33)</f>
        <v/>
      </c>
      <c r="AV33" s="31" t="n"/>
      <c r="AW33" s="60" t="n"/>
      <c r="AX33" s="60" t="n"/>
      <c r="AY33" s="60">
        <f>AX33-AW33</f>
        <v/>
      </c>
      <c r="AZ33" s="61">
        <f>IF(AW33=0,"",AX33/AW33)</f>
        <v/>
      </c>
      <c r="BA33" s="27" t="n"/>
      <c r="BB33" s="62" t="n"/>
      <c r="BC33" s="62" t="n"/>
      <c r="BD33" s="62">
        <f>BC33-BB33</f>
        <v/>
      </c>
      <c r="BE33" s="64">
        <f>IF(BB33=0,"",BC33/BB33)</f>
        <v/>
      </c>
      <c r="BF33" s="31" t="n"/>
      <c r="BG33" s="60" t="n"/>
      <c r="BH33" s="60" t="n"/>
      <c r="BI33" s="60">
        <f>BH33-BG33</f>
        <v/>
      </c>
      <c r="BJ33" s="61">
        <f>IF(BG33=0,"",BH33/BG33)</f>
        <v/>
      </c>
      <c r="BK33" s="27" t="n"/>
      <c r="BL33" s="62" t="n"/>
      <c r="BM33" s="62" t="n"/>
      <c r="BN33" s="62">
        <f>BM33-BL33</f>
        <v/>
      </c>
      <c r="BO33" s="64">
        <f>IF(BL33=0,"",BM33/BL33)</f>
        <v/>
      </c>
      <c r="BP33" s="31" t="n"/>
      <c r="BQ33" s="60" t="n"/>
      <c r="BR33" s="60" t="n"/>
      <c r="BS33" s="60">
        <f>BR33-BQ33</f>
        <v/>
      </c>
      <c r="BT33" s="61">
        <f>IF(BQ33=0,"",BR33/BQ33)</f>
        <v/>
      </c>
      <c r="BU33" s="27" t="n"/>
      <c r="BV33" s="62" t="n"/>
      <c r="BW33" s="62" t="n"/>
      <c r="BX33" s="62">
        <f>BW33-BV33</f>
        <v/>
      </c>
      <c r="BY33" s="64">
        <f>IF(BV33=0,"",BW33/BV33)</f>
        <v/>
      </c>
      <c r="BZ33" s="31" t="n"/>
      <c r="CA33" s="60" t="n"/>
      <c r="CB33" s="60" t="n"/>
      <c r="CC33" s="60">
        <f>CB33-CA33</f>
        <v/>
      </c>
      <c r="CD33" s="61">
        <f>IF(CA33=0,"",CB33/CA33)</f>
        <v/>
      </c>
      <c r="CE33" s="27" t="n"/>
      <c r="CF33" s="62" t="n"/>
      <c r="CG33" s="62" t="n"/>
      <c r="CH33" s="62">
        <f>CG33-CF33</f>
        <v/>
      </c>
      <c r="CI33" s="64">
        <f>IF(CF33=0,"",CG33/CF33)</f>
        <v/>
      </c>
      <c r="CJ33" s="31" t="n"/>
      <c r="CK33" s="60" t="n"/>
      <c r="CL33" s="60" t="n"/>
      <c r="CM33" s="60">
        <f>CL33-CK33</f>
        <v/>
      </c>
      <c r="CN33" s="61">
        <f>IF(CK33=0,"",CL33/CK33)</f>
        <v/>
      </c>
      <c r="CO33" s="27" t="n"/>
      <c r="CP33" s="62" t="n"/>
      <c r="CQ33" s="62" t="n"/>
      <c r="CR33" s="62">
        <f>CQ33-CP33</f>
        <v/>
      </c>
      <c r="CS33" s="64">
        <f>IF(CP33=0,"",CQ33/CP33)</f>
        <v/>
      </c>
      <c r="CT33" s="31" t="n"/>
      <c r="CU33" s="60" t="n"/>
      <c r="CV33" s="60" t="n"/>
      <c r="CW33" s="60">
        <f>CV33-CU33</f>
        <v/>
      </c>
      <c r="CX33" s="61">
        <f>IF(CU33=0,"",CV33/CU33)</f>
        <v/>
      </c>
      <c r="CY33" s="27" t="n"/>
      <c r="CZ33" s="62" t="n"/>
      <c r="DA33" s="62" t="n"/>
      <c r="DB33" s="62">
        <f>DA33-CZ33</f>
        <v/>
      </c>
      <c r="DC33" s="64">
        <f>IF(CZ33=0,"",DA33/CZ33)</f>
        <v/>
      </c>
      <c r="DD33" s="31" t="n"/>
      <c r="DE33" s="60" t="n"/>
      <c r="DF33" s="60" t="n"/>
      <c r="DG33" s="60">
        <f>DF33-DE33</f>
        <v/>
      </c>
      <c r="DH33" s="61">
        <f>IF(DE33=0,"",DF33/DE33)</f>
        <v/>
      </c>
      <c r="DI33" s="27" t="n"/>
      <c r="DJ33" s="62" t="n"/>
      <c r="DK33" s="62" t="n"/>
      <c r="DL33" s="62">
        <f>DK33-DJ33</f>
        <v/>
      </c>
      <c r="DM33" s="64">
        <f>IF(DJ33=0,"",DK33/DJ33)</f>
        <v/>
      </c>
      <c r="DN33" s="31" t="n"/>
      <c r="DO33" s="60" t="n"/>
    </row>
    <row r="34" outlineLevel="1" ht="15" customHeight="1">
      <c r="A34" s="24" t="n"/>
      <c r="B34" s="24" t="n"/>
      <c r="C34" s="24" t="n"/>
      <c r="D34" s="60" t="n"/>
      <c r="E34" s="60" t="n"/>
      <c r="F34" s="60">
        <f>E34-D34</f>
        <v/>
      </c>
      <c r="G34" s="61">
        <f>IF(D34=0,"",E34/D34)</f>
        <v/>
      </c>
      <c r="H34" s="27" t="n"/>
      <c r="I34" s="60" t="n"/>
      <c r="J34" s="60" t="n"/>
      <c r="K34" s="60">
        <f>J34-I34</f>
        <v/>
      </c>
      <c r="L34" s="61">
        <f>IF(I34=0,"",J34/I34)</f>
        <v/>
      </c>
      <c r="M34" s="27" t="n"/>
      <c r="N34" s="62" t="n"/>
      <c r="O34" s="62" t="n"/>
      <c r="P34" s="62">
        <f>O34-N34</f>
        <v/>
      </c>
      <c r="Q34" s="64">
        <f>IF(N34=0,"",O34/N34)</f>
        <v/>
      </c>
      <c r="R34" s="31" t="n"/>
      <c r="S34" s="60" t="n"/>
      <c r="T34" s="60" t="n"/>
      <c r="U34" s="60">
        <f>T34-S34</f>
        <v/>
      </c>
      <c r="V34" s="61">
        <f>IF(S34=0,"",T34/S34)</f>
        <v/>
      </c>
      <c r="W34" s="27" t="n"/>
      <c r="X34" s="62" t="n"/>
      <c r="Y34" s="62" t="n"/>
      <c r="Z34" s="63">
        <f>Y34-X34</f>
        <v/>
      </c>
      <c r="AA34" s="64">
        <f>IF(X34=0,"",Y34/X34)</f>
        <v/>
      </c>
      <c r="AB34" s="31" t="n"/>
      <c r="AC34" s="60" t="n"/>
      <c r="AD34" s="60" t="n"/>
      <c r="AE34" s="60">
        <f>AD34-AC34</f>
        <v/>
      </c>
      <c r="AF34" s="61">
        <f>IF(AC34=0,"",AD34/AC34)</f>
        <v/>
      </c>
      <c r="AG34" s="27" t="n"/>
      <c r="AH34" s="62" t="n"/>
      <c r="AI34" s="62" t="n"/>
      <c r="AJ34" s="62">
        <f>AI34-AH34</f>
        <v/>
      </c>
      <c r="AK34" s="64">
        <f>IF(AH34=0,"",AI34/AH34)</f>
        <v/>
      </c>
      <c r="AL34" s="31" t="n"/>
      <c r="AM34" s="60" t="n"/>
      <c r="AN34" s="60" t="n"/>
      <c r="AO34" s="60">
        <f>AN34-AM34</f>
        <v/>
      </c>
      <c r="AP34" s="61">
        <f>IF(AM34=0,"",AN34/AM34)</f>
        <v/>
      </c>
      <c r="AQ34" s="27" t="n"/>
      <c r="AR34" s="62" t="n"/>
      <c r="AS34" s="62" t="n"/>
      <c r="AT34" s="62">
        <f>AS34-AR34</f>
        <v/>
      </c>
      <c r="AU34" s="64">
        <f>IF(AR34=0,"",AS34/AR34)</f>
        <v/>
      </c>
      <c r="AV34" s="31" t="n"/>
      <c r="AW34" s="60" t="n"/>
      <c r="AX34" s="60" t="n"/>
      <c r="AY34" s="60">
        <f>AX34-AW34</f>
        <v/>
      </c>
      <c r="AZ34" s="61">
        <f>IF(AW34=0,"",AX34/AW34)</f>
        <v/>
      </c>
      <c r="BA34" s="27" t="n"/>
      <c r="BB34" s="62" t="n"/>
      <c r="BC34" s="62" t="n"/>
      <c r="BD34" s="62">
        <f>BC34-BB34</f>
        <v/>
      </c>
      <c r="BE34" s="64">
        <f>IF(BB34=0,"",BC34/BB34)</f>
        <v/>
      </c>
      <c r="BF34" s="31" t="n"/>
      <c r="BG34" s="60" t="n"/>
      <c r="BH34" s="60" t="n"/>
      <c r="BI34" s="60">
        <f>BH34-BG34</f>
        <v/>
      </c>
      <c r="BJ34" s="61">
        <f>IF(BG34=0,"",BH34/BG34)</f>
        <v/>
      </c>
      <c r="BK34" s="27" t="n"/>
      <c r="BL34" s="62" t="n"/>
      <c r="BM34" s="62" t="n"/>
      <c r="BN34" s="62">
        <f>BM34-BL34</f>
        <v/>
      </c>
      <c r="BO34" s="64">
        <f>IF(BL34=0,"",BM34/BL34)</f>
        <v/>
      </c>
      <c r="BP34" s="31" t="n"/>
      <c r="BQ34" s="60" t="n"/>
      <c r="BR34" s="60" t="n"/>
      <c r="BS34" s="60">
        <f>BR34-BQ34</f>
        <v/>
      </c>
      <c r="BT34" s="61">
        <f>IF(BQ34=0,"",BR34/BQ34)</f>
        <v/>
      </c>
      <c r="BU34" s="27" t="n"/>
      <c r="BV34" s="62" t="n"/>
      <c r="BW34" s="62" t="n"/>
      <c r="BX34" s="62">
        <f>BW34-BV34</f>
        <v/>
      </c>
      <c r="BY34" s="64">
        <f>IF(BV34=0,"",BW34/BV34)</f>
        <v/>
      </c>
      <c r="BZ34" s="31" t="n"/>
      <c r="CA34" s="60" t="n"/>
      <c r="CB34" s="60" t="n"/>
      <c r="CC34" s="60">
        <f>CB34-CA34</f>
        <v/>
      </c>
      <c r="CD34" s="61">
        <f>IF(CA34=0,"",CB34/CA34)</f>
        <v/>
      </c>
      <c r="CE34" s="27" t="n"/>
      <c r="CF34" s="62" t="n"/>
      <c r="CG34" s="62" t="n"/>
      <c r="CH34" s="62">
        <f>CG34-CF34</f>
        <v/>
      </c>
      <c r="CI34" s="64">
        <f>IF(CF34=0,"",CG34/CF34)</f>
        <v/>
      </c>
      <c r="CJ34" s="31" t="n"/>
      <c r="CK34" s="60" t="n"/>
      <c r="CL34" s="60" t="n"/>
      <c r="CM34" s="60">
        <f>CL34-CK34</f>
        <v/>
      </c>
      <c r="CN34" s="61">
        <f>IF(CK34=0,"",CL34/CK34)</f>
        <v/>
      </c>
      <c r="CO34" s="27" t="n"/>
      <c r="CP34" s="62" t="n"/>
      <c r="CQ34" s="62" t="n"/>
      <c r="CR34" s="62">
        <f>CQ34-CP34</f>
        <v/>
      </c>
      <c r="CS34" s="64">
        <f>IF(CP34=0,"",CQ34/CP34)</f>
        <v/>
      </c>
      <c r="CT34" s="31" t="n"/>
      <c r="CU34" s="60" t="n"/>
      <c r="CV34" s="60" t="n"/>
      <c r="CW34" s="60">
        <f>CV34-CU34</f>
        <v/>
      </c>
      <c r="CX34" s="61">
        <f>IF(CU34=0,"",CV34/CU34)</f>
        <v/>
      </c>
      <c r="CY34" s="27" t="n"/>
      <c r="CZ34" s="62" t="n"/>
      <c r="DA34" s="62" t="n"/>
      <c r="DB34" s="62">
        <f>DA34-CZ34</f>
        <v/>
      </c>
      <c r="DC34" s="64">
        <f>IF(CZ34=0,"",DA34/CZ34)</f>
        <v/>
      </c>
      <c r="DD34" s="31" t="n"/>
      <c r="DE34" s="60" t="n"/>
      <c r="DF34" s="60" t="n"/>
      <c r="DG34" s="60">
        <f>DF34-DE34</f>
        <v/>
      </c>
      <c r="DH34" s="61">
        <f>IF(DE34=0,"",DF34/DE34)</f>
        <v/>
      </c>
      <c r="DI34" s="27" t="n"/>
      <c r="DJ34" s="62" t="n"/>
      <c r="DK34" s="62" t="n"/>
      <c r="DL34" s="62">
        <f>DK34-DJ34</f>
        <v/>
      </c>
      <c r="DM34" s="64">
        <f>IF(DJ34=0,"",DK34/DJ34)</f>
        <v/>
      </c>
      <c r="DN34" s="31" t="n"/>
      <c r="DO34" s="60" t="n"/>
    </row>
    <row r="35" outlineLevel="1" ht="15" customHeight="1">
      <c r="A35" s="24" t="n"/>
      <c r="B35" s="24" t="n"/>
      <c r="C35" s="24" t="n"/>
      <c r="D35" s="60" t="n"/>
      <c r="E35" s="60" t="n"/>
      <c r="F35" s="60">
        <f>E35-D35</f>
        <v/>
      </c>
      <c r="G35" s="61">
        <f>IF(D35=0,"",E35/D35)</f>
        <v/>
      </c>
      <c r="H35" s="27" t="n"/>
      <c r="I35" s="60" t="n"/>
      <c r="J35" s="60" t="n"/>
      <c r="K35" s="60">
        <f>J35-I35</f>
        <v/>
      </c>
      <c r="L35" s="61">
        <f>IF(I35=0,"",J35/I35)</f>
        <v/>
      </c>
      <c r="M35" s="27" t="n"/>
      <c r="N35" s="62" t="n"/>
      <c r="O35" s="62" t="n"/>
      <c r="P35" s="63">
        <f>O35-N35</f>
        <v/>
      </c>
      <c r="Q35" s="64">
        <f>IF(N35=0,"",O35/N35)</f>
        <v/>
      </c>
      <c r="R35" s="31" t="n"/>
      <c r="S35" s="60" t="n"/>
      <c r="T35" s="60" t="n"/>
      <c r="U35" s="60">
        <f>T35-S35</f>
        <v/>
      </c>
      <c r="V35" s="61">
        <f>IF(S35=0,"",T35/S35)</f>
        <v/>
      </c>
      <c r="W35" s="27" t="n"/>
      <c r="X35" s="62" t="n"/>
      <c r="Y35" s="62" t="n"/>
      <c r="Z35" s="63">
        <f>Y35-X35</f>
        <v/>
      </c>
      <c r="AA35" s="64">
        <f>IF(X35=0,"",Y35/X35)</f>
        <v/>
      </c>
      <c r="AB35" s="31" t="n"/>
      <c r="AC35" s="60" t="n"/>
      <c r="AD35" s="60" t="n"/>
      <c r="AE35" s="60">
        <f>AD35-AC35</f>
        <v/>
      </c>
      <c r="AF35" s="61">
        <f>IF(AC35=0,"",AD35/AC35)</f>
        <v/>
      </c>
      <c r="AG35" s="27" t="n"/>
      <c r="AH35" s="62" t="n"/>
      <c r="AI35" s="62" t="n"/>
      <c r="AJ35" s="62">
        <f>AI35-AH35</f>
        <v/>
      </c>
      <c r="AK35" s="64">
        <f>IF(AH35=0,"",AI35/AH35)</f>
        <v/>
      </c>
      <c r="AL35" s="31" t="n"/>
      <c r="AM35" s="60" t="n"/>
      <c r="AN35" s="60" t="n"/>
      <c r="AO35" s="60">
        <f>AN35-AM35</f>
        <v/>
      </c>
      <c r="AP35" s="61">
        <f>IF(AM35=0,"",AN35/AM35)</f>
        <v/>
      </c>
      <c r="AQ35" s="27" t="n"/>
      <c r="AR35" s="62" t="n"/>
      <c r="AS35" s="62" t="n"/>
      <c r="AT35" s="62">
        <f>AS35-AR35</f>
        <v/>
      </c>
      <c r="AU35" s="64">
        <f>IF(AR35=0,"",AS35/AR35)</f>
        <v/>
      </c>
      <c r="AV35" s="31" t="n"/>
      <c r="AW35" s="60" t="n"/>
      <c r="AX35" s="60" t="n"/>
      <c r="AY35" s="60">
        <f>AX35-AW35</f>
        <v/>
      </c>
      <c r="AZ35" s="61">
        <f>IF(AW35=0,"",AX35/AW35)</f>
        <v/>
      </c>
      <c r="BA35" s="27" t="n"/>
      <c r="BB35" s="62" t="n"/>
      <c r="BC35" s="62" t="n"/>
      <c r="BD35" s="62">
        <f>BC35-BB35</f>
        <v/>
      </c>
      <c r="BE35" s="64">
        <f>IF(BB35=0,"",BC35/BB35)</f>
        <v/>
      </c>
      <c r="BF35" s="31" t="n"/>
      <c r="BG35" s="60" t="n"/>
      <c r="BH35" s="60" t="n"/>
      <c r="BI35" s="60">
        <f>BH35-BG35</f>
        <v/>
      </c>
      <c r="BJ35" s="61">
        <f>IF(BG35=0,"",BH35/BG35)</f>
        <v/>
      </c>
      <c r="BK35" s="27" t="n"/>
      <c r="BL35" s="62" t="n"/>
      <c r="BM35" s="62" t="n"/>
      <c r="BN35" s="62">
        <f>BM35-BL35</f>
        <v/>
      </c>
      <c r="BO35" s="64">
        <f>IF(BL35=0,"",BM35/BL35)</f>
        <v/>
      </c>
      <c r="BP35" s="31" t="n"/>
      <c r="BQ35" s="60" t="n"/>
      <c r="BR35" s="60" t="n"/>
      <c r="BS35" s="60">
        <f>BR35-BQ35</f>
        <v/>
      </c>
      <c r="BT35" s="61">
        <f>IF(BQ35=0,"",BR35/BQ35)</f>
        <v/>
      </c>
      <c r="BU35" s="27" t="n"/>
      <c r="BV35" s="62" t="n"/>
      <c r="BW35" s="62" t="n"/>
      <c r="BX35" s="62">
        <f>BW35-BV35</f>
        <v/>
      </c>
      <c r="BY35" s="64">
        <f>IF(BV35=0,"",BW35/BV35)</f>
        <v/>
      </c>
      <c r="BZ35" s="31" t="n"/>
      <c r="CA35" s="60" t="n"/>
      <c r="CB35" s="60" t="n"/>
      <c r="CC35" s="60">
        <f>CB35-CA35</f>
        <v/>
      </c>
      <c r="CD35" s="61">
        <f>IF(CA35=0,"",CB35/CA35)</f>
        <v/>
      </c>
      <c r="CE35" s="27" t="n"/>
      <c r="CF35" s="62" t="n"/>
      <c r="CG35" s="62" t="n"/>
      <c r="CH35" s="62">
        <f>CG35-CF35</f>
        <v/>
      </c>
      <c r="CI35" s="64">
        <f>IF(CF35=0,"",CG35/CF35)</f>
        <v/>
      </c>
      <c r="CJ35" s="31" t="n"/>
      <c r="CK35" s="60" t="n"/>
      <c r="CL35" s="60" t="n"/>
      <c r="CM35" s="60">
        <f>CL35-CK35</f>
        <v/>
      </c>
      <c r="CN35" s="61">
        <f>IF(CK35=0,"",CL35/CK35)</f>
        <v/>
      </c>
      <c r="CO35" s="27" t="n"/>
      <c r="CP35" s="62" t="n"/>
      <c r="CQ35" s="62" t="n"/>
      <c r="CR35" s="62">
        <f>CQ35-CP35</f>
        <v/>
      </c>
      <c r="CS35" s="64">
        <f>IF(CP35=0,"",CQ35/CP35)</f>
        <v/>
      </c>
      <c r="CT35" s="31" t="n"/>
      <c r="CU35" s="60" t="n"/>
      <c r="CV35" s="60" t="n"/>
      <c r="CW35" s="60">
        <f>CV35-CU35</f>
        <v/>
      </c>
      <c r="CX35" s="61">
        <f>IF(CU35=0,"",CV35/CU35)</f>
        <v/>
      </c>
      <c r="CY35" s="27" t="n"/>
      <c r="CZ35" s="62" t="n"/>
      <c r="DA35" s="62" t="n"/>
      <c r="DB35" s="62">
        <f>DA35-CZ35</f>
        <v/>
      </c>
      <c r="DC35" s="64">
        <f>IF(CZ35=0,"",DA35/CZ35)</f>
        <v/>
      </c>
      <c r="DD35" s="31" t="n"/>
      <c r="DE35" s="60" t="n"/>
      <c r="DF35" s="60" t="n"/>
      <c r="DG35" s="60">
        <f>DF35-DE35</f>
        <v/>
      </c>
      <c r="DH35" s="61">
        <f>IF(DE35=0,"",DF35/DE35)</f>
        <v/>
      </c>
      <c r="DI35" s="27" t="n"/>
      <c r="DJ35" s="62" t="n"/>
      <c r="DK35" s="62" t="n"/>
      <c r="DL35" s="62">
        <f>DK35-DJ35</f>
        <v/>
      </c>
      <c r="DM35" s="64">
        <f>IF(DJ35=0,"",DK35/DJ35)</f>
        <v/>
      </c>
      <c r="DN35" s="31" t="n"/>
      <c r="DO35" s="60" t="n"/>
    </row>
    <row r="36" outlineLevel="1" ht="15" customHeight="1">
      <c r="A36" s="24" t="n"/>
      <c r="B36" s="24" t="n"/>
      <c r="C36" s="24" t="n"/>
      <c r="D36" s="60" t="n"/>
      <c r="E36" s="60" t="n"/>
      <c r="F36" s="60">
        <f>E36-D36</f>
        <v/>
      </c>
      <c r="G36" s="61">
        <f>IF(D36=0,"",E36/D36)</f>
        <v/>
      </c>
      <c r="H36" s="27" t="n"/>
      <c r="I36" s="60" t="n"/>
      <c r="J36" s="60" t="n"/>
      <c r="K36" s="60">
        <f>J36-I36</f>
        <v/>
      </c>
      <c r="L36" s="61">
        <f>IF(I36=0,"",J36/I36)</f>
        <v/>
      </c>
      <c r="M36" s="27" t="n"/>
      <c r="N36" s="62" t="n"/>
      <c r="O36" s="62" t="n"/>
      <c r="P36" s="63">
        <f>O36-N36</f>
        <v/>
      </c>
      <c r="Q36" s="64">
        <f>IF(N36=0,"",O36/N36)</f>
        <v/>
      </c>
      <c r="R36" s="31" t="n"/>
      <c r="S36" s="60" t="n"/>
      <c r="T36" s="60" t="n"/>
      <c r="U36" s="60">
        <f>T36-S36</f>
        <v/>
      </c>
      <c r="V36" s="61">
        <f>IF(S36=0,"",T36/S36)</f>
        <v/>
      </c>
      <c r="W36" s="27" t="n"/>
      <c r="X36" s="62" t="n"/>
      <c r="Y36" s="62" t="n"/>
      <c r="Z36" s="63">
        <f>Y36-X36</f>
        <v/>
      </c>
      <c r="AA36" s="64">
        <f>IF(X36=0,"",Y36/X36)</f>
        <v/>
      </c>
      <c r="AB36" s="31" t="n"/>
      <c r="AC36" s="60" t="n"/>
      <c r="AD36" s="60" t="n"/>
      <c r="AE36" s="60">
        <f>AD36-AC36</f>
        <v/>
      </c>
      <c r="AF36" s="61">
        <f>IF(AC36=0,"",AD36/AC36)</f>
        <v/>
      </c>
      <c r="AG36" s="27" t="n"/>
      <c r="AH36" s="62" t="n"/>
      <c r="AI36" s="62" t="n"/>
      <c r="AJ36" s="62">
        <f>AI36-AH36</f>
        <v/>
      </c>
      <c r="AK36" s="64">
        <f>IF(AH36=0,"",AI36/AH36)</f>
        <v/>
      </c>
      <c r="AL36" s="31" t="n"/>
      <c r="AM36" s="60" t="n"/>
      <c r="AN36" s="60" t="n"/>
      <c r="AO36" s="60">
        <f>AN36-AM36</f>
        <v/>
      </c>
      <c r="AP36" s="61">
        <f>IF(AM36=0,"",AN36/AM36)</f>
        <v/>
      </c>
      <c r="AQ36" s="27" t="n"/>
      <c r="AR36" s="62" t="n"/>
      <c r="AS36" s="62" t="n"/>
      <c r="AT36" s="62">
        <f>AS36-AR36</f>
        <v/>
      </c>
      <c r="AU36" s="64">
        <f>IF(AR36=0,"",AS36/AR36)</f>
        <v/>
      </c>
      <c r="AV36" s="31" t="n"/>
      <c r="AW36" s="60" t="n"/>
      <c r="AX36" s="60" t="n"/>
      <c r="AY36" s="60">
        <f>AX36-AW36</f>
        <v/>
      </c>
      <c r="AZ36" s="61">
        <f>IF(AW36=0,"",AX36/AW36)</f>
        <v/>
      </c>
      <c r="BA36" s="27" t="n"/>
      <c r="BB36" s="62" t="n"/>
      <c r="BC36" s="62" t="n"/>
      <c r="BD36" s="62">
        <f>BC36-BB36</f>
        <v/>
      </c>
      <c r="BE36" s="64">
        <f>IF(BB36=0,"",BC36/BB36)</f>
        <v/>
      </c>
      <c r="BF36" s="31" t="n"/>
      <c r="BG36" s="60" t="n"/>
      <c r="BH36" s="60" t="n"/>
      <c r="BI36" s="60">
        <f>BH36-BG36</f>
        <v/>
      </c>
      <c r="BJ36" s="61">
        <f>IF(BG36=0,"",BH36/BG36)</f>
        <v/>
      </c>
      <c r="BK36" s="27" t="n"/>
      <c r="BL36" s="62" t="n"/>
      <c r="BM36" s="62" t="n"/>
      <c r="BN36" s="62">
        <f>BM36-BL36</f>
        <v/>
      </c>
      <c r="BO36" s="64">
        <f>IF(BL36=0,"",BM36/BL36)</f>
        <v/>
      </c>
      <c r="BP36" s="31" t="n"/>
      <c r="BQ36" s="60" t="n"/>
      <c r="BR36" s="60" t="n"/>
      <c r="BS36" s="60">
        <f>BR36-BQ36</f>
        <v/>
      </c>
      <c r="BT36" s="61">
        <f>IF(BQ36=0,"",BR36/BQ36)</f>
        <v/>
      </c>
      <c r="BU36" s="27" t="n"/>
      <c r="BV36" s="62" t="n"/>
      <c r="BW36" s="62" t="n"/>
      <c r="BX36" s="62">
        <f>BW36-BV36</f>
        <v/>
      </c>
      <c r="BY36" s="64">
        <f>IF(BV36=0,"",BW36/BV36)</f>
        <v/>
      </c>
      <c r="BZ36" s="31" t="n"/>
      <c r="CA36" s="60" t="n"/>
      <c r="CB36" s="60" t="n"/>
      <c r="CC36" s="60">
        <f>CB36-CA36</f>
        <v/>
      </c>
      <c r="CD36" s="61">
        <f>IF(CA36=0,"",CB36/CA36)</f>
        <v/>
      </c>
      <c r="CE36" s="27" t="n"/>
      <c r="CF36" s="62" t="n"/>
      <c r="CG36" s="62" t="n"/>
      <c r="CH36" s="62">
        <f>CG36-CF36</f>
        <v/>
      </c>
      <c r="CI36" s="64">
        <f>IF(CF36=0,"",CG36/CF36)</f>
        <v/>
      </c>
      <c r="CJ36" s="31" t="n"/>
      <c r="CK36" s="60" t="n"/>
      <c r="CL36" s="60" t="n"/>
      <c r="CM36" s="60">
        <f>CL36-CK36</f>
        <v/>
      </c>
      <c r="CN36" s="61">
        <f>IF(CK36=0,"",CL36/CK36)</f>
        <v/>
      </c>
      <c r="CO36" s="27" t="n"/>
      <c r="CP36" s="62" t="n"/>
      <c r="CQ36" s="62" t="n"/>
      <c r="CR36" s="62">
        <f>CQ36-CP36</f>
        <v/>
      </c>
      <c r="CS36" s="64">
        <f>IF(CP36=0,"",CQ36/CP36)</f>
        <v/>
      </c>
      <c r="CT36" s="31" t="n"/>
      <c r="CU36" s="60" t="n"/>
      <c r="CV36" s="60" t="n"/>
      <c r="CW36" s="60">
        <f>CV36-CU36</f>
        <v/>
      </c>
      <c r="CX36" s="61">
        <f>IF(CU36=0,"",CV36/CU36)</f>
        <v/>
      </c>
      <c r="CY36" s="27" t="n"/>
      <c r="CZ36" s="62" t="n"/>
      <c r="DA36" s="62" t="n"/>
      <c r="DB36" s="62">
        <f>DA36-CZ36</f>
        <v/>
      </c>
      <c r="DC36" s="64">
        <f>IF(CZ36=0,"",DA36/CZ36)</f>
        <v/>
      </c>
      <c r="DD36" s="31" t="n"/>
      <c r="DE36" s="60" t="n"/>
      <c r="DF36" s="60" t="n"/>
      <c r="DG36" s="60">
        <f>DF36-DE36</f>
        <v/>
      </c>
      <c r="DH36" s="61">
        <f>IF(DE36=0,"",DF36/DE36)</f>
        <v/>
      </c>
      <c r="DI36" s="27" t="n"/>
      <c r="DJ36" s="62" t="n"/>
      <c r="DK36" s="62" t="n"/>
      <c r="DL36" s="62">
        <f>DK36-DJ36</f>
        <v/>
      </c>
      <c r="DM36" s="64">
        <f>IF(DJ36=0,"",DK36/DJ36)</f>
        <v/>
      </c>
      <c r="DN36" s="31" t="n"/>
      <c r="DO36" s="60" t="n"/>
    </row>
    <row r="37" outlineLevel="1" ht="15" customHeight="1">
      <c r="A37" s="24" t="n"/>
      <c r="B37" s="24" t="n"/>
      <c r="C37" s="24" t="n"/>
      <c r="D37" s="60" t="n"/>
      <c r="E37" s="60" t="n"/>
      <c r="F37" s="60">
        <f>E37-D37</f>
        <v/>
      </c>
      <c r="G37" s="61">
        <f>IF(D37=0,"",E37/D37)</f>
        <v/>
      </c>
      <c r="H37" s="27" t="n"/>
      <c r="I37" s="60" t="n"/>
      <c r="J37" s="60" t="n"/>
      <c r="K37" s="60">
        <f>J37-I37</f>
        <v/>
      </c>
      <c r="L37" s="61">
        <f>IF(I37=0,"",J37/I37)</f>
        <v/>
      </c>
      <c r="M37" s="27" t="n"/>
      <c r="N37" s="62" t="n"/>
      <c r="O37" s="62" t="n"/>
      <c r="P37" s="62">
        <f>O37-N37</f>
        <v/>
      </c>
      <c r="Q37" s="64">
        <f>IF(N37=0,"",O37/N37)</f>
        <v/>
      </c>
      <c r="R37" s="31" t="n"/>
      <c r="S37" s="60" t="n"/>
      <c r="T37" s="60" t="n"/>
      <c r="U37" s="60">
        <f>T37-S37</f>
        <v/>
      </c>
      <c r="V37" s="61">
        <f>IF(S37=0,"",T37/S37)</f>
        <v/>
      </c>
      <c r="W37" s="27" t="n"/>
      <c r="X37" s="62" t="n"/>
      <c r="Y37" s="62" t="n"/>
      <c r="Z37" s="62">
        <f>Y37-X37</f>
        <v/>
      </c>
      <c r="AA37" s="64">
        <f>IF(X37=0,"",Y37/X37)</f>
        <v/>
      </c>
      <c r="AB37" s="31" t="n"/>
      <c r="AC37" s="60" t="n"/>
      <c r="AD37" s="60" t="n"/>
      <c r="AE37" s="60">
        <f>AD37-AC37</f>
        <v/>
      </c>
      <c r="AF37" s="61">
        <f>IF(AC37=0,"",AD37/AC37)</f>
        <v/>
      </c>
      <c r="AG37" s="27" t="n"/>
      <c r="AH37" s="62" t="n"/>
      <c r="AI37" s="62" t="n"/>
      <c r="AJ37" s="62">
        <f>AI37-AH37</f>
        <v/>
      </c>
      <c r="AK37" s="64">
        <f>IF(AH37=0,"",AI37/AH37)</f>
        <v/>
      </c>
      <c r="AL37" s="31" t="n"/>
      <c r="AM37" s="60" t="n"/>
      <c r="AN37" s="60" t="n"/>
      <c r="AO37" s="60">
        <f>AN37-AM37</f>
        <v/>
      </c>
      <c r="AP37" s="61">
        <f>IF(AM37=0,"",AN37/AM37)</f>
        <v/>
      </c>
      <c r="AQ37" s="27" t="n"/>
      <c r="AR37" s="62" t="n"/>
      <c r="AS37" s="62" t="n"/>
      <c r="AT37" s="62">
        <f>AS37-AR37</f>
        <v/>
      </c>
      <c r="AU37" s="64">
        <f>IF(AR37=0,"",AS37/AR37)</f>
        <v/>
      </c>
      <c r="AV37" s="31" t="n"/>
      <c r="AW37" s="60" t="n"/>
      <c r="AX37" s="60" t="n"/>
      <c r="AY37" s="60">
        <f>AX37-AW37</f>
        <v/>
      </c>
      <c r="AZ37" s="61">
        <f>IF(AW37=0,"",AX37/AW37)</f>
        <v/>
      </c>
      <c r="BA37" s="27" t="n"/>
      <c r="BB37" s="62" t="n"/>
      <c r="BC37" s="62" t="n"/>
      <c r="BD37" s="62">
        <f>BC37-BB37</f>
        <v/>
      </c>
      <c r="BE37" s="64">
        <f>IF(BB37=0,"",BC37/BB37)</f>
        <v/>
      </c>
      <c r="BF37" s="31" t="n"/>
      <c r="BG37" s="60" t="n"/>
      <c r="BH37" s="60" t="n"/>
      <c r="BI37" s="60">
        <f>BH37-BG37</f>
        <v/>
      </c>
      <c r="BJ37" s="61">
        <f>IF(BG37=0,"",BH37/BG37)</f>
        <v/>
      </c>
      <c r="BK37" s="27" t="n"/>
      <c r="BL37" s="62" t="n"/>
      <c r="BM37" s="62" t="n"/>
      <c r="BN37" s="62">
        <f>BM37-BL37</f>
        <v/>
      </c>
      <c r="BO37" s="64">
        <f>IF(BL37=0,"",BM37/BL37)</f>
        <v/>
      </c>
      <c r="BP37" s="31" t="n"/>
      <c r="BQ37" s="60" t="n"/>
      <c r="BR37" s="60" t="n"/>
      <c r="BS37" s="60">
        <f>BR37-BQ37</f>
        <v/>
      </c>
      <c r="BT37" s="61">
        <f>IF(BQ37=0,"",BR37/BQ37)</f>
        <v/>
      </c>
      <c r="BU37" s="27" t="n"/>
      <c r="BV37" s="62" t="n"/>
      <c r="BW37" s="62" t="n"/>
      <c r="BX37" s="62">
        <f>BW37-BV37</f>
        <v/>
      </c>
      <c r="BY37" s="64">
        <f>IF(BV37=0,"",BW37/BV37)</f>
        <v/>
      </c>
      <c r="BZ37" s="31" t="n"/>
      <c r="CA37" s="60" t="n"/>
      <c r="CB37" s="60" t="n"/>
      <c r="CC37" s="60">
        <f>CB37-CA37</f>
        <v/>
      </c>
      <c r="CD37" s="61">
        <f>IF(CA37=0,"",CB37/CA37)</f>
        <v/>
      </c>
      <c r="CE37" s="27" t="n"/>
      <c r="CF37" s="62" t="n"/>
      <c r="CG37" s="62" t="n"/>
      <c r="CH37" s="62">
        <f>CG37-CF37</f>
        <v/>
      </c>
      <c r="CI37" s="64">
        <f>IF(CF37=0,"",CG37/CF37)</f>
        <v/>
      </c>
      <c r="CJ37" s="31" t="n"/>
      <c r="CK37" s="60" t="n"/>
      <c r="CL37" s="60" t="n"/>
      <c r="CM37" s="60">
        <f>CL37-CK37</f>
        <v/>
      </c>
      <c r="CN37" s="61">
        <f>IF(CK37=0,"",CL37/CK37)</f>
        <v/>
      </c>
      <c r="CO37" s="27" t="n"/>
      <c r="CP37" s="62" t="n"/>
      <c r="CQ37" s="62" t="n"/>
      <c r="CR37" s="62">
        <f>CQ37-CP37</f>
        <v/>
      </c>
      <c r="CS37" s="64">
        <f>IF(CP37=0,"",CQ37/CP37)</f>
        <v/>
      </c>
      <c r="CT37" s="31" t="n"/>
      <c r="CU37" s="60" t="n"/>
      <c r="CV37" s="60" t="n"/>
      <c r="CW37" s="60">
        <f>CV37-CU37</f>
        <v/>
      </c>
      <c r="CX37" s="61">
        <f>IF(CU37=0,"",CV37/CU37)</f>
        <v/>
      </c>
      <c r="CY37" s="27" t="n"/>
      <c r="CZ37" s="62" t="n"/>
      <c r="DA37" s="62" t="n"/>
      <c r="DB37" s="62">
        <f>DA37-CZ37</f>
        <v/>
      </c>
      <c r="DC37" s="64">
        <f>IF(CZ37=0,"",DA37/CZ37)</f>
        <v/>
      </c>
      <c r="DD37" s="31" t="n"/>
      <c r="DE37" s="60" t="n"/>
      <c r="DF37" s="60" t="n"/>
      <c r="DG37" s="60">
        <f>DF37-DE37</f>
        <v/>
      </c>
      <c r="DH37" s="61">
        <f>IF(DE37=0,"",DF37/DE37)</f>
        <v/>
      </c>
      <c r="DI37" s="27" t="n"/>
      <c r="DJ37" s="62" t="n"/>
      <c r="DK37" s="62" t="n"/>
      <c r="DL37" s="62">
        <f>DK37-DJ37</f>
        <v/>
      </c>
      <c r="DM37" s="64">
        <f>IF(DJ37=0,"",DK37/DJ37)</f>
        <v/>
      </c>
      <c r="DN37" s="31" t="n"/>
      <c r="DO37" s="60" t="n"/>
    </row>
    <row r="38" outlineLevel="1" ht="15" customHeight="1">
      <c r="A38" s="24" t="n"/>
      <c r="B38" s="24" t="n"/>
      <c r="C38" s="24" t="n"/>
      <c r="D38" s="60" t="n"/>
      <c r="E38" s="60" t="n"/>
      <c r="F38" s="60">
        <f>E38-D38</f>
        <v/>
      </c>
      <c r="G38" s="61">
        <f>IF(D38=0,"",E38/D38)</f>
        <v/>
      </c>
      <c r="H38" s="27" t="n"/>
      <c r="I38" s="60" t="n"/>
      <c r="J38" s="60" t="n"/>
      <c r="K38" s="60">
        <f>J38-I38</f>
        <v/>
      </c>
      <c r="L38" s="61">
        <f>IF(I38=0,"",J38/I38)</f>
        <v/>
      </c>
      <c r="M38" s="27" t="n"/>
      <c r="N38" s="62" t="n"/>
      <c r="O38" s="62" t="n"/>
      <c r="P38" s="62">
        <f>O38-N38</f>
        <v/>
      </c>
      <c r="Q38" s="64">
        <f>IF(N38=0,"",O38/N38)</f>
        <v/>
      </c>
      <c r="R38" s="31" t="n"/>
      <c r="S38" s="60" t="n"/>
      <c r="T38" s="60" t="n"/>
      <c r="U38" s="60">
        <f>T38-S38</f>
        <v/>
      </c>
      <c r="V38" s="61">
        <f>IF(S38=0,"",T38/S38)</f>
        <v/>
      </c>
      <c r="W38" s="27" t="n"/>
      <c r="X38" s="62" t="n"/>
      <c r="Y38" s="62" t="n"/>
      <c r="Z38" s="62">
        <f>Y38-X38</f>
        <v/>
      </c>
      <c r="AA38" s="64">
        <f>IF(X38=0,"",Y38/X38)</f>
        <v/>
      </c>
      <c r="AB38" s="31" t="n"/>
      <c r="AC38" s="60" t="n"/>
      <c r="AD38" s="60" t="n"/>
      <c r="AE38" s="60">
        <f>AD38-AC38</f>
        <v/>
      </c>
      <c r="AF38" s="61">
        <f>IF(AC38=0,"",AD38/AC38)</f>
        <v/>
      </c>
      <c r="AG38" s="27" t="n"/>
      <c r="AH38" s="62" t="n"/>
      <c r="AI38" s="62" t="n"/>
      <c r="AJ38" s="62">
        <f>AI38-AH38</f>
        <v/>
      </c>
      <c r="AK38" s="64">
        <f>IF(AH38=0,"",AI38/AH38)</f>
        <v/>
      </c>
      <c r="AL38" s="31" t="n"/>
      <c r="AM38" s="60" t="n"/>
      <c r="AN38" s="60" t="n"/>
      <c r="AO38" s="60">
        <f>AN38-AM38</f>
        <v/>
      </c>
      <c r="AP38" s="61">
        <f>IF(AM38=0,"",AN38/AM38)</f>
        <v/>
      </c>
      <c r="AQ38" s="27" t="n"/>
      <c r="AR38" s="62" t="n"/>
      <c r="AS38" s="62" t="n"/>
      <c r="AT38" s="62">
        <f>AS38-AR38</f>
        <v/>
      </c>
      <c r="AU38" s="64">
        <f>IF(AR38=0,"",AS38/AR38)</f>
        <v/>
      </c>
      <c r="AV38" s="31" t="n"/>
      <c r="AW38" s="60" t="n"/>
      <c r="AX38" s="60" t="n"/>
      <c r="AY38" s="60">
        <f>AX38-AW38</f>
        <v/>
      </c>
      <c r="AZ38" s="61">
        <f>IF(AW38=0,"",AX38/AW38)</f>
        <v/>
      </c>
      <c r="BA38" s="27" t="n"/>
      <c r="BB38" s="62" t="n"/>
      <c r="BC38" s="62" t="n"/>
      <c r="BD38" s="62">
        <f>BC38-BB38</f>
        <v/>
      </c>
      <c r="BE38" s="64">
        <f>IF(BB38=0,"",BC38/BB38)</f>
        <v/>
      </c>
      <c r="BF38" s="31" t="n"/>
      <c r="BG38" s="60" t="n"/>
      <c r="BH38" s="60" t="n"/>
      <c r="BI38" s="60">
        <f>BH38-BG38</f>
        <v/>
      </c>
      <c r="BJ38" s="61">
        <f>IF(BG38=0,"",BH38/BG38)</f>
        <v/>
      </c>
      <c r="BK38" s="27" t="n"/>
      <c r="BL38" s="62" t="n"/>
      <c r="BM38" s="62" t="n"/>
      <c r="BN38" s="62">
        <f>BM38-BL38</f>
        <v/>
      </c>
      <c r="BO38" s="64">
        <f>IF(BL38=0,"",BM38/BL38)</f>
        <v/>
      </c>
      <c r="BP38" s="31" t="n"/>
      <c r="BQ38" s="60" t="n"/>
      <c r="BR38" s="60" t="n"/>
      <c r="BS38" s="60">
        <f>BR38-BQ38</f>
        <v/>
      </c>
      <c r="BT38" s="61">
        <f>IF(BQ38=0,"",BR38/BQ38)</f>
        <v/>
      </c>
      <c r="BU38" s="27" t="n"/>
      <c r="BV38" s="62" t="n"/>
      <c r="BW38" s="62" t="n"/>
      <c r="BX38" s="62">
        <f>BW38-BV38</f>
        <v/>
      </c>
      <c r="BY38" s="64">
        <f>IF(BV38=0,"",BW38/BV38)</f>
        <v/>
      </c>
      <c r="BZ38" s="31" t="n"/>
      <c r="CA38" s="60" t="n"/>
      <c r="CB38" s="60" t="n"/>
      <c r="CC38" s="60">
        <f>CB38-CA38</f>
        <v/>
      </c>
      <c r="CD38" s="61">
        <f>IF(CA38=0,"",CB38/CA38)</f>
        <v/>
      </c>
      <c r="CE38" s="27" t="n"/>
      <c r="CF38" s="62" t="n"/>
      <c r="CG38" s="62" t="n"/>
      <c r="CH38" s="62">
        <f>CG38-CF38</f>
        <v/>
      </c>
      <c r="CI38" s="64">
        <f>IF(CF38=0,"",CG38/CF38)</f>
        <v/>
      </c>
      <c r="CJ38" s="31" t="n"/>
      <c r="CK38" s="60" t="n"/>
      <c r="CL38" s="60" t="n"/>
      <c r="CM38" s="60">
        <f>CL38-CK38</f>
        <v/>
      </c>
      <c r="CN38" s="61">
        <f>IF(CK38=0,"",CL38/CK38)</f>
        <v/>
      </c>
      <c r="CO38" s="27" t="n"/>
      <c r="CP38" s="62" t="n"/>
      <c r="CQ38" s="62" t="n"/>
      <c r="CR38" s="62">
        <f>CQ38-CP38</f>
        <v/>
      </c>
      <c r="CS38" s="64">
        <f>IF(CP38=0,"",CQ38/CP38)</f>
        <v/>
      </c>
      <c r="CT38" s="31" t="n"/>
      <c r="CU38" s="60" t="n"/>
      <c r="CV38" s="60" t="n"/>
      <c r="CW38" s="60">
        <f>CV38-CU38</f>
        <v/>
      </c>
      <c r="CX38" s="61">
        <f>IF(CU38=0,"",CV38/CU38)</f>
        <v/>
      </c>
      <c r="CY38" s="27" t="n"/>
      <c r="CZ38" s="62" t="n"/>
      <c r="DA38" s="62" t="n"/>
      <c r="DB38" s="62">
        <f>DA38-CZ38</f>
        <v/>
      </c>
      <c r="DC38" s="64">
        <f>IF(CZ38=0,"",DA38/CZ38)</f>
        <v/>
      </c>
      <c r="DD38" s="31" t="n"/>
      <c r="DE38" s="60" t="n"/>
      <c r="DF38" s="60" t="n"/>
      <c r="DG38" s="60">
        <f>DF38-DE38</f>
        <v/>
      </c>
      <c r="DH38" s="61">
        <f>IF(DE38=0,"",DF38/DE38)</f>
        <v/>
      </c>
      <c r="DI38" s="27" t="n"/>
      <c r="DJ38" s="62" t="n"/>
      <c r="DK38" s="62" t="n"/>
      <c r="DL38" s="62">
        <f>DK38-DJ38</f>
        <v/>
      </c>
      <c r="DM38" s="64">
        <f>IF(DJ38=0,"",DK38/DJ38)</f>
        <v/>
      </c>
      <c r="DN38" s="31" t="n"/>
      <c r="DO38" s="60" t="n"/>
    </row>
    <row r="39" outlineLevel="1" ht="15" customHeight="1">
      <c r="A39" s="24" t="n"/>
      <c r="B39" s="24" t="n"/>
      <c r="C39" s="24" t="n"/>
      <c r="D39" s="60" t="n"/>
      <c r="E39" s="60" t="n"/>
      <c r="F39" s="60">
        <f>E39-D39</f>
        <v/>
      </c>
      <c r="G39" s="61">
        <f>IF(D39=0,"",E39/D39)</f>
        <v/>
      </c>
      <c r="H39" s="27" t="n"/>
      <c r="I39" s="60" t="n"/>
      <c r="J39" s="60" t="n"/>
      <c r="K39" s="60">
        <f>J39-I39</f>
        <v/>
      </c>
      <c r="L39" s="61">
        <f>IF(I39=0,"",J39/I39)</f>
        <v/>
      </c>
      <c r="M39" s="27" t="n"/>
      <c r="N39" s="62" t="n"/>
      <c r="O39" s="62" t="n"/>
      <c r="P39" s="62">
        <f>O39-N39</f>
        <v/>
      </c>
      <c r="Q39" s="64">
        <f>IF(N39=0,"",O39/N39)</f>
        <v/>
      </c>
      <c r="R39" s="31" t="n"/>
      <c r="S39" s="60" t="n"/>
      <c r="T39" s="60" t="n"/>
      <c r="U39" s="60">
        <f>T39-S39</f>
        <v/>
      </c>
      <c r="V39" s="61">
        <f>IF(S39=0,"",T39/S39)</f>
        <v/>
      </c>
      <c r="W39" s="27" t="n"/>
      <c r="X39" s="62" t="n"/>
      <c r="Y39" s="62" t="n"/>
      <c r="Z39" s="62">
        <f>Y39-X39</f>
        <v/>
      </c>
      <c r="AA39" s="64">
        <f>IF(X39=0,"",Y39/X39)</f>
        <v/>
      </c>
      <c r="AB39" s="31" t="n"/>
      <c r="AC39" s="60" t="n"/>
      <c r="AD39" s="60" t="n"/>
      <c r="AE39" s="60">
        <f>AD39-AC39</f>
        <v/>
      </c>
      <c r="AF39" s="61">
        <f>IF(AC39=0,"",AD39/AC39)</f>
        <v/>
      </c>
      <c r="AG39" s="27" t="n"/>
      <c r="AH39" s="62" t="n"/>
      <c r="AI39" s="62" t="n"/>
      <c r="AJ39" s="62">
        <f>AI39-AH39</f>
        <v/>
      </c>
      <c r="AK39" s="64">
        <f>IF(AH39=0,"",AI39/AH39)</f>
        <v/>
      </c>
      <c r="AL39" s="31" t="n"/>
      <c r="AM39" s="60" t="n"/>
      <c r="AN39" s="60" t="n"/>
      <c r="AO39" s="60">
        <f>AN39-AM39</f>
        <v/>
      </c>
      <c r="AP39" s="61">
        <f>IF(AM39=0,"",AN39/AM39)</f>
        <v/>
      </c>
      <c r="AQ39" s="27" t="n"/>
      <c r="AR39" s="62" t="n"/>
      <c r="AS39" s="62" t="n"/>
      <c r="AT39" s="62">
        <f>AS39-AR39</f>
        <v/>
      </c>
      <c r="AU39" s="64">
        <f>IF(AR39=0,"",AS39/AR39)</f>
        <v/>
      </c>
      <c r="AV39" s="31" t="n"/>
      <c r="AW39" s="60" t="n"/>
      <c r="AX39" s="60" t="n"/>
      <c r="AY39" s="60">
        <f>AX39-AW39</f>
        <v/>
      </c>
      <c r="AZ39" s="61">
        <f>IF(AW39=0,"",AX39/AW39)</f>
        <v/>
      </c>
      <c r="BA39" s="27" t="n"/>
      <c r="BB39" s="62" t="n"/>
      <c r="BC39" s="62" t="n"/>
      <c r="BD39" s="62">
        <f>BC39-BB39</f>
        <v/>
      </c>
      <c r="BE39" s="64">
        <f>IF(BB39=0,"",BC39/BB39)</f>
        <v/>
      </c>
      <c r="BF39" s="31" t="n"/>
      <c r="BG39" s="60" t="n"/>
      <c r="BH39" s="60" t="n"/>
      <c r="BI39" s="60">
        <f>BH39-BG39</f>
        <v/>
      </c>
      <c r="BJ39" s="61">
        <f>IF(BG39=0,"",BH39/BG39)</f>
        <v/>
      </c>
      <c r="BK39" s="27" t="n"/>
      <c r="BL39" s="62" t="n"/>
      <c r="BM39" s="62" t="n"/>
      <c r="BN39" s="62">
        <f>BM39-BL39</f>
        <v/>
      </c>
      <c r="BO39" s="64">
        <f>IF(BL39=0,"",BM39/BL39)</f>
        <v/>
      </c>
      <c r="BP39" s="31" t="n"/>
      <c r="BQ39" s="60" t="n"/>
      <c r="BR39" s="60" t="n"/>
      <c r="BS39" s="60">
        <f>BR39-BQ39</f>
        <v/>
      </c>
      <c r="BT39" s="61">
        <f>IF(BQ39=0,"",BR39/BQ39)</f>
        <v/>
      </c>
      <c r="BU39" s="27" t="n"/>
      <c r="BV39" s="62" t="n"/>
      <c r="BW39" s="62" t="n"/>
      <c r="BX39" s="62">
        <f>BW39-BV39</f>
        <v/>
      </c>
      <c r="BY39" s="64">
        <f>IF(BV39=0,"",BW39/BV39)</f>
        <v/>
      </c>
      <c r="BZ39" s="31" t="n"/>
      <c r="CA39" s="60" t="n"/>
      <c r="CB39" s="60" t="n"/>
      <c r="CC39" s="60">
        <f>CB39-CA39</f>
        <v/>
      </c>
      <c r="CD39" s="61">
        <f>IF(CA39=0,"",CB39/CA39)</f>
        <v/>
      </c>
      <c r="CE39" s="27" t="n"/>
      <c r="CF39" s="62" t="n"/>
      <c r="CG39" s="62" t="n"/>
      <c r="CH39" s="62">
        <f>CG39-CF39</f>
        <v/>
      </c>
      <c r="CI39" s="64">
        <f>IF(CF39=0,"",CG39/CF39)</f>
        <v/>
      </c>
      <c r="CJ39" s="31" t="n"/>
      <c r="CK39" s="60" t="n"/>
      <c r="CL39" s="60" t="n"/>
      <c r="CM39" s="60">
        <f>CL39-CK39</f>
        <v/>
      </c>
      <c r="CN39" s="61">
        <f>IF(CK39=0,"",CL39/CK39)</f>
        <v/>
      </c>
      <c r="CO39" s="27" t="n"/>
      <c r="CP39" s="62" t="n"/>
      <c r="CQ39" s="62" t="n"/>
      <c r="CR39" s="62">
        <f>CQ39-CP39</f>
        <v/>
      </c>
      <c r="CS39" s="64">
        <f>IF(CP39=0,"",CQ39/CP39)</f>
        <v/>
      </c>
      <c r="CT39" s="31" t="n"/>
      <c r="CU39" s="60" t="n"/>
      <c r="CV39" s="60" t="n"/>
      <c r="CW39" s="60">
        <f>CV39-CU39</f>
        <v/>
      </c>
      <c r="CX39" s="61">
        <f>IF(CU39=0,"",CV39/CU39)</f>
        <v/>
      </c>
      <c r="CY39" s="27" t="n"/>
      <c r="CZ39" s="62" t="n"/>
      <c r="DA39" s="62" t="n"/>
      <c r="DB39" s="62">
        <f>DA39-CZ39</f>
        <v/>
      </c>
      <c r="DC39" s="64">
        <f>IF(CZ39=0,"",DA39/CZ39)</f>
        <v/>
      </c>
      <c r="DD39" s="31" t="n"/>
      <c r="DE39" s="60" t="n"/>
      <c r="DF39" s="60" t="n"/>
      <c r="DG39" s="60">
        <f>DF39-DE39</f>
        <v/>
      </c>
      <c r="DH39" s="61">
        <f>IF(DE39=0,"",DF39/DE39)</f>
        <v/>
      </c>
      <c r="DI39" s="27" t="n"/>
      <c r="DJ39" s="62" t="n"/>
      <c r="DK39" s="62" t="n"/>
      <c r="DL39" s="62">
        <f>DK39-DJ39</f>
        <v/>
      </c>
      <c r="DM39" s="64">
        <f>IF(DJ39=0,"",DK39/DJ39)</f>
        <v/>
      </c>
      <c r="DN39" s="31" t="n"/>
      <c r="DO39" s="60" t="n"/>
    </row>
    <row r="40" outlineLevel="1" ht="15" customHeight="1">
      <c r="A40" s="24" t="n"/>
      <c r="B40" s="24" t="n"/>
      <c r="C40" s="24" t="n"/>
      <c r="D40" s="60" t="n"/>
      <c r="E40" s="60" t="n"/>
      <c r="F40" s="60">
        <f>E40-D40</f>
        <v/>
      </c>
      <c r="G40" s="61">
        <f>IF(D40=0,"",E40/D40)</f>
        <v/>
      </c>
      <c r="H40" s="27" t="n"/>
      <c r="I40" s="60" t="n"/>
      <c r="J40" s="60" t="n"/>
      <c r="K40" s="60">
        <f>J40-I40</f>
        <v/>
      </c>
      <c r="L40" s="61">
        <f>IF(I40=0,"",J40/I40)</f>
        <v/>
      </c>
      <c r="M40" s="27" t="n"/>
      <c r="N40" s="62" t="n"/>
      <c r="O40" s="62" t="n"/>
      <c r="P40" s="62">
        <f>O40-N40</f>
        <v/>
      </c>
      <c r="Q40" s="64">
        <f>IF(N40=0,"",O40/N40)</f>
        <v/>
      </c>
      <c r="R40" s="31" t="n"/>
      <c r="S40" s="60" t="n"/>
      <c r="T40" s="60" t="n"/>
      <c r="U40" s="60">
        <f>T40-S40</f>
        <v/>
      </c>
      <c r="V40" s="61">
        <f>IF(S40=0,"",T40/S40)</f>
        <v/>
      </c>
      <c r="W40" s="27" t="n"/>
      <c r="X40" s="62" t="n"/>
      <c r="Y40" s="62" t="n"/>
      <c r="Z40" s="62">
        <f>Y40-X40</f>
        <v/>
      </c>
      <c r="AA40" s="64">
        <f>IF(X40=0,"",Y40/X40)</f>
        <v/>
      </c>
      <c r="AB40" s="31" t="n"/>
      <c r="AC40" s="60" t="n"/>
      <c r="AD40" s="60" t="n"/>
      <c r="AE40" s="60">
        <f>AD40-AC40</f>
        <v/>
      </c>
      <c r="AF40" s="61">
        <f>IF(AC40=0,"",AD40/AC40)</f>
        <v/>
      </c>
      <c r="AG40" s="27" t="n"/>
      <c r="AH40" s="62" t="n"/>
      <c r="AI40" s="62" t="n"/>
      <c r="AJ40" s="62">
        <f>AI40-AH40</f>
        <v/>
      </c>
      <c r="AK40" s="64">
        <f>IF(AH40=0,"",AI40/AH40)</f>
        <v/>
      </c>
      <c r="AL40" s="31" t="n"/>
      <c r="AM40" s="60" t="n"/>
      <c r="AN40" s="60" t="n"/>
      <c r="AO40" s="60">
        <f>AN40-AM40</f>
        <v/>
      </c>
      <c r="AP40" s="61">
        <f>IF(AM40=0,"",AN40/AM40)</f>
        <v/>
      </c>
      <c r="AQ40" s="27" t="n"/>
      <c r="AR40" s="62" t="n"/>
      <c r="AS40" s="62" t="n"/>
      <c r="AT40" s="62">
        <f>AS40-AR40</f>
        <v/>
      </c>
      <c r="AU40" s="64">
        <f>IF(AR40=0,"",AS40/AR40)</f>
        <v/>
      </c>
      <c r="AV40" s="31" t="n"/>
      <c r="AW40" s="60" t="n"/>
      <c r="AX40" s="60" t="n"/>
      <c r="AY40" s="60">
        <f>AX40-AW40</f>
        <v/>
      </c>
      <c r="AZ40" s="61">
        <f>IF(AW40=0,"",AX40/AW40)</f>
        <v/>
      </c>
      <c r="BA40" s="27" t="n"/>
      <c r="BB40" s="62" t="n"/>
      <c r="BC40" s="62" t="n"/>
      <c r="BD40" s="62">
        <f>BC40-BB40</f>
        <v/>
      </c>
      <c r="BE40" s="64">
        <f>IF(BB40=0,"",BC40/BB40)</f>
        <v/>
      </c>
      <c r="BF40" s="31" t="n"/>
      <c r="BG40" s="60" t="n"/>
      <c r="BH40" s="60" t="n"/>
      <c r="BI40" s="60">
        <f>BH40-BG40</f>
        <v/>
      </c>
      <c r="BJ40" s="61">
        <f>IF(BG40=0,"",BH40/BG40)</f>
        <v/>
      </c>
      <c r="BK40" s="27" t="n"/>
      <c r="BL40" s="62" t="n"/>
      <c r="BM40" s="62" t="n"/>
      <c r="BN40" s="62">
        <f>BM40-BL40</f>
        <v/>
      </c>
      <c r="BO40" s="64">
        <f>IF(BL40=0,"",BM40/BL40)</f>
        <v/>
      </c>
      <c r="BP40" s="31" t="n"/>
      <c r="BQ40" s="60" t="n"/>
      <c r="BR40" s="60" t="n"/>
      <c r="BS40" s="60">
        <f>BR40-BQ40</f>
        <v/>
      </c>
      <c r="BT40" s="61">
        <f>IF(BQ40=0,"",BR40/BQ40)</f>
        <v/>
      </c>
      <c r="BU40" s="27" t="n"/>
      <c r="BV40" s="62" t="n"/>
      <c r="BW40" s="62" t="n"/>
      <c r="BX40" s="62">
        <f>BW40-BV40</f>
        <v/>
      </c>
      <c r="BY40" s="64">
        <f>IF(BV40=0,"",BW40/BV40)</f>
        <v/>
      </c>
      <c r="BZ40" s="31" t="n"/>
      <c r="CA40" s="60" t="n"/>
      <c r="CB40" s="60" t="n"/>
      <c r="CC40" s="60">
        <f>CB40-CA40</f>
        <v/>
      </c>
      <c r="CD40" s="61">
        <f>IF(CA40=0,"",CB40/CA40)</f>
        <v/>
      </c>
      <c r="CE40" s="27" t="n"/>
      <c r="CF40" s="62" t="n"/>
      <c r="CG40" s="62" t="n"/>
      <c r="CH40" s="62">
        <f>CG40-CF40</f>
        <v/>
      </c>
      <c r="CI40" s="64">
        <f>IF(CF40=0,"",CG40/CF40)</f>
        <v/>
      </c>
      <c r="CJ40" s="31" t="n"/>
      <c r="CK40" s="60" t="n"/>
      <c r="CL40" s="60" t="n"/>
      <c r="CM40" s="60">
        <f>CL40-CK40</f>
        <v/>
      </c>
      <c r="CN40" s="61">
        <f>IF(CK40=0,"",CL40/CK40)</f>
        <v/>
      </c>
      <c r="CO40" s="27" t="n"/>
      <c r="CP40" s="62" t="n"/>
      <c r="CQ40" s="62" t="n"/>
      <c r="CR40" s="62">
        <f>CQ40-CP40</f>
        <v/>
      </c>
      <c r="CS40" s="64">
        <f>IF(CP40=0,"",CQ40/CP40)</f>
        <v/>
      </c>
      <c r="CT40" s="31" t="n"/>
      <c r="CU40" s="60" t="n"/>
      <c r="CV40" s="60" t="n"/>
      <c r="CW40" s="60">
        <f>CV40-CU40</f>
        <v/>
      </c>
      <c r="CX40" s="61">
        <f>IF(CU40=0,"",CV40/CU40)</f>
        <v/>
      </c>
      <c r="CY40" s="27" t="n"/>
      <c r="CZ40" s="62" t="n"/>
      <c r="DA40" s="62" t="n"/>
      <c r="DB40" s="62">
        <f>DA40-CZ40</f>
        <v/>
      </c>
      <c r="DC40" s="64">
        <f>IF(CZ40=0,"",DA40/CZ40)</f>
        <v/>
      </c>
      <c r="DD40" s="31" t="n"/>
      <c r="DE40" s="60" t="n"/>
      <c r="DF40" s="60" t="n"/>
      <c r="DG40" s="60">
        <f>DF40-DE40</f>
        <v/>
      </c>
      <c r="DH40" s="61">
        <f>IF(DE40=0,"",DF40/DE40)</f>
        <v/>
      </c>
      <c r="DI40" s="27" t="n"/>
      <c r="DJ40" s="62" t="n"/>
      <c r="DK40" s="62" t="n"/>
      <c r="DL40" s="62">
        <f>DK40-DJ40</f>
        <v/>
      </c>
      <c r="DM40" s="64">
        <f>IF(DJ40=0,"",DK40/DJ40)</f>
        <v/>
      </c>
      <c r="DN40" s="31" t="n"/>
      <c r="DO40" s="60" t="n"/>
    </row>
    <row r="41" outlineLevel="1" ht="15" customHeight="1">
      <c r="A41" s="24" t="n"/>
      <c r="B41" s="24" t="n"/>
      <c r="C41" s="24" t="n"/>
      <c r="D41" s="60" t="n"/>
      <c r="E41" s="60" t="n"/>
      <c r="F41" s="60">
        <f>E41-D41</f>
        <v/>
      </c>
      <c r="G41" s="61">
        <f>IF(D41=0,"",E41/D41)</f>
        <v/>
      </c>
      <c r="H41" s="27" t="n"/>
      <c r="I41" s="60" t="n"/>
      <c r="J41" s="60" t="n"/>
      <c r="K41" s="60">
        <f>J41-I41</f>
        <v/>
      </c>
      <c r="L41" s="61">
        <f>IF(I41=0,"",J41/I41)</f>
        <v/>
      </c>
      <c r="M41" s="27" t="n"/>
      <c r="N41" s="62" t="n"/>
      <c r="O41" s="62" t="n"/>
      <c r="P41" s="62">
        <f>O41-N41</f>
        <v/>
      </c>
      <c r="Q41" s="64">
        <f>IF(N41=0,"",O41/N41)</f>
        <v/>
      </c>
      <c r="R41" s="31" t="n"/>
      <c r="S41" s="60" t="n"/>
      <c r="T41" s="60" t="n"/>
      <c r="U41" s="60">
        <f>T41-S41</f>
        <v/>
      </c>
      <c r="V41" s="61">
        <f>IF(S41=0,"",T41/S41)</f>
        <v/>
      </c>
      <c r="W41" s="27" t="n"/>
      <c r="X41" s="62" t="n"/>
      <c r="Y41" s="62" t="n"/>
      <c r="Z41" s="62">
        <f>Y41-X41</f>
        <v/>
      </c>
      <c r="AA41" s="64">
        <f>IF(X41=0,"",Y41/X41)</f>
        <v/>
      </c>
      <c r="AB41" s="31" t="n"/>
      <c r="AC41" s="60" t="n"/>
      <c r="AD41" s="60" t="n"/>
      <c r="AE41" s="60">
        <f>AD41-AC41</f>
        <v/>
      </c>
      <c r="AF41" s="61">
        <f>IF(AC41=0,"",AD41/AC41)</f>
        <v/>
      </c>
      <c r="AG41" s="27" t="n"/>
      <c r="AH41" s="62" t="n"/>
      <c r="AI41" s="62" t="n"/>
      <c r="AJ41" s="62">
        <f>AI41-AH41</f>
        <v/>
      </c>
      <c r="AK41" s="64">
        <f>IF(AH41=0,"",AI41/AH41)</f>
        <v/>
      </c>
      <c r="AL41" s="31" t="n"/>
      <c r="AM41" s="60" t="n"/>
      <c r="AN41" s="60" t="n"/>
      <c r="AO41" s="60">
        <f>AN41-AM41</f>
        <v/>
      </c>
      <c r="AP41" s="61">
        <f>IF(AM41=0,"",AN41/AM41)</f>
        <v/>
      </c>
      <c r="AQ41" s="27" t="n"/>
      <c r="AR41" s="62" t="n"/>
      <c r="AS41" s="62" t="n"/>
      <c r="AT41" s="62">
        <f>AS41-AR41</f>
        <v/>
      </c>
      <c r="AU41" s="64">
        <f>IF(AR41=0,"",AS41/AR41)</f>
        <v/>
      </c>
      <c r="AV41" s="31" t="n"/>
      <c r="AW41" s="60" t="n"/>
      <c r="AX41" s="60" t="n"/>
      <c r="AY41" s="60">
        <f>AX41-AW41</f>
        <v/>
      </c>
      <c r="AZ41" s="61">
        <f>IF(AW41=0,"",AX41/AW41)</f>
        <v/>
      </c>
      <c r="BA41" s="27" t="n"/>
      <c r="BB41" s="62" t="n"/>
      <c r="BC41" s="62" t="n"/>
      <c r="BD41" s="62">
        <f>BC41-BB41</f>
        <v/>
      </c>
      <c r="BE41" s="64">
        <f>IF(BB41=0,"",BC41/BB41)</f>
        <v/>
      </c>
      <c r="BF41" s="31" t="n"/>
      <c r="BG41" s="60" t="n"/>
      <c r="BH41" s="60" t="n"/>
      <c r="BI41" s="60">
        <f>BH41-BG41</f>
        <v/>
      </c>
      <c r="BJ41" s="61">
        <f>IF(BG41=0,"",BH41/BG41)</f>
        <v/>
      </c>
      <c r="BK41" s="27" t="n"/>
      <c r="BL41" s="62" t="n"/>
      <c r="BM41" s="62" t="n"/>
      <c r="BN41" s="62">
        <f>BM41-BL41</f>
        <v/>
      </c>
      <c r="BO41" s="64">
        <f>IF(BL41=0,"",BM41/BL41)</f>
        <v/>
      </c>
      <c r="BP41" s="31" t="n"/>
      <c r="BQ41" s="60" t="n"/>
      <c r="BR41" s="60" t="n"/>
      <c r="BS41" s="60">
        <f>BR41-BQ41</f>
        <v/>
      </c>
      <c r="BT41" s="61">
        <f>IF(BQ41=0,"",BR41/BQ41)</f>
        <v/>
      </c>
      <c r="BU41" s="27" t="n"/>
      <c r="BV41" s="62" t="n"/>
      <c r="BW41" s="62" t="n"/>
      <c r="BX41" s="62">
        <f>BW41-BV41</f>
        <v/>
      </c>
      <c r="BY41" s="64">
        <f>IF(BV41=0,"",BW41/BV41)</f>
        <v/>
      </c>
      <c r="BZ41" s="31" t="n"/>
      <c r="CA41" s="60" t="n"/>
      <c r="CB41" s="60" t="n"/>
      <c r="CC41" s="60">
        <f>CB41-CA41</f>
        <v/>
      </c>
      <c r="CD41" s="61">
        <f>IF(CA41=0,"",CB41/CA41)</f>
        <v/>
      </c>
      <c r="CE41" s="27" t="n"/>
      <c r="CF41" s="62" t="n"/>
      <c r="CG41" s="62" t="n"/>
      <c r="CH41" s="62">
        <f>CG41-CF41</f>
        <v/>
      </c>
      <c r="CI41" s="64">
        <f>IF(CF41=0,"",CG41/CF41)</f>
        <v/>
      </c>
      <c r="CJ41" s="31" t="n"/>
      <c r="CK41" s="60" t="n"/>
      <c r="CL41" s="60" t="n"/>
      <c r="CM41" s="60">
        <f>CL41-CK41</f>
        <v/>
      </c>
      <c r="CN41" s="61">
        <f>IF(CK41=0,"",CL41/CK41)</f>
        <v/>
      </c>
      <c r="CO41" s="27" t="n"/>
      <c r="CP41" s="62" t="n"/>
      <c r="CQ41" s="62" t="n"/>
      <c r="CR41" s="62">
        <f>CQ41-CP41</f>
        <v/>
      </c>
      <c r="CS41" s="64">
        <f>IF(CP41=0,"",CQ41/CP41)</f>
        <v/>
      </c>
      <c r="CT41" s="31" t="n"/>
      <c r="CU41" s="60" t="n"/>
      <c r="CV41" s="60" t="n"/>
      <c r="CW41" s="60">
        <f>CV41-CU41</f>
        <v/>
      </c>
      <c r="CX41" s="61">
        <f>IF(CU41=0,"",CV41/CU41)</f>
        <v/>
      </c>
      <c r="CY41" s="27" t="n"/>
      <c r="CZ41" s="62" t="n"/>
      <c r="DA41" s="62" t="n"/>
      <c r="DB41" s="62">
        <f>DA41-CZ41</f>
        <v/>
      </c>
      <c r="DC41" s="64">
        <f>IF(CZ41=0,"",DA41/CZ41)</f>
        <v/>
      </c>
      <c r="DD41" s="31" t="n"/>
      <c r="DE41" s="60" t="n"/>
      <c r="DF41" s="60" t="n"/>
      <c r="DG41" s="60">
        <f>DF41-DE41</f>
        <v/>
      </c>
      <c r="DH41" s="61">
        <f>IF(DE41=0,"",DF41/DE41)</f>
        <v/>
      </c>
      <c r="DI41" s="27" t="n"/>
      <c r="DJ41" s="62" t="n"/>
      <c r="DK41" s="62" t="n"/>
      <c r="DL41" s="62">
        <f>DK41-DJ41</f>
        <v/>
      </c>
      <c r="DM41" s="64">
        <f>IF(DJ41=0,"",DK41/DJ41)</f>
        <v/>
      </c>
      <c r="DN41" s="31" t="n"/>
      <c r="DO41" s="60" t="n"/>
    </row>
    <row r="42" outlineLevel="1" ht="15" customHeight="1">
      <c r="A42" s="24" t="n"/>
      <c r="B42" s="24" t="n"/>
      <c r="C42" s="24" t="n"/>
      <c r="D42" s="60" t="n"/>
      <c r="E42" s="60" t="n"/>
      <c r="F42" s="60">
        <f>E42-D42</f>
        <v/>
      </c>
      <c r="G42" s="61">
        <f>IF(D42=0,"",E42/D42)</f>
        <v/>
      </c>
      <c r="H42" s="27" t="n"/>
      <c r="I42" s="60" t="n"/>
      <c r="J42" s="60" t="n"/>
      <c r="K42" s="60">
        <f>J42-I42</f>
        <v/>
      </c>
      <c r="L42" s="61">
        <f>IF(I42=0,"",J42/I42)</f>
        <v/>
      </c>
      <c r="M42" s="27" t="n"/>
      <c r="N42" s="62" t="n"/>
      <c r="O42" s="62" t="n"/>
      <c r="P42" s="62">
        <f>O42-N42</f>
        <v/>
      </c>
      <c r="Q42" s="64">
        <f>IF(N42=0,"",O42/N42)</f>
        <v/>
      </c>
      <c r="R42" s="31" t="n"/>
      <c r="S42" s="60" t="n"/>
      <c r="T42" s="60" t="n"/>
      <c r="U42" s="60">
        <f>T42-S42</f>
        <v/>
      </c>
      <c r="V42" s="61">
        <f>IF(S42=0,"",T42/S42)</f>
        <v/>
      </c>
      <c r="W42" s="27" t="n"/>
      <c r="X42" s="62" t="n"/>
      <c r="Y42" s="62" t="n"/>
      <c r="Z42" s="62">
        <f>Y42-X42</f>
        <v/>
      </c>
      <c r="AA42" s="64">
        <f>IF(X42=0,"",Y42/X42)</f>
        <v/>
      </c>
      <c r="AB42" s="31" t="n"/>
      <c r="AC42" s="60" t="n"/>
      <c r="AD42" s="60" t="n"/>
      <c r="AE42" s="60">
        <f>AD42-AC42</f>
        <v/>
      </c>
      <c r="AF42" s="61">
        <f>IF(AC42=0,"",AD42/AC42)</f>
        <v/>
      </c>
      <c r="AG42" s="27" t="n"/>
      <c r="AH42" s="62" t="n"/>
      <c r="AI42" s="62" t="n"/>
      <c r="AJ42" s="62">
        <f>AI42-AH42</f>
        <v/>
      </c>
      <c r="AK42" s="64">
        <f>IF(AH42=0,"",AI42/AH42)</f>
        <v/>
      </c>
      <c r="AL42" s="31" t="n"/>
      <c r="AM42" s="60" t="n"/>
      <c r="AN42" s="60" t="n"/>
      <c r="AO42" s="60">
        <f>AN42-AM42</f>
        <v/>
      </c>
      <c r="AP42" s="61">
        <f>IF(AM42=0,"",AN42/AM42)</f>
        <v/>
      </c>
      <c r="AQ42" s="27" t="n"/>
      <c r="AR42" s="62" t="n"/>
      <c r="AS42" s="62" t="n"/>
      <c r="AT42" s="62">
        <f>AS42-AR42</f>
        <v/>
      </c>
      <c r="AU42" s="64">
        <f>IF(AR42=0,"",AS42/AR42)</f>
        <v/>
      </c>
      <c r="AV42" s="31" t="n"/>
      <c r="AW42" s="60" t="n"/>
      <c r="AX42" s="60" t="n"/>
      <c r="AY42" s="60">
        <f>AX42-AW42</f>
        <v/>
      </c>
      <c r="AZ42" s="61">
        <f>IF(AW42=0,"",AX42/AW42)</f>
        <v/>
      </c>
      <c r="BA42" s="27" t="n"/>
      <c r="BB42" s="62" t="n"/>
      <c r="BC42" s="62" t="n"/>
      <c r="BD42" s="62">
        <f>BC42-BB42</f>
        <v/>
      </c>
      <c r="BE42" s="64">
        <f>IF(BB42=0,"",BC42/BB42)</f>
        <v/>
      </c>
      <c r="BF42" s="31" t="n"/>
      <c r="BG42" s="60" t="n"/>
      <c r="BH42" s="60" t="n"/>
      <c r="BI42" s="60">
        <f>BH42-BG42</f>
        <v/>
      </c>
      <c r="BJ42" s="61">
        <f>IF(BG42=0,"",BH42/BG42)</f>
        <v/>
      </c>
      <c r="BK42" s="27" t="n"/>
      <c r="BL42" s="62" t="n"/>
      <c r="BM42" s="62" t="n"/>
      <c r="BN42" s="62">
        <f>BM42-BL42</f>
        <v/>
      </c>
      <c r="BO42" s="64">
        <f>IF(BL42=0,"",BM42/BL42)</f>
        <v/>
      </c>
      <c r="BP42" s="31" t="n"/>
      <c r="BQ42" s="60" t="n"/>
      <c r="BR42" s="60" t="n"/>
      <c r="BS42" s="60">
        <f>BR42-BQ42</f>
        <v/>
      </c>
      <c r="BT42" s="61">
        <f>IF(BQ42=0,"",BR42/BQ42)</f>
        <v/>
      </c>
      <c r="BU42" s="27" t="n"/>
      <c r="BV42" s="62" t="n"/>
      <c r="BW42" s="62" t="n"/>
      <c r="BX42" s="62">
        <f>BW42-BV42</f>
        <v/>
      </c>
      <c r="BY42" s="64">
        <f>IF(BV42=0,"",BW42/BV42)</f>
        <v/>
      </c>
      <c r="BZ42" s="31" t="n"/>
      <c r="CA42" s="60" t="n"/>
      <c r="CB42" s="60" t="n"/>
      <c r="CC42" s="60">
        <f>CB42-CA42</f>
        <v/>
      </c>
      <c r="CD42" s="61">
        <f>IF(CA42=0,"",CB42/CA42)</f>
        <v/>
      </c>
      <c r="CE42" s="27" t="n"/>
      <c r="CF42" s="62" t="n"/>
      <c r="CG42" s="62" t="n"/>
      <c r="CH42" s="62">
        <f>CG42-CF42</f>
        <v/>
      </c>
      <c r="CI42" s="64">
        <f>IF(CF42=0,"",CG42/CF42)</f>
        <v/>
      </c>
      <c r="CJ42" s="31" t="n"/>
      <c r="CK42" s="60" t="n"/>
      <c r="CL42" s="60" t="n"/>
      <c r="CM42" s="60">
        <f>CL42-CK42</f>
        <v/>
      </c>
      <c r="CN42" s="61">
        <f>IF(CK42=0,"",CL42/CK42)</f>
        <v/>
      </c>
      <c r="CO42" s="27" t="n"/>
      <c r="CP42" s="62" t="n"/>
      <c r="CQ42" s="62" t="n"/>
      <c r="CR42" s="62">
        <f>CQ42-CP42</f>
        <v/>
      </c>
      <c r="CS42" s="64">
        <f>IF(CP42=0,"",CQ42/CP42)</f>
        <v/>
      </c>
      <c r="CT42" s="31" t="n"/>
      <c r="CU42" s="60" t="n"/>
      <c r="CV42" s="60" t="n"/>
      <c r="CW42" s="60">
        <f>CV42-CU42</f>
        <v/>
      </c>
      <c r="CX42" s="61">
        <f>IF(CU42=0,"",CV42/CU42)</f>
        <v/>
      </c>
      <c r="CY42" s="27" t="n"/>
      <c r="CZ42" s="62" t="n"/>
      <c r="DA42" s="62" t="n"/>
      <c r="DB42" s="62">
        <f>DA42-CZ42</f>
        <v/>
      </c>
      <c r="DC42" s="64">
        <f>IF(CZ42=0,"",DA42/CZ42)</f>
        <v/>
      </c>
      <c r="DD42" s="31" t="n"/>
      <c r="DE42" s="60" t="n"/>
      <c r="DF42" s="60" t="n"/>
      <c r="DG42" s="60">
        <f>DF42-DE42</f>
        <v/>
      </c>
      <c r="DH42" s="61">
        <f>IF(DE42=0,"",DF42/DE42)</f>
        <v/>
      </c>
      <c r="DI42" s="27" t="n"/>
      <c r="DJ42" s="62" t="n"/>
      <c r="DK42" s="62" t="n"/>
      <c r="DL42" s="62">
        <f>DK42-DJ42</f>
        <v/>
      </c>
      <c r="DM42" s="64">
        <f>IF(DJ42=0,"",DK42/DJ42)</f>
        <v/>
      </c>
      <c r="DN42" s="31" t="n"/>
      <c r="DO42" s="60" t="n"/>
    </row>
    <row r="43" outlineLevel="1" ht="15" customHeight="1">
      <c r="A43" s="24" t="n"/>
      <c r="B43" s="24" t="n"/>
      <c r="C43" s="24" t="n"/>
      <c r="D43" s="60" t="n"/>
      <c r="E43" s="60" t="n"/>
      <c r="F43" s="60">
        <f>E43-D43</f>
        <v/>
      </c>
      <c r="G43" s="61">
        <f>IF(D43=0,"",E43/D43)</f>
        <v/>
      </c>
      <c r="H43" s="27" t="n"/>
      <c r="I43" s="60" t="n"/>
      <c r="J43" s="60" t="n"/>
      <c r="K43" s="60">
        <f>J43-I43</f>
        <v/>
      </c>
      <c r="L43" s="61">
        <f>IF(I43=0,"",J43/I43)</f>
        <v/>
      </c>
      <c r="M43" s="27" t="n"/>
      <c r="N43" s="62" t="n"/>
      <c r="O43" s="62" t="n"/>
      <c r="P43" s="62">
        <f>O43-N43</f>
        <v/>
      </c>
      <c r="Q43" s="64">
        <f>IF(N43=0,"",O43/N43)</f>
        <v/>
      </c>
      <c r="R43" s="31" t="n"/>
      <c r="S43" s="60" t="n"/>
      <c r="T43" s="60" t="n"/>
      <c r="U43" s="60">
        <f>T43-S43</f>
        <v/>
      </c>
      <c r="V43" s="61">
        <f>IF(S43=0,"",T43/S43)</f>
        <v/>
      </c>
      <c r="W43" s="27" t="n"/>
      <c r="X43" s="62" t="n"/>
      <c r="Y43" s="62" t="n"/>
      <c r="Z43" s="62">
        <f>Y43-X43</f>
        <v/>
      </c>
      <c r="AA43" s="64">
        <f>IF(X43=0,"",Y43/X43)</f>
        <v/>
      </c>
      <c r="AB43" s="31" t="n"/>
      <c r="AC43" s="60" t="n"/>
      <c r="AD43" s="60" t="n"/>
      <c r="AE43" s="60">
        <f>AD43-AC43</f>
        <v/>
      </c>
      <c r="AF43" s="61">
        <f>IF(AC43=0,"",AD43/AC43)</f>
        <v/>
      </c>
      <c r="AG43" s="27" t="n"/>
      <c r="AH43" s="62" t="n"/>
      <c r="AI43" s="62" t="n"/>
      <c r="AJ43" s="62">
        <f>AI43-AH43</f>
        <v/>
      </c>
      <c r="AK43" s="64">
        <f>IF(AH43=0,"",AI43/AH43)</f>
        <v/>
      </c>
      <c r="AL43" s="31" t="n"/>
      <c r="AM43" s="60" t="n"/>
      <c r="AN43" s="60" t="n"/>
      <c r="AO43" s="60">
        <f>AN43-AM43</f>
        <v/>
      </c>
      <c r="AP43" s="61">
        <f>IF(AM43=0,"",AN43/AM43)</f>
        <v/>
      </c>
      <c r="AQ43" s="27" t="n"/>
      <c r="AR43" s="62" t="n"/>
      <c r="AS43" s="62" t="n"/>
      <c r="AT43" s="62">
        <f>AS43-AR43</f>
        <v/>
      </c>
      <c r="AU43" s="64">
        <f>IF(AR43=0,"",AS43/AR43)</f>
        <v/>
      </c>
      <c r="AV43" s="31" t="n"/>
      <c r="AW43" s="60" t="n"/>
      <c r="AX43" s="60" t="n"/>
      <c r="AY43" s="60">
        <f>AX43-AW43</f>
        <v/>
      </c>
      <c r="AZ43" s="61">
        <f>IF(AW43=0,"",AX43/AW43)</f>
        <v/>
      </c>
      <c r="BA43" s="27" t="n"/>
      <c r="BB43" s="62" t="n"/>
      <c r="BC43" s="62" t="n"/>
      <c r="BD43" s="62">
        <f>BC43-BB43</f>
        <v/>
      </c>
      <c r="BE43" s="64">
        <f>IF(BB43=0,"",BC43/BB43)</f>
        <v/>
      </c>
      <c r="BF43" s="31" t="n"/>
      <c r="BG43" s="60" t="n"/>
      <c r="BH43" s="60" t="n"/>
      <c r="BI43" s="60">
        <f>BH43-BG43</f>
        <v/>
      </c>
      <c r="BJ43" s="61">
        <f>IF(BG43=0,"",BH43/BG43)</f>
        <v/>
      </c>
      <c r="BK43" s="27" t="n"/>
      <c r="BL43" s="62" t="n"/>
      <c r="BM43" s="62" t="n"/>
      <c r="BN43" s="62">
        <f>BM43-BL43</f>
        <v/>
      </c>
      <c r="BO43" s="64">
        <f>IF(BL43=0,"",BM43/BL43)</f>
        <v/>
      </c>
      <c r="BP43" s="31" t="n"/>
      <c r="BQ43" s="60" t="n"/>
      <c r="BR43" s="60" t="n"/>
      <c r="BS43" s="60">
        <f>BR43-BQ43</f>
        <v/>
      </c>
      <c r="BT43" s="61">
        <f>IF(BQ43=0,"",BR43/BQ43)</f>
        <v/>
      </c>
      <c r="BU43" s="27" t="n"/>
      <c r="BV43" s="62" t="n"/>
      <c r="BW43" s="62" t="n"/>
      <c r="BX43" s="62">
        <f>BW43-BV43</f>
        <v/>
      </c>
      <c r="BY43" s="64">
        <f>IF(BV43=0,"",BW43/BV43)</f>
        <v/>
      </c>
      <c r="BZ43" s="31" t="n"/>
      <c r="CA43" s="60" t="n"/>
      <c r="CB43" s="60" t="n"/>
      <c r="CC43" s="60">
        <f>CB43-CA43</f>
        <v/>
      </c>
      <c r="CD43" s="61">
        <f>IF(CA43=0,"",CB43/CA43)</f>
        <v/>
      </c>
      <c r="CE43" s="27" t="n"/>
      <c r="CF43" s="62" t="n"/>
      <c r="CG43" s="62" t="n"/>
      <c r="CH43" s="62">
        <f>CG43-CF43</f>
        <v/>
      </c>
      <c r="CI43" s="64">
        <f>IF(CF43=0,"",CG43/CF43)</f>
        <v/>
      </c>
      <c r="CJ43" s="31" t="n"/>
      <c r="CK43" s="60" t="n"/>
      <c r="CL43" s="60" t="n"/>
      <c r="CM43" s="60">
        <f>CL43-CK43</f>
        <v/>
      </c>
      <c r="CN43" s="61">
        <f>IF(CK43=0,"",CL43/CK43)</f>
        <v/>
      </c>
      <c r="CO43" s="27" t="n"/>
      <c r="CP43" s="62" t="n"/>
      <c r="CQ43" s="62" t="n"/>
      <c r="CR43" s="62">
        <f>CQ43-CP43</f>
        <v/>
      </c>
      <c r="CS43" s="64">
        <f>IF(CP43=0,"",CQ43/CP43)</f>
        <v/>
      </c>
      <c r="CT43" s="31" t="n"/>
      <c r="CU43" s="60" t="n"/>
      <c r="CV43" s="60" t="n"/>
      <c r="CW43" s="60">
        <f>CV43-CU43</f>
        <v/>
      </c>
      <c r="CX43" s="61">
        <f>IF(CU43=0,"",CV43/CU43)</f>
        <v/>
      </c>
      <c r="CY43" s="27" t="n"/>
      <c r="CZ43" s="62" t="n"/>
      <c r="DA43" s="62" t="n"/>
      <c r="DB43" s="62">
        <f>DA43-CZ43</f>
        <v/>
      </c>
      <c r="DC43" s="64">
        <f>IF(CZ43=0,"",DA43/CZ43)</f>
        <v/>
      </c>
      <c r="DD43" s="31" t="n"/>
      <c r="DE43" s="60" t="n"/>
      <c r="DF43" s="60" t="n"/>
      <c r="DG43" s="60">
        <f>DF43-DE43</f>
        <v/>
      </c>
      <c r="DH43" s="61">
        <f>IF(DE43=0,"",DF43/DE43)</f>
        <v/>
      </c>
      <c r="DI43" s="27" t="n"/>
      <c r="DJ43" s="62" t="n"/>
      <c r="DK43" s="62" t="n"/>
      <c r="DL43" s="62">
        <f>DK43-DJ43</f>
        <v/>
      </c>
      <c r="DM43" s="64">
        <f>IF(DJ43=0,"",DK43/DJ43)</f>
        <v/>
      </c>
      <c r="DN43" s="31" t="n"/>
      <c r="DO43" s="60" t="n"/>
    </row>
    <row r="44" ht="15" customHeight="1">
      <c r="A44" s="15" t="n"/>
      <c r="B44" s="15" t="n"/>
      <c r="C44" s="15" t="n"/>
      <c r="D44" s="56">
        <f>D46+D47+D48+D50+D52+D54+D56+D58+D59+D60+D61+D62+D63+D64+D65+D66+D67+D68+D69+D70+D71+D72</f>
        <v/>
      </c>
      <c r="E44" s="56">
        <f>E46+E47+E48+E50+E52+E54+E56+E58+E59+E60+E61+E62+E63+E64+E65+E66+E67+E68+E69+E70+E71+E72</f>
        <v/>
      </c>
      <c r="F44" s="56">
        <f>E44-D44</f>
        <v/>
      </c>
      <c r="G44" s="57">
        <f>IF(D44=0,"",E44/D44)</f>
        <v/>
      </c>
      <c r="H44" s="18" t="n"/>
      <c r="I44" s="56">
        <f>I46+I47+I48+I50+I52+I54+I56+I58+I59+I60+I61+I62+I63+I64+I65+I66+I67+I68+I69+I70+I71+I72</f>
        <v/>
      </c>
      <c r="J44" s="56">
        <f>J46+J47+J48+J50+J52+J54+J56+J58+J59+J60+J61+J62+J63+J64+J65+J66+J67+J68+J69+J70+J71+J72</f>
        <v/>
      </c>
      <c r="K44" s="56">
        <f>J44-I44</f>
        <v/>
      </c>
      <c r="L44" s="57">
        <f>IF(I44=0,"",J44/I44)</f>
        <v/>
      </c>
      <c r="M44" s="18" t="n"/>
      <c r="N44" s="56">
        <f>N46+N47+N48+N50+N52+N54+N56+N58+N59+N60+N61+N62+N63+N64+N65+N66+N67+N68+N69+N70+N71+N72</f>
        <v/>
      </c>
      <c r="O44" s="56">
        <f>O46+O47+O48+O50+O52+O54+O56+O58+O59+O60+O61+O62+O63+O64+O65+O66+O67+O68+O69+O70+O71+O72</f>
        <v/>
      </c>
      <c r="P44" s="56">
        <f>O44-N44</f>
        <v/>
      </c>
      <c r="Q44" s="57">
        <f>IF(N44=0,"",O44/N44)</f>
        <v/>
      </c>
      <c r="R44" s="18" t="n"/>
      <c r="S44" s="56">
        <f>S46+S47+S48+S50+S52+S54+S56+S58+S59+S60+S61+S62+S63+S64+S65+S66+S67+S68+S69+S70+S71+S72</f>
        <v/>
      </c>
      <c r="T44" s="56">
        <f>T46+T47+T48+T50+T52+T54+T56+T58+T59+T60+T61+T62+T63+T64+T65+T66+T67+T68+T69+T70+T71+T72</f>
        <v/>
      </c>
      <c r="U44" s="56">
        <f>T44-S44</f>
        <v/>
      </c>
      <c r="V44" s="57">
        <f>IF(S44=0,"",T44/S44)</f>
        <v/>
      </c>
      <c r="W44" s="18" t="n"/>
      <c r="X44" s="56">
        <f>X46+X47+X48+X50+X52+X54+X56+X58+X59+X60+X61+X62+X63+X64+X65+X66+X67+X68+X69+X70+X71+X72</f>
        <v/>
      </c>
      <c r="Y44" s="56">
        <f>Y46+Y47+Y48+Y50+Y52+Y54+Y56+Y58+Y59+Y60+Y61+Y62+Y63+Y64+Y65+Y66+Y67+Y68+Y69+Y70+Y71+Y72</f>
        <v/>
      </c>
      <c r="Z44" s="56">
        <f>Y44-X44</f>
        <v/>
      </c>
      <c r="AA44" s="57">
        <f>IF(X44=0,"",Y44/X44)</f>
        <v/>
      </c>
      <c r="AB44" s="18" t="n"/>
      <c r="AC44" s="56">
        <f>AC46+AC47+AC48+AC50+AC52+AC54+AC56+AC58+AC59+AC60+AC61+AC62+AC63+AC64+AC65+AC66+AC67+AC68+AC69+AC70+AC71+AC72</f>
        <v/>
      </c>
      <c r="AD44" s="56">
        <f>AD46+AD47+AD48+AD50+AD52+AD54+AD56+AD58+AD59+AD60+AD61+AD62+AD63+AD64+AD65+AD66+AD67+AD68+AD69+AD70+AD71+AD72</f>
        <v/>
      </c>
      <c r="AE44" s="56">
        <f>AD44-AC44</f>
        <v/>
      </c>
      <c r="AF44" s="57">
        <f>IF(AC44=0,"",AD44/AC44)</f>
        <v/>
      </c>
      <c r="AG44" s="18" t="n"/>
      <c r="AH44" s="56">
        <f>AH46+AH47+AH48+AH50+AH52+AH54+AH56+AH58+AH59+AH60+AH61+AH62+AH63+AH64+AH65+AH66+AH67+AH68+AH69+AH70+AH71+AH72</f>
        <v/>
      </c>
      <c r="AI44" s="56">
        <f>AI46+AI47+AI48+AI50+AI52+AI54+AI56+AI58+AI59+AI60+AI61+AI62+AI63+AI64+AI65+AI66+AI67+AI68+AI69+AI70+AI71+AI72</f>
        <v/>
      </c>
      <c r="AJ44" s="56">
        <f>AI44-AH44</f>
        <v/>
      </c>
      <c r="AK44" s="57">
        <f>IF(AH44=0,"",AI44/AH44)</f>
        <v/>
      </c>
      <c r="AL44" s="18" t="n"/>
      <c r="AM44" s="56">
        <f>AM46+AM47+AM48+AM50+AM52+AM54+AM56+AM58+AM59+AM60+AM61+AM62+AM63+AM64+AM65+AM66+AM67+AM68+AM69+AM70+AM71+AM72</f>
        <v/>
      </c>
      <c r="AN44" s="56">
        <f>AN46+AN47+AN48+AN50+AN52+AN54+AN56+AN58+AN59+AN60+AN61+AN62+AN63+AN64+AN65+AN66+AN67+AN68+AN69+AN70+AN71+AN72</f>
        <v/>
      </c>
      <c r="AO44" s="56">
        <f>AN44-AM44</f>
        <v/>
      </c>
      <c r="AP44" s="57">
        <f>IF(AM44=0,"",AN44/AM44)</f>
        <v/>
      </c>
      <c r="AQ44" s="18" t="n"/>
      <c r="AR44" s="56">
        <f>AR46+AR47+AR48+AR50+AR52+AR54+AR56+AR58+AR59+AR60+AR61+AR62+AR63+AR64+AR65+AR66+AR67+AR68+AR69+AR70+AR71+AR72</f>
        <v/>
      </c>
      <c r="AS44" s="56">
        <f>AS46+AS47+AS48+AS50+AS52+AS54+AS56+AS58+AS59+AS60+AS61+AS62+AS63+AS64+AS65+AS66+AS67+AS68+AS69+AS70+AS71+AS72</f>
        <v/>
      </c>
      <c r="AT44" s="56">
        <f>AS44-AR44</f>
        <v/>
      </c>
      <c r="AU44" s="57">
        <f>IF(AR44=0,"",AS44/AR44)</f>
        <v/>
      </c>
      <c r="AV44" s="18" t="n"/>
      <c r="AW44" s="56">
        <f>AW46+AW47+AW48+AW50+AW52+AW54+AW56+AW58+AW59+AW60+AW61+AW62+AW63+AW64+AW65+AW66+AW67+AW68+AW69+AW70+AW71+AW72</f>
        <v/>
      </c>
      <c r="AX44" s="56">
        <f>AX46+AX47+AX48+AX50+AX52+AX54+AX56+AX58+AX59+AX60+AX61+AX62+AX63+AX64+AX65+AX66+AX67+AX68+AX69+AX70+AX71+AX72</f>
        <v/>
      </c>
      <c r="AY44" s="56">
        <f>AX44-AW44</f>
        <v/>
      </c>
      <c r="AZ44" s="57">
        <f>IF(AW44=0,"",AX44/AW44)</f>
        <v/>
      </c>
      <c r="BA44" s="18" t="n"/>
      <c r="BB44" s="56">
        <f>BB46+BB47+BB48+BB50+BB52+BB54+BB56+BB58+BB59+BB60+BB61+BB62+BB63+BB64+BB65+BB66+BB67+BB68+BB69+BB70+BB71+BB72</f>
        <v/>
      </c>
      <c r="BC44" s="56">
        <f>BC46+BC47+BC48+BC50+BC52+BC54+BC56+BC58+BC59+BC60+BC61+BC62+BC63+BC64+BC65+BC66+BC67+BC68+BC69+BC70+BC71+BC72</f>
        <v/>
      </c>
      <c r="BD44" s="56">
        <f>BC44-BB44</f>
        <v/>
      </c>
      <c r="BE44" s="57">
        <f>IF(BB44=0,"",BC44/BB44)</f>
        <v/>
      </c>
      <c r="BF44" s="18" t="n"/>
      <c r="BG44" s="56">
        <f>BG46+BG47+BG48+BG50+BG52+BG54+BG56+BG58+BG59+BG60+BG61+BG62+BG63+BG64+BG65+BG66+BG67+BG68+BG69+BG70+BG71+BG72</f>
        <v/>
      </c>
      <c r="BH44" s="56">
        <f>BH46+BH47+BH48+BH50+BH52+BH54+BH56+BH58+BH59+BH60+BH61+BH62+BH63+BH64+BH65+BH66+BH67+BH68+BH69+BH70+BH71+BH72</f>
        <v/>
      </c>
      <c r="BI44" s="56">
        <f>BH44-BG44</f>
        <v/>
      </c>
      <c r="BJ44" s="57">
        <f>IF(BG44=0,"",BH44/BG44)</f>
        <v/>
      </c>
      <c r="BK44" s="18" t="n"/>
      <c r="BL44" s="56">
        <f>BL46+BL47+BL48+BL50+BL52+BL54+BL56+BL58+BL59+BL60+BL61+BL62+BL63+BL64+BL65+BL66+BL67+BL68+BL69+BL70+BL71+BL72</f>
        <v/>
      </c>
      <c r="BM44" s="56">
        <f>BM46+BM47+BM48+BM50+BM52+BM54+BM56+BM58+BM59+BM60+BM61+BM62+BM63+BM64+BM65+BM66+BM67+BM68+BM69+BM70+BM71+BM72</f>
        <v/>
      </c>
      <c r="BN44" s="56">
        <f>BM44-BL44</f>
        <v/>
      </c>
      <c r="BO44" s="57">
        <f>IF(BL44=0,"",BM44/BL44)</f>
        <v/>
      </c>
      <c r="BP44" s="18" t="n"/>
      <c r="BQ44" s="56">
        <f>BQ46+BQ47+BQ48+BQ50+BQ52+BQ54+BQ56+BQ58+BQ59+BQ60+BQ61+BQ62+BQ63+BQ64+BQ65+BQ66+BQ67+BQ68+BQ69+BQ70+BQ71+BQ72</f>
        <v/>
      </c>
      <c r="BR44" s="56">
        <f>BR46+BR47+BR48+BR50+BR52+BR54+BR56+BR58+BR59+BR60+BR61+BR62+BR63+BR64+BR65+BR66+BR67+BR68+BR69+BR70+BR71+BR72</f>
        <v/>
      </c>
      <c r="BS44" s="56">
        <f>BR44-BQ44</f>
        <v/>
      </c>
      <c r="BT44" s="57">
        <f>IF(BQ44=0,"",BR44/BQ44)</f>
        <v/>
      </c>
      <c r="BU44" s="18" t="n"/>
      <c r="BV44" s="56">
        <f>BV46+BV47+BV48+BV50+BV52+BV54+BV56+BV58+BV59+BV60+BV61+BV62+BV63+BV64+BV65+BV66+BV67+BV68+BV69+BV70+BV71+BV72</f>
        <v/>
      </c>
      <c r="BW44" s="56">
        <f>BW46+BW47+BW48+BW50+BW52+BW54+BW56+BW58+BW59+BW60+BW61+BW62+BW63+BW64+BW65+BW66+BW67+BW68+BW69+BW70+BW71+BW72</f>
        <v/>
      </c>
      <c r="BX44" s="56">
        <f>BW44-BV44</f>
        <v/>
      </c>
      <c r="BY44" s="57">
        <f>IF(BV44=0,"",BW44/BV44)</f>
        <v/>
      </c>
      <c r="BZ44" s="18" t="n"/>
      <c r="CA44" s="56">
        <f>CA46+CA47+CA48+CA50+CA52+CA54+CA56+CA58+CA59+CA60+CA61+CA62+CA63+CA64+CA65+CA66+CA67+CA68+CA69+CA70+CA71+CA72</f>
        <v/>
      </c>
      <c r="CB44" s="56">
        <f>CB46+CB47+CB48+CB50+CB52+CB54+CB56+CB58+CB59+CB60+CB61+CB62+CB63+CB64+CB65+CB66+CB67+CB68+CB69+CB70+CB71+CB72</f>
        <v/>
      </c>
      <c r="CC44" s="56">
        <f>CB44-CA44</f>
        <v/>
      </c>
      <c r="CD44" s="57">
        <f>IF(CA44=0,"",CB44/CA44)</f>
        <v/>
      </c>
      <c r="CE44" s="18" t="n"/>
      <c r="CF44" s="56">
        <f>CF46+CF47+CF48+CF50+CF52+CF54+CF56+CF58+CF59+CF60+CF61+CF62+CF63+CF64+CF65+CF66+CF67+CF68+CF69+CF70+CF71+CF72</f>
        <v/>
      </c>
      <c r="CG44" s="56">
        <f>CG46+CG47+CG48+CG50+CG52+CG54+CG56+CG58+CG59+CG60+CG61+CG62+CG63+CG64+CG65+CG66+CG67+CG68+CG69+CG70+CG71+CG72</f>
        <v/>
      </c>
      <c r="CH44" s="56">
        <f>CG44-CF44</f>
        <v/>
      </c>
      <c r="CI44" s="57">
        <f>IF(CF44=0,"",CG44/CF44)</f>
        <v/>
      </c>
      <c r="CJ44" s="18" t="n"/>
      <c r="CK44" s="56">
        <f>CK46+CK47+CK48+CK50+CK52+CK54+CK56+CK58+CK59+CK60+CK61+CK62+CK63+CK64+CK65+CK66+CK67+CK68+CK69+CK70+CK71+CK72</f>
        <v/>
      </c>
      <c r="CL44" s="56">
        <f>CL46+CL47+CL48+CL50+CL52+CL54+CL56+CL58+CL59+CL60+CL61+CL62+CL63+CL64+CL65+CL66+CL67+CL68+CL69+CL70+CL71+CL72</f>
        <v/>
      </c>
      <c r="CM44" s="56">
        <f>CL44-CK44</f>
        <v/>
      </c>
      <c r="CN44" s="57">
        <f>IF(CK44=0,"",CL44/CK44)</f>
        <v/>
      </c>
      <c r="CO44" s="18" t="n"/>
      <c r="CP44" s="56">
        <f>CP46+CP47+CP48+CP50+CP52+CP54+CP56+CP58+CP59+CP60+CP61+CP62+CP63+CP64+CP65+CP66+CP67+CP68+CP69+CP70+CP71+CP72</f>
        <v/>
      </c>
      <c r="CQ44" s="56">
        <f>CQ46+CQ47+CQ48+CQ50+CQ52+CQ54+CQ56+CQ58+CQ59+CQ60+CQ61+CQ62+CQ63+CQ64+CQ65+CQ66+CQ67+CQ68+CQ69+CQ70+CQ71+CQ72</f>
        <v/>
      </c>
      <c r="CR44" s="56">
        <f>CQ44-CP44</f>
        <v/>
      </c>
      <c r="CS44" s="57">
        <f>IF(CP44=0,"",CQ44/CP44)</f>
        <v/>
      </c>
      <c r="CT44" s="18" t="n"/>
      <c r="CU44" s="56">
        <f>CU46+CU47+CU48+CU50+CU52+CU54+CU56+CU58+CU59+CU60+CU61+CU62+CU63+CU64+CU65+CU66+CU67+CU68+CU69+CU70+CU71+CU72</f>
        <v/>
      </c>
      <c r="CV44" s="56">
        <f>CV46+CV47+CV48+CV50+CV52+CV54+CV56+CV58+CV59+CV60+CV61+CV62+CV63+CV64+CV65+CV66+CV67+CV68+CV69+CV70+CV71+CV72</f>
        <v/>
      </c>
      <c r="CW44" s="56">
        <f>CV44-CU44</f>
        <v/>
      </c>
      <c r="CX44" s="57">
        <f>IF(CU44=0,"",CV44/CU44)</f>
        <v/>
      </c>
      <c r="CY44" s="18" t="n"/>
      <c r="CZ44" s="56">
        <f>CZ46+CZ47+CZ48+CZ50+CZ52+CZ54+CZ56+CZ58+CZ59+CZ60+CZ61+CZ62+CZ63+CZ64+CZ65+CZ66+CZ67+CZ68+CZ69+CZ70+CZ71+CZ72</f>
        <v/>
      </c>
      <c r="DA44" s="56">
        <f>DA46+DA47+DA48+DA50+DA52+DA54+DA56+DA58+DA59+DA60+DA61+DA62+DA63+DA64+DA65+DA66+DA67+DA68+DA69+DA70+DA71+DA72</f>
        <v/>
      </c>
      <c r="DB44" s="56">
        <f>DA44-CZ44</f>
        <v/>
      </c>
      <c r="DC44" s="57">
        <f>IF(CZ44=0,"",DA44/CZ44)</f>
        <v/>
      </c>
      <c r="DD44" s="18" t="n"/>
      <c r="DE44" s="56">
        <f>DE46+DE47+DE48+DE50+DE52+DE54+DE56+DE58+DE59+DE60+DE61+DE62+DE63+DE64+DE65+DE66+DE67+DE68+DE69+DE70+DE71+DE72</f>
        <v/>
      </c>
      <c r="DF44" s="56">
        <f>DF46+DF47+DF48+DF50+DF52+DF54+DF56+DF58+DF59+DF60+DF61+DF62+DF63+DF64+DF65+DF66+DF67+DF68+DF69+DF70+DF71+DF72</f>
        <v/>
      </c>
      <c r="DG44" s="56">
        <f>DF44-DE44</f>
        <v/>
      </c>
      <c r="DH44" s="57">
        <f>IF(DE44=0,"",DF44/DE44)</f>
        <v/>
      </c>
      <c r="DI44" s="18" t="n"/>
      <c r="DJ44" s="56">
        <f>DJ46+DJ47+DJ48+DJ50+DJ52+DJ54+DJ56+DJ58+DJ59+DJ60+DJ61+DJ62+DJ63+DJ64+DJ65+DJ66+DJ67+DJ68+DJ69+DJ70+DJ71+DJ72</f>
        <v/>
      </c>
      <c r="DK44" s="56">
        <f>DK46+DK47+DK48+DK50+DK52+DK54+DK56+DK58+DK59+DK60+DK61+DK62+DK63+DK64+DK65+DK66+DK67+DK68+DK69+DK70+DK71+DK72</f>
        <v/>
      </c>
      <c r="DL44" s="56">
        <f>DK44-DJ44</f>
        <v/>
      </c>
      <c r="DM44" s="57">
        <f>IF(DJ44=0,"",DK44/DJ44)</f>
        <v/>
      </c>
      <c r="DN44" s="18" t="n"/>
      <c r="DO44" s="56">
        <f>DO46+DO47+DO48+DO50+DO52+DO54+DO56+DO58+DO59+DO60+DO61+DO62+DO63+DO64+DO65+DO66+DO67+DO68+DO69+DO70+DO71+DO72</f>
        <v/>
      </c>
    </row>
    <row r="45" ht="15" customHeight="1">
      <c r="A45" s="19" t="n"/>
      <c r="B45" s="20" t="n"/>
      <c r="C45" s="19" t="n"/>
      <c r="D45" s="58">
        <f>D46+D47+D48</f>
        <v/>
      </c>
      <c r="E45" s="58">
        <f>E46+E47+E48</f>
        <v/>
      </c>
      <c r="F45" s="58">
        <f>E45-D45</f>
        <v/>
      </c>
      <c r="G45" s="59">
        <f>IF(D45=0,"",E45/D45)</f>
        <v/>
      </c>
      <c r="H45" s="23" t="n"/>
      <c r="I45" s="58">
        <f>I46+I47+I48</f>
        <v/>
      </c>
      <c r="J45" s="58">
        <f>J46+J47+J48</f>
        <v/>
      </c>
      <c r="K45" s="58">
        <f>J45-I45</f>
        <v/>
      </c>
      <c r="L45" s="59">
        <f>IF(I45=0,"",J45/I45)</f>
        <v/>
      </c>
      <c r="M45" s="23" t="n"/>
      <c r="N45" s="58">
        <f>N46+N47+N48</f>
        <v/>
      </c>
      <c r="O45" s="58">
        <f>O46+O47+O48</f>
        <v/>
      </c>
      <c r="P45" s="58">
        <f>O45-N45</f>
        <v/>
      </c>
      <c r="Q45" s="59">
        <f>IF(N45=0,"",O45/N45)</f>
        <v/>
      </c>
      <c r="R45" s="23" t="n"/>
      <c r="S45" s="58">
        <f>S46+S47+S48</f>
        <v/>
      </c>
      <c r="T45" s="58">
        <f>T46+T47+T48</f>
        <v/>
      </c>
      <c r="U45" s="58">
        <f>T45-S45</f>
        <v/>
      </c>
      <c r="V45" s="59">
        <f>IF(S45=0,"",T45/S45)</f>
        <v/>
      </c>
      <c r="W45" s="23" t="n"/>
      <c r="X45" s="58">
        <f>X46+X47+X48</f>
        <v/>
      </c>
      <c r="Y45" s="58">
        <f>Y46+Y47+Y48</f>
        <v/>
      </c>
      <c r="Z45" s="58">
        <f>Y45-X45</f>
        <v/>
      </c>
      <c r="AA45" s="59">
        <f>IF(X45=0,"",Y45/X45)</f>
        <v/>
      </c>
      <c r="AB45" s="23" t="n"/>
      <c r="AC45" s="58">
        <f>AC46+AC47+AC48</f>
        <v/>
      </c>
      <c r="AD45" s="58">
        <f>AD46+AD47+AD48</f>
        <v/>
      </c>
      <c r="AE45" s="58">
        <f>AD45-AC45</f>
        <v/>
      </c>
      <c r="AF45" s="59">
        <f>IF(AC45=0,"",AD45/AC45)</f>
        <v/>
      </c>
      <c r="AG45" s="23" t="n"/>
      <c r="AH45" s="58">
        <f>AH46+AH47+AH48</f>
        <v/>
      </c>
      <c r="AI45" s="58">
        <f>AI46+AI47+AI48</f>
        <v/>
      </c>
      <c r="AJ45" s="58">
        <f>AI45-AH45</f>
        <v/>
      </c>
      <c r="AK45" s="59">
        <f>IF(AH45=0,"",AI45/AH45)</f>
        <v/>
      </c>
      <c r="AL45" s="23" t="n"/>
      <c r="AM45" s="58">
        <f>AM46+AM47+AM48</f>
        <v/>
      </c>
      <c r="AN45" s="58">
        <f>AN46+AN47+AN48</f>
        <v/>
      </c>
      <c r="AO45" s="58">
        <f>AN45-AM45</f>
        <v/>
      </c>
      <c r="AP45" s="59">
        <f>IF(AM45=0,"",AN45/AM45)</f>
        <v/>
      </c>
      <c r="AQ45" s="23" t="n"/>
      <c r="AR45" s="58">
        <f>AR46+AR47+AR48</f>
        <v/>
      </c>
      <c r="AS45" s="58">
        <f>AS46+AS47+AS48</f>
        <v/>
      </c>
      <c r="AT45" s="58">
        <f>AS45-AR45</f>
        <v/>
      </c>
      <c r="AU45" s="59">
        <f>IF(AR45=0,"",AS45/AR45)</f>
        <v/>
      </c>
      <c r="AV45" s="23" t="n"/>
      <c r="AW45" s="58">
        <f>AW46+AW47+AW48</f>
        <v/>
      </c>
      <c r="AX45" s="58">
        <f>AX46+AX47+AX48</f>
        <v/>
      </c>
      <c r="AY45" s="58">
        <f>AX45-AW45</f>
        <v/>
      </c>
      <c r="AZ45" s="59">
        <f>IF(AW45=0,"",AX45/AW45)</f>
        <v/>
      </c>
      <c r="BA45" s="23" t="n"/>
      <c r="BB45" s="58">
        <f>BB46+BB47+BB48</f>
        <v/>
      </c>
      <c r="BC45" s="58">
        <f>BC46+BC47+BC48</f>
        <v/>
      </c>
      <c r="BD45" s="58">
        <f>BC45-BB45</f>
        <v/>
      </c>
      <c r="BE45" s="59">
        <f>IF(BB45=0,"",BC45/BB45)</f>
        <v/>
      </c>
      <c r="BF45" s="23" t="n"/>
      <c r="BG45" s="58">
        <f>BG46+BG47+BG48</f>
        <v/>
      </c>
      <c r="BH45" s="58">
        <f>BH46+BH47+BH48</f>
        <v/>
      </c>
      <c r="BI45" s="58">
        <f>BH45-BG45</f>
        <v/>
      </c>
      <c r="BJ45" s="59">
        <f>IF(BG45=0,"",BH45/BG45)</f>
        <v/>
      </c>
      <c r="BK45" s="23" t="n"/>
      <c r="BL45" s="58">
        <f>BL46+BL47+BL48</f>
        <v/>
      </c>
      <c r="BM45" s="58">
        <f>BM46+BM47+BM48</f>
        <v/>
      </c>
      <c r="BN45" s="58">
        <f>BM45-BL45</f>
        <v/>
      </c>
      <c r="BO45" s="59">
        <f>IF(BL45=0,"",BM45/BL45)</f>
        <v/>
      </c>
      <c r="BP45" s="23" t="n"/>
      <c r="BQ45" s="58">
        <f>BQ46+BQ47+BQ48</f>
        <v/>
      </c>
      <c r="BR45" s="58">
        <f>BR46+BR47+BR48</f>
        <v/>
      </c>
      <c r="BS45" s="58">
        <f>BR45-BQ45</f>
        <v/>
      </c>
      <c r="BT45" s="59">
        <f>IF(BQ45=0,"",BR45/BQ45)</f>
        <v/>
      </c>
      <c r="BU45" s="23" t="n"/>
      <c r="BV45" s="58">
        <f>BV46+BV47+BV48</f>
        <v/>
      </c>
      <c r="BW45" s="58">
        <f>BW46+BW47+BW48</f>
        <v/>
      </c>
      <c r="BX45" s="58">
        <f>BW45-BV45</f>
        <v/>
      </c>
      <c r="BY45" s="59">
        <f>IF(BV45=0,"",BW45/BV45)</f>
        <v/>
      </c>
      <c r="BZ45" s="23" t="n"/>
      <c r="CA45" s="58">
        <f>CA46+CA47+CA48</f>
        <v/>
      </c>
      <c r="CB45" s="58">
        <f>CB46+CB47+CB48</f>
        <v/>
      </c>
      <c r="CC45" s="58">
        <f>CB45-CA45</f>
        <v/>
      </c>
      <c r="CD45" s="59">
        <f>IF(CA45=0,"",CB45/CA45)</f>
        <v/>
      </c>
      <c r="CE45" s="23" t="n"/>
      <c r="CF45" s="58">
        <f>CF46+CF47+CF48</f>
        <v/>
      </c>
      <c r="CG45" s="58">
        <f>CG46+CG47+CG48</f>
        <v/>
      </c>
      <c r="CH45" s="58">
        <f>CG45-CF45</f>
        <v/>
      </c>
      <c r="CI45" s="59">
        <f>IF(CF45=0,"",CG45/CF45)</f>
        <v/>
      </c>
      <c r="CJ45" s="23" t="n"/>
      <c r="CK45" s="58">
        <f>CK46+CK47+CK48</f>
        <v/>
      </c>
      <c r="CL45" s="58">
        <f>CL46+CL47+CL48</f>
        <v/>
      </c>
      <c r="CM45" s="58">
        <f>CL45-CK45</f>
        <v/>
      </c>
      <c r="CN45" s="59">
        <f>IF(CK45=0,"",CL45/CK45)</f>
        <v/>
      </c>
      <c r="CO45" s="23" t="n"/>
      <c r="CP45" s="58">
        <f>CP46+CP47+CP48</f>
        <v/>
      </c>
      <c r="CQ45" s="58">
        <f>CQ46+CQ47+CQ48</f>
        <v/>
      </c>
      <c r="CR45" s="58">
        <f>CQ45-CP45</f>
        <v/>
      </c>
      <c r="CS45" s="59">
        <f>IF(CP45=0,"",CQ45/CP45)</f>
        <v/>
      </c>
      <c r="CT45" s="23" t="n"/>
      <c r="CU45" s="58">
        <f>CU46+CU47+CU48</f>
        <v/>
      </c>
      <c r="CV45" s="58">
        <f>CV46+CV47+CV48</f>
        <v/>
      </c>
      <c r="CW45" s="58">
        <f>CV45-CU45</f>
        <v/>
      </c>
      <c r="CX45" s="59">
        <f>IF(CU45=0,"",CV45/CU45)</f>
        <v/>
      </c>
      <c r="CY45" s="23" t="n"/>
      <c r="CZ45" s="58">
        <f>CZ46+CZ47+CZ48</f>
        <v/>
      </c>
      <c r="DA45" s="58">
        <f>DA46+DA47+DA48</f>
        <v/>
      </c>
      <c r="DB45" s="58">
        <f>DA45-CZ45</f>
        <v/>
      </c>
      <c r="DC45" s="59">
        <f>IF(CZ45=0,"",DA45/CZ45)</f>
        <v/>
      </c>
      <c r="DD45" s="23" t="n"/>
      <c r="DE45" s="58">
        <f>DE46+DE47+DE48</f>
        <v/>
      </c>
      <c r="DF45" s="58">
        <f>DF46+DF47+DF48</f>
        <v/>
      </c>
      <c r="DG45" s="58">
        <f>DF45-DE45</f>
        <v/>
      </c>
      <c r="DH45" s="59">
        <f>IF(DE45=0,"",DF45/DE45)</f>
        <v/>
      </c>
      <c r="DI45" s="23" t="n"/>
      <c r="DJ45" s="58">
        <f>DJ46+DJ47+DJ48</f>
        <v/>
      </c>
      <c r="DK45" s="58">
        <f>DK46+DK47+DK48</f>
        <v/>
      </c>
      <c r="DL45" s="58">
        <f>DK45-DJ45</f>
        <v/>
      </c>
      <c r="DM45" s="59">
        <f>IF(DJ45=0,"",DK45/DJ45)</f>
        <v/>
      </c>
      <c r="DN45" s="23" t="n"/>
      <c r="DO45" s="58">
        <f>DO46+DO47+DO48</f>
        <v/>
      </c>
    </row>
    <row r="46" outlineLevel="1" ht="15" customHeight="1">
      <c r="A46" s="24" t="n"/>
      <c r="B46" s="24" t="n"/>
      <c r="C46" s="24" t="n"/>
      <c r="D46" s="60" t="n"/>
      <c r="E46" s="60" t="n"/>
      <c r="F46" s="60">
        <f>E46-D46</f>
        <v/>
      </c>
      <c r="G46" s="61">
        <f>IF(D46=0,"",E46/D46)</f>
        <v/>
      </c>
      <c r="H46" s="27" t="n"/>
      <c r="I46" s="60" t="n"/>
      <c r="J46" s="60" t="n"/>
      <c r="K46" s="60">
        <f>J46-I46</f>
        <v/>
      </c>
      <c r="L46" s="61">
        <f>IF(I46=0,"",J46/I46)</f>
        <v/>
      </c>
      <c r="M46" s="27" t="n"/>
      <c r="N46" s="62" t="n"/>
      <c r="O46" s="62" t="n"/>
      <c r="P46" s="63">
        <f>O46-N46</f>
        <v/>
      </c>
      <c r="Q46" s="64">
        <f>IF(N46=0,"",O46/N46)</f>
        <v/>
      </c>
      <c r="R46" s="31" t="n"/>
      <c r="S46" s="60" t="n"/>
      <c r="T46" s="60" t="n"/>
      <c r="U46" s="60">
        <f>T46-S46</f>
        <v/>
      </c>
      <c r="V46" s="61">
        <f>IF(S46=0,"",T46/S46)</f>
        <v/>
      </c>
      <c r="W46" s="27" t="n"/>
      <c r="X46" s="62" t="n"/>
      <c r="Y46" s="62" t="n"/>
      <c r="Z46" s="63">
        <f>Y46-X46</f>
        <v/>
      </c>
      <c r="AA46" s="64">
        <f>IF(X46=0,"",Y46/X46)</f>
        <v/>
      </c>
      <c r="AB46" s="31" t="n"/>
      <c r="AC46" s="60" t="n"/>
      <c r="AD46" s="60" t="n"/>
      <c r="AE46" s="60">
        <f>AD46-AC46</f>
        <v/>
      </c>
      <c r="AF46" s="61">
        <f>IF(AC46=0,"",AD46/AC46)</f>
        <v/>
      </c>
      <c r="AG46" s="27" t="n"/>
      <c r="AH46" s="62" t="n"/>
      <c r="AI46" s="62" t="n"/>
      <c r="AJ46" s="62">
        <f>AI46-AH46</f>
        <v/>
      </c>
      <c r="AK46" s="64">
        <f>IF(AH46=0,"",AI46/AH46)</f>
        <v/>
      </c>
      <c r="AL46" s="31" t="n"/>
      <c r="AM46" s="60" t="n"/>
      <c r="AN46" s="60" t="n"/>
      <c r="AO46" s="60">
        <f>AN46-AM46</f>
        <v/>
      </c>
      <c r="AP46" s="61">
        <f>IF(AM46=0,"",AN46/AM46)</f>
        <v/>
      </c>
      <c r="AQ46" s="27" t="n"/>
      <c r="AR46" s="62" t="n"/>
      <c r="AS46" s="62" t="n"/>
      <c r="AT46" s="62">
        <f>AS46-AR46</f>
        <v/>
      </c>
      <c r="AU46" s="64">
        <f>IF(AR46=0,"",AS46/AR46)</f>
        <v/>
      </c>
      <c r="AV46" s="31" t="n"/>
      <c r="AW46" s="60" t="n"/>
      <c r="AX46" s="60" t="n"/>
      <c r="AY46" s="60">
        <f>AX46-AW46</f>
        <v/>
      </c>
      <c r="AZ46" s="61">
        <f>IF(AW46=0,"",AX46/AW46)</f>
        <v/>
      </c>
      <c r="BA46" s="27" t="n"/>
      <c r="BB46" s="62" t="n"/>
      <c r="BC46" s="62" t="n"/>
      <c r="BD46" s="62">
        <f>BC46-BB46</f>
        <v/>
      </c>
      <c r="BE46" s="64">
        <f>IF(BB46=0,"",BC46/BB46)</f>
        <v/>
      </c>
      <c r="BF46" s="31" t="n"/>
      <c r="BG46" s="60" t="n"/>
      <c r="BH46" s="60" t="n"/>
      <c r="BI46" s="60">
        <f>BH46-BG46</f>
        <v/>
      </c>
      <c r="BJ46" s="61">
        <f>IF(BG46=0,"",BH46/BG46)</f>
        <v/>
      </c>
      <c r="BK46" s="27" t="n"/>
      <c r="BL46" s="62" t="n"/>
      <c r="BM46" s="62" t="n"/>
      <c r="BN46" s="62">
        <f>BM46-BL46</f>
        <v/>
      </c>
      <c r="BO46" s="64">
        <f>IF(BL46=0,"",BM46/BL46)</f>
        <v/>
      </c>
      <c r="BP46" s="31" t="n"/>
      <c r="BQ46" s="60" t="n"/>
      <c r="BR46" s="60" t="n"/>
      <c r="BS46" s="60">
        <f>BR46-BQ46</f>
        <v/>
      </c>
      <c r="BT46" s="61">
        <f>IF(BQ46=0,"",BR46/BQ46)</f>
        <v/>
      </c>
      <c r="BU46" s="27" t="n"/>
      <c r="BV46" s="62" t="n"/>
      <c r="BW46" s="62" t="n"/>
      <c r="BX46" s="62">
        <f>BW46-BV46</f>
        <v/>
      </c>
      <c r="BY46" s="64">
        <f>IF(BV46=0,"",BW46/BV46)</f>
        <v/>
      </c>
      <c r="BZ46" s="31" t="n"/>
      <c r="CA46" s="60" t="n"/>
      <c r="CB46" s="60" t="n"/>
      <c r="CC46" s="60">
        <f>CB46-CA46</f>
        <v/>
      </c>
      <c r="CD46" s="61">
        <f>IF(CA46=0,"",CB46/CA46)</f>
        <v/>
      </c>
      <c r="CE46" s="27" t="n"/>
      <c r="CF46" s="62" t="n"/>
      <c r="CG46" s="62" t="n"/>
      <c r="CH46" s="62">
        <f>CG46-CF46</f>
        <v/>
      </c>
      <c r="CI46" s="64">
        <f>IF(CF46=0,"",CG46/CF46)</f>
        <v/>
      </c>
      <c r="CJ46" s="31" t="n"/>
      <c r="CK46" s="60" t="n"/>
      <c r="CL46" s="60" t="n"/>
      <c r="CM46" s="60">
        <f>CL46-CK46</f>
        <v/>
      </c>
      <c r="CN46" s="61">
        <f>IF(CK46=0,"",CL46/CK46)</f>
        <v/>
      </c>
      <c r="CO46" s="27" t="n"/>
      <c r="CP46" s="62" t="n"/>
      <c r="CQ46" s="62" t="n"/>
      <c r="CR46" s="62">
        <f>CQ46-CP46</f>
        <v/>
      </c>
      <c r="CS46" s="64">
        <f>IF(CP46=0,"",CQ46/CP46)</f>
        <v/>
      </c>
      <c r="CT46" s="31" t="n"/>
      <c r="CU46" s="60" t="n"/>
      <c r="CV46" s="60" t="n"/>
      <c r="CW46" s="60">
        <f>CV46-CU46</f>
        <v/>
      </c>
      <c r="CX46" s="61">
        <f>IF(CU46=0,"",CV46/CU46)</f>
        <v/>
      </c>
      <c r="CY46" s="27" t="n"/>
      <c r="CZ46" s="62" t="n"/>
      <c r="DA46" s="62" t="n"/>
      <c r="DB46" s="62">
        <f>DA46-CZ46</f>
        <v/>
      </c>
      <c r="DC46" s="64">
        <f>IF(CZ46=0,"",DA46/CZ46)</f>
        <v/>
      </c>
      <c r="DD46" s="31" t="n"/>
      <c r="DE46" s="60" t="n"/>
      <c r="DF46" s="60" t="n"/>
      <c r="DG46" s="60">
        <f>DF46-DE46</f>
        <v/>
      </c>
      <c r="DH46" s="61">
        <f>IF(DE46=0,"",DF46/DE46)</f>
        <v/>
      </c>
      <c r="DI46" s="27" t="n"/>
      <c r="DJ46" s="62" t="n"/>
      <c r="DK46" s="62" t="n"/>
      <c r="DL46" s="62">
        <f>DK46-DJ46</f>
        <v/>
      </c>
      <c r="DM46" s="64">
        <f>IF(DJ46=0,"",DK46/DJ46)</f>
        <v/>
      </c>
      <c r="DN46" s="31" t="n"/>
      <c r="DO46" s="60" t="n"/>
    </row>
    <row r="47" outlineLevel="1" ht="15" customHeight="1">
      <c r="A47" s="24" t="n"/>
      <c r="B47" s="24" t="n"/>
      <c r="C47" s="24" t="n"/>
      <c r="D47" s="60" t="n"/>
      <c r="E47" s="60" t="n"/>
      <c r="F47" s="60">
        <f>E47-D47</f>
        <v/>
      </c>
      <c r="G47" s="61">
        <f>IF(D47=0,"",E47/D47)</f>
        <v/>
      </c>
      <c r="H47" s="27" t="n"/>
      <c r="I47" s="60" t="n"/>
      <c r="J47" s="60" t="n"/>
      <c r="K47" s="60">
        <f>J47-I47</f>
        <v/>
      </c>
      <c r="L47" s="61">
        <f>IF(I47=0,"",J47/I47)</f>
        <v/>
      </c>
      <c r="M47" s="27" t="n"/>
      <c r="N47" s="62" t="n"/>
      <c r="O47" s="62" t="n"/>
      <c r="P47" s="62">
        <f>O47-N47</f>
        <v/>
      </c>
      <c r="Q47" s="64">
        <f>IF(N47=0,"",O47/N47)</f>
        <v/>
      </c>
      <c r="R47" s="31" t="n"/>
      <c r="S47" s="60" t="n"/>
      <c r="T47" s="60" t="n"/>
      <c r="U47" s="60">
        <f>T47-S47</f>
        <v/>
      </c>
      <c r="V47" s="61">
        <f>IF(S47=0,"",T47/S47)</f>
        <v/>
      </c>
      <c r="W47" s="27" t="n"/>
      <c r="X47" s="62" t="n"/>
      <c r="Y47" s="62" t="n"/>
      <c r="Z47" s="62">
        <f>Y47-X47</f>
        <v/>
      </c>
      <c r="AA47" s="64">
        <f>IF(X47=0,"",Y47/X47)</f>
        <v/>
      </c>
      <c r="AB47" s="31" t="n"/>
      <c r="AC47" s="60" t="n"/>
      <c r="AD47" s="60" t="n"/>
      <c r="AE47" s="60">
        <f>AD47-AC47</f>
        <v/>
      </c>
      <c r="AF47" s="61">
        <f>IF(AC47=0,"",AD47/AC47)</f>
        <v/>
      </c>
      <c r="AG47" s="27" t="n"/>
      <c r="AH47" s="62" t="n"/>
      <c r="AI47" s="62" t="n"/>
      <c r="AJ47" s="62">
        <f>AI47-AH47</f>
        <v/>
      </c>
      <c r="AK47" s="64">
        <f>IF(AH47=0,"",AI47/AH47)</f>
        <v/>
      </c>
      <c r="AL47" s="31" t="n"/>
      <c r="AM47" s="60" t="n"/>
      <c r="AN47" s="60" t="n"/>
      <c r="AO47" s="60">
        <f>AN47-AM47</f>
        <v/>
      </c>
      <c r="AP47" s="61">
        <f>IF(AM47=0,"",AN47/AM47)</f>
        <v/>
      </c>
      <c r="AQ47" s="27" t="n"/>
      <c r="AR47" s="62" t="n"/>
      <c r="AS47" s="62" t="n"/>
      <c r="AT47" s="62">
        <f>AS47-AR47</f>
        <v/>
      </c>
      <c r="AU47" s="64">
        <f>IF(AR47=0,"",AS47/AR47)</f>
        <v/>
      </c>
      <c r="AV47" s="31" t="n"/>
      <c r="AW47" s="60" t="n"/>
      <c r="AX47" s="60" t="n"/>
      <c r="AY47" s="60">
        <f>AX47-AW47</f>
        <v/>
      </c>
      <c r="AZ47" s="61">
        <f>IF(AW47=0,"",AX47/AW47)</f>
        <v/>
      </c>
      <c r="BA47" s="27" t="n"/>
      <c r="BB47" s="62" t="n"/>
      <c r="BC47" s="62" t="n"/>
      <c r="BD47" s="62">
        <f>BC47-BB47</f>
        <v/>
      </c>
      <c r="BE47" s="64">
        <f>IF(BB47=0,"",BC47/BB47)</f>
        <v/>
      </c>
      <c r="BF47" s="31" t="n"/>
      <c r="BG47" s="60" t="n"/>
      <c r="BH47" s="60" t="n"/>
      <c r="BI47" s="60">
        <f>BH47-BG47</f>
        <v/>
      </c>
      <c r="BJ47" s="61">
        <f>IF(BG47=0,"",BH47/BG47)</f>
        <v/>
      </c>
      <c r="BK47" s="27" t="n"/>
      <c r="BL47" s="62" t="n"/>
      <c r="BM47" s="62" t="n"/>
      <c r="BN47" s="62">
        <f>BM47-BL47</f>
        <v/>
      </c>
      <c r="BO47" s="64">
        <f>IF(BL47=0,"",BM47/BL47)</f>
        <v/>
      </c>
      <c r="BP47" s="31" t="n"/>
      <c r="BQ47" s="60" t="n"/>
      <c r="BR47" s="60" t="n"/>
      <c r="BS47" s="60">
        <f>BR47-BQ47</f>
        <v/>
      </c>
      <c r="BT47" s="61">
        <f>IF(BQ47=0,"",BR47/BQ47)</f>
        <v/>
      </c>
      <c r="BU47" s="27" t="n"/>
      <c r="BV47" s="62" t="n"/>
      <c r="BW47" s="62" t="n"/>
      <c r="BX47" s="62">
        <f>BW47-BV47</f>
        <v/>
      </c>
      <c r="BY47" s="64">
        <f>IF(BV47=0,"",BW47/BV47)</f>
        <v/>
      </c>
      <c r="BZ47" s="31" t="n"/>
      <c r="CA47" s="60" t="n"/>
      <c r="CB47" s="60" t="n"/>
      <c r="CC47" s="60">
        <f>CB47-CA47</f>
        <v/>
      </c>
      <c r="CD47" s="61">
        <f>IF(CA47=0,"",CB47/CA47)</f>
        <v/>
      </c>
      <c r="CE47" s="27" t="n"/>
      <c r="CF47" s="62" t="n"/>
      <c r="CG47" s="62" t="n"/>
      <c r="CH47" s="62">
        <f>CG47-CF47</f>
        <v/>
      </c>
      <c r="CI47" s="64">
        <f>IF(CF47=0,"",CG47/CF47)</f>
        <v/>
      </c>
      <c r="CJ47" s="31" t="n"/>
      <c r="CK47" s="60" t="n"/>
      <c r="CL47" s="60" t="n"/>
      <c r="CM47" s="60">
        <f>CL47-CK47</f>
        <v/>
      </c>
      <c r="CN47" s="61">
        <f>IF(CK47=0,"",CL47/CK47)</f>
        <v/>
      </c>
      <c r="CO47" s="27" t="n"/>
      <c r="CP47" s="62" t="n"/>
      <c r="CQ47" s="62" t="n"/>
      <c r="CR47" s="62">
        <f>CQ47-CP47</f>
        <v/>
      </c>
      <c r="CS47" s="64">
        <f>IF(CP47=0,"",CQ47/CP47)</f>
        <v/>
      </c>
      <c r="CT47" s="31" t="n"/>
      <c r="CU47" s="60" t="n"/>
      <c r="CV47" s="60" t="n"/>
      <c r="CW47" s="60">
        <f>CV47-CU47</f>
        <v/>
      </c>
      <c r="CX47" s="61">
        <f>IF(CU47=0,"",CV47/CU47)</f>
        <v/>
      </c>
      <c r="CY47" s="27" t="n"/>
      <c r="CZ47" s="62" t="n"/>
      <c r="DA47" s="62" t="n"/>
      <c r="DB47" s="62">
        <f>DA47-CZ47</f>
        <v/>
      </c>
      <c r="DC47" s="64">
        <f>IF(CZ47=0,"",DA47/CZ47)</f>
        <v/>
      </c>
      <c r="DD47" s="31" t="n"/>
      <c r="DE47" s="60" t="n"/>
      <c r="DF47" s="60" t="n"/>
      <c r="DG47" s="60">
        <f>DF47-DE47</f>
        <v/>
      </c>
      <c r="DH47" s="61">
        <f>IF(DE47=0,"",DF47/DE47)</f>
        <v/>
      </c>
      <c r="DI47" s="27" t="n"/>
      <c r="DJ47" s="62" t="n"/>
      <c r="DK47" s="62" t="n"/>
      <c r="DL47" s="62">
        <f>DK47-DJ47</f>
        <v/>
      </c>
      <c r="DM47" s="64">
        <f>IF(DJ47=0,"",DK47/DJ47)</f>
        <v/>
      </c>
      <c r="DN47" s="31" t="n"/>
      <c r="DO47" s="60" t="n"/>
    </row>
    <row r="48" outlineLevel="1" ht="15" customHeight="1">
      <c r="A48" s="24" t="n"/>
      <c r="B48" s="24" t="n"/>
      <c r="C48" s="24" t="n"/>
      <c r="D48" s="60" t="n"/>
      <c r="E48" s="60" t="n"/>
      <c r="F48" s="60">
        <f>E48-D48</f>
        <v/>
      </c>
      <c r="G48" s="61">
        <f>IF(D48=0,"",E48/D48)</f>
        <v/>
      </c>
      <c r="H48" s="27" t="n"/>
      <c r="I48" s="60" t="n"/>
      <c r="J48" s="60" t="n"/>
      <c r="K48" s="60">
        <f>J48-I48</f>
        <v/>
      </c>
      <c r="L48" s="61">
        <f>IF(I48=0,"",J48/I48)</f>
        <v/>
      </c>
      <c r="M48" s="27" t="n"/>
      <c r="N48" s="62" t="n"/>
      <c r="O48" s="62" t="n"/>
      <c r="P48" s="63">
        <f>O48-N48</f>
        <v/>
      </c>
      <c r="Q48" s="64">
        <f>IF(N48=0,"",O48/N48)</f>
        <v/>
      </c>
      <c r="R48" s="31" t="n"/>
      <c r="S48" s="60" t="n"/>
      <c r="T48" s="60" t="n"/>
      <c r="U48" s="60">
        <f>T48-S48</f>
        <v/>
      </c>
      <c r="V48" s="61">
        <f>IF(S48=0,"",T48/S48)</f>
        <v/>
      </c>
      <c r="W48" s="27" t="n"/>
      <c r="X48" s="62" t="n"/>
      <c r="Y48" s="62" t="n"/>
      <c r="Z48" s="63">
        <f>Y48-X48</f>
        <v/>
      </c>
      <c r="AA48" s="64">
        <f>IF(X48=0,"",Y48/X48)</f>
        <v/>
      </c>
      <c r="AB48" s="31" t="n"/>
      <c r="AC48" s="60" t="n"/>
      <c r="AD48" s="60" t="n"/>
      <c r="AE48" s="60">
        <f>AD48-AC48</f>
        <v/>
      </c>
      <c r="AF48" s="61">
        <f>IF(AC48=0,"",AD48/AC48)</f>
        <v/>
      </c>
      <c r="AG48" s="27" t="n"/>
      <c r="AH48" s="62" t="n"/>
      <c r="AI48" s="62" t="n"/>
      <c r="AJ48" s="62">
        <f>AI48-AH48</f>
        <v/>
      </c>
      <c r="AK48" s="64">
        <f>IF(AH48=0,"",AI48/AH48)</f>
        <v/>
      </c>
      <c r="AL48" s="31" t="n"/>
      <c r="AM48" s="60" t="n"/>
      <c r="AN48" s="60" t="n"/>
      <c r="AO48" s="60">
        <f>AN48-AM48</f>
        <v/>
      </c>
      <c r="AP48" s="61">
        <f>IF(AM48=0,"",AN48/AM48)</f>
        <v/>
      </c>
      <c r="AQ48" s="27" t="n"/>
      <c r="AR48" s="62" t="n"/>
      <c r="AS48" s="62" t="n"/>
      <c r="AT48" s="62">
        <f>AS48-AR48</f>
        <v/>
      </c>
      <c r="AU48" s="64">
        <f>IF(AR48=0,"",AS48/AR48)</f>
        <v/>
      </c>
      <c r="AV48" s="31" t="n"/>
      <c r="AW48" s="60" t="n"/>
      <c r="AX48" s="60" t="n"/>
      <c r="AY48" s="60">
        <f>AX48-AW48</f>
        <v/>
      </c>
      <c r="AZ48" s="61">
        <f>IF(AW48=0,"",AX48/AW48)</f>
        <v/>
      </c>
      <c r="BA48" s="27" t="n"/>
      <c r="BB48" s="62" t="n"/>
      <c r="BC48" s="62" t="n"/>
      <c r="BD48" s="62">
        <f>BC48-BB48</f>
        <v/>
      </c>
      <c r="BE48" s="64">
        <f>IF(BB48=0,"",BC48/BB48)</f>
        <v/>
      </c>
      <c r="BF48" s="31" t="n"/>
      <c r="BG48" s="60" t="n"/>
      <c r="BH48" s="60" t="n"/>
      <c r="BI48" s="60">
        <f>BH48-BG48</f>
        <v/>
      </c>
      <c r="BJ48" s="61">
        <f>IF(BG48=0,"",BH48/BG48)</f>
        <v/>
      </c>
      <c r="BK48" s="27" t="n"/>
      <c r="BL48" s="62" t="n"/>
      <c r="BM48" s="62" t="n"/>
      <c r="BN48" s="62">
        <f>BM48-BL48</f>
        <v/>
      </c>
      <c r="BO48" s="64">
        <f>IF(BL48=0,"",BM48/BL48)</f>
        <v/>
      </c>
      <c r="BP48" s="31" t="n"/>
      <c r="BQ48" s="60" t="n"/>
      <c r="BR48" s="60" t="n"/>
      <c r="BS48" s="60">
        <f>BR48-BQ48</f>
        <v/>
      </c>
      <c r="BT48" s="61">
        <f>IF(BQ48=0,"",BR48/BQ48)</f>
        <v/>
      </c>
      <c r="BU48" s="27" t="n"/>
      <c r="BV48" s="62" t="n"/>
      <c r="BW48" s="62" t="n"/>
      <c r="BX48" s="62">
        <f>BW48-BV48</f>
        <v/>
      </c>
      <c r="BY48" s="64">
        <f>IF(BV48=0,"",BW48/BV48)</f>
        <v/>
      </c>
      <c r="BZ48" s="31" t="n"/>
      <c r="CA48" s="60" t="n"/>
      <c r="CB48" s="60" t="n"/>
      <c r="CC48" s="60">
        <f>CB48-CA48</f>
        <v/>
      </c>
      <c r="CD48" s="61">
        <f>IF(CA48=0,"",CB48/CA48)</f>
        <v/>
      </c>
      <c r="CE48" s="27" t="n"/>
      <c r="CF48" s="62" t="n"/>
      <c r="CG48" s="62" t="n"/>
      <c r="CH48" s="62">
        <f>CG48-CF48</f>
        <v/>
      </c>
      <c r="CI48" s="64">
        <f>IF(CF48=0,"",CG48/CF48)</f>
        <v/>
      </c>
      <c r="CJ48" s="31" t="n"/>
      <c r="CK48" s="60" t="n"/>
      <c r="CL48" s="60" t="n"/>
      <c r="CM48" s="60">
        <f>CL48-CK48</f>
        <v/>
      </c>
      <c r="CN48" s="61">
        <f>IF(CK48=0,"",CL48/CK48)</f>
        <v/>
      </c>
      <c r="CO48" s="27" t="n"/>
      <c r="CP48" s="62" t="n"/>
      <c r="CQ48" s="62" t="n"/>
      <c r="CR48" s="62">
        <f>CQ48-CP48</f>
        <v/>
      </c>
      <c r="CS48" s="64">
        <f>IF(CP48=0,"",CQ48/CP48)</f>
        <v/>
      </c>
      <c r="CT48" s="31" t="n"/>
      <c r="CU48" s="60" t="n"/>
      <c r="CV48" s="60" t="n"/>
      <c r="CW48" s="60">
        <f>CV48-CU48</f>
        <v/>
      </c>
      <c r="CX48" s="61">
        <f>IF(CU48=0,"",CV48/CU48)</f>
        <v/>
      </c>
      <c r="CY48" s="27" t="n"/>
      <c r="CZ48" s="62" t="n"/>
      <c r="DA48" s="62" t="n"/>
      <c r="DB48" s="62">
        <f>DA48-CZ48</f>
        <v/>
      </c>
      <c r="DC48" s="64">
        <f>IF(CZ48=0,"",DA48/CZ48)</f>
        <v/>
      </c>
      <c r="DD48" s="31" t="n"/>
      <c r="DE48" s="60" t="n"/>
      <c r="DF48" s="60" t="n"/>
      <c r="DG48" s="60">
        <f>DF48-DE48</f>
        <v/>
      </c>
      <c r="DH48" s="61">
        <f>IF(DE48=0,"",DF48/DE48)</f>
        <v/>
      </c>
      <c r="DI48" s="27" t="n"/>
      <c r="DJ48" s="62" t="n"/>
      <c r="DK48" s="62" t="n"/>
      <c r="DL48" s="62">
        <f>DK48-DJ48</f>
        <v/>
      </c>
      <c r="DM48" s="64">
        <f>IF(DJ48=0,"",DK48/DJ48)</f>
        <v/>
      </c>
      <c r="DN48" s="31" t="n"/>
      <c r="DO48" s="60" t="n"/>
    </row>
    <row r="49" ht="15" customHeight="1">
      <c r="A49" s="19" t="n"/>
      <c r="B49" s="20" t="n"/>
      <c r="C49" s="19" t="n"/>
      <c r="D49" s="58">
        <f>D50</f>
        <v/>
      </c>
      <c r="E49" s="58">
        <f>E50</f>
        <v/>
      </c>
      <c r="F49" s="58">
        <f>E49-D49</f>
        <v/>
      </c>
      <c r="G49" s="59">
        <f>IF(D49=0,"",E49/D49)</f>
        <v/>
      </c>
      <c r="H49" s="23" t="n"/>
      <c r="I49" s="58">
        <f>I50</f>
        <v/>
      </c>
      <c r="J49" s="58">
        <f>J50</f>
        <v/>
      </c>
      <c r="K49" s="58">
        <f>J49-I49</f>
        <v/>
      </c>
      <c r="L49" s="59">
        <f>IF(I49=0,"",J49/I49)</f>
        <v/>
      </c>
      <c r="M49" s="23" t="n"/>
      <c r="N49" s="58">
        <f>N50</f>
        <v/>
      </c>
      <c r="O49" s="58">
        <f>O50</f>
        <v/>
      </c>
      <c r="P49" s="58">
        <f>O49-N49</f>
        <v/>
      </c>
      <c r="Q49" s="59">
        <f>IF(N49=0,"",O49/N49)</f>
        <v/>
      </c>
      <c r="R49" s="23" t="n"/>
      <c r="S49" s="58">
        <f>S50</f>
        <v/>
      </c>
      <c r="T49" s="58">
        <f>T50</f>
        <v/>
      </c>
      <c r="U49" s="58">
        <f>T49-S49</f>
        <v/>
      </c>
      <c r="V49" s="59">
        <f>IF(S49=0,"",T49/S49)</f>
        <v/>
      </c>
      <c r="W49" s="23" t="n"/>
      <c r="X49" s="58">
        <f>X50</f>
        <v/>
      </c>
      <c r="Y49" s="58">
        <f>Y50</f>
        <v/>
      </c>
      <c r="Z49" s="58">
        <f>Y49-X49</f>
        <v/>
      </c>
      <c r="AA49" s="59">
        <f>IF(X49=0,"",Y49/X49)</f>
        <v/>
      </c>
      <c r="AB49" s="23" t="n"/>
      <c r="AC49" s="58">
        <f>AC50</f>
        <v/>
      </c>
      <c r="AD49" s="58">
        <f>AD50</f>
        <v/>
      </c>
      <c r="AE49" s="58">
        <f>AD49-AC49</f>
        <v/>
      </c>
      <c r="AF49" s="59">
        <f>IF(AC49=0,"",AD49/AC49)</f>
        <v/>
      </c>
      <c r="AG49" s="23" t="n"/>
      <c r="AH49" s="58">
        <f>AH50</f>
        <v/>
      </c>
      <c r="AI49" s="58">
        <f>AI50</f>
        <v/>
      </c>
      <c r="AJ49" s="58">
        <f>AI49-AH49</f>
        <v/>
      </c>
      <c r="AK49" s="59">
        <f>IF(AH49=0,"",AI49/AH49)</f>
        <v/>
      </c>
      <c r="AL49" s="23" t="n"/>
      <c r="AM49" s="58">
        <f>AM50</f>
        <v/>
      </c>
      <c r="AN49" s="58">
        <f>AN50</f>
        <v/>
      </c>
      <c r="AO49" s="58">
        <f>AN49-AM49</f>
        <v/>
      </c>
      <c r="AP49" s="59">
        <f>IF(AM49=0,"",AN49/AM49)</f>
        <v/>
      </c>
      <c r="AQ49" s="23" t="n"/>
      <c r="AR49" s="58">
        <f>AR50</f>
        <v/>
      </c>
      <c r="AS49" s="58">
        <f>AS50</f>
        <v/>
      </c>
      <c r="AT49" s="58">
        <f>AS49-AR49</f>
        <v/>
      </c>
      <c r="AU49" s="59">
        <f>IF(AR49=0,"",AS49/AR49)</f>
        <v/>
      </c>
      <c r="AV49" s="23" t="n"/>
      <c r="AW49" s="58">
        <f>AW50</f>
        <v/>
      </c>
      <c r="AX49" s="58">
        <f>AX50</f>
        <v/>
      </c>
      <c r="AY49" s="58">
        <f>AX49-AW49</f>
        <v/>
      </c>
      <c r="AZ49" s="59">
        <f>IF(AW49=0,"",AX49/AW49)</f>
        <v/>
      </c>
      <c r="BA49" s="23" t="n"/>
      <c r="BB49" s="58">
        <f>BB50</f>
        <v/>
      </c>
      <c r="BC49" s="58">
        <f>BC50</f>
        <v/>
      </c>
      <c r="BD49" s="58">
        <f>BC49-BB49</f>
        <v/>
      </c>
      <c r="BE49" s="59">
        <f>IF(BB49=0,"",BC49/BB49)</f>
        <v/>
      </c>
      <c r="BF49" s="23" t="n"/>
      <c r="BG49" s="58">
        <f>BG50</f>
        <v/>
      </c>
      <c r="BH49" s="58">
        <f>BH50</f>
        <v/>
      </c>
      <c r="BI49" s="58">
        <f>BH49-BG49</f>
        <v/>
      </c>
      <c r="BJ49" s="59">
        <f>IF(BG49=0,"",BH49/BG49)</f>
        <v/>
      </c>
      <c r="BK49" s="23" t="n"/>
      <c r="BL49" s="58">
        <f>BL50</f>
        <v/>
      </c>
      <c r="BM49" s="58">
        <f>BM50</f>
        <v/>
      </c>
      <c r="BN49" s="58">
        <f>BM49-BL49</f>
        <v/>
      </c>
      <c r="BO49" s="59">
        <f>IF(BL49=0,"",BM49/BL49)</f>
        <v/>
      </c>
      <c r="BP49" s="23" t="n"/>
      <c r="BQ49" s="58">
        <f>BQ50</f>
        <v/>
      </c>
      <c r="BR49" s="58">
        <f>BR50</f>
        <v/>
      </c>
      <c r="BS49" s="58">
        <f>BR49-BQ49</f>
        <v/>
      </c>
      <c r="BT49" s="59">
        <f>IF(BQ49=0,"",BR49/BQ49)</f>
        <v/>
      </c>
      <c r="BU49" s="23" t="n"/>
      <c r="BV49" s="58">
        <f>BV50</f>
        <v/>
      </c>
      <c r="BW49" s="58">
        <f>BW50</f>
        <v/>
      </c>
      <c r="BX49" s="58">
        <f>BW49-BV49</f>
        <v/>
      </c>
      <c r="BY49" s="59">
        <f>IF(BV49=0,"",BW49/BV49)</f>
        <v/>
      </c>
      <c r="BZ49" s="23" t="n"/>
      <c r="CA49" s="58">
        <f>CA50</f>
        <v/>
      </c>
      <c r="CB49" s="58">
        <f>CB50</f>
        <v/>
      </c>
      <c r="CC49" s="58">
        <f>CB49-CA49</f>
        <v/>
      </c>
      <c r="CD49" s="59">
        <f>IF(CA49=0,"",CB49/CA49)</f>
        <v/>
      </c>
      <c r="CE49" s="23" t="n"/>
      <c r="CF49" s="58">
        <f>CF50</f>
        <v/>
      </c>
      <c r="CG49" s="58">
        <f>CG50</f>
        <v/>
      </c>
      <c r="CH49" s="58">
        <f>CG49-CF49</f>
        <v/>
      </c>
      <c r="CI49" s="59">
        <f>IF(CF49=0,"",CG49/CF49)</f>
        <v/>
      </c>
      <c r="CJ49" s="23" t="n"/>
      <c r="CK49" s="58">
        <f>CK50</f>
        <v/>
      </c>
      <c r="CL49" s="58">
        <f>CL50</f>
        <v/>
      </c>
      <c r="CM49" s="58">
        <f>CL49-CK49</f>
        <v/>
      </c>
      <c r="CN49" s="59">
        <f>IF(CK49=0,"",CL49/CK49)</f>
        <v/>
      </c>
      <c r="CO49" s="23" t="n"/>
      <c r="CP49" s="58">
        <f>CP50</f>
        <v/>
      </c>
      <c r="CQ49" s="58">
        <f>CQ50</f>
        <v/>
      </c>
      <c r="CR49" s="58">
        <f>CQ49-CP49</f>
        <v/>
      </c>
      <c r="CS49" s="59">
        <f>IF(CP49=0,"",CQ49/CP49)</f>
        <v/>
      </c>
      <c r="CT49" s="23" t="n"/>
      <c r="CU49" s="58">
        <f>CU50</f>
        <v/>
      </c>
      <c r="CV49" s="58">
        <f>CV50</f>
        <v/>
      </c>
      <c r="CW49" s="58">
        <f>CV49-CU49</f>
        <v/>
      </c>
      <c r="CX49" s="59">
        <f>IF(CU49=0,"",CV49/CU49)</f>
        <v/>
      </c>
      <c r="CY49" s="23" t="n"/>
      <c r="CZ49" s="58">
        <f>CZ50</f>
        <v/>
      </c>
      <c r="DA49" s="58">
        <f>DA50</f>
        <v/>
      </c>
      <c r="DB49" s="58">
        <f>DA49-CZ49</f>
        <v/>
      </c>
      <c r="DC49" s="59">
        <f>IF(CZ49=0,"",DA49/CZ49)</f>
        <v/>
      </c>
      <c r="DD49" s="23" t="n"/>
      <c r="DE49" s="58">
        <f>DE50</f>
        <v/>
      </c>
      <c r="DF49" s="58">
        <f>DF50</f>
        <v/>
      </c>
      <c r="DG49" s="58">
        <f>DF49-DE49</f>
        <v/>
      </c>
      <c r="DH49" s="59">
        <f>IF(DE49=0,"",DF49/DE49)</f>
        <v/>
      </c>
      <c r="DI49" s="23" t="n"/>
      <c r="DJ49" s="58">
        <f>DJ50</f>
        <v/>
      </c>
      <c r="DK49" s="58">
        <f>DK50</f>
        <v/>
      </c>
      <c r="DL49" s="58">
        <f>DK49-DJ49</f>
        <v/>
      </c>
      <c r="DM49" s="59">
        <f>IF(DJ49=0,"",DK49/DJ49)</f>
        <v/>
      </c>
      <c r="DN49" s="23" t="n"/>
      <c r="DO49" s="58">
        <f>DO50</f>
        <v/>
      </c>
    </row>
    <row r="50" outlineLevel="1" ht="15" customHeight="1">
      <c r="A50" s="24" t="n"/>
      <c r="B50" s="24" t="n"/>
      <c r="C50" s="24" t="n"/>
      <c r="D50" s="60" t="n"/>
      <c r="E50" s="60" t="n"/>
      <c r="F50" s="60">
        <f>E50-D50</f>
        <v/>
      </c>
      <c r="G50" s="61">
        <f>IF(D50=0,"",E50/D50)</f>
        <v/>
      </c>
      <c r="H50" s="27" t="n"/>
      <c r="I50" s="60" t="n"/>
      <c r="J50" s="60" t="n"/>
      <c r="K50" s="60">
        <f>J50-I50</f>
        <v/>
      </c>
      <c r="L50" s="61">
        <f>IF(I50=0,"",J50/I50)</f>
        <v/>
      </c>
      <c r="M50" s="27" t="n"/>
      <c r="N50" s="62" t="n"/>
      <c r="O50" s="62" t="n"/>
      <c r="P50" s="63">
        <f>O50-N50</f>
        <v/>
      </c>
      <c r="Q50" s="64">
        <f>IF(N50=0,"",O50/N50)</f>
        <v/>
      </c>
      <c r="R50" s="31" t="n"/>
      <c r="S50" s="60" t="n"/>
      <c r="T50" s="60" t="n"/>
      <c r="U50" s="60">
        <f>T50-S50</f>
        <v/>
      </c>
      <c r="V50" s="61">
        <f>IF(S50=0,"",T50/S50)</f>
        <v/>
      </c>
      <c r="W50" s="27" t="n"/>
      <c r="X50" s="62" t="n"/>
      <c r="Y50" s="62" t="n"/>
      <c r="Z50" s="63">
        <f>Y50-X50</f>
        <v/>
      </c>
      <c r="AA50" s="64">
        <f>IF(X50=0,"",Y50/X50)</f>
        <v/>
      </c>
      <c r="AB50" s="31" t="n"/>
      <c r="AC50" s="60" t="n"/>
      <c r="AD50" s="60" t="n"/>
      <c r="AE50" s="60">
        <f>AD50-AC50</f>
        <v/>
      </c>
      <c r="AF50" s="61">
        <f>IF(AC50=0,"",AD50/AC50)</f>
        <v/>
      </c>
      <c r="AG50" s="27" t="n"/>
      <c r="AH50" s="62" t="n"/>
      <c r="AI50" s="62" t="n"/>
      <c r="AJ50" s="62">
        <f>AI50-AH50</f>
        <v/>
      </c>
      <c r="AK50" s="64">
        <f>IF(AH50=0,"",AI50/AH50)</f>
        <v/>
      </c>
      <c r="AL50" s="31" t="n"/>
      <c r="AM50" s="60" t="n"/>
      <c r="AN50" s="60" t="n"/>
      <c r="AO50" s="60">
        <f>AN50-AM50</f>
        <v/>
      </c>
      <c r="AP50" s="61">
        <f>IF(AM50=0,"",AN50/AM50)</f>
        <v/>
      </c>
      <c r="AQ50" s="27" t="n"/>
      <c r="AR50" s="62" t="n"/>
      <c r="AS50" s="62" t="n"/>
      <c r="AT50" s="62">
        <f>AS50-AR50</f>
        <v/>
      </c>
      <c r="AU50" s="64">
        <f>IF(AR50=0,"",AS50/AR50)</f>
        <v/>
      </c>
      <c r="AV50" s="31" t="n"/>
      <c r="AW50" s="60" t="n"/>
      <c r="AX50" s="60" t="n"/>
      <c r="AY50" s="60">
        <f>AX50-AW50</f>
        <v/>
      </c>
      <c r="AZ50" s="61">
        <f>IF(AW50=0,"",AX50/AW50)</f>
        <v/>
      </c>
      <c r="BA50" s="27" t="n"/>
      <c r="BB50" s="62" t="n"/>
      <c r="BC50" s="62" t="n"/>
      <c r="BD50" s="62">
        <f>BC50-BB50</f>
        <v/>
      </c>
      <c r="BE50" s="64">
        <f>IF(BB50=0,"",BC50/BB50)</f>
        <v/>
      </c>
      <c r="BF50" s="31" t="n"/>
      <c r="BG50" s="60" t="n"/>
      <c r="BH50" s="60" t="n"/>
      <c r="BI50" s="60">
        <f>BH50-BG50</f>
        <v/>
      </c>
      <c r="BJ50" s="61">
        <f>IF(BG50=0,"",BH50/BG50)</f>
        <v/>
      </c>
      <c r="BK50" s="27" t="n"/>
      <c r="BL50" s="62" t="n"/>
      <c r="BM50" s="62" t="n"/>
      <c r="BN50" s="62">
        <f>BM50-BL50</f>
        <v/>
      </c>
      <c r="BO50" s="64">
        <f>IF(BL50=0,"",BM50/BL50)</f>
        <v/>
      </c>
      <c r="BP50" s="31" t="n"/>
      <c r="BQ50" s="60" t="n"/>
      <c r="BR50" s="60" t="n"/>
      <c r="BS50" s="60">
        <f>BR50-BQ50</f>
        <v/>
      </c>
      <c r="BT50" s="61">
        <f>IF(BQ50=0,"",BR50/BQ50)</f>
        <v/>
      </c>
      <c r="BU50" s="27" t="n"/>
      <c r="BV50" s="62" t="n"/>
      <c r="BW50" s="62" t="n"/>
      <c r="BX50" s="62">
        <f>BW50-BV50</f>
        <v/>
      </c>
      <c r="BY50" s="64">
        <f>IF(BV50=0,"",BW50/BV50)</f>
        <v/>
      </c>
      <c r="BZ50" s="31" t="n"/>
      <c r="CA50" s="60" t="n"/>
      <c r="CB50" s="60" t="n"/>
      <c r="CC50" s="60">
        <f>CB50-CA50</f>
        <v/>
      </c>
      <c r="CD50" s="61">
        <f>IF(CA50=0,"",CB50/CA50)</f>
        <v/>
      </c>
      <c r="CE50" s="27" t="n"/>
      <c r="CF50" s="62" t="n"/>
      <c r="CG50" s="62" t="n"/>
      <c r="CH50" s="62">
        <f>CG50-CF50</f>
        <v/>
      </c>
      <c r="CI50" s="64">
        <f>IF(CF50=0,"",CG50/CF50)</f>
        <v/>
      </c>
      <c r="CJ50" s="31" t="n"/>
      <c r="CK50" s="60" t="n"/>
      <c r="CL50" s="60" t="n"/>
      <c r="CM50" s="60">
        <f>CL50-CK50</f>
        <v/>
      </c>
      <c r="CN50" s="61">
        <f>IF(CK50=0,"",CL50/CK50)</f>
        <v/>
      </c>
      <c r="CO50" s="27" t="n"/>
      <c r="CP50" s="62" t="n"/>
      <c r="CQ50" s="62" t="n"/>
      <c r="CR50" s="62">
        <f>CQ50-CP50</f>
        <v/>
      </c>
      <c r="CS50" s="64">
        <f>IF(CP50=0,"",CQ50/CP50)</f>
        <v/>
      </c>
      <c r="CT50" s="31" t="n"/>
      <c r="CU50" s="60" t="n"/>
      <c r="CV50" s="60" t="n"/>
      <c r="CW50" s="60">
        <f>CV50-CU50</f>
        <v/>
      </c>
      <c r="CX50" s="61">
        <f>IF(CU50=0,"",CV50/CU50)</f>
        <v/>
      </c>
      <c r="CY50" s="27" t="n"/>
      <c r="CZ50" s="62" t="n"/>
      <c r="DA50" s="62" t="n"/>
      <c r="DB50" s="62">
        <f>DA50-CZ50</f>
        <v/>
      </c>
      <c r="DC50" s="64">
        <f>IF(CZ50=0,"",DA50/CZ50)</f>
        <v/>
      </c>
      <c r="DD50" s="31" t="n"/>
      <c r="DE50" s="60" t="n"/>
      <c r="DF50" s="60" t="n"/>
      <c r="DG50" s="60">
        <f>DF50-DE50</f>
        <v/>
      </c>
      <c r="DH50" s="61">
        <f>IF(DE50=0,"",DF50/DE50)</f>
        <v/>
      </c>
      <c r="DI50" s="27" t="n"/>
      <c r="DJ50" s="62" t="n"/>
      <c r="DK50" s="62" t="n"/>
      <c r="DL50" s="62">
        <f>DK50-DJ50</f>
        <v/>
      </c>
      <c r="DM50" s="64">
        <f>IF(DJ50=0,"",DK50/DJ50)</f>
        <v/>
      </c>
      <c r="DN50" s="31" t="n"/>
      <c r="DO50" s="60" t="n"/>
    </row>
    <row r="51" ht="15" customHeight="1">
      <c r="A51" s="19" t="n"/>
      <c r="B51" s="20" t="n"/>
      <c r="C51" s="19" t="n"/>
      <c r="D51" s="58">
        <f>D52</f>
        <v/>
      </c>
      <c r="E51" s="58">
        <f>E52</f>
        <v/>
      </c>
      <c r="F51" s="58">
        <f>E51-D51</f>
        <v/>
      </c>
      <c r="G51" s="59">
        <f>IF(D51=0,"",E51/D51)</f>
        <v/>
      </c>
      <c r="H51" s="23" t="n"/>
      <c r="I51" s="58">
        <f>I52</f>
        <v/>
      </c>
      <c r="J51" s="58">
        <f>J52</f>
        <v/>
      </c>
      <c r="K51" s="58">
        <f>J51-I51</f>
        <v/>
      </c>
      <c r="L51" s="59">
        <f>IF(I51=0,"",J51/I51)</f>
        <v/>
      </c>
      <c r="M51" s="23" t="n"/>
      <c r="N51" s="58">
        <f>N52</f>
        <v/>
      </c>
      <c r="O51" s="58">
        <f>O52</f>
        <v/>
      </c>
      <c r="P51" s="58">
        <f>O51-N51</f>
        <v/>
      </c>
      <c r="Q51" s="59">
        <f>IF(N51=0,"",O51/N51)</f>
        <v/>
      </c>
      <c r="R51" s="23" t="n"/>
      <c r="S51" s="58">
        <f>S52</f>
        <v/>
      </c>
      <c r="T51" s="58">
        <f>T52</f>
        <v/>
      </c>
      <c r="U51" s="58">
        <f>T51-S51</f>
        <v/>
      </c>
      <c r="V51" s="59">
        <f>IF(S51=0,"",T51/S51)</f>
        <v/>
      </c>
      <c r="W51" s="23" t="n"/>
      <c r="X51" s="58">
        <f>X52</f>
        <v/>
      </c>
      <c r="Y51" s="58">
        <f>Y52</f>
        <v/>
      </c>
      <c r="Z51" s="58">
        <f>Y51-X51</f>
        <v/>
      </c>
      <c r="AA51" s="59">
        <f>IF(X51=0,"",Y51/X51)</f>
        <v/>
      </c>
      <c r="AB51" s="23" t="n"/>
      <c r="AC51" s="58">
        <f>AC52</f>
        <v/>
      </c>
      <c r="AD51" s="58">
        <f>AD52</f>
        <v/>
      </c>
      <c r="AE51" s="58">
        <f>AD51-AC51</f>
        <v/>
      </c>
      <c r="AF51" s="59">
        <f>IF(AC51=0,"",AD51/AC51)</f>
        <v/>
      </c>
      <c r="AG51" s="23" t="n"/>
      <c r="AH51" s="58">
        <f>AH52</f>
        <v/>
      </c>
      <c r="AI51" s="58">
        <f>AI52</f>
        <v/>
      </c>
      <c r="AJ51" s="58">
        <f>AI51-AH51</f>
        <v/>
      </c>
      <c r="AK51" s="59">
        <f>IF(AH51=0,"",AI51/AH51)</f>
        <v/>
      </c>
      <c r="AL51" s="23" t="n"/>
      <c r="AM51" s="58">
        <f>AM52</f>
        <v/>
      </c>
      <c r="AN51" s="58">
        <f>AN52</f>
        <v/>
      </c>
      <c r="AO51" s="58">
        <f>AN51-AM51</f>
        <v/>
      </c>
      <c r="AP51" s="59">
        <f>IF(AM51=0,"",AN51/AM51)</f>
        <v/>
      </c>
      <c r="AQ51" s="23" t="n"/>
      <c r="AR51" s="58">
        <f>AR52</f>
        <v/>
      </c>
      <c r="AS51" s="58">
        <f>AS52</f>
        <v/>
      </c>
      <c r="AT51" s="58">
        <f>AS51-AR51</f>
        <v/>
      </c>
      <c r="AU51" s="59">
        <f>IF(AR51=0,"",AS51/AR51)</f>
        <v/>
      </c>
      <c r="AV51" s="23" t="n"/>
      <c r="AW51" s="58">
        <f>AW52</f>
        <v/>
      </c>
      <c r="AX51" s="58">
        <f>AX52</f>
        <v/>
      </c>
      <c r="AY51" s="58">
        <f>AX51-AW51</f>
        <v/>
      </c>
      <c r="AZ51" s="59">
        <f>IF(AW51=0,"",AX51/AW51)</f>
        <v/>
      </c>
      <c r="BA51" s="23" t="n"/>
      <c r="BB51" s="58">
        <f>BB52</f>
        <v/>
      </c>
      <c r="BC51" s="58">
        <f>BC52</f>
        <v/>
      </c>
      <c r="BD51" s="58">
        <f>BC51-BB51</f>
        <v/>
      </c>
      <c r="BE51" s="59">
        <f>IF(BB51=0,"",BC51/BB51)</f>
        <v/>
      </c>
      <c r="BF51" s="23" t="n"/>
      <c r="BG51" s="58">
        <f>BG52</f>
        <v/>
      </c>
      <c r="BH51" s="58">
        <f>BH52</f>
        <v/>
      </c>
      <c r="BI51" s="58">
        <f>BH51-BG51</f>
        <v/>
      </c>
      <c r="BJ51" s="59">
        <f>IF(BG51=0,"",BH51/BG51)</f>
        <v/>
      </c>
      <c r="BK51" s="23" t="n"/>
      <c r="BL51" s="58">
        <f>BL52</f>
        <v/>
      </c>
      <c r="BM51" s="58">
        <f>BM52</f>
        <v/>
      </c>
      <c r="BN51" s="58">
        <f>BM51-BL51</f>
        <v/>
      </c>
      <c r="BO51" s="59">
        <f>IF(BL51=0,"",BM51/BL51)</f>
        <v/>
      </c>
      <c r="BP51" s="23" t="n"/>
      <c r="BQ51" s="58">
        <f>BQ52</f>
        <v/>
      </c>
      <c r="BR51" s="58">
        <f>BR52</f>
        <v/>
      </c>
      <c r="BS51" s="58">
        <f>BR51-BQ51</f>
        <v/>
      </c>
      <c r="BT51" s="59">
        <f>IF(BQ51=0,"",BR51/BQ51)</f>
        <v/>
      </c>
      <c r="BU51" s="23" t="n"/>
      <c r="BV51" s="58">
        <f>BV52</f>
        <v/>
      </c>
      <c r="BW51" s="58">
        <f>BW52</f>
        <v/>
      </c>
      <c r="BX51" s="58">
        <f>BW51-BV51</f>
        <v/>
      </c>
      <c r="BY51" s="59">
        <f>IF(BV51=0,"",BW51/BV51)</f>
        <v/>
      </c>
      <c r="BZ51" s="23" t="n"/>
      <c r="CA51" s="58">
        <f>CA52</f>
        <v/>
      </c>
      <c r="CB51" s="58">
        <f>CB52</f>
        <v/>
      </c>
      <c r="CC51" s="58">
        <f>CB51-CA51</f>
        <v/>
      </c>
      <c r="CD51" s="59">
        <f>IF(CA51=0,"",CB51/CA51)</f>
        <v/>
      </c>
      <c r="CE51" s="23" t="n"/>
      <c r="CF51" s="58">
        <f>CF52</f>
        <v/>
      </c>
      <c r="CG51" s="58">
        <f>CG52</f>
        <v/>
      </c>
      <c r="CH51" s="58">
        <f>CG51-CF51</f>
        <v/>
      </c>
      <c r="CI51" s="59">
        <f>IF(CF51=0,"",CG51/CF51)</f>
        <v/>
      </c>
      <c r="CJ51" s="23" t="n"/>
      <c r="CK51" s="58">
        <f>CK52</f>
        <v/>
      </c>
      <c r="CL51" s="58">
        <f>CL52</f>
        <v/>
      </c>
      <c r="CM51" s="58">
        <f>CL51-CK51</f>
        <v/>
      </c>
      <c r="CN51" s="59">
        <f>IF(CK51=0,"",CL51/CK51)</f>
        <v/>
      </c>
      <c r="CO51" s="23" t="n"/>
      <c r="CP51" s="58">
        <f>CP52</f>
        <v/>
      </c>
      <c r="CQ51" s="58">
        <f>CQ52</f>
        <v/>
      </c>
      <c r="CR51" s="58">
        <f>CQ51-CP51</f>
        <v/>
      </c>
      <c r="CS51" s="59">
        <f>IF(CP51=0,"",CQ51/CP51)</f>
        <v/>
      </c>
      <c r="CT51" s="23" t="n"/>
      <c r="CU51" s="58">
        <f>CU52</f>
        <v/>
      </c>
      <c r="CV51" s="58">
        <f>CV52</f>
        <v/>
      </c>
      <c r="CW51" s="58">
        <f>CV51-CU51</f>
        <v/>
      </c>
      <c r="CX51" s="59">
        <f>IF(CU51=0,"",CV51/CU51)</f>
        <v/>
      </c>
      <c r="CY51" s="23" t="n"/>
      <c r="CZ51" s="58">
        <f>CZ52</f>
        <v/>
      </c>
      <c r="DA51" s="58">
        <f>DA52</f>
        <v/>
      </c>
      <c r="DB51" s="58">
        <f>DA51-CZ51</f>
        <v/>
      </c>
      <c r="DC51" s="59">
        <f>IF(CZ51=0,"",DA51/CZ51)</f>
        <v/>
      </c>
      <c r="DD51" s="23" t="n"/>
      <c r="DE51" s="58">
        <f>DE52</f>
        <v/>
      </c>
      <c r="DF51" s="58">
        <f>DF52</f>
        <v/>
      </c>
      <c r="DG51" s="58">
        <f>DF51-DE51</f>
        <v/>
      </c>
      <c r="DH51" s="59">
        <f>IF(DE51=0,"",DF51/DE51)</f>
        <v/>
      </c>
      <c r="DI51" s="23" t="n"/>
      <c r="DJ51" s="58">
        <f>DJ52</f>
        <v/>
      </c>
      <c r="DK51" s="58">
        <f>DK52</f>
        <v/>
      </c>
      <c r="DL51" s="58">
        <f>DK51-DJ51</f>
        <v/>
      </c>
      <c r="DM51" s="59">
        <f>IF(DJ51=0,"",DK51/DJ51)</f>
        <v/>
      </c>
      <c r="DN51" s="23" t="n"/>
      <c r="DO51" s="58">
        <f>DO52</f>
        <v/>
      </c>
    </row>
    <row r="52" outlineLevel="1" ht="15" customHeight="1">
      <c r="A52" s="24" t="n"/>
      <c r="B52" s="24" t="n"/>
      <c r="C52" s="24" t="n"/>
      <c r="D52" s="60" t="n"/>
      <c r="E52" s="60" t="n"/>
      <c r="F52" s="60">
        <f>E52-D52</f>
        <v/>
      </c>
      <c r="G52" s="61">
        <f>IF(D52=0,"",E52/D52)</f>
        <v/>
      </c>
      <c r="H52" s="27" t="n"/>
      <c r="I52" s="60" t="n"/>
      <c r="J52" s="60" t="n"/>
      <c r="K52" s="60">
        <f>J52-I52</f>
        <v/>
      </c>
      <c r="L52" s="61">
        <f>IF(I52=0,"",J52/I52)</f>
        <v/>
      </c>
      <c r="M52" s="27" t="n"/>
      <c r="N52" s="62" t="n"/>
      <c r="O52" s="62" t="n"/>
      <c r="P52" s="63">
        <f>O52-N52</f>
        <v/>
      </c>
      <c r="Q52" s="64">
        <f>IF(N52=0,"",O52/N52)</f>
        <v/>
      </c>
      <c r="R52" s="31" t="n"/>
      <c r="S52" s="60" t="n"/>
      <c r="T52" s="60" t="n"/>
      <c r="U52" s="60">
        <f>T52-S52</f>
        <v/>
      </c>
      <c r="V52" s="61">
        <f>IF(S52=0,"",T52/S52)</f>
        <v/>
      </c>
      <c r="W52" s="27" t="n"/>
      <c r="X52" s="62" t="n"/>
      <c r="Y52" s="62" t="n"/>
      <c r="Z52" s="63">
        <f>Y52-X52</f>
        <v/>
      </c>
      <c r="AA52" s="64">
        <f>IF(X52=0,"",Y52/X52)</f>
        <v/>
      </c>
      <c r="AB52" s="31" t="n"/>
      <c r="AC52" s="60" t="n"/>
      <c r="AD52" s="60" t="n"/>
      <c r="AE52" s="60">
        <f>AD52-AC52</f>
        <v/>
      </c>
      <c r="AF52" s="61">
        <f>IF(AC52=0,"",AD52/AC52)</f>
        <v/>
      </c>
      <c r="AG52" s="27" t="n"/>
      <c r="AH52" s="62" t="n"/>
      <c r="AI52" s="62" t="n"/>
      <c r="AJ52" s="62">
        <f>AI52-AH52</f>
        <v/>
      </c>
      <c r="AK52" s="64">
        <f>IF(AH52=0,"",AI52/AH52)</f>
        <v/>
      </c>
      <c r="AL52" s="31" t="n"/>
      <c r="AM52" s="60" t="n"/>
      <c r="AN52" s="60" t="n"/>
      <c r="AO52" s="60">
        <f>AN52-AM52</f>
        <v/>
      </c>
      <c r="AP52" s="61">
        <f>IF(AM52=0,"",AN52/AM52)</f>
        <v/>
      </c>
      <c r="AQ52" s="27" t="n"/>
      <c r="AR52" s="62" t="n"/>
      <c r="AS52" s="62" t="n"/>
      <c r="AT52" s="62">
        <f>AS52-AR52</f>
        <v/>
      </c>
      <c r="AU52" s="64">
        <f>IF(AR52=0,"",AS52/AR52)</f>
        <v/>
      </c>
      <c r="AV52" s="31" t="n"/>
      <c r="AW52" s="60" t="n"/>
      <c r="AX52" s="60" t="n"/>
      <c r="AY52" s="60">
        <f>AX52-AW52</f>
        <v/>
      </c>
      <c r="AZ52" s="61">
        <f>IF(AW52=0,"",AX52/AW52)</f>
        <v/>
      </c>
      <c r="BA52" s="27" t="n"/>
      <c r="BB52" s="62" t="n"/>
      <c r="BC52" s="62" t="n"/>
      <c r="BD52" s="62">
        <f>BC52-BB52</f>
        <v/>
      </c>
      <c r="BE52" s="64">
        <f>IF(BB52=0,"",BC52/BB52)</f>
        <v/>
      </c>
      <c r="BF52" s="31" t="n"/>
      <c r="BG52" s="60" t="n"/>
      <c r="BH52" s="60" t="n"/>
      <c r="BI52" s="60">
        <f>BH52-BG52</f>
        <v/>
      </c>
      <c r="BJ52" s="61">
        <f>IF(BG52=0,"",BH52/BG52)</f>
        <v/>
      </c>
      <c r="BK52" s="27" t="n"/>
      <c r="BL52" s="62" t="n"/>
      <c r="BM52" s="62" t="n"/>
      <c r="BN52" s="62">
        <f>BM52-BL52</f>
        <v/>
      </c>
      <c r="BO52" s="64">
        <f>IF(BL52=0,"",BM52/BL52)</f>
        <v/>
      </c>
      <c r="BP52" s="31" t="n"/>
      <c r="BQ52" s="60" t="n"/>
      <c r="BR52" s="60" t="n"/>
      <c r="BS52" s="60">
        <f>BR52-BQ52</f>
        <v/>
      </c>
      <c r="BT52" s="61">
        <f>IF(BQ52=0,"",BR52/BQ52)</f>
        <v/>
      </c>
      <c r="BU52" s="27" t="n"/>
      <c r="BV52" s="62" t="n"/>
      <c r="BW52" s="62" t="n"/>
      <c r="BX52" s="62">
        <f>BW52-BV52</f>
        <v/>
      </c>
      <c r="BY52" s="64">
        <f>IF(BV52=0,"",BW52/BV52)</f>
        <v/>
      </c>
      <c r="BZ52" s="31" t="n"/>
      <c r="CA52" s="60" t="n"/>
      <c r="CB52" s="60" t="n"/>
      <c r="CC52" s="60">
        <f>CB52-CA52</f>
        <v/>
      </c>
      <c r="CD52" s="61">
        <f>IF(CA52=0,"",CB52/CA52)</f>
        <v/>
      </c>
      <c r="CE52" s="27" t="n"/>
      <c r="CF52" s="62" t="n"/>
      <c r="CG52" s="62" t="n"/>
      <c r="CH52" s="62">
        <f>CG52-CF52</f>
        <v/>
      </c>
      <c r="CI52" s="64">
        <f>IF(CF52=0,"",CG52/CF52)</f>
        <v/>
      </c>
      <c r="CJ52" s="31" t="n"/>
      <c r="CK52" s="60" t="n"/>
      <c r="CL52" s="60" t="n"/>
      <c r="CM52" s="60">
        <f>CL52-CK52</f>
        <v/>
      </c>
      <c r="CN52" s="61">
        <f>IF(CK52=0,"",CL52/CK52)</f>
        <v/>
      </c>
      <c r="CO52" s="27" t="n"/>
      <c r="CP52" s="62" t="n"/>
      <c r="CQ52" s="62" t="n"/>
      <c r="CR52" s="62">
        <f>CQ52-CP52</f>
        <v/>
      </c>
      <c r="CS52" s="64">
        <f>IF(CP52=0,"",CQ52/CP52)</f>
        <v/>
      </c>
      <c r="CT52" s="31" t="n"/>
      <c r="CU52" s="60" t="n"/>
      <c r="CV52" s="60" t="n"/>
      <c r="CW52" s="60">
        <f>CV52-CU52</f>
        <v/>
      </c>
      <c r="CX52" s="61">
        <f>IF(CU52=0,"",CV52/CU52)</f>
        <v/>
      </c>
      <c r="CY52" s="27" t="n"/>
      <c r="CZ52" s="62" t="n"/>
      <c r="DA52" s="62" t="n"/>
      <c r="DB52" s="62">
        <f>DA52-CZ52</f>
        <v/>
      </c>
      <c r="DC52" s="64">
        <f>IF(CZ52=0,"",DA52/CZ52)</f>
        <v/>
      </c>
      <c r="DD52" s="31" t="n"/>
      <c r="DE52" s="60" t="n"/>
      <c r="DF52" s="60" t="n"/>
      <c r="DG52" s="60">
        <f>DF52-DE52</f>
        <v/>
      </c>
      <c r="DH52" s="61">
        <f>IF(DE52=0,"",DF52/DE52)</f>
        <v/>
      </c>
      <c r="DI52" s="27" t="n"/>
      <c r="DJ52" s="62" t="n"/>
      <c r="DK52" s="62" t="n"/>
      <c r="DL52" s="62">
        <f>DK52-DJ52</f>
        <v/>
      </c>
      <c r="DM52" s="64">
        <f>IF(DJ52=0,"",DK52/DJ52)</f>
        <v/>
      </c>
      <c r="DN52" s="31" t="n"/>
      <c r="DO52" s="60" t="n"/>
    </row>
    <row r="53" ht="15" customHeight="1">
      <c r="A53" s="19" t="n"/>
      <c r="B53" s="20" t="n"/>
      <c r="C53" s="19" t="n"/>
      <c r="D53" s="58">
        <f>D54</f>
        <v/>
      </c>
      <c r="E53" s="58">
        <f>E54</f>
        <v/>
      </c>
      <c r="F53" s="58">
        <f>E53-D53</f>
        <v/>
      </c>
      <c r="G53" s="59">
        <f>IF(D53=0,"",E53/D53)</f>
        <v/>
      </c>
      <c r="H53" s="23" t="n"/>
      <c r="I53" s="58">
        <f>I54</f>
        <v/>
      </c>
      <c r="J53" s="58">
        <f>J54</f>
        <v/>
      </c>
      <c r="K53" s="58">
        <f>J53-I53</f>
        <v/>
      </c>
      <c r="L53" s="59">
        <f>IF(I53=0,"",J53/I53)</f>
        <v/>
      </c>
      <c r="M53" s="23" t="n"/>
      <c r="N53" s="58">
        <f>N54</f>
        <v/>
      </c>
      <c r="O53" s="58">
        <f>O54</f>
        <v/>
      </c>
      <c r="P53" s="58">
        <f>O53-N53</f>
        <v/>
      </c>
      <c r="Q53" s="59">
        <f>IF(N53=0,"",O53/N53)</f>
        <v/>
      </c>
      <c r="R53" s="23" t="n"/>
      <c r="S53" s="58">
        <f>S54</f>
        <v/>
      </c>
      <c r="T53" s="58">
        <f>T54</f>
        <v/>
      </c>
      <c r="U53" s="58">
        <f>T53-S53</f>
        <v/>
      </c>
      <c r="V53" s="59">
        <f>IF(S53=0,"",T53/S53)</f>
        <v/>
      </c>
      <c r="W53" s="23" t="n"/>
      <c r="X53" s="58">
        <f>X54</f>
        <v/>
      </c>
      <c r="Y53" s="58">
        <f>Y54</f>
        <v/>
      </c>
      <c r="Z53" s="58">
        <f>Y53-X53</f>
        <v/>
      </c>
      <c r="AA53" s="59">
        <f>IF(X53=0,"",Y53/X53)</f>
        <v/>
      </c>
      <c r="AB53" s="23" t="n"/>
      <c r="AC53" s="58">
        <f>AC54</f>
        <v/>
      </c>
      <c r="AD53" s="58">
        <f>AD54</f>
        <v/>
      </c>
      <c r="AE53" s="58">
        <f>AD53-AC53</f>
        <v/>
      </c>
      <c r="AF53" s="59">
        <f>IF(AC53=0,"",AD53/AC53)</f>
        <v/>
      </c>
      <c r="AG53" s="23" t="n"/>
      <c r="AH53" s="58">
        <f>AH54</f>
        <v/>
      </c>
      <c r="AI53" s="58">
        <f>AI54</f>
        <v/>
      </c>
      <c r="AJ53" s="58">
        <f>AI53-AH53</f>
        <v/>
      </c>
      <c r="AK53" s="59">
        <f>IF(AH53=0,"",AI53/AH53)</f>
        <v/>
      </c>
      <c r="AL53" s="23" t="n"/>
      <c r="AM53" s="58">
        <f>AM54</f>
        <v/>
      </c>
      <c r="AN53" s="58">
        <f>AN54</f>
        <v/>
      </c>
      <c r="AO53" s="58">
        <f>AN53-AM53</f>
        <v/>
      </c>
      <c r="AP53" s="59">
        <f>IF(AM53=0,"",AN53/AM53)</f>
        <v/>
      </c>
      <c r="AQ53" s="23" t="n"/>
      <c r="AR53" s="58">
        <f>AR54</f>
        <v/>
      </c>
      <c r="AS53" s="58">
        <f>AS54</f>
        <v/>
      </c>
      <c r="AT53" s="58">
        <f>AS53-AR53</f>
        <v/>
      </c>
      <c r="AU53" s="59">
        <f>IF(AR53=0,"",AS53/AR53)</f>
        <v/>
      </c>
      <c r="AV53" s="23" t="n"/>
      <c r="AW53" s="58">
        <f>AW54</f>
        <v/>
      </c>
      <c r="AX53" s="58">
        <f>AX54</f>
        <v/>
      </c>
      <c r="AY53" s="58">
        <f>AX53-AW53</f>
        <v/>
      </c>
      <c r="AZ53" s="59">
        <f>IF(AW53=0,"",AX53/AW53)</f>
        <v/>
      </c>
      <c r="BA53" s="23" t="n"/>
      <c r="BB53" s="58">
        <f>BB54</f>
        <v/>
      </c>
      <c r="BC53" s="58">
        <f>BC54</f>
        <v/>
      </c>
      <c r="BD53" s="58">
        <f>BC53-BB53</f>
        <v/>
      </c>
      <c r="BE53" s="59">
        <f>IF(BB53=0,"",BC53/BB53)</f>
        <v/>
      </c>
      <c r="BF53" s="23" t="n"/>
      <c r="BG53" s="58">
        <f>BG54</f>
        <v/>
      </c>
      <c r="BH53" s="58">
        <f>BH54</f>
        <v/>
      </c>
      <c r="BI53" s="58">
        <f>BH53-BG53</f>
        <v/>
      </c>
      <c r="BJ53" s="59">
        <f>IF(BG53=0,"",BH53/BG53)</f>
        <v/>
      </c>
      <c r="BK53" s="23" t="n"/>
      <c r="BL53" s="58">
        <f>BL54</f>
        <v/>
      </c>
      <c r="BM53" s="58">
        <f>BM54</f>
        <v/>
      </c>
      <c r="BN53" s="58">
        <f>BM53-BL53</f>
        <v/>
      </c>
      <c r="BO53" s="59">
        <f>IF(BL53=0,"",BM53/BL53)</f>
        <v/>
      </c>
      <c r="BP53" s="23" t="n"/>
      <c r="BQ53" s="58">
        <f>BQ54</f>
        <v/>
      </c>
      <c r="BR53" s="58">
        <f>BR54</f>
        <v/>
      </c>
      <c r="BS53" s="58">
        <f>BR53-BQ53</f>
        <v/>
      </c>
      <c r="BT53" s="59">
        <f>IF(BQ53=0,"",BR53/BQ53)</f>
        <v/>
      </c>
      <c r="BU53" s="23" t="n"/>
      <c r="BV53" s="58">
        <f>BV54</f>
        <v/>
      </c>
      <c r="BW53" s="58">
        <f>BW54</f>
        <v/>
      </c>
      <c r="BX53" s="58">
        <f>BW53-BV53</f>
        <v/>
      </c>
      <c r="BY53" s="59">
        <f>IF(BV53=0,"",BW53/BV53)</f>
        <v/>
      </c>
      <c r="BZ53" s="23" t="n"/>
      <c r="CA53" s="58">
        <f>CA54</f>
        <v/>
      </c>
      <c r="CB53" s="58">
        <f>CB54</f>
        <v/>
      </c>
      <c r="CC53" s="58">
        <f>CB53-CA53</f>
        <v/>
      </c>
      <c r="CD53" s="59">
        <f>IF(CA53=0,"",CB53/CA53)</f>
        <v/>
      </c>
      <c r="CE53" s="23" t="n"/>
      <c r="CF53" s="58">
        <f>CF54</f>
        <v/>
      </c>
      <c r="CG53" s="58">
        <f>CG54</f>
        <v/>
      </c>
      <c r="CH53" s="58">
        <f>CG53-CF53</f>
        <v/>
      </c>
      <c r="CI53" s="59">
        <f>IF(CF53=0,"",CG53/CF53)</f>
        <v/>
      </c>
      <c r="CJ53" s="23" t="n"/>
      <c r="CK53" s="58">
        <f>CK54</f>
        <v/>
      </c>
      <c r="CL53" s="58">
        <f>CL54</f>
        <v/>
      </c>
      <c r="CM53" s="58">
        <f>CL53-CK53</f>
        <v/>
      </c>
      <c r="CN53" s="59">
        <f>IF(CK53=0,"",CL53/CK53)</f>
        <v/>
      </c>
      <c r="CO53" s="23" t="n"/>
      <c r="CP53" s="58">
        <f>CP54</f>
        <v/>
      </c>
      <c r="CQ53" s="58">
        <f>CQ54</f>
        <v/>
      </c>
      <c r="CR53" s="58">
        <f>CQ53-CP53</f>
        <v/>
      </c>
      <c r="CS53" s="59">
        <f>IF(CP53=0,"",CQ53/CP53)</f>
        <v/>
      </c>
      <c r="CT53" s="23" t="n"/>
      <c r="CU53" s="58">
        <f>CU54</f>
        <v/>
      </c>
      <c r="CV53" s="58">
        <f>CV54</f>
        <v/>
      </c>
      <c r="CW53" s="58">
        <f>CV53-CU53</f>
        <v/>
      </c>
      <c r="CX53" s="59">
        <f>IF(CU53=0,"",CV53/CU53)</f>
        <v/>
      </c>
      <c r="CY53" s="23" t="n"/>
      <c r="CZ53" s="58">
        <f>CZ54</f>
        <v/>
      </c>
      <c r="DA53" s="58">
        <f>DA54</f>
        <v/>
      </c>
      <c r="DB53" s="58">
        <f>DA53-CZ53</f>
        <v/>
      </c>
      <c r="DC53" s="59">
        <f>IF(CZ53=0,"",DA53/CZ53)</f>
        <v/>
      </c>
      <c r="DD53" s="23" t="n"/>
      <c r="DE53" s="58">
        <f>DE54</f>
        <v/>
      </c>
      <c r="DF53" s="58">
        <f>DF54</f>
        <v/>
      </c>
      <c r="DG53" s="58">
        <f>DF53-DE53</f>
        <v/>
      </c>
      <c r="DH53" s="59">
        <f>IF(DE53=0,"",DF53/DE53)</f>
        <v/>
      </c>
      <c r="DI53" s="23" t="n"/>
      <c r="DJ53" s="58">
        <f>DJ54</f>
        <v/>
      </c>
      <c r="DK53" s="58">
        <f>DK54</f>
        <v/>
      </c>
      <c r="DL53" s="58">
        <f>DK53-DJ53</f>
        <v/>
      </c>
      <c r="DM53" s="59">
        <f>IF(DJ53=0,"",DK53/DJ53)</f>
        <v/>
      </c>
      <c r="DN53" s="23" t="n"/>
      <c r="DO53" s="58">
        <f>DO54</f>
        <v/>
      </c>
    </row>
    <row r="54" outlineLevel="1" ht="15" customHeight="1">
      <c r="A54" s="24" t="n"/>
      <c r="B54" s="24" t="n"/>
      <c r="C54" s="24" t="n"/>
      <c r="D54" s="60" t="n"/>
      <c r="E54" s="60" t="n"/>
      <c r="F54" s="60">
        <f>E54-D54</f>
        <v/>
      </c>
      <c r="G54" s="61">
        <f>IF(D54=0,"",E54/D54)</f>
        <v/>
      </c>
      <c r="H54" s="27" t="n"/>
      <c r="I54" s="60" t="n"/>
      <c r="J54" s="60" t="n"/>
      <c r="K54" s="60">
        <f>J54-I54</f>
        <v/>
      </c>
      <c r="L54" s="61">
        <f>IF(I54=0,"",J54/I54)</f>
        <v/>
      </c>
      <c r="M54" s="27" t="n"/>
      <c r="N54" s="62" t="n"/>
      <c r="O54" s="62" t="n"/>
      <c r="P54" s="62">
        <f>O54-N54</f>
        <v/>
      </c>
      <c r="Q54" s="64">
        <f>IF(N54=0,"",O54/N54)</f>
        <v/>
      </c>
      <c r="R54" s="31" t="n"/>
      <c r="S54" s="60" t="n"/>
      <c r="T54" s="60" t="n"/>
      <c r="U54" s="60">
        <f>T54-S54</f>
        <v/>
      </c>
      <c r="V54" s="61">
        <f>IF(S54=0,"",T54/S54)</f>
        <v/>
      </c>
      <c r="W54" s="27" t="n"/>
      <c r="X54" s="62" t="n"/>
      <c r="Y54" s="62" t="n"/>
      <c r="Z54" s="62">
        <f>Y54-X54</f>
        <v/>
      </c>
      <c r="AA54" s="64">
        <f>IF(X54=0,"",Y54/X54)</f>
        <v/>
      </c>
      <c r="AB54" s="31" t="n"/>
      <c r="AC54" s="60" t="n"/>
      <c r="AD54" s="60" t="n"/>
      <c r="AE54" s="60">
        <f>AD54-AC54</f>
        <v/>
      </c>
      <c r="AF54" s="61">
        <f>IF(AC54=0,"",AD54/AC54)</f>
        <v/>
      </c>
      <c r="AG54" s="27" t="n"/>
      <c r="AH54" s="62" t="n"/>
      <c r="AI54" s="62" t="n"/>
      <c r="AJ54" s="62">
        <f>AI54-AH54</f>
        <v/>
      </c>
      <c r="AK54" s="64">
        <f>IF(AH54=0,"",AI54/AH54)</f>
        <v/>
      </c>
      <c r="AL54" s="31" t="n"/>
      <c r="AM54" s="60" t="n"/>
      <c r="AN54" s="60" t="n"/>
      <c r="AO54" s="60">
        <f>AN54-AM54</f>
        <v/>
      </c>
      <c r="AP54" s="61">
        <f>IF(AM54=0,"",AN54/AM54)</f>
        <v/>
      </c>
      <c r="AQ54" s="27" t="n"/>
      <c r="AR54" s="62" t="n"/>
      <c r="AS54" s="62" t="n"/>
      <c r="AT54" s="62">
        <f>AS54-AR54</f>
        <v/>
      </c>
      <c r="AU54" s="64">
        <f>IF(AR54=0,"",AS54/AR54)</f>
        <v/>
      </c>
      <c r="AV54" s="31" t="n"/>
      <c r="AW54" s="60" t="n"/>
      <c r="AX54" s="60" t="n"/>
      <c r="AY54" s="60">
        <f>AX54-AW54</f>
        <v/>
      </c>
      <c r="AZ54" s="61">
        <f>IF(AW54=0,"",AX54/AW54)</f>
        <v/>
      </c>
      <c r="BA54" s="27" t="n"/>
      <c r="BB54" s="62" t="n"/>
      <c r="BC54" s="62" t="n"/>
      <c r="BD54" s="62">
        <f>BC54-BB54</f>
        <v/>
      </c>
      <c r="BE54" s="64">
        <f>IF(BB54=0,"",BC54/BB54)</f>
        <v/>
      </c>
      <c r="BF54" s="31" t="n"/>
      <c r="BG54" s="60" t="n"/>
      <c r="BH54" s="60" t="n"/>
      <c r="BI54" s="60">
        <f>BH54-BG54</f>
        <v/>
      </c>
      <c r="BJ54" s="61">
        <f>IF(BG54=0,"",BH54/BG54)</f>
        <v/>
      </c>
      <c r="BK54" s="27" t="n"/>
      <c r="BL54" s="62" t="n"/>
      <c r="BM54" s="62" t="n"/>
      <c r="BN54" s="62">
        <f>BM54-BL54</f>
        <v/>
      </c>
      <c r="BO54" s="64">
        <f>IF(BL54=0,"",BM54/BL54)</f>
        <v/>
      </c>
      <c r="BP54" s="31" t="n"/>
      <c r="BQ54" s="60" t="n"/>
      <c r="BR54" s="60" t="n"/>
      <c r="BS54" s="60">
        <f>BR54-BQ54</f>
        <v/>
      </c>
      <c r="BT54" s="61">
        <f>IF(BQ54=0,"",BR54/BQ54)</f>
        <v/>
      </c>
      <c r="BU54" s="27" t="n"/>
      <c r="BV54" s="62" t="n"/>
      <c r="BW54" s="62" t="n"/>
      <c r="BX54" s="62">
        <f>BW54-BV54</f>
        <v/>
      </c>
      <c r="BY54" s="64">
        <f>IF(BV54=0,"",BW54/BV54)</f>
        <v/>
      </c>
      <c r="BZ54" s="31" t="n"/>
      <c r="CA54" s="60" t="n"/>
      <c r="CB54" s="60" t="n"/>
      <c r="CC54" s="60">
        <f>CB54-CA54</f>
        <v/>
      </c>
      <c r="CD54" s="61">
        <f>IF(CA54=0,"",CB54/CA54)</f>
        <v/>
      </c>
      <c r="CE54" s="27" t="n"/>
      <c r="CF54" s="62" t="n"/>
      <c r="CG54" s="62" t="n"/>
      <c r="CH54" s="62">
        <f>CG54-CF54</f>
        <v/>
      </c>
      <c r="CI54" s="64">
        <f>IF(CF54=0,"",CG54/CF54)</f>
        <v/>
      </c>
      <c r="CJ54" s="31" t="n"/>
      <c r="CK54" s="60" t="n"/>
      <c r="CL54" s="60" t="n"/>
      <c r="CM54" s="60">
        <f>CL54-CK54</f>
        <v/>
      </c>
      <c r="CN54" s="61">
        <f>IF(CK54=0,"",CL54/CK54)</f>
        <v/>
      </c>
      <c r="CO54" s="27" t="n"/>
      <c r="CP54" s="62" t="n"/>
      <c r="CQ54" s="62" t="n"/>
      <c r="CR54" s="62">
        <f>CQ54-CP54</f>
        <v/>
      </c>
      <c r="CS54" s="64">
        <f>IF(CP54=0,"",CQ54/CP54)</f>
        <v/>
      </c>
      <c r="CT54" s="31" t="n"/>
      <c r="CU54" s="60" t="n"/>
      <c r="CV54" s="60" t="n"/>
      <c r="CW54" s="60">
        <f>CV54-CU54</f>
        <v/>
      </c>
      <c r="CX54" s="61">
        <f>IF(CU54=0,"",CV54/CU54)</f>
        <v/>
      </c>
      <c r="CY54" s="27" t="n"/>
      <c r="CZ54" s="62" t="n"/>
      <c r="DA54" s="62" t="n"/>
      <c r="DB54" s="62">
        <f>DA54-CZ54</f>
        <v/>
      </c>
      <c r="DC54" s="64">
        <f>IF(CZ54=0,"",DA54/CZ54)</f>
        <v/>
      </c>
      <c r="DD54" s="31" t="n"/>
      <c r="DE54" s="60" t="n"/>
      <c r="DF54" s="60" t="n"/>
      <c r="DG54" s="60">
        <f>DF54-DE54</f>
        <v/>
      </c>
      <c r="DH54" s="61">
        <f>IF(DE54=0,"",DF54/DE54)</f>
        <v/>
      </c>
      <c r="DI54" s="27" t="n"/>
      <c r="DJ54" s="62" t="n"/>
      <c r="DK54" s="62" t="n"/>
      <c r="DL54" s="62">
        <f>DK54-DJ54</f>
        <v/>
      </c>
      <c r="DM54" s="64">
        <f>IF(DJ54=0,"",DK54/DJ54)</f>
        <v/>
      </c>
      <c r="DN54" s="31" t="n"/>
      <c r="DO54" s="60" t="n"/>
    </row>
    <row r="55" ht="15" customHeight="1">
      <c r="A55" s="19" t="n"/>
      <c r="B55" s="20" t="n"/>
      <c r="C55" s="19" t="n"/>
      <c r="D55" s="58">
        <f>D56</f>
        <v/>
      </c>
      <c r="E55" s="58">
        <f>E56</f>
        <v/>
      </c>
      <c r="F55" s="58">
        <f>E55-D55</f>
        <v/>
      </c>
      <c r="G55" s="59">
        <f>IF(D55=0,"",E55/D55)</f>
        <v/>
      </c>
      <c r="H55" s="23" t="n"/>
      <c r="I55" s="58">
        <f>I56</f>
        <v/>
      </c>
      <c r="J55" s="58">
        <f>J56</f>
        <v/>
      </c>
      <c r="K55" s="58">
        <f>J55-I55</f>
        <v/>
      </c>
      <c r="L55" s="59">
        <f>IF(I55=0,"",J55/I55)</f>
        <v/>
      </c>
      <c r="M55" s="23" t="n"/>
      <c r="N55" s="58">
        <f>N56</f>
        <v/>
      </c>
      <c r="O55" s="58">
        <f>O56</f>
        <v/>
      </c>
      <c r="P55" s="58">
        <f>O55-N55</f>
        <v/>
      </c>
      <c r="Q55" s="59">
        <f>IF(N55=0,"",O55/N55)</f>
        <v/>
      </c>
      <c r="R55" s="23" t="n"/>
      <c r="S55" s="58">
        <f>S56</f>
        <v/>
      </c>
      <c r="T55" s="58">
        <f>T56</f>
        <v/>
      </c>
      <c r="U55" s="58">
        <f>T55-S55</f>
        <v/>
      </c>
      <c r="V55" s="59">
        <f>IF(S55=0,"",T55/S55)</f>
        <v/>
      </c>
      <c r="W55" s="23" t="n"/>
      <c r="X55" s="58">
        <f>X56</f>
        <v/>
      </c>
      <c r="Y55" s="58">
        <f>Y56</f>
        <v/>
      </c>
      <c r="Z55" s="58">
        <f>Y55-X55</f>
        <v/>
      </c>
      <c r="AA55" s="59">
        <f>IF(X55=0,"",Y55/X55)</f>
        <v/>
      </c>
      <c r="AB55" s="23" t="n"/>
      <c r="AC55" s="58">
        <f>AC56</f>
        <v/>
      </c>
      <c r="AD55" s="58">
        <f>AD56</f>
        <v/>
      </c>
      <c r="AE55" s="58">
        <f>AD55-AC55</f>
        <v/>
      </c>
      <c r="AF55" s="59">
        <f>IF(AC55=0,"",AD55/AC55)</f>
        <v/>
      </c>
      <c r="AG55" s="23" t="n"/>
      <c r="AH55" s="58">
        <f>AH56</f>
        <v/>
      </c>
      <c r="AI55" s="58">
        <f>AI56</f>
        <v/>
      </c>
      <c r="AJ55" s="58">
        <f>AI55-AH55</f>
        <v/>
      </c>
      <c r="AK55" s="59">
        <f>IF(AH55=0,"",AI55/AH55)</f>
        <v/>
      </c>
      <c r="AL55" s="23" t="n"/>
      <c r="AM55" s="58">
        <f>AM56</f>
        <v/>
      </c>
      <c r="AN55" s="58">
        <f>AN56</f>
        <v/>
      </c>
      <c r="AO55" s="58">
        <f>AN55-AM55</f>
        <v/>
      </c>
      <c r="AP55" s="59">
        <f>IF(AM55=0,"",AN55/AM55)</f>
        <v/>
      </c>
      <c r="AQ55" s="23" t="n"/>
      <c r="AR55" s="58">
        <f>AR56</f>
        <v/>
      </c>
      <c r="AS55" s="58">
        <f>AS56</f>
        <v/>
      </c>
      <c r="AT55" s="58">
        <f>AS55-AR55</f>
        <v/>
      </c>
      <c r="AU55" s="59">
        <f>IF(AR55=0,"",AS55/AR55)</f>
        <v/>
      </c>
      <c r="AV55" s="23" t="n"/>
      <c r="AW55" s="58">
        <f>AW56</f>
        <v/>
      </c>
      <c r="AX55" s="58">
        <f>AX56</f>
        <v/>
      </c>
      <c r="AY55" s="58">
        <f>AX55-AW55</f>
        <v/>
      </c>
      <c r="AZ55" s="59">
        <f>IF(AW55=0,"",AX55/AW55)</f>
        <v/>
      </c>
      <c r="BA55" s="23" t="n"/>
      <c r="BB55" s="58">
        <f>BB56</f>
        <v/>
      </c>
      <c r="BC55" s="58">
        <f>BC56</f>
        <v/>
      </c>
      <c r="BD55" s="58">
        <f>BC55-BB55</f>
        <v/>
      </c>
      <c r="BE55" s="59">
        <f>IF(BB55=0,"",BC55/BB55)</f>
        <v/>
      </c>
      <c r="BF55" s="23" t="n"/>
      <c r="BG55" s="58">
        <f>BG56</f>
        <v/>
      </c>
      <c r="BH55" s="58">
        <f>BH56</f>
        <v/>
      </c>
      <c r="BI55" s="58">
        <f>BH55-BG55</f>
        <v/>
      </c>
      <c r="BJ55" s="59">
        <f>IF(BG55=0,"",BH55/BG55)</f>
        <v/>
      </c>
      <c r="BK55" s="23" t="n"/>
      <c r="BL55" s="58">
        <f>BL56</f>
        <v/>
      </c>
      <c r="BM55" s="58">
        <f>BM56</f>
        <v/>
      </c>
      <c r="BN55" s="58">
        <f>BM55-BL55</f>
        <v/>
      </c>
      <c r="BO55" s="59">
        <f>IF(BL55=0,"",BM55/BL55)</f>
        <v/>
      </c>
      <c r="BP55" s="23" t="n"/>
      <c r="BQ55" s="58">
        <f>BQ56</f>
        <v/>
      </c>
      <c r="BR55" s="58">
        <f>BR56</f>
        <v/>
      </c>
      <c r="BS55" s="58">
        <f>BR55-BQ55</f>
        <v/>
      </c>
      <c r="BT55" s="59">
        <f>IF(BQ55=0,"",BR55/BQ55)</f>
        <v/>
      </c>
      <c r="BU55" s="23" t="n"/>
      <c r="BV55" s="58">
        <f>BV56</f>
        <v/>
      </c>
      <c r="BW55" s="58">
        <f>BW56</f>
        <v/>
      </c>
      <c r="BX55" s="58">
        <f>BW55-BV55</f>
        <v/>
      </c>
      <c r="BY55" s="59">
        <f>IF(BV55=0,"",BW55/BV55)</f>
        <v/>
      </c>
      <c r="BZ55" s="23" t="n"/>
      <c r="CA55" s="58">
        <f>CA56</f>
        <v/>
      </c>
      <c r="CB55" s="58">
        <f>CB56</f>
        <v/>
      </c>
      <c r="CC55" s="58">
        <f>CB55-CA55</f>
        <v/>
      </c>
      <c r="CD55" s="59">
        <f>IF(CA55=0,"",CB55/CA55)</f>
        <v/>
      </c>
      <c r="CE55" s="23" t="n"/>
      <c r="CF55" s="58">
        <f>CF56</f>
        <v/>
      </c>
      <c r="CG55" s="58">
        <f>CG56</f>
        <v/>
      </c>
      <c r="CH55" s="58">
        <f>CG55-CF55</f>
        <v/>
      </c>
      <c r="CI55" s="59">
        <f>IF(CF55=0,"",CG55/CF55)</f>
        <v/>
      </c>
      <c r="CJ55" s="23" t="n"/>
      <c r="CK55" s="58">
        <f>CK56</f>
        <v/>
      </c>
      <c r="CL55" s="58">
        <f>CL56</f>
        <v/>
      </c>
      <c r="CM55" s="58">
        <f>CL55-CK55</f>
        <v/>
      </c>
      <c r="CN55" s="59">
        <f>IF(CK55=0,"",CL55/CK55)</f>
        <v/>
      </c>
      <c r="CO55" s="23" t="n"/>
      <c r="CP55" s="58">
        <f>CP56</f>
        <v/>
      </c>
      <c r="CQ55" s="58">
        <f>CQ56</f>
        <v/>
      </c>
      <c r="CR55" s="58">
        <f>CQ55-CP55</f>
        <v/>
      </c>
      <c r="CS55" s="59">
        <f>IF(CP55=0,"",CQ55/CP55)</f>
        <v/>
      </c>
      <c r="CT55" s="23" t="n"/>
      <c r="CU55" s="58">
        <f>CU56</f>
        <v/>
      </c>
      <c r="CV55" s="58">
        <f>CV56</f>
        <v/>
      </c>
      <c r="CW55" s="58">
        <f>CV55-CU55</f>
        <v/>
      </c>
      <c r="CX55" s="59">
        <f>IF(CU55=0,"",CV55/CU55)</f>
        <v/>
      </c>
      <c r="CY55" s="23" t="n"/>
      <c r="CZ55" s="58">
        <f>CZ56</f>
        <v/>
      </c>
      <c r="DA55" s="58">
        <f>DA56</f>
        <v/>
      </c>
      <c r="DB55" s="58">
        <f>DA55-CZ55</f>
        <v/>
      </c>
      <c r="DC55" s="59">
        <f>IF(CZ55=0,"",DA55/CZ55)</f>
        <v/>
      </c>
      <c r="DD55" s="23" t="n"/>
      <c r="DE55" s="58">
        <f>DE56</f>
        <v/>
      </c>
      <c r="DF55" s="58">
        <f>DF56</f>
        <v/>
      </c>
      <c r="DG55" s="58">
        <f>DF55-DE55</f>
        <v/>
      </c>
      <c r="DH55" s="59">
        <f>IF(DE55=0,"",DF55/DE55)</f>
        <v/>
      </c>
      <c r="DI55" s="23" t="n"/>
      <c r="DJ55" s="58">
        <f>DJ56</f>
        <v/>
      </c>
      <c r="DK55" s="58">
        <f>DK56</f>
        <v/>
      </c>
      <c r="DL55" s="58">
        <f>DK55-DJ55</f>
        <v/>
      </c>
      <c r="DM55" s="59">
        <f>IF(DJ55=0,"",DK55/DJ55)</f>
        <v/>
      </c>
      <c r="DN55" s="23" t="n"/>
      <c r="DO55" s="58">
        <f>DO56</f>
        <v/>
      </c>
    </row>
    <row r="56" outlineLevel="1" ht="15" customHeight="1">
      <c r="A56" s="24" t="n"/>
      <c r="B56" s="24" t="n"/>
      <c r="C56" s="24" t="n"/>
      <c r="D56" s="60" t="n"/>
      <c r="E56" s="60" t="n"/>
      <c r="F56" s="60">
        <f>E56-D56</f>
        <v/>
      </c>
      <c r="G56" s="61">
        <f>IF(D56=0,"",E56/D56)</f>
        <v/>
      </c>
      <c r="H56" s="27" t="n"/>
      <c r="I56" s="60" t="n"/>
      <c r="J56" s="60" t="n"/>
      <c r="K56" s="60">
        <f>J56-I56</f>
        <v/>
      </c>
      <c r="L56" s="61">
        <f>IF(I56=0,"",J56/I56)</f>
        <v/>
      </c>
      <c r="M56" s="27" t="n"/>
      <c r="N56" s="62" t="n"/>
      <c r="O56" s="62" t="n"/>
      <c r="P56" s="63">
        <f>O56-N56</f>
        <v/>
      </c>
      <c r="Q56" s="64">
        <f>IF(N56=0,"",O56/N56)</f>
        <v/>
      </c>
      <c r="R56" s="31" t="n"/>
      <c r="S56" s="60" t="n"/>
      <c r="T56" s="60" t="n"/>
      <c r="U56" s="60">
        <f>T56-S56</f>
        <v/>
      </c>
      <c r="V56" s="61">
        <f>IF(S56=0,"",T56/S56)</f>
        <v/>
      </c>
      <c r="W56" s="27" t="n"/>
      <c r="X56" s="62" t="n"/>
      <c r="Y56" s="62" t="n"/>
      <c r="Z56" s="63">
        <f>Y56-X56</f>
        <v/>
      </c>
      <c r="AA56" s="64">
        <f>IF(X56=0,"",Y56/X56)</f>
        <v/>
      </c>
      <c r="AB56" s="31" t="n"/>
      <c r="AC56" s="60" t="n"/>
      <c r="AD56" s="60" t="n"/>
      <c r="AE56" s="60">
        <f>AD56-AC56</f>
        <v/>
      </c>
      <c r="AF56" s="61">
        <f>IF(AC56=0,"",AD56/AC56)</f>
        <v/>
      </c>
      <c r="AG56" s="27" t="n"/>
      <c r="AH56" s="62" t="n"/>
      <c r="AI56" s="62" t="n"/>
      <c r="AJ56" s="62">
        <f>AI56-AH56</f>
        <v/>
      </c>
      <c r="AK56" s="64">
        <f>IF(AH56=0,"",AI56/AH56)</f>
        <v/>
      </c>
      <c r="AL56" s="31" t="n"/>
      <c r="AM56" s="60" t="n"/>
      <c r="AN56" s="60" t="n"/>
      <c r="AO56" s="60">
        <f>AN56-AM56</f>
        <v/>
      </c>
      <c r="AP56" s="61">
        <f>IF(AM56=0,"",AN56/AM56)</f>
        <v/>
      </c>
      <c r="AQ56" s="27" t="n"/>
      <c r="AR56" s="62" t="n"/>
      <c r="AS56" s="62" t="n"/>
      <c r="AT56" s="62">
        <f>AS56-AR56</f>
        <v/>
      </c>
      <c r="AU56" s="64">
        <f>IF(AR56=0,"",AS56/AR56)</f>
        <v/>
      </c>
      <c r="AV56" s="31" t="n"/>
      <c r="AW56" s="60" t="n"/>
      <c r="AX56" s="60" t="n"/>
      <c r="AY56" s="60">
        <f>AX56-AW56</f>
        <v/>
      </c>
      <c r="AZ56" s="61">
        <f>IF(AW56=0,"",AX56/AW56)</f>
        <v/>
      </c>
      <c r="BA56" s="27" t="n"/>
      <c r="BB56" s="62" t="n"/>
      <c r="BC56" s="62" t="n"/>
      <c r="BD56" s="62">
        <f>BC56-BB56</f>
        <v/>
      </c>
      <c r="BE56" s="64">
        <f>IF(BB56=0,"",BC56/BB56)</f>
        <v/>
      </c>
      <c r="BF56" s="31" t="n"/>
      <c r="BG56" s="60" t="n"/>
      <c r="BH56" s="60" t="n"/>
      <c r="BI56" s="60">
        <f>BH56-BG56</f>
        <v/>
      </c>
      <c r="BJ56" s="61">
        <f>IF(BG56=0,"",BH56/BG56)</f>
        <v/>
      </c>
      <c r="BK56" s="27" t="n"/>
      <c r="BL56" s="62" t="n"/>
      <c r="BM56" s="62" t="n"/>
      <c r="BN56" s="62">
        <f>BM56-BL56</f>
        <v/>
      </c>
      <c r="BO56" s="64">
        <f>IF(BL56=0,"",BM56/BL56)</f>
        <v/>
      </c>
      <c r="BP56" s="31" t="n"/>
      <c r="BQ56" s="60" t="n"/>
      <c r="BR56" s="60" t="n"/>
      <c r="BS56" s="60">
        <f>BR56-BQ56</f>
        <v/>
      </c>
      <c r="BT56" s="61">
        <f>IF(BQ56=0,"",BR56/BQ56)</f>
        <v/>
      </c>
      <c r="BU56" s="27" t="n"/>
      <c r="BV56" s="62" t="n"/>
      <c r="BW56" s="62" t="n"/>
      <c r="BX56" s="62">
        <f>BW56-BV56</f>
        <v/>
      </c>
      <c r="BY56" s="64">
        <f>IF(BV56=0,"",BW56/BV56)</f>
        <v/>
      </c>
      <c r="BZ56" s="31" t="n"/>
      <c r="CA56" s="60" t="n"/>
      <c r="CB56" s="60" t="n"/>
      <c r="CC56" s="60">
        <f>CB56-CA56</f>
        <v/>
      </c>
      <c r="CD56" s="61">
        <f>IF(CA56=0,"",CB56/CA56)</f>
        <v/>
      </c>
      <c r="CE56" s="27" t="n"/>
      <c r="CF56" s="62" t="n"/>
      <c r="CG56" s="62" t="n"/>
      <c r="CH56" s="62">
        <f>CG56-CF56</f>
        <v/>
      </c>
      <c r="CI56" s="64">
        <f>IF(CF56=0,"",CG56/CF56)</f>
        <v/>
      </c>
      <c r="CJ56" s="31" t="n"/>
      <c r="CK56" s="60" t="n"/>
      <c r="CL56" s="60" t="n"/>
      <c r="CM56" s="60">
        <f>CL56-CK56</f>
        <v/>
      </c>
      <c r="CN56" s="61">
        <f>IF(CK56=0,"",CL56/CK56)</f>
        <v/>
      </c>
      <c r="CO56" s="27" t="n"/>
      <c r="CP56" s="62" t="n"/>
      <c r="CQ56" s="62" t="n"/>
      <c r="CR56" s="62">
        <f>CQ56-CP56</f>
        <v/>
      </c>
      <c r="CS56" s="64">
        <f>IF(CP56=0,"",CQ56/CP56)</f>
        <v/>
      </c>
      <c r="CT56" s="31" t="n"/>
      <c r="CU56" s="60" t="n"/>
      <c r="CV56" s="60" t="n"/>
      <c r="CW56" s="60">
        <f>CV56-CU56</f>
        <v/>
      </c>
      <c r="CX56" s="61">
        <f>IF(CU56=0,"",CV56/CU56)</f>
        <v/>
      </c>
      <c r="CY56" s="27" t="n"/>
      <c r="CZ56" s="62" t="n"/>
      <c r="DA56" s="62" t="n"/>
      <c r="DB56" s="62">
        <f>DA56-CZ56</f>
        <v/>
      </c>
      <c r="DC56" s="64">
        <f>IF(CZ56=0,"",DA56/CZ56)</f>
        <v/>
      </c>
      <c r="DD56" s="31" t="n"/>
      <c r="DE56" s="60" t="n"/>
      <c r="DF56" s="60" t="n"/>
      <c r="DG56" s="60">
        <f>DF56-DE56</f>
        <v/>
      </c>
      <c r="DH56" s="61">
        <f>IF(DE56=0,"",DF56/DE56)</f>
        <v/>
      </c>
      <c r="DI56" s="27" t="n"/>
      <c r="DJ56" s="62" t="n"/>
      <c r="DK56" s="62" t="n"/>
      <c r="DL56" s="62">
        <f>DK56-DJ56</f>
        <v/>
      </c>
      <c r="DM56" s="64">
        <f>IF(DJ56=0,"",DK56/DJ56)</f>
        <v/>
      </c>
      <c r="DN56" s="31" t="n"/>
      <c r="DO56" s="60" t="n"/>
    </row>
    <row r="57" ht="15" customHeight="1">
      <c r="A57" s="19" t="n"/>
      <c r="B57" s="20" t="n"/>
      <c r="C57" s="19" t="n"/>
      <c r="D57" s="58">
        <f>D58+D59+D60+D61+D62+D63+D64+D65+D66+D67+D68+D69+D70+D71+D72</f>
        <v/>
      </c>
      <c r="E57" s="58">
        <f>E58+E59+E60+E61+E62+E63+E64+E65+E66+E67+E68+E69+E70+E71+E72</f>
        <v/>
      </c>
      <c r="F57" s="58">
        <f>E57-D57</f>
        <v/>
      </c>
      <c r="G57" s="59">
        <f>IF(D57=0,"",E57/D57)</f>
        <v/>
      </c>
      <c r="H57" s="23" t="n"/>
      <c r="I57" s="58">
        <f>I58+I59+I60+I61+I62+I63+I64+I65+I66+I67+I68+I69+I70+I71+I72</f>
        <v/>
      </c>
      <c r="J57" s="58">
        <f>J58+J59+J60+J61+J62+J63+J64+J65+J66+J67+J68+J69+J70+J71+J72</f>
        <v/>
      </c>
      <c r="K57" s="58">
        <f>J57-I57</f>
        <v/>
      </c>
      <c r="L57" s="59">
        <f>IF(I57=0,"",J57/I57)</f>
        <v/>
      </c>
      <c r="M57" s="23" t="n"/>
      <c r="N57" s="58">
        <f>N58+N59+N60+N61+N62+N63+N64+N65+N66+N67+N68+N69+N70+N71+N72</f>
        <v/>
      </c>
      <c r="O57" s="58">
        <f>O58+O59+O60+O61+O62+O63+O64+O65+O66+O67+O68+O69+O70+O71+O72</f>
        <v/>
      </c>
      <c r="P57" s="58">
        <f>O57-N57</f>
        <v/>
      </c>
      <c r="Q57" s="59">
        <f>IF(N57=0,"",O57/N57)</f>
        <v/>
      </c>
      <c r="R57" s="23" t="n"/>
      <c r="S57" s="58">
        <f>S58+S59+S60+S61+S62+S63+S64+S65+S66+S67+S68+S69+S70+S71+S72</f>
        <v/>
      </c>
      <c r="T57" s="58">
        <f>T58+T59+T60+T61+T62+T63+T64+T65+T66+T67+T68+T69+T70+T71+T72</f>
        <v/>
      </c>
      <c r="U57" s="58">
        <f>T57-S57</f>
        <v/>
      </c>
      <c r="V57" s="59">
        <f>IF(S57=0,"",T57/S57)</f>
        <v/>
      </c>
      <c r="W57" s="23" t="n"/>
      <c r="X57" s="58">
        <f>X58+X59+X60+X61+X62+X63+X64+X65+X66+X67+X68+X69+X70+X71+X72</f>
        <v/>
      </c>
      <c r="Y57" s="58">
        <f>Y58+Y59+Y60+Y61+Y62+Y63+Y64+Y65+Y66+Y67+Y68+Y69+Y70+Y71+Y72</f>
        <v/>
      </c>
      <c r="Z57" s="58">
        <f>Y57-X57</f>
        <v/>
      </c>
      <c r="AA57" s="59">
        <f>IF(X57=0,"",Y57/X57)</f>
        <v/>
      </c>
      <c r="AB57" s="23" t="n"/>
      <c r="AC57" s="58">
        <f>AC58+AC59+AC60+AC61+AC62+AC63+AC64+AC65+AC66+AC67+AC68+AC69+AC70+AC71+AC72</f>
        <v/>
      </c>
      <c r="AD57" s="58">
        <f>AD58+AD59+AD60+AD61+AD62+AD63+AD64+AD65+AD66+AD67+AD68+AD69+AD70+AD71+AD72</f>
        <v/>
      </c>
      <c r="AE57" s="58">
        <f>AD57-AC57</f>
        <v/>
      </c>
      <c r="AF57" s="59">
        <f>IF(AC57=0,"",AD57/AC57)</f>
        <v/>
      </c>
      <c r="AG57" s="23" t="n"/>
      <c r="AH57" s="58">
        <f>AH58+AH59+AH60+AH61+AH62+AH63+AH64+AH65+AH66+AH67+AH68+AH69+AH70+AH71+AH72</f>
        <v/>
      </c>
      <c r="AI57" s="58">
        <f>AI58+AI59+AI60+AI61+AI62+AI63+AI64+AI65+AI66+AI67+AI68+AI69+AI70+AI71+AI72</f>
        <v/>
      </c>
      <c r="AJ57" s="58">
        <f>AI57-AH57</f>
        <v/>
      </c>
      <c r="AK57" s="59">
        <f>IF(AH57=0,"",AI57/AH57)</f>
        <v/>
      </c>
      <c r="AL57" s="23" t="n"/>
      <c r="AM57" s="58">
        <f>AM58+AM59+AM60+AM61+AM62+AM63+AM64+AM65+AM66+AM67+AM68+AM69+AM70+AM71+AM72</f>
        <v/>
      </c>
      <c r="AN57" s="58">
        <f>AN58+AN59+AN60+AN61+AN62+AN63+AN64+AN65+AN66+AN67+AN68+AN69+AN70+AN71+AN72</f>
        <v/>
      </c>
      <c r="AO57" s="58">
        <f>AN57-AM57</f>
        <v/>
      </c>
      <c r="AP57" s="59">
        <f>IF(AM57=0,"",AN57/AM57)</f>
        <v/>
      </c>
      <c r="AQ57" s="23" t="n"/>
      <c r="AR57" s="58">
        <f>AR58+AR59+AR60+AR61+AR62+AR63+AR64+AR65+AR66+AR67+AR68+AR69+AR70+AR71+AR72</f>
        <v/>
      </c>
      <c r="AS57" s="58">
        <f>AS58+AS59+AS60+AS61+AS62+AS63+AS64+AS65+AS66+AS67+AS68+AS69+AS70+AS71+AS72</f>
        <v/>
      </c>
      <c r="AT57" s="58">
        <f>AS57-AR57</f>
        <v/>
      </c>
      <c r="AU57" s="59">
        <f>IF(AR57=0,"",AS57/AR57)</f>
        <v/>
      </c>
      <c r="AV57" s="23" t="n"/>
      <c r="AW57" s="58">
        <f>AW58+AW59+AW60+AW61+AW62+AW63+AW64+AW65+AW66+AW67+AW68+AW69+AW70+AW71+AW72</f>
        <v/>
      </c>
      <c r="AX57" s="58">
        <f>AX58+AX59+AX60+AX61+AX62+AX63+AX64+AX65+AX66+AX67+AX68+AX69+AX70+AX71+AX72</f>
        <v/>
      </c>
      <c r="AY57" s="58">
        <f>AX57-AW57</f>
        <v/>
      </c>
      <c r="AZ57" s="59">
        <f>IF(AW57=0,"",AX57/AW57)</f>
        <v/>
      </c>
      <c r="BA57" s="23" t="n"/>
      <c r="BB57" s="58">
        <f>BB58+BB59+BB60+BB61+BB62+BB63+BB64+BB65+BB66+BB67+BB68+BB69+BB70+BB71+BB72</f>
        <v/>
      </c>
      <c r="BC57" s="58">
        <f>BC58+BC59+BC60+BC61+BC62+BC63+BC64+BC65+BC66+BC67+BC68+BC69+BC70+BC71+BC72</f>
        <v/>
      </c>
      <c r="BD57" s="58">
        <f>BC57-BB57</f>
        <v/>
      </c>
      <c r="BE57" s="59">
        <f>IF(BB57=0,"",BC57/BB57)</f>
        <v/>
      </c>
      <c r="BF57" s="23" t="n"/>
      <c r="BG57" s="58">
        <f>BG58+BG59+BG60+BG61+BG62+BG63+BG64+BG65+BG66+BG67+BG68+BG69+BG70+BG71+BG72</f>
        <v/>
      </c>
      <c r="BH57" s="58">
        <f>BH58+BH59+BH60+BH61+BH62+BH63+BH64+BH65+BH66+BH67+BH68+BH69+BH70+BH71+BH72</f>
        <v/>
      </c>
      <c r="BI57" s="58">
        <f>BH57-BG57</f>
        <v/>
      </c>
      <c r="BJ57" s="59">
        <f>IF(BG57=0,"",BH57/BG57)</f>
        <v/>
      </c>
      <c r="BK57" s="23" t="n"/>
      <c r="BL57" s="58">
        <f>BL58+BL59+BL60+BL61+BL62+BL63+BL64+BL65+BL66+BL67+BL68+BL69+BL70+BL71+BL72</f>
        <v/>
      </c>
      <c r="BM57" s="58">
        <f>BM58+BM59+BM60+BM61+BM62+BM63+BM64+BM65+BM66+BM67+BM68+BM69+BM70+BM71+BM72</f>
        <v/>
      </c>
      <c r="BN57" s="58">
        <f>BM57-BL57</f>
        <v/>
      </c>
      <c r="BO57" s="59">
        <f>IF(BL57=0,"",BM57/BL57)</f>
        <v/>
      </c>
      <c r="BP57" s="23" t="n"/>
      <c r="BQ57" s="58">
        <f>BQ58+BQ59+BQ60+BQ61+BQ62+BQ63+BQ64+BQ65+BQ66+BQ67+BQ68+BQ69+BQ70+BQ71+BQ72</f>
        <v/>
      </c>
      <c r="BR57" s="58">
        <f>BR58+BR59+BR60+BR61+BR62+BR63+BR64+BR65+BR66+BR67+BR68+BR69+BR70+BR71+BR72</f>
        <v/>
      </c>
      <c r="BS57" s="58">
        <f>BR57-BQ57</f>
        <v/>
      </c>
      <c r="BT57" s="59">
        <f>IF(BQ57=0,"",BR57/BQ57)</f>
        <v/>
      </c>
      <c r="BU57" s="23" t="n"/>
      <c r="BV57" s="58">
        <f>BV58+BV59+BV60+BV61+BV62+BV63+BV64+BV65+BV66+BV67+BV68+BV69+BV70+BV71+BV72</f>
        <v/>
      </c>
      <c r="BW57" s="58">
        <f>BW58+BW59+BW60+BW61+BW62+BW63+BW64+BW65+BW66+BW67+BW68+BW69+BW70+BW71+BW72</f>
        <v/>
      </c>
      <c r="BX57" s="58">
        <f>BW57-BV57</f>
        <v/>
      </c>
      <c r="BY57" s="59">
        <f>IF(BV57=0,"",BW57/BV57)</f>
        <v/>
      </c>
      <c r="BZ57" s="23" t="n"/>
      <c r="CA57" s="58">
        <f>CA58+CA59+CA60+CA61+CA62+CA63+CA64+CA65+CA66+CA67+CA68+CA69+CA70+CA71+CA72</f>
        <v/>
      </c>
      <c r="CB57" s="58">
        <f>CB58+CB59+CB60+CB61+CB62+CB63+CB64+CB65+CB66+CB67+CB68+CB69+CB70+CB71+CB72</f>
        <v/>
      </c>
      <c r="CC57" s="58">
        <f>CB57-CA57</f>
        <v/>
      </c>
      <c r="CD57" s="59">
        <f>IF(CA57=0,"",CB57/CA57)</f>
        <v/>
      </c>
      <c r="CE57" s="23" t="n"/>
      <c r="CF57" s="58">
        <f>CF58+CF59+CF60+CF61+CF62+CF63+CF64+CF65+CF66+CF67+CF68+CF69+CF70+CF71+CF72</f>
        <v/>
      </c>
      <c r="CG57" s="58">
        <f>CG58+CG59+CG60+CG61+CG62+CG63+CG64+CG65+CG66+CG67+CG68+CG69+CG70+CG71+CG72</f>
        <v/>
      </c>
      <c r="CH57" s="58">
        <f>CG57-CF57</f>
        <v/>
      </c>
      <c r="CI57" s="59">
        <f>IF(CF57=0,"",CG57/CF57)</f>
        <v/>
      </c>
      <c r="CJ57" s="23" t="n"/>
      <c r="CK57" s="58">
        <f>CK58+CK59+CK60+CK61+CK62+CK63+CK64+CK65+CK66+CK67+CK68+CK69+CK70+CK71+CK72</f>
        <v/>
      </c>
      <c r="CL57" s="58">
        <f>CL58+CL59+CL60+CL61+CL62+CL63+CL64+CL65+CL66+CL67+CL68+CL69+CL70+CL71+CL72</f>
        <v/>
      </c>
      <c r="CM57" s="58">
        <f>CL57-CK57</f>
        <v/>
      </c>
      <c r="CN57" s="59">
        <f>IF(CK57=0,"",CL57/CK57)</f>
        <v/>
      </c>
      <c r="CO57" s="23" t="n"/>
      <c r="CP57" s="58">
        <f>CP58+CP59+CP60+CP61+CP62+CP63+CP64+CP65+CP66+CP67+CP68+CP69+CP70+CP71+CP72</f>
        <v/>
      </c>
      <c r="CQ57" s="58">
        <f>CQ58+CQ59+CQ60+CQ61+CQ62+CQ63+CQ64+CQ65+CQ66+CQ67+CQ68+CQ69+CQ70+CQ71+CQ72</f>
        <v/>
      </c>
      <c r="CR57" s="58">
        <f>CQ57-CP57</f>
        <v/>
      </c>
      <c r="CS57" s="59">
        <f>IF(CP57=0,"",CQ57/CP57)</f>
        <v/>
      </c>
      <c r="CT57" s="23" t="n"/>
      <c r="CU57" s="58">
        <f>CU58+CU59+CU60+CU61+CU62+CU63+CU64+CU65+CU66+CU67+CU68+CU69+CU70+CU71+CU72</f>
        <v/>
      </c>
      <c r="CV57" s="58">
        <f>CV58+CV59+CV60+CV61+CV62+CV63+CV64+CV65+CV66+CV67+CV68+CV69+CV70+CV71+CV72</f>
        <v/>
      </c>
      <c r="CW57" s="58">
        <f>CV57-CU57</f>
        <v/>
      </c>
      <c r="CX57" s="59">
        <f>IF(CU57=0,"",CV57/CU57)</f>
        <v/>
      </c>
      <c r="CY57" s="23" t="n"/>
      <c r="CZ57" s="58">
        <f>CZ58+CZ59+CZ60+CZ61+CZ62+CZ63+CZ64+CZ65+CZ66+CZ67+CZ68+CZ69+CZ70+CZ71+CZ72</f>
        <v/>
      </c>
      <c r="DA57" s="58">
        <f>DA58+DA59+DA60+DA61+DA62+DA63+DA64+DA65+DA66+DA67+DA68+DA69+DA70+DA71+DA72</f>
        <v/>
      </c>
      <c r="DB57" s="58">
        <f>DA57-CZ57</f>
        <v/>
      </c>
      <c r="DC57" s="59">
        <f>IF(CZ57=0,"",DA57/CZ57)</f>
        <v/>
      </c>
      <c r="DD57" s="23" t="n"/>
      <c r="DE57" s="58">
        <f>DE58+DE59+DE60+DE61+DE62+DE63+DE64+DE65+DE66+DE67+DE68+DE69+DE70+DE71+DE72</f>
        <v/>
      </c>
      <c r="DF57" s="58">
        <f>DF58+DF59+DF60+DF61+DF62+DF63+DF64+DF65+DF66+DF67+DF68+DF69+DF70+DF71+DF72</f>
        <v/>
      </c>
      <c r="DG57" s="58">
        <f>DF57-DE57</f>
        <v/>
      </c>
      <c r="DH57" s="59">
        <f>IF(DE57=0,"",DF57/DE57)</f>
        <v/>
      </c>
      <c r="DI57" s="23" t="n"/>
      <c r="DJ57" s="58">
        <f>DJ58+DJ59+DJ60+DJ61+DJ62+DJ63+DJ64+DJ65+DJ66+DJ67+DJ68+DJ69+DJ70+DJ71+DJ72</f>
        <v/>
      </c>
      <c r="DK57" s="58">
        <f>DK58+DK59+DK60+DK61+DK62+DK63+DK64+DK65+DK66+DK67+DK68+DK69+DK70+DK71+DK72</f>
        <v/>
      </c>
      <c r="DL57" s="58">
        <f>DK57-DJ57</f>
        <v/>
      </c>
      <c r="DM57" s="59">
        <f>IF(DJ57=0,"",DK57/DJ57)</f>
        <v/>
      </c>
      <c r="DN57" s="23" t="n"/>
      <c r="DO57" s="58">
        <f>DO58+DO59+DO60+DO61+DO62+DO63+DO64+DO65+DO66+DO67+DO68+DO69+DO70+DO71+DO72</f>
        <v/>
      </c>
    </row>
    <row r="58" outlineLevel="1" ht="15" customHeight="1">
      <c r="A58" s="24" t="n"/>
      <c r="B58" s="24" t="n"/>
      <c r="C58" s="24" t="n"/>
      <c r="D58" s="60" t="n"/>
      <c r="E58" s="60" t="n"/>
      <c r="F58" s="60">
        <f>E58-D58</f>
        <v/>
      </c>
      <c r="G58" s="61">
        <f>IF(D58=0,"",E58/D58)</f>
        <v/>
      </c>
      <c r="H58" s="27" t="n"/>
      <c r="I58" s="60" t="n"/>
      <c r="J58" s="60" t="n"/>
      <c r="K58" s="60">
        <f>J58-I58</f>
        <v/>
      </c>
      <c r="L58" s="61">
        <f>IF(I58=0,"",J58/I58)</f>
        <v/>
      </c>
      <c r="M58" s="27" t="n"/>
      <c r="N58" s="62" t="n"/>
      <c r="O58" s="62" t="n"/>
      <c r="P58" s="63">
        <f>O58-N58</f>
        <v/>
      </c>
      <c r="Q58" s="64">
        <f>IF(N58=0,"",O58/N58)</f>
        <v/>
      </c>
      <c r="R58" s="31" t="n"/>
      <c r="S58" s="60" t="n"/>
      <c r="T58" s="60" t="n"/>
      <c r="U58" s="60">
        <f>T58-S58</f>
        <v/>
      </c>
      <c r="V58" s="61">
        <f>IF(S58=0,"",T58/S58)</f>
        <v/>
      </c>
      <c r="W58" s="27" t="n"/>
      <c r="X58" s="62" t="n"/>
      <c r="Y58" s="62" t="n"/>
      <c r="Z58" s="63">
        <f>Y58-X58</f>
        <v/>
      </c>
      <c r="AA58" s="64">
        <f>IF(X58=0,"",Y58/X58)</f>
        <v/>
      </c>
      <c r="AB58" s="31" t="n"/>
      <c r="AC58" s="60" t="n"/>
      <c r="AD58" s="60" t="n"/>
      <c r="AE58" s="60">
        <f>AD58-AC58</f>
        <v/>
      </c>
      <c r="AF58" s="61">
        <f>IF(AC58=0,"",AD58/AC58)</f>
        <v/>
      </c>
      <c r="AG58" s="27" t="n"/>
      <c r="AH58" s="62" t="n"/>
      <c r="AI58" s="62" t="n"/>
      <c r="AJ58" s="62">
        <f>AI58-AH58</f>
        <v/>
      </c>
      <c r="AK58" s="64">
        <f>IF(AH58=0,"",AI58/AH58)</f>
        <v/>
      </c>
      <c r="AL58" s="31" t="n"/>
      <c r="AM58" s="60" t="n"/>
      <c r="AN58" s="60" t="n"/>
      <c r="AO58" s="60">
        <f>AN58-AM58</f>
        <v/>
      </c>
      <c r="AP58" s="61">
        <f>IF(AM58=0,"",AN58/AM58)</f>
        <v/>
      </c>
      <c r="AQ58" s="27" t="n"/>
      <c r="AR58" s="62" t="n"/>
      <c r="AS58" s="62" t="n"/>
      <c r="AT58" s="62">
        <f>AS58-AR58</f>
        <v/>
      </c>
      <c r="AU58" s="64">
        <f>IF(AR58=0,"",AS58/AR58)</f>
        <v/>
      </c>
      <c r="AV58" s="31" t="n"/>
      <c r="AW58" s="60" t="n"/>
      <c r="AX58" s="60" t="n"/>
      <c r="AY58" s="60">
        <f>AX58-AW58</f>
        <v/>
      </c>
      <c r="AZ58" s="61">
        <f>IF(AW58=0,"",AX58/AW58)</f>
        <v/>
      </c>
      <c r="BA58" s="27" t="n"/>
      <c r="BB58" s="62" t="n"/>
      <c r="BC58" s="62" t="n"/>
      <c r="BD58" s="62">
        <f>BC58-BB58</f>
        <v/>
      </c>
      <c r="BE58" s="64">
        <f>IF(BB58=0,"",BC58/BB58)</f>
        <v/>
      </c>
      <c r="BF58" s="31" t="n"/>
      <c r="BG58" s="60" t="n"/>
      <c r="BH58" s="60" t="n"/>
      <c r="BI58" s="60">
        <f>BH58-BG58</f>
        <v/>
      </c>
      <c r="BJ58" s="61">
        <f>IF(BG58=0,"",BH58/BG58)</f>
        <v/>
      </c>
      <c r="BK58" s="27" t="n"/>
      <c r="BL58" s="62" t="n"/>
      <c r="BM58" s="62" t="n"/>
      <c r="BN58" s="62">
        <f>BM58-BL58</f>
        <v/>
      </c>
      <c r="BO58" s="64">
        <f>IF(BL58=0,"",BM58/BL58)</f>
        <v/>
      </c>
      <c r="BP58" s="31" t="n"/>
      <c r="BQ58" s="60" t="n"/>
      <c r="BR58" s="60" t="n"/>
      <c r="BS58" s="60">
        <f>BR58-BQ58</f>
        <v/>
      </c>
      <c r="BT58" s="61">
        <f>IF(BQ58=0,"",BR58/BQ58)</f>
        <v/>
      </c>
      <c r="BU58" s="27" t="n"/>
      <c r="BV58" s="62" t="n"/>
      <c r="BW58" s="62" t="n"/>
      <c r="BX58" s="62">
        <f>BW58-BV58</f>
        <v/>
      </c>
      <c r="BY58" s="64">
        <f>IF(BV58=0,"",BW58/BV58)</f>
        <v/>
      </c>
      <c r="BZ58" s="31" t="n"/>
      <c r="CA58" s="60" t="n"/>
      <c r="CB58" s="60" t="n"/>
      <c r="CC58" s="60">
        <f>CB58-CA58</f>
        <v/>
      </c>
      <c r="CD58" s="61">
        <f>IF(CA58=0,"",CB58/CA58)</f>
        <v/>
      </c>
      <c r="CE58" s="27" t="n"/>
      <c r="CF58" s="62" t="n"/>
      <c r="CG58" s="62" t="n"/>
      <c r="CH58" s="62">
        <f>CG58-CF58</f>
        <v/>
      </c>
      <c r="CI58" s="64">
        <f>IF(CF58=0,"",CG58/CF58)</f>
        <v/>
      </c>
      <c r="CJ58" s="31" t="n"/>
      <c r="CK58" s="60" t="n"/>
      <c r="CL58" s="60" t="n"/>
      <c r="CM58" s="60">
        <f>CL58-CK58</f>
        <v/>
      </c>
      <c r="CN58" s="61">
        <f>IF(CK58=0,"",CL58/CK58)</f>
        <v/>
      </c>
      <c r="CO58" s="27" t="n"/>
      <c r="CP58" s="62" t="n"/>
      <c r="CQ58" s="62" t="n"/>
      <c r="CR58" s="62">
        <f>CQ58-CP58</f>
        <v/>
      </c>
      <c r="CS58" s="64">
        <f>IF(CP58=0,"",CQ58/CP58)</f>
        <v/>
      </c>
      <c r="CT58" s="31" t="n"/>
      <c r="CU58" s="60" t="n"/>
      <c r="CV58" s="60" t="n"/>
      <c r="CW58" s="60">
        <f>CV58-CU58</f>
        <v/>
      </c>
      <c r="CX58" s="61">
        <f>IF(CU58=0,"",CV58/CU58)</f>
        <v/>
      </c>
      <c r="CY58" s="27" t="n"/>
      <c r="CZ58" s="62" t="n"/>
      <c r="DA58" s="62" t="n"/>
      <c r="DB58" s="62">
        <f>DA58-CZ58</f>
        <v/>
      </c>
      <c r="DC58" s="64">
        <f>IF(CZ58=0,"",DA58/CZ58)</f>
        <v/>
      </c>
      <c r="DD58" s="31" t="n"/>
      <c r="DE58" s="60" t="n"/>
      <c r="DF58" s="60" t="n"/>
      <c r="DG58" s="60">
        <f>DF58-DE58</f>
        <v/>
      </c>
      <c r="DH58" s="61">
        <f>IF(DE58=0,"",DF58/DE58)</f>
        <v/>
      </c>
      <c r="DI58" s="27" t="n"/>
      <c r="DJ58" s="62" t="n"/>
      <c r="DK58" s="62" t="n"/>
      <c r="DL58" s="62">
        <f>DK58-DJ58</f>
        <v/>
      </c>
      <c r="DM58" s="64">
        <f>IF(DJ58=0,"",DK58/DJ58)</f>
        <v/>
      </c>
      <c r="DN58" s="31" t="n"/>
      <c r="DO58" s="60" t="n"/>
    </row>
    <row r="59" outlineLevel="1" ht="15" customHeight="1">
      <c r="A59" s="24" t="n"/>
      <c r="B59" s="24" t="n"/>
      <c r="C59" s="24" t="n"/>
      <c r="D59" s="60" t="n"/>
      <c r="E59" s="60" t="n"/>
      <c r="F59" s="60">
        <f>E59-D59</f>
        <v/>
      </c>
      <c r="G59" s="61">
        <f>IF(D59=0,"",E59/D59)</f>
        <v/>
      </c>
      <c r="H59" s="27" t="n"/>
      <c r="I59" s="60" t="n"/>
      <c r="J59" s="60" t="n"/>
      <c r="K59" s="60">
        <f>J59-I59</f>
        <v/>
      </c>
      <c r="L59" s="61">
        <f>IF(I59=0,"",J59/I59)</f>
        <v/>
      </c>
      <c r="M59" s="27" t="n"/>
      <c r="N59" s="62" t="n"/>
      <c r="O59" s="62" t="n"/>
      <c r="P59" s="62">
        <f>O59-N59</f>
        <v/>
      </c>
      <c r="Q59" s="64">
        <f>IF(N59=0,"",O59/N59)</f>
        <v/>
      </c>
      <c r="R59" s="31" t="n"/>
      <c r="S59" s="60" t="n"/>
      <c r="T59" s="60" t="n"/>
      <c r="U59" s="60">
        <f>T59-S59</f>
        <v/>
      </c>
      <c r="V59" s="61">
        <f>IF(S59=0,"",T59/S59)</f>
        <v/>
      </c>
      <c r="W59" s="27" t="n"/>
      <c r="X59" s="62" t="n"/>
      <c r="Y59" s="62" t="n"/>
      <c r="Z59" s="62">
        <f>Y59-X59</f>
        <v/>
      </c>
      <c r="AA59" s="64">
        <f>IF(X59=0,"",Y59/X59)</f>
        <v/>
      </c>
      <c r="AB59" s="31" t="n"/>
      <c r="AC59" s="60" t="n"/>
      <c r="AD59" s="60" t="n"/>
      <c r="AE59" s="60">
        <f>AD59-AC59</f>
        <v/>
      </c>
      <c r="AF59" s="61">
        <f>IF(AC59=0,"",AD59/AC59)</f>
        <v/>
      </c>
      <c r="AG59" s="27" t="n"/>
      <c r="AH59" s="62" t="n"/>
      <c r="AI59" s="62" t="n"/>
      <c r="AJ59" s="62">
        <f>AI59-AH59</f>
        <v/>
      </c>
      <c r="AK59" s="64">
        <f>IF(AH59=0,"",AI59/AH59)</f>
        <v/>
      </c>
      <c r="AL59" s="31" t="n"/>
      <c r="AM59" s="60" t="n"/>
      <c r="AN59" s="60" t="n"/>
      <c r="AO59" s="60">
        <f>AN59-AM59</f>
        <v/>
      </c>
      <c r="AP59" s="61">
        <f>IF(AM59=0,"",AN59/AM59)</f>
        <v/>
      </c>
      <c r="AQ59" s="27" t="n"/>
      <c r="AR59" s="62" t="n"/>
      <c r="AS59" s="62" t="n"/>
      <c r="AT59" s="62">
        <f>AS59-AR59</f>
        <v/>
      </c>
      <c r="AU59" s="64">
        <f>IF(AR59=0,"",AS59/AR59)</f>
        <v/>
      </c>
      <c r="AV59" s="31" t="n"/>
      <c r="AW59" s="60" t="n"/>
      <c r="AX59" s="60" t="n"/>
      <c r="AY59" s="60">
        <f>AX59-AW59</f>
        <v/>
      </c>
      <c r="AZ59" s="61">
        <f>IF(AW59=0,"",AX59/AW59)</f>
        <v/>
      </c>
      <c r="BA59" s="27" t="n"/>
      <c r="BB59" s="62" t="n"/>
      <c r="BC59" s="62" t="n"/>
      <c r="BD59" s="62">
        <f>BC59-BB59</f>
        <v/>
      </c>
      <c r="BE59" s="64">
        <f>IF(BB59=0,"",BC59/BB59)</f>
        <v/>
      </c>
      <c r="BF59" s="31" t="n"/>
      <c r="BG59" s="60" t="n"/>
      <c r="BH59" s="60" t="n"/>
      <c r="BI59" s="60">
        <f>BH59-BG59</f>
        <v/>
      </c>
      <c r="BJ59" s="61">
        <f>IF(BG59=0,"",BH59/BG59)</f>
        <v/>
      </c>
      <c r="BK59" s="27" t="n"/>
      <c r="BL59" s="62" t="n"/>
      <c r="BM59" s="62" t="n"/>
      <c r="BN59" s="62">
        <f>BM59-BL59</f>
        <v/>
      </c>
      <c r="BO59" s="64">
        <f>IF(BL59=0,"",BM59/BL59)</f>
        <v/>
      </c>
      <c r="BP59" s="31" t="n"/>
      <c r="BQ59" s="60" t="n"/>
      <c r="BR59" s="60" t="n"/>
      <c r="BS59" s="60">
        <f>BR59-BQ59</f>
        <v/>
      </c>
      <c r="BT59" s="61">
        <f>IF(BQ59=0,"",BR59/BQ59)</f>
        <v/>
      </c>
      <c r="BU59" s="27" t="n"/>
      <c r="BV59" s="62" t="n"/>
      <c r="BW59" s="62" t="n"/>
      <c r="BX59" s="62">
        <f>BW59-BV59</f>
        <v/>
      </c>
      <c r="BY59" s="64">
        <f>IF(BV59=0,"",BW59/BV59)</f>
        <v/>
      </c>
      <c r="BZ59" s="31" t="n"/>
      <c r="CA59" s="60" t="n"/>
      <c r="CB59" s="60" t="n"/>
      <c r="CC59" s="60">
        <f>CB59-CA59</f>
        <v/>
      </c>
      <c r="CD59" s="61">
        <f>IF(CA59=0,"",CB59/CA59)</f>
        <v/>
      </c>
      <c r="CE59" s="27" t="n"/>
      <c r="CF59" s="62" t="n"/>
      <c r="CG59" s="62" t="n"/>
      <c r="CH59" s="62">
        <f>CG59-CF59</f>
        <v/>
      </c>
      <c r="CI59" s="64">
        <f>IF(CF59=0,"",CG59/CF59)</f>
        <v/>
      </c>
      <c r="CJ59" s="31" t="n"/>
      <c r="CK59" s="60" t="n"/>
      <c r="CL59" s="60" t="n"/>
      <c r="CM59" s="60">
        <f>CL59-CK59</f>
        <v/>
      </c>
      <c r="CN59" s="61">
        <f>IF(CK59=0,"",CL59/CK59)</f>
        <v/>
      </c>
      <c r="CO59" s="27" t="n"/>
      <c r="CP59" s="62" t="n"/>
      <c r="CQ59" s="62" t="n"/>
      <c r="CR59" s="62">
        <f>CQ59-CP59</f>
        <v/>
      </c>
      <c r="CS59" s="64">
        <f>IF(CP59=0,"",CQ59/CP59)</f>
        <v/>
      </c>
      <c r="CT59" s="31" t="n"/>
      <c r="CU59" s="60" t="n"/>
      <c r="CV59" s="60" t="n"/>
      <c r="CW59" s="60">
        <f>CV59-CU59</f>
        <v/>
      </c>
      <c r="CX59" s="61">
        <f>IF(CU59=0,"",CV59/CU59)</f>
        <v/>
      </c>
      <c r="CY59" s="27" t="n"/>
      <c r="CZ59" s="62" t="n"/>
      <c r="DA59" s="62" t="n"/>
      <c r="DB59" s="62">
        <f>DA59-CZ59</f>
        <v/>
      </c>
      <c r="DC59" s="64">
        <f>IF(CZ59=0,"",DA59/CZ59)</f>
        <v/>
      </c>
      <c r="DD59" s="31" t="n"/>
      <c r="DE59" s="60" t="n"/>
      <c r="DF59" s="60" t="n"/>
      <c r="DG59" s="60">
        <f>DF59-DE59</f>
        <v/>
      </c>
      <c r="DH59" s="61">
        <f>IF(DE59=0,"",DF59/DE59)</f>
        <v/>
      </c>
      <c r="DI59" s="27" t="n"/>
      <c r="DJ59" s="62" t="n"/>
      <c r="DK59" s="62" t="n"/>
      <c r="DL59" s="62">
        <f>DK59-DJ59</f>
        <v/>
      </c>
      <c r="DM59" s="64">
        <f>IF(DJ59=0,"",DK59/DJ59)</f>
        <v/>
      </c>
      <c r="DN59" s="31" t="n"/>
      <c r="DO59" s="60" t="n"/>
    </row>
    <row r="60" outlineLevel="1" ht="15" customHeight="1">
      <c r="A60" s="24" t="n"/>
      <c r="B60" s="24" t="n"/>
      <c r="C60" s="24" t="n"/>
      <c r="D60" s="60" t="n"/>
      <c r="E60" s="60" t="n"/>
      <c r="F60" s="60">
        <f>E60-D60</f>
        <v/>
      </c>
      <c r="G60" s="61">
        <f>IF(D60=0,"",E60/D60)</f>
        <v/>
      </c>
      <c r="H60" s="27" t="n"/>
      <c r="I60" s="60" t="n"/>
      <c r="J60" s="60" t="n"/>
      <c r="K60" s="60">
        <f>J60-I60</f>
        <v/>
      </c>
      <c r="L60" s="61">
        <f>IF(I60=0,"",J60/I60)</f>
        <v/>
      </c>
      <c r="M60" s="27" t="n"/>
      <c r="N60" s="62" t="n"/>
      <c r="O60" s="62" t="n"/>
      <c r="P60" s="62">
        <f>O60-N60</f>
        <v/>
      </c>
      <c r="Q60" s="64">
        <f>IF(N60=0,"",O60/N60)</f>
        <v/>
      </c>
      <c r="R60" s="31" t="n"/>
      <c r="S60" s="60" t="n"/>
      <c r="T60" s="60" t="n"/>
      <c r="U60" s="60">
        <f>T60-S60</f>
        <v/>
      </c>
      <c r="V60" s="61">
        <f>IF(S60=0,"",T60/S60)</f>
        <v/>
      </c>
      <c r="W60" s="27" t="n"/>
      <c r="X60" s="62" t="n"/>
      <c r="Y60" s="62" t="n"/>
      <c r="Z60" s="62">
        <f>Y60-X60</f>
        <v/>
      </c>
      <c r="AA60" s="64">
        <f>IF(X60=0,"",Y60/X60)</f>
        <v/>
      </c>
      <c r="AB60" s="31" t="n"/>
      <c r="AC60" s="60" t="n"/>
      <c r="AD60" s="60" t="n"/>
      <c r="AE60" s="60">
        <f>AD60-AC60</f>
        <v/>
      </c>
      <c r="AF60" s="61">
        <f>IF(AC60=0,"",AD60/AC60)</f>
        <v/>
      </c>
      <c r="AG60" s="27" t="n"/>
      <c r="AH60" s="62" t="n"/>
      <c r="AI60" s="62" t="n"/>
      <c r="AJ60" s="62">
        <f>AI60-AH60</f>
        <v/>
      </c>
      <c r="AK60" s="64">
        <f>IF(AH60=0,"",AI60/AH60)</f>
        <v/>
      </c>
      <c r="AL60" s="31" t="n"/>
      <c r="AM60" s="60" t="n"/>
      <c r="AN60" s="60" t="n"/>
      <c r="AO60" s="60">
        <f>AN60-AM60</f>
        <v/>
      </c>
      <c r="AP60" s="61">
        <f>IF(AM60=0,"",AN60/AM60)</f>
        <v/>
      </c>
      <c r="AQ60" s="27" t="n"/>
      <c r="AR60" s="62" t="n"/>
      <c r="AS60" s="62" t="n"/>
      <c r="AT60" s="62">
        <f>AS60-AR60</f>
        <v/>
      </c>
      <c r="AU60" s="64">
        <f>IF(AR60=0,"",AS60/AR60)</f>
        <v/>
      </c>
      <c r="AV60" s="31" t="n"/>
      <c r="AW60" s="60" t="n"/>
      <c r="AX60" s="60" t="n"/>
      <c r="AY60" s="60">
        <f>AX60-AW60</f>
        <v/>
      </c>
      <c r="AZ60" s="61">
        <f>IF(AW60=0,"",AX60/AW60)</f>
        <v/>
      </c>
      <c r="BA60" s="27" t="n"/>
      <c r="BB60" s="62" t="n"/>
      <c r="BC60" s="62" t="n"/>
      <c r="BD60" s="62">
        <f>BC60-BB60</f>
        <v/>
      </c>
      <c r="BE60" s="64">
        <f>IF(BB60=0,"",BC60/BB60)</f>
        <v/>
      </c>
      <c r="BF60" s="31" t="n"/>
      <c r="BG60" s="60" t="n"/>
      <c r="BH60" s="60" t="n"/>
      <c r="BI60" s="60">
        <f>BH60-BG60</f>
        <v/>
      </c>
      <c r="BJ60" s="61">
        <f>IF(BG60=0,"",BH60/BG60)</f>
        <v/>
      </c>
      <c r="BK60" s="27" t="n"/>
      <c r="BL60" s="62" t="n"/>
      <c r="BM60" s="62" t="n"/>
      <c r="BN60" s="62">
        <f>BM60-BL60</f>
        <v/>
      </c>
      <c r="BO60" s="64">
        <f>IF(BL60=0,"",BM60/BL60)</f>
        <v/>
      </c>
      <c r="BP60" s="31" t="n"/>
      <c r="BQ60" s="60" t="n"/>
      <c r="BR60" s="60" t="n"/>
      <c r="BS60" s="60">
        <f>BR60-BQ60</f>
        <v/>
      </c>
      <c r="BT60" s="61">
        <f>IF(BQ60=0,"",BR60/BQ60)</f>
        <v/>
      </c>
      <c r="BU60" s="27" t="n"/>
      <c r="BV60" s="62" t="n"/>
      <c r="BW60" s="62" t="n"/>
      <c r="BX60" s="62">
        <f>BW60-BV60</f>
        <v/>
      </c>
      <c r="BY60" s="64">
        <f>IF(BV60=0,"",BW60/BV60)</f>
        <v/>
      </c>
      <c r="BZ60" s="31" t="n"/>
      <c r="CA60" s="60" t="n"/>
      <c r="CB60" s="60" t="n"/>
      <c r="CC60" s="60">
        <f>CB60-CA60</f>
        <v/>
      </c>
      <c r="CD60" s="61">
        <f>IF(CA60=0,"",CB60/CA60)</f>
        <v/>
      </c>
      <c r="CE60" s="27" t="n"/>
      <c r="CF60" s="62" t="n"/>
      <c r="CG60" s="62" t="n"/>
      <c r="CH60" s="62">
        <f>CG60-CF60</f>
        <v/>
      </c>
      <c r="CI60" s="64">
        <f>IF(CF60=0,"",CG60/CF60)</f>
        <v/>
      </c>
      <c r="CJ60" s="31" t="n"/>
      <c r="CK60" s="60" t="n"/>
      <c r="CL60" s="60" t="n"/>
      <c r="CM60" s="60">
        <f>CL60-CK60</f>
        <v/>
      </c>
      <c r="CN60" s="61">
        <f>IF(CK60=0,"",CL60/CK60)</f>
        <v/>
      </c>
      <c r="CO60" s="27" t="n"/>
      <c r="CP60" s="62" t="n"/>
      <c r="CQ60" s="62" t="n"/>
      <c r="CR60" s="62">
        <f>CQ60-CP60</f>
        <v/>
      </c>
      <c r="CS60" s="64">
        <f>IF(CP60=0,"",CQ60/CP60)</f>
        <v/>
      </c>
      <c r="CT60" s="31" t="n"/>
      <c r="CU60" s="60" t="n"/>
      <c r="CV60" s="60" t="n"/>
      <c r="CW60" s="60">
        <f>CV60-CU60</f>
        <v/>
      </c>
      <c r="CX60" s="61">
        <f>IF(CU60=0,"",CV60/CU60)</f>
        <v/>
      </c>
      <c r="CY60" s="27" t="n"/>
      <c r="CZ60" s="62" t="n"/>
      <c r="DA60" s="62" t="n"/>
      <c r="DB60" s="62">
        <f>DA60-CZ60</f>
        <v/>
      </c>
      <c r="DC60" s="64">
        <f>IF(CZ60=0,"",DA60/CZ60)</f>
        <v/>
      </c>
      <c r="DD60" s="31" t="n"/>
      <c r="DE60" s="60" t="n"/>
      <c r="DF60" s="60" t="n"/>
      <c r="DG60" s="60">
        <f>DF60-DE60</f>
        <v/>
      </c>
      <c r="DH60" s="61">
        <f>IF(DE60=0,"",DF60/DE60)</f>
        <v/>
      </c>
      <c r="DI60" s="27" t="n"/>
      <c r="DJ60" s="62" t="n"/>
      <c r="DK60" s="62" t="n"/>
      <c r="DL60" s="62">
        <f>DK60-DJ60</f>
        <v/>
      </c>
      <c r="DM60" s="64">
        <f>IF(DJ60=0,"",DK60/DJ60)</f>
        <v/>
      </c>
      <c r="DN60" s="31" t="n"/>
      <c r="DO60" s="60" t="n"/>
    </row>
    <row r="61" outlineLevel="1" ht="15" customHeight="1">
      <c r="A61" s="24" t="n"/>
      <c r="B61" s="24" t="n"/>
      <c r="C61" s="24" t="n"/>
      <c r="D61" s="60" t="n"/>
      <c r="E61" s="60" t="n"/>
      <c r="F61" s="60">
        <f>E61-D61</f>
        <v/>
      </c>
      <c r="G61" s="61">
        <f>IF(D61=0,"",E61/D61)</f>
        <v/>
      </c>
      <c r="H61" s="27" t="n"/>
      <c r="I61" s="60" t="n"/>
      <c r="J61" s="60" t="n"/>
      <c r="K61" s="60">
        <f>J61-I61</f>
        <v/>
      </c>
      <c r="L61" s="61">
        <f>IF(I61=0,"",J61/I61)</f>
        <v/>
      </c>
      <c r="M61" s="27" t="n"/>
      <c r="N61" s="62" t="n"/>
      <c r="O61" s="62" t="n"/>
      <c r="P61" s="63">
        <f>O61-N61</f>
        <v/>
      </c>
      <c r="Q61" s="64">
        <f>IF(N61=0,"",O61/N61)</f>
        <v/>
      </c>
      <c r="R61" s="31" t="n"/>
      <c r="S61" s="60" t="n"/>
      <c r="T61" s="60" t="n"/>
      <c r="U61" s="60">
        <f>T61-S61</f>
        <v/>
      </c>
      <c r="V61" s="61">
        <f>IF(S61=0,"",T61/S61)</f>
        <v/>
      </c>
      <c r="W61" s="27" t="n"/>
      <c r="X61" s="62" t="n"/>
      <c r="Y61" s="62" t="n"/>
      <c r="Z61" s="63">
        <f>Y61-X61</f>
        <v/>
      </c>
      <c r="AA61" s="64">
        <f>IF(X61=0,"",Y61/X61)</f>
        <v/>
      </c>
      <c r="AB61" s="31" t="n"/>
      <c r="AC61" s="60" t="n"/>
      <c r="AD61" s="60" t="n"/>
      <c r="AE61" s="60">
        <f>AD61-AC61</f>
        <v/>
      </c>
      <c r="AF61" s="61">
        <f>IF(AC61=0,"",AD61/AC61)</f>
        <v/>
      </c>
      <c r="AG61" s="27" t="n"/>
      <c r="AH61" s="62" t="n"/>
      <c r="AI61" s="62" t="n"/>
      <c r="AJ61" s="62">
        <f>AI61-AH61</f>
        <v/>
      </c>
      <c r="AK61" s="64">
        <f>IF(AH61=0,"",AI61/AH61)</f>
        <v/>
      </c>
      <c r="AL61" s="31" t="n"/>
      <c r="AM61" s="60" t="n"/>
      <c r="AN61" s="60" t="n"/>
      <c r="AO61" s="60">
        <f>AN61-AM61</f>
        <v/>
      </c>
      <c r="AP61" s="61">
        <f>IF(AM61=0,"",AN61/AM61)</f>
        <v/>
      </c>
      <c r="AQ61" s="27" t="n"/>
      <c r="AR61" s="62" t="n"/>
      <c r="AS61" s="62" t="n"/>
      <c r="AT61" s="62">
        <f>AS61-AR61</f>
        <v/>
      </c>
      <c r="AU61" s="64">
        <f>IF(AR61=0,"",AS61/AR61)</f>
        <v/>
      </c>
      <c r="AV61" s="31" t="n"/>
      <c r="AW61" s="60" t="n"/>
      <c r="AX61" s="60" t="n"/>
      <c r="AY61" s="60">
        <f>AX61-AW61</f>
        <v/>
      </c>
      <c r="AZ61" s="61">
        <f>IF(AW61=0,"",AX61/AW61)</f>
        <v/>
      </c>
      <c r="BA61" s="27" t="n"/>
      <c r="BB61" s="62" t="n"/>
      <c r="BC61" s="62" t="n"/>
      <c r="BD61" s="62">
        <f>BC61-BB61</f>
        <v/>
      </c>
      <c r="BE61" s="64">
        <f>IF(BB61=0,"",BC61/BB61)</f>
        <v/>
      </c>
      <c r="BF61" s="31" t="n"/>
      <c r="BG61" s="60" t="n"/>
      <c r="BH61" s="60" t="n"/>
      <c r="BI61" s="60">
        <f>BH61-BG61</f>
        <v/>
      </c>
      <c r="BJ61" s="61">
        <f>IF(BG61=0,"",BH61/BG61)</f>
        <v/>
      </c>
      <c r="BK61" s="27" t="n"/>
      <c r="BL61" s="62" t="n"/>
      <c r="BM61" s="62" t="n"/>
      <c r="BN61" s="62">
        <f>BM61-BL61</f>
        <v/>
      </c>
      <c r="BO61" s="64">
        <f>IF(BL61=0,"",BM61/BL61)</f>
        <v/>
      </c>
      <c r="BP61" s="31" t="n"/>
      <c r="BQ61" s="60" t="n"/>
      <c r="BR61" s="60" t="n"/>
      <c r="BS61" s="60">
        <f>BR61-BQ61</f>
        <v/>
      </c>
      <c r="BT61" s="61">
        <f>IF(BQ61=0,"",BR61/BQ61)</f>
        <v/>
      </c>
      <c r="BU61" s="27" t="n"/>
      <c r="BV61" s="62" t="n"/>
      <c r="BW61" s="62" t="n"/>
      <c r="BX61" s="62">
        <f>BW61-BV61</f>
        <v/>
      </c>
      <c r="BY61" s="64">
        <f>IF(BV61=0,"",BW61/BV61)</f>
        <v/>
      </c>
      <c r="BZ61" s="31" t="n"/>
      <c r="CA61" s="60" t="n"/>
      <c r="CB61" s="60" t="n"/>
      <c r="CC61" s="60">
        <f>CB61-CA61</f>
        <v/>
      </c>
      <c r="CD61" s="61">
        <f>IF(CA61=0,"",CB61/CA61)</f>
        <v/>
      </c>
      <c r="CE61" s="27" t="n"/>
      <c r="CF61" s="62" t="n"/>
      <c r="CG61" s="62" t="n"/>
      <c r="CH61" s="62">
        <f>CG61-CF61</f>
        <v/>
      </c>
      <c r="CI61" s="64">
        <f>IF(CF61=0,"",CG61/CF61)</f>
        <v/>
      </c>
      <c r="CJ61" s="31" t="n"/>
      <c r="CK61" s="60" t="n"/>
      <c r="CL61" s="60" t="n"/>
      <c r="CM61" s="60">
        <f>CL61-CK61</f>
        <v/>
      </c>
      <c r="CN61" s="61">
        <f>IF(CK61=0,"",CL61/CK61)</f>
        <v/>
      </c>
      <c r="CO61" s="27" t="n"/>
      <c r="CP61" s="62" t="n"/>
      <c r="CQ61" s="62" t="n"/>
      <c r="CR61" s="62">
        <f>CQ61-CP61</f>
        <v/>
      </c>
      <c r="CS61" s="64">
        <f>IF(CP61=0,"",CQ61/CP61)</f>
        <v/>
      </c>
      <c r="CT61" s="31" t="n"/>
      <c r="CU61" s="60" t="n"/>
      <c r="CV61" s="60" t="n"/>
      <c r="CW61" s="60">
        <f>CV61-CU61</f>
        <v/>
      </c>
      <c r="CX61" s="61">
        <f>IF(CU61=0,"",CV61/CU61)</f>
        <v/>
      </c>
      <c r="CY61" s="27" t="n"/>
      <c r="CZ61" s="62" t="n"/>
      <c r="DA61" s="62" t="n"/>
      <c r="DB61" s="62">
        <f>DA61-CZ61</f>
        <v/>
      </c>
      <c r="DC61" s="64">
        <f>IF(CZ61=0,"",DA61/CZ61)</f>
        <v/>
      </c>
      <c r="DD61" s="31" t="n"/>
      <c r="DE61" s="60" t="n"/>
      <c r="DF61" s="60" t="n"/>
      <c r="DG61" s="60">
        <f>DF61-DE61</f>
        <v/>
      </c>
      <c r="DH61" s="61">
        <f>IF(DE61=0,"",DF61/DE61)</f>
        <v/>
      </c>
      <c r="DI61" s="27" t="n"/>
      <c r="DJ61" s="62" t="n"/>
      <c r="DK61" s="62" t="n"/>
      <c r="DL61" s="62">
        <f>DK61-DJ61</f>
        <v/>
      </c>
      <c r="DM61" s="64">
        <f>IF(DJ61=0,"",DK61/DJ61)</f>
        <v/>
      </c>
      <c r="DN61" s="31" t="n"/>
      <c r="DO61" s="60" t="n"/>
    </row>
    <row r="62" outlineLevel="1" ht="15" customHeight="1">
      <c r="A62" s="24" t="n"/>
      <c r="B62" s="24" t="n"/>
      <c r="C62" s="24" t="n"/>
      <c r="D62" s="60" t="n"/>
      <c r="E62" s="60" t="n"/>
      <c r="F62" s="60">
        <f>E62-D62</f>
        <v/>
      </c>
      <c r="G62" s="61">
        <f>IF(D62=0,"",E62/D62)</f>
        <v/>
      </c>
      <c r="H62" s="27" t="n"/>
      <c r="I62" s="60" t="n"/>
      <c r="J62" s="60" t="n"/>
      <c r="K62" s="60">
        <f>J62-I62</f>
        <v/>
      </c>
      <c r="L62" s="61">
        <f>IF(I62=0,"",J62/I62)</f>
        <v/>
      </c>
      <c r="M62" s="27" t="n"/>
      <c r="N62" s="62" t="n"/>
      <c r="O62" s="62" t="n"/>
      <c r="P62" s="62">
        <f>O62-N62</f>
        <v/>
      </c>
      <c r="Q62" s="64">
        <f>IF(N62=0,"",O62/N62)</f>
        <v/>
      </c>
      <c r="R62" s="31" t="n"/>
      <c r="S62" s="60" t="n"/>
      <c r="T62" s="60" t="n"/>
      <c r="U62" s="60">
        <f>T62-S62</f>
        <v/>
      </c>
      <c r="V62" s="61">
        <f>IF(S62=0,"",T62/S62)</f>
        <v/>
      </c>
      <c r="W62" s="27" t="n"/>
      <c r="X62" s="62" t="n"/>
      <c r="Y62" s="62" t="n"/>
      <c r="Z62" s="62">
        <f>Y62-X62</f>
        <v/>
      </c>
      <c r="AA62" s="64">
        <f>IF(X62=0,"",Y62/X62)</f>
        <v/>
      </c>
      <c r="AB62" s="31" t="n"/>
      <c r="AC62" s="60" t="n"/>
      <c r="AD62" s="60" t="n"/>
      <c r="AE62" s="60">
        <f>AD62-AC62</f>
        <v/>
      </c>
      <c r="AF62" s="61">
        <f>IF(AC62=0,"",AD62/AC62)</f>
        <v/>
      </c>
      <c r="AG62" s="27" t="n"/>
      <c r="AH62" s="62" t="n"/>
      <c r="AI62" s="62" t="n"/>
      <c r="AJ62" s="62">
        <f>AI62-AH62</f>
        <v/>
      </c>
      <c r="AK62" s="64">
        <f>IF(AH62=0,"",AI62/AH62)</f>
        <v/>
      </c>
      <c r="AL62" s="31" t="n"/>
      <c r="AM62" s="60" t="n"/>
      <c r="AN62" s="60" t="n"/>
      <c r="AO62" s="60">
        <f>AN62-AM62</f>
        <v/>
      </c>
      <c r="AP62" s="61">
        <f>IF(AM62=0,"",AN62/AM62)</f>
        <v/>
      </c>
      <c r="AQ62" s="27" t="n"/>
      <c r="AR62" s="62" t="n"/>
      <c r="AS62" s="62" t="n"/>
      <c r="AT62" s="62">
        <f>AS62-AR62</f>
        <v/>
      </c>
      <c r="AU62" s="64">
        <f>IF(AR62=0,"",AS62/AR62)</f>
        <v/>
      </c>
      <c r="AV62" s="31" t="n"/>
      <c r="AW62" s="60" t="n"/>
      <c r="AX62" s="60" t="n"/>
      <c r="AY62" s="60">
        <f>AX62-AW62</f>
        <v/>
      </c>
      <c r="AZ62" s="61">
        <f>IF(AW62=0,"",AX62/AW62)</f>
        <v/>
      </c>
      <c r="BA62" s="27" t="n"/>
      <c r="BB62" s="62" t="n"/>
      <c r="BC62" s="62" t="n"/>
      <c r="BD62" s="62">
        <f>BC62-BB62</f>
        <v/>
      </c>
      <c r="BE62" s="64">
        <f>IF(BB62=0,"",BC62/BB62)</f>
        <v/>
      </c>
      <c r="BF62" s="31" t="n"/>
      <c r="BG62" s="60" t="n"/>
      <c r="BH62" s="60" t="n"/>
      <c r="BI62" s="60">
        <f>BH62-BG62</f>
        <v/>
      </c>
      <c r="BJ62" s="61">
        <f>IF(BG62=0,"",BH62/BG62)</f>
        <v/>
      </c>
      <c r="BK62" s="27" t="n"/>
      <c r="BL62" s="62" t="n"/>
      <c r="BM62" s="62" t="n"/>
      <c r="BN62" s="62">
        <f>BM62-BL62</f>
        <v/>
      </c>
      <c r="BO62" s="64">
        <f>IF(BL62=0,"",BM62/BL62)</f>
        <v/>
      </c>
      <c r="BP62" s="31" t="n"/>
      <c r="BQ62" s="60" t="n"/>
      <c r="BR62" s="60" t="n"/>
      <c r="BS62" s="60">
        <f>BR62-BQ62</f>
        <v/>
      </c>
      <c r="BT62" s="61">
        <f>IF(BQ62=0,"",BR62/BQ62)</f>
        <v/>
      </c>
      <c r="BU62" s="27" t="n"/>
      <c r="BV62" s="62" t="n"/>
      <c r="BW62" s="62" t="n"/>
      <c r="BX62" s="62">
        <f>BW62-BV62</f>
        <v/>
      </c>
      <c r="BY62" s="64">
        <f>IF(BV62=0,"",BW62/BV62)</f>
        <v/>
      </c>
      <c r="BZ62" s="31" t="n"/>
      <c r="CA62" s="60" t="n"/>
      <c r="CB62" s="60" t="n"/>
      <c r="CC62" s="60">
        <f>CB62-CA62</f>
        <v/>
      </c>
      <c r="CD62" s="61">
        <f>IF(CA62=0,"",CB62/CA62)</f>
        <v/>
      </c>
      <c r="CE62" s="27" t="n"/>
      <c r="CF62" s="62" t="n"/>
      <c r="CG62" s="62" t="n"/>
      <c r="CH62" s="62">
        <f>CG62-CF62</f>
        <v/>
      </c>
      <c r="CI62" s="64">
        <f>IF(CF62=0,"",CG62/CF62)</f>
        <v/>
      </c>
      <c r="CJ62" s="31" t="n"/>
      <c r="CK62" s="60" t="n"/>
      <c r="CL62" s="60" t="n"/>
      <c r="CM62" s="60">
        <f>CL62-CK62</f>
        <v/>
      </c>
      <c r="CN62" s="61">
        <f>IF(CK62=0,"",CL62/CK62)</f>
        <v/>
      </c>
      <c r="CO62" s="27" t="n"/>
      <c r="CP62" s="62" t="n"/>
      <c r="CQ62" s="62" t="n"/>
      <c r="CR62" s="62">
        <f>CQ62-CP62</f>
        <v/>
      </c>
      <c r="CS62" s="64">
        <f>IF(CP62=0,"",CQ62/CP62)</f>
        <v/>
      </c>
      <c r="CT62" s="31" t="n"/>
      <c r="CU62" s="60" t="n"/>
      <c r="CV62" s="60" t="n"/>
      <c r="CW62" s="60">
        <f>CV62-CU62</f>
        <v/>
      </c>
      <c r="CX62" s="61">
        <f>IF(CU62=0,"",CV62/CU62)</f>
        <v/>
      </c>
      <c r="CY62" s="27" t="n"/>
      <c r="CZ62" s="62" t="n"/>
      <c r="DA62" s="62" t="n"/>
      <c r="DB62" s="62">
        <f>DA62-CZ62</f>
        <v/>
      </c>
      <c r="DC62" s="64">
        <f>IF(CZ62=0,"",DA62/CZ62)</f>
        <v/>
      </c>
      <c r="DD62" s="31" t="n"/>
      <c r="DE62" s="60" t="n"/>
      <c r="DF62" s="60" t="n"/>
      <c r="DG62" s="60">
        <f>DF62-DE62</f>
        <v/>
      </c>
      <c r="DH62" s="61">
        <f>IF(DE62=0,"",DF62/DE62)</f>
        <v/>
      </c>
      <c r="DI62" s="27" t="n"/>
      <c r="DJ62" s="62" t="n"/>
      <c r="DK62" s="62" t="n"/>
      <c r="DL62" s="62">
        <f>DK62-DJ62</f>
        <v/>
      </c>
      <c r="DM62" s="64">
        <f>IF(DJ62=0,"",DK62/DJ62)</f>
        <v/>
      </c>
      <c r="DN62" s="31" t="n"/>
      <c r="DO62" s="60" t="n"/>
    </row>
    <row r="63" outlineLevel="1" ht="15" customHeight="1">
      <c r="A63" s="24" t="n"/>
      <c r="B63" s="24" t="n"/>
      <c r="C63" s="24" t="n"/>
      <c r="D63" s="60" t="n"/>
      <c r="E63" s="60" t="n"/>
      <c r="F63" s="60">
        <f>E63-D63</f>
        <v/>
      </c>
      <c r="G63" s="61">
        <f>IF(D63=0,"",E63/D63)</f>
        <v/>
      </c>
      <c r="H63" s="27" t="n"/>
      <c r="I63" s="60" t="n"/>
      <c r="J63" s="60" t="n"/>
      <c r="K63" s="60">
        <f>J63-I63</f>
        <v/>
      </c>
      <c r="L63" s="61">
        <f>IF(I63=0,"",J63/I63)</f>
        <v/>
      </c>
      <c r="M63" s="27" t="n"/>
      <c r="N63" s="62" t="n"/>
      <c r="O63" s="62" t="n"/>
      <c r="P63" s="62">
        <f>O63-N63</f>
        <v/>
      </c>
      <c r="Q63" s="64">
        <f>IF(N63=0,"",O63/N63)</f>
        <v/>
      </c>
      <c r="R63" s="31" t="n"/>
      <c r="S63" s="60" t="n"/>
      <c r="T63" s="60" t="n"/>
      <c r="U63" s="60">
        <f>T63-S63</f>
        <v/>
      </c>
      <c r="V63" s="61">
        <f>IF(S63=0,"",T63/S63)</f>
        <v/>
      </c>
      <c r="W63" s="27" t="n"/>
      <c r="X63" s="62" t="n"/>
      <c r="Y63" s="62" t="n"/>
      <c r="Z63" s="62">
        <f>Y63-X63</f>
        <v/>
      </c>
      <c r="AA63" s="64">
        <f>IF(X63=0,"",Y63/X63)</f>
        <v/>
      </c>
      <c r="AB63" s="31" t="n"/>
      <c r="AC63" s="60" t="n"/>
      <c r="AD63" s="60" t="n"/>
      <c r="AE63" s="60">
        <f>AD63-AC63</f>
        <v/>
      </c>
      <c r="AF63" s="61">
        <f>IF(AC63=0,"",AD63/AC63)</f>
        <v/>
      </c>
      <c r="AG63" s="27" t="n"/>
      <c r="AH63" s="62" t="n"/>
      <c r="AI63" s="62" t="n"/>
      <c r="AJ63" s="62">
        <f>AI63-AH63</f>
        <v/>
      </c>
      <c r="AK63" s="64">
        <f>IF(AH63=0,"",AI63/AH63)</f>
        <v/>
      </c>
      <c r="AL63" s="31" t="n"/>
      <c r="AM63" s="60" t="n"/>
      <c r="AN63" s="60" t="n"/>
      <c r="AO63" s="60">
        <f>AN63-AM63</f>
        <v/>
      </c>
      <c r="AP63" s="61">
        <f>IF(AM63=0,"",AN63/AM63)</f>
        <v/>
      </c>
      <c r="AQ63" s="27" t="n"/>
      <c r="AR63" s="62" t="n"/>
      <c r="AS63" s="62" t="n"/>
      <c r="AT63" s="62">
        <f>AS63-AR63</f>
        <v/>
      </c>
      <c r="AU63" s="64">
        <f>IF(AR63=0,"",AS63/AR63)</f>
        <v/>
      </c>
      <c r="AV63" s="31" t="n"/>
      <c r="AW63" s="60" t="n"/>
      <c r="AX63" s="60" t="n"/>
      <c r="AY63" s="60">
        <f>AX63-AW63</f>
        <v/>
      </c>
      <c r="AZ63" s="61">
        <f>IF(AW63=0,"",AX63/AW63)</f>
        <v/>
      </c>
      <c r="BA63" s="27" t="n"/>
      <c r="BB63" s="62" t="n"/>
      <c r="BC63" s="62" t="n"/>
      <c r="BD63" s="62">
        <f>BC63-BB63</f>
        <v/>
      </c>
      <c r="BE63" s="64">
        <f>IF(BB63=0,"",BC63/BB63)</f>
        <v/>
      </c>
      <c r="BF63" s="31" t="n"/>
      <c r="BG63" s="60" t="n"/>
      <c r="BH63" s="60" t="n"/>
      <c r="BI63" s="60">
        <f>BH63-BG63</f>
        <v/>
      </c>
      <c r="BJ63" s="61">
        <f>IF(BG63=0,"",BH63/BG63)</f>
        <v/>
      </c>
      <c r="BK63" s="27" t="n"/>
      <c r="BL63" s="62" t="n"/>
      <c r="BM63" s="62" t="n"/>
      <c r="BN63" s="62">
        <f>BM63-BL63</f>
        <v/>
      </c>
      <c r="BO63" s="64">
        <f>IF(BL63=0,"",BM63/BL63)</f>
        <v/>
      </c>
      <c r="BP63" s="31" t="n"/>
      <c r="BQ63" s="60" t="n"/>
      <c r="BR63" s="60" t="n"/>
      <c r="BS63" s="60">
        <f>BR63-BQ63</f>
        <v/>
      </c>
      <c r="BT63" s="61">
        <f>IF(BQ63=0,"",BR63/BQ63)</f>
        <v/>
      </c>
      <c r="BU63" s="27" t="n"/>
      <c r="BV63" s="62" t="n"/>
      <c r="BW63" s="62" t="n"/>
      <c r="BX63" s="62">
        <f>BW63-BV63</f>
        <v/>
      </c>
      <c r="BY63" s="64">
        <f>IF(BV63=0,"",BW63/BV63)</f>
        <v/>
      </c>
      <c r="BZ63" s="31" t="n"/>
      <c r="CA63" s="60" t="n"/>
      <c r="CB63" s="60" t="n"/>
      <c r="CC63" s="60">
        <f>CB63-CA63</f>
        <v/>
      </c>
      <c r="CD63" s="61">
        <f>IF(CA63=0,"",CB63/CA63)</f>
        <v/>
      </c>
      <c r="CE63" s="27" t="n"/>
      <c r="CF63" s="62" t="n"/>
      <c r="CG63" s="62" t="n"/>
      <c r="CH63" s="62">
        <f>CG63-CF63</f>
        <v/>
      </c>
      <c r="CI63" s="64">
        <f>IF(CF63=0,"",CG63/CF63)</f>
        <v/>
      </c>
      <c r="CJ63" s="31" t="n"/>
      <c r="CK63" s="60" t="n"/>
      <c r="CL63" s="60" t="n"/>
      <c r="CM63" s="60">
        <f>CL63-CK63</f>
        <v/>
      </c>
      <c r="CN63" s="61">
        <f>IF(CK63=0,"",CL63/CK63)</f>
        <v/>
      </c>
      <c r="CO63" s="27" t="n"/>
      <c r="CP63" s="62" t="n"/>
      <c r="CQ63" s="62" t="n"/>
      <c r="CR63" s="62">
        <f>CQ63-CP63</f>
        <v/>
      </c>
      <c r="CS63" s="64">
        <f>IF(CP63=0,"",CQ63/CP63)</f>
        <v/>
      </c>
      <c r="CT63" s="31" t="n"/>
      <c r="CU63" s="60" t="n"/>
      <c r="CV63" s="60" t="n"/>
      <c r="CW63" s="60">
        <f>CV63-CU63</f>
        <v/>
      </c>
      <c r="CX63" s="61">
        <f>IF(CU63=0,"",CV63/CU63)</f>
        <v/>
      </c>
      <c r="CY63" s="27" t="n"/>
      <c r="CZ63" s="62" t="n"/>
      <c r="DA63" s="62" t="n"/>
      <c r="DB63" s="62">
        <f>DA63-CZ63</f>
        <v/>
      </c>
      <c r="DC63" s="64">
        <f>IF(CZ63=0,"",DA63/CZ63)</f>
        <v/>
      </c>
      <c r="DD63" s="31" t="n"/>
      <c r="DE63" s="60" t="n"/>
      <c r="DF63" s="60" t="n"/>
      <c r="DG63" s="60">
        <f>DF63-DE63</f>
        <v/>
      </c>
      <c r="DH63" s="61">
        <f>IF(DE63=0,"",DF63/DE63)</f>
        <v/>
      </c>
      <c r="DI63" s="27" t="n"/>
      <c r="DJ63" s="62" t="n"/>
      <c r="DK63" s="62" t="n"/>
      <c r="DL63" s="62">
        <f>DK63-DJ63</f>
        <v/>
      </c>
      <c r="DM63" s="64">
        <f>IF(DJ63=0,"",DK63/DJ63)</f>
        <v/>
      </c>
      <c r="DN63" s="31" t="n"/>
      <c r="DO63" s="60" t="n"/>
    </row>
    <row r="64" outlineLevel="1" ht="15" customHeight="1">
      <c r="A64" s="24" t="n"/>
      <c r="B64" s="24" t="n"/>
      <c r="C64" s="24" t="n"/>
      <c r="D64" s="60" t="n"/>
      <c r="E64" s="60" t="n"/>
      <c r="F64" s="60">
        <f>E64-D64</f>
        <v/>
      </c>
      <c r="G64" s="61">
        <f>IF(D64=0,"",E64/D64)</f>
        <v/>
      </c>
      <c r="H64" s="27" t="n"/>
      <c r="I64" s="60" t="n"/>
      <c r="J64" s="60" t="n"/>
      <c r="K64" s="60">
        <f>J64-I64</f>
        <v/>
      </c>
      <c r="L64" s="61">
        <f>IF(I64=0,"",J64/I64)</f>
        <v/>
      </c>
      <c r="M64" s="27" t="n"/>
      <c r="N64" s="62" t="n"/>
      <c r="O64" s="62" t="n"/>
      <c r="P64" s="62">
        <f>O64-N64</f>
        <v/>
      </c>
      <c r="Q64" s="64">
        <f>IF(N64=0,"",O64/N64)</f>
        <v/>
      </c>
      <c r="R64" s="31" t="n"/>
      <c r="S64" s="60" t="n"/>
      <c r="T64" s="60" t="n"/>
      <c r="U64" s="60">
        <f>T64-S64</f>
        <v/>
      </c>
      <c r="V64" s="61">
        <f>IF(S64=0,"",T64/S64)</f>
        <v/>
      </c>
      <c r="W64" s="27" t="n"/>
      <c r="X64" s="62" t="n"/>
      <c r="Y64" s="62" t="n"/>
      <c r="Z64" s="62">
        <f>Y64-X64</f>
        <v/>
      </c>
      <c r="AA64" s="64">
        <f>IF(X64=0,"",Y64/X64)</f>
        <v/>
      </c>
      <c r="AB64" s="31" t="n"/>
      <c r="AC64" s="60" t="n"/>
      <c r="AD64" s="60" t="n"/>
      <c r="AE64" s="60">
        <f>AD64-AC64</f>
        <v/>
      </c>
      <c r="AF64" s="61">
        <f>IF(AC64=0,"",AD64/AC64)</f>
        <v/>
      </c>
      <c r="AG64" s="27" t="n"/>
      <c r="AH64" s="62" t="n"/>
      <c r="AI64" s="62" t="n"/>
      <c r="AJ64" s="62">
        <f>AI64-AH64</f>
        <v/>
      </c>
      <c r="AK64" s="64">
        <f>IF(AH64=0,"",AI64/AH64)</f>
        <v/>
      </c>
      <c r="AL64" s="31" t="n"/>
      <c r="AM64" s="60" t="n"/>
      <c r="AN64" s="60" t="n"/>
      <c r="AO64" s="60">
        <f>AN64-AM64</f>
        <v/>
      </c>
      <c r="AP64" s="61">
        <f>IF(AM64=0,"",AN64/AM64)</f>
        <v/>
      </c>
      <c r="AQ64" s="27" t="n"/>
      <c r="AR64" s="62" t="n"/>
      <c r="AS64" s="62" t="n"/>
      <c r="AT64" s="62">
        <f>AS64-AR64</f>
        <v/>
      </c>
      <c r="AU64" s="64">
        <f>IF(AR64=0,"",AS64/AR64)</f>
        <v/>
      </c>
      <c r="AV64" s="31" t="n"/>
      <c r="AW64" s="60" t="n"/>
      <c r="AX64" s="60" t="n"/>
      <c r="AY64" s="60">
        <f>AX64-AW64</f>
        <v/>
      </c>
      <c r="AZ64" s="61">
        <f>IF(AW64=0,"",AX64/AW64)</f>
        <v/>
      </c>
      <c r="BA64" s="27" t="n"/>
      <c r="BB64" s="62" t="n"/>
      <c r="BC64" s="62" t="n"/>
      <c r="BD64" s="62">
        <f>BC64-BB64</f>
        <v/>
      </c>
      <c r="BE64" s="64">
        <f>IF(BB64=0,"",BC64/BB64)</f>
        <v/>
      </c>
      <c r="BF64" s="31" t="n"/>
      <c r="BG64" s="60" t="n"/>
      <c r="BH64" s="60" t="n"/>
      <c r="BI64" s="60">
        <f>BH64-BG64</f>
        <v/>
      </c>
      <c r="BJ64" s="61">
        <f>IF(BG64=0,"",BH64/BG64)</f>
        <v/>
      </c>
      <c r="BK64" s="27" t="n"/>
      <c r="BL64" s="62" t="n"/>
      <c r="BM64" s="62" t="n"/>
      <c r="BN64" s="62">
        <f>BM64-BL64</f>
        <v/>
      </c>
      <c r="BO64" s="64">
        <f>IF(BL64=0,"",BM64/BL64)</f>
        <v/>
      </c>
      <c r="BP64" s="31" t="n"/>
      <c r="BQ64" s="60" t="n"/>
      <c r="BR64" s="60" t="n"/>
      <c r="BS64" s="60">
        <f>BR64-BQ64</f>
        <v/>
      </c>
      <c r="BT64" s="61">
        <f>IF(BQ64=0,"",BR64/BQ64)</f>
        <v/>
      </c>
      <c r="BU64" s="27" t="n"/>
      <c r="BV64" s="62" t="n"/>
      <c r="BW64" s="62" t="n"/>
      <c r="BX64" s="62">
        <f>BW64-BV64</f>
        <v/>
      </c>
      <c r="BY64" s="64">
        <f>IF(BV64=0,"",BW64/BV64)</f>
        <v/>
      </c>
      <c r="BZ64" s="31" t="n"/>
      <c r="CA64" s="60" t="n"/>
      <c r="CB64" s="60" t="n"/>
      <c r="CC64" s="60">
        <f>CB64-CA64</f>
        <v/>
      </c>
      <c r="CD64" s="61">
        <f>IF(CA64=0,"",CB64/CA64)</f>
        <v/>
      </c>
      <c r="CE64" s="27" t="n"/>
      <c r="CF64" s="62" t="n"/>
      <c r="CG64" s="62" t="n"/>
      <c r="CH64" s="62">
        <f>CG64-CF64</f>
        <v/>
      </c>
      <c r="CI64" s="64">
        <f>IF(CF64=0,"",CG64/CF64)</f>
        <v/>
      </c>
      <c r="CJ64" s="31" t="n"/>
      <c r="CK64" s="60" t="n"/>
      <c r="CL64" s="60" t="n"/>
      <c r="CM64" s="60">
        <f>CL64-CK64</f>
        <v/>
      </c>
      <c r="CN64" s="61">
        <f>IF(CK64=0,"",CL64/CK64)</f>
        <v/>
      </c>
      <c r="CO64" s="27" t="n"/>
      <c r="CP64" s="62" t="n"/>
      <c r="CQ64" s="62" t="n"/>
      <c r="CR64" s="62">
        <f>CQ64-CP64</f>
        <v/>
      </c>
      <c r="CS64" s="64">
        <f>IF(CP64=0,"",CQ64/CP64)</f>
        <v/>
      </c>
      <c r="CT64" s="31" t="n"/>
      <c r="CU64" s="60" t="n"/>
      <c r="CV64" s="60" t="n"/>
      <c r="CW64" s="60">
        <f>CV64-CU64</f>
        <v/>
      </c>
      <c r="CX64" s="61">
        <f>IF(CU64=0,"",CV64/CU64)</f>
        <v/>
      </c>
      <c r="CY64" s="27" t="n"/>
      <c r="CZ64" s="62" t="n"/>
      <c r="DA64" s="62" t="n"/>
      <c r="DB64" s="62">
        <f>DA64-CZ64</f>
        <v/>
      </c>
      <c r="DC64" s="64">
        <f>IF(CZ64=0,"",DA64/CZ64)</f>
        <v/>
      </c>
      <c r="DD64" s="31" t="n"/>
      <c r="DE64" s="60" t="n"/>
      <c r="DF64" s="60" t="n"/>
      <c r="DG64" s="60">
        <f>DF64-DE64</f>
        <v/>
      </c>
      <c r="DH64" s="61">
        <f>IF(DE64=0,"",DF64/DE64)</f>
        <v/>
      </c>
      <c r="DI64" s="27" t="n"/>
      <c r="DJ64" s="62" t="n"/>
      <c r="DK64" s="62" t="n"/>
      <c r="DL64" s="62">
        <f>DK64-DJ64</f>
        <v/>
      </c>
      <c r="DM64" s="64">
        <f>IF(DJ64=0,"",DK64/DJ64)</f>
        <v/>
      </c>
      <c r="DN64" s="31" t="n"/>
      <c r="DO64" s="60" t="n"/>
    </row>
    <row r="65" outlineLevel="1" ht="15" customHeight="1">
      <c r="A65" s="24" t="n"/>
      <c r="B65" s="24" t="n"/>
      <c r="C65" s="24" t="n"/>
      <c r="D65" s="60" t="n"/>
      <c r="E65" s="60" t="n"/>
      <c r="F65" s="60">
        <f>E65-D65</f>
        <v/>
      </c>
      <c r="G65" s="61">
        <f>IF(D65=0,"",E65/D65)</f>
        <v/>
      </c>
      <c r="H65" s="27" t="n"/>
      <c r="I65" s="60" t="n"/>
      <c r="J65" s="60" t="n"/>
      <c r="K65" s="60">
        <f>J65-I65</f>
        <v/>
      </c>
      <c r="L65" s="61">
        <f>IF(I65=0,"",J65/I65)</f>
        <v/>
      </c>
      <c r="M65" s="27" t="n"/>
      <c r="N65" s="62" t="n"/>
      <c r="O65" s="62" t="n"/>
      <c r="P65" s="62">
        <f>O65-N65</f>
        <v/>
      </c>
      <c r="Q65" s="64">
        <f>IF(N65=0,"",O65/N65)</f>
        <v/>
      </c>
      <c r="R65" s="31" t="n"/>
      <c r="S65" s="60" t="n"/>
      <c r="T65" s="60" t="n"/>
      <c r="U65" s="60">
        <f>T65-S65</f>
        <v/>
      </c>
      <c r="V65" s="61">
        <f>IF(S65=0,"",T65/S65)</f>
        <v/>
      </c>
      <c r="W65" s="27" t="n"/>
      <c r="X65" s="62" t="n"/>
      <c r="Y65" s="62" t="n"/>
      <c r="Z65" s="62">
        <f>Y65-X65</f>
        <v/>
      </c>
      <c r="AA65" s="64">
        <f>IF(X65=0,"",Y65/X65)</f>
        <v/>
      </c>
      <c r="AB65" s="31" t="n"/>
      <c r="AC65" s="60" t="n"/>
      <c r="AD65" s="60" t="n"/>
      <c r="AE65" s="60">
        <f>AD65-AC65</f>
        <v/>
      </c>
      <c r="AF65" s="61">
        <f>IF(AC65=0,"",AD65/AC65)</f>
        <v/>
      </c>
      <c r="AG65" s="27" t="n"/>
      <c r="AH65" s="62" t="n"/>
      <c r="AI65" s="62" t="n"/>
      <c r="AJ65" s="62">
        <f>AI65-AH65</f>
        <v/>
      </c>
      <c r="AK65" s="64">
        <f>IF(AH65=0,"",AI65/AH65)</f>
        <v/>
      </c>
      <c r="AL65" s="31" t="n"/>
      <c r="AM65" s="60" t="n"/>
      <c r="AN65" s="60" t="n"/>
      <c r="AO65" s="60">
        <f>AN65-AM65</f>
        <v/>
      </c>
      <c r="AP65" s="61">
        <f>IF(AM65=0,"",AN65/AM65)</f>
        <v/>
      </c>
      <c r="AQ65" s="27" t="n"/>
      <c r="AR65" s="62" t="n"/>
      <c r="AS65" s="62" t="n"/>
      <c r="AT65" s="62">
        <f>AS65-AR65</f>
        <v/>
      </c>
      <c r="AU65" s="64">
        <f>IF(AR65=0,"",AS65/AR65)</f>
        <v/>
      </c>
      <c r="AV65" s="31" t="n"/>
      <c r="AW65" s="60" t="n"/>
      <c r="AX65" s="60" t="n"/>
      <c r="AY65" s="60">
        <f>AX65-AW65</f>
        <v/>
      </c>
      <c r="AZ65" s="61">
        <f>IF(AW65=0,"",AX65/AW65)</f>
        <v/>
      </c>
      <c r="BA65" s="27" t="n"/>
      <c r="BB65" s="62" t="n"/>
      <c r="BC65" s="62" t="n"/>
      <c r="BD65" s="62">
        <f>BC65-BB65</f>
        <v/>
      </c>
      <c r="BE65" s="64">
        <f>IF(BB65=0,"",BC65/BB65)</f>
        <v/>
      </c>
      <c r="BF65" s="31" t="n"/>
      <c r="BG65" s="60" t="n"/>
      <c r="BH65" s="60" t="n"/>
      <c r="BI65" s="60">
        <f>BH65-BG65</f>
        <v/>
      </c>
      <c r="BJ65" s="61">
        <f>IF(BG65=0,"",BH65/BG65)</f>
        <v/>
      </c>
      <c r="BK65" s="27" t="n"/>
      <c r="BL65" s="62" t="n"/>
      <c r="BM65" s="62" t="n"/>
      <c r="BN65" s="62">
        <f>BM65-BL65</f>
        <v/>
      </c>
      <c r="BO65" s="64">
        <f>IF(BL65=0,"",BM65/BL65)</f>
        <v/>
      </c>
      <c r="BP65" s="31" t="n"/>
      <c r="BQ65" s="60" t="n"/>
      <c r="BR65" s="60" t="n"/>
      <c r="BS65" s="60">
        <f>BR65-BQ65</f>
        <v/>
      </c>
      <c r="BT65" s="61">
        <f>IF(BQ65=0,"",BR65/BQ65)</f>
        <v/>
      </c>
      <c r="BU65" s="27" t="n"/>
      <c r="BV65" s="62" t="n"/>
      <c r="BW65" s="62" t="n"/>
      <c r="BX65" s="62">
        <f>BW65-BV65</f>
        <v/>
      </c>
      <c r="BY65" s="64">
        <f>IF(BV65=0,"",BW65/BV65)</f>
        <v/>
      </c>
      <c r="BZ65" s="31" t="n"/>
      <c r="CA65" s="60" t="n"/>
      <c r="CB65" s="60" t="n"/>
      <c r="CC65" s="60">
        <f>CB65-CA65</f>
        <v/>
      </c>
      <c r="CD65" s="61">
        <f>IF(CA65=0,"",CB65/CA65)</f>
        <v/>
      </c>
      <c r="CE65" s="27" t="n"/>
      <c r="CF65" s="62" t="n"/>
      <c r="CG65" s="62" t="n"/>
      <c r="CH65" s="62">
        <f>CG65-CF65</f>
        <v/>
      </c>
      <c r="CI65" s="64">
        <f>IF(CF65=0,"",CG65/CF65)</f>
        <v/>
      </c>
      <c r="CJ65" s="31" t="n"/>
      <c r="CK65" s="60" t="n"/>
      <c r="CL65" s="60" t="n"/>
      <c r="CM65" s="60">
        <f>CL65-CK65</f>
        <v/>
      </c>
      <c r="CN65" s="61">
        <f>IF(CK65=0,"",CL65/CK65)</f>
        <v/>
      </c>
      <c r="CO65" s="27" t="n"/>
      <c r="CP65" s="62" t="n"/>
      <c r="CQ65" s="62" t="n"/>
      <c r="CR65" s="62">
        <f>CQ65-CP65</f>
        <v/>
      </c>
      <c r="CS65" s="64">
        <f>IF(CP65=0,"",CQ65/CP65)</f>
        <v/>
      </c>
      <c r="CT65" s="31" t="n"/>
      <c r="CU65" s="60" t="n"/>
      <c r="CV65" s="60" t="n"/>
      <c r="CW65" s="60">
        <f>CV65-CU65</f>
        <v/>
      </c>
      <c r="CX65" s="61">
        <f>IF(CU65=0,"",CV65/CU65)</f>
        <v/>
      </c>
      <c r="CY65" s="27" t="n"/>
      <c r="CZ65" s="62" t="n"/>
      <c r="DA65" s="62" t="n"/>
      <c r="DB65" s="62">
        <f>DA65-CZ65</f>
        <v/>
      </c>
      <c r="DC65" s="64">
        <f>IF(CZ65=0,"",DA65/CZ65)</f>
        <v/>
      </c>
      <c r="DD65" s="31" t="n"/>
      <c r="DE65" s="60" t="n"/>
      <c r="DF65" s="60" t="n"/>
      <c r="DG65" s="60">
        <f>DF65-DE65</f>
        <v/>
      </c>
      <c r="DH65" s="61">
        <f>IF(DE65=0,"",DF65/DE65)</f>
        <v/>
      </c>
      <c r="DI65" s="27" t="n"/>
      <c r="DJ65" s="62" t="n"/>
      <c r="DK65" s="62" t="n"/>
      <c r="DL65" s="62">
        <f>DK65-DJ65</f>
        <v/>
      </c>
      <c r="DM65" s="64">
        <f>IF(DJ65=0,"",DK65/DJ65)</f>
        <v/>
      </c>
      <c r="DN65" s="31" t="n"/>
      <c r="DO65" s="60" t="n"/>
    </row>
    <row r="66" outlineLevel="1" ht="15" customHeight="1">
      <c r="A66" s="24" t="n"/>
      <c r="B66" s="24" t="n"/>
      <c r="C66" s="24" t="n"/>
      <c r="D66" s="60" t="n"/>
      <c r="E66" s="60" t="n"/>
      <c r="F66" s="60">
        <f>E66-D66</f>
        <v/>
      </c>
      <c r="G66" s="61">
        <f>IF(D66=0,"",E66/D66)</f>
        <v/>
      </c>
      <c r="H66" s="27" t="n"/>
      <c r="I66" s="60" t="n"/>
      <c r="J66" s="60" t="n"/>
      <c r="K66" s="60">
        <f>J66-I66</f>
        <v/>
      </c>
      <c r="L66" s="61">
        <f>IF(I66=0,"",J66/I66)</f>
        <v/>
      </c>
      <c r="M66" s="27" t="n"/>
      <c r="N66" s="62" t="n"/>
      <c r="O66" s="62" t="n"/>
      <c r="P66" s="62">
        <f>O66-N66</f>
        <v/>
      </c>
      <c r="Q66" s="64">
        <f>IF(N66=0,"",O66/N66)</f>
        <v/>
      </c>
      <c r="R66" s="31" t="n"/>
      <c r="S66" s="60" t="n"/>
      <c r="T66" s="60" t="n"/>
      <c r="U66" s="60">
        <f>T66-S66</f>
        <v/>
      </c>
      <c r="V66" s="61">
        <f>IF(S66=0,"",T66/S66)</f>
        <v/>
      </c>
      <c r="W66" s="27" t="n"/>
      <c r="X66" s="62" t="n"/>
      <c r="Y66" s="62" t="n"/>
      <c r="Z66" s="62">
        <f>Y66-X66</f>
        <v/>
      </c>
      <c r="AA66" s="64">
        <f>IF(X66=0,"",Y66/X66)</f>
        <v/>
      </c>
      <c r="AB66" s="31" t="n"/>
      <c r="AC66" s="60" t="n"/>
      <c r="AD66" s="60" t="n"/>
      <c r="AE66" s="60">
        <f>AD66-AC66</f>
        <v/>
      </c>
      <c r="AF66" s="61">
        <f>IF(AC66=0,"",AD66/AC66)</f>
        <v/>
      </c>
      <c r="AG66" s="27" t="n"/>
      <c r="AH66" s="62" t="n"/>
      <c r="AI66" s="62" t="n"/>
      <c r="AJ66" s="62">
        <f>AI66-AH66</f>
        <v/>
      </c>
      <c r="AK66" s="64">
        <f>IF(AH66=0,"",AI66/AH66)</f>
        <v/>
      </c>
      <c r="AL66" s="31" t="n"/>
      <c r="AM66" s="60" t="n"/>
      <c r="AN66" s="60" t="n"/>
      <c r="AO66" s="60">
        <f>AN66-AM66</f>
        <v/>
      </c>
      <c r="AP66" s="61">
        <f>IF(AM66=0,"",AN66/AM66)</f>
        <v/>
      </c>
      <c r="AQ66" s="27" t="n"/>
      <c r="AR66" s="62" t="n"/>
      <c r="AS66" s="62" t="n"/>
      <c r="AT66" s="62">
        <f>AS66-AR66</f>
        <v/>
      </c>
      <c r="AU66" s="64">
        <f>IF(AR66=0,"",AS66/AR66)</f>
        <v/>
      </c>
      <c r="AV66" s="31" t="n"/>
      <c r="AW66" s="60" t="n"/>
      <c r="AX66" s="60" t="n"/>
      <c r="AY66" s="60">
        <f>AX66-AW66</f>
        <v/>
      </c>
      <c r="AZ66" s="61">
        <f>IF(AW66=0,"",AX66/AW66)</f>
        <v/>
      </c>
      <c r="BA66" s="27" t="n"/>
      <c r="BB66" s="62" t="n"/>
      <c r="BC66" s="62" t="n"/>
      <c r="BD66" s="62">
        <f>BC66-BB66</f>
        <v/>
      </c>
      <c r="BE66" s="64">
        <f>IF(BB66=0,"",BC66/BB66)</f>
        <v/>
      </c>
      <c r="BF66" s="31" t="n"/>
      <c r="BG66" s="60" t="n"/>
      <c r="BH66" s="60" t="n"/>
      <c r="BI66" s="60">
        <f>BH66-BG66</f>
        <v/>
      </c>
      <c r="BJ66" s="61">
        <f>IF(BG66=0,"",BH66/BG66)</f>
        <v/>
      </c>
      <c r="BK66" s="27" t="n"/>
      <c r="BL66" s="62" t="n"/>
      <c r="BM66" s="62" t="n"/>
      <c r="BN66" s="62">
        <f>BM66-BL66</f>
        <v/>
      </c>
      <c r="BO66" s="64">
        <f>IF(BL66=0,"",BM66/BL66)</f>
        <v/>
      </c>
      <c r="BP66" s="31" t="n"/>
      <c r="BQ66" s="60" t="n"/>
      <c r="BR66" s="60" t="n"/>
      <c r="BS66" s="60">
        <f>BR66-BQ66</f>
        <v/>
      </c>
      <c r="BT66" s="61">
        <f>IF(BQ66=0,"",BR66/BQ66)</f>
        <v/>
      </c>
      <c r="BU66" s="27" t="n"/>
      <c r="BV66" s="62" t="n"/>
      <c r="BW66" s="62" t="n"/>
      <c r="BX66" s="62">
        <f>BW66-BV66</f>
        <v/>
      </c>
      <c r="BY66" s="64">
        <f>IF(BV66=0,"",BW66/BV66)</f>
        <v/>
      </c>
      <c r="BZ66" s="31" t="n"/>
      <c r="CA66" s="60" t="n"/>
      <c r="CB66" s="60" t="n"/>
      <c r="CC66" s="60">
        <f>CB66-CA66</f>
        <v/>
      </c>
      <c r="CD66" s="61">
        <f>IF(CA66=0,"",CB66/CA66)</f>
        <v/>
      </c>
      <c r="CE66" s="27" t="n"/>
      <c r="CF66" s="62" t="n"/>
      <c r="CG66" s="62" t="n"/>
      <c r="CH66" s="62">
        <f>CG66-CF66</f>
        <v/>
      </c>
      <c r="CI66" s="64">
        <f>IF(CF66=0,"",CG66/CF66)</f>
        <v/>
      </c>
      <c r="CJ66" s="31" t="n"/>
      <c r="CK66" s="60" t="n"/>
      <c r="CL66" s="60" t="n"/>
      <c r="CM66" s="60">
        <f>CL66-CK66</f>
        <v/>
      </c>
      <c r="CN66" s="61">
        <f>IF(CK66=0,"",CL66/CK66)</f>
        <v/>
      </c>
      <c r="CO66" s="27" t="n"/>
      <c r="CP66" s="62" t="n"/>
      <c r="CQ66" s="62" t="n"/>
      <c r="CR66" s="62">
        <f>CQ66-CP66</f>
        <v/>
      </c>
      <c r="CS66" s="64">
        <f>IF(CP66=0,"",CQ66/CP66)</f>
        <v/>
      </c>
      <c r="CT66" s="31" t="n"/>
      <c r="CU66" s="60" t="n"/>
      <c r="CV66" s="60" t="n"/>
      <c r="CW66" s="60">
        <f>CV66-CU66</f>
        <v/>
      </c>
      <c r="CX66" s="61">
        <f>IF(CU66=0,"",CV66/CU66)</f>
        <v/>
      </c>
      <c r="CY66" s="27" t="n"/>
      <c r="CZ66" s="62" t="n"/>
      <c r="DA66" s="62" t="n"/>
      <c r="DB66" s="62">
        <f>DA66-CZ66</f>
        <v/>
      </c>
      <c r="DC66" s="64">
        <f>IF(CZ66=0,"",DA66/CZ66)</f>
        <v/>
      </c>
      <c r="DD66" s="31" t="n"/>
      <c r="DE66" s="60" t="n"/>
      <c r="DF66" s="60" t="n"/>
      <c r="DG66" s="60">
        <f>DF66-DE66</f>
        <v/>
      </c>
      <c r="DH66" s="61">
        <f>IF(DE66=0,"",DF66/DE66)</f>
        <v/>
      </c>
      <c r="DI66" s="27" t="n"/>
      <c r="DJ66" s="62" t="n"/>
      <c r="DK66" s="62" t="n"/>
      <c r="DL66" s="62">
        <f>DK66-DJ66</f>
        <v/>
      </c>
      <c r="DM66" s="64">
        <f>IF(DJ66=0,"",DK66/DJ66)</f>
        <v/>
      </c>
      <c r="DN66" s="31" t="n"/>
      <c r="DO66" s="60" t="n"/>
    </row>
    <row r="67" outlineLevel="1" ht="15" customHeight="1">
      <c r="A67" s="24" t="n"/>
      <c r="B67" s="24" t="n"/>
      <c r="C67" s="24" t="n"/>
      <c r="D67" s="60" t="n"/>
      <c r="E67" s="60" t="n"/>
      <c r="F67" s="60">
        <f>E67-D67</f>
        <v/>
      </c>
      <c r="G67" s="61">
        <f>IF(D67=0,"",E67/D67)</f>
        <v/>
      </c>
      <c r="H67" s="27" t="n"/>
      <c r="I67" s="60" t="n"/>
      <c r="J67" s="60" t="n"/>
      <c r="K67" s="60">
        <f>J67-I67</f>
        <v/>
      </c>
      <c r="L67" s="61">
        <f>IF(I67=0,"",J67/I67)</f>
        <v/>
      </c>
      <c r="M67" s="27" t="n"/>
      <c r="N67" s="62" t="n"/>
      <c r="O67" s="62" t="n"/>
      <c r="P67" s="62">
        <f>O67-N67</f>
        <v/>
      </c>
      <c r="Q67" s="64">
        <f>IF(N67=0,"",O67/N67)</f>
        <v/>
      </c>
      <c r="R67" s="31" t="n"/>
      <c r="S67" s="60" t="n"/>
      <c r="T67" s="60" t="n"/>
      <c r="U67" s="60">
        <f>T67-S67</f>
        <v/>
      </c>
      <c r="V67" s="61">
        <f>IF(S67=0,"",T67/S67)</f>
        <v/>
      </c>
      <c r="W67" s="27" t="n"/>
      <c r="X67" s="62" t="n"/>
      <c r="Y67" s="62" t="n"/>
      <c r="Z67" s="62">
        <f>Y67-X67</f>
        <v/>
      </c>
      <c r="AA67" s="64">
        <f>IF(X67=0,"",Y67/X67)</f>
        <v/>
      </c>
      <c r="AB67" s="31" t="n"/>
      <c r="AC67" s="60" t="n"/>
      <c r="AD67" s="60" t="n"/>
      <c r="AE67" s="60">
        <f>AD67-AC67</f>
        <v/>
      </c>
      <c r="AF67" s="61">
        <f>IF(AC67=0,"",AD67/AC67)</f>
        <v/>
      </c>
      <c r="AG67" s="27" t="n"/>
      <c r="AH67" s="62" t="n"/>
      <c r="AI67" s="62" t="n"/>
      <c r="AJ67" s="62">
        <f>AI67-AH67</f>
        <v/>
      </c>
      <c r="AK67" s="64">
        <f>IF(AH67=0,"",AI67/AH67)</f>
        <v/>
      </c>
      <c r="AL67" s="31" t="n"/>
      <c r="AM67" s="60" t="n"/>
      <c r="AN67" s="60" t="n"/>
      <c r="AO67" s="60">
        <f>AN67-AM67</f>
        <v/>
      </c>
      <c r="AP67" s="61">
        <f>IF(AM67=0,"",AN67/AM67)</f>
        <v/>
      </c>
      <c r="AQ67" s="27" t="n"/>
      <c r="AR67" s="62" t="n"/>
      <c r="AS67" s="62" t="n"/>
      <c r="AT67" s="62">
        <f>AS67-AR67</f>
        <v/>
      </c>
      <c r="AU67" s="64">
        <f>IF(AR67=0,"",AS67/AR67)</f>
        <v/>
      </c>
      <c r="AV67" s="31" t="n"/>
      <c r="AW67" s="60" t="n"/>
      <c r="AX67" s="60" t="n"/>
      <c r="AY67" s="60">
        <f>AX67-AW67</f>
        <v/>
      </c>
      <c r="AZ67" s="61">
        <f>IF(AW67=0,"",AX67/AW67)</f>
        <v/>
      </c>
      <c r="BA67" s="27" t="n"/>
      <c r="BB67" s="62" t="n"/>
      <c r="BC67" s="62" t="n"/>
      <c r="BD67" s="62">
        <f>BC67-BB67</f>
        <v/>
      </c>
      <c r="BE67" s="64">
        <f>IF(BB67=0,"",BC67/BB67)</f>
        <v/>
      </c>
      <c r="BF67" s="31" t="n"/>
      <c r="BG67" s="60" t="n"/>
      <c r="BH67" s="60" t="n"/>
      <c r="BI67" s="60">
        <f>BH67-BG67</f>
        <v/>
      </c>
      <c r="BJ67" s="61">
        <f>IF(BG67=0,"",BH67/BG67)</f>
        <v/>
      </c>
      <c r="BK67" s="27" t="n"/>
      <c r="BL67" s="62" t="n"/>
      <c r="BM67" s="62" t="n"/>
      <c r="BN67" s="62">
        <f>BM67-BL67</f>
        <v/>
      </c>
      <c r="BO67" s="64">
        <f>IF(BL67=0,"",BM67/BL67)</f>
        <v/>
      </c>
      <c r="BP67" s="31" t="n"/>
      <c r="BQ67" s="60" t="n"/>
      <c r="BR67" s="60" t="n"/>
      <c r="BS67" s="60">
        <f>BR67-BQ67</f>
        <v/>
      </c>
      <c r="BT67" s="61">
        <f>IF(BQ67=0,"",BR67/BQ67)</f>
        <v/>
      </c>
      <c r="BU67" s="27" t="n"/>
      <c r="BV67" s="62" t="n"/>
      <c r="BW67" s="62" t="n"/>
      <c r="BX67" s="62">
        <f>BW67-BV67</f>
        <v/>
      </c>
      <c r="BY67" s="64">
        <f>IF(BV67=0,"",BW67/BV67)</f>
        <v/>
      </c>
      <c r="BZ67" s="31" t="n"/>
      <c r="CA67" s="60" t="n"/>
      <c r="CB67" s="60" t="n"/>
      <c r="CC67" s="60">
        <f>CB67-CA67</f>
        <v/>
      </c>
      <c r="CD67" s="61">
        <f>IF(CA67=0,"",CB67/CA67)</f>
        <v/>
      </c>
      <c r="CE67" s="27" t="n"/>
      <c r="CF67" s="62" t="n"/>
      <c r="CG67" s="62" t="n"/>
      <c r="CH67" s="62">
        <f>CG67-CF67</f>
        <v/>
      </c>
      <c r="CI67" s="64">
        <f>IF(CF67=0,"",CG67/CF67)</f>
        <v/>
      </c>
      <c r="CJ67" s="31" t="n"/>
      <c r="CK67" s="60" t="n"/>
      <c r="CL67" s="60" t="n"/>
      <c r="CM67" s="60">
        <f>CL67-CK67</f>
        <v/>
      </c>
      <c r="CN67" s="61">
        <f>IF(CK67=0,"",CL67/CK67)</f>
        <v/>
      </c>
      <c r="CO67" s="27" t="n"/>
      <c r="CP67" s="62" t="n"/>
      <c r="CQ67" s="62" t="n"/>
      <c r="CR67" s="62">
        <f>CQ67-CP67</f>
        <v/>
      </c>
      <c r="CS67" s="64">
        <f>IF(CP67=0,"",CQ67/CP67)</f>
        <v/>
      </c>
      <c r="CT67" s="31" t="n"/>
      <c r="CU67" s="60" t="n"/>
      <c r="CV67" s="60" t="n"/>
      <c r="CW67" s="60">
        <f>CV67-CU67</f>
        <v/>
      </c>
      <c r="CX67" s="61">
        <f>IF(CU67=0,"",CV67/CU67)</f>
        <v/>
      </c>
      <c r="CY67" s="27" t="n"/>
      <c r="CZ67" s="62" t="n"/>
      <c r="DA67" s="62" t="n"/>
      <c r="DB67" s="62">
        <f>DA67-CZ67</f>
        <v/>
      </c>
      <c r="DC67" s="64">
        <f>IF(CZ67=0,"",DA67/CZ67)</f>
        <v/>
      </c>
      <c r="DD67" s="31" t="n"/>
      <c r="DE67" s="60" t="n"/>
      <c r="DF67" s="60" t="n"/>
      <c r="DG67" s="60">
        <f>DF67-DE67</f>
        <v/>
      </c>
      <c r="DH67" s="61">
        <f>IF(DE67=0,"",DF67/DE67)</f>
        <v/>
      </c>
      <c r="DI67" s="27" t="n"/>
      <c r="DJ67" s="62" t="n"/>
      <c r="DK67" s="62" t="n"/>
      <c r="DL67" s="62">
        <f>DK67-DJ67</f>
        <v/>
      </c>
      <c r="DM67" s="64">
        <f>IF(DJ67=0,"",DK67/DJ67)</f>
        <v/>
      </c>
      <c r="DN67" s="31" t="n"/>
      <c r="DO67" s="60" t="n"/>
    </row>
    <row r="68" outlineLevel="1" ht="15" customHeight="1">
      <c r="A68" s="24" t="n"/>
      <c r="B68" s="24" t="n"/>
      <c r="C68" s="24" t="n"/>
      <c r="D68" s="60" t="n"/>
      <c r="E68" s="60" t="n"/>
      <c r="F68" s="60">
        <f>E68-D68</f>
        <v/>
      </c>
      <c r="G68" s="61">
        <f>IF(D68=0,"",E68/D68)</f>
        <v/>
      </c>
      <c r="H68" s="27" t="n"/>
      <c r="I68" s="60" t="n"/>
      <c r="J68" s="60" t="n"/>
      <c r="K68" s="60">
        <f>J68-I68</f>
        <v/>
      </c>
      <c r="L68" s="61">
        <f>IF(I68=0,"",J68/I68)</f>
        <v/>
      </c>
      <c r="M68" s="27" t="n"/>
      <c r="N68" s="62" t="n"/>
      <c r="O68" s="62" t="n"/>
      <c r="P68" s="62">
        <f>O68-N68</f>
        <v/>
      </c>
      <c r="Q68" s="64">
        <f>IF(N68=0,"",O68/N68)</f>
        <v/>
      </c>
      <c r="R68" s="31" t="n"/>
      <c r="S68" s="60" t="n"/>
      <c r="T68" s="60" t="n"/>
      <c r="U68" s="60">
        <f>T68-S68</f>
        <v/>
      </c>
      <c r="V68" s="61">
        <f>IF(S68=0,"",T68/S68)</f>
        <v/>
      </c>
      <c r="W68" s="27" t="n"/>
      <c r="X68" s="62" t="n"/>
      <c r="Y68" s="62" t="n"/>
      <c r="Z68" s="62">
        <f>Y68-X68</f>
        <v/>
      </c>
      <c r="AA68" s="64">
        <f>IF(X68=0,"",Y68/X68)</f>
        <v/>
      </c>
      <c r="AB68" s="31" t="n"/>
      <c r="AC68" s="60" t="n"/>
      <c r="AD68" s="60" t="n"/>
      <c r="AE68" s="60">
        <f>AD68-AC68</f>
        <v/>
      </c>
      <c r="AF68" s="61">
        <f>IF(AC68=0,"",AD68/AC68)</f>
        <v/>
      </c>
      <c r="AG68" s="27" t="n"/>
      <c r="AH68" s="62" t="n"/>
      <c r="AI68" s="62" t="n"/>
      <c r="AJ68" s="62">
        <f>AI68-AH68</f>
        <v/>
      </c>
      <c r="AK68" s="64">
        <f>IF(AH68=0,"",AI68/AH68)</f>
        <v/>
      </c>
      <c r="AL68" s="31" t="n"/>
      <c r="AM68" s="60" t="n"/>
      <c r="AN68" s="60" t="n"/>
      <c r="AO68" s="60">
        <f>AN68-AM68</f>
        <v/>
      </c>
      <c r="AP68" s="61">
        <f>IF(AM68=0,"",AN68/AM68)</f>
        <v/>
      </c>
      <c r="AQ68" s="27" t="n"/>
      <c r="AR68" s="62" t="n"/>
      <c r="AS68" s="62" t="n"/>
      <c r="AT68" s="62">
        <f>AS68-AR68</f>
        <v/>
      </c>
      <c r="AU68" s="64">
        <f>IF(AR68=0,"",AS68/AR68)</f>
        <v/>
      </c>
      <c r="AV68" s="31" t="n"/>
      <c r="AW68" s="60" t="n"/>
      <c r="AX68" s="60" t="n"/>
      <c r="AY68" s="60">
        <f>AX68-AW68</f>
        <v/>
      </c>
      <c r="AZ68" s="61">
        <f>IF(AW68=0,"",AX68/AW68)</f>
        <v/>
      </c>
      <c r="BA68" s="27" t="n"/>
      <c r="BB68" s="62" t="n"/>
      <c r="BC68" s="62" t="n"/>
      <c r="BD68" s="62">
        <f>BC68-BB68</f>
        <v/>
      </c>
      <c r="BE68" s="64">
        <f>IF(BB68=0,"",BC68/BB68)</f>
        <v/>
      </c>
      <c r="BF68" s="31" t="n"/>
      <c r="BG68" s="60" t="n"/>
      <c r="BH68" s="60" t="n"/>
      <c r="BI68" s="60">
        <f>BH68-BG68</f>
        <v/>
      </c>
      <c r="BJ68" s="61">
        <f>IF(BG68=0,"",BH68/BG68)</f>
        <v/>
      </c>
      <c r="BK68" s="27" t="n"/>
      <c r="BL68" s="62" t="n"/>
      <c r="BM68" s="62" t="n"/>
      <c r="BN68" s="62">
        <f>BM68-BL68</f>
        <v/>
      </c>
      <c r="BO68" s="64">
        <f>IF(BL68=0,"",BM68/BL68)</f>
        <v/>
      </c>
      <c r="BP68" s="31" t="n"/>
      <c r="BQ68" s="60" t="n"/>
      <c r="BR68" s="60" t="n"/>
      <c r="BS68" s="60">
        <f>BR68-BQ68</f>
        <v/>
      </c>
      <c r="BT68" s="61">
        <f>IF(BQ68=0,"",BR68/BQ68)</f>
        <v/>
      </c>
      <c r="BU68" s="27" t="n"/>
      <c r="BV68" s="62" t="n"/>
      <c r="BW68" s="62" t="n"/>
      <c r="BX68" s="62">
        <f>BW68-BV68</f>
        <v/>
      </c>
      <c r="BY68" s="64">
        <f>IF(BV68=0,"",BW68/BV68)</f>
        <v/>
      </c>
      <c r="BZ68" s="31" t="n"/>
      <c r="CA68" s="60" t="n"/>
      <c r="CB68" s="60" t="n"/>
      <c r="CC68" s="60">
        <f>CB68-CA68</f>
        <v/>
      </c>
      <c r="CD68" s="61">
        <f>IF(CA68=0,"",CB68/CA68)</f>
        <v/>
      </c>
      <c r="CE68" s="27" t="n"/>
      <c r="CF68" s="62" t="n"/>
      <c r="CG68" s="62" t="n"/>
      <c r="CH68" s="62">
        <f>CG68-CF68</f>
        <v/>
      </c>
      <c r="CI68" s="64">
        <f>IF(CF68=0,"",CG68/CF68)</f>
        <v/>
      </c>
      <c r="CJ68" s="31" t="n"/>
      <c r="CK68" s="60" t="n"/>
      <c r="CL68" s="60" t="n"/>
      <c r="CM68" s="60">
        <f>CL68-CK68</f>
        <v/>
      </c>
      <c r="CN68" s="61">
        <f>IF(CK68=0,"",CL68/CK68)</f>
        <v/>
      </c>
      <c r="CO68" s="27" t="n"/>
      <c r="CP68" s="62" t="n"/>
      <c r="CQ68" s="62" t="n"/>
      <c r="CR68" s="62">
        <f>CQ68-CP68</f>
        <v/>
      </c>
      <c r="CS68" s="64">
        <f>IF(CP68=0,"",CQ68/CP68)</f>
        <v/>
      </c>
      <c r="CT68" s="31" t="n"/>
      <c r="CU68" s="60" t="n"/>
      <c r="CV68" s="60" t="n"/>
      <c r="CW68" s="60">
        <f>CV68-CU68</f>
        <v/>
      </c>
      <c r="CX68" s="61">
        <f>IF(CU68=0,"",CV68/CU68)</f>
        <v/>
      </c>
      <c r="CY68" s="27" t="n"/>
      <c r="CZ68" s="62" t="n"/>
      <c r="DA68" s="62" t="n"/>
      <c r="DB68" s="62">
        <f>DA68-CZ68</f>
        <v/>
      </c>
      <c r="DC68" s="64">
        <f>IF(CZ68=0,"",DA68/CZ68)</f>
        <v/>
      </c>
      <c r="DD68" s="31" t="n"/>
      <c r="DE68" s="60" t="n"/>
      <c r="DF68" s="60" t="n"/>
      <c r="DG68" s="60">
        <f>DF68-DE68</f>
        <v/>
      </c>
      <c r="DH68" s="61">
        <f>IF(DE68=0,"",DF68/DE68)</f>
        <v/>
      </c>
      <c r="DI68" s="27" t="n"/>
      <c r="DJ68" s="62" t="n"/>
      <c r="DK68" s="62" t="n"/>
      <c r="DL68" s="62">
        <f>DK68-DJ68</f>
        <v/>
      </c>
      <c r="DM68" s="64">
        <f>IF(DJ68=0,"",DK68/DJ68)</f>
        <v/>
      </c>
      <c r="DN68" s="31" t="n"/>
      <c r="DO68" s="60" t="n"/>
    </row>
    <row r="69" outlineLevel="1" ht="15" customHeight="1">
      <c r="A69" s="24" t="n"/>
      <c r="B69" s="24" t="n"/>
      <c r="C69" s="24" t="n"/>
      <c r="D69" s="60" t="n"/>
      <c r="E69" s="60" t="n"/>
      <c r="F69" s="60">
        <f>E69-D69</f>
        <v/>
      </c>
      <c r="G69" s="61">
        <f>IF(D69=0,"",E69/D69)</f>
        <v/>
      </c>
      <c r="H69" s="27" t="n"/>
      <c r="I69" s="60" t="n"/>
      <c r="J69" s="60" t="n"/>
      <c r="K69" s="60">
        <f>J69-I69</f>
        <v/>
      </c>
      <c r="L69" s="61">
        <f>IF(I69=0,"",J69/I69)</f>
        <v/>
      </c>
      <c r="M69" s="27" t="n"/>
      <c r="N69" s="62" t="n"/>
      <c r="O69" s="62" t="n"/>
      <c r="P69" s="63">
        <f>O69-N69</f>
        <v/>
      </c>
      <c r="Q69" s="64">
        <f>IF(N69=0,"",O69/N69)</f>
        <v/>
      </c>
      <c r="R69" s="31" t="n"/>
      <c r="S69" s="60" t="n"/>
      <c r="T69" s="60" t="n"/>
      <c r="U69" s="60">
        <f>T69-S69</f>
        <v/>
      </c>
      <c r="V69" s="61">
        <f>IF(S69=0,"",T69/S69)</f>
        <v/>
      </c>
      <c r="W69" s="27" t="n"/>
      <c r="X69" s="62" t="n"/>
      <c r="Y69" s="62" t="n"/>
      <c r="Z69" s="62">
        <f>Y69-X69</f>
        <v/>
      </c>
      <c r="AA69" s="64">
        <f>IF(X69=0,"",Y69/X69)</f>
        <v/>
      </c>
      <c r="AB69" s="31" t="n"/>
      <c r="AC69" s="60" t="n"/>
      <c r="AD69" s="60" t="n"/>
      <c r="AE69" s="60">
        <f>AD69-AC69</f>
        <v/>
      </c>
      <c r="AF69" s="61">
        <f>IF(AC69=0,"",AD69/AC69)</f>
        <v/>
      </c>
      <c r="AG69" s="27" t="n"/>
      <c r="AH69" s="62" t="n"/>
      <c r="AI69" s="62" t="n"/>
      <c r="AJ69" s="62">
        <f>AI69-AH69</f>
        <v/>
      </c>
      <c r="AK69" s="64">
        <f>IF(AH69=0,"",AI69/AH69)</f>
        <v/>
      </c>
      <c r="AL69" s="31" t="n"/>
      <c r="AM69" s="60" t="n"/>
      <c r="AN69" s="60" t="n"/>
      <c r="AO69" s="60">
        <f>AN69-AM69</f>
        <v/>
      </c>
      <c r="AP69" s="61">
        <f>IF(AM69=0,"",AN69/AM69)</f>
        <v/>
      </c>
      <c r="AQ69" s="27" t="n"/>
      <c r="AR69" s="62" t="n"/>
      <c r="AS69" s="62" t="n"/>
      <c r="AT69" s="62">
        <f>AS69-AR69</f>
        <v/>
      </c>
      <c r="AU69" s="64">
        <f>IF(AR69=0,"",AS69/AR69)</f>
        <v/>
      </c>
      <c r="AV69" s="31" t="n"/>
      <c r="AW69" s="60" t="n"/>
      <c r="AX69" s="60" t="n"/>
      <c r="AY69" s="60">
        <f>AX69-AW69</f>
        <v/>
      </c>
      <c r="AZ69" s="61">
        <f>IF(AW69=0,"",AX69/AW69)</f>
        <v/>
      </c>
      <c r="BA69" s="27" t="n"/>
      <c r="BB69" s="62" t="n"/>
      <c r="BC69" s="62" t="n"/>
      <c r="BD69" s="62">
        <f>BC69-BB69</f>
        <v/>
      </c>
      <c r="BE69" s="64">
        <f>IF(BB69=0,"",BC69/BB69)</f>
        <v/>
      </c>
      <c r="BF69" s="31" t="n"/>
      <c r="BG69" s="60" t="n"/>
      <c r="BH69" s="60" t="n"/>
      <c r="BI69" s="60">
        <f>BH69-BG69</f>
        <v/>
      </c>
      <c r="BJ69" s="61">
        <f>IF(BG69=0,"",BH69/BG69)</f>
        <v/>
      </c>
      <c r="BK69" s="27" t="n"/>
      <c r="BL69" s="62" t="n"/>
      <c r="BM69" s="62" t="n"/>
      <c r="BN69" s="62">
        <f>BM69-BL69</f>
        <v/>
      </c>
      <c r="BO69" s="64">
        <f>IF(BL69=0,"",BM69/BL69)</f>
        <v/>
      </c>
      <c r="BP69" s="31" t="n"/>
      <c r="BQ69" s="60" t="n"/>
      <c r="BR69" s="60" t="n"/>
      <c r="BS69" s="60">
        <f>BR69-BQ69</f>
        <v/>
      </c>
      <c r="BT69" s="61">
        <f>IF(BQ69=0,"",BR69/BQ69)</f>
        <v/>
      </c>
      <c r="BU69" s="27" t="n"/>
      <c r="BV69" s="62" t="n"/>
      <c r="BW69" s="62" t="n"/>
      <c r="BX69" s="62">
        <f>BW69-BV69</f>
        <v/>
      </c>
      <c r="BY69" s="64">
        <f>IF(BV69=0,"",BW69/BV69)</f>
        <v/>
      </c>
      <c r="BZ69" s="31" t="n"/>
      <c r="CA69" s="60" t="n"/>
      <c r="CB69" s="60" t="n"/>
      <c r="CC69" s="60">
        <f>CB69-CA69</f>
        <v/>
      </c>
      <c r="CD69" s="61">
        <f>IF(CA69=0,"",CB69/CA69)</f>
        <v/>
      </c>
      <c r="CE69" s="27" t="n"/>
      <c r="CF69" s="62" t="n"/>
      <c r="CG69" s="62" t="n"/>
      <c r="CH69" s="62">
        <f>CG69-CF69</f>
        <v/>
      </c>
      <c r="CI69" s="64">
        <f>IF(CF69=0,"",CG69/CF69)</f>
        <v/>
      </c>
      <c r="CJ69" s="31" t="n"/>
      <c r="CK69" s="60" t="n"/>
      <c r="CL69" s="60" t="n"/>
      <c r="CM69" s="60">
        <f>CL69-CK69</f>
        <v/>
      </c>
      <c r="CN69" s="61">
        <f>IF(CK69=0,"",CL69/CK69)</f>
        <v/>
      </c>
      <c r="CO69" s="27" t="n"/>
      <c r="CP69" s="62" t="n"/>
      <c r="CQ69" s="62" t="n"/>
      <c r="CR69" s="62">
        <f>CQ69-CP69</f>
        <v/>
      </c>
      <c r="CS69" s="64">
        <f>IF(CP69=0,"",CQ69/CP69)</f>
        <v/>
      </c>
      <c r="CT69" s="31" t="n"/>
      <c r="CU69" s="60" t="n"/>
      <c r="CV69" s="60" t="n"/>
      <c r="CW69" s="60">
        <f>CV69-CU69</f>
        <v/>
      </c>
      <c r="CX69" s="61">
        <f>IF(CU69=0,"",CV69/CU69)</f>
        <v/>
      </c>
      <c r="CY69" s="27" t="n"/>
      <c r="CZ69" s="62" t="n"/>
      <c r="DA69" s="62" t="n"/>
      <c r="DB69" s="62">
        <f>DA69-CZ69</f>
        <v/>
      </c>
      <c r="DC69" s="64">
        <f>IF(CZ69=0,"",DA69/CZ69)</f>
        <v/>
      </c>
      <c r="DD69" s="31" t="n"/>
      <c r="DE69" s="60" t="n"/>
      <c r="DF69" s="60" t="n"/>
      <c r="DG69" s="60">
        <f>DF69-DE69</f>
        <v/>
      </c>
      <c r="DH69" s="61">
        <f>IF(DE69=0,"",DF69/DE69)</f>
        <v/>
      </c>
      <c r="DI69" s="27" t="n"/>
      <c r="DJ69" s="62" t="n"/>
      <c r="DK69" s="62" t="n"/>
      <c r="DL69" s="62">
        <f>DK69-DJ69</f>
        <v/>
      </c>
      <c r="DM69" s="64">
        <f>IF(DJ69=0,"",DK69/DJ69)</f>
        <v/>
      </c>
      <c r="DN69" s="31" t="n"/>
      <c r="DO69" s="60" t="n"/>
    </row>
    <row r="70" outlineLevel="1" ht="15" customHeight="1">
      <c r="A70" s="24" t="n"/>
      <c r="B70" s="24" t="n"/>
      <c r="C70" s="24" t="n"/>
      <c r="D70" s="60" t="n"/>
      <c r="E70" s="60" t="n"/>
      <c r="F70" s="60">
        <f>E70-D70</f>
        <v/>
      </c>
      <c r="G70" s="61">
        <f>IF(D70=0,"",E70/D70)</f>
        <v/>
      </c>
      <c r="H70" s="27" t="n"/>
      <c r="I70" s="60" t="n"/>
      <c r="J70" s="60" t="n"/>
      <c r="K70" s="60">
        <f>J70-I70</f>
        <v/>
      </c>
      <c r="L70" s="61">
        <f>IF(I70=0,"",J70/I70)</f>
        <v/>
      </c>
      <c r="M70" s="27" t="n"/>
      <c r="N70" s="62" t="n"/>
      <c r="O70" s="62" t="n"/>
      <c r="P70" s="62">
        <f>O70-N70</f>
        <v/>
      </c>
      <c r="Q70" s="64">
        <f>IF(N70=0,"",O70/N70)</f>
        <v/>
      </c>
      <c r="R70" s="31" t="n"/>
      <c r="S70" s="60" t="n"/>
      <c r="T70" s="60" t="n"/>
      <c r="U70" s="60">
        <f>T70-S70</f>
        <v/>
      </c>
      <c r="V70" s="61">
        <f>IF(S70=0,"",T70/S70)</f>
        <v/>
      </c>
      <c r="W70" s="27" t="n"/>
      <c r="X70" s="62" t="n"/>
      <c r="Y70" s="62" t="n"/>
      <c r="Z70" s="63">
        <f>Y70-X70</f>
        <v/>
      </c>
      <c r="AA70" s="64">
        <f>IF(X70=0,"",Y70/X70)</f>
        <v/>
      </c>
      <c r="AB70" s="31" t="n"/>
      <c r="AC70" s="60" t="n"/>
      <c r="AD70" s="60" t="n"/>
      <c r="AE70" s="60">
        <f>AD70-AC70</f>
        <v/>
      </c>
      <c r="AF70" s="61">
        <f>IF(AC70=0,"",AD70/AC70)</f>
        <v/>
      </c>
      <c r="AG70" s="27" t="n"/>
      <c r="AH70" s="62" t="n"/>
      <c r="AI70" s="62" t="n"/>
      <c r="AJ70" s="62">
        <f>AI70-AH70</f>
        <v/>
      </c>
      <c r="AK70" s="64">
        <f>IF(AH70=0,"",AI70/AH70)</f>
        <v/>
      </c>
      <c r="AL70" s="31" t="n"/>
      <c r="AM70" s="60" t="n"/>
      <c r="AN70" s="60" t="n"/>
      <c r="AO70" s="60">
        <f>AN70-AM70</f>
        <v/>
      </c>
      <c r="AP70" s="61">
        <f>IF(AM70=0,"",AN70/AM70)</f>
        <v/>
      </c>
      <c r="AQ70" s="27" t="n"/>
      <c r="AR70" s="62" t="n"/>
      <c r="AS70" s="62" t="n"/>
      <c r="AT70" s="62">
        <f>AS70-AR70</f>
        <v/>
      </c>
      <c r="AU70" s="64">
        <f>IF(AR70=0,"",AS70/AR70)</f>
        <v/>
      </c>
      <c r="AV70" s="31" t="n"/>
      <c r="AW70" s="60" t="n"/>
      <c r="AX70" s="60" t="n"/>
      <c r="AY70" s="60">
        <f>AX70-AW70</f>
        <v/>
      </c>
      <c r="AZ70" s="61">
        <f>IF(AW70=0,"",AX70/AW70)</f>
        <v/>
      </c>
      <c r="BA70" s="27" t="n"/>
      <c r="BB70" s="62" t="n"/>
      <c r="BC70" s="62" t="n"/>
      <c r="BD70" s="62">
        <f>BC70-BB70</f>
        <v/>
      </c>
      <c r="BE70" s="64">
        <f>IF(BB70=0,"",BC70/BB70)</f>
        <v/>
      </c>
      <c r="BF70" s="31" t="n"/>
      <c r="BG70" s="60" t="n"/>
      <c r="BH70" s="60" t="n"/>
      <c r="BI70" s="60">
        <f>BH70-BG70</f>
        <v/>
      </c>
      <c r="BJ70" s="61">
        <f>IF(BG70=0,"",BH70/BG70)</f>
        <v/>
      </c>
      <c r="BK70" s="27" t="n"/>
      <c r="BL70" s="62" t="n"/>
      <c r="BM70" s="62" t="n"/>
      <c r="BN70" s="62">
        <f>BM70-BL70</f>
        <v/>
      </c>
      <c r="BO70" s="64">
        <f>IF(BL70=0,"",BM70/BL70)</f>
        <v/>
      </c>
      <c r="BP70" s="31" t="n"/>
      <c r="BQ70" s="60" t="n"/>
      <c r="BR70" s="60" t="n"/>
      <c r="BS70" s="60">
        <f>BR70-BQ70</f>
        <v/>
      </c>
      <c r="BT70" s="61">
        <f>IF(BQ70=0,"",BR70/BQ70)</f>
        <v/>
      </c>
      <c r="BU70" s="27" t="n"/>
      <c r="BV70" s="62" t="n"/>
      <c r="BW70" s="62" t="n"/>
      <c r="BX70" s="62">
        <f>BW70-BV70</f>
        <v/>
      </c>
      <c r="BY70" s="64">
        <f>IF(BV70=0,"",BW70/BV70)</f>
        <v/>
      </c>
      <c r="BZ70" s="31" t="n"/>
      <c r="CA70" s="60" t="n"/>
      <c r="CB70" s="60" t="n"/>
      <c r="CC70" s="60">
        <f>CB70-CA70</f>
        <v/>
      </c>
      <c r="CD70" s="61">
        <f>IF(CA70=0,"",CB70/CA70)</f>
        <v/>
      </c>
      <c r="CE70" s="27" t="n"/>
      <c r="CF70" s="62" t="n"/>
      <c r="CG70" s="62" t="n"/>
      <c r="CH70" s="62">
        <f>CG70-CF70</f>
        <v/>
      </c>
      <c r="CI70" s="64">
        <f>IF(CF70=0,"",CG70/CF70)</f>
        <v/>
      </c>
      <c r="CJ70" s="31" t="n"/>
      <c r="CK70" s="60" t="n"/>
      <c r="CL70" s="60" t="n"/>
      <c r="CM70" s="60">
        <f>CL70-CK70</f>
        <v/>
      </c>
      <c r="CN70" s="61">
        <f>IF(CK70=0,"",CL70/CK70)</f>
        <v/>
      </c>
      <c r="CO70" s="27" t="n"/>
      <c r="CP70" s="62" t="n"/>
      <c r="CQ70" s="62" t="n"/>
      <c r="CR70" s="62">
        <f>CQ70-CP70</f>
        <v/>
      </c>
      <c r="CS70" s="64">
        <f>IF(CP70=0,"",CQ70/CP70)</f>
        <v/>
      </c>
      <c r="CT70" s="31" t="n"/>
      <c r="CU70" s="60" t="n"/>
      <c r="CV70" s="60" t="n"/>
      <c r="CW70" s="60">
        <f>CV70-CU70</f>
        <v/>
      </c>
      <c r="CX70" s="61">
        <f>IF(CU70=0,"",CV70/CU70)</f>
        <v/>
      </c>
      <c r="CY70" s="27" t="n"/>
      <c r="CZ70" s="62" t="n"/>
      <c r="DA70" s="62" t="n"/>
      <c r="DB70" s="62">
        <f>DA70-CZ70</f>
        <v/>
      </c>
      <c r="DC70" s="64">
        <f>IF(CZ70=0,"",DA70/CZ70)</f>
        <v/>
      </c>
      <c r="DD70" s="31" t="n"/>
      <c r="DE70" s="60" t="n"/>
      <c r="DF70" s="60" t="n"/>
      <c r="DG70" s="60">
        <f>DF70-DE70</f>
        <v/>
      </c>
      <c r="DH70" s="61">
        <f>IF(DE70=0,"",DF70/DE70)</f>
        <v/>
      </c>
      <c r="DI70" s="27" t="n"/>
      <c r="DJ70" s="62" t="n"/>
      <c r="DK70" s="62" t="n"/>
      <c r="DL70" s="62">
        <f>DK70-DJ70</f>
        <v/>
      </c>
      <c r="DM70" s="64">
        <f>IF(DJ70=0,"",DK70/DJ70)</f>
        <v/>
      </c>
      <c r="DN70" s="31" t="n"/>
      <c r="DO70" s="60" t="n"/>
    </row>
    <row r="71" outlineLevel="1" ht="15" customHeight="1">
      <c r="A71" s="24" t="n"/>
      <c r="B71" s="24" t="n"/>
      <c r="C71" s="24" t="n"/>
      <c r="D71" s="60" t="n"/>
      <c r="E71" s="60" t="n"/>
      <c r="F71" s="60">
        <f>E71-D71</f>
        <v/>
      </c>
      <c r="G71" s="61">
        <f>IF(D71=0,"",E71/D71)</f>
        <v/>
      </c>
      <c r="H71" s="27" t="n"/>
      <c r="I71" s="60" t="n"/>
      <c r="J71" s="60" t="n"/>
      <c r="K71" s="60">
        <f>J71-I71</f>
        <v/>
      </c>
      <c r="L71" s="61">
        <f>IF(I71=0,"",J71/I71)</f>
        <v/>
      </c>
      <c r="M71" s="27" t="n"/>
      <c r="N71" s="62" t="n"/>
      <c r="O71" s="62" t="n"/>
      <c r="P71" s="62">
        <f>O71-N71</f>
        <v/>
      </c>
      <c r="Q71" s="64">
        <f>IF(N71=0,"",O71/N71)</f>
        <v/>
      </c>
      <c r="R71" s="31" t="n"/>
      <c r="S71" s="60" t="n"/>
      <c r="T71" s="60" t="n"/>
      <c r="U71" s="60">
        <f>T71-S71</f>
        <v/>
      </c>
      <c r="V71" s="61">
        <f>IF(S71=0,"",T71/S71)</f>
        <v/>
      </c>
      <c r="W71" s="27" t="n"/>
      <c r="X71" s="62" t="n"/>
      <c r="Y71" s="62" t="n"/>
      <c r="Z71" s="62">
        <f>Y71-X71</f>
        <v/>
      </c>
      <c r="AA71" s="64">
        <f>IF(X71=0,"",Y71/X71)</f>
        <v/>
      </c>
      <c r="AB71" s="31" t="n"/>
      <c r="AC71" s="60" t="n"/>
      <c r="AD71" s="60" t="n"/>
      <c r="AE71" s="60">
        <f>AD71-AC71</f>
        <v/>
      </c>
      <c r="AF71" s="61">
        <f>IF(AC71=0,"",AD71/AC71)</f>
        <v/>
      </c>
      <c r="AG71" s="27" t="n"/>
      <c r="AH71" s="62" t="n"/>
      <c r="AI71" s="62" t="n"/>
      <c r="AJ71" s="62">
        <f>AI71-AH71</f>
        <v/>
      </c>
      <c r="AK71" s="64">
        <f>IF(AH71=0,"",AI71/AH71)</f>
        <v/>
      </c>
      <c r="AL71" s="31" t="n"/>
      <c r="AM71" s="60" t="n"/>
      <c r="AN71" s="60" t="n"/>
      <c r="AO71" s="60">
        <f>AN71-AM71</f>
        <v/>
      </c>
      <c r="AP71" s="61">
        <f>IF(AM71=0,"",AN71/AM71)</f>
        <v/>
      </c>
      <c r="AQ71" s="27" t="n"/>
      <c r="AR71" s="62" t="n"/>
      <c r="AS71" s="62" t="n"/>
      <c r="AT71" s="62">
        <f>AS71-AR71</f>
        <v/>
      </c>
      <c r="AU71" s="64">
        <f>IF(AR71=0,"",AS71/AR71)</f>
        <v/>
      </c>
      <c r="AV71" s="31" t="n"/>
      <c r="AW71" s="60" t="n"/>
      <c r="AX71" s="60" t="n"/>
      <c r="AY71" s="60">
        <f>AX71-AW71</f>
        <v/>
      </c>
      <c r="AZ71" s="61">
        <f>IF(AW71=0,"",AX71/AW71)</f>
        <v/>
      </c>
      <c r="BA71" s="27" t="n"/>
      <c r="BB71" s="62" t="n"/>
      <c r="BC71" s="62" t="n"/>
      <c r="BD71" s="62">
        <f>BC71-BB71</f>
        <v/>
      </c>
      <c r="BE71" s="64">
        <f>IF(BB71=0,"",BC71/BB71)</f>
        <v/>
      </c>
      <c r="BF71" s="31" t="n"/>
      <c r="BG71" s="60" t="n"/>
      <c r="BH71" s="60" t="n"/>
      <c r="BI71" s="60">
        <f>BH71-BG71</f>
        <v/>
      </c>
      <c r="BJ71" s="61">
        <f>IF(BG71=0,"",BH71/BG71)</f>
        <v/>
      </c>
      <c r="BK71" s="27" t="n"/>
      <c r="BL71" s="62" t="n"/>
      <c r="BM71" s="62" t="n"/>
      <c r="BN71" s="62">
        <f>BM71-BL71</f>
        <v/>
      </c>
      <c r="BO71" s="64">
        <f>IF(BL71=0,"",BM71/BL71)</f>
        <v/>
      </c>
      <c r="BP71" s="31" t="n"/>
      <c r="BQ71" s="60" t="n"/>
      <c r="BR71" s="60" t="n"/>
      <c r="BS71" s="60">
        <f>BR71-BQ71</f>
        <v/>
      </c>
      <c r="BT71" s="61">
        <f>IF(BQ71=0,"",BR71/BQ71)</f>
        <v/>
      </c>
      <c r="BU71" s="27" t="n"/>
      <c r="BV71" s="62" t="n"/>
      <c r="BW71" s="62" t="n"/>
      <c r="BX71" s="62">
        <f>BW71-BV71</f>
        <v/>
      </c>
      <c r="BY71" s="64">
        <f>IF(BV71=0,"",BW71/BV71)</f>
        <v/>
      </c>
      <c r="BZ71" s="31" t="n"/>
      <c r="CA71" s="60" t="n"/>
      <c r="CB71" s="60" t="n"/>
      <c r="CC71" s="60">
        <f>CB71-CA71</f>
        <v/>
      </c>
      <c r="CD71" s="61">
        <f>IF(CA71=0,"",CB71/CA71)</f>
        <v/>
      </c>
      <c r="CE71" s="27" t="n"/>
      <c r="CF71" s="62" t="n"/>
      <c r="CG71" s="62" t="n"/>
      <c r="CH71" s="62">
        <f>CG71-CF71</f>
        <v/>
      </c>
      <c r="CI71" s="64">
        <f>IF(CF71=0,"",CG71/CF71)</f>
        <v/>
      </c>
      <c r="CJ71" s="31" t="n"/>
      <c r="CK71" s="60" t="n"/>
      <c r="CL71" s="60" t="n"/>
      <c r="CM71" s="60">
        <f>CL71-CK71</f>
        <v/>
      </c>
      <c r="CN71" s="61">
        <f>IF(CK71=0,"",CL71/CK71)</f>
        <v/>
      </c>
      <c r="CO71" s="27" t="n"/>
      <c r="CP71" s="62" t="n"/>
      <c r="CQ71" s="62" t="n"/>
      <c r="CR71" s="62">
        <f>CQ71-CP71</f>
        <v/>
      </c>
      <c r="CS71" s="64">
        <f>IF(CP71=0,"",CQ71/CP71)</f>
        <v/>
      </c>
      <c r="CT71" s="31" t="n"/>
      <c r="CU71" s="60" t="n"/>
      <c r="CV71" s="60" t="n"/>
      <c r="CW71" s="60">
        <f>CV71-CU71</f>
        <v/>
      </c>
      <c r="CX71" s="61">
        <f>IF(CU71=0,"",CV71/CU71)</f>
        <v/>
      </c>
      <c r="CY71" s="27" t="n"/>
      <c r="CZ71" s="62" t="n"/>
      <c r="DA71" s="62" t="n"/>
      <c r="DB71" s="62">
        <f>DA71-CZ71</f>
        <v/>
      </c>
      <c r="DC71" s="64">
        <f>IF(CZ71=0,"",DA71/CZ71)</f>
        <v/>
      </c>
      <c r="DD71" s="31" t="n"/>
      <c r="DE71" s="60" t="n"/>
      <c r="DF71" s="60" t="n"/>
      <c r="DG71" s="60">
        <f>DF71-DE71</f>
        <v/>
      </c>
      <c r="DH71" s="61">
        <f>IF(DE71=0,"",DF71/DE71)</f>
        <v/>
      </c>
      <c r="DI71" s="27" t="n"/>
      <c r="DJ71" s="62" t="n"/>
      <c r="DK71" s="62" t="n"/>
      <c r="DL71" s="62">
        <f>DK71-DJ71</f>
        <v/>
      </c>
      <c r="DM71" s="64">
        <f>IF(DJ71=0,"",DK71/DJ71)</f>
        <v/>
      </c>
      <c r="DN71" s="31" t="n"/>
      <c r="DO71" s="60" t="n"/>
    </row>
    <row r="72" outlineLevel="1" ht="15" customHeight="1">
      <c r="A72" s="24" t="n"/>
      <c r="B72" s="24" t="n"/>
      <c r="C72" s="24" t="n"/>
      <c r="D72" s="60" t="n"/>
      <c r="E72" s="60" t="n"/>
      <c r="F72" s="60">
        <f>E72-D72</f>
        <v/>
      </c>
      <c r="G72" s="61">
        <f>IF(D72=0,"",E72/D72)</f>
        <v/>
      </c>
      <c r="H72" s="27" t="n"/>
      <c r="I72" s="60" t="n"/>
      <c r="J72" s="60" t="n"/>
      <c r="K72" s="60">
        <f>J72-I72</f>
        <v/>
      </c>
      <c r="L72" s="61">
        <f>IF(I72=0,"",J72/I72)</f>
        <v/>
      </c>
      <c r="M72" s="27" t="n"/>
      <c r="N72" s="62" t="n"/>
      <c r="O72" s="62" t="n"/>
      <c r="P72" s="62">
        <f>O72-N72</f>
        <v/>
      </c>
      <c r="Q72" s="64">
        <f>IF(N72=0,"",O72/N72)</f>
        <v/>
      </c>
      <c r="R72" s="31" t="n"/>
      <c r="S72" s="60" t="n"/>
      <c r="T72" s="60" t="n"/>
      <c r="U72" s="60">
        <f>T72-S72</f>
        <v/>
      </c>
      <c r="V72" s="61">
        <f>IF(S72=0,"",T72/S72)</f>
        <v/>
      </c>
      <c r="W72" s="27" t="n"/>
      <c r="X72" s="62" t="n"/>
      <c r="Y72" s="62" t="n"/>
      <c r="Z72" s="62">
        <f>Y72-X72</f>
        <v/>
      </c>
      <c r="AA72" s="64">
        <f>IF(X72=0,"",Y72/X72)</f>
        <v/>
      </c>
      <c r="AB72" s="31" t="n"/>
      <c r="AC72" s="60" t="n"/>
      <c r="AD72" s="60" t="n"/>
      <c r="AE72" s="60">
        <f>AD72-AC72</f>
        <v/>
      </c>
      <c r="AF72" s="61">
        <f>IF(AC72=0,"",AD72/AC72)</f>
        <v/>
      </c>
      <c r="AG72" s="27" t="n"/>
      <c r="AH72" s="62" t="n"/>
      <c r="AI72" s="62" t="n"/>
      <c r="AJ72" s="62">
        <f>AI72-AH72</f>
        <v/>
      </c>
      <c r="AK72" s="64">
        <f>IF(AH72=0,"",AI72/AH72)</f>
        <v/>
      </c>
      <c r="AL72" s="31" t="n"/>
      <c r="AM72" s="60" t="n"/>
      <c r="AN72" s="60" t="n"/>
      <c r="AO72" s="60">
        <f>AN72-AM72</f>
        <v/>
      </c>
      <c r="AP72" s="61">
        <f>IF(AM72=0,"",AN72/AM72)</f>
        <v/>
      </c>
      <c r="AQ72" s="27" t="n"/>
      <c r="AR72" s="62" t="n"/>
      <c r="AS72" s="62" t="n"/>
      <c r="AT72" s="62">
        <f>AS72-AR72</f>
        <v/>
      </c>
      <c r="AU72" s="64">
        <f>IF(AR72=0,"",AS72/AR72)</f>
        <v/>
      </c>
      <c r="AV72" s="31" t="n"/>
      <c r="AW72" s="60" t="n"/>
      <c r="AX72" s="60" t="n"/>
      <c r="AY72" s="60">
        <f>AX72-AW72</f>
        <v/>
      </c>
      <c r="AZ72" s="61">
        <f>IF(AW72=0,"",AX72/AW72)</f>
        <v/>
      </c>
      <c r="BA72" s="27" t="n"/>
      <c r="BB72" s="62" t="n"/>
      <c r="BC72" s="62" t="n"/>
      <c r="BD72" s="62">
        <f>BC72-BB72</f>
        <v/>
      </c>
      <c r="BE72" s="64">
        <f>IF(BB72=0,"",BC72/BB72)</f>
        <v/>
      </c>
      <c r="BF72" s="31" t="n"/>
      <c r="BG72" s="60" t="n"/>
      <c r="BH72" s="60" t="n"/>
      <c r="BI72" s="60">
        <f>BH72-BG72</f>
        <v/>
      </c>
      <c r="BJ72" s="61">
        <f>IF(BG72=0,"",BH72/BG72)</f>
        <v/>
      </c>
      <c r="BK72" s="27" t="n"/>
      <c r="BL72" s="62" t="n"/>
      <c r="BM72" s="62" t="n"/>
      <c r="BN72" s="62">
        <f>BM72-BL72</f>
        <v/>
      </c>
      <c r="BO72" s="64">
        <f>IF(BL72=0,"",BM72/BL72)</f>
        <v/>
      </c>
      <c r="BP72" s="31" t="n"/>
      <c r="BQ72" s="60" t="n"/>
      <c r="BR72" s="60" t="n"/>
      <c r="BS72" s="60">
        <f>BR72-BQ72</f>
        <v/>
      </c>
      <c r="BT72" s="61">
        <f>IF(BQ72=0,"",BR72/BQ72)</f>
        <v/>
      </c>
      <c r="BU72" s="27" t="n"/>
      <c r="BV72" s="62" t="n"/>
      <c r="BW72" s="62" t="n"/>
      <c r="BX72" s="62">
        <f>BW72-BV72</f>
        <v/>
      </c>
      <c r="BY72" s="64">
        <f>IF(BV72=0,"",BW72/BV72)</f>
        <v/>
      </c>
      <c r="BZ72" s="31" t="n"/>
      <c r="CA72" s="60" t="n"/>
      <c r="CB72" s="60" t="n"/>
      <c r="CC72" s="60">
        <f>CB72-CA72</f>
        <v/>
      </c>
      <c r="CD72" s="61">
        <f>IF(CA72=0,"",CB72/CA72)</f>
        <v/>
      </c>
      <c r="CE72" s="27" t="n"/>
      <c r="CF72" s="62" t="n"/>
      <c r="CG72" s="62" t="n"/>
      <c r="CH72" s="62">
        <f>CG72-CF72</f>
        <v/>
      </c>
      <c r="CI72" s="64">
        <f>IF(CF72=0,"",CG72/CF72)</f>
        <v/>
      </c>
      <c r="CJ72" s="31" t="n"/>
      <c r="CK72" s="60" t="n"/>
      <c r="CL72" s="60" t="n"/>
      <c r="CM72" s="60">
        <f>CL72-CK72</f>
        <v/>
      </c>
      <c r="CN72" s="61">
        <f>IF(CK72=0,"",CL72/CK72)</f>
        <v/>
      </c>
      <c r="CO72" s="27" t="n"/>
      <c r="CP72" s="62" t="n"/>
      <c r="CQ72" s="62" t="n"/>
      <c r="CR72" s="62">
        <f>CQ72-CP72</f>
        <v/>
      </c>
      <c r="CS72" s="64">
        <f>IF(CP72=0,"",CQ72/CP72)</f>
        <v/>
      </c>
      <c r="CT72" s="31" t="n"/>
      <c r="CU72" s="60" t="n"/>
      <c r="CV72" s="60" t="n"/>
      <c r="CW72" s="60">
        <f>CV72-CU72</f>
        <v/>
      </c>
      <c r="CX72" s="61">
        <f>IF(CU72=0,"",CV72/CU72)</f>
        <v/>
      </c>
      <c r="CY72" s="27" t="n"/>
      <c r="CZ72" s="62" t="n"/>
      <c r="DA72" s="62" t="n"/>
      <c r="DB72" s="62">
        <f>DA72-CZ72</f>
        <v/>
      </c>
      <c r="DC72" s="64">
        <f>IF(CZ72=0,"",DA72/CZ72)</f>
        <v/>
      </c>
      <c r="DD72" s="31" t="n"/>
      <c r="DE72" s="60" t="n"/>
      <c r="DF72" s="60" t="n"/>
      <c r="DG72" s="60">
        <f>DF72-DE72</f>
        <v/>
      </c>
      <c r="DH72" s="61">
        <f>IF(DE72=0,"",DF72/DE72)</f>
        <v/>
      </c>
      <c r="DI72" s="27" t="n"/>
      <c r="DJ72" s="62" t="n"/>
      <c r="DK72" s="62" t="n"/>
      <c r="DL72" s="62">
        <f>DK72-DJ72</f>
        <v/>
      </c>
      <c r="DM72" s="64">
        <f>IF(DJ72=0,"",DK72/DJ72)</f>
        <v/>
      </c>
      <c r="DN72" s="31" t="n"/>
      <c r="DO72" s="60" t="n"/>
    </row>
    <row r="73" ht="15" customHeight="1">
      <c r="A73" s="15" t="n"/>
      <c r="B73" s="15" t="n"/>
      <c r="C73" s="15" t="n"/>
      <c r="D73" s="56">
        <f>D5+D44</f>
        <v/>
      </c>
      <c r="E73" s="56">
        <f>E5+E44</f>
        <v/>
      </c>
      <c r="F73" s="56">
        <f>E73-D73</f>
        <v/>
      </c>
      <c r="G73" s="57">
        <f>IF(D73=0,"",E73/D73)</f>
        <v/>
      </c>
      <c r="H73" s="18" t="n"/>
      <c r="I73" s="56">
        <f>I5+I44</f>
        <v/>
      </c>
      <c r="J73" s="56">
        <f>J5+J44</f>
        <v/>
      </c>
      <c r="K73" s="56">
        <f>J73-I73</f>
        <v/>
      </c>
      <c r="L73" s="57">
        <f>IF(I73=0,"",J73/I73)</f>
        <v/>
      </c>
      <c r="M73" s="18" t="n"/>
      <c r="N73" s="56">
        <f>N5+N44</f>
        <v/>
      </c>
      <c r="O73" s="56">
        <f>O5+O44</f>
        <v/>
      </c>
      <c r="P73" s="56">
        <f>O73-N73</f>
        <v/>
      </c>
      <c r="Q73" s="57">
        <f>IF(N73=0,"",O73/N73)</f>
        <v/>
      </c>
      <c r="R73" s="18" t="n"/>
      <c r="S73" s="56">
        <f>S5+S44</f>
        <v/>
      </c>
      <c r="T73" s="56">
        <f>T5+T44</f>
        <v/>
      </c>
      <c r="U73" s="56">
        <f>T73-S73</f>
        <v/>
      </c>
      <c r="V73" s="57">
        <f>IF(S73=0,"",T73/S73)</f>
        <v/>
      </c>
      <c r="W73" s="18" t="n"/>
      <c r="X73" s="56">
        <f>X5+X44</f>
        <v/>
      </c>
      <c r="Y73" s="56">
        <f>Y5+Y44</f>
        <v/>
      </c>
      <c r="Z73" s="56">
        <f>Y73-X73</f>
        <v/>
      </c>
      <c r="AA73" s="57">
        <f>IF(X73=0,"",Y73/X73)</f>
        <v/>
      </c>
      <c r="AB73" s="18" t="n"/>
      <c r="AC73" s="56">
        <f>AC5+AC44</f>
        <v/>
      </c>
      <c r="AD73" s="56">
        <f>AD5+AD44</f>
        <v/>
      </c>
      <c r="AE73" s="56">
        <f>AD73-AC73</f>
        <v/>
      </c>
      <c r="AF73" s="57">
        <f>IF(AC73=0,"",AD73/AC73)</f>
        <v/>
      </c>
      <c r="AG73" s="18" t="n"/>
      <c r="AH73" s="56">
        <f>AH5+AH44</f>
        <v/>
      </c>
      <c r="AI73" s="56">
        <f>AI5+AI44</f>
        <v/>
      </c>
      <c r="AJ73" s="56">
        <f>AI73-AH73</f>
        <v/>
      </c>
      <c r="AK73" s="57">
        <f>IF(AH73=0,"",AI73/AH73)</f>
        <v/>
      </c>
      <c r="AL73" s="18" t="n"/>
      <c r="AM73" s="56">
        <f>AM5+AM44</f>
        <v/>
      </c>
      <c r="AN73" s="56">
        <f>AN5+AN44</f>
        <v/>
      </c>
      <c r="AO73" s="56">
        <f>AN73-AM73</f>
        <v/>
      </c>
      <c r="AP73" s="57">
        <f>IF(AM73=0,"",AN73/AM73)</f>
        <v/>
      </c>
      <c r="AQ73" s="18" t="n"/>
      <c r="AR73" s="56">
        <f>AR5+AR44</f>
        <v/>
      </c>
      <c r="AS73" s="56">
        <f>AS5+AS44</f>
        <v/>
      </c>
      <c r="AT73" s="56">
        <f>AS73-AR73</f>
        <v/>
      </c>
      <c r="AU73" s="57">
        <f>IF(AR73=0,"",AS73/AR73)</f>
        <v/>
      </c>
      <c r="AV73" s="18" t="n"/>
      <c r="AW73" s="56">
        <f>AW5+AW44</f>
        <v/>
      </c>
      <c r="AX73" s="56">
        <f>AX5+AX44</f>
        <v/>
      </c>
      <c r="AY73" s="56">
        <f>AX73-AW73</f>
        <v/>
      </c>
      <c r="AZ73" s="57">
        <f>IF(AW73=0,"",AX73/AW73)</f>
        <v/>
      </c>
      <c r="BA73" s="18" t="n"/>
      <c r="BB73" s="56">
        <f>BB5+BB44</f>
        <v/>
      </c>
      <c r="BC73" s="56">
        <f>BC5+BC44</f>
        <v/>
      </c>
      <c r="BD73" s="56">
        <f>BC73-BB73</f>
        <v/>
      </c>
      <c r="BE73" s="57">
        <f>IF(BB73=0,"",BC73/BB73)</f>
        <v/>
      </c>
      <c r="BF73" s="18" t="n"/>
      <c r="BG73" s="56">
        <f>BG5+BG44</f>
        <v/>
      </c>
      <c r="BH73" s="56">
        <f>BH5+BH44</f>
        <v/>
      </c>
      <c r="BI73" s="56">
        <f>BH73-BG73</f>
        <v/>
      </c>
      <c r="BJ73" s="57">
        <f>IF(BG73=0,"",BH73/BG73)</f>
        <v/>
      </c>
      <c r="BK73" s="18" t="n"/>
      <c r="BL73" s="56">
        <f>BL5+BL44</f>
        <v/>
      </c>
      <c r="BM73" s="56">
        <f>BM5+BM44</f>
        <v/>
      </c>
      <c r="BN73" s="56">
        <f>BM73-BL73</f>
        <v/>
      </c>
      <c r="BO73" s="57">
        <f>IF(BL73=0,"",BM73/BL73)</f>
        <v/>
      </c>
      <c r="BP73" s="18" t="n"/>
      <c r="BQ73" s="56">
        <f>BQ5+BQ44</f>
        <v/>
      </c>
      <c r="BR73" s="56">
        <f>BR5+BR44</f>
        <v/>
      </c>
      <c r="BS73" s="56">
        <f>BR73-BQ73</f>
        <v/>
      </c>
      <c r="BT73" s="57">
        <f>IF(BQ73=0,"",BR73/BQ73)</f>
        <v/>
      </c>
      <c r="BU73" s="18" t="n"/>
      <c r="BV73" s="56">
        <f>BV5+BV44</f>
        <v/>
      </c>
      <c r="BW73" s="56">
        <f>BW5+BW44</f>
        <v/>
      </c>
      <c r="BX73" s="56">
        <f>BW73-BV73</f>
        <v/>
      </c>
      <c r="BY73" s="57">
        <f>IF(BV73=0,"",BW73/BV73)</f>
        <v/>
      </c>
      <c r="BZ73" s="18" t="n"/>
      <c r="CA73" s="56">
        <f>CA5+CA44</f>
        <v/>
      </c>
      <c r="CB73" s="56">
        <f>CB5+CB44</f>
        <v/>
      </c>
      <c r="CC73" s="56">
        <f>CB73-CA73</f>
        <v/>
      </c>
      <c r="CD73" s="57">
        <f>IF(CA73=0,"",CB73/CA73)</f>
        <v/>
      </c>
      <c r="CE73" s="18" t="n"/>
      <c r="CF73" s="56">
        <f>CF5+CF44</f>
        <v/>
      </c>
      <c r="CG73" s="56">
        <f>CG5+CG44</f>
        <v/>
      </c>
      <c r="CH73" s="56">
        <f>CG73-CF73</f>
        <v/>
      </c>
      <c r="CI73" s="57">
        <f>IF(CF73=0,"",CG73/CF73)</f>
        <v/>
      </c>
      <c r="CJ73" s="18" t="n"/>
      <c r="CK73" s="56">
        <f>CK5+CK44</f>
        <v/>
      </c>
      <c r="CL73" s="56">
        <f>CL5+CL44</f>
        <v/>
      </c>
      <c r="CM73" s="56">
        <f>CL73-CK73</f>
        <v/>
      </c>
      <c r="CN73" s="57">
        <f>IF(CK73=0,"",CL73/CK73)</f>
        <v/>
      </c>
      <c r="CO73" s="18" t="n"/>
      <c r="CP73" s="56">
        <f>CP5+CP44</f>
        <v/>
      </c>
      <c r="CQ73" s="56">
        <f>CQ5+CQ44</f>
        <v/>
      </c>
      <c r="CR73" s="56">
        <f>CQ73-CP73</f>
        <v/>
      </c>
      <c r="CS73" s="57">
        <f>IF(CP73=0,"",CQ73/CP73)</f>
        <v/>
      </c>
      <c r="CT73" s="18" t="n"/>
      <c r="CU73" s="56">
        <f>CU5+CU44</f>
        <v/>
      </c>
      <c r="CV73" s="56">
        <f>CV5+CV44</f>
        <v/>
      </c>
      <c r="CW73" s="56">
        <f>CV73-CU73</f>
        <v/>
      </c>
      <c r="CX73" s="57">
        <f>IF(CU73=0,"",CV73/CU73)</f>
        <v/>
      </c>
      <c r="CY73" s="18" t="n"/>
      <c r="CZ73" s="56">
        <f>CZ5+CZ44</f>
        <v/>
      </c>
      <c r="DA73" s="56">
        <f>DA5+DA44</f>
        <v/>
      </c>
      <c r="DB73" s="56">
        <f>DA73-CZ73</f>
        <v/>
      </c>
      <c r="DC73" s="57">
        <f>IF(CZ73=0,"",DA73/CZ73)</f>
        <v/>
      </c>
      <c r="DD73" s="18" t="n"/>
      <c r="DE73" s="56">
        <f>DE5+DE44</f>
        <v/>
      </c>
      <c r="DF73" s="56">
        <f>DF5+DF44</f>
        <v/>
      </c>
      <c r="DG73" s="56">
        <f>DF73-DE73</f>
        <v/>
      </c>
      <c r="DH73" s="57">
        <f>IF(DE73=0,"",DF73/DE73)</f>
        <v/>
      </c>
      <c r="DI73" s="18" t="n"/>
      <c r="DJ73" s="56">
        <f>DJ5+DJ44</f>
        <v/>
      </c>
      <c r="DK73" s="56">
        <f>DK5+DK44</f>
        <v/>
      </c>
      <c r="DL73" s="56">
        <f>DK73-DJ73</f>
        <v/>
      </c>
      <c r="DM73" s="57">
        <f>IF(DJ73=0,"",DK73/DJ73)</f>
        <v/>
      </c>
      <c r="DN73" s="18" t="n"/>
      <c r="DO73" s="56">
        <f>DO5+DO44</f>
        <v/>
      </c>
    </row>
  </sheetData>
  <mergeCells count="28">
    <mergeCell ref="DO3:DO4"/>
    <mergeCell ref="BG3:BK3"/>
    <mergeCell ref="AH3:AL3"/>
    <mergeCell ref="B3:B4"/>
    <mergeCell ref="BB3:BF3"/>
    <mergeCell ref="S3:W3"/>
    <mergeCell ref="AC3:AG3"/>
    <mergeCell ref="N3:R3"/>
    <mergeCell ref="AW3:BA3"/>
    <mergeCell ref="A3:A4"/>
    <mergeCell ref="DJ3:DN3"/>
    <mergeCell ref="X3:AB3"/>
    <mergeCell ref="I3:M3"/>
    <mergeCell ref="DE3:DI3"/>
    <mergeCell ref="CP3:CT3"/>
    <mergeCell ref="CF3:CJ3"/>
    <mergeCell ref="BQ3:BU3"/>
    <mergeCell ref="CZ3:DD3"/>
    <mergeCell ref="D3:H3"/>
    <mergeCell ref="A1:DO1"/>
    <mergeCell ref="AM3:AQ3"/>
    <mergeCell ref="CA3:CE3"/>
    <mergeCell ref="C3:C4"/>
    <mergeCell ref="BL3:BP3"/>
    <mergeCell ref="CU3:CY3"/>
    <mergeCell ref="CK3:CO3"/>
    <mergeCell ref="BV3:BZ3"/>
    <mergeCell ref="AR3:AV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O303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baseColWidth="8" defaultColWidth="8.7109375" defaultRowHeight="15" outlineLevelRow="1"/>
  <cols>
    <col width="18" customWidth="1" min="1" max="1"/>
    <col width="12" customWidth="1" min="2" max="2"/>
    <col width="20" customWidth="1" min="3" max="3"/>
    <col width="10" customWidth="1" min="4" max="6"/>
    <col width="7" customWidth="1" min="7" max="7"/>
    <col width="10" customWidth="1" min="8" max="11"/>
    <col width="7" customWidth="1" min="12" max="12"/>
    <col width="10" customWidth="1" min="13" max="16"/>
    <col width="7" customWidth="1" min="17" max="17"/>
    <col width="10" customWidth="1" min="18" max="21"/>
    <col width="7" customWidth="1" min="22" max="22"/>
    <col width="10" customWidth="1" min="23" max="26"/>
    <col width="7" customWidth="1" min="27" max="27"/>
    <col width="10" customWidth="1" min="28" max="31"/>
    <col width="7" customWidth="1" min="32" max="32"/>
    <col width="10" customWidth="1" min="33" max="36"/>
    <col width="7" customWidth="1" min="37" max="37"/>
    <col width="10" customWidth="1" min="38" max="41"/>
    <col width="7" customWidth="1" min="42" max="42"/>
    <col width="10" customWidth="1" min="43" max="46"/>
    <col width="7" customWidth="1" min="47" max="47"/>
    <col width="10" customWidth="1" min="48" max="51"/>
    <col width="7" customWidth="1" min="52" max="52"/>
    <col width="10" customWidth="1" min="53" max="56"/>
    <col width="7" customWidth="1" min="57" max="57"/>
    <col width="10" customWidth="1" min="58" max="61"/>
    <col width="7" customWidth="1" min="62" max="62"/>
    <col width="10" customWidth="1" min="63" max="66"/>
    <col width="7" customWidth="1" min="67" max="67"/>
    <col width="10" customWidth="1" min="68" max="71"/>
    <col width="7" customWidth="1" min="72" max="72"/>
    <col width="10" customWidth="1" min="73" max="76"/>
    <col width="7" customWidth="1" min="77" max="77"/>
    <col width="10" customWidth="1" min="78" max="81"/>
    <col width="7" customWidth="1" min="82" max="82"/>
    <col width="10" customWidth="1" min="83" max="86"/>
    <col width="7" customWidth="1" min="87" max="87"/>
    <col width="10" customWidth="1" min="88" max="91"/>
    <col width="7" customWidth="1" min="92" max="92"/>
    <col width="10" customWidth="1" min="93" max="96"/>
    <col width="7" customWidth="1" min="97" max="97"/>
    <col width="10" customWidth="1" min="98" max="101"/>
    <col width="7" customWidth="1" min="102" max="102"/>
    <col width="10" customWidth="1" min="103" max="106"/>
    <col width="7" customWidth="1" min="107" max="107"/>
    <col width="10" customWidth="1" min="108" max="111"/>
    <col width="7" customWidth="1" min="112" max="112"/>
    <col width="10" customWidth="1" min="113" max="116"/>
    <col width="7" customWidth="1" min="117" max="117"/>
    <col width="10" customWidth="1" min="118" max="118"/>
    <col width="11" customWidth="1" min="119" max="119"/>
  </cols>
  <sheetData>
    <row r="1" ht="24" customHeight="1">
      <c r="A1" s="10" t="n"/>
    </row>
    <row r="2" ht="13.5" customHeight="1">
      <c r="A2" s="11" t="n"/>
    </row>
    <row r="3" ht="19.5" customHeight="1">
      <c r="A3" s="9" t="n"/>
      <c r="B3" s="12" t="n"/>
      <c r="C3" s="12" t="n"/>
      <c r="D3" s="9" t="n"/>
      <c r="E3" s="53" t="n"/>
      <c r="F3" s="53" t="n"/>
      <c r="G3" s="53" t="n"/>
      <c r="H3" s="54" t="n"/>
      <c r="I3" s="9" t="n"/>
      <c r="J3" s="53" t="n"/>
      <c r="K3" s="53" t="n"/>
      <c r="L3" s="53" t="n"/>
      <c r="M3" s="54" t="n"/>
      <c r="N3" s="7" t="n"/>
      <c r="O3" s="53" t="n"/>
      <c r="P3" s="53" t="n"/>
      <c r="Q3" s="53" t="n"/>
      <c r="R3" s="54" t="n"/>
      <c r="S3" s="9" t="n"/>
      <c r="T3" s="53" t="n"/>
      <c r="U3" s="53" t="n"/>
      <c r="V3" s="53" t="n"/>
      <c r="W3" s="54" t="n"/>
      <c r="X3" s="7" t="n"/>
      <c r="Y3" s="53" t="n"/>
      <c r="Z3" s="53" t="n"/>
      <c r="AA3" s="53" t="n"/>
      <c r="AB3" s="54" t="n"/>
      <c r="AC3" s="9" t="n"/>
      <c r="AD3" s="53" t="n"/>
      <c r="AE3" s="53" t="n"/>
      <c r="AF3" s="53" t="n"/>
      <c r="AG3" s="54" t="n"/>
      <c r="AH3" s="7" t="n"/>
      <c r="AI3" s="53" t="n"/>
      <c r="AJ3" s="53" t="n"/>
      <c r="AK3" s="53" t="n"/>
      <c r="AL3" s="54" t="n"/>
      <c r="AM3" s="9" t="n"/>
      <c r="AN3" s="53" t="n"/>
      <c r="AO3" s="53" t="n"/>
      <c r="AP3" s="53" t="n"/>
      <c r="AQ3" s="54" t="n"/>
      <c r="AR3" s="7" t="n"/>
      <c r="AS3" s="53" t="n"/>
      <c r="AT3" s="53" t="n"/>
      <c r="AU3" s="53" t="n"/>
      <c r="AV3" s="54" t="n"/>
      <c r="AW3" s="9" t="n"/>
      <c r="AX3" s="53" t="n"/>
      <c r="AY3" s="53" t="n"/>
      <c r="AZ3" s="53" t="n"/>
      <c r="BA3" s="54" t="n"/>
      <c r="BB3" s="7" t="n"/>
      <c r="BC3" s="53" t="n"/>
      <c r="BD3" s="53" t="n"/>
      <c r="BE3" s="53" t="n"/>
      <c r="BF3" s="54" t="n"/>
      <c r="BG3" s="9" t="n"/>
      <c r="BH3" s="53" t="n"/>
      <c r="BI3" s="53" t="n"/>
      <c r="BJ3" s="53" t="n"/>
      <c r="BK3" s="54" t="n"/>
      <c r="BL3" s="7" t="n"/>
      <c r="BM3" s="53" t="n"/>
      <c r="BN3" s="53" t="n"/>
      <c r="BO3" s="53" t="n"/>
      <c r="BP3" s="54" t="n"/>
      <c r="BQ3" s="9" t="n"/>
      <c r="BR3" s="53" t="n"/>
      <c r="BS3" s="53" t="n"/>
      <c r="BT3" s="53" t="n"/>
      <c r="BU3" s="54" t="n"/>
      <c r="BV3" s="7" t="n"/>
      <c r="BW3" s="53" t="n"/>
      <c r="BX3" s="53" t="n"/>
      <c r="BY3" s="53" t="n"/>
      <c r="BZ3" s="54" t="n"/>
      <c r="CA3" s="9" t="n"/>
      <c r="CB3" s="53" t="n"/>
      <c r="CC3" s="53" t="n"/>
      <c r="CD3" s="53" t="n"/>
      <c r="CE3" s="54" t="n"/>
      <c r="CF3" s="7" t="n"/>
      <c r="CG3" s="53" t="n"/>
      <c r="CH3" s="53" t="n"/>
      <c r="CI3" s="53" t="n"/>
      <c r="CJ3" s="54" t="n"/>
      <c r="CK3" s="9" t="n"/>
      <c r="CL3" s="53" t="n"/>
      <c r="CM3" s="53" t="n"/>
      <c r="CN3" s="53" t="n"/>
      <c r="CO3" s="54" t="n"/>
      <c r="CP3" s="7" t="n"/>
      <c r="CQ3" s="53" t="n"/>
      <c r="CR3" s="53" t="n"/>
      <c r="CS3" s="53" t="n"/>
      <c r="CT3" s="54" t="n"/>
      <c r="CU3" s="9" t="n"/>
      <c r="CV3" s="53" t="n"/>
      <c r="CW3" s="53" t="n"/>
      <c r="CX3" s="53" t="n"/>
      <c r="CY3" s="54" t="n"/>
      <c r="CZ3" s="7" t="n"/>
      <c r="DA3" s="53" t="n"/>
      <c r="DB3" s="53" t="n"/>
      <c r="DC3" s="53" t="n"/>
      <c r="DD3" s="54" t="n"/>
      <c r="DE3" s="9" t="n"/>
      <c r="DF3" s="53" t="n"/>
      <c r="DG3" s="53" t="n"/>
      <c r="DH3" s="53" t="n"/>
      <c r="DI3" s="54" t="n"/>
      <c r="DJ3" s="7" t="n"/>
      <c r="DK3" s="53" t="n"/>
      <c r="DL3" s="53" t="n"/>
      <c r="DM3" s="53" t="n"/>
      <c r="DN3" s="54" t="n"/>
      <c r="DO3" s="9" t="n"/>
    </row>
    <row r="4" ht="33.75" customHeight="1">
      <c r="A4" s="55" t="n"/>
      <c r="B4" s="55" t="n"/>
      <c r="C4" s="55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4" t="n"/>
      <c r="O4" s="14" t="n"/>
      <c r="P4" s="14" t="n"/>
      <c r="Q4" s="14" t="n"/>
      <c r="R4" s="14" t="n"/>
      <c r="S4" s="13" t="n"/>
      <c r="T4" s="13" t="n"/>
      <c r="U4" s="13" t="n"/>
      <c r="V4" s="13" t="n"/>
      <c r="W4" s="13" t="n"/>
      <c r="X4" s="14" t="n"/>
      <c r="Y4" s="14" t="n"/>
      <c r="Z4" s="14" t="n"/>
      <c r="AA4" s="14" t="n"/>
      <c r="AB4" s="14" t="n"/>
      <c r="AC4" s="13" t="n"/>
      <c r="AD4" s="13" t="n"/>
      <c r="AE4" s="13" t="n"/>
      <c r="AF4" s="13" t="n"/>
      <c r="AG4" s="13" t="n"/>
      <c r="AH4" s="14" t="n"/>
      <c r="AI4" s="14" t="n"/>
      <c r="AJ4" s="14" t="n"/>
      <c r="AK4" s="14" t="n"/>
      <c r="AL4" s="14" t="n"/>
      <c r="AM4" s="13" t="n"/>
      <c r="AN4" s="13" t="n"/>
      <c r="AO4" s="13" t="n"/>
      <c r="AP4" s="13" t="n"/>
      <c r="AQ4" s="13" t="n"/>
      <c r="AR4" s="14" t="n"/>
      <c r="AS4" s="14" t="n"/>
      <c r="AT4" s="14" t="n"/>
      <c r="AU4" s="14" t="n"/>
      <c r="AV4" s="14" t="n"/>
      <c r="AW4" s="13" t="n"/>
      <c r="AX4" s="13" t="n"/>
      <c r="AY4" s="13" t="n"/>
      <c r="AZ4" s="13" t="n"/>
      <c r="BA4" s="13" t="n"/>
      <c r="BB4" s="14" t="n"/>
      <c r="BC4" s="14" t="n"/>
      <c r="BD4" s="14" t="n"/>
      <c r="BE4" s="14" t="n"/>
      <c r="BF4" s="14" t="n"/>
      <c r="BG4" s="13" t="n"/>
      <c r="BH4" s="13" t="n"/>
      <c r="BI4" s="13" t="n"/>
      <c r="BJ4" s="13" t="n"/>
      <c r="BK4" s="13" t="n"/>
      <c r="BL4" s="14" t="n"/>
      <c r="BM4" s="14" t="n"/>
      <c r="BN4" s="14" t="n"/>
      <c r="BO4" s="14" t="n"/>
      <c r="BP4" s="14" t="n"/>
      <c r="BQ4" s="13" t="n"/>
      <c r="BR4" s="13" t="n"/>
      <c r="BS4" s="13" t="n"/>
      <c r="BT4" s="13" t="n"/>
      <c r="BU4" s="13" t="n"/>
      <c r="BV4" s="14" t="n"/>
      <c r="BW4" s="14" t="n"/>
      <c r="BX4" s="14" t="n"/>
      <c r="BY4" s="14" t="n"/>
      <c r="BZ4" s="14" t="n"/>
      <c r="CA4" s="13" t="n"/>
      <c r="CB4" s="13" t="n"/>
      <c r="CC4" s="13" t="n"/>
      <c r="CD4" s="13" t="n"/>
      <c r="CE4" s="13" t="n"/>
      <c r="CF4" s="14" t="n"/>
      <c r="CG4" s="14" t="n"/>
      <c r="CH4" s="14" t="n"/>
      <c r="CI4" s="14" t="n"/>
      <c r="CJ4" s="14" t="n"/>
      <c r="CK4" s="13" t="n"/>
      <c r="CL4" s="13" t="n"/>
      <c r="CM4" s="13" t="n"/>
      <c r="CN4" s="13" t="n"/>
      <c r="CO4" s="13" t="n"/>
      <c r="CP4" s="14" t="n"/>
      <c r="CQ4" s="14" t="n"/>
      <c r="CR4" s="14" t="n"/>
      <c r="CS4" s="14" t="n"/>
      <c r="CT4" s="14" t="n"/>
      <c r="CU4" s="13" t="n"/>
      <c r="CV4" s="13" t="n"/>
      <c r="CW4" s="13" t="n"/>
      <c r="CX4" s="13" t="n"/>
      <c r="CY4" s="13" t="n"/>
      <c r="CZ4" s="14" t="n"/>
      <c r="DA4" s="14" t="n"/>
      <c r="DB4" s="14" t="n"/>
      <c r="DC4" s="14" t="n"/>
      <c r="DD4" s="14" t="n"/>
      <c r="DE4" s="13" t="n"/>
      <c r="DF4" s="13" t="n"/>
      <c r="DG4" s="13" t="n"/>
      <c r="DH4" s="13" t="n"/>
      <c r="DI4" s="13" t="n"/>
      <c r="DJ4" s="14" t="n"/>
      <c r="DK4" s="14" t="n"/>
      <c r="DL4" s="14" t="n"/>
      <c r="DM4" s="14" t="n"/>
      <c r="DN4" s="14" t="n"/>
      <c r="DO4" s="55" t="n"/>
    </row>
    <row r="5" ht="15" customHeight="1">
      <c r="A5" s="15" t="n"/>
      <c r="B5" s="15" t="n"/>
      <c r="C5" s="15" t="n"/>
      <c r="D5" s="56">
        <f>D6+D35+D65+D73+D96</f>
        <v/>
      </c>
      <c r="E5" s="56">
        <f>E6+E35+E65+E73+E96</f>
        <v/>
      </c>
      <c r="F5" s="56">
        <f>E5-D5</f>
        <v/>
      </c>
      <c r="G5" s="57">
        <f>IF(D5=0,"",E5/D5)</f>
        <v/>
      </c>
      <c r="H5" s="18" t="n"/>
      <c r="I5" s="56">
        <f>I6+I35+I65+I73+I96</f>
        <v/>
      </c>
      <c r="J5" s="56">
        <f>J6+J35+J65+J73+J96</f>
        <v/>
      </c>
      <c r="K5" s="56">
        <f>J5-I5</f>
        <v/>
      </c>
      <c r="L5" s="57">
        <f>IF(I5=0,"",J5/I5)</f>
        <v/>
      </c>
      <c r="M5" s="18" t="n"/>
      <c r="N5" s="56">
        <f>N6+N35+N65+N73+N96</f>
        <v/>
      </c>
      <c r="O5" s="56">
        <f>O6+O35+O65+O73+O96</f>
        <v/>
      </c>
      <c r="P5" s="56">
        <f>O5-N5</f>
        <v/>
      </c>
      <c r="Q5" s="57">
        <f>IF(N5=0,"",O5/N5)</f>
        <v/>
      </c>
      <c r="R5" s="18" t="n"/>
      <c r="S5" s="56">
        <f>S6+S35+S65+S73+S96</f>
        <v/>
      </c>
      <c r="T5" s="56">
        <f>T6+T35+T65+T73+T96</f>
        <v/>
      </c>
      <c r="U5" s="56">
        <f>T5-S5</f>
        <v/>
      </c>
      <c r="V5" s="57">
        <f>IF(S5=0,"",T5/S5)</f>
        <v/>
      </c>
      <c r="W5" s="18" t="n"/>
      <c r="X5" s="56">
        <f>X6+X35+X65+X73+X96</f>
        <v/>
      </c>
      <c r="Y5" s="56">
        <f>Y6+Y35+Y65+Y73+Y96</f>
        <v/>
      </c>
      <c r="Z5" s="56">
        <f>Y5-X5</f>
        <v/>
      </c>
      <c r="AA5" s="57">
        <f>IF(X5=0,"",Y5/X5)</f>
        <v/>
      </c>
      <c r="AB5" s="18" t="n"/>
      <c r="AC5" s="56">
        <f>AC6+AC35+AC65+AC73+AC96</f>
        <v/>
      </c>
      <c r="AD5" s="56">
        <f>AD6+AD35+AD65+AD73+AD96</f>
        <v/>
      </c>
      <c r="AE5" s="56">
        <f>AD5-AC5</f>
        <v/>
      </c>
      <c r="AF5" s="57">
        <f>IF(AC5=0,"",AD5/AC5)</f>
        <v/>
      </c>
      <c r="AG5" s="18" t="n"/>
      <c r="AH5" s="56">
        <f>AH6+AH35+AH65+AH73+AH96</f>
        <v/>
      </c>
      <c r="AI5" s="56">
        <f>AI6+AI35+AI65+AI73+AI96</f>
        <v/>
      </c>
      <c r="AJ5" s="56">
        <f>AI5-AH5</f>
        <v/>
      </c>
      <c r="AK5" s="57">
        <f>IF(AH5=0,"",AI5/AH5)</f>
        <v/>
      </c>
      <c r="AL5" s="18" t="n"/>
      <c r="AM5" s="56">
        <f>AM6+AM35+AM65+AM73+AM96</f>
        <v/>
      </c>
      <c r="AN5" s="56">
        <f>AN6+AN35+AN65+AN73+AN96</f>
        <v/>
      </c>
      <c r="AO5" s="56">
        <f>AN5-AM5</f>
        <v/>
      </c>
      <c r="AP5" s="57">
        <f>IF(AM5=0,"",AN5/AM5)</f>
        <v/>
      </c>
      <c r="AQ5" s="18" t="n"/>
      <c r="AR5" s="56">
        <f>AR6+AR35+AR65+AR73+AR96</f>
        <v/>
      </c>
      <c r="AS5" s="56">
        <f>AS6+AS35+AS65+AS73+AS96</f>
        <v/>
      </c>
      <c r="AT5" s="56">
        <f>AS5-AR5</f>
        <v/>
      </c>
      <c r="AU5" s="57">
        <f>IF(AR5=0,"",AS5/AR5)</f>
        <v/>
      </c>
      <c r="AV5" s="18" t="n"/>
      <c r="AW5" s="56">
        <f>AW6+AW35+AW65+AW73+AW96</f>
        <v/>
      </c>
      <c r="AX5" s="56">
        <f>AX6+AX35+AX65+AX73+AX96</f>
        <v/>
      </c>
      <c r="AY5" s="56">
        <f>AX5-AW5</f>
        <v/>
      </c>
      <c r="AZ5" s="57">
        <f>IF(AW5=0,"",AX5/AW5)</f>
        <v/>
      </c>
      <c r="BA5" s="18" t="n"/>
      <c r="BB5" s="56">
        <f>BB6+BB35+BB65+BB73+BB96</f>
        <v/>
      </c>
      <c r="BC5" s="56">
        <f>BC6+BC35+BC65+BC73+BC96</f>
        <v/>
      </c>
      <c r="BD5" s="56">
        <f>BC5-BB5</f>
        <v/>
      </c>
      <c r="BE5" s="57">
        <f>IF(BB5=0,"",BC5/BB5)</f>
        <v/>
      </c>
      <c r="BF5" s="18" t="n"/>
      <c r="BG5" s="56">
        <f>BG6+BG35+BG65+BG73+BG96</f>
        <v/>
      </c>
      <c r="BH5" s="56">
        <f>BH6+BH35+BH65+BH73+BH96</f>
        <v/>
      </c>
      <c r="BI5" s="56">
        <f>BH5-BG5</f>
        <v/>
      </c>
      <c r="BJ5" s="57">
        <f>IF(BG5=0,"",BH5/BG5)</f>
        <v/>
      </c>
      <c r="BK5" s="18" t="n"/>
      <c r="BL5" s="56">
        <f>BL6+BL35+BL65+BL73+BL96</f>
        <v/>
      </c>
      <c r="BM5" s="56">
        <f>BM6+BM35+BM65+BM73+BM96</f>
        <v/>
      </c>
      <c r="BN5" s="56">
        <f>BM5-BL5</f>
        <v/>
      </c>
      <c r="BO5" s="57">
        <f>IF(BL5=0,"",BM5/BL5)</f>
        <v/>
      </c>
      <c r="BP5" s="18" t="n"/>
      <c r="BQ5" s="56">
        <f>BQ6+BQ35+BQ65+BQ73+BQ96</f>
        <v/>
      </c>
      <c r="BR5" s="56">
        <f>BR6+BR35+BR65+BR73+BR96</f>
        <v/>
      </c>
      <c r="BS5" s="56">
        <f>BR5-BQ5</f>
        <v/>
      </c>
      <c r="BT5" s="57">
        <f>IF(BQ5=0,"",BR5/BQ5)</f>
        <v/>
      </c>
      <c r="BU5" s="18" t="n"/>
      <c r="BV5" s="56">
        <f>BV6+BV35+BV65+BV73+BV96</f>
        <v/>
      </c>
      <c r="BW5" s="56">
        <f>BW6+BW35+BW65+BW73+BW96</f>
        <v/>
      </c>
      <c r="BX5" s="56">
        <f>BW5-BV5</f>
        <v/>
      </c>
      <c r="BY5" s="57">
        <f>IF(BV5=0,"",BW5/BV5)</f>
        <v/>
      </c>
      <c r="BZ5" s="18" t="n"/>
      <c r="CA5" s="56">
        <f>CA6+CA35+CA65+CA73+CA96</f>
        <v/>
      </c>
      <c r="CB5" s="56">
        <f>CB6+CB35+CB65+CB73+CB96</f>
        <v/>
      </c>
      <c r="CC5" s="56">
        <f>CB5-CA5</f>
        <v/>
      </c>
      <c r="CD5" s="57">
        <f>IF(CA5=0,"",CB5/CA5)</f>
        <v/>
      </c>
      <c r="CE5" s="18" t="n"/>
      <c r="CF5" s="56">
        <f>CF6+CF35+CF65+CF73+CF96</f>
        <v/>
      </c>
      <c r="CG5" s="56">
        <f>CG6+CG35+CG65+CG73+CG96</f>
        <v/>
      </c>
      <c r="CH5" s="56">
        <f>CG5-CF5</f>
        <v/>
      </c>
      <c r="CI5" s="57">
        <f>IF(CF5=0,"",CG5/CF5)</f>
        <v/>
      </c>
      <c r="CJ5" s="18" t="n"/>
      <c r="CK5" s="56">
        <f>CK6+CK35+CK65+CK73+CK96</f>
        <v/>
      </c>
      <c r="CL5" s="56">
        <f>CL6+CL35+CL65+CL73+CL96</f>
        <v/>
      </c>
      <c r="CM5" s="56">
        <f>CL5-CK5</f>
        <v/>
      </c>
      <c r="CN5" s="57">
        <f>IF(CK5=0,"",CL5/CK5)</f>
        <v/>
      </c>
      <c r="CO5" s="18" t="n"/>
      <c r="CP5" s="56">
        <f>CP6+CP35+CP65+CP73+CP96</f>
        <v/>
      </c>
      <c r="CQ5" s="56">
        <f>CQ6+CQ35+CQ65+CQ73+CQ96</f>
        <v/>
      </c>
      <c r="CR5" s="56">
        <f>CQ5-CP5</f>
        <v/>
      </c>
      <c r="CS5" s="57">
        <f>IF(CP5=0,"",CQ5/CP5)</f>
        <v/>
      </c>
      <c r="CT5" s="18" t="n"/>
      <c r="CU5" s="56">
        <f>CU6+CU35+CU65+CU73+CU96</f>
        <v/>
      </c>
      <c r="CV5" s="56">
        <f>CV6+CV35+CV65+CV73+CV96</f>
        <v/>
      </c>
      <c r="CW5" s="56">
        <f>CV5-CU5</f>
        <v/>
      </c>
      <c r="CX5" s="57">
        <f>IF(CU5=0,"",CV5/CU5)</f>
        <v/>
      </c>
      <c r="CY5" s="18" t="n"/>
      <c r="CZ5" s="56">
        <f>CZ6+CZ35+CZ65+CZ73+CZ96</f>
        <v/>
      </c>
      <c r="DA5" s="56">
        <f>DA6+DA35+DA65+DA73+DA96</f>
        <v/>
      </c>
      <c r="DB5" s="56">
        <f>DA5-CZ5</f>
        <v/>
      </c>
      <c r="DC5" s="57">
        <f>IF(CZ5=0,"",DA5/CZ5)</f>
        <v/>
      </c>
      <c r="DD5" s="18" t="n"/>
      <c r="DE5" s="56">
        <f>DE6+DE35+DE65+DE73+DE96</f>
        <v/>
      </c>
      <c r="DF5" s="56">
        <f>DF6+DF35+DF65+DF73+DF96</f>
        <v/>
      </c>
      <c r="DG5" s="56">
        <f>DF5-DE5</f>
        <v/>
      </c>
      <c r="DH5" s="57">
        <f>IF(DE5=0,"",DF5/DE5)</f>
        <v/>
      </c>
      <c r="DI5" s="18" t="n"/>
      <c r="DJ5" s="56">
        <f>DJ6+DJ35+DJ65+DJ73+DJ96</f>
        <v/>
      </c>
      <c r="DK5" s="56">
        <f>DK6+DK35+DK65+DK73+DK96</f>
        <v/>
      </c>
      <c r="DL5" s="56">
        <f>DK5-DJ5</f>
        <v/>
      </c>
      <c r="DM5" s="57">
        <f>IF(DJ5=0,"",DK5/DJ5)</f>
        <v/>
      </c>
      <c r="DN5" s="18" t="n"/>
      <c r="DO5" s="56">
        <f>DO6+DO35+DO65+DO73+DO96</f>
        <v/>
      </c>
    </row>
    <row r="6" ht="15" customHeight="1">
      <c r="A6" s="32" t="n"/>
      <c r="B6" s="32" t="n"/>
      <c r="C6" s="32" t="n"/>
      <c r="D6" s="65">
        <f>D8+D9+D10+D12+D14+D15+D17+D19+D21+D22+D23+D24+D25+D26+D27+D28+D29+D30+D31+D32+D33+D34</f>
        <v/>
      </c>
      <c r="E6" s="65">
        <f>E8+E9+E10+E12+E14+E15+E17+E19+E21+E22+E23+E24+E25+E26+E27+E28+E29+E30+E31+E32+E33+E34</f>
        <v/>
      </c>
      <c r="F6" s="65">
        <f>E6-D6</f>
        <v/>
      </c>
      <c r="G6" s="66">
        <f>IF(D6=0,"",E6/D6)</f>
        <v/>
      </c>
      <c r="H6" s="35" t="n"/>
      <c r="I6" s="65">
        <f>I8+I9+I10+I12+I14+I15+I17+I19+I21+I22+I23+I24+I25+I26+I27+I28+I29+I30+I31+I32+I33+I34</f>
        <v/>
      </c>
      <c r="J6" s="65">
        <f>J8+J9+J10+J12+J14+J15+J17+J19+J21+J22+J23+J24+J25+J26+J27+J28+J29+J30+J31+J32+J33+J34</f>
        <v/>
      </c>
      <c r="K6" s="65">
        <f>J6-I6</f>
        <v/>
      </c>
      <c r="L6" s="66">
        <f>IF(I6=0,"",J6/I6)</f>
        <v/>
      </c>
      <c r="M6" s="35" t="n"/>
      <c r="N6" s="65">
        <f>N8+N9+N10+N12+N14+N15+N17+N19+N21+N22+N23+N24+N25+N26+N27+N28+N29+N30+N31+N32+N33+N34</f>
        <v/>
      </c>
      <c r="O6" s="65">
        <f>O8+O9+O10+O12+O14+O15+O17+O19+O21+O22+O23+O24+O25+O26+O27+O28+O29+O30+O31+O32+O33+O34</f>
        <v/>
      </c>
      <c r="P6" s="65">
        <f>O6-N6</f>
        <v/>
      </c>
      <c r="Q6" s="66">
        <f>IF(N6=0,"",O6/N6)</f>
        <v/>
      </c>
      <c r="R6" s="35" t="n"/>
      <c r="S6" s="65">
        <f>S8+S9+S10+S12+S14+S15+S17+S19+S21+S22+S23+S24+S25+S26+S27+S28+S29+S30+S31+S32+S33+S34</f>
        <v/>
      </c>
      <c r="T6" s="65">
        <f>T8+T9+T10+T12+T14+T15+T17+T19+T21+T22+T23+T24+T25+T26+T27+T28+T29+T30+T31+T32+T33+T34</f>
        <v/>
      </c>
      <c r="U6" s="65">
        <f>T6-S6</f>
        <v/>
      </c>
      <c r="V6" s="66">
        <f>IF(S6=0,"",T6/S6)</f>
        <v/>
      </c>
      <c r="W6" s="35" t="n"/>
      <c r="X6" s="65">
        <f>X8+X9+X10+X12+X14+X15+X17+X19+X21+X22+X23+X24+X25+X26+X27+X28+X29+X30+X31+X32+X33+X34</f>
        <v/>
      </c>
      <c r="Y6" s="65">
        <f>Y8+Y9+Y10+Y12+Y14+Y15+Y17+Y19+Y21+Y22+Y23+Y24+Y25+Y26+Y27+Y28+Y29+Y30+Y31+Y32+Y33+Y34</f>
        <v/>
      </c>
      <c r="Z6" s="65">
        <f>Y6-X6</f>
        <v/>
      </c>
      <c r="AA6" s="66">
        <f>IF(X6=0,"",Y6/X6)</f>
        <v/>
      </c>
      <c r="AB6" s="35" t="n"/>
      <c r="AC6" s="65">
        <f>AC8+AC9+AC10+AC12+AC14+AC15+AC17+AC19+AC21+AC22+AC23+AC24+AC25+AC26+AC27+AC28+AC29+AC30+AC31+AC32+AC33+AC34</f>
        <v/>
      </c>
      <c r="AD6" s="65">
        <f>AD8+AD9+AD10+AD12+AD14+AD15+AD17+AD19+AD21+AD22+AD23+AD24+AD25+AD26+AD27+AD28+AD29+AD30+AD31+AD32+AD33+AD34</f>
        <v/>
      </c>
      <c r="AE6" s="65">
        <f>AD6-AC6</f>
        <v/>
      </c>
      <c r="AF6" s="66">
        <f>IF(AC6=0,"",AD6/AC6)</f>
        <v/>
      </c>
      <c r="AG6" s="35" t="n"/>
      <c r="AH6" s="65">
        <f>AH8+AH9+AH10+AH12+AH14+AH15+AH17+AH19+AH21+AH22+AH23+AH24+AH25+AH26+AH27+AH28+AH29+AH30+AH31+AH32+AH33+AH34</f>
        <v/>
      </c>
      <c r="AI6" s="65">
        <f>AI8+AI9+AI10+AI12+AI14+AI15+AI17+AI19+AI21+AI22+AI23+AI24+AI25+AI26+AI27+AI28+AI29+AI30+AI31+AI32+AI33+AI34</f>
        <v/>
      </c>
      <c r="AJ6" s="65">
        <f>AI6-AH6</f>
        <v/>
      </c>
      <c r="AK6" s="66">
        <f>IF(AH6=0,"",AI6/AH6)</f>
        <v/>
      </c>
      <c r="AL6" s="35" t="n"/>
      <c r="AM6" s="65">
        <f>AM8+AM9+AM10+AM12+AM14+AM15+AM17+AM19+AM21+AM22+AM23+AM24+AM25+AM26+AM27+AM28+AM29+AM30+AM31+AM32+AM33+AM34</f>
        <v/>
      </c>
      <c r="AN6" s="65">
        <f>AN8+AN9+AN10+AN12+AN14+AN15+AN17+AN19+AN21+AN22+AN23+AN24+AN25+AN26+AN27+AN28+AN29+AN30+AN31+AN32+AN33+AN34</f>
        <v/>
      </c>
      <c r="AO6" s="65">
        <f>AN6-AM6</f>
        <v/>
      </c>
      <c r="AP6" s="66">
        <f>IF(AM6=0,"",AN6/AM6)</f>
        <v/>
      </c>
      <c r="AQ6" s="35" t="n"/>
      <c r="AR6" s="65">
        <f>AR8+AR9+AR10+AR12+AR14+AR15+AR17+AR19+AR21+AR22+AR23+AR24+AR25+AR26+AR27+AR28+AR29+AR30+AR31+AR32+AR33+AR34</f>
        <v/>
      </c>
      <c r="AS6" s="65">
        <f>AS8+AS9+AS10+AS12+AS14+AS15+AS17+AS19+AS21+AS22+AS23+AS24+AS25+AS26+AS27+AS28+AS29+AS30+AS31+AS32+AS33+AS34</f>
        <v/>
      </c>
      <c r="AT6" s="65">
        <f>AS6-AR6</f>
        <v/>
      </c>
      <c r="AU6" s="66">
        <f>IF(AR6=0,"",AS6/AR6)</f>
        <v/>
      </c>
      <c r="AV6" s="35" t="n"/>
      <c r="AW6" s="65">
        <f>AW8+AW9+AW10+AW12+AW14+AW15+AW17+AW19+AW21+AW22+AW23+AW24+AW25+AW26+AW27+AW28+AW29+AW30+AW31+AW32+AW33+AW34</f>
        <v/>
      </c>
      <c r="AX6" s="65">
        <f>AX8+AX9+AX10+AX12+AX14+AX15+AX17+AX19+AX21+AX22+AX23+AX24+AX25+AX26+AX27+AX28+AX29+AX30+AX31+AX32+AX33+AX34</f>
        <v/>
      </c>
      <c r="AY6" s="65">
        <f>AX6-AW6</f>
        <v/>
      </c>
      <c r="AZ6" s="66">
        <f>IF(AW6=0,"",AX6/AW6)</f>
        <v/>
      </c>
      <c r="BA6" s="35" t="n"/>
      <c r="BB6" s="65">
        <f>BB8+BB9+BB10+BB12+BB14+BB15+BB17+BB19+BB21+BB22+BB23+BB24+BB25+BB26+BB27+BB28+BB29+BB30+BB31+BB32+BB33+BB34</f>
        <v/>
      </c>
      <c r="BC6" s="65">
        <f>BC8+BC9+BC10+BC12+BC14+BC15+BC17+BC19+BC21+BC22+BC23+BC24+BC25+BC26+BC27+BC28+BC29+BC30+BC31+BC32+BC33+BC34</f>
        <v/>
      </c>
      <c r="BD6" s="65">
        <f>BC6-BB6</f>
        <v/>
      </c>
      <c r="BE6" s="66">
        <f>IF(BB6=0,"",BC6/BB6)</f>
        <v/>
      </c>
      <c r="BF6" s="35" t="n"/>
      <c r="BG6" s="65">
        <f>BG8+BG9+BG10+BG12+BG14+BG15+BG17+BG19+BG21+BG22+BG23+BG24+BG25+BG26+BG27+BG28+BG29+BG30+BG31+BG32+BG33+BG34</f>
        <v/>
      </c>
      <c r="BH6" s="65">
        <f>BH8+BH9+BH10+BH12+BH14+BH15+BH17+BH19+BH21+BH22+BH23+BH24+BH25+BH26+BH27+BH28+BH29+BH30+BH31+BH32+BH33+BH34</f>
        <v/>
      </c>
      <c r="BI6" s="65">
        <f>BH6-BG6</f>
        <v/>
      </c>
      <c r="BJ6" s="66">
        <f>IF(BG6=0,"",BH6/BG6)</f>
        <v/>
      </c>
      <c r="BK6" s="35" t="n"/>
      <c r="BL6" s="65">
        <f>BL8+BL9+BL10+BL12+BL14+BL15+BL17+BL19+BL21+BL22+BL23+BL24+BL25+BL26+BL27+BL28+BL29+BL30+BL31+BL32+BL33+BL34</f>
        <v/>
      </c>
      <c r="BM6" s="65">
        <f>BM8+BM9+BM10+BM12+BM14+BM15+BM17+BM19+BM21+BM22+BM23+BM24+BM25+BM26+BM27+BM28+BM29+BM30+BM31+BM32+BM33+BM34</f>
        <v/>
      </c>
      <c r="BN6" s="65">
        <f>BM6-BL6</f>
        <v/>
      </c>
      <c r="BO6" s="66">
        <f>IF(BL6=0,"",BM6/BL6)</f>
        <v/>
      </c>
      <c r="BP6" s="35" t="n"/>
      <c r="BQ6" s="65">
        <f>BQ8+BQ9+BQ10+BQ12+BQ14+BQ15+BQ17+BQ19+BQ21+BQ22+BQ23+BQ24+BQ25+BQ26+BQ27+BQ28+BQ29+BQ30+BQ31+BQ32+BQ33+BQ34</f>
        <v/>
      </c>
      <c r="BR6" s="65">
        <f>BR8+BR9+BR10+BR12+BR14+BR15+BR17+BR19+BR21+BR22+BR23+BR24+BR25+BR26+BR27+BR28+BR29+BR30+BR31+BR32+BR33+BR34</f>
        <v/>
      </c>
      <c r="BS6" s="65">
        <f>BR6-BQ6</f>
        <v/>
      </c>
      <c r="BT6" s="66">
        <f>IF(BQ6=0,"",BR6/BQ6)</f>
        <v/>
      </c>
      <c r="BU6" s="35" t="n"/>
      <c r="BV6" s="65">
        <f>BV8+BV9+BV10+BV12+BV14+BV15+BV17+BV19+BV21+BV22+BV23+BV24+BV25+BV26+BV27+BV28+BV29+BV30+BV31+BV32+BV33+BV34</f>
        <v/>
      </c>
      <c r="BW6" s="65">
        <f>BW8+BW9+BW10+BW12+BW14+BW15+BW17+BW19+BW21+BW22+BW23+BW24+BW25+BW26+BW27+BW28+BW29+BW30+BW31+BW32+BW33+BW34</f>
        <v/>
      </c>
      <c r="BX6" s="65">
        <f>BW6-BV6</f>
        <v/>
      </c>
      <c r="BY6" s="66">
        <f>IF(BV6=0,"",BW6/BV6)</f>
        <v/>
      </c>
      <c r="BZ6" s="35" t="n"/>
      <c r="CA6" s="65">
        <f>CA8+CA9+CA10+CA12+CA14+CA15+CA17+CA19+CA21+CA22+CA23+CA24+CA25+CA26+CA27+CA28+CA29+CA30+CA31+CA32+CA33+CA34</f>
        <v/>
      </c>
      <c r="CB6" s="65">
        <f>CB8+CB9+CB10+CB12+CB14+CB15+CB17+CB19+CB21+CB22+CB23+CB24+CB25+CB26+CB27+CB28+CB29+CB30+CB31+CB32+CB33+CB34</f>
        <v/>
      </c>
      <c r="CC6" s="65">
        <f>CB6-CA6</f>
        <v/>
      </c>
      <c r="CD6" s="66">
        <f>IF(CA6=0,"",CB6/CA6)</f>
        <v/>
      </c>
      <c r="CE6" s="35" t="n"/>
      <c r="CF6" s="65">
        <f>CF8+CF9+CF10+CF12+CF14+CF15+CF17+CF19+CF21+CF22+CF23+CF24+CF25+CF26+CF27+CF28+CF29+CF30+CF31+CF32+CF33+CF34</f>
        <v/>
      </c>
      <c r="CG6" s="65">
        <f>CG8+CG9+CG10+CG12+CG14+CG15+CG17+CG19+CG21+CG22+CG23+CG24+CG25+CG26+CG27+CG28+CG29+CG30+CG31+CG32+CG33+CG34</f>
        <v/>
      </c>
      <c r="CH6" s="65">
        <f>CG6-CF6</f>
        <v/>
      </c>
      <c r="CI6" s="66">
        <f>IF(CF6=0,"",CG6/CF6)</f>
        <v/>
      </c>
      <c r="CJ6" s="35" t="n"/>
      <c r="CK6" s="65">
        <f>CK8+CK9+CK10+CK12+CK14+CK15+CK17+CK19+CK21+CK22+CK23+CK24+CK25+CK26+CK27+CK28+CK29+CK30+CK31+CK32+CK33+CK34</f>
        <v/>
      </c>
      <c r="CL6" s="65">
        <f>CL8+CL9+CL10+CL12+CL14+CL15+CL17+CL19+CL21+CL22+CL23+CL24+CL25+CL26+CL27+CL28+CL29+CL30+CL31+CL32+CL33+CL34</f>
        <v/>
      </c>
      <c r="CM6" s="65">
        <f>CL6-CK6</f>
        <v/>
      </c>
      <c r="CN6" s="66">
        <f>IF(CK6=0,"",CL6/CK6)</f>
        <v/>
      </c>
      <c r="CO6" s="35" t="n"/>
      <c r="CP6" s="65">
        <f>CP8+CP9+CP10+CP12+CP14+CP15+CP17+CP19+CP21+CP22+CP23+CP24+CP25+CP26+CP27+CP28+CP29+CP30+CP31+CP32+CP33+CP34</f>
        <v/>
      </c>
      <c r="CQ6" s="65">
        <f>CQ8+CQ9+CQ10+CQ12+CQ14+CQ15+CQ17+CQ19+CQ21+CQ22+CQ23+CQ24+CQ25+CQ26+CQ27+CQ28+CQ29+CQ30+CQ31+CQ32+CQ33+CQ34</f>
        <v/>
      </c>
      <c r="CR6" s="65">
        <f>CQ6-CP6</f>
        <v/>
      </c>
      <c r="CS6" s="66">
        <f>IF(CP6=0,"",CQ6/CP6)</f>
        <v/>
      </c>
      <c r="CT6" s="35" t="n"/>
      <c r="CU6" s="65">
        <f>CU8+CU9+CU10+CU12+CU14+CU15+CU17+CU19+CU21+CU22+CU23+CU24+CU25+CU26+CU27+CU28+CU29+CU30+CU31+CU32+CU33+CU34</f>
        <v/>
      </c>
      <c r="CV6" s="65">
        <f>CV8+CV9+CV10+CV12+CV14+CV15+CV17+CV19+CV21+CV22+CV23+CV24+CV25+CV26+CV27+CV28+CV29+CV30+CV31+CV32+CV33+CV34</f>
        <v/>
      </c>
      <c r="CW6" s="65">
        <f>CV6-CU6</f>
        <v/>
      </c>
      <c r="CX6" s="66">
        <f>IF(CU6=0,"",CV6/CU6)</f>
        <v/>
      </c>
      <c r="CY6" s="35" t="n"/>
      <c r="CZ6" s="65">
        <f>CZ8+CZ9+CZ10+CZ12+CZ14+CZ15+CZ17+CZ19+CZ21+CZ22+CZ23+CZ24+CZ25+CZ26+CZ27+CZ28+CZ29+CZ30+CZ31+CZ32+CZ33+CZ34</f>
        <v/>
      </c>
      <c r="DA6" s="65">
        <f>DA8+DA9+DA10+DA12+DA14+DA15+DA17+DA19+DA21+DA22+DA23+DA24+DA25+DA26+DA27+DA28+DA29+DA30+DA31+DA32+DA33+DA34</f>
        <v/>
      </c>
      <c r="DB6" s="65">
        <f>DA6-CZ6</f>
        <v/>
      </c>
      <c r="DC6" s="66">
        <f>IF(CZ6=0,"",DA6/CZ6)</f>
        <v/>
      </c>
      <c r="DD6" s="35" t="n"/>
      <c r="DE6" s="65">
        <f>DE8+DE9+DE10+DE12+DE14+DE15+DE17+DE19+DE21+DE22+DE23+DE24+DE25+DE26+DE27+DE28+DE29+DE30+DE31+DE32+DE33+DE34</f>
        <v/>
      </c>
      <c r="DF6" s="65">
        <f>DF8+DF9+DF10+DF12+DF14+DF15+DF17+DF19+DF21+DF22+DF23+DF24+DF25+DF26+DF27+DF28+DF29+DF30+DF31+DF32+DF33+DF34</f>
        <v/>
      </c>
      <c r="DG6" s="65">
        <f>DF6-DE6</f>
        <v/>
      </c>
      <c r="DH6" s="66">
        <f>IF(DE6=0,"",DF6/DE6)</f>
        <v/>
      </c>
      <c r="DI6" s="35" t="n"/>
      <c r="DJ6" s="65">
        <f>DJ8+DJ9+DJ10+DJ12+DJ14+DJ15+DJ17+DJ19+DJ21+DJ22+DJ23+DJ24+DJ25+DJ26+DJ27+DJ28+DJ29+DJ30+DJ31+DJ32+DJ33+DJ34</f>
        <v/>
      </c>
      <c r="DK6" s="65">
        <f>DK8+DK9+DK10+DK12+DK14+DK15+DK17+DK19+DK21+DK22+DK23+DK24+DK25+DK26+DK27+DK28+DK29+DK30+DK31+DK32+DK33+DK34</f>
        <v/>
      </c>
      <c r="DL6" s="65">
        <f>DK6-DJ6</f>
        <v/>
      </c>
      <c r="DM6" s="66">
        <f>IF(DJ6=0,"",DK6/DJ6)</f>
        <v/>
      </c>
      <c r="DN6" s="35" t="n"/>
      <c r="DO6" s="65">
        <f>DO8+DO9+DO10+DO12+DO14+DO15+DO17+DO19+DO21+DO22+DO23+DO24+DO25+DO26+DO27+DO28+DO29+DO30+DO31+DO32+DO33+DO34</f>
        <v/>
      </c>
    </row>
    <row r="7" ht="15" customHeight="1">
      <c r="A7" s="19" t="n"/>
      <c r="B7" s="20" t="n"/>
      <c r="C7" s="19" t="n"/>
      <c r="D7" s="58">
        <f>D8+D9+D10</f>
        <v/>
      </c>
      <c r="E7" s="58">
        <f>E8+E9+E10</f>
        <v/>
      </c>
      <c r="F7" s="58">
        <f>E7-D7</f>
        <v/>
      </c>
      <c r="G7" s="59">
        <f>IF(D7=0,"",E7/D7)</f>
        <v/>
      </c>
      <c r="H7" s="23" t="n"/>
      <c r="I7" s="58">
        <f>I8+I9+I10</f>
        <v/>
      </c>
      <c r="J7" s="58">
        <f>J8+J9+J10</f>
        <v/>
      </c>
      <c r="K7" s="58">
        <f>J7-I7</f>
        <v/>
      </c>
      <c r="L7" s="59">
        <f>IF(I7=0,"",J7/I7)</f>
        <v/>
      </c>
      <c r="M7" s="23" t="n"/>
      <c r="N7" s="58">
        <f>N8+N9+N10</f>
        <v/>
      </c>
      <c r="O7" s="58">
        <f>O8+O9+O10</f>
        <v/>
      </c>
      <c r="P7" s="58">
        <f>O7-N7</f>
        <v/>
      </c>
      <c r="Q7" s="59">
        <f>IF(N7=0,"",O7/N7)</f>
        <v/>
      </c>
      <c r="R7" s="23" t="n"/>
      <c r="S7" s="58">
        <f>S8+S9+S10</f>
        <v/>
      </c>
      <c r="T7" s="58">
        <f>T8+T9+T10</f>
        <v/>
      </c>
      <c r="U7" s="58">
        <f>T7-S7</f>
        <v/>
      </c>
      <c r="V7" s="59">
        <f>IF(S7=0,"",T7/S7)</f>
        <v/>
      </c>
      <c r="W7" s="23" t="n"/>
      <c r="X7" s="58">
        <f>X8+X9+X10</f>
        <v/>
      </c>
      <c r="Y7" s="58">
        <f>Y8+Y9+Y10</f>
        <v/>
      </c>
      <c r="Z7" s="58">
        <f>Y7-X7</f>
        <v/>
      </c>
      <c r="AA7" s="59">
        <f>IF(X7=0,"",Y7/X7)</f>
        <v/>
      </c>
      <c r="AB7" s="23" t="n"/>
      <c r="AC7" s="58">
        <f>AC8+AC9+AC10</f>
        <v/>
      </c>
      <c r="AD7" s="58">
        <f>AD8+AD9+AD10</f>
        <v/>
      </c>
      <c r="AE7" s="58">
        <f>AD7-AC7</f>
        <v/>
      </c>
      <c r="AF7" s="59">
        <f>IF(AC7=0,"",AD7/AC7)</f>
        <v/>
      </c>
      <c r="AG7" s="23" t="n"/>
      <c r="AH7" s="58">
        <f>AH8+AH9+AH10</f>
        <v/>
      </c>
      <c r="AI7" s="58">
        <f>AI8+AI9+AI10</f>
        <v/>
      </c>
      <c r="AJ7" s="58">
        <f>AI7-AH7</f>
        <v/>
      </c>
      <c r="AK7" s="59">
        <f>IF(AH7=0,"",AI7/AH7)</f>
        <v/>
      </c>
      <c r="AL7" s="23" t="n"/>
      <c r="AM7" s="58">
        <f>AM8+AM9+AM10</f>
        <v/>
      </c>
      <c r="AN7" s="58">
        <f>AN8+AN9+AN10</f>
        <v/>
      </c>
      <c r="AO7" s="58">
        <f>AN7-AM7</f>
        <v/>
      </c>
      <c r="AP7" s="59">
        <f>IF(AM7=0,"",AN7/AM7)</f>
        <v/>
      </c>
      <c r="AQ7" s="23" t="n"/>
      <c r="AR7" s="58">
        <f>AR8+AR9+AR10</f>
        <v/>
      </c>
      <c r="AS7" s="58">
        <f>AS8+AS9+AS10</f>
        <v/>
      </c>
      <c r="AT7" s="58">
        <f>AS7-AR7</f>
        <v/>
      </c>
      <c r="AU7" s="59">
        <f>IF(AR7=0,"",AS7/AR7)</f>
        <v/>
      </c>
      <c r="AV7" s="23" t="n"/>
      <c r="AW7" s="58">
        <f>AW8+AW9+AW10</f>
        <v/>
      </c>
      <c r="AX7" s="58">
        <f>AX8+AX9+AX10</f>
        <v/>
      </c>
      <c r="AY7" s="58">
        <f>AX7-AW7</f>
        <v/>
      </c>
      <c r="AZ7" s="59">
        <f>IF(AW7=0,"",AX7/AW7)</f>
        <v/>
      </c>
      <c r="BA7" s="23" t="n"/>
      <c r="BB7" s="58">
        <f>BB8+BB9+BB10</f>
        <v/>
      </c>
      <c r="BC7" s="58">
        <f>BC8+BC9+BC10</f>
        <v/>
      </c>
      <c r="BD7" s="58">
        <f>BC7-BB7</f>
        <v/>
      </c>
      <c r="BE7" s="59">
        <f>IF(BB7=0,"",BC7/BB7)</f>
        <v/>
      </c>
      <c r="BF7" s="23" t="n"/>
      <c r="BG7" s="58">
        <f>BG8+BG9+BG10</f>
        <v/>
      </c>
      <c r="BH7" s="58">
        <f>BH8+BH9+BH10</f>
        <v/>
      </c>
      <c r="BI7" s="58">
        <f>BH7-BG7</f>
        <v/>
      </c>
      <c r="BJ7" s="59">
        <f>IF(BG7=0,"",BH7/BG7)</f>
        <v/>
      </c>
      <c r="BK7" s="23" t="n"/>
      <c r="BL7" s="58">
        <f>BL8+BL9+BL10</f>
        <v/>
      </c>
      <c r="BM7" s="58">
        <f>BM8+BM9+BM10</f>
        <v/>
      </c>
      <c r="BN7" s="58">
        <f>BM7-BL7</f>
        <v/>
      </c>
      <c r="BO7" s="59">
        <f>IF(BL7=0,"",BM7/BL7)</f>
        <v/>
      </c>
      <c r="BP7" s="23" t="n"/>
      <c r="BQ7" s="58">
        <f>BQ8+BQ9+BQ10</f>
        <v/>
      </c>
      <c r="BR7" s="58">
        <f>BR8+BR9+BR10</f>
        <v/>
      </c>
      <c r="BS7" s="58">
        <f>BR7-BQ7</f>
        <v/>
      </c>
      <c r="BT7" s="59">
        <f>IF(BQ7=0,"",BR7/BQ7)</f>
        <v/>
      </c>
      <c r="BU7" s="23" t="n"/>
      <c r="BV7" s="58">
        <f>BV8+BV9+BV10</f>
        <v/>
      </c>
      <c r="BW7" s="58">
        <f>BW8+BW9+BW10</f>
        <v/>
      </c>
      <c r="BX7" s="58">
        <f>BW7-BV7</f>
        <v/>
      </c>
      <c r="BY7" s="59">
        <f>IF(BV7=0,"",BW7/BV7)</f>
        <v/>
      </c>
      <c r="BZ7" s="23" t="n"/>
      <c r="CA7" s="58">
        <f>CA8+CA9+CA10</f>
        <v/>
      </c>
      <c r="CB7" s="58">
        <f>CB8+CB9+CB10</f>
        <v/>
      </c>
      <c r="CC7" s="58">
        <f>CB7-CA7</f>
        <v/>
      </c>
      <c r="CD7" s="59">
        <f>IF(CA7=0,"",CB7/CA7)</f>
        <v/>
      </c>
      <c r="CE7" s="23" t="n"/>
      <c r="CF7" s="58">
        <f>CF8+CF9+CF10</f>
        <v/>
      </c>
      <c r="CG7" s="58">
        <f>CG8+CG9+CG10</f>
        <v/>
      </c>
      <c r="CH7" s="58">
        <f>CG7-CF7</f>
        <v/>
      </c>
      <c r="CI7" s="59">
        <f>IF(CF7=0,"",CG7/CF7)</f>
        <v/>
      </c>
      <c r="CJ7" s="23" t="n"/>
      <c r="CK7" s="58">
        <f>CK8+CK9+CK10</f>
        <v/>
      </c>
      <c r="CL7" s="58">
        <f>CL8+CL9+CL10</f>
        <v/>
      </c>
      <c r="CM7" s="58">
        <f>CL7-CK7</f>
        <v/>
      </c>
      <c r="CN7" s="59">
        <f>IF(CK7=0,"",CL7/CK7)</f>
        <v/>
      </c>
      <c r="CO7" s="23" t="n"/>
      <c r="CP7" s="58">
        <f>CP8+CP9+CP10</f>
        <v/>
      </c>
      <c r="CQ7" s="58">
        <f>CQ8+CQ9+CQ10</f>
        <v/>
      </c>
      <c r="CR7" s="58">
        <f>CQ7-CP7</f>
        <v/>
      </c>
      <c r="CS7" s="59">
        <f>IF(CP7=0,"",CQ7/CP7)</f>
        <v/>
      </c>
      <c r="CT7" s="23" t="n"/>
      <c r="CU7" s="58">
        <f>CU8+CU9+CU10</f>
        <v/>
      </c>
      <c r="CV7" s="58">
        <f>CV8+CV9+CV10</f>
        <v/>
      </c>
      <c r="CW7" s="58">
        <f>CV7-CU7</f>
        <v/>
      </c>
      <c r="CX7" s="59">
        <f>IF(CU7=0,"",CV7/CU7)</f>
        <v/>
      </c>
      <c r="CY7" s="23" t="n"/>
      <c r="CZ7" s="58">
        <f>CZ8+CZ9+CZ10</f>
        <v/>
      </c>
      <c r="DA7" s="58">
        <f>DA8+DA9+DA10</f>
        <v/>
      </c>
      <c r="DB7" s="58">
        <f>DA7-CZ7</f>
        <v/>
      </c>
      <c r="DC7" s="59">
        <f>IF(CZ7=0,"",DA7/CZ7)</f>
        <v/>
      </c>
      <c r="DD7" s="23" t="n"/>
      <c r="DE7" s="58">
        <f>DE8+DE9+DE10</f>
        <v/>
      </c>
      <c r="DF7" s="58">
        <f>DF8+DF9+DF10</f>
        <v/>
      </c>
      <c r="DG7" s="58">
        <f>DF7-DE7</f>
        <v/>
      </c>
      <c r="DH7" s="59">
        <f>IF(DE7=0,"",DF7/DE7)</f>
        <v/>
      </c>
      <c r="DI7" s="23" t="n"/>
      <c r="DJ7" s="58">
        <f>DJ8+DJ9+DJ10</f>
        <v/>
      </c>
      <c r="DK7" s="58">
        <f>DK8+DK9+DK10</f>
        <v/>
      </c>
      <c r="DL7" s="58">
        <f>DK7-DJ7</f>
        <v/>
      </c>
      <c r="DM7" s="59">
        <f>IF(DJ7=0,"",DK7/DJ7)</f>
        <v/>
      </c>
      <c r="DN7" s="23" t="n"/>
      <c r="DO7" s="58">
        <f>DO8+DO9+DO10</f>
        <v/>
      </c>
    </row>
    <row r="8" outlineLevel="1" ht="15" customHeight="1">
      <c r="A8" s="24" t="n"/>
      <c r="B8" s="24" t="n"/>
      <c r="C8" s="24" t="n"/>
      <c r="D8" s="60" t="n"/>
      <c r="E8" s="60" t="n"/>
      <c r="F8" s="60">
        <f>E8-D8</f>
        <v/>
      </c>
      <c r="G8" s="61">
        <f>IF(D8=0,"",E8/D8)</f>
        <v/>
      </c>
      <c r="H8" s="27" t="n"/>
      <c r="I8" s="60" t="n"/>
      <c r="J8" s="60" t="n"/>
      <c r="K8" s="60">
        <f>J8-I8</f>
        <v/>
      </c>
      <c r="L8" s="61">
        <f>IF(I8=0,"",J8/I8)</f>
        <v/>
      </c>
      <c r="M8" s="27" t="n"/>
      <c r="N8" s="62" t="n"/>
      <c r="O8" s="62" t="n"/>
      <c r="P8" s="63">
        <f>O8-N8</f>
        <v/>
      </c>
      <c r="Q8" s="64">
        <f>IF(N8=0,"",O8/N8)</f>
        <v/>
      </c>
      <c r="R8" s="31" t="n"/>
      <c r="S8" s="60" t="n"/>
      <c r="T8" s="60" t="n"/>
      <c r="U8" s="60">
        <f>T8-S8</f>
        <v/>
      </c>
      <c r="V8" s="61">
        <f>IF(S8=0,"",T8/S8)</f>
        <v/>
      </c>
      <c r="W8" s="27" t="n"/>
      <c r="X8" s="62" t="n"/>
      <c r="Y8" s="62" t="n"/>
      <c r="Z8" s="63">
        <f>Y8-X8</f>
        <v/>
      </c>
      <c r="AA8" s="64">
        <f>IF(X8=0,"",Y8/X8)</f>
        <v/>
      </c>
      <c r="AB8" s="31" t="n"/>
      <c r="AC8" s="60" t="n"/>
      <c r="AD8" s="60" t="n"/>
      <c r="AE8" s="60">
        <f>AD8-AC8</f>
        <v/>
      </c>
      <c r="AF8" s="61">
        <f>IF(AC8=0,"",AD8/AC8)</f>
        <v/>
      </c>
      <c r="AG8" s="27" t="n"/>
      <c r="AH8" s="62" t="n"/>
      <c r="AI8" s="62" t="n"/>
      <c r="AJ8" s="62">
        <f>AI8-AH8</f>
        <v/>
      </c>
      <c r="AK8" s="64">
        <f>IF(AH8=0,"",AI8/AH8)</f>
        <v/>
      </c>
      <c r="AL8" s="31" t="n"/>
      <c r="AM8" s="60" t="n"/>
      <c r="AN8" s="60" t="n"/>
      <c r="AO8" s="60">
        <f>AN8-AM8</f>
        <v/>
      </c>
      <c r="AP8" s="61">
        <f>IF(AM8=0,"",AN8/AM8)</f>
        <v/>
      </c>
      <c r="AQ8" s="27" t="n"/>
      <c r="AR8" s="62" t="n"/>
      <c r="AS8" s="62" t="n"/>
      <c r="AT8" s="62">
        <f>AS8-AR8</f>
        <v/>
      </c>
      <c r="AU8" s="64">
        <f>IF(AR8=0,"",AS8/AR8)</f>
        <v/>
      </c>
      <c r="AV8" s="31" t="n"/>
      <c r="AW8" s="60" t="n"/>
      <c r="AX8" s="60" t="n"/>
      <c r="AY8" s="60">
        <f>AX8-AW8</f>
        <v/>
      </c>
      <c r="AZ8" s="61">
        <f>IF(AW8=0,"",AX8/AW8)</f>
        <v/>
      </c>
      <c r="BA8" s="27" t="n"/>
      <c r="BB8" s="62" t="n"/>
      <c r="BC8" s="62" t="n"/>
      <c r="BD8" s="62">
        <f>BC8-BB8</f>
        <v/>
      </c>
      <c r="BE8" s="64">
        <f>IF(BB8=0,"",BC8/BB8)</f>
        <v/>
      </c>
      <c r="BF8" s="31" t="n"/>
      <c r="BG8" s="60" t="n"/>
      <c r="BH8" s="60" t="n"/>
      <c r="BI8" s="60">
        <f>BH8-BG8</f>
        <v/>
      </c>
      <c r="BJ8" s="61">
        <f>IF(BG8=0,"",BH8/BG8)</f>
        <v/>
      </c>
      <c r="BK8" s="27" t="n"/>
      <c r="BL8" s="62" t="n"/>
      <c r="BM8" s="62" t="n"/>
      <c r="BN8" s="62">
        <f>BM8-BL8</f>
        <v/>
      </c>
      <c r="BO8" s="64">
        <f>IF(BL8=0,"",BM8/BL8)</f>
        <v/>
      </c>
      <c r="BP8" s="31" t="n"/>
      <c r="BQ8" s="60" t="n"/>
      <c r="BR8" s="60" t="n"/>
      <c r="BS8" s="60">
        <f>BR8-BQ8</f>
        <v/>
      </c>
      <c r="BT8" s="61">
        <f>IF(BQ8=0,"",BR8/BQ8)</f>
        <v/>
      </c>
      <c r="BU8" s="27" t="n"/>
      <c r="BV8" s="62" t="n"/>
      <c r="BW8" s="62" t="n"/>
      <c r="BX8" s="62">
        <f>BW8-BV8</f>
        <v/>
      </c>
      <c r="BY8" s="64">
        <f>IF(BV8=0,"",BW8/BV8)</f>
        <v/>
      </c>
      <c r="BZ8" s="31" t="n"/>
      <c r="CA8" s="60" t="n"/>
      <c r="CB8" s="60" t="n"/>
      <c r="CC8" s="60">
        <f>CB8-CA8</f>
        <v/>
      </c>
      <c r="CD8" s="61">
        <f>IF(CA8=0,"",CB8/CA8)</f>
        <v/>
      </c>
      <c r="CE8" s="27" t="n"/>
      <c r="CF8" s="62" t="n"/>
      <c r="CG8" s="62" t="n"/>
      <c r="CH8" s="62">
        <f>CG8-CF8</f>
        <v/>
      </c>
      <c r="CI8" s="64">
        <f>IF(CF8=0,"",CG8/CF8)</f>
        <v/>
      </c>
      <c r="CJ8" s="31" t="n"/>
      <c r="CK8" s="60" t="n"/>
      <c r="CL8" s="60" t="n"/>
      <c r="CM8" s="60">
        <f>CL8-CK8</f>
        <v/>
      </c>
      <c r="CN8" s="61">
        <f>IF(CK8=0,"",CL8/CK8)</f>
        <v/>
      </c>
      <c r="CO8" s="27" t="n"/>
      <c r="CP8" s="62" t="n"/>
      <c r="CQ8" s="62" t="n"/>
      <c r="CR8" s="62">
        <f>CQ8-CP8</f>
        <v/>
      </c>
      <c r="CS8" s="64">
        <f>IF(CP8=0,"",CQ8/CP8)</f>
        <v/>
      </c>
      <c r="CT8" s="31" t="n"/>
      <c r="CU8" s="60" t="n"/>
      <c r="CV8" s="60" t="n"/>
      <c r="CW8" s="60">
        <f>CV8-CU8</f>
        <v/>
      </c>
      <c r="CX8" s="61">
        <f>IF(CU8=0,"",CV8/CU8)</f>
        <v/>
      </c>
      <c r="CY8" s="27" t="n"/>
      <c r="CZ8" s="62" t="n"/>
      <c r="DA8" s="62" t="n"/>
      <c r="DB8" s="62">
        <f>DA8-CZ8</f>
        <v/>
      </c>
      <c r="DC8" s="64">
        <f>IF(CZ8=0,"",DA8/CZ8)</f>
        <v/>
      </c>
      <c r="DD8" s="31" t="n"/>
      <c r="DE8" s="60" t="n"/>
      <c r="DF8" s="60" t="n"/>
      <c r="DG8" s="60">
        <f>DF8-DE8</f>
        <v/>
      </c>
      <c r="DH8" s="61">
        <f>IF(DE8=0,"",DF8/DE8)</f>
        <v/>
      </c>
      <c r="DI8" s="27" t="n"/>
      <c r="DJ8" s="62" t="n"/>
      <c r="DK8" s="62" t="n"/>
      <c r="DL8" s="62">
        <f>DK8-DJ8</f>
        <v/>
      </c>
      <c r="DM8" s="64">
        <f>IF(DJ8=0,"",DK8/DJ8)</f>
        <v/>
      </c>
      <c r="DN8" s="31" t="n"/>
      <c r="DO8" s="60" t="n"/>
    </row>
    <row r="9" outlineLevel="1" ht="15" customHeight="1">
      <c r="A9" s="24" t="n"/>
      <c r="B9" s="24" t="n"/>
      <c r="C9" s="24" t="n"/>
      <c r="D9" s="60" t="n"/>
      <c r="E9" s="60" t="n"/>
      <c r="F9" s="60">
        <f>E9-D9</f>
        <v/>
      </c>
      <c r="G9" s="61">
        <f>IF(D9=0,"",E9/D9)</f>
        <v/>
      </c>
      <c r="H9" s="27" t="n"/>
      <c r="I9" s="60" t="n"/>
      <c r="J9" s="60" t="n"/>
      <c r="K9" s="60">
        <f>J9-I9</f>
        <v/>
      </c>
      <c r="L9" s="61">
        <f>IF(I9=0,"",J9/I9)</f>
        <v/>
      </c>
      <c r="M9" s="27" t="n"/>
      <c r="N9" s="62" t="n"/>
      <c r="O9" s="62" t="n"/>
      <c r="P9" s="62">
        <f>O9-N9</f>
        <v/>
      </c>
      <c r="Q9" s="64">
        <f>IF(N9=0,"",O9/N9)</f>
        <v/>
      </c>
      <c r="R9" s="31" t="n"/>
      <c r="S9" s="60" t="n"/>
      <c r="T9" s="60" t="n"/>
      <c r="U9" s="60">
        <f>T9-S9</f>
        <v/>
      </c>
      <c r="V9" s="61">
        <f>IF(S9=0,"",T9/S9)</f>
        <v/>
      </c>
      <c r="W9" s="27" t="n"/>
      <c r="X9" s="62" t="n"/>
      <c r="Y9" s="62" t="n"/>
      <c r="Z9" s="62">
        <f>Y9-X9</f>
        <v/>
      </c>
      <c r="AA9" s="64">
        <f>IF(X9=0,"",Y9/X9)</f>
        <v/>
      </c>
      <c r="AB9" s="31" t="n"/>
      <c r="AC9" s="60" t="n"/>
      <c r="AD9" s="60" t="n"/>
      <c r="AE9" s="60">
        <f>AD9-AC9</f>
        <v/>
      </c>
      <c r="AF9" s="61">
        <f>IF(AC9=0,"",AD9/AC9)</f>
        <v/>
      </c>
      <c r="AG9" s="27" t="n"/>
      <c r="AH9" s="62" t="n"/>
      <c r="AI9" s="62" t="n"/>
      <c r="AJ9" s="62">
        <f>AI9-AH9</f>
        <v/>
      </c>
      <c r="AK9" s="64">
        <f>IF(AH9=0,"",AI9/AH9)</f>
        <v/>
      </c>
      <c r="AL9" s="31" t="n"/>
      <c r="AM9" s="60" t="n"/>
      <c r="AN9" s="60" t="n"/>
      <c r="AO9" s="60">
        <f>AN9-AM9</f>
        <v/>
      </c>
      <c r="AP9" s="61">
        <f>IF(AM9=0,"",AN9/AM9)</f>
        <v/>
      </c>
      <c r="AQ9" s="27" t="n"/>
      <c r="AR9" s="62" t="n"/>
      <c r="AS9" s="62" t="n"/>
      <c r="AT9" s="62">
        <f>AS9-AR9</f>
        <v/>
      </c>
      <c r="AU9" s="64">
        <f>IF(AR9=0,"",AS9/AR9)</f>
        <v/>
      </c>
      <c r="AV9" s="31" t="n"/>
      <c r="AW9" s="60" t="n"/>
      <c r="AX9" s="60" t="n"/>
      <c r="AY9" s="60">
        <f>AX9-AW9</f>
        <v/>
      </c>
      <c r="AZ9" s="61">
        <f>IF(AW9=0,"",AX9/AW9)</f>
        <v/>
      </c>
      <c r="BA9" s="27" t="n"/>
      <c r="BB9" s="62" t="n"/>
      <c r="BC9" s="62" t="n"/>
      <c r="BD9" s="62">
        <f>BC9-BB9</f>
        <v/>
      </c>
      <c r="BE9" s="64">
        <f>IF(BB9=0,"",BC9/BB9)</f>
        <v/>
      </c>
      <c r="BF9" s="31" t="n"/>
      <c r="BG9" s="60" t="n"/>
      <c r="BH9" s="60" t="n"/>
      <c r="BI9" s="60">
        <f>BH9-BG9</f>
        <v/>
      </c>
      <c r="BJ9" s="61">
        <f>IF(BG9=0,"",BH9/BG9)</f>
        <v/>
      </c>
      <c r="BK9" s="27" t="n"/>
      <c r="BL9" s="62" t="n"/>
      <c r="BM9" s="62" t="n"/>
      <c r="BN9" s="62">
        <f>BM9-BL9</f>
        <v/>
      </c>
      <c r="BO9" s="64">
        <f>IF(BL9=0,"",BM9/BL9)</f>
        <v/>
      </c>
      <c r="BP9" s="31" t="n"/>
      <c r="BQ9" s="60" t="n"/>
      <c r="BR9" s="60" t="n"/>
      <c r="BS9" s="60">
        <f>BR9-BQ9</f>
        <v/>
      </c>
      <c r="BT9" s="61">
        <f>IF(BQ9=0,"",BR9/BQ9)</f>
        <v/>
      </c>
      <c r="BU9" s="27" t="n"/>
      <c r="BV9" s="62" t="n"/>
      <c r="BW9" s="62" t="n"/>
      <c r="BX9" s="62">
        <f>BW9-BV9</f>
        <v/>
      </c>
      <c r="BY9" s="64">
        <f>IF(BV9=0,"",BW9/BV9)</f>
        <v/>
      </c>
      <c r="BZ9" s="31" t="n"/>
      <c r="CA9" s="60" t="n"/>
      <c r="CB9" s="60" t="n"/>
      <c r="CC9" s="60">
        <f>CB9-CA9</f>
        <v/>
      </c>
      <c r="CD9" s="61">
        <f>IF(CA9=0,"",CB9/CA9)</f>
        <v/>
      </c>
      <c r="CE9" s="27" t="n"/>
      <c r="CF9" s="62" t="n"/>
      <c r="CG9" s="62" t="n"/>
      <c r="CH9" s="62">
        <f>CG9-CF9</f>
        <v/>
      </c>
      <c r="CI9" s="64">
        <f>IF(CF9=0,"",CG9/CF9)</f>
        <v/>
      </c>
      <c r="CJ9" s="31" t="n"/>
      <c r="CK9" s="60" t="n"/>
      <c r="CL9" s="60" t="n"/>
      <c r="CM9" s="60">
        <f>CL9-CK9</f>
        <v/>
      </c>
      <c r="CN9" s="61">
        <f>IF(CK9=0,"",CL9/CK9)</f>
        <v/>
      </c>
      <c r="CO9" s="27" t="n"/>
      <c r="CP9" s="62" t="n"/>
      <c r="CQ9" s="62" t="n"/>
      <c r="CR9" s="62">
        <f>CQ9-CP9</f>
        <v/>
      </c>
      <c r="CS9" s="64">
        <f>IF(CP9=0,"",CQ9/CP9)</f>
        <v/>
      </c>
      <c r="CT9" s="31" t="n"/>
      <c r="CU9" s="60" t="n"/>
      <c r="CV9" s="60" t="n"/>
      <c r="CW9" s="60">
        <f>CV9-CU9</f>
        <v/>
      </c>
      <c r="CX9" s="61">
        <f>IF(CU9=0,"",CV9/CU9)</f>
        <v/>
      </c>
      <c r="CY9" s="27" t="n"/>
      <c r="CZ9" s="62" t="n"/>
      <c r="DA9" s="62" t="n"/>
      <c r="DB9" s="62">
        <f>DA9-CZ9</f>
        <v/>
      </c>
      <c r="DC9" s="64">
        <f>IF(CZ9=0,"",DA9/CZ9)</f>
        <v/>
      </c>
      <c r="DD9" s="31" t="n"/>
      <c r="DE9" s="60" t="n"/>
      <c r="DF9" s="60" t="n"/>
      <c r="DG9" s="60">
        <f>DF9-DE9</f>
        <v/>
      </c>
      <c r="DH9" s="61">
        <f>IF(DE9=0,"",DF9/DE9)</f>
        <v/>
      </c>
      <c r="DI9" s="27" t="n"/>
      <c r="DJ9" s="62" t="n"/>
      <c r="DK9" s="62" t="n"/>
      <c r="DL9" s="62">
        <f>DK9-DJ9</f>
        <v/>
      </c>
      <c r="DM9" s="64">
        <f>IF(DJ9=0,"",DK9/DJ9)</f>
        <v/>
      </c>
      <c r="DN9" s="31" t="n"/>
      <c r="DO9" s="60" t="n"/>
    </row>
    <row r="10" outlineLevel="1" ht="15" customHeight="1">
      <c r="A10" s="24" t="n"/>
      <c r="B10" s="24" t="n"/>
      <c r="C10" s="24" t="n"/>
      <c r="D10" s="60" t="n"/>
      <c r="E10" s="60" t="n"/>
      <c r="F10" s="60">
        <f>E10-D10</f>
        <v/>
      </c>
      <c r="G10" s="61">
        <f>IF(D10=0,"",E10/D10)</f>
        <v/>
      </c>
      <c r="H10" s="27" t="n"/>
      <c r="I10" s="60" t="n"/>
      <c r="J10" s="60" t="n"/>
      <c r="K10" s="60">
        <f>J10-I10</f>
        <v/>
      </c>
      <c r="L10" s="61">
        <f>IF(I10=0,"",J10/I10)</f>
        <v/>
      </c>
      <c r="M10" s="27" t="n"/>
      <c r="N10" s="62" t="n"/>
      <c r="O10" s="62" t="n"/>
      <c r="P10" s="62">
        <f>O10-N10</f>
        <v/>
      </c>
      <c r="Q10" s="64">
        <f>IF(N10=0,"",O10/N10)</f>
        <v/>
      </c>
      <c r="R10" s="31" t="n"/>
      <c r="S10" s="60" t="n"/>
      <c r="T10" s="60" t="n"/>
      <c r="U10" s="60">
        <f>T10-S10</f>
        <v/>
      </c>
      <c r="V10" s="61">
        <f>IF(S10=0,"",T10/S10)</f>
        <v/>
      </c>
      <c r="W10" s="27" t="n"/>
      <c r="X10" s="62" t="n"/>
      <c r="Y10" s="62" t="n"/>
      <c r="Z10" s="63">
        <f>Y10-X10</f>
        <v/>
      </c>
      <c r="AA10" s="64">
        <f>IF(X10=0,"",Y10/X10)</f>
        <v/>
      </c>
      <c r="AB10" s="31" t="n"/>
      <c r="AC10" s="60" t="n"/>
      <c r="AD10" s="60" t="n"/>
      <c r="AE10" s="60">
        <f>AD10-AC10</f>
        <v/>
      </c>
      <c r="AF10" s="61">
        <f>IF(AC10=0,"",AD10/AC10)</f>
        <v/>
      </c>
      <c r="AG10" s="27" t="n"/>
      <c r="AH10" s="62" t="n"/>
      <c r="AI10" s="62" t="n"/>
      <c r="AJ10" s="62">
        <f>AI10-AH10</f>
        <v/>
      </c>
      <c r="AK10" s="64">
        <f>IF(AH10=0,"",AI10/AH10)</f>
        <v/>
      </c>
      <c r="AL10" s="31" t="n"/>
      <c r="AM10" s="60" t="n"/>
      <c r="AN10" s="60" t="n"/>
      <c r="AO10" s="60">
        <f>AN10-AM10</f>
        <v/>
      </c>
      <c r="AP10" s="61">
        <f>IF(AM10=0,"",AN10/AM10)</f>
        <v/>
      </c>
      <c r="AQ10" s="27" t="n"/>
      <c r="AR10" s="62" t="n"/>
      <c r="AS10" s="62" t="n"/>
      <c r="AT10" s="62">
        <f>AS10-AR10</f>
        <v/>
      </c>
      <c r="AU10" s="64">
        <f>IF(AR10=0,"",AS10/AR10)</f>
        <v/>
      </c>
      <c r="AV10" s="31" t="n"/>
      <c r="AW10" s="60" t="n"/>
      <c r="AX10" s="60" t="n"/>
      <c r="AY10" s="60">
        <f>AX10-AW10</f>
        <v/>
      </c>
      <c r="AZ10" s="61">
        <f>IF(AW10=0,"",AX10/AW10)</f>
        <v/>
      </c>
      <c r="BA10" s="27" t="n"/>
      <c r="BB10" s="62" t="n"/>
      <c r="BC10" s="62" t="n"/>
      <c r="BD10" s="62">
        <f>BC10-BB10</f>
        <v/>
      </c>
      <c r="BE10" s="64">
        <f>IF(BB10=0,"",BC10/BB10)</f>
        <v/>
      </c>
      <c r="BF10" s="31" t="n"/>
      <c r="BG10" s="60" t="n"/>
      <c r="BH10" s="60" t="n"/>
      <c r="BI10" s="60">
        <f>BH10-BG10</f>
        <v/>
      </c>
      <c r="BJ10" s="61">
        <f>IF(BG10=0,"",BH10/BG10)</f>
        <v/>
      </c>
      <c r="BK10" s="27" t="n"/>
      <c r="BL10" s="62" t="n"/>
      <c r="BM10" s="62" t="n"/>
      <c r="BN10" s="62">
        <f>BM10-BL10</f>
        <v/>
      </c>
      <c r="BO10" s="64">
        <f>IF(BL10=0,"",BM10/BL10)</f>
        <v/>
      </c>
      <c r="BP10" s="31" t="n"/>
      <c r="BQ10" s="60" t="n"/>
      <c r="BR10" s="60" t="n"/>
      <c r="BS10" s="60">
        <f>BR10-BQ10</f>
        <v/>
      </c>
      <c r="BT10" s="61">
        <f>IF(BQ10=0,"",BR10/BQ10)</f>
        <v/>
      </c>
      <c r="BU10" s="27" t="n"/>
      <c r="BV10" s="62" t="n"/>
      <c r="BW10" s="62" t="n"/>
      <c r="BX10" s="62">
        <f>BW10-BV10</f>
        <v/>
      </c>
      <c r="BY10" s="64">
        <f>IF(BV10=0,"",BW10/BV10)</f>
        <v/>
      </c>
      <c r="BZ10" s="31" t="n"/>
      <c r="CA10" s="60" t="n"/>
      <c r="CB10" s="60" t="n"/>
      <c r="CC10" s="60">
        <f>CB10-CA10</f>
        <v/>
      </c>
      <c r="CD10" s="61">
        <f>IF(CA10=0,"",CB10/CA10)</f>
        <v/>
      </c>
      <c r="CE10" s="27" t="n"/>
      <c r="CF10" s="62" t="n"/>
      <c r="CG10" s="62" t="n"/>
      <c r="CH10" s="62">
        <f>CG10-CF10</f>
        <v/>
      </c>
      <c r="CI10" s="64">
        <f>IF(CF10=0,"",CG10/CF10)</f>
        <v/>
      </c>
      <c r="CJ10" s="31" t="n"/>
      <c r="CK10" s="60" t="n"/>
      <c r="CL10" s="60" t="n"/>
      <c r="CM10" s="60">
        <f>CL10-CK10</f>
        <v/>
      </c>
      <c r="CN10" s="61">
        <f>IF(CK10=0,"",CL10/CK10)</f>
        <v/>
      </c>
      <c r="CO10" s="27" t="n"/>
      <c r="CP10" s="62" t="n"/>
      <c r="CQ10" s="62" t="n"/>
      <c r="CR10" s="62">
        <f>CQ10-CP10</f>
        <v/>
      </c>
      <c r="CS10" s="64">
        <f>IF(CP10=0,"",CQ10/CP10)</f>
        <v/>
      </c>
      <c r="CT10" s="31" t="n"/>
      <c r="CU10" s="60" t="n"/>
      <c r="CV10" s="60" t="n"/>
      <c r="CW10" s="60">
        <f>CV10-CU10</f>
        <v/>
      </c>
      <c r="CX10" s="61">
        <f>IF(CU10=0,"",CV10/CU10)</f>
        <v/>
      </c>
      <c r="CY10" s="27" t="n"/>
      <c r="CZ10" s="62" t="n"/>
      <c r="DA10" s="62" t="n"/>
      <c r="DB10" s="62">
        <f>DA10-CZ10</f>
        <v/>
      </c>
      <c r="DC10" s="64">
        <f>IF(CZ10=0,"",DA10/CZ10)</f>
        <v/>
      </c>
      <c r="DD10" s="31" t="n"/>
      <c r="DE10" s="60" t="n"/>
      <c r="DF10" s="60" t="n"/>
      <c r="DG10" s="60">
        <f>DF10-DE10</f>
        <v/>
      </c>
      <c r="DH10" s="61">
        <f>IF(DE10=0,"",DF10/DE10)</f>
        <v/>
      </c>
      <c r="DI10" s="27" t="n"/>
      <c r="DJ10" s="62" t="n"/>
      <c r="DK10" s="62" t="n"/>
      <c r="DL10" s="62">
        <f>DK10-DJ10</f>
        <v/>
      </c>
      <c r="DM10" s="64">
        <f>IF(DJ10=0,"",DK10/DJ10)</f>
        <v/>
      </c>
      <c r="DN10" s="31" t="n"/>
      <c r="DO10" s="60" t="n"/>
    </row>
    <row r="11" ht="15" customHeight="1">
      <c r="A11" s="19" t="n"/>
      <c r="B11" s="20" t="n"/>
      <c r="C11" s="19" t="n"/>
      <c r="D11" s="58">
        <f>D12</f>
        <v/>
      </c>
      <c r="E11" s="58">
        <f>E12</f>
        <v/>
      </c>
      <c r="F11" s="58">
        <f>E11-D11</f>
        <v/>
      </c>
      <c r="G11" s="59">
        <f>IF(D11=0,"",E11/D11)</f>
        <v/>
      </c>
      <c r="H11" s="23" t="n"/>
      <c r="I11" s="58">
        <f>I12</f>
        <v/>
      </c>
      <c r="J11" s="58">
        <f>J12</f>
        <v/>
      </c>
      <c r="K11" s="58">
        <f>J11-I11</f>
        <v/>
      </c>
      <c r="L11" s="59">
        <f>IF(I11=0,"",J11/I11)</f>
        <v/>
      </c>
      <c r="M11" s="23" t="n"/>
      <c r="N11" s="58">
        <f>N12</f>
        <v/>
      </c>
      <c r="O11" s="58">
        <f>O12</f>
        <v/>
      </c>
      <c r="P11" s="58">
        <f>O11-N11</f>
        <v/>
      </c>
      <c r="Q11" s="59">
        <f>IF(N11=0,"",O11/N11)</f>
        <v/>
      </c>
      <c r="R11" s="23" t="n"/>
      <c r="S11" s="58">
        <f>S12</f>
        <v/>
      </c>
      <c r="T11" s="58">
        <f>T12</f>
        <v/>
      </c>
      <c r="U11" s="58">
        <f>T11-S11</f>
        <v/>
      </c>
      <c r="V11" s="59">
        <f>IF(S11=0,"",T11/S11)</f>
        <v/>
      </c>
      <c r="W11" s="23" t="n"/>
      <c r="X11" s="58">
        <f>X12</f>
        <v/>
      </c>
      <c r="Y11" s="58">
        <f>Y12</f>
        <v/>
      </c>
      <c r="Z11" s="58">
        <f>Y11-X11</f>
        <v/>
      </c>
      <c r="AA11" s="59">
        <f>IF(X11=0,"",Y11/X11)</f>
        <v/>
      </c>
      <c r="AB11" s="23" t="n"/>
      <c r="AC11" s="58">
        <f>AC12</f>
        <v/>
      </c>
      <c r="AD11" s="58">
        <f>AD12</f>
        <v/>
      </c>
      <c r="AE11" s="58">
        <f>AD11-AC11</f>
        <v/>
      </c>
      <c r="AF11" s="59">
        <f>IF(AC11=0,"",AD11/AC11)</f>
        <v/>
      </c>
      <c r="AG11" s="23" t="n"/>
      <c r="AH11" s="58">
        <f>AH12</f>
        <v/>
      </c>
      <c r="AI11" s="58">
        <f>AI12</f>
        <v/>
      </c>
      <c r="AJ11" s="58">
        <f>AI11-AH11</f>
        <v/>
      </c>
      <c r="AK11" s="59">
        <f>IF(AH11=0,"",AI11/AH11)</f>
        <v/>
      </c>
      <c r="AL11" s="23" t="n"/>
      <c r="AM11" s="58">
        <f>AM12</f>
        <v/>
      </c>
      <c r="AN11" s="58">
        <f>AN12</f>
        <v/>
      </c>
      <c r="AO11" s="58">
        <f>AN11-AM11</f>
        <v/>
      </c>
      <c r="AP11" s="59">
        <f>IF(AM11=0,"",AN11/AM11)</f>
        <v/>
      </c>
      <c r="AQ11" s="23" t="n"/>
      <c r="AR11" s="58">
        <f>AR12</f>
        <v/>
      </c>
      <c r="AS11" s="58">
        <f>AS12</f>
        <v/>
      </c>
      <c r="AT11" s="58">
        <f>AS11-AR11</f>
        <v/>
      </c>
      <c r="AU11" s="59">
        <f>IF(AR11=0,"",AS11/AR11)</f>
        <v/>
      </c>
      <c r="AV11" s="23" t="n"/>
      <c r="AW11" s="58">
        <f>AW12</f>
        <v/>
      </c>
      <c r="AX11" s="58">
        <f>AX12</f>
        <v/>
      </c>
      <c r="AY11" s="58">
        <f>AX11-AW11</f>
        <v/>
      </c>
      <c r="AZ11" s="59">
        <f>IF(AW11=0,"",AX11/AW11)</f>
        <v/>
      </c>
      <c r="BA11" s="23" t="n"/>
      <c r="BB11" s="58">
        <f>BB12</f>
        <v/>
      </c>
      <c r="BC11" s="58">
        <f>BC12</f>
        <v/>
      </c>
      <c r="BD11" s="58">
        <f>BC11-BB11</f>
        <v/>
      </c>
      <c r="BE11" s="59">
        <f>IF(BB11=0,"",BC11/BB11)</f>
        <v/>
      </c>
      <c r="BF11" s="23" t="n"/>
      <c r="BG11" s="58">
        <f>BG12</f>
        <v/>
      </c>
      <c r="BH11" s="58">
        <f>BH12</f>
        <v/>
      </c>
      <c r="BI11" s="58">
        <f>BH11-BG11</f>
        <v/>
      </c>
      <c r="BJ11" s="59">
        <f>IF(BG11=0,"",BH11/BG11)</f>
        <v/>
      </c>
      <c r="BK11" s="23" t="n"/>
      <c r="BL11" s="58">
        <f>BL12</f>
        <v/>
      </c>
      <c r="BM11" s="58">
        <f>BM12</f>
        <v/>
      </c>
      <c r="BN11" s="58">
        <f>BM11-BL11</f>
        <v/>
      </c>
      <c r="BO11" s="59">
        <f>IF(BL11=0,"",BM11/BL11)</f>
        <v/>
      </c>
      <c r="BP11" s="23" t="n"/>
      <c r="BQ11" s="58">
        <f>BQ12</f>
        <v/>
      </c>
      <c r="BR11" s="58">
        <f>BR12</f>
        <v/>
      </c>
      <c r="BS11" s="58">
        <f>BR11-BQ11</f>
        <v/>
      </c>
      <c r="BT11" s="59">
        <f>IF(BQ11=0,"",BR11/BQ11)</f>
        <v/>
      </c>
      <c r="BU11" s="23" t="n"/>
      <c r="BV11" s="58">
        <f>BV12</f>
        <v/>
      </c>
      <c r="BW11" s="58">
        <f>BW12</f>
        <v/>
      </c>
      <c r="BX11" s="58">
        <f>BW11-BV11</f>
        <v/>
      </c>
      <c r="BY11" s="59">
        <f>IF(BV11=0,"",BW11/BV11)</f>
        <v/>
      </c>
      <c r="BZ11" s="23" t="n"/>
      <c r="CA11" s="58">
        <f>CA12</f>
        <v/>
      </c>
      <c r="CB11" s="58">
        <f>CB12</f>
        <v/>
      </c>
      <c r="CC11" s="58">
        <f>CB11-CA11</f>
        <v/>
      </c>
      <c r="CD11" s="59">
        <f>IF(CA11=0,"",CB11/CA11)</f>
        <v/>
      </c>
      <c r="CE11" s="23" t="n"/>
      <c r="CF11" s="58">
        <f>CF12</f>
        <v/>
      </c>
      <c r="CG11" s="58">
        <f>CG12</f>
        <v/>
      </c>
      <c r="CH11" s="58">
        <f>CG11-CF11</f>
        <v/>
      </c>
      <c r="CI11" s="59">
        <f>IF(CF11=0,"",CG11/CF11)</f>
        <v/>
      </c>
      <c r="CJ11" s="23" t="n"/>
      <c r="CK11" s="58">
        <f>CK12</f>
        <v/>
      </c>
      <c r="CL11" s="58">
        <f>CL12</f>
        <v/>
      </c>
      <c r="CM11" s="58">
        <f>CL11-CK11</f>
        <v/>
      </c>
      <c r="CN11" s="59">
        <f>IF(CK11=0,"",CL11/CK11)</f>
        <v/>
      </c>
      <c r="CO11" s="23" t="n"/>
      <c r="CP11" s="58">
        <f>CP12</f>
        <v/>
      </c>
      <c r="CQ11" s="58">
        <f>CQ12</f>
        <v/>
      </c>
      <c r="CR11" s="58">
        <f>CQ11-CP11</f>
        <v/>
      </c>
      <c r="CS11" s="59">
        <f>IF(CP11=0,"",CQ11/CP11)</f>
        <v/>
      </c>
      <c r="CT11" s="23" t="n"/>
      <c r="CU11" s="58">
        <f>CU12</f>
        <v/>
      </c>
      <c r="CV11" s="58">
        <f>CV12</f>
        <v/>
      </c>
      <c r="CW11" s="58">
        <f>CV11-CU11</f>
        <v/>
      </c>
      <c r="CX11" s="59">
        <f>IF(CU11=0,"",CV11/CU11)</f>
        <v/>
      </c>
      <c r="CY11" s="23" t="n"/>
      <c r="CZ11" s="58">
        <f>CZ12</f>
        <v/>
      </c>
      <c r="DA11" s="58">
        <f>DA12</f>
        <v/>
      </c>
      <c r="DB11" s="58">
        <f>DA11-CZ11</f>
        <v/>
      </c>
      <c r="DC11" s="59">
        <f>IF(CZ11=0,"",DA11/CZ11)</f>
        <v/>
      </c>
      <c r="DD11" s="23" t="n"/>
      <c r="DE11" s="58">
        <f>DE12</f>
        <v/>
      </c>
      <c r="DF11" s="58">
        <f>DF12</f>
        <v/>
      </c>
      <c r="DG11" s="58">
        <f>DF11-DE11</f>
        <v/>
      </c>
      <c r="DH11" s="59">
        <f>IF(DE11=0,"",DF11/DE11)</f>
        <v/>
      </c>
      <c r="DI11" s="23" t="n"/>
      <c r="DJ11" s="58">
        <f>DJ12</f>
        <v/>
      </c>
      <c r="DK11" s="58">
        <f>DK12</f>
        <v/>
      </c>
      <c r="DL11" s="58">
        <f>DK11-DJ11</f>
        <v/>
      </c>
      <c r="DM11" s="59">
        <f>IF(DJ11=0,"",DK11/DJ11)</f>
        <v/>
      </c>
      <c r="DN11" s="23" t="n"/>
      <c r="DO11" s="58">
        <f>DO12</f>
        <v/>
      </c>
    </row>
    <row r="12" outlineLevel="1" ht="15" customHeight="1">
      <c r="A12" s="24" t="n"/>
      <c r="B12" s="24" t="n"/>
      <c r="C12" s="24" t="n"/>
      <c r="D12" s="60" t="n"/>
      <c r="E12" s="60" t="n"/>
      <c r="F12" s="60">
        <f>E12-D12</f>
        <v/>
      </c>
      <c r="G12" s="61">
        <f>IF(D12=0,"",E12/D12)</f>
        <v/>
      </c>
      <c r="H12" s="27" t="n"/>
      <c r="I12" s="60" t="n"/>
      <c r="J12" s="60" t="n"/>
      <c r="K12" s="60">
        <f>J12-I12</f>
        <v/>
      </c>
      <c r="L12" s="61">
        <f>IF(I12=0,"",J12/I12)</f>
        <v/>
      </c>
      <c r="M12" s="27" t="n"/>
      <c r="N12" s="62" t="n"/>
      <c r="O12" s="62" t="n"/>
      <c r="P12" s="63">
        <f>O12-N12</f>
        <v/>
      </c>
      <c r="Q12" s="64">
        <f>IF(N12=0,"",O12/N12)</f>
        <v/>
      </c>
      <c r="R12" s="31" t="n"/>
      <c r="S12" s="60" t="n"/>
      <c r="T12" s="60" t="n"/>
      <c r="U12" s="60">
        <f>T12-S12</f>
        <v/>
      </c>
      <c r="V12" s="61">
        <f>IF(S12=0,"",T12/S12)</f>
        <v/>
      </c>
      <c r="W12" s="27" t="n"/>
      <c r="X12" s="62" t="n"/>
      <c r="Y12" s="62" t="n"/>
      <c r="Z12" s="63">
        <f>Y12-X12</f>
        <v/>
      </c>
      <c r="AA12" s="64">
        <f>IF(X12=0,"",Y12/X12)</f>
        <v/>
      </c>
      <c r="AB12" s="31" t="n"/>
      <c r="AC12" s="60" t="n"/>
      <c r="AD12" s="60" t="n"/>
      <c r="AE12" s="60">
        <f>AD12-AC12</f>
        <v/>
      </c>
      <c r="AF12" s="61">
        <f>IF(AC12=0,"",AD12/AC12)</f>
        <v/>
      </c>
      <c r="AG12" s="27" t="n"/>
      <c r="AH12" s="62" t="n"/>
      <c r="AI12" s="62" t="n"/>
      <c r="AJ12" s="62">
        <f>AI12-AH12</f>
        <v/>
      </c>
      <c r="AK12" s="64">
        <f>IF(AH12=0,"",AI12/AH12)</f>
        <v/>
      </c>
      <c r="AL12" s="31" t="n"/>
      <c r="AM12" s="60" t="n"/>
      <c r="AN12" s="60" t="n"/>
      <c r="AO12" s="60">
        <f>AN12-AM12</f>
        <v/>
      </c>
      <c r="AP12" s="61">
        <f>IF(AM12=0,"",AN12/AM12)</f>
        <v/>
      </c>
      <c r="AQ12" s="27" t="n"/>
      <c r="AR12" s="62" t="n"/>
      <c r="AS12" s="62" t="n"/>
      <c r="AT12" s="62">
        <f>AS12-AR12</f>
        <v/>
      </c>
      <c r="AU12" s="64">
        <f>IF(AR12=0,"",AS12/AR12)</f>
        <v/>
      </c>
      <c r="AV12" s="31" t="n"/>
      <c r="AW12" s="60" t="n"/>
      <c r="AX12" s="60" t="n"/>
      <c r="AY12" s="60">
        <f>AX12-AW12</f>
        <v/>
      </c>
      <c r="AZ12" s="61">
        <f>IF(AW12=0,"",AX12/AW12)</f>
        <v/>
      </c>
      <c r="BA12" s="27" t="n"/>
      <c r="BB12" s="62" t="n"/>
      <c r="BC12" s="62" t="n"/>
      <c r="BD12" s="62">
        <f>BC12-BB12</f>
        <v/>
      </c>
      <c r="BE12" s="64">
        <f>IF(BB12=0,"",BC12/BB12)</f>
        <v/>
      </c>
      <c r="BF12" s="31" t="n"/>
      <c r="BG12" s="60" t="n"/>
      <c r="BH12" s="60" t="n"/>
      <c r="BI12" s="60">
        <f>BH12-BG12</f>
        <v/>
      </c>
      <c r="BJ12" s="61">
        <f>IF(BG12=0,"",BH12/BG12)</f>
        <v/>
      </c>
      <c r="BK12" s="27" t="n"/>
      <c r="BL12" s="62" t="n"/>
      <c r="BM12" s="62" t="n"/>
      <c r="BN12" s="62">
        <f>BM12-BL12</f>
        <v/>
      </c>
      <c r="BO12" s="64">
        <f>IF(BL12=0,"",BM12/BL12)</f>
        <v/>
      </c>
      <c r="BP12" s="31" t="n"/>
      <c r="BQ12" s="60" t="n"/>
      <c r="BR12" s="60" t="n"/>
      <c r="BS12" s="60">
        <f>BR12-BQ12</f>
        <v/>
      </c>
      <c r="BT12" s="61">
        <f>IF(BQ12=0,"",BR12/BQ12)</f>
        <v/>
      </c>
      <c r="BU12" s="27" t="n"/>
      <c r="BV12" s="62" t="n"/>
      <c r="BW12" s="62" t="n"/>
      <c r="BX12" s="62">
        <f>BW12-BV12</f>
        <v/>
      </c>
      <c r="BY12" s="64">
        <f>IF(BV12=0,"",BW12/BV12)</f>
        <v/>
      </c>
      <c r="BZ12" s="31" t="n"/>
      <c r="CA12" s="60" t="n"/>
      <c r="CB12" s="60" t="n"/>
      <c r="CC12" s="60">
        <f>CB12-CA12</f>
        <v/>
      </c>
      <c r="CD12" s="61">
        <f>IF(CA12=0,"",CB12/CA12)</f>
        <v/>
      </c>
      <c r="CE12" s="27" t="n"/>
      <c r="CF12" s="62" t="n"/>
      <c r="CG12" s="62" t="n"/>
      <c r="CH12" s="62">
        <f>CG12-CF12</f>
        <v/>
      </c>
      <c r="CI12" s="64">
        <f>IF(CF12=0,"",CG12/CF12)</f>
        <v/>
      </c>
      <c r="CJ12" s="31" t="n"/>
      <c r="CK12" s="60" t="n"/>
      <c r="CL12" s="60" t="n"/>
      <c r="CM12" s="60">
        <f>CL12-CK12</f>
        <v/>
      </c>
      <c r="CN12" s="61">
        <f>IF(CK12=0,"",CL12/CK12)</f>
        <v/>
      </c>
      <c r="CO12" s="27" t="n"/>
      <c r="CP12" s="62" t="n"/>
      <c r="CQ12" s="62" t="n"/>
      <c r="CR12" s="62">
        <f>CQ12-CP12</f>
        <v/>
      </c>
      <c r="CS12" s="64">
        <f>IF(CP12=0,"",CQ12/CP12)</f>
        <v/>
      </c>
      <c r="CT12" s="31" t="n"/>
      <c r="CU12" s="60" t="n"/>
      <c r="CV12" s="60" t="n"/>
      <c r="CW12" s="60">
        <f>CV12-CU12</f>
        <v/>
      </c>
      <c r="CX12" s="61">
        <f>IF(CU12=0,"",CV12/CU12)</f>
        <v/>
      </c>
      <c r="CY12" s="27" t="n"/>
      <c r="CZ12" s="62" t="n"/>
      <c r="DA12" s="62" t="n"/>
      <c r="DB12" s="62">
        <f>DA12-CZ12</f>
        <v/>
      </c>
      <c r="DC12" s="64">
        <f>IF(CZ12=0,"",DA12/CZ12)</f>
        <v/>
      </c>
      <c r="DD12" s="31" t="n"/>
      <c r="DE12" s="60" t="n"/>
      <c r="DF12" s="60" t="n"/>
      <c r="DG12" s="60">
        <f>DF12-DE12</f>
        <v/>
      </c>
      <c r="DH12" s="61">
        <f>IF(DE12=0,"",DF12/DE12)</f>
        <v/>
      </c>
      <c r="DI12" s="27" t="n"/>
      <c r="DJ12" s="62" t="n"/>
      <c r="DK12" s="62" t="n"/>
      <c r="DL12" s="62">
        <f>DK12-DJ12</f>
        <v/>
      </c>
      <c r="DM12" s="64">
        <f>IF(DJ12=0,"",DK12/DJ12)</f>
        <v/>
      </c>
      <c r="DN12" s="31" t="n"/>
      <c r="DO12" s="60" t="n"/>
    </row>
    <row r="13" ht="15" customHeight="1">
      <c r="A13" s="19" t="n"/>
      <c r="B13" s="20" t="n"/>
      <c r="C13" s="19" t="n"/>
      <c r="D13" s="58">
        <f>D14+D15</f>
        <v/>
      </c>
      <c r="E13" s="58">
        <f>E14+E15</f>
        <v/>
      </c>
      <c r="F13" s="58">
        <f>E13-D13</f>
        <v/>
      </c>
      <c r="G13" s="59">
        <f>IF(D13=0,"",E13/D13)</f>
        <v/>
      </c>
      <c r="H13" s="23" t="n"/>
      <c r="I13" s="58">
        <f>I14+I15</f>
        <v/>
      </c>
      <c r="J13" s="58">
        <f>J14+J15</f>
        <v/>
      </c>
      <c r="K13" s="58">
        <f>J13-I13</f>
        <v/>
      </c>
      <c r="L13" s="59">
        <f>IF(I13=0,"",J13/I13)</f>
        <v/>
      </c>
      <c r="M13" s="23" t="n"/>
      <c r="N13" s="58">
        <f>N14+N15</f>
        <v/>
      </c>
      <c r="O13" s="58">
        <f>O14+O15</f>
        <v/>
      </c>
      <c r="P13" s="58">
        <f>O13-N13</f>
        <v/>
      </c>
      <c r="Q13" s="59">
        <f>IF(N13=0,"",O13/N13)</f>
        <v/>
      </c>
      <c r="R13" s="23" t="n"/>
      <c r="S13" s="58">
        <f>S14+S15</f>
        <v/>
      </c>
      <c r="T13" s="58">
        <f>T14+T15</f>
        <v/>
      </c>
      <c r="U13" s="58">
        <f>T13-S13</f>
        <v/>
      </c>
      <c r="V13" s="59">
        <f>IF(S13=0,"",T13/S13)</f>
        <v/>
      </c>
      <c r="W13" s="23" t="n"/>
      <c r="X13" s="58">
        <f>X14+X15</f>
        <v/>
      </c>
      <c r="Y13" s="58">
        <f>Y14+Y15</f>
        <v/>
      </c>
      <c r="Z13" s="58">
        <f>Y13-X13</f>
        <v/>
      </c>
      <c r="AA13" s="59">
        <f>IF(X13=0,"",Y13/X13)</f>
        <v/>
      </c>
      <c r="AB13" s="23" t="n"/>
      <c r="AC13" s="58">
        <f>AC14+AC15</f>
        <v/>
      </c>
      <c r="AD13" s="58">
        <f>AD14+AD15</f>
        <v/>
      </c>
      <c r="AE13" s="58">
        <f>AD13-AC13</f>
        <v/>
      </c>
      <c r="AF13" s="59">
        <f>IF(AC13=0,"",AD13/AC13)</f>
        <v/>
      </c>
      <c r="AG13" s="23" t="n"/>
      <c r="AH13" s="58">
        <f>AH14+AH15</f>
        <v/>
      </c>
      <c r="AI13" s="58">
        <f>AI14+AI15</f>
        <v/>
      </c>
      <c r="AJ13" s="58">
        <f>AI13-AH13</f>
        <v/>
      </c>
      <c r="AK13" s="59">
        <f>IF(AH13=0,"",AI13/AH13)</f>
        <v/>
      </c>
      <c r="AL13" s="23" t="n"/>
      <c r="AM13" s="58">
        <f>AM14+AM15</f>
        <v/>
      </c>
      <c r="AN13" s="58">
        <f>AN14+AN15</f>
        <v/>
      </c>
      <c r="AO13" s="58">
        <f>AN13-AM13</f>
        <v/>
      </c>
      <c r="AP13" s="59">
        <f>IF(AM13=0,"",AN13/AM13)</f>
        <v/>
      </c>
      <c r="AQ13" s="23" t="n"/>
      <c r="AR13" s="58">
        <f>AR14+AR15</f>
        <v/>
      </c>
      <c r="AS13" s="58">
        <f>AS14+AS15</f>
        <v/>
      </c>
      <c r="AT13" s="58">
        <f>AS13-AR13</f>
        <v/>
      </c>
      <c r="AU13" s="59">
        <f>IF(AR13=0,"",AS13/AR13)</f>
        <v/>
      </c>
      <c r="AV13" s="23" t="n"/>
      <c r="AW13" s="58">
        <f>AW14+AW15</f>
        <v/>
      </c>
      <c r="AX13" s="58">
        <f>AX14+AX15</f>
        <v/>
      </c>
      <c r="AY13" s="58">
        <f>AX13-AW13</f>
        <v/>
      </c>
      <c r="AZ13" s="59">
        <f>IF(AW13=0,"",AX13/AW13)</f>
        <v/>
      </c>
      <c r="BA13" s="23" t="n"/>
      <c r="BB13" s="58">
        <f>BB14+BB15</f>
        <v/>
      </c>
      <c r="BC13" s="58">
        <f>BC14+BC15</f>
        <v/>
      </c>
      <c r="BD13" s="58">
        <f>BC13-BB13</f>
        <v/>
      </c>
      <c r="BE13" s="59">
        <f>IF(BB13=0,"",BC13/BB13)</f>
        <v/>
      </c>
      <c r="BF13" s="23" t="n"/>
      <c r="BG13" s="58">
        <f>BG14+BG15</f>
        <v/>
      </c>
      <c r="BH13" s="58">
        <f>BH14+BH15</f>
        <v/>
      </c>
      <c r="BI13" s="58">
        <f>BH13-BG13</f>
        <v/>
      </c>
      <c r="BJ13" s="59">
        <f>IF(BG13=0,"",BH13/BG13)</f>
        <v/>
      </c>
      <c r="BK13" s="23" t="n"/>
      <c r="BL13" s="58">
        <f>BL14+BL15</f>
        <v/>
      </c>
      <c r="BM13" s="58">
        <f>BM14+BM15</f>
        <v/>
      </c>
      <c r="BN13" s="58">
        <f>BM13-BL13</f>
        <v/>
      </c>
      <c r="BO13" s="59">
        <f>IF(BL13=0,"",BM13/BL13)</f>
        <v/>
      </c>
      <c r="BP13" s="23" t="n"/>
      <c r="BQ13" s="58">
        <f>BQ14+BQ15</f>
        <v/>
      </c>
      <c r="BR13" s="58">
        <f>BR14+BR15</f>
        <v/>
      </c>
      <c r="BS13" s="58">
        <f>BR13-BQ13</f>
        <v/>
      </c>
      <c r="BT13" s="59">
        <f>IF(BQ13=0,"",BR13/BQ13)</f>
        <v/>
      </c>
      <c r="BU13" s="23" t="n"/>
      <c r="BV13" s="58">
        <f>BV14+BV15</f>
        <v/>
      </c>
      <c r="BW13" s="58">
        <f>BW14+BW15</f>
        <v/>
      </c>
      <c r="BX13" s="58">
        <f>BW13-BV13</f>
        <v/>
      </c>
      <c r="BY13" s="59">
        <f>IF(BV13=0,"",BW13/BV13)</f>
        <v/>
      </c>
      <c r="BZ13" s="23" t="n"/>
      <c r="CA13" s="58">
        <f>CA14+CA15</f>
        <v/>
      </c>
      <c r="CB13" s="58">
        <f>CB14+CB15</f>
        <v/>
      </c>
      <c r="CC13" s="58">
        <f>CB13-CA13</f>
        <v/>
      </c>
      <c r="CD13" s="59">
        <f>IF(CA13=0,"",CB13/CA13)</f>
        <v/>
      </c>
      <c r="CE13" s="23" t="n"/>
      <c r="CF13" s="58">
        <f>CF14+CF15</f>
        <v/>
      </c>
      <c r="CG13" s="58">
        <f>CG14+CG15</f>
        <v/>
      </c>
      <c r="CH13" s="58">
        <f>CG13-CF13</f>
        <v/>
      </c>
      <c r="CI13" s="59">
        <f>IF(CF13=0,"",CG13/CF13)</f>
        <v/>
      </c>
      <c r="CJ13" s="23" t="n"/>
      <c r="CK13" s="58">
        <f>CK14+CK15</f>
        <v/>
      </c>
      <c r="CL13" s="58">
        <f>CL14+CL15</f>
        <v/>
      </c>
      <c r="CM13" s="58">
        <f>CL13-CK13</f>
        <v/>
      </c>
      <c r="CN13" s="59">
        <f>IF(CK13=0,"",CL13/CK13)</f>
        <v/>
      </c>
      <c r="CO13" s="23" t="n"/>
      <c r="CP13" s="58">
        <f>CP14+CP15</f>
        <v/>
      </c>
      <c r="CQ13" s="58">
        <f>CQ14+CQ15</f>
        <v/>
      </c>
      <c r="CR13" s="58">
        <f>CQ13-CP13</f>
        <v/>
      </c>
      <c r="CS13" s="59">
        <f>IF(CP13=0,"",CQ13/CP13)</f>
        <v/>
      </c>
      <c r="CT13" s="23" t="n"/>
      <c r="CU13" s="58">
        <f>CU14+CU15</f>
        <v/>
      </c>
      <c r="CV13" s="58">
        <f>CV14+CV15</f>
        <v/>
      </c>
      <c r="CW13" s="58">
        <f>CV13-CU13</f>
        <v/>
      </c>
      <c r="CX13" s="59">
        <f>IF(CU13=0,"",CV13/CU13)</f>
        <v/>
      </c>
      <c r="CY13" s="23" t="n"/>
      <c r="CZ13" s="58">
        <f>CZ14+CZ15</f>
        <v/>
      </c>
      <c r="DA13" s="58">
        <f>DA14+DA15</f>
        <v/>
      </c>
      <c r="DB13" s="58">
        <f>DA13-CZ13</f>
        <v/>
      </c>
      <c r="DC13" s="59">
        <f>IF(CZ13=0,"",DA13/CZ13)</f>
        <v/>
      </c>
      <c r="DD13" s="23" t="n"/>
      <c r="DE13" s="58">
        <f>DE14+DE15</f>
        <v/>
      </c>
      <c r="DF13" s="58">
        <f>DF14+DF15</f>
        <v/>
      </c>
      <c r="DG13" s="58">
        <f>DF13-DE13</f>
        <v/>
      </c>
      <c r="DH13" s="59">
        <f>IF(DE13=0,"",DF13/DE13)</f>
        <v/>
      </c>
      <c r="DI13" s="23" t="n"/>
      <c r="DJ13" s="58">
        <f>DJ14+DJ15</f>
        <v/>
      </c>
      <c r="DK13" s="58">
        <f>DK14+DK15</f>
        <v/>
      </c>
      <c r="DL13" s="58">
        <f>DK13-DJ13</f>
        <v/>
      </c>
      <c r="DM13" s="59">
        <f>IF(DJ13=0,"",DK13/DJ13)</f>
        <v/>
      </c>
      <c r="DN13" s="23" t="n"/>
      <c r="DO13" s="58">
        <f>DO14+DO15</f>
        <v/>
      </c>
    </row>
    <row r="14" outlineLevel="1" ht="15" customHeight="1">
      <c r="A14" s="24" t="n"/>
      <c r="B14" s="24" t="n"/>
      <c r="C14" s="24" t="n"/>
      <c r="D14" s="60" t="n"/>
      <c r="E14" s="60" t="n"/>
      <c r="F14" s="60">
        <f>E14-D14</f>
        <v/>
      </c>
      <c r="G14" s="61">
        <f>IF(D14=0,"",E14/D14)</f>
        <v/>
      </c>
      <c r="H14" s="27" t="n"/>
      <c r="I14" s="60" t="n"/>
      <c r="J14" s="60" t="n"/>
      <c r="K14" s="60">
        <f>J14-I14</f>
        <v/>
      </c>
      <c r="L14" s="61">
        <f>IF(I14=0,"",J14/I14)</f>
        <v/>
      </c>
      <c r="M14" s="27" t="n"/>
      <c r="N14" s="62" t="n"/>
      <c r="O14" s="62" t="n"/>
      <c r="P14" s="63">
        <f>O14-N14</f>
        <v/>
      </c>
      <c r="Q14" s="64">
        <f>IF(N14=0,"",O14/N14)</f>
        <v/>
      </c>
      <c r="R14" s="31" t="n"/>
      <c r="S14" s="60" t="n"/>
      <c r="T14" s="60" t="n"/>
      <c r="U14" s="60">
        <f>T14-S14</f>
        <v/>
      </c>
      <c r="V14" s="61">
        <f>IF(S14=0,"",T14/S14)</f>
        <v/>
      </c>
      <c r="W14" s="27" t="n"/>
      <c r="X14" s="62" t="n"/>
      <c r="Y14" s="62" t="n"/>
      <c r="Z14" s="63">
        <f>Y14-X14</f>
        <v/>
      </c>
      <c r="AA14" s="64">
        <f>IF(X14=0,"",Y14/X14)</f>
        <v/>
      </c>
      <c r="AB14" s="31" t="n"/>
      <c r="AC14" s="60" t="n"/>
      <c r="AD14" s="60" t="n"/>
      <c r="AE14" s="60">
        <f>AD14-AC14</f>
        <v/>
      </c>
      <c r="AF14" s="61">
        <f>IF(AC14=0,"",AD14/AC14)</f>
        <v/>
      </c>
      <c r="AG14" s="27" t="n"/>
      <c r="AH14" s="62" t="n"/>
      <c r="AI14" s="62" t="n"/>
      <c r="AJ14" s="62">
        <f>AI14-AH14</f>
        <v/>
      </c>
      <c r="AK14" s="64">
        <f>IF(AH14=0,"",AI14/AH14)</f>
        <v/>
      </c>
      <c r="AL14" s="31" t="n"/>
      <c r="AM14" s="60" t="n"/>
      <c r="AN14" s="60" t="n"/>
      <c r="AO14" s="60">
        <f>AN14-AM14</f>
        <v/>
      </c>
      <c r="AP14" s="61">
        <f>IF(AM14=0,"",AN14/AM14)</f>
        <v/>
      </c>
      <c r="AQ14" s="27" t="n"/>
      <c r="AR14" s="62" t="n"/>
      <c r="AS14" s="62" t="n"/>
      <c r="AT14" s="62">
        <f>AS14-AR14</f>
        <v/>
      </c>
      <c r="AU14" s="64">
        <f>IF(AR14=0,"",AS14/AR14)</f>
        <v/>
      </c>
      <c r="AV14" s="31" t="n"/>
      <c r="AW14" s="60" t="n"/>
      <c r="AX14" s="60" t="n"/>
      <c r="AY14" s="60">
        <f>AX14-AW14</f>
        <v/>
      </c>
      <c r="AZ14" s="61">
        <f>IF(AW14=0,"",AX14/AW14)</f>
        <v/>
      </c>
      <c r="BA14" s="27" t="n"/>
      <c r="BB14" s="62" t="n"/>
      <c r="BC14" s="62" t="n"/>
      <c r="BD14" s="62">
        <f>BC14-BB14</f>
        <v/>
      </c>
      <c r="BE14" s="64">
        <f>IF(BB14=0,"",BC14/BB14)</f>
        <v/>
      </c>
      <c r="BF14" s="31" t="n"/>
      <c r="BG14" s="60" t="n"/>
      <c r="BH14" s="60" t="n"/>
      <c r="BI14" s="60">
        <f>BH14-BG14</f>
        <v/>
      </c>
      <c r="BJ14" s="61">
        <f>IF(BG14=0,"",BH14/BG14)</f>
        <v/>
      </c>
      <c r="BK14" s="27" t="n"/>
      <c r="BL14" s="62" t="n"/>
      <c r="BM14" s="62" t="n"/>
      <c r="BN14" s="62">
        <f>BM14-BL14</f>
        <v/>
      </c>
      <c r="BO14" s="64">
        <f>IF(BL14=0,"",BM14/BL14)</f>
        <v/>
      </c>
      <c r="BP14" s="31" t="n"/>
      <c r="BQ14" s="60" t="n"/>
      <c r="BR14" s="60" t="n"/>
      <c r="BS14" s="60">
        <f>BR14-BQ14</f>
        <v/>
      </c>
      <c r="BT14" s="61">
        <f>IF(BQ14=0,"",BR14/BQ14)</f>
        <v/>
      </c>
      <c r="BU14" s="27" t="n"/>
      <c r="BV14" s="62" t="n"/>
      <c r="BW14" s="62" t="n"/>
      <c r="BX14" s="62">
        <f>BW14-BV14</f>
        <v/>
      </c>
      <c r="BY14" s="64">
        <f>IF(BV14=0,"",BW14/BV14)</f>
        <v/>
      </c>
      <c r="BZ14" s="31" t="n"/>
      <c r="CA14" s="60" t="n"/>
      <c r="CB14" s="60" t="n"/>
      <c r="CC14" s="60">
        <f>CB14-CA14</f>
        <v/>
      </c>
      <c r="CD14" s="61">
        <f>IF(CA14=0,"",CB14/CA14)</f>
        <v/>
      </c>
      <c r="CE14" s="27" t="n"/>
      <c r="CF14" s="62" t="n"/>
      <c r="CG14" s="62" t="n"/>
      <c r="CH14" s="62">
        <f>CG14-CF14</f>
        <v/>
      </c>
      <c r="CI14" s="64">
        <f>IF(CF14=0,"",CG14/CF14)</f>
        <v/>
      </c>
      <c r="CJ14" s="31" t="n"/>
      <c r="CK14" s="60" t="n"/>
      <c r="CL14" s="60" t="n"/>
      <c r="CM14" s="60">
        <f>CL14-CK14</f>
        <v/>
      </c>
      <c r="CN14" s="61">
        <f>IF(CK14=0,"",CL14/CK14)</f>
        <v/>
      </c>
      <c r="CO14" s="27" t="n"/>
      <c r="CP14" s="62" t="n"/>
      <c r="CQ14" s="62" t="n"/>
      <c r="CR14" s="62">
        <f>CQ14-CP14</f>
        <v/>
      </c>
      <c r="CS14" s="64">
        <f>IF(CP14=0,"",CQ14/CP14)</f>
        <v/>
      </c>
      <c r="CT14" s="31" t="n"/>
      <c r="CU14" s="60" t="n"/>
      <c r="CV14" s="60" t="n"/>
      <c r="CW14" s="60">
        <f>CV14-CU14</f>
        <v/>
      </c>
      <c r="CX14" s="61">
        <f>IF(CU14=0,"",CV14/CU14)</f>
        <v/>
      </c>
      <c r="CY14" s="27" t="n"/>
      <c r="CZ14" s="62" t="n"/>
      <c r="DA14" s="62" t="n"/>
      <c r="DB14" s="62">
        <f>DA14-CZ14</f>
        <v/>
      </c>
      <c r="DC14" s="64">
        <f>IF(CZ14=0,"",DA14/CZ14)</f>
        <v/>
      </c>
      <c r="DD14" s="31" t="n"/>
      <c r="DE14" s="60" t="n"/>
      <c r="DF14" s="60" t="n"/>
      <c r="DG14" s="60">
        <f>DF14-DE14</f>
        <v/>
      </c>
      <c r="DH14" s="61">
        <f>IF(DE14=0,"",DF14/DE14)</f>
        <v/>
      </c>
      <c r="DI14" s="27" t="n"/>
      <c r="DJ14" s="62" t="n"/>
      <c r="DK14" s="62" t="n"/>
      <c r="DL14" s="62">
        <f>DK14-DJ14</f>
        <v/>
      </c>
      <c r="DM14" s="64">
        <f>IF(DJ14=0,"",DK14/DJ14)</f>
        <v/>
      </c>
      <c r="DN14" s="31" t="n"/>
      <c r="DO14" s="60" t="n"/>
    </row>
    <row r="15" outlineLevel="1" ht="15" customHeight="1">
      <c r="A15" s="24" t="n"/>
      <c r="B15" s="24" t="n"/>
      <c r="C15" s="24" t="n"/>
      <c r="D15" s="60" t="n"/>
      <c r="E15" s="60" t="n"/>
      <c r="F15" s="60">
        <f>E15-D15</f>
        <v/>
      </c>
      <c r="G15" s="61">
        <f>IF(D15=0,"",E15/D15)</f>
        <v/>
      </c>
      <c r="H15" s="27" t="n"/>
      <c r="I15" s="60" t="n"/>
      <c r="J15" s="60" t="n"/>
      <c r="K15" s="60">
        <f>J15-I15</f>
        <v/>
      </c>
      <c r="L15" s="61">
        <f>IF(I15=0,"",J15/I15)</f>
        <v/>
      </c>
      <c r="M15" s="27" t="n"/>
      <c r="N15" s="62" t="n"/>
      <c r="O15" s="62" t="n"/>
      <c r="P15" s="63">
        <f>O15-N15</f>
        <v/>
      </c>
      <c r="Q15" s="64">
        <f>IF(N15=0,"",O15/N15)</f>
        <v/>
      </c>
      <c r="R15" s="31" t="n"/>
      <c r="S15" s="60" t="n"/>
      <c r="T15" s="60" t="n"/>
      <c r="U15" s="60">
        <f>T15-S15</f>
        <v/>
      </c>
      <c r="V15" s="61">
        <f>IF(S15=0,"",T15/S15)</f>
        <v/>
      </c>
      <c r="W15" s="27" t="n"/>
      <c r="X15" s="62" t="n"/>
      <c r="Y15" s="62" t="n"/>
      <c r="Z15" s="63">
        <f>Y15-X15</f>
        <v/>
      </c>
      <c r="AA15" s="64">
        <f>IF(X15=0,"",Y15/X15)</f>
        <v/>
      </c>
      <c r="AB15" s="31" t="n"/>
      <c r="AC15" s="60" t="n"/>
      <c r="AD15" s="60" t="n"/>
      <c r="AE15" s="60">
        <f>AD15-AC15</f>
        <v/>
      </c>
      <c r="AF15" s="61">
        <f>IF(AC15=0,"",AD15/AC15)</f>
        <v/>
      </c>
      <c r="AG15" s="27" t="n"/>
      <c r="AH15" s="62" t="n"/>
      <c r="AI15" s="62" t="n"/>
      <c r="AJ15" s="62">
        <f>AI15-AH15</f>
        <v/>
      </c>
      <c r="AK15" s="64">
        <f>IF(AH15=0,"",AI15/AH15)</f>
        <v/>
      </c>
      <c r="AL15" s="31" t="n"/>
      <c r="AM15" s="60" t="n"/>
      <c r="AN15" s="60" t="n"/>
      <c r="AO15" s="60">
        <f>AN15-AM15</f>
        <v/>
      </c>
      <c r="AP15" s="61">
        <f>IF(AM15=0,"",AN15/AM15)</f>
        <v/>
      </c>
      <c r="AQ15" s="27" t="n"/>
      <c r="AR15" s="62" t="n"/>
      <c r="AS15" s="62" t="n"/>
      <c r="AT15" s="62">
        <f>AS15-AR15</f>
        <v/>
      </c>
      <c r="AU15" s="64">
        <f>IF(AR15=0,"",AS15/AR15)</f>
        <v/>
      </c>
      <c r="AV15" s="31" t="n"/>
      <c r="AW15" s="60" t="n"/>
      <c r="AX15" s="60" t="n"/>
      <c r="AY15" s="60">
        <f>AX15-AW15</f>
        <v/>
      </c>
      <c r="AZ15" s="61">
        <f>IF(AW15=0,"",AX15/AW15)</f>
        <v/>
      </c>
      <c r="BA15" s="27" t="n"/>
      <c r="BB15" s="62" t="n"/>
      <c r="BC15" s="62" t="n"/>
      <c r="BD15" s="62">
        <f>BC15-BB15</f>
        <v/>
      </c>
      <c r="BE15" s="64">
        <f>IF(BB15=0,"",BC15/BB15)</f>
        <v/>
      </c>
      <c r="BF15" s="31" t="n"/>
      <c r="BG15" s="60" t="n"/>
      <c r="BH15" s="60" t="n"/>
      <c r="BI15" s="60">
        <f>BH15-BG15</f>
        <v/>
      </c>
      <c r="BJ15" s="61">
        <f>IF(BG15=0,"",BH15/BG15)</f>
        <v/>
      </c>
      <c r="BK15" s="27" t="n"/>
      <c r="BL15" s="62" t="n"/>
      <c r="BM15" s="62" t="n"/>
      <c r="BN15" s="62">
        <f>BM15-BL15</f>
        <v/>
      </c>
      <c r="BO15" s="64">
        <f>IF(BL15=0,"",BM15/BL15)</f>
        <v/>
      </c>
      <c r="BP15" s="31" t="n"/>
      <c r="BQ15" s="60" t="n"/>
      <c r="BR15" s="60" t="n"/>
      <c r="BS15" s="60">
        <f>BR15-BQ15</f>
        <v/>
      </c>
      <c r="BT15" s="61">
        <f>IF(BQ15=0,"",BR15/BQ15)</f>
        <v/>
      </c>
      <c r="BU15" s="27" t="n"/>
      <c r="BV15" s="62" t="n"/>
      <c r="BW15" s="62" t="n"/>
      <c r="BX15" s="62">
        <f>BW15-BV15</f>
        <v/>
      </c>
      <c r="BY15" s="64">
        <f>IF(BV15=0,"",BW15/BV15)</f>
        <v/>
      </c>
      <c r="BZ15" s="31" t="n"/>
      <c r="CA15" s="60" t="n"/>
      <c r="CB15" s="60" t="n"/>
      <c r="CC15" s="60">
        <f>CB15-CA15</f>
        <v/>
      </c>
      <c r="CD15" s="61">
        <f>IF(CA15=0,"",CB15/CA15)</f>
        <v/>
      </c>
      <c r="CE15" s="27" t="n"/>
      <c r="CF15" s="62" t="n"/>
      <c r="CG15" s="62" t="n"/>
      <c r="CH15" s="62">
        <f>CG15-CF15</f>
        <v/>
      </c>
      <c r="CI15" s="64">
        <f>IF(CF15=0,"",CG15/CF15)</f>
        <v/>
      </c>
      <c r="CJ15" s="31" t="n"/>
      <c r="CK15" s="60" t="n"/>
      <c r="CL15" s="60" t="n"/>
      <c r="CM15" s="60">
        <f>CL15-CK15</f>
        <v/>
      </c>
      <c r="CN15" s="61">
        <f>IF(CK15=0,"",CL15/CK15)</f>
        <v/>
      </c>
      <c r="CO15" s="27" t="n"/>
      <c r="CP15" s="62" t="n"/>
      <c r="CQ15" s="62" t="n"/>
      <c r="CR15" s="62">
        <f>CQ15-CP15</f>
        <v/>
      </c>
      <c r="CS15" s="64">
        <f>IF(CP15=0,"",CQ15/CP15)</f>
        <v/>
      </c>
      <c r="CT15" s="31" t="n"/>
      <c r="CU15" s="60" t="n"/>
      <c r="CV15" s="60" t="n"/>
      <c r="CW15" s="60">
        <f>CV15-CU15</f>
        <v/>
      </c>
      <c r="CX15" s="61">
        <f>IF(CU15=0,"",CV15/CU15)</f>
        <v/>
      </c>
      <c r="CY15" s="27" t="n"/>
      <c r="CZ15" s="62" t="n"/>
      <c r="DA15" s="62" t="n"/>
      <c r="DB15" s="62">
        <f>DA15-CZ15</f>
        <v/>
      </c>
      <c r="DC15" s="64">
        <f>IF(CZ15=0,"",DA15/CZ15)</f>
        <v/>
      </c>
      <c r="DD15" s="31" t="n"/>
      <c r="DE15" s="60" t="n"/>
      <c r="DF15" s="60" t="n"/>
      <c r="DG15" s="60">
        <f>DF15-DE15</f>
        <v/>
      </c>
      <c r="DH15" s="61">
        <f>IF(DE15=0,"",DF15/DE15)</f>
        <v/>
      </c>
      <c r="DI15" s="27" t="n"/>
      <c r="DJ15" s="62" t="n"/>
      <c r="DK15" s="62" t="n"/>
      <c r="DL15" s="62">
        <f>DK15-DJ15</f>
        <v/>
      </c>
      <c r="DM15" s="64">
        <f>IF(DJ15=0,"",DK15/DJ15)</f>
        <v/>
      </c>
      <c r="DN15" s="31" t="n"/>
      <c r="DO15" s="60" t="n"/>
    </row>
    <row r="16" ht="15" customHeight="1">
      <c r="A16" s="19" t="n"/>
      <c r="B16" s="20" t="n"/>
      <c r="C16" s="19" t="n"/>
      <c r="D16" s="58">
        <f>D17</f>
        <v/>
      </c>
      <c r="E16" s="58">
        <f>E17</f>
        <v/>
      </c>
      <c r="F16" s="58">
        <f>E16-D16</f>
        <v/>
      </c>
      <c r="G16" s="59">
        <f>IF(D16=0,"",E16/D16)</f>
        <v/>
      </c>
      <c r="H16" s="23" t="n"/>
      <c r="I16" s="58">
        <f>I17</f>
        <v/>
      </c>
      <c r="J16" s="58">
        <f>J17</f>
        <v/>
      </c>
      <c r="K16" s="58">
        <f>J16-I16</f>
        <v/>
      </c>
      <c r="L16" s="59">
        <f>IF(I16=0,"",J16/I16)</f>
        <v/>
      </c>
      <c r="M16" s="23" t="n"/>
      <c r="N16" s="58">
        <f>N17</f>
        <v/>
      </c>
      <c r="O16" s="58">
        <f>O17</f>
        <v/>
      </c>
      <c r="P16" s="58">
        <f>O16-N16</f>
        <v/>
      </c>
      <c r="Q16" s="59">
        <f>IF(N16=0,"",O16/N16)</f>
        <v/>
      </c>
      <c r="R16" s="23" t="n"/>
      <c r="S16" s="58">
        <f>S17</f>
        <v/>
      </c>
      <c r="T16" s="58">
        <f>T17</f>
        <v/>
      </c>
      <c r="U16" s="58">
        <f>T16-S16</f>
        <v/>
      </c>
      <c r="V16" s="59">
        <f>IF(S16=0,"",T16/S16)</f>
        <v/>
      </c>
      <c r="W16" s="23" t="n"/>
      <c r="X16" s="58">
        <f>X17</f>
        <v/>
      </c>
      <c r="Y16" s="58">
        <f>Y17</f>
        <v/>
      </c>
      <c r="Z16" s="58">
        <f>Y16-X16</f>
        <v/>
      </c>
      <c r="AA16" s="59">
        <f>IF(X16=0,"",Y16/X16)</f>
        <v/>
      </c>
      <c r="AB16" s="23" t="n"/>
      <c r="AC16" s="58">
        <f>AC17</f>
        <v/>
      </c>
      <c r="AD16" s="58">
        <f>AD17</f>
        <v/>
      </c>
      <c r="AE16" s="58">
        <f>AD16-AC16</f>
        <v/>
      </c>
      <c r="AF16" s="59">
        <f>IF(AC16=0,"",AD16/AC16)</f>
        <v/>
      </c>
      <c r="AG16" s="23" t="n"/>
      <c r="AH16" s="58">
        <f>AH17</f>
        <v/>
      </c>
      <c r="AI16" s="58">
        <f>AI17</f>
        <v/>
      </c>
      <c r="AJ16" s="58">
        <f>AI16-AH16</f>
        <v/>
      </c>
      <c r="AK16" s="59">
        <f>IF(AH16=0,"",AI16/AH16)</f>
        <v/>
      </c>
      <c r="AL16" s="23" t="n"/>
      <c r="AM16" s="58">
        <f>AM17</f>
        <v/>
      </c>
      <c r="AN16" s="58">
        <f>AN17</f>
        <v/>
      </c>
      <c r="AO16" s="58">
        <f>AN16-AM16</f>
        <v/>
      </c>
      <c r="AP16" s="59">
        <f>IF(AM16=0,"",AN16/AM16)</f>
        <v/>
      </c>
      <c r="AQ16" s="23" t="n"/>
      <c r="AR16" s="58">
        <f>AR17</f>
        <v/>
      </c>
      <c r="AS16" s="58">
        <f>AS17</f>
        <v/>
      </c>
      <c r="AT16" s="58">
        <f>AS16-AR16</f>
        <v/>
      </c>
      <c r="AU16" s="59">
        <f>IF(AR16=0,"",AS16/AR16)</f>
        <v/>
      </c>
      <c r="AV16" s="23" t="n"/>
      <c r="AW16" s="58">
        <f>AW17</f>
        <v/>
      </c>
      <c r="AX16" s="58">
        <f>AX17</f>
        <v/>
      </c>
      <c r="AY16" s="58">
        <f>AX16-AW16</f>
        <v/>
      </c>
      <c r="AZ16" s="59">
        <f>IF(AW16=0,"",AX16/AW16)</f>
        <v/>
      </c>
      <c r="BA16" s="23" t="n"/>
      <c r="BB16" s="58">
        <f>BB17</f>
        <v/>
      </c>
      <c r="BC16" s="58">
        <f>BC17</f>
        <v/>
      </c>
      <c r="BD16" s="58">
        <f>BC16-BB16</f>
        <v/>
      </c>
      <c r="BE16" s="59">
        <f>IF(BB16=0,"",BC16/BB16)</f>
        <v/>
      </c>
      <c r="BF16" s="23" t="n"/>
      <c r="BG16" s="58">
        <f>BG17</f>
        <v/>
      </c>
      <c r="BH16" s="58">
        <f>BH17</f>
        <v/>
      </c>
      <c r="BI16" s="58">
        <f>BH16-BG16</f>
        <v/>
      </c>
      <c r="BJ16" s="59">
        <f>IF(BG16=0,"",BH16/BG16)</f>
        <v/>
      </c>
      <c r="BK16" s="23" t="n"/>
      <c r="BL16" s="58">
        <f>BL17</f>
        <v/>
      </c>
      <c r="BM16" s="58">
        <f>BM17</f>
        <v/>
      </c>
      <c r="BN16" s="58">
        <f>BM16-BL16</f>
        <v/>
      </c>
      <c r="BO16" s="59">
        <f>IF(BL16=0,"",BM16/BL16)</f>
        <v/>
      </c>
      <c r="BP16" s="23" t="n"/>
      <c r="BQ16" s="58">
        <f>BQ17</f>
        <v/>
      </c>
      <c r="BR16" s="58">
        <f>BR17</f>
        <v/>
      </c>
      <c r="BS16" s="58">
        <f>BR16-BQ16</f>
        <v/>
      </c>
      <c r="BT16" s="59">
        <f>IF(BQ16=0,"",BR16/BQ16)</f>
        <v/>
      </c>
      <c r="BU16" s="23" t="n"/>
      <c r="BV16" s="58">
        <f>BV17</f>
        <v/>
      </c>
      <c r="BW16" s="58">
        <f>BW17</f>
        <v/>
      </c>
      <c r="BX16" s="58">
        <f>BW16-BV16</f>
        <v/>
      </c>
      <c r="BY16" s="59">
        <f>IF(BV16=0,"",BW16/BV16)</f>
        <v/>
      </c>
      <c r="BZ16" s="23" t="n"/>
      <c r="CA16" s="58">
        <f>CA17</f>
        <v/>
      </c>
      <c r="CB16" s="58">
        <f>CB17</f>
        <v/>
      </c>
      <c r="CC16" s="58">
        <f>CB16-CA16</f>
        <v/>
      </c>
      <c r="CD16" s="59">
        <f>IF(CA16=0,"",CB16/CA16)</f>
        <v/>
      </c>
      <c r="CE16" s="23" t="n"/>
      <c r="CF16" s="58">
        <f>CF17</f>
        <v/>
      </c>
      <c r="CG16" s="58">
        <f>CG17</f>
        <v/>
      </c>
      <c r="CH16" s="58">
        <f>CG16-CF16</f>
        <v/>
      </c>
      <c r="CI16" s="59">
        <f>IF(CF16=0,"",CG16/CF16)</f>
        <v/>
      </c>
      <c r="CJ16" s="23" t="n"/>
      <c r="CK16" s="58">
        <f>CK17</f>
        <v/>
      </c>
      <c r="CL16" s="58">
        <f>CL17</f>
        <v/>
      </c>
      <c r="CM16" s="58">
        <f>CL16-CK16</f>
        <v/>
      </c>
      <c r="CN16" s="59">
        <f>IF(CK16=0,"",CL16/CK16)</f>
        <v/>
      </c>
      <c r="CO16" s="23" t="n"/>
      <c r="CP16" s="58">
        <f>CP17</f>
        <v/>
      </c>
      <c r="CQ16" s="58">
        <f>CQ17</f>
        <v/>
      </c>
      <c r="CR16" s="58">
        <f>CQ16-CP16</f>
        <v/>
      </c>
      <c r="CS16" s="59">
        <f>IF(CP16=0,"",CQ16/CP16)</f>
        <v/>
      </c>
      <c r="CT16" s="23" t="n"/>
      <c r="CU16" s="58">
        <f>CU17</f>
        <v/>
      </c>
      <c r="CV16" s="58">
        <f>CV17</f>
        <v/>
      </c>
      <c r="CW16" s="58">
        <f>CV16-CU16</f>
        <v/>
      </c>
      <c r="CX16" s="59">
        <f>IF(CU16=0,"",CV16/CU16)</f>
        <v/>
      </c>
      <c r="CY16" s="23" t="n"/>
      <c r="CZ16" s="58">
        <f>CZ17</f>
        <v/>
      </c>
      <c r="DA16" s="58">
        <f>DA17</f>
        <v/>
      </c>
      <c r="DB16" s="58">
        <f>DA16-CZ16</f>
        <v/>
      </c>
      <c r="DC16" s="59">
        <f>IF(CZ16=0,"",DA16/CZ16)</f>
        <v/>
      </c>
      <c r="DD16" s="23" t="n"/>
      <c r="DE16" s="58">
        <f>DE17</f>
        <v/>
      </c>
      <c r="DF16" s="58">
        <f>DF17</f>
        <v/>
      </c>
      <c r="DG16" s="58">
        <f>DF16-DE16</f>
        <v/>
      </c>
      <c r="DH16" s="59">
        <f>IF(DE16=0,"",DF16/DE16)</f>
        <v/>
      </c>
      <c r="DI16" s="23" t="n"/>
      <c r="DJ16" s="58">
        <f>DJ17</f>
        <v/>
      </c>
      <c r="DK16" s="58">
        <f>DK17</f>
        <v/>
      </c>
      <c r="DL16" s="58">
        <f>DK16-DJ16</f>
        <v/>
      </c>
      <c r="DM16" s="59">
        <f>IF(DJ16=0,"",DK16/DJ16)</f>
        <v/>
      </c>
      <c r="DN16" s="23" t="n"/>
      <c r="DO16" s="58">
        <f>DO17</f>
        <v/>
      </c>
    </row>
    <row r="17" outlineLevel="1" ht="15" customHeight="1">
      <c r="A17" s="24" t="n"/>
      <c r="B17" s="24" t="n"/>
      <c r="C17" s="24" t="n"/>
      <c r="D17" s="60" t="n"/>
      <c r="E17" s="60" t="n"/>
      <c r="F17" s="60">
        <f>E17-D17</f>
        <v/>
      </c>
      <c r="G17" s="61">
        <f>IF(D17=0,"",E17/D17)</f>
        <v/>
      </c>
      <c r="H17" s="27" t="n"/>
      <c r="I17" s="60" t="n"/>
      <c r="J17" s="60" t="n"/>
      <c r="K17" s="60">
        <f>J17-I17</f>
        <v/>
      </c>
      <c r="L17" s="61">
        <f>IF(I17=0,"",J17/I17)</f>
        <v/>
      </c>
      <c r="M17" s="27" t="n"/>
      <c r="N17" s="62" t="n"/>
      <c r="O17" s="62" t="n"/>
      <c r="P17" s="62">
        <f>O17-N17</f>
        <v/>
      </c>
      <c r="Q17" s="64">
        <f>IF(N17=0,"",O17/N17)</f>
        <v/>
      </c>
      <c r="R17" s="31" t="n"/>
      <c r="S17" s="60" t="n"/>
      <c r="T17" s="60" t="n"/>
      <c r="U17" s="60">
        <f>T17-S17</f>
        <v/>
      </c>
      <c r="V17" s="61">
        <f>IF(S17=0,"",T17/S17)</f>
        <v/>
      </c>
      <c r="W17" s="27" t="n"/>
      <c r="X17" s="62" t="n"/>
      <c r="Y17" s="62" t="n"/>
      <c r="Z17" s="62">
        <f>Y17-X17</f>
        <v/>
      </c>
      <c r="AA17" s="64">
        <f>IF(X17=0,"",Y17/X17)</f>
        <v/>
      </c>
      <c r="AB17" s="31" t="n"/>
      <c r="AC17" s="60" t="n"/>
      <c r="AD17" s="60" t="n"/>
      <c r="AE17" s="60">
        <f>AD17-AC17</f>
        <v/>
      </c>
      <c r="AF17" s="61">
        <f>IF(AC17=0,"",AD17/AC17)</f>
        <v/>
      </c>
      <c r="AG17" s="27" t="n"/>
      <c r="AH17" s="62" t="n"/>
      <c r="AI17" s="62" t="n"/>
      <c r="AJ17" s="62">
        <f>AI17-AH17</f>
        <v/>
      </c>
      <c r="AK17" s="64">
        <f>IF(AH17=0,"",AI17/AH17)</f>
        <v/>
      </c>
      <c r="AL17" s="31" t="n"/>
      <c r="AM17" s="60" t="n"/>
      <c r="AN17" s="60" t="n"/>
      <c r="AO17" s="60">
        <f>AN17-AM17</f>
        <v/>
      </c>
      <c r="AP17" s="61">
        <f>IF(AM17=0,"",AN17/AM17)</f>
        <v/>
      </c>
      <c r="AQ17" s="27" t="n"/>
      <c r="AR17" s="62" t="n"/>
      <c r="AS17" s="62" t="n"/>
      <c r="AT17" s="62">
        <f>AS17-AR17</f>
        <v/>
      </c>
      <c r="AU17" s="64">
        <f>IF(AR17=0,"",AS17/AR17)</f>
        <v/>
      </c>
      <c r="AV17" s="31" t="n"/>
      <c r="AW17" s="60" t="n"/>
      <c r="AX17" s="60" t="n"/>
      <c r="AY17" s="60">
        <f>AX17-AW17</f>
        <v/>
      </c>
      <c r="AZ17" s="61">
        <f>IF(AW17=0,"",AX17/AW17)</f>
        <v/>
      </c>
      <c r="BA17" s="27" t="n"/>
      <c r="BB17" s="62" t="n"/>
      <c r="BC17" s="62" t="n"/>
      <c r="BD17" s="62">
        <f>BC17-BB17</f>
        <v/>
      </c>
      <c r="BE17" s="64">
        <f>IF(BB17=0,"",BC17/BB17)</f>
        <v/>
      </c>
      <c r="BF17" s="31" t="n"/>
      <c r="BG17" s="60" t="n"/>
      <c r="BH17" s="60" t="n"/>
      <c r="BI17" s="60">
        <f>BH17-BG17</f>
        <v/>
      </c>
      <c r="BJ17" s="61">
        <f>IF(BG17=0,"",BH17/BG17)</f>
        <v/>
      </c>
      <c r="BK17" s="27" t="n"/>
      <c r="BL17" s="62" t="n"/>
      <c r="BM17" s="62" t="n"/>
      <c r="BN17" s="62">
        <f>BM17-BL17</f>
        <v/>
      </c>
      <c r="BO17" s="64">
        <f>IF(BL17=0,"",BM17/BL17)</f>
        <v/>
      </c>
      <c r="BP17" s="31" t="n"/>
      <c r="BQ17" s="60" t="n"/>
      <c r="BR17" s="60" t="n"/>
      <c r="BS17" s="60">
        <f>BR17-BQ17</f>
        <v/>
      </c>
      <c r="BT17" s="61">
        <f>IF(BQ17=0,"",BR17/BQ17)</f>
        <v/>
      </c>
      <c r="BU17" s="27" t="n"/>
      <c r="BV17" s="62" t="n"/>
      <c r="BW17" s="62" t="n"/>
      <c r="BX17" s="62">
        <f>BW17-BV17</f>
        <v/>
      </c>
      <c r="BY17" s="64">
        <f>IF(BV17=0,"",BW17/BV17)</f>
        <v/>
      </c>
      <c r="BZ17" s="31" t="n"/>
      <c r="CA17" s="60" t="n"/>
      <c r="CB17" s="60" t="n"/>
      <c r="CC17" s="60">
        <f>CB17-CA17</f>
        <v/>
      </c>
      <c r="CD17" s="61">
        <f>IF(CA17=0,"",CB17/CA17)</f>
        <v/>
      </c>
      <c r="CE17" s="27" t="n"/>
      <c r="CF17" s="62" t="n"/>
      <c r="CG17" s="62" t="n"/>
      <c r="CH17" s="62">
        <f>CG17-CF17</f>
        <v/>
      </c>
      <c r="CI17" s="64">
        <f>IF(CF17=0,"",CG17/CF17)</f>
        <v/>
      </c>
      <c r="CJ17" s="31" t="n"/>
      <c r="CK17" s="60" t="n"/>
      <c r="CL17" s="60" t="n"/>
      <c r="CM17" s="60">
        <f>CL17-CK17</f>
        <v/>
      </c>
      <c r="CN17" s="61">
        <f>IF(CK17=0,"",CL17/CK17)</f>
        <v/>
      </c>
      <c r="CO17" s="27" t="n"/>
      <c r="CP17" s="62" t="n"/>
      <c r="CQ17" s="62" t="n"/>
      <c r="CR17" s="62">
        <f>CQ17-CP17</f>
        <v/>
      </c>
      <c r="CS17" s="64">
        <f>IF(CP17=0,"",CQ17/CP17)</f>
        <v/>
      </c>
      <c r="CT17" s="31" t="n"/>
      <c r="CU17" s="60" t="n"/>
      <c r="CV17" s="60" t="n"/>
      <c r="CW17" s="60">
        <f>CV17-CU17</f>
        <v/>
      </c>
      <c r="CX17" s="61">
        <f>IF(CU17=0,"",CV17/CU17)</f>
        <v/>
      </c>
      <c r="CY17" s="27" t="n"/>
      <c r="CZ17" s="62" t="n"/>
      <c r="DA17" s="62" t="n"/>
      <c r="DB17" s="62">
        <f>DA17-CZ17</f>
        <v/>
      </c>
      <c r="DC17" s="64">
        <f>IF(CZ17=0,"",DA17/CZ17)</f>
        <v/>
      </c>
      <c r="DD17" s="31" t="n"/>
      <c r="DE17" s="60" t="n"/>
      <c r="DF17" s="60" t="n"/>
      <c r="DG17" s="60">
        <f>DF17-DE17</f>
        <v/>
      </c>
      <c r="DH17" s="61">
        <f>IF(DE17=0,"",DF17/DE17)</f>
        <v/>
      </c>
      <c r="DI17" s="27" t="n"/>
      <c r="DJ17" s="62" t="n"/>
      <c r="DK17" s="62" t="n"/>
      <c r="DL17" s="62">
        <f>DK17-DJ17</f>
        <v/>
      </c>
      <c r="DM17" s="64">
        <f>IF(DJ17=0,"",DK17/DJ17)</f>
        <v/>
      </c>
      <c r="DN17" s="31" t="n"/>
      <c r="DO17" s="60" t="n"/>
    </row>
    <row r="18" ht="15" customHeight="1">
      <c r="A18" s="19" t="n"/>
      <c r="B18" s="20" t="n"/>
      <c r="C18" s="19" t="n"/>
      <c r="D18" s="58">
        <f>D19</f>
        <v/>
      </c>
      <c r="E18" s="58">
        <f>E19</f>
        <v/>
      </c>
      <c r="F18" s="58">
        <f>E18-D18</f>
        <v/>
      </c>
      <c r="G18" s="59">
        <f>IF(D18=0,"",E18/D18)</f>
        <v/>
      </c>
      <c r="H18" s="23" t="n"/>
      <c r="I18" s="58">
        <f>I19</f>
        <v/>
      </c>
      <c r="J18" s="58">
        <f>J19</f>
        <v/>
      </c>
      <c r="K18" s="58">
        <f>J18-I18</f>
        <v/>
      </c>
      <c r="L18" s="59">
        <f>IF(I18=0,"",J18/I18)</f>
        <v/>
      </c>
      <c r="M18" s="23" t="n"/>
      <c r="N18" s="58">
        <f>N19</f>
        <v/>
      </c>
      <c r="O18" s="58">
        <f>O19</f>
        <v/>
      </c>
      <c r="P18" s="58">
        <f>O18-N18</f>
        <v/>
      </c>
      <c r="Q18" s="59">
        <f>IF(N18=0,"",O18/N18)</f>
        <v/>
      </c>
      <c r="R18" s="23" t="n"/>
      <c r="S18" s="58">
        <f>S19</f>
        <v/>
      </c>
      <c r="T18" s="58">
        <f>T19</f>
        <v/>
      </c>
      <c r="U18" s="58">
        <f>T18-S18</f>
        <v/>
      </c>
      <c r="V18" s="59">
        <f>IF(S18=0,"",T18/S18)</f>
        <v/>
      </c>
      <c r="W18" s="23" t="n"/>
      <c r="X18" s="58">
        <f>X19</f>
        <v/>
      </c>
      <c r="Y18" s="58">
        <f>Y19</f>
        <v/>
      </c>
      <c r="Z18" s="58">
        <f>Y18-X18</f>
        <v/>
      </c>
      <c r="AA18" s="59">
        <f>IF(X18=0,"",Y18/X18)</f>
        <v/>
      </c>
      <c r="AB18" s="23" t="n"/>
      <c r="AC18" s="58">
        <f>AC19</f>
        <v/>
      </c>
      <c r="AD18" s="58">
        <f>AD19</f>
        <v/>
      </c>
      <c r="AE18" s="58">
        <f>AD18-AC18</f>
        <v/>
      </c>
      <c r="AF18" s="59">
        <f>IF(AC18=0,"",AD18/AC18)</f>
        <v/>
      </c>
      <c r="AG18" s="23" t="n"/>
      <c r="AH18" s="58">
        <f>AH19</f>
        <v/>
      </c>
      <c r="AI18" s="58">
        <f>AI19</f>
        <v/>
      </c>
      <c r="AJ18" s="58">
        <f>AI18-AH18</f>
        <v/>
      </c>
      <c r="AK18" s="59">
        <f>IF(AH18=0,"",AI18/AH18)</f>
        <v/>
      </c>
      <c r="AL18" s="23" t="n"/>
      <c r="AM18" s="58">
        <f>AM19</f>
        <v/>
      </c>
      <c r="AN18" s="58">
        <f>AN19</f>
        <v/>
      </c>
      <c r="AO18" s="58">
        <f>AN18-AM18</f>
        <v/>
      </c>
      <c r="AP18" s="59">
        <f>IF(AM18=0,"",AN18/AM18)</f>
        <v/>
      </c>
      <c r="AQ18" s="23" t="n"/>
      <c r="AR18" s="58">
        <f>AR19</f>
        <v/>
      </c>
      <c r="AS18" s="58">
        <f>AS19</f>
        <v/>
      </c>
      <c r="AT18" s="58">
        <f>AS18-AR18</f>
        <v/>
      </c>
      <c r="AU18" s="59">
        <f>IF(AR18=0,"",AS18/AR18)</f>
        <v/>
      </c>
      <c r="AV18" s="23" t="n"/>
      <c r="AW18" s="58">
        <f>AW19</f>
        <v/>
      </c>
      <c r="AX18" s="58">
        <f>AX19</f>
        <v/>
      </c>
      <c r="AY18" s="58">
        <f>AX18-AW18</f>
        <v/>
      </c>
      <c r="AZ18" s="59">
        <f>IF(AW18=0,"",AX18/AW18)</f>
        <v/>
      </c>
      <c r="BA18" s="23" t="n"/>
      <c r="BB18" s="58">
        <f>BB19</f>
        <v/>
      </c>
      <c r="BC18" s="58">
        <f>BC19</f>
        <v/>
      </c>
      <c r="BD18" s="58">
        <f>BC18-BB18</f>
        <v/>
      </c>
      <c r="BE18" s="59">
        <f>IF(BB18=0,"",BC18/BB18)</f>
        <v/>
      </c>
      <c r="BF18" s="23" t="n"/>
      <c r="BG18" s="58">
        <f>BG19</f>
        <v/>
      </c>
      <c r="BH18" s="58">
        <f>BH19</f>
        <v/>
      </c>
      <c r="BI18" s="58">
        <f>BH18-BG18</f>
        <v/>
      </c>
      <c r="BJ18" s="59">
        <f>IF(BG18=0,"",BH18/BG18)</f>
        <v/>
      </c>
      <c r="BK18" s="23" t="n"/>
      <c r="BL18" s="58">
        <f>BL19</f>
        <v/>
      </c>
      <c r="BM18" s="58">
        <f>BM19</f>
        <v/>
      </c>
      <c r="BN18" s="58">
        <f>BM18-BL18</f>
        <v/>
      </c>
      <c r="BO18" s="59">
        <f>IF(BL18=0,"",BM18/BL18)</f>
        <v/>
      </c>
      <c r="BP18" s="23" t="n"/>
      <c r="BQ18" s="58">
        <f>BQ19</f>
        <v/>
      </c>
      <c r="BR18" s="58">
        <f>BR19</f>
        <v/>
      </c>
      <c r="BS18" s="58">
        <f>BR18-BQ18</f>
        <v/>
      </c>
      <c r="BT18" s="59">
        <f>IF(BQ18=0,"",BR18/BQ18)</f>
        <v/>
      </c>
      <c r="BU18" s="23" t="n"/>
      <c r="BV18" s="58">
        <f>BV19</f>
        <v/>
      </c>
      <c r="BW18" s="58">
        <f>BW19</f>
        <v/>
      </c>
      <c r="BX18" s="58">
        <f>BW18-BV18</f>
        <v/>
      </c>
      <c r="BY18" s="59">
        <f>IF(BV18=0,"",BW18/BV18)</f>
        <v/>
      </c>
      <c r="BZ18" s="23" t="n"/>
      <c r="CA18" s="58">
        <f>CA19</f>
        <v/>
      </c>
      <c r="CB18" s="58">
        <f>CB19</f>
        <v/>
      </c>
      <c r="CC18" s="58">
        <f>CB18-CA18</f>
        <v/>
      </c>
      <c r="CD18" s="59">
        <f>IF(CA18=0,"",CB18/CA18)</f>
        <v/>
      </c>
      <c r="CE18" s="23" t="n"/>
      <c r="CF18" s="58">
        <f>CF19</f>
        <v/>
      </c>
      <c r="CG18" s="58">
        <f>CG19</f>
        <v/>
      </c>
      <c r="CH18" s="58">
        <f>CG18-CF18</f>
        <v/>
      </c>
      <c r="CI18" s="59">
        <f>IF(CF18=0,"",CG18/CF18)</f>
        <v/>
      </c>
      <c r="CJ18" s="23" t="n"/>
      <c r="CK18" s="58">
        <f>CK19</f>
        <v/>
      </c>
      <c r="CL18" s="58">
        <f>CL19</f>
        <v/>
      </c>
      <c r="CM18" s="58">
        <f>CL18-CK18</f>
        <v/>
      </c>
      <c r="CN18" s="59">
        <f>IF(CK18=0,"",CL18/CK18)</f>
        <v/>
      </c>
      <c r="CO18" s="23" t="n"/>
      <c r="CP18" s="58">
        <f>CP19</f>
        <v/>
      </c>
      <c r="CQ18" s="58">
        <f>CQ19</f>
        <v/>
      </c>
      <c r="CR18" s="58">
        <f>CQ18-CP18</f>
        <v/>
      </c>
      <c r="CS18" s="59">
        <f>IF(CP18=0,"",CQ18/CP18)</f>
        <v/>
      </c>
      <c r="CT18" s="23" t="n"/>
      <c r="CU18" s="58">
        <f>CU19</f>
        <v/>
      </c>
      <c r="CV18" s="58">
        <f>CV19</f>
        <v/>
      </c>
      <c r="CW18" s="58">
        <f>CV18-CU18</f>
        <v/>
      </c>
      <c r="CX18" s="59">
        <f>IF(CU18=0,"",CV18/CU18)</f>
        <v/>
      </c>
      <c r="CY18" s="23" t="n"/>
      <c r="CZ18" s="58">
        <f>CZ19</f>
        <v/>
      </c>
      <c r="DA18" s="58">
        <f>DA19</f>
        <v/>
      </c>
      <c r="DB18" s="58">
        <f>DA18-CZ18</f>
        <v/>
      </c>
      <c r="DC18" s="59">
        <f>IF(CZ18=0,"",DA18/CZ18)</f>
        <v/>
      </c>
      <c r="DD18" s="23" t="n"/>
      <c r="DE18" s="58">
        <f>DE19</f>
        <v/>
      </c>
      <c r="DF18" s="58">
        <f>DF19</f>
        <v/>
      </c>
      <c r="DG18" s="58">
        <f>DF18-DE18</f>
        <v/>
      </c>
      <c r="DH18" s="59">
        <f>IF(DE18=0,"",DF18/DE18)</f>
        <v/>
      </c>
      <c r="DI18" s="23" t="n"/>
      <c r="DJ18" s="58">
        <f>DJ19</f>
        <v/>
      </c>
      <c r="DK18" s="58">
        <f>DK19</f>
        <v/>
      </c>
      <c r="DL18" s="58">
        <f>DK18-DJ18</f>
        <v/>
      </c>
      <c r="DM18" s="59">
        <f>IF(DJ18=0,"",DK18/DJ18)</f>
        <v/>
      </c>
      <c r="DN18" s="23" t="n"/>
      <c r="DO18" s="58">
        <f>DO19</f>
        <v/>
      </c>
    </row>
    <row r="19" outlineLevel="1" ht="15" customHeight="1">
      <c r="A19" s="24" t="n"/>
      <c r="B19" s="24" t="n"/>
      <c r="C19" s="24" t="n"/>
      <c r="D19" s="60" t="n"/>
      <c r="E19" s="60" t="n"/>
      <c r="F19" s="60">
        <f>E19-D19</f>
        <v/>
      </c>
      <c r="G19" s="61">
        <f>IF(D19=0,"",E19/D19)</f>
        <v/>
      </c>
      <c r="H19" s="27" t="n"/>
      <c r="I19" s="60" t="n"/>
      <c r="J19" s="60" t="n"/>
      <c r="K19" s="60">
        <f>J19-I19</f>
        <v/>
      </c>
      <c r="L19" s="61">
        <f>IF(I19=0,"",J19/I19)</f>
        <v/>
      </c>
      <c r="M19" s="27" t="n"/>
      <c r="N19" s="62" t="n"/>
      <c r="O19" s="62" t="n"/>
      <c r="P19" s="63">
        <f>O19-N19</f>
        <v/>
      </c>
      <c r="Q19" s="64">
        <f>IF(N19=0,"",O19/N19)</f>
        <v/>
      </c>
      <c r="R19" s="31" t="n"/>
      <c r="S19" s="60" t="n"/>
      <c r="T19" s="60" t="n"/>
      <c r="U19" s="60">
        <f>T19-S19</f>
        <v/>
      </c>
      <c r="V19" s="61">
        <f>IF(S19=0,"",T19/S19)</f>
        <v/>
      </c>
      <c r="W19" s="27" t="n"/>
      <c r="X19" s="62" t="n"/>
      <c r="Y19" s="62" t="n"/>
      <c r="Z19" s="63">
        <f>Y19-X19</f>
        <v/>
      </c>
      <c r="AA19" s="64">
        <f>IF(X19=0,"",Y19/X19)</f>
        <v/>
      </c>
      <c r="AB19" s="31" t="n"/>
      <c r="AC19" s="60" t="n"/>
      <c r="AD19" s="60" t="n"/>
      <c r="AE19" s="60">
        <f>AD19-AC19</f>
        <v/>
      </c>
      <c r="AF19" s="61">
        <f>IF(AC19=0,"",AD19/AC19)</f>
        <v/>
      </c>
      <c r="AG19" s="27" t="n"/>
      <c r="AH19" s="62" t="n"/>
      <c r="AI19" s="62" t="n"/>
      <c r="AJ19" s="62">
        <f>AI19-AH19</f>
        <v/>
      </c>
      <c r="AK19" s="64">
        <f>IF(AH19=0,"",AI19/AH19)</f>
        <v/>
      </c>
      <c r="AL19" s="31" t="n"/>
      <c r="AM19" s="60" t="n"/>
      <c r="AN19" s="60" t="n"/>
      <c r="AO19" s="60">
        <f>AN19-AM19</f>
        <v/>
      </c>
      <c r="AP19" s="61">
        <f>IF(AM19=0,"",AN19/AM19)</f>
        <v/>
      </c>
      <c r="AQ19" s="27" t="n"/>
      <c r="AR19" s="62" t="n"/>
      <c r="AS19" s="62" t="n"/>
      <c r="AT19" s="62">
        <f>AS19-AR19</f>
        <v/>
      </c>
      <c r="AU19" s="64">
        <f>IF(AR19=0,"",AS19/AR19)</f>
        <v/>
      </c>
      <c r="AV19" s="31" t="n"/>
      <c r="AW19" s="60" t="n"/>
      <c r="AX19" s="60" t="n"/>
      <c r="AY19" s="60">
        <f>AX19-AW19</f>
        <v/>
      </c>
      <c r="AZ19" s="61">
        <f>IF(AW19=0,"",AX19/AW19)</f>
        <v/>
      </c>
      <c r="BA19" s="27" t="n"/>
      <c r="BB19" s="62" t="n"/>
      <c r="BC19" s="62" t="n"/>
      <c r="BD19" s="62">
        <f>BC19-BB19</f>
        <v/>
      </c>
      <c r="BE19" s="64">
        <f>IF(BB19=0,"",BC19/BB19)</f>
        <v/>
      </c>
      <c r="BF19" s="31" t="n"/>
      <c r="BG19" s="60" t="n"/>
      <c r="BH19" s="60" t="n"/>
      <c r="BI19" s="60">
        <f>BH19-BG19</f>
        <v/>
      </c>
      <c r="BJ19" s="61">
        <f>IF(BG19=0,"",BH19/BG19)</f>
        <v/>
      </c>
      <c r="BK19" s="27" t="n"/>
      <c r="BL19" s="62" t="n"/>
      <c r="BM19" s="62" t="n"/>
      <c r="BN19" s="62">
        <f>BM19-BL19</f>
        <v/>
      </c>
      <c r="BO19" s="64">
        <f>IF(BL19=0,"",BM19/BL19)</f>
        <v/>
      </c>
      <c r="BP19" s="31" t="n"/>
      <c r="BQ19" s="60" t="n"/>
      <c r="BR19" s="60" t="n"/>
      <c r="BS19" s="60">
        <f>BR19-BQ19</f>
        <v/>
      </c>
      <c r="BT19" s="61">
        <f>IF(BQ19=0,"",BR19/BQ19)</f>
        <v/>
      </c>
      <c r="BU19" s="27" t="n"/>
      <c r="BV19" s="62" t="n"/>
      <c r="BW19" s="62" t="n"/>
      <c r="BX19" s="62">
        <f>BW19-BV19</f>
        <v/>
      </c>
      <c r="BY19" s="64">
        <f>IF(BV19=0,"",BW19/BV19)</f>
        <v/>
      </c>
      <c r="BZ19" s="31" t="n"/>
      <c r="CA19" s="60" t="n"/>
      <c r="CB19" s="60" t="n"/>
      <c r="CC19" s="60">
        <f>CB19-CA19</f>
        <v/>
      </c>
      <c r="CD19" s="61">
        <f>IF(CA19=0,"",CB19/CA19)</f>
        <v/>
      </c>
      <c r="CE19" s="27" t="n"/>
      <c r="CF19" s="62" t="n"/>
      <c r="CG19" s="62" t="n"/>
      <c r="CH19" s="62">
        <f>CG19-CF19</f>
        <v/>
      </c>
      <c r="CI19" s="64">
        <f>IF(CF19=0,"",CG19/CF19)</f>
        <v/>
      </c>
      <c r="CJ19" s="31" t="n"/>
      <c r="CK19" s="60" t="n"/>
      <c r="CL19" s="60" t="n"/>
      <c r="CM19" s="60">
        <f>CL19-CK19</f>
        <v/>
      </c>
      <c r="CN19" s="61">
        <f>IF(CK19=0,"",CL19/CK19)</f>
        <v/>
      </c>
      <c r="CO19" s="27" t="n"/>
      <c r="CP19" s="62" t="n"/>
      <c r="CQ19" s="62" t="n"/>
      <c r="CR19" s="62">
        <f>CQ19-CP19</f>
        <v/>
      </c>
      <c r="CS19" s="64">
        <f>IF(CP19=0,"",CQ19/CP19)</f>
        <v/>
      </c>
      <c r="CT19" s="31" t="n"/>
      <c r="CU19" s="60" t="n"/>
      <c r="CV19" s="60" t="n"/>
      <c r="CW19" s="60">
        <f>CV19-CU19</f>
        <v/>
      </c>
      <c r="CX19" s="61">
        <f>IF(CU19=0,"",CV19/CU19)</f>
        <v/>
      </c>
      <c r="CY19" s="27" t="n"/>
      <c r="CZ19" s="62" t="n"/>
      <c r="DA19" s="62" t="n"/>
      <c r="DB19" s="62">
        <f>DA19-CZ19</f>
        <v/>
      </c>
      <c r="DC19" s="64">
        <f>IF(CZ19=0,"",DA19/CZ19)</f>
        <v/>
      </c>
      <c r="DD19" s="31" t="n"/>
      <c r="DE19" s="60" t="n"/>
      <c r="DF19" s="60" t="n"/>
      <c r="DG19" s="60">
        <f>DF19-DE19</f>
        <v/>
      </c>
      <c r="DH19" s="61">
        <f>IF(DE19=0,"",DF19/DE19)</f>
        <v/>
      </c>
      <c r="DI19" s="27" t="n"/>
      <c r="DJ19" s="62" t="n"/>
      <c r="DK19" s="62" t="n"/>
      <c r="DL19" s="62">
        <f>DK19-DJ19</f>
        <v/>
      </c>
      <c r="DM19" s="64">
        <f>IF(DJ19=0,"",DK19/DJ19)</f>
        <v/>
      </c>
      <c r="DN19" s="31" t="n"/>
      <c r="DO19" s="60" t="n"/>
    </row>
    <row r="20" ht="15" customHeight="1">
      <c r="A20" s="19" t="n"/>
      <c r="B20" s="20" t="n"/>
      <c r="C20" s="19" t="n"/>
      <c r="D20" s="58">
        <f>D21+D22+D23+D24+D25+D26+D27+D28+D29+D30+D31+D32+D33+D34</f>
        <v/>
      </c>
      <c r="E20" s="58">
        <f>E21+E22+E23+E24+E25+E26+E27+E28+E29+E30+E31+E32+E33+E34</f>
        <v/>
      </c>
      <c r="F20" s="58">
        <f>E20-D20</f>
        <v/>
      </c>
      <c r="G20" s="59">
        <f>IF(D20=0,"",E20/D20)</f>
        <v/>
      </c>
      <c r="H20" s="23" t="n"/>
      <c r="I20" s="58">
        <f>I21+I22+I23+I24+I25+I26+I27+I28+I29+I30+I31+I32+I33+I34</f>
        <v/>
      </c>
      <c r="J20" s="58">
        <f>J21+J22+J23+J24+J25+J26+J27+J28+J29+J30+J31+J32+J33+J34</f>
        <v/>
      </c>
      <c r="K20" s="58">
        <f>J20-I20</f>
        <v/>
      </c>
      <c r="L20" s="59">
        <f>IF(I20=0,"",J20/I20)</f>
        <v/>
      </c>
      <c r="M20" s="23" t="n"/>
      <c r="N20" s="58">
        <f>N21+N22+N23+N24+N25+N26+N27+N28+N29+N30+N31+N32+N33+N34</f>
        <v/>
      </c>
      <c r="O20" s="58">
        <f>O21+O22+O23+O24+O25+O26+O27+O28+O29+O30+O31+O32+O33+O34</f>
        <v/>
      </c>
      <c r="P20" s="58">
        <f>O20-N20</f>
        <v/>
      </c>
      <c r="Q20" s="59">
        <f>IF(N20=0,"",O20/N20)</f>
        <v/>
      </c>
      <c r="R20" s="23" t="n"/>
      <c r="S20" s="58">
        <f>S21+S22+S23+S24+S25+S26+S27+S28+S29+S30+S31+S32+S33+S34</f>
        <v/>
      </c>
      <c r="T20" s="58">
        <f>T21+T22+T23+T24+T25+T26+T27+T28+T29+T30+T31+T32+T33+T34</f>
        <v/>
      </c>
      <c r="U20" s="58">
        <f>T20-S20</f>
        <v/>
      </c>
      <c r="V20" s="59">
        <f>IF(S20=0,"",T20/S20)</f>
        <v/>
      </c>
      <c r="W20" s="23" t="n"/>
      <c r="X20" s="58">
        <f>X21+X22+X23+X24+X25+X26+X27+X28+X29+X30+X31+X32+X33+X34</f>
        <v/>
      </c>
      <c r="Y20" s="58">
        <f>Y21+Y22+Y23+Y24+Y25+Y26+Y27+Y28+Y29+Y30+Y31+Y32+Y33+Y34</f>
        <v/>
      </c>
      <c r="Z20" s="58">
        <f>Y20-X20</f>
        <v/>
      </c>
      <c r="AA20" s="59">
        <f>IF(X20=0,"",Y20/X20)</f>
        <v/>
      </c>
      <c r="AB20" s="23" t="n"/>
      <c r="AC20" s="58">
        <f>AC21+AC22+AC23+AC24+AC25+AC26+AC27+AC28+AC29+AC30+AC31+AC32+AC33+AC34</f>
        <v/>
      </c>
      <c r="AD20" s="58">
        <f>AD21+AD22+AD23+AD24+AD25+AD26+AD27+AD28+AD29+AD30+AD31+AD32+AD33+AD34</f>
        <v/>
      </c>
      <c r="AE20" s="58">
        <f>AD20-AC20</f>
        <v/>
      </c>
      <c r="AF20" s="59">
        <f>IF(AC20=0,"",AD20/AC20)</f>
        <v/>
      </c>
      <c r="AG20" s="23" t="n"/>
      <c r="AH20" s="58">
        <f>AH21+AH22+AH23+AH24+AH25+AH26+AH27+AH28+AH29+AH30+AH31+AH32+AH33+AH34</f>
        <v/>
      </c>
      <c r="AI20" s="58">
        <f>AI21+AI22+AI23+AI24+AI25+AI26+AI27+AI28+AI29+AI30+AI31+AI32+AI33+AI34</f>
        <v/>
      </c>
      <c r="AJ20" s="58">
        <f>AI20-AH20</f>
        <v/>
      </c>
      <c r="AK20" s="59">
        <f>IF(AH20=0,"",AI20/AH20)</f>
        <v/>
      </c>
      <c r="AL20" s="23" t="n"/>
      <c r="AM20" s="58">
        <f>AM21+AM22+AM23+AM24+AM25+AM26+AM27+AM28+AM29+AM30+AM31+AM32+AM33+AM34</f>
        <v/>
      </c>
      <c r="AN20" s="58">
        <f>AN21+AN22+AN23+AN24+AN25+AN26+AN27+AN28+AN29+AN30+AN31+AN32+AN33+AN34</f>
        <v/>
      </c>
      <c r="AO20" s="58">
        <f>AN20-AM20</f>
        <v/>
      </c>
      <c r="AP20" s="59">
        <f>IF(AM20=0,"",AN20/AM20)</f>
        <v/>
      </c>
      <c r="AQ20" s="23" t="n"/>
      <c r="AR20" s="58">
        <f>AR21+AR22+AR23+AR24+AR25+AR26+AR27+AR28+AR29+AR30+AR31+AR32+AR33+AR34</f>
        <v/>
      </c>
      <c r="AS20" s="58">
        <f>AS21+AS22+AS23+AS24+AS25+AS26+AS27+AS28+AS29+AS30+AS31+AS32+AS33+AS34</f>
        <v/>
      </c>
      <c r="AT20" s="58">
        <f>AS20-AR20</f>
        <v/>
      </c>
      <c r="AU20" s="59">
        <f>IF(AR20=0,"",AS20/AR20)</f>
        <v/>
      </c>
      <c r="AV20" s="23" t="n"/>
      <c r="AW20" s="58">
        <f>AW21+AW22+AW23+AW24+AW25+AW26+AW27+AW28+AW29+AW30+AW31+AW32+AW33+AW34</f>
        <v/>
      </c>
      <c r="AX20" s="58">
        <f>AX21+AX22+AX23+AX24+AX25+AX26+AX27+AX28+AX29+AX30+AX31+AX32+AX33+AX34</f>
        <v/>
      </c>
      <c r="AY20" s="58">
        <f>AX20-AW20</f>
        <v/>
      </c>
      <c r="AZ20" s="59">
        <f>IF(AW20=0,"",AX20/AW20)</f>
        <v/>
      </c>
      <c r="BA20" s="23" t="n"/>
      <c r="BB20" s="58">
        <f>BB21+BB22+BB23+BB24+BB25+BB26+BB27+BB28+BB29+BB30+BB31+BB32+BB33+BB34</f>
        <v/>
      </c>
      <c r="BC20" s="58">
        <f>BC21+BC22+BC23+BC24+BC25+BC26+BC27+BC28+BC29+BC30+BC31+BC32+BC33+BC34</f>
        <v/>
      </c>
      <c r="BD20" s="58">
        <f>BC20-BB20</f>
        <v/>
      </c>
      <c r="BE20" s="59">
        <f>IF(BB20=0,"",BC20/BB20)</f>
        <v/>
      </c>
      <c r="BF20" s="23" t="n"/>
      <c r="BG20" s="58">
        <f>BG21+BG22+BG23+BG24+BG25+BG26+BG27+BG28+BG29+BG30+BG31+BG32+BG33+BG34</f>
        <v/>
      </c>
      <c r="BH20" s="58">
        <f>BH21+BH22+BH23+BH24+BH25+BH26+BH27+BH28+BH29+BH30+BH31+BH32+BH33+BH34</f>
        <v/>
      </c>
      <c r="BI20" s="58">
        <f>BH20-BG20</f>
        <v/>
      </c>
      <c r="BJ20" s="59">
        <f>IF(BG20=0,"",BH20/BG20)</f>
        <v/>
      </c>
      <c r="BK20" s="23" t="n"/>
      <c r="BL20" s="58">
        <f>BL21+BL22+BL23+BL24+BL25+BL26+BL27+BL28+BL29+BL30+BL31+BL32+BL33+BL34</f>
        <v/>
      </c>
      <c r="BM20" s="58">
        <f>BM21+BM22+BM23+BM24+BM25+BM26+BM27+BM28+BM29+BM30+BM31+BM32+BM33+BM34</f>
        <v/>
      </c>
      <c r="BN20" s="58">
        <f>BM20-BL20</f>
        <v/>
      </c>
      <c r="BO20" s="59">
        <f>IF(BL20=0,"",BM20/BL20)</f>
        <v/>
      </c>
      <c r="BP20" s="23" t="n"/>
      <c r="BQ20" s="58">
        <f>BQ21+BQ22+BQ23+BQ24+BQ25+BQ26+BQ27+BQ28+BQ29+BQ30+BQ31+BQ32+BQ33+BQ34</f>
        <v/>
      </c>
      <c r="BR20" s="58">
        <f>BR21+BR22+BR23+BR24+BR25+BR26+BR27+BR28+BR29+BR30+BR31+BR32+BR33+BR34</f>
        <v/>
      </c>
      <c r="BS20" s="58">
        <f>BR20-BQ20</f>
        <v/>
      </c>
      <c r="BT20" s="59">
        <f>IF(BQ20=0,"",BR20/BQ20)</f>
        <v/>
      </c>
      <c r="BU20" s="23" t="n"/>
      <c r="BV20" s="58">
        <f>BV21+BV22+BV23+BV24+BV25+BV26+BV27+BV28+BV29+BV30+BV31+BV32+BV33+BV34</f>
        <v/>
      </c>
      <c r="BW20" s="58">
        <f>BW21+BW22+BW23+BW24+BW25+BW26+BW27+BW28+BW29+BW30+BW31+BW32+BW33+BW34</f>
        <v/>
      </c>
      <c r="BX20" s="58">
        <f>BW20-BV20</f>
        <v/>
      </c>
      <c r="BY20" s="59">
        <f>IF(BV20=0,"",BW20/BV20)</f>
        <v/>
      </c>
      <c r="BZ20" s="23" t="n"/>
      <c r="CA20" s="58">
        <f>CA21+CA22+CA23+CA24+CA25+CA26+CA27+CA28+CA29+CA30+CA31+CA32+CA33+CA34</f>
        <v/>
      </c>
      <c r="CB20" s="58">
        <f>CB21+CB22+CB23+CB24+CB25+CB26+CB27+CB28+CB29+CB30+CB31+CB32+CB33+CB34</f>
        <v/>
      </c>
      <c r="CC20" s="58">
        <f>CB20-CA20</f>
        <v/>
      </c>
      <c r="CD20" s="59">
        <f>IF(CA20=0,"",CB20/CA20)</f>
        <v/>
      </c>
      <c r="CE20" s="23" t="n"/>
      <c r="CF20" s="58">
        <f>CF21+CF22+CF23+CF24+CF25+CF26+CF27+CF28+CF29+CF30+CF31+CF32+CF33+CF34</f>
        <v/>
      </c>
      <c r="CG20" s="58">
        <f>CG21+CG22+CG23+CG24+CG25+CG26+CG27+CG28+CG29+CG30+CG31+CG32+CG33+CG34</f>
        <v/>
      </c>
      <c r="CH20" s="58">
        <f>CG20-CF20</f>
        <v/>
      </c>
      <c r="CI20" s="59">
        <f>IF(CF20=0,"",CG20/CF20)</f>
        <v/>
      </c>
      <c r="CJ20" s="23" t="n"/>
      <c r="CK20" s="58">
        <f>CK21+CK22+CK23+CK24+CK25+CK26+CK27+CK28+CK29+CK30+CK31+CK32+CK33+CK34</f>
        <v/>
      </c>
      <c r="CL20" s="58">
        <f>CL21+CL22+CL23+CL24+CL25+CL26+CL27+CL28+CL29+CL30+CL31+CL32+CL33+CL34</f>
        <v/>
      </c>
      <c r="CM20" s="58">
        <f>CL20-CK20</f>
        <v/>
      </c>
      <c r="CN20" s="59">
        <f>IF(CK20=0,"",CL20/CK20)</f>
        <v/>
      </c>
      <c r="CO20" s="23" t="n"/>
      <c r="CP20" s="58">
        <f>CP21+CP22+CP23+CP24+CP25+CP26+CP27+CP28+CP29+CP30+CP31+CP32+CP33+CP34</f>
        <v/>
      </c>
      <c r="CQ20" s="58">
        <f>CQ21+CQ22+CQ23+CQ24+CQ25+CQ26+CQ27+CQ28+CQ29+CQ30+CQ31+CQ32+CQ33+CQ34</f>
        <v/>
      </c>
      <c r="CR20" s="58">
        <f>CQ20-CP20</f>
        <v/>
      </c>
      <c r="CS20" s="59">
        <f>IF(CP20=0,"",CQ20/CP20)</f>
        <v/>
      </c>
      <c r="CT20" s="23" t="n"/>
      <c r="CU20" s="58">
        <f>CU21+CU22+CU23+CU24+CU25+CU26+CU27+CU28+CU29+CU30+CU31+CU32+CU33+CU34</f>
        <v/>
      </c>
      <c r="CV20" s="58">
        <f>CV21+CV22+CV23+CV24+CV25+CV26+CV27+CV28+CV29+CV30+CV31+CV32+CV33+CV34</f>
        <v/>
      </c>
      <c r="CW20" s="58">
        <f>CV20-CU20</f>
        <v/>
      </c>
      <c r="CX20" s="59">
        <f>IF(CU20=0,"",CV20/CU20)</f>
        <v/>
      </c>
      <c r="CY20" s="23" t="n"/>
      <c r="CZ20" s="58">
        <f>CZ21+CZ22+CZ23+CZ24+CZ25+CZ26+CZ27+CZ28+CZ29+CZ30+CZ31+CZ32+CZ33+CZ34</f>
        <v/>
      </c>
      <c r="DA20" s="58">
        <f>DA21+DA22+DA23+DA24+DA25+DA26+DA27+DA28+DA29+DA30+DA31+DA32+DA33+DA34</f>
        <v/>
      </c>
      <c r="DB20" s="58">
        <f>DA20-CZ20</f>
        <v/>
      </c>
      <c r="DC20" s="59">
        <f>IF(CZ20=0,"",DA20/CZ20)</f>
        <v/>
      </c>
      <c r="DD20" s="23" t="n"/>
      <c r="DE20" s="58">
        <f>DE21+DE22+DE23+DE24+DE25+DE26+DE27+DE28+DE29+DE30+DE31+DE32+DE33+DE34</f>
        <v/>
      </c>
      <c r="DF20" s="58">
        <f>DF21+DF22+DF23+DF24+DF25+DF26+DF27+DF28+DF29+DF30+DF31+DF32+DF33+DF34</f>
        <v/>
      </c>
      <c r="DG20" s="58">
        <f>DF20-DE20</f>
        <v/>
      </c>
      <c r="DH20" s="59">
        <f>IF(DE20=0,"",DF20/DE20)</f>
        <v/>
      </c>
      <c r="DI20" s="23" t="n"/>
      <c r="DJ20" s="58">
        <f>DJ21+DJ22+DJ23+DJ24+DJ25+DJ26+DJ27+DJ28+DJ29+DJ30+DJ31+DJ32+DJ33+DJ34</f>
        <v/>
      </c>
      <c r="DK20" s="58">
        <f>DK21+DK22+DK23+DK24+DK25+DK26+DK27+DK28+DK29+DK30+DK31+DK32+DK33+DK34</f>
        <v/>
      </c>
      <c r="DL20" s="58">
        <f>DK20-DJ20</f>
        <v/>
      </c>
      <c r="DM20" s="59">
        <f>IF(DJ20=0,"",DK20/DJ20)</f>
        <v/>
      </c>
      <c r="DN20" s="23" t="n"/>
      <c r="DO20" s="58">
        <f>DO21+DO22+DO23+DO24+DO25+DO26+DO27+DO28+DO29+DO30+DO31+DO32+DO33+DO34</f>
        <v/>
      </c>
    </row>
    <row r="21" outlineLevel="1" ht="15" customHeight="1">
      <c r="A21" s="24" t="n"/>
      <c r="B21" s="24" t="n"/>
      <c r="C21" s="24" t="n"/>
      <c r="D21" s="60" t="n"/>
      <c r="E21" s="60" t="n"/>
      <c r="F21" s="60">
        <f>E21-D21</f>
        <v/>
      </c>
      <c r="G21" s="61">
        <f>IF(D21=0,"",E21/D21)</f>
        <v/>
      </c>
      <c r="H21" s="27" t="n"/>
      <c r="I21" s="60" t="n"/>
      <c r="J21" s="60" t="n"/>
      <c r="K21" s="60">
        <f>J21-I21</f>
        <v/>
      </c>
      <c r="L21" s="61">
        <f>IF(I21=0,"",J21/I21)</f>
        <v/>
      </c>
      <c r="M21" s="27" t="n"/>
      <c r="N21" s="62" t="n"/>
      <c r="O21" s="62" t="n"/>
      <c r="P21" s="62">
        <f>O21-N21</f>
        <v/>
      </c>
      <c r="Q21" s="64">
        <f>IF(N21=0,"",O21/N21)</f>
        <v/>
      </c>
      <c r="R21" s="31" t="n"/>
      <c r="S21" s="60" t="n"/>
      <c r="T21" s="60" t="n"/>
      <c r="U21" s="60">
        <f>T21-S21</f>
        <v/>
      </c>
      <c r="V21" s="61">
        <f>IF(S21=0,"",T21/S21)</f>
        <v/>
      </c>
      <c r="W21" s="27" t="n"/>
      <c r="X21" s="62" t="n"/>
      <c r="Y21" s="62" t="n"/>
      <c r="Z21" s="62">
        <f>Y21-X21</f>
        <v/>
      </c>
      <c r="AA21" s="64">
        <f>IF(X21=0,"",Y21/X21)</f>
        <v/>
      </c>
      <c r="AB21" s="31" t="n"/>
      <c r="AC21" s="60" t="n"/>
      <c r="AD21" s="60" t="n"/>
      <c r="AE21" s="60">
        <f>AD21-AC21</f>
        <v/>
      </c>
      <c r="AF21" s="61">
        <f>IF(AC21=0,"",AD21/AC21)</f>
        <v/>
      </c>
      <c r="AG21" s="27" t="n"/>
      <c r="AH21" s="62" t="n"/>
      <c r="AI21" s="62" t="n"/>
      <c r="AJ21" s="62">
        <f>AI21-AH21</f>
        <v/>
      </c>
      <c r="AK21" s="64">
        <f>IF(AH21=0,"",AI21/AH21)</f>
        <v/>
      </c>
      <c r="AL21" s="31" t="n"/>
      <c r="AM21" s="60" t="n"/>
      <c r="AN21" s="60" t="n"/>
      <c r="AO21" s="60">
        <f>AN21-AM21</f>
        <v/>
      </c>
      <c r="AP21" s="61">
        <f>IF(AM21=0,"",AN21/AM21)</f>
        <v/>
      </c>
      <c r="AQ21" s="27" t="n"/>
      <c r="AR21" s="62" t="n"/>
      <c r="AS21" s="62" t="n"/>
      <c r="AT21" s="62">
        <f>AS21-AR21</f>
        <v/>
      </c>
      <c r="AU21" s="64">
        <f>IF(AR21=0,"",AS21/AR21)</f>
        <v/>
      </c>
      <c r="AV21" s="31" t="n"/>
      <c r="AW21" s="60" t="n"/>
      <c r="AX21" s="60" t="n"/>
      <c r="AY21" s="60">
        <f>AX21-AW21</f>
        <v/>
      </c>
      <c r="AZ21" s="61">
        <f>IF(AW21=0,"",AX21/AW21)</f>
        <v/>
      </c>
      <c r="BA21" s="27" t="n"/>
      <c r="BB21" s="62" t="n"/>
      <c r="BC21" s="62" t="n"/>
      <c r="BD21" s="62">
        <f>BC21-BB21</f>
        <v/>
      </c>
      <c r="BE21" s="64">
        <f>IF(BB21=0,"",BC21/BB21)</f>
        <v/>
      </c>
      <c r="BF21" s="31" t="n"/>
      <c r="BG21" s="60" t="n"/>
      <c r="BH21" s="60" t="n"/>
      <c r="BI21" s="60">
        <f>BH21-BG21</f>
        <v/>
      </c>
      <c r="BJ21" s="61">
        <f>IF(BG21=0,"",BH21/BG21)</f>
        <v/>
      </c>
      <c r="BK21" s="27" t="n"/>
      <c r="BL21" s="62" t="n"/>
      <c r="BM21" s="62" t="n"/>
      <c r="BN21" s="62">
        <f>BM21-BL21</f>
        <v/>
      </c>
      <c r="BO21" s="64">
        <f>IF(BL21=0,"",BM21/BL21)</f>
        <v/>
      </c>
      <c r="BP21" s="31" t="n"/>
      <c r="BQ21" s="60" t="n"/>
      <c r="BR21" s="60" t="n"/>
      <c r="BS21" s="60">
        <f>BR21-BQ21</f>
        <v/>
      </c>
      <c r="BT21" s="61">
        <f>IF(BQ21=0,"",BR21/BQ21)</f>
        <v/>
      </c>
      <c r="BU21" s="27" t="n"/>
      <c r="BV21" s="62" t="n"/>
      <c r="BW21" s="62" t="n"/>
      <c r="BX21" s="62">
        <f>BW21-BV21</f>
        <v/>
      </c>
      <c r="BY21" s="64">
        <f>IF(BV21=0,"",BW21/BV21)</f>
        <v/>
      </c>
      <c r="BZ21" s="31" t="n"/>
      <c r="CA21" s="60" t="n"/>
      <c r="CB21" s="60" t="n"/>
      <c r="CC21" s="60">
        <f>CB21-CA21</f>
        <v/>
      </c>
      <c r="CD21" s="61">
        <f>IF(CA21=0,"",CB21/CA21)</f>
        <v/>
      </c>
      <c r="CE21" s="27" t="n"/>
      <c r="CF21" s="62" t="n"/>
      <c r="CG21" s="62" t="n"/>
      <c r="CH21" s="62">
        <f>CG21-CF21</f>
        <v/>
      </c>
      <c r="CI21" s="64">
        <f>IF(CF21=0,"",CG21/CF21)</f>
        <v/>
      </c>
      <c r="CJ21" s="31" t="n"/>
      <c r="CK21" s="60" t="n"/>
      <c r="CL21" s="60" t="n"/>
      <c r="CM21" s="60">
        <f>CL21-CK21</f>
        <v/>
      </c>
      <c r="CN21" s="61">
        <f>IF(CK21=0,"",CL21/CK21)</f>
        <v/>
      </c>
      <c r="CO21" s="27" t="n"/>
      <c r="CP21" s="62" t="n"/>
      <c r="CQ21" s="62" t="n"/>
      <c r="CR21" s="62">
        <f>CQ21-CP21</f>
        <v/>
      </c>
      <c r="CS21" s="64">
        <f>IF(CP21=0,"",CQ21/CP21)</f>
        <v/>
      </c>
      <c r="CT21" s="31" t="n"/>
      <c r="CU21" s="60" t="n"/>
      <c r="CV21" s="60" t="n"/>
      <c r="CW21" s="60">
        <f>CV21-CU21</f>
        <v/>
      </c>
      <c r="CX21" s="61">
        <f>IF(CU21=0,"",CV21/CU21)</f>
        <v/>
      </c>
      <c r="CY21" s="27" t="n"/>
      <c r="CZ21" s="62" t="n"/>
      <c r="DA21" s="62" t="n"/>
      <c r="DB21" s="62">
        <f>DA21-CZ21</f>
        <v/>
      </c>
      <c r="DC21" s="64">
        <f>IF(CZ21=0,"",DA21/CZ21)</f>
        <v/>
      </c>
      <c r="DD21" s="31" t="n"/>
      <c r="DE21" s="60" t="n"/>
      <c r="DF21" s="60" t="n"/>
      <c r="DG21" s="60">
        <f>DF21-DE21</f>
        <v/>
      </c>
      <c r="DH21" s="61">
        <f>IF(DE21=0,"",DF21/DE21)</f>
        <v/>
      </c>
      <c r="DI21" s="27" t="n"/>
      <c r="DJ21" s="62" t="n"/>
      <c r="DK21" s="62" t="n"/>
      <c r="DL21" s="62">
        <f>DK21-DJ21</f>
        <v/>
      </c>
      <c r="DM21" s="64">
        <f>IF(DJ21=0,"",DK21/DJ21)</f>
        <v/>
      </c>
      <c r="DN21" s="31" t="n"/>
      <c r="DO21" s="60" t="n"/>
    </row>
    <row r="22" outlineLevel="1" ht="15" customHeight="1">
      <c r="A22" s="24" t="n"/>
      <c r="B22" s="24" t="n"/>
      <c r="C22" s="24" t="n"/>
      <c r="D22" s="60" t="n"/>
      <c r="E22" s="60" t="n"/>
      <c r="F22" s="60">
        <f>E22-D22</f>
        <v/>
      </c>
      <c r="G22" s="61">
        <f>IF(D22=0,"",E22/D22)</f>
        <v/>
      </c>
      <c r="H22" s="27" t="n"/>
      <c r="I22" s="60" t="n"/>
      <c r="J22" s="60" t="n"/>
      <c r="K22" s="60">
        <f>J22-I22</f>
        <v/>
      </c>
      <c r="L22" s="61">
        <f>IF(I22=0,"",J22/I22)</f>
        <v/>
      </c>
      <c r="M22" s="27" t="n"/>
      <c r="N22" s="62" t="n"/>
      <c r="O22" s="62" t="n"/>
      <c r="P22" s="62">
        <f>O22-N22</f>
        <v/>
      </c>
      <c r="Q22" s="64">
        <f>IF(N22=0,"",O22/N22)</f>
        <v/>
      </c>
      <c r="R22" s="31" t="n"/>
      <c r="S22" s="60" t="n"/>
      <c r="T22" s="60" t="n"/>
      <c r="U22" s="60">
        <f>T22-S22</f>
        <v/>
      </c>
      <c r="V22" s="61">
        <f>IF(S22=0,"",T22/S22)</f>
        <v/>
      </c>
      <c r="W22" s="27" t="n"/>
      <c r="X22" s="62" t="n"/>
      <c r="Y22" s="62" t="n"/>
      <c r="Z22" s="62">
        <f>Y22-X22</f>
        <v/>
      </c>
      <c r="AA22" s="64">
        <f>IF(X22=0,"",Y22/X22)</f>
        <v/>
      </c>
      <c r="AB22" s="31" t="n"/>
      <c r="AC22" s="60" t="n"/>
      <c r="AD22" s="60" t="n"/>
      <c r="AE22" s="60">
        <f>AD22-AC22</f>
        <v/>
      </c>
      <c r="AF22" s="61">
        <f>IF(AC22=0,"",AD22/AC22)</f>
        <v/>
      </c>
      <c r="AG22" s="27" t="n"/>
      <c r="AH22" s="62" t="n"/>
      <c r="AI22" s="62" t="n"/>
      <c r="AJ22" s="62">
        <f>AI22-AH22</f>
        <v/>
      </c>
      <c r="AK22" s="64">
        <f>IF(AH22=0,"",AI22/AH22)</f>
        <v/>
      </c>
      <c r="AL22" s="31" t="n"/>
      <c r="AM22" s="60" t="n"/>
      <c r="AN22" s="60" t="n"/>
      <c r="AO22" s="60">
        <f>AN22-AM22</f>
        <v/>
      </c>
      <c r="AP22" s="61">
        <f>IF(AM22=0,"",AN22/AM22)</f>
        <v/>
      </c>
      <c r="AQ22" s="27" t="n"/>
      <c r="AR22" s="62" t="n"/>
      <c r="AS22" s="62" t="n"/>
      <c r="AT22" s="62">
        <f>AS22-AR22</f>
        <v/>
      </c>
      <c r="AU22" s="64">
        <f>IF(AR22=0,"",AS22/AR22)</f>
        <v/>
      </c>
      <c r="AV22" s="31" t="n"/>
      <c r="AW22" s="60" t="n"/>
      <c r="AX22" s="60" t="n"/>
      <c r="AY22" s="60">
        <f>AX22-AW22</f>
        <v/>
      </c>
      <c r="AZ22" s="61">
        <f>IF(AW22=0,"",AX22/AW22)</f>
        <v/>
      </c>
      <c r="BA22" s="27" t="n"/>
      <c r="BB22" s="62" t="n"/>
      <c r="BC22" s="62" t="n"/>
      <c r="BD22" s="62">
        <f>BC22-BB22</f>
        <v/>
      </c>
      <c r="BE22" s="64">
        <f>IF(BB22=0,"",BC22/BB22)</f>
        <v/>
      </c>
      <c r="BF22" s="31" t="n"/>
      <c r="BG22" s="60" t="n"/>
      <c r="BH22" s="60" t="n"/>
      <c r="BI22" s="60">
        <f>BH22-BG22</f>
        <v/>
      </c>
      <c r="BJ22" s="61">
        <f>IF(BG22=0,"",BH22/BG22)</f>
        <v/>
      </c>
      <c r="BK22" s="27" t="n"/>
      <c r="BL22" s="62" t="n"/>
      <c r="BM22" s="62" t="n"/>
      <c r="BN22" s="62">
        <f>BM22-BL22</f>
        <v/>
      </c>
      <c r="BO22" s="64">
        <f>IF(BL22=0,"",BM22/BL22)</f>
        <v/>
      </c>
      <c r="BP22" s="31" t="n"/>
      <c r="BQ22" s="60" t="n"/>
      <c r="BR22" s="60" t="n"/>
      <c r="BS22" s="60">
        <f>BR22-BQ22</f>
        <v/>
      </c>
      <c r="BT22" s="61">
        <f>IF(BQ22=0,"",BR22/BQ22)</f>
        <v/>
      </c>
      <c r="BU22" s="27" t="n"/>
      <c r="BV22" s="62" t="n"/>
      <c r="BW22" s="62" t="n"/>
      <c r="BX22" s="62">
        <f>BW22-BV22</f>
        <v/>
      </c>
      <c r="BY22" s="64">
        <f>IF(BV22=0,"",BW22/BV22)</f>
        <v/>
      </c>
      <c r="BZ22" s="31" t="n"/>
      <c r="CA22" s="60" t="n"/>
      <c r="CB22" s="60" t="n"/>
      <c r="CC22" s="60">
        <f>CB22-CA22</f>
        <v/>
      </c>
      <c r="CD22" s="61">
        <f>IF(CA22=0,"",CB22/CA22)</f>
        <v/>
      </c>
      <c r="CE22" s="27" t="n"/>
      <c r="CF22" s="62" t="n"/>
      <c r="CG22" s="62" t="n"/>
      <c r="CH22" s="62">
        <f>CG22-CF22</f>
        <v/>
      </c>
      <c r="CI22" s="64">
        <f>IF(CF22=0,"",CG22/CF22)</f>
        <v/>
      </c>
      <c r="CJ22" s="31" t="n"/>
      <c r="CK22" s="60" t="n"/>
      <c r="CL22" s="60" t="n"/>
      <c r="CM22" s="60">
        <f>CL22-CK22</f>
        <v/>
      </c>
      <c r="CN22" s="61">
        <f>IF(CK22=0,"",CL22/CK22)</f>
        <v/>
      </c>
      <c r="CO22" s="27" t="n"/>
      <c r="CP22" s="62" t="n"/>
      <c r="CQ22" s="62" t="n"/>
      <c r="CR22" s="62">
        <f>CQ22-CP22</f>
        <v/>
      </c>
      <c r="CS22" s="64">
        <f>IF(CP22=0,"",CQ22/CP22)</f>
        <v/>
      </c>
      <c r="CT22" s="31" t="n"/>
      <c r="CU22" s="60" t="n"/>
      <c r="CV22" s="60" t="n"/>
      <c r="CW22" s="60">
        <f>CV22-CU22</f>
        <v/>
      </c>
      <c r="CX22" s="61">
        <f>IF(CU22=0,"",CV22/CU22)</f>
        <v/>
      </c>
      <c r="CY22" s="27" t="n"/>
      <c r="CZ22" s="62" t="n"/>
      <c r="DA22" s="62" t="n"/>
      <c r="DB22" s="62">
        <f>DA22-CZ22</f>
        <v/>
      </c>
      <c r="DC22" s="64">
        <f>IF(CZ22=0,"",DA22/CZ22)</f>
        <v/>
      </c>
      <c r="DD22" s="31" t="n"/>
      <c r="DE22" s="60" t="n"/>
      <c r="DF22" s="60" t="n"/>
      <c r="DG22" s="60">
        <f>DF22-DE22</f>
        <v/>
      </c>
      <c r="DH22" s="61">
        <f>IF(DE22=0,"",DF22/DE22)</f>
        <v/>
      </c>
      <c r="DI22" s="27" t="n"/>
      <c r="DJ22" s="62" t="n"/>
      <c r="DK22" s="62" t="n"/>
      <c r="DL22" s="62">
        <f>DK22-DJ22</f>
        <v/>
      </c>
      <c r="DM22" s="64">
        <f>IF(DJ22=0,"",DK22/DJ22)</f>
        <v/>
      </c>
      <c r="DN22" s="31" t="n"/>
      <c r="DO22" s="60" t="n"/>
    </row>
    <row r="23" outlineLevel="1" ht="15" customHeight="1">
      <c r="A23" s="24" t="n"/>
      <c r="B23" s="24" t="n"/>
      <c r="C23" s="24" t="n"/>
      <c r="D23" s="60" t="n"/>
      <c r="E23" s="60" t="n"/>
      <c r="F23" s="60">
        <f>E23-D23</f>
        <v/>
      </c>
      <c r="G23" s="61">
        <f>IF(D23=0,"",E23/D23)</f>
        <v/>
      </c>
      <c r="H23" s="27" t="n"/>
      <c r="I23" s="60" t="n"/>
      <c r="J23" s="60" t="n"/>
      <c r="K23" s="60">
        <f>J23-I23</f>
        <v/>
      </c>
      <c r="L23" s="61">
        <f>IF(I23=0,"",J23/I23)</f>
        <v/>
      </c>
      <c r="M23" s="27" t="n"/>
      <c r="N23" s="62" t="n"/>
      <c r="O23" s="62" t="n"/>
      <c r="P23" s="62">
        <f>O23-N23</f>
        <v/>
      </c>
      <c r="Q23" s="64">
        <f>IF(N23=0,"",O23/N23)</f>
        <v/>
      </c>
      <c r="R23" s="31" t="n"/>
      <c r="S23" s="60" t="n"/>
      <c r="T23" s="60" t="n"/>
      <c r="U23" s="60">
        <f>T23-S23</f>
        <v/>
      </c>
      <c r="V23" s="61">
        <f>IF(S23=0,"",T23/S23)</f>
        <v/>
      </c>
      <c r="W23" s="27" t="n"/>
      <c r="X23" s="62" t="n"/>
      <c r="Y23" s="62" t="n"/>
      <c r="Z23" s="62">
        <f>Y23-X23</f>
        <v/>
      </c>
      <c r="AA23" s="64">
        <f>IF(X23=0,"",Y23/X23)</f>
        <v/>
      </c>
      <c r="AB23" s="31" t="n"/>
      <c r="AC23" s="60" t="n"/>
      <c r="AD23" s="60" t="n"/>
      <c r="AE23" s="60">
        <f>AD23-AC23</f>
        <v/>
      </c>
      <c r="AF23" s="61">
        <f>IF(AC23=0,"",AD23/AC23)</f>
        <v/>
      </c>
      <c r="AG23" s="27" t="n"/>
      <c r="AH23" s="62" t="n"/>
      <c r="AI23" s="62" t="n"/>
      <c r="AJ23" s="62">
        <f>AI23-AH23</f>
        <v/>
      </c>
      <c r="AK23" s="64">
        <f>IF(AH23=0,"",AI23/AH23)</f>
        <v/>
      </c>
      <c r="AL23" s="31" t="n"/>
      <c r="AM23" s="60" t="n"/>
      <c r="AN23" s="60" t="n"/>
      <c r="AO23" s="60">
        <f>AN23-AM23</f>
        <v/>
      </c>
      <c r="AP23" s="61">
        <f>IF(AM23=0,"",AN23/AM23)</f>
        <v/>
      </c>
      <c r="AQ23" s="27" t="n"/>
      <c r="AR23" s="62" t="n"/>
      <c r="AS23" s="62" t="n"/>
      <c r="AT23" s="62">
        <f>AS23-AR23</f>
        <v/>
      </c>
      <c r="AU23" s="64">
        <f>IF(AR23=0,"",AS23/AR23)</f>
        <v/>
      </c>
      <c r="AV23" s="31" t="n"/>
      <c r="AW23" s="60" t="n"/>
      <c r="AX23" s="60" t="n"/>
      <c r="AY23" s="60">
        <f>AX23-AW23</f>
        <v/>
      </c>
      <c r="AZ23" s="61">
        <f>IF(AW23=0,"",AX23/AW23)</f>
        <v/>
      </c>
      <c r="BA23" s="27" t="n"/>
      <c r="BB23" s="62" t="n"/>
      <c r="BC23" s="62" t="n"/>
      <c r="BD23" s="62">
        <f>BC23-BB23</f>
        <v/>
      </c>
      <c r="BE23" s="64">
        <f>IF(BB23=0,"",BC23/BB23)</f>
        <v/>
      </c>
      <c r="BF23" s="31" t="n"/>
      <c r="BG23" s="60" t="n"/>
      <c r="BH23" s="60" t="n"/>
      <c r="BI23" s="60">
        <f>BH23-BG23</f>
        <v/>
      </c>
      <c r="BJ23" s="61">
        <f>IF(BG23=0,"",BH23/BG23)</f>
        <v/>
      </c>
      <c r="BK23" s="27" t="n"/>
      <c r="BL23" s="62" t="n"/>
      <c r="BM23" s="62" t="n"/>
      <c r="BN23" s="62">
        <f>BM23-BL23</f>
        <v/>
      </c>
      <c r="BO23" s="64">
        <f>IF(BL23=0,"",BM23/BL23)</f>
        <v/>
      </c>
      <c r="BP23" s="31" t="n"/>
      <c r="BQ23" s="60" t="n"/>
      <c r="BR23" s="60" t="n"/>
      <c r="BS23" s="60">
        <f>BR23-BQ23</f>
        <v/>
      </c>
      <c r="BT23" s="61">
        <f>IF(BQ23=0,"",BR23/BQ23)</f>
        <v/>
      </c>
      <c r="BU23" s="27" t="n"/>
      <c r="BV23" s="62" t="n"/>
      <c r="BW23" s="62" t="n"/>
      <c r="BX23" s="62">
        <f>BW23-BV23</f>
        <v/>
      </c>
      <c r="BY23" s="64">
        <f>IF(BV23=0,"",BW23/BV23)</f>
        <v/>
      </c>
      <c r="BZ23" s="31" t="n"/>
      <c r="CA23" s="60" t="n"/>
      <c r="CB23" s="60" t="n"/>
      <c r="CC23" s="60">
        <f>CB23-CA23</f>
        <v/>
      </c>
      <c r="CD23" s="61">
        <f>IF(CA23=0,"",CB23/CA23)</f>
        <v/>
      </c>
      <c r="CE23" s="27" t="n"/>
      <c r="CF23" s="62" t="n"/>
      <c r="CG23" s="62" t="n"/>
      <c r="CH23" s="62">
        <f>CG23-CF23</f>
        <v/>
      </c>
      <c r="CI23" s="64">
        <f>IF(CF23=0,"",CG23/CF23)</f>
        <v/>
      </c>
      <c r="CJ23" s="31" t="n"/>
      <c r="CK23" s="60" t="n"/>
      <c r="CL23" s="60" t="n"/>
      <c r="CM23" s="60">
        <f>CL23-CK23</f>
        <v/>
      </c>
      <c r="CN23" s="61">
        <f>IF(CK23=0,"",CL23/CK23)</f>
        <v/>
      </c>
      <c r="CO23" s="27" t="n"/>
      <c r="CP23" s="62" t="n"/>
      <c r="CQ23" s="62" t="n"/>
      <c r="CR23" s="62">
        <f>CQ23-CP23</f>
        <v/>
      </c>
      <c r="CS23" s="64">
        <f>IF(CP23=0,"",CQ23/CP23)</f>
        <v/>
      </c>
      <c r="CT23" s="31" t="n"/>
      <c r="CU23" s="60" t="n"/>
      <c r="CV23" s="60" t="n"/>
      <c r="CW23" s="60">
        <f>CV23-CU23</f>
        <v/>
      </c>
      <c r="CX23" s="61">
        <f>IF(CU23=0,"",CV23/CU23)</f>
        <v/>
      </c>
      <c r="CY23" s="27" t="n"/>
      <c r="CZ23" s="62" t="n"/>
      <c r="DA23" s="62" t="n"/>
      <c r="DB23" s="62">
        <f>DA23-CZ23</f>
        <v/>
      </c>
      <c r="DC23" s="64">
        <f>IF(CZ23=0,"",DA23/CZ23)</f>
        <v/>
      </c>
      <c r="DD23" s="31" t="n"/>
      <c r="DE23" s="60" t="n"/>
      <c r="DF23" s="60" t="n"/>
      <c r="DG23" s="60">
        <f>DF23-DE23</f>
        <v/>
      </c>
      <c r="DH23" s="61">
        <f>IF(DE23=0,"",DF23/DE23)</f>
        <v/>
      </c>
      <c r="DI23" s="27" t="n"/>
      <c r="DJ23" s="62" t="n"/>
      <c r="DK23" s="62" t="n"/>
      <c r="DL23" s="62">
        <f>DK23-DJ23</f>
        <v/>
      </c>
      <c r="DM23" s="64">
        <f>IF(DJ23=0,"",DK23/DJ23)</f>
        <v/>
      </c>
      <c r="DN23" s="31" t="n"/>
      <c r="DO23" s="60" t="n"/>
    </row>
    <row r="24" outlineLevel="1" ht="15" customHeight="1">
      <c r="A24" s="24" t="n"/>
      <c r="B24" s="24" t="n"/>
      <c r="C24" s="24" t="n"/>
      <c r="D24" s="60" t="n"/>
      <c r="E24" s="60" t="n"/>
      <c r="F24" s="60">
        <f>E24-D24</f>
        <v/>
      </c>
      <c r="G24" s="61">
        <f>IF(D24=0,"",E24/D24)</f>
        <v/>
      </c>
      <c r="H24" s="27" t="n"/>
      <c r="I24" s="60" t="n"/>
      <c r="J24" s="60" t="n"/>
      <c r="K24" s="60">
        <f>J24-I24</f>
        <v/>
      </c>
      <c r="L24" s="61">
        <f>IF(I24=0,"",J24/I24)</f>
        <v/>
      </c>
      <c r="M24" s="27" t="n"/>
      <c r="N24" s="62" t="n"/>
      <c r="O24" s="62" t="n"/>
      <c r="P24" s="62">
        <f>O24-N24</f>
        <v/>
      </c>
      <c r="Q24" s="64">
        <f>IF(N24=0,"",O24/N24)</f>
        <v/>
      </c>
      <c r="R24" s="31" t="n"/>
      <c r="S24" s="60" t="n"/>
      <c r="T24" s="60" t="n"/>
      <c r="U24" s="60">
        <f>T24-S24</f>
        <v/>
      </c>
      <c r="V24" s="61">
        <f>IF(S24=0,"",T24/S24)</f>
        <v/>
      </c>
      <c r="W24" s="27" t="n"/>
      <c r="X24" s="62" t="n"/>
      <c r="Y24" s="62" t="n"/>
      <c r="Z24" s="62">
        <f>Y24-X24</f>
        <v/>
      </c>
      <c r="AA24" s="64">
        <f>IF(X24=0,"",Y24/X24)</f>
        <v/>
      </c>
      <c r="AB24" s="31" t="n"/>
      <c r="AC24" s="60" t="n"/>
      <c r="AD24" s="60" t="n"/>
      <c r="AE24" s="60">
        <f>AD24-AC24</f>
        <v/>
      </c>
      <c r="AF24" s="61">
        <f>IF(AC24=0,"",AD24/AC24)</f>
        <v/>
      </c>
      <c r="AG24" s="27" t="n"/>
      <c r="AH24" s="62" t="n"/>
      <c r="AI24" s="62" t="n"/>
      <c r="AJ24" s="62">
        <f>AI24-AH24</f>
        <v/>
      </c>
      <c r="AK24" s="64">
        <f>IF(AH24=0,"",AI24/AH24)</f>
        <v/>
      </c>
      <c r="AL24" s="31" t="n"/>
      <c r="AM24" s="60" t="n"/>
      <c r="AN24" s="60" t="n"/>
      <c r="AO24" s="60">
        <f>AN24-AM24</f>
        <v/>
      </c>
      <c r="AP24" s="61">
        <f>IF(AM24=0,"",AN24/AM24)</f>
        <v/>
      </c>
      <c r="AQ24" s="27" t="n"/>
      <c r="AR24" s="62" t="n"/>
      <c r="AS24" s="62" t="n"/>
      <c r="AT24" s="62">
        <f>AS24-AR24</f>
        <v/>
      </c>
      <c r="AU24" s="64">
        <f>IF(AR24=0,"",AS24/AR24)</f>
        <v/>
      </c>
      <c r="AV24" s="31" t="n"/>
      <c r="AW24" s="60" t="n"/>
      <c r="AX24" s="60" t="n"/>
      <c r="AY24" s="60">
        <f>AX24-AW24</f>
        <v/>
      </c>
      <c r="AZ24" s="61">
        <f>IF(AW24=0,"",AX24/AW24)</f>
        <v/>
      </c>
      <c r="BA24" s="27" t="n"/>
      <c r="BB24" s="62" t="n"/>
      <c r="BC24" s="62" t="n"/>
      <c r="BD24" s="62">
        <f>BC24-BB24</f>
        <v/>
      </c>
      <c r="BE24" s="64">
        <f>IF(BB24=0,"",BC24/BB24)</f>
        <v/>
      </c>
      <c r="BF24" s="31" t="n"/>
      <c r="BG24" s="60" t="n"/>
      <c r="BH24" s="60" t="n"/>
      <c r="BI24" s="60">
        <f>BH24-BG24</f>
        <v/>
      </c>
      <c r="BJ24" s="61">
        <f>IF(BG24=0,"",BH24/BG24)</f>
        <v/>
      </c>
      <c r="BK24" s="27" t="n"/>
      <c r="BL24" s="62" t="n"/>
      <c r="BM24" s="62" t="n"/>
      <c r="BN24" s="62">
        <f>BM24-BL24</f>
        <v/>
      </c>
      <c r="BO24" s="64">
        <f>IF(BL24=0,"",BM24/BL24)</f>
        <v/>
      </c>
      <c r="BP24" s="31" t="n"/>
      <c r="BQ24" s="60" t="n"/>
      <c r="BR24" s="60" t="n"/>
      <c r="BS24" s="60">
        <f>BR24-BQ24</f>
        <v/>
      </c>
      <c r="BT24" s="61">
        <f>IF(BQ24=0,"",BR24/BQ24)</f>
        <v/>
      </c>
      <c r="BU24" s="27" t="n"/>
      <c r="BV24" s="62" t="n"/>
      <c r="BW24" s="62" t="n"/>
      <c r="BX24" s="62">
        <f>BW24-BV24</f>
        <v/>
      </c>
      <c r="BY24" s="64">
        <f>IF(BV24=0,"",BW24/BV24)</f>
        <v/>
      </c>
      <c r="BZ24" s="31" t="n"/>
      <c r="CA24" s="60" t="n"/>
      <c r="CB24" s="60" t="n"/>
      <c r="CC24" s="60">
        <f>CB24-CA24</f>
        <v/>
      </c>
      <c r="CD24" s="61">
        <f>IF(CA24=0,"",CB24/CA24)</f>
        <v/>
      </c>
      <c r="CE24" s="27" t="n"/>
      <c r="CF24" s="62" t="n"/>
      <c r="CG24" s="62" t="n"/>
      <c r="CH24" s="62">
        <f>CG24-CF24</f>
        <v/>
      </c>
      <c r="CI24" s="64">
        <f>IF(CF24=0,"",CG24/CF24)</f>
        <v/>
      </c>
      <c r="CJ24" s="31" t="n"/>
      <c r="CK24" s="60" t="n"/>
      <c r="CL24" s="60" t="n"/>
      <c r="CM24" s="60">
        <f>CL24-CK24</f>
        <v/>
      </c>
      <c r="CN24" s="61">
        <f>IF(CK24=0,"",CL24/CK24)</f>
        <v/>
      </c>
      <c r="CO24" s="27" t="n"/>
      <c r="CP24" s="62" t="n"/>
      <c r="CQ24" s="62" t="n"/>
      <c r="CR24" s="62">
        <f>CQ24-CP24</f>
        <v/>
      </c>
      <c r="CS24" s="64">
        <f>IF(CP24=0,"",CQ24/CP24)</f>
        <v/>
      </c>
      <c r="CT24" s="31" t="n"/>
      <c r="CU24" s="60" t="n"/>
      <c r="CV24" s="60" t="n"/>
      <c r="CW24" s="60">
        <f>CV24-CU24</f>
        <v/>
      </c>
      <c r="CX24" s="61">
        <f>IF(CU24=0,"",CV24/CU24)</f>
        <v/>
      </c>
      <c r="CY24" s="27" t="n"/>
      <c r="CZ24" s="62" t="n"/>
      <c r="DA24" s="62" t="n"/>
      <c r="DB24" s="62">
        <f>DA24-CZ24</f>
        <v/>
      </c>
      <c r="DC24" s="64">
        <f>IF(CZ24=0,"",DA24/CZ24)</f>
        <v/>
      </c>
      <c r="DD24" s="31" t="n"/>
      <c r="DE24" s="60" t="n"/>
      <c r="DF24" s="60" t="n"/>
      <c r="DG24" s="60">
        <f>DF24-DE24</f>
        <v/>
      </c>
      <c r="DH24" s="61">
        <f>IF(DE24=0,"",DF24/DE24)</f>
        <v/>
      </c>
      <c r="DI24" s="27" t="n"/>
      <c r="DJ24" s="62" t="n"/>
      <c r="DK24" s="62" t="n"/>
      <c r="DL24" s="62">
        <f>DK24-DJ24</f>
        <v/>
      </c>
      <c r="DM24" s="64">
        <f>IF(DJ24=0,"",DK24/DJ24)</f>
        <v/>
      </c>
      <c r="DN24" s="31" t="n"/>
      <c r="DO24" s="60" t="n"/>
    </row>
    <row r="25" outlineLevel="1" ht="15" customHeight="1">
      <c r="A25" s="24" t="n"/>
      <c r="B25" s="24" t="n"/>
      <c r="C25" s="24" t="n"/>
      <c r="D25" s="60" t="n"/>
      <c r="E25" s="60" t="n"/>
      <c r="F25" s="60">
        <f>E25-D25</f>
        <v/>
      </c>
      <c r="G25" s="61">
        <f>IF(D25=0,"",E25/D25)</f>
        <v/>
      </c>
      <c r="H25" s="27" t="n"/>
      <c r="I25" s="60" t="n"/>
      <c r="J25" s="60" t="n"/>
      <c r="K25" s="60">
        <f>J25-I25</f>
        <v/>
      </c>
      <c r="L25" s="61">
        <f>IF(I25=0,"",J25/I25)</f>
        <v/>
      </c>
      <c r="M25" s="27" t="n"/>
      <c r="N25" s="62" t="n"/>
      <c r="O25" s="62" t="n"/>
      <c r="P25" s="62">
        <f>O25-N25</f>
        <v/>
      </c>
      <c r="Q25" s="64">
        <f>IF(N25=0,"",O25/N25)</f>
        <v/>
      </c>
      <c r="R25" s="31" t="n"/>
      <c r="S25" s="60" t="n"/>
      <c r="T25" s="60" t="n"/>
      <c r="U25" s="60">
        <f>T25-S25</f>
        <v/>
      </c>
      <c r="V25" s="61">
        <f>IF(S25=0,"",T25/S25)</f>
        <v/>
      </c>
      <c r="W25" s="27" t="n"/>
      <c r="X25" s="62" t="n"/>
      <c r="Y25" s="62" t="n"/>
      <c r="Z25" s="62">
        <f>Y25-X25</f>
        <v/>
      </c>
      <c r="AA25" s="64">
        <f>IF(X25=0,"",Y25/X25)</f>
        <v/>
      </c>
      <c r="AB25" s="31" t="n"/>
      <c r="AC25" s="60" t="n"/>
      <c r="AD25" s="60" t="n"/>
      <c r="AE25" s="60">
        <f>AD25-AC25</f>
        <v/>
      </c>
      <c r="AF25" s="61">
        <f>IF(AC25=0,"",AD25/AC25)</f>
        <v/>
      </c>
      <c r="AG25" s="27" t="n"/>
      <c r="AH25" s="62" t="n"/>
      <c r="AI25" s="62" t="n"/>
      <c r="AJ25" s="62">
        <f>AI25-AH25</f>
        <v/>
      </c>
      <c r="AK25" s="64">
        <f>IF(AH25=0,"",AI25/AH25)</f>
        <v/>
      </c>
      <c r="AL25" s="31" t="n"/>
      <c r="AM25" s="60" t="n"/>
      <c r="AN25" s="60" t="n"/>
      <c r="AO25" s="60">
        <f>AN25-AM25</f>
        <v/>
      </c>
      <c r="AP25" s="61">
        <f>IF(AM25=0,"",AN25/AM25)</f>
        <v/>
      </c>
      <c r="AQ25" s="27" t="n"/>
      <c r="AR25" s="62" t="n"/>
      <c r="AS25" s="62" t="n"/>
      <c r="AT25" s="62">
        <f>AS25-AR25</f>
        <v/>
      </c>
      <c r="AU25" s="64">
        <f>IF(AR25=0,"",AS25/AR25)</f>
        <v/>
      </c>
      <c r="AV25" s="31" t="n"/>
      <c r="AW25" s="60" t="n"/>
      <c r="AX25" s="60" t="n"/>
      <c r="AY25" s="60">
        <f>AX25-AW25</f>
        <v/>
      </c>
      <c r="AZ25" s="61">
        <f>IF(AW25=0,"",AX25/AW25)</f>
        <v/>
      </c>
      <c r="BA25" s="27" t="n"/>
      <c r="BB25" s="62" t="n"/>
      <c r="BC25" s="62" t="n"/>
      <c r="BD25" s="62">
        <f>BC25-BB25</f>
        <v/>
      </c>
      <c r="BE25" s="64">
        <f>IF(BB25=0,"",BC25/BB25)</f>
        <v/>
      </c>
      <c r="BF25" s="31" t="n"/>
      <c r="BG25" s="60" t="n"/>
      <c r="BH25" s="60" t="n"/>
      <c r="BI25" s="60">
        <f>BH25-BG25</f>
        <v/>
      </c>
      <c r="BJ25" s="61">
        <f>IF(BG25=0,"",BH25/BG25)</f>
        <v/>
      </c>
      <c r="BK25" s="27" t="n"/>
      <c r="BL25" s="62" t="n"/>
      <c r="BM25" s="62" t="n"/>
      <c r="BN25" s="62">
        <f>BM25-BL25</f>
        <v/>
      </c>
      <c r="BO25" s="64">
        <f>IF(BL25=0,"",BM25/BL25)</f>
        <v/>
      </c>
      <c r="BP25" s="31" t="n"/>
      <c r="BQ25" s="60" t="n"/>
      <c r="BR25" s="60" t="n"/>
      <c r="BS25" s="60">
        <f>BR25-BQ25</f>
        <v/>
      </c>
      <c r="BT25" s="61">
        <f>IF(BQ25=0,"",BR25/BQ25)</f>
        <v/>
      </c>
      <c r="BU25" s="27" t="n"/>
      <c r="BV25" s="62" t="n"/>
      <c r="BW25" s="62" t="n"/>
      <c r="BX25" s="62">
        <f>BW25-BV25</f>
        <v/>
      </c>
      <c r="BY25" s="64">
        <f>IF(BV25=0,"",BW25/BV25)</f>
        <v/>
      </c>
      <c r="BZ25" s="31" t="n"/>
      <c r="CA25" s="60" t="n"/>
      <c r="CB25" s="60" t="n"/>
      <c r="CC25" s="60">
        <f>CB25-CA25</f>
        <v/>
      </c>
      <c r="CD25" s="61">
        <f>IF(CA25=0,"",CB25/CA25)</f>
        <v/>
      </c>
      <c r="CE25" s="27" t="n"/>
      <c r="CF25" s="62" t="n"/>
      <c r="CG25" s="62" t="n"/>
      <c r="CH25" s="62">
        <f>CG25-CF25</f>
        <v/>
      </c>
      <c r="CI25" s="64">
        <f>IF(CF25=0,"",CG25/CF25)</f>
        <v/>
      </c>
      <c r="CJ25" s="31" t="n"/>
      <c r="CK25" s="60" t="n"/>
      <c r="CL25" s="60" t="n"/>
      <c r="CM25" s="60">
        <f>CL25-CK25</f>
        <v/>
      </c>
      <c r="CN25" s="61">
        <f>IF(CK25=0,"",CL25/CK25)</f>
        <v/>
      </c>
      <c r="CO25" s="27" t="n"/>
      <c r="CP25" s="62" t="n"/>
      <c r="CQ25" s="62" t="n"/>
      <c r="CR25" s="62">
        <f>CQ25-CP25</f>
        <v/>
      </c>
      <c r="CS25" s="64">
        <f>IF(CP25=0,"",CQ25/CP25)</f>
        <v/>
      </c>
      <c r="CT25" s="31" t="n"/>
      <c r="CU25" s="60" t="n"/>
      <c r="CV25" s="60" t="n"/>
      <c r="CW25" s="60">
        <f>CV25-CU25</f>
        <v/>
      </c>
      <c r="CX25" s="61">
        <f>IF(CU25=0,"",CV25/CU25)</f>
        <v/>
      </c>
      <c r="CY25" s="27" t="n"/>
      <c r="CZ25" s="62" t="n"/>
      <c r="DA25" s="62" t="n"/>
      <c r="DB25" s="62">
        <f>DA25-CZ25</f>
        <v/>
      </c>
      <c r="DC25" s="64">
        <f>IF(CZ25=0,"",DA25/CZ25)</f>
        <v/>
      </c>
      <c r="DD25" s="31" t="n"/>
      <c r="DE25" s="60" t="n"/>
      <c r="DF25" s="60" t="n"/>
      <c r="DG25" s="60">
        <f>DF25-DE25</f>
        <v/>
      </c>
      <c r="DH25" s="61">
        <f>IF(DE25=0,"",DF25/DE25)</f>
        <v/>
      </c>
      <c r="DI25" s="27" t="n"/>
      <c r="DJ25" s="62" t="n"/>
      <c r="DK25" s="62" t="n"/>
      <c r="DL25" s="62">
        <f>DK25-DJ25</f>
        <v/>
      </c>
      <c r="DM25" s="64">
        <f>IF(DJ25=0,"",DK25/DJ25)</f>
        <v/>
      </c>
      <c r="DN25" s="31" t="n"/>
      <c r="DO25" s="60" t="n"/>
    </row>
    <row r="26" outlineLevel="1" ht="15" customHeight="1">
      <c r="A26" s="24" t="n"/>
      <c r="B26" s="24" t="n"/>
      <c r="C26" s="24" t="n"/>
      <c r="D26" s="60" t="n"/>
      <c r="E26" s="60" t="n"/>
      <c r="F26" s="60">
        <f>E26-D26</f>
        <v/>
      </c>
      <c r="G26" s="61">
        <f>IF(D26=0,"",E26/D26)</f>
        <v/>
      </c>
      <c r="H26" s="27" t="n"/>
      <c r="I26" s="60" t="n"/>
      <c r="J26" s="60" t="n"/>
      <c r="K26" s="60">
        <f>J26-I26</f>
        <v/>
      </c>
      <c r="L26" s="61">
        <f>IF(I26=0,"",J26/I26)</f>
        <v/>
      </c>
      <c r="M26" s="27" t="n"/>
      <c r="N26" s="62" t="n"/>
      <c r="O26" s="62" t="n"/>
      <c r="P26" s="62">
        <f>O26-N26</f>
        <v/>
      </c>
      <c r="Q26" s="64">
        <f>IF(N26=0,"",O26/N26)</f>
        <v/>
      </c>
      <c r="R26" s="31" t="n"/>
      <c r="S26" s="60" t="n"/>
      <c r="T26" s="60" t="n"/>
      <c r="U26" s="60">
        <f>T26-S26</f>
        <v/>
      </c>
      <c r="V26" s="61">
        <f>IF(S26=0,"",T26/S26)</f>
        <v/>
      </c>
      <c r="W26" s="27" t="n"/>
      <c r="X26" s="62" t="n"/>
      <c r="Y26" s="62" t="n"/>
      <c r="Z26" s="62">
        <f>Y26-X26</f>
        <v/>
      </c>
      <c r="AA26" s="64">
        <f>IF(X26=0,"",Y26/X26)</f>
        <v/>
      </c>
      <c r="AB26" s="31" t="n"/>
      <c r="AC26" s="60" t="n"/>
      <c r="AD26" s="60" t="n"/>
      <c r="AE26" s="60">
        <f>AD26-AC26</f>
        <v/>
      </c>
      <c r="AF26" s="61">
        <f>IF(AC26=0,"",AD26/AC26)</f>
        <v/>
      </c>
      <c r="AG26" s="27" t="n"/>
      <c r="AH26" s="62" t="n"/>
      <c r="AI26" s="62" t="n"/>
      <c r="AJ26" s="62">
        <f>AI26-AH26</f>
        <v/>
      </c>
      <c r="AK26" s="64">
        <f>IF(AH26=0,"",AI26/AH26)</f>
        <v/>
      </c>
      <c r="AL26" s="31" t="n"/>
      <c r="AM26" s="60" t="n"/>
      <c r="AN26" s="60" t="n"/>
      <c r="AO26" s="60">
        <f>AN26-AM26</f>
        <v/>
      </c>
      <c r="AP26" s="61">
        <f>IF(AM26=0,"",AN26/AM26)</f>
        <v/>
      </c>
      <c r="AQ26" s="27" t="n"/>
      <c r="AR26" s="62" t="n"/>
      <c r="AS26" s="62" t="n"/>
      <c r="AT26" s="62">
        <f>AS26-AR26</f>
        <v/>
      </c>
      <c r="AU26" s="64">
        <f>IF(AR26=0,"",AS26/AR26)</f>
        <v/>
      </c>
      <c r="AV26" s="31" t="n"/>
      <c r="AW26" s="60" t="n"/>
      <c r="AX26" s="60" t="n"/>
      <c r="AY26" s="60">
        <f>AX26-AW26</f>
        <v/>
      </c>
      <c r="AZ26" s="61">
        <f>IF(AW26=0,"",AX26/AW26)</f>
        <v/>
      </c>
      <c r="BA26" s="27" t="n"/>
      <c r="BB26" s="62" t="n"/>
      <c r="BC26" s="62" t="n"/>
      <c r="BD26" s="62">
        <f>BC26-BB26</f>
        <v/>
      </c>
      <c r="BE26" s="64">
        <f>IF(BB26=0,"",BC26/BB26)</f>
        <v/>
      </c>
      <c r="BF26" s="31" t="n"/>
      <c r="BG26" s="60" t="n"/>
      <c r="BH26" s="60" t="n"/>
      <c r="BI26" s="60">
        <f>BH26-BG26</f>
        <v/>
      </c>
      <c r="BJ26" s="61">
        <f>IF(BG26=0,"",BH26/BG26)</f>
        <v/>
      </c>
      <c r="BK26" s="27" t="n"/>
      <c r="BL26" s="62" t="n"/>
      <c r="BM26" s="62" t="n"/>
      <c r="BN26" s="62">
        <f>BM26-BL26</f>
        <v/>
      </c>
      <c r="BO26" s="64">
        <f>IF(BL26=0,"",BM26/BL26)</f>
        <v/>
      </c>
      <c r="BP26" s="31" t="n"/>
      <c r="BQ26" s="60" t="n"/>
      <c r="BR26" s="60" t="n"/>
      <c r="BS26" s="60">
        <f>BR26-BQ26</f>
        <v/>
      </c>
      <c r="BT26" s="61">
        <f>IF(BQ26=0,"",BR26/BQ26)</f>
        <v/>
      </c>
      <c r="BU26" s="27" t="n"/>
      <c r="BV26" s="62" t="n"/>
      <c r="BW26" s="62" t="n"/>
      <c r="BX26" s="62">
        <f>BW26-BV26</f>
        <v/>
      </c>
      <c r="BY26" s="64">
        <f>IF(BV26=0,"",BW26/BV26)</f>
        <v/>
      </c>
      <c r="BZ26" s="31" t="n"/>
      <c r="CA26" s="60" t="n"/>
      <c r="CB26" s="60" t="n"/>
      <c r="CC26" s="60">
        <f>CB26-CA26</f>
        <v/>
      </c>
      <c r="CD26" s="61">
        <f>IF(CA26=0,"",CB26/CA26)</f>
        <v/>
      </c>
      <c r="CE26" s="27" t="n"/>
      <c r="CF26" s="62" t="n"/>
      <c r="CG26" s="62" t="n"/>
      <c r="CH26" s="62">
        <f>CG26-CF26</f>
        <v/>
      </c>
      <c r="CI26" s="64">
        <f>IF(CF26=0,"",CG26/CF26)</f>
        <v/>
      </c>
      <c r="CJ26" s="31" t="n"/>
      <c r="CK26" s="60" t="n"/>
      <c r="CL26" s="60" t="n"/>
      <c r="CM26" s="60">
        <f>CL26-CK26</f>
        <v/>
      </c>
      <c r="CN26" s="61">
        <f>IF(CK26=0,"",CL26/CK26)</f>
        <v/>
      </c>
      <c r="CO26" s="27" t="n"/>
      <c r="CP26" s="62" t="n"/>
      <c r="CQ26" s="62" t="n"/>
      <c r="CR26" s="62">
        <f>CQ26-CP26</f>
        <v/>
      </c>
      <c r="CS26" s="64">
        <f>IF(CP26=0,"",CQ26/CP26)</f>
        <v/>
      </c>
      <c r="CT26" s="31" t="n"/>
      <c r="CU26" s="60" t="n"/>
      <c r="CV26" s="60" t="n"/>
      <c r="CW26" s="60">
        <f>CV26-CU26</f>
        <v/>
      </c>
      <c r="CX26" s="61">
        <f>IF(CU26=0,"",CV26/CU26)</f>
        <v/>
      </c>
      <c r="CY26" s="27" t="n"/>
      <c r="CZ26" s="62" t="n"/>
      <c r="DA26" s="62" t="n"/>
      <c r="DB26" s="62">
        <f>DA26-CZ26</f>
        <v/>
      </c>
      <c r="DC26" s="64">
        <f>IF(CZ26=0,"",DA26/CZ26)</f>
        <v/>
      </c>
      <c r="DD26" s="31" t="n"/>
      <c r="DE26" s="60" t="n"/>
      <c r="DF26" s="60" t="n"/>
      <c r="DG26" s="60">
        <f>DF26-DE26</f>
        <v/>
      </c>
      <c r="DH26" s="61">
        <f>IF(DE26=0,"",DF26/DE26)</f>
        <v/>
      </c>
      <c r="DI26" s="27" t="n"/>
      <c r="DJ26" s="62" t="n"/>
      <c r="DK26" s="62" t="n"/>
      <c r="DL26" s="62">
        <f>DK26-DJ26</f>
        <v/>
      </c>
      <c r="DM26" s="64">
        <f>IF(DJ26=0,"",DK26/DJ26)</f>
        <v/>
      </c>
      <c r="DN26" s="31" t="n"/>
      <c r="DO26" s="60" t="n"/>
    </row>
    <row r="27" outlineLevel="1" ht="15" customHeight="1">
      <c r="A27" s="24" t="n"/>
      <c r="B27" s="24" t="n"/>
      <c r="C27" s="24" t="n"/>
      <c r="D27" s="60" t="n"/>
      <c r="E27" s="60" t="n"/>
      <c r="F27" s="60">
        <f>E27-D27</f>
        <v/>
      </c>
      <c r="G27" s="61">
        <f>IF(D27=0,"",E27/D27)</f>
        <v/>
      </c>
      <c r="H27" s="27" t="n"/>
      <c r="I27" s="60" t="n"/>
      <c r="J27" s="60" t="n"/>
      <c r="K27" s="60">
        <f>J27-I27</f>
        <v/>
      </c>
      <c r="L27" s="61">
        <f>IF(I27=0,"",J27/I27)</f>
        <v/>
      </c>
      <c r="M27" s="27" t="n"/>
      <c r="N27" s="62" t="n"/>
      <c r="O27" s="62" t="n"/>
      <c r="P27" s="62">
        <f>O27-N27</f>
        <v/>
      </c>
      <c r="Q27" s="64">
        <f>IF(N27=0,"",O27/N27)</f>
        <v/>
      </c>
      <c r="R27" s="31" t="n"/>
      <c r="S27" s="60" t="n"/>
      <c r="T27" s="60" t="n"/>
      <c r="U27" s="60">
        <f>T27-S27</f>
        <v/>
      </c>
      <c r="V27" s="61">
        <f>IF(S27=0,"",T27/S27)</f>
        <v/>
      </c>
      <c r="W27" s="27" t="n"/>
      <c r="X27" s="62" t="n"/>
      <c r="Y27" s="62" t="n"/>
      <c r="Z27" s="62">
        <f>Y27-X27</f>
        <v/>
      </c>
      <c r="AA27" s="64">
        <f>IF(X27=0,"",Y27/X27)</f>
        <v/>
      </c>
      <c r="AB27" s="31" t="n"/>
      <c r="AC27" s="60" t="n"/>
      <c r="AD27" s="60" t="n"/>
      <c r="AE27" s="60">
        <f>AD27-AC27</f>
        <v/>
      </c>
      <c r="AF27" s="61">
        <f>IF(AC27=0,"",AD27/AC27)</f>
        <v/>
      </c>
      <c r="AG27" s="27" t="n"/>
      <c r="AH27" s="62" t="n"/>
      <c r="AI27" s="62" t="n"/>
      <c r="AJ27" s="62">
        <f>AI27-AH27</f>
        <v/>
      </c>
      <c r="AK27" s="64">
        <f>IF(AH27=0,"",AI27/AH27)</f>
        <v/>
      </c>
      <c r="AL27" s="31" t="n"/>
      <c r="AM27" s="60" t="n"/>
      <c r="AN27" s="60" t="n"/>
      <c r="AO27" s="60">
        <f>AN27-AM27</f>
        <v/>
      </c>
      <c r="AP27" s="61">
        <f>IF(AM27=0,"",AN27/AM27)</f>
        <v/>
      </c>
      <c r="AQ27" s="27" t="n"/>
      <c r="AR27" s="62" t="n"/>
      <c r="AS27" s="62" t="n"/>
      <c r="AT27" s="62">
        <f>AS27-AR27</f>
        <v/>
      </c>
      <c r="AU27" s="64">
        <f>IF(AR27=0,"",AS27/AR27)</f>
        <v/>
      </c>
      <c r="AV27" s="31" t="n"/>
      <c r="AW27" s="60" t="n"/>
      <c r="AX27" s="60" t="n"/>
      <c r="AY27" s="60">
        <f>AX27-AW27</f>
        <v/>
      </c>
      <c r="AZ27" s="61">
        <f>IF(AW27=0,"",AX27/AW27)</f>
        <v/>
      </c>
      <c r="BA27" s="27" t="n"/>
      <c r="BB27" s="62" t="n"/>
      <c r="BC27" s="62" t="n"/>
      <c r="BD27" s="62">
        <f>BC27-BB27</f>
        <v/>
      </c>
      <c r="BE27" s="64">
        <f>IF(BB27=0,"",BC27/BB27)</f>
        <v/>
      </c>
      <c r="BF27" s="31" t="n"/>
      <c r="BG27" s="60" t="n"/>
      <c r="BH27" s="60" t="n"/>
      <c r="BI27" s="60">
        <f>BH27-BG27</f>
        <v/>
      </c>
      <c r="BJ27" s="61">
        <f>IF(BG27=0,"",BH27/BG27)</f>
        <v/>
      </c>
      <c r="BK27" s="27" t="n"/>
      <c r="BL27" s="62" t="n"/>
      <c r="BM27" s="62" t="n"/>
      <c r="BN27" s="62">
        <f>BM27-BL27</f>
        <v/>
      </c>
      <c r="BO27" s="64">
        <f>IF(BL27=0,"",BM27/BL27)</f>
        <v/>
      </c>
      <c r="BP27" s="31" t="n"/>
      <c r="BQ27" s="60" t="n"/>
      <c r="BR27" s="60" t="n"/>
      <c r="BS27" s="60">
        <f>BR27-BQ27</f>
        <v/>
      </c>
      <c r="BT27" s="61">
        <f>IF(BQ27=0,"",BR27/BQ27)</f>
        <v/>
      </c>
      <c r="BU27" s="27" t="n"/>
      <c r="BV27" s="62" t="n"/>
      <c r="BW27" s="62" t="n"/>
      <c r="BX27" s="62">
        <f>BW27-BV27</f>
        <v/>
      </c>
      <c r="BY27" s="64">
        <f>IF(BV27=0,"",BW27/BV27)</f>
        <v/>
      </c>
      <c r="BZ27" s="31" t="n"/>
      <c r="CA27" s="60" t="n"/>
      <c r="CB27" s="60" t="n"/>
      <c r="CC27" s="60">
        <f>CB27-CA27</f>
        <v/>
      </c>
      <c r="CD27" s="61">
        <f>IF(CA27=0,"",CB27/CA27)</f>
        <v/>
      </c>
      <c r="CE27" s="27" t="n"/>
      <c r="CF27" s="62" t="n"/>
      <c r="CG27" s="62" t="n"/>
      <c r="CH27" s="62">
        <f>CG27-CF27</f>
        <v/>
      </c>
      <c r="CI27" s="64">
        <f>IF(CF27=0,"",CG27/CF27)</f>
        <v/>
      </c>
      <c r="CJ27" s="31" t="n"/>
      <c r="CK27" s="60" t="n"/>
      <c r="CL27" s="60" t="n"/>
      <c r="CM27" s="60">
        <f>CL27-CK27</f>
        <v/>
      </c>
      <c r="CN27" s="61">
        <f>IF(CK27=0,"",CL27/CK27)</f>
        <v/>
      </c>
      <c r="CO27" s="27" t="n"/>
      <c r="CP27" s="62" t="n"/>
      <c r="CQ27" s="62" t="n"/>
      <c r="CR27" s="62">
        <f>CQ27-CP27</f>
        <v/>
      </c>
      <c r="CS27" s="64">
        <f>IF(CP27=0,"",CQ27/CP27)</f>
        <v/>
      </c>
      <c r="CT27" s="31" t="n"/>
      <c r="CU27" s="60" t="n"/>
      <c r="CV27" s="60" t="n"/>
      <c r="CW27" s="60">
        <f>CV27-CU27</f>
        <v/>
      </c>
      <c r="CX27" s="61">
        <f>IF(CU27=0,"",CV27/CU27)</f>
        <v/>
      </c>
      <c r="CY27" s="27" t="n"/>
      <c r="CZ27" s="62" t="n"/>
      <c r="DA27" s="62" t="n"/>
      <c r="DB27" s="62">
        <f>DA27-CZ27</f>
        <v/>
      </c>
      <c r="DC27" s="64">
        <f>IF(CZ27=0,"",DA27/CZ27)</f>
        <v/>
      </c>
      <c r="DD27" s="31" t="n"/>
      <c r="DE27" s="60" t="n"/>
      <c r="DF27" s="60" t="n"/>
      <c r="DG27" s="60">
        <f>DF27-DE27</f>
        <v/>
      </c>
      <c r="DH27" s="61">
        <f>IF(DE27=0,"",DF27/DE27)</f>
        <v/>
      </c>
      <c r="DI27" s="27" t="n"/>
      <c r="DJ27" s="62" t="n"/>
      <c r="DK27" s="62" t="n"/>
      <c r="DL27" s="62">
        <f>DK27-DJ27</f>
        <v/>
      </c>
      <c r="DM27" s="64">
        <f>IF(DJ27=0,"",DK27/DJ27)</f>
        <v/>
      </c>
      <c r="DN27" s="31" t="n"/>
      <c r="DO27" s="60" t="n"/>
    </row>
    <row r="28" outlineLevel="1" ht="15" customHeight="1">
      <c r="A28" s="24" t="n"/>
      <c r="B28" s="24" t="n"/>
      <c r="C28" s="24" t="n"/>
      <c r="D28" s="60" t="n"/>
      <c r="E28" s="60" t="n"/>
      <c r="F28" s="60">
        <f>E28-D28</f>
        <v/>
      </c>
      <c r="G28" s="61">
        <f>IF(D28=0,"",E28/D28)</f>
        <v/>
      </c>
      <c r="H28" s="27" t="n"/>
      <c r="I28" s="60" t="n"/>
      <c r="J28" s="60" t="n"/>
      <c r="K28" s="60">
        <f>J28-I28</f>
        <v/>
      </c>
      <c r="L28" s="61">
        <f>IF(I28=0,"",J28/I28)</f>
        <v/>
      </c>
      <c r="M28" s="27" t="n"/>
      <c r="N28" s="62" t="n"/>
      <c r="O28" s="62" t="n"/>
      <c r="P28" s="62">
        <f>O28-N28</f>
        <v/>
      </c>
      <c r="Q28" s="64">
        <f>IF(N28=0,"",O28/N28)</f>
        <v/>
      </c>
      <c r="R28" s="31" t="n"/>
      <c r="S28" s="60" t="n"/>
      <c r="T28" s="60" t="n"/>
      <c r="U28" s="60">
        <f>T28-S28</f>
        <v/>
      </c>
      <c r="V28" s="61">
        <f>IF(S28=0,"",T28/S28)</f>
        <v/>
      </c>
      <c r="W28" s="27" t="n"/>
      <c r="X28" s="62" t="n"/>
      <c r="Y28" s="62" t="n"/>
      <c r="Z28" s="62">
        <f>Y28-X28</f>
        <v/>
      </c>
      <c r="AA28" s="64">
        <f>IF(X28=0,"",Y28/X28)</f>
        <v/>
      </c>
      <c r="AB28" s="31" t="n"/>
      <c r="AC28" s="60" t="n"/>
      <c r="AD28" s="60" t="n"/>
      <c r="AE28" s="60">
        <f>AD28-AC28</f>
        <v/>
      </c>
      <c r="AF28" s="61">
        <f>IF(AC28=0,"",AD28/AC28)</f>
        <v/>
      </c>
      <c r="AG28" s="27" t="n"/>
      <c r="AH28" s="62" t="n"/>
      <c r="AI28" s="62" t="n"/>
      <c r="AJ28" s="62">
        <f>AI28-AH28</f>
        <v/>
      </c>
      <c r="AK28" s="64">
        <f>IF(AH28=0,"",AI28/AH28)</f>
        <v/>
      </c>
      <c r="AL28" s="31" t="n"/>
      <c r="AM28" s="60" t="n"/>
      <c r="AN28" s="60" t="n"/>
      <c r="AO28" s="60">
        <f>AN28-AM28</f>
        <v/>
      </c>
      <c r="AP28" s="61">
        <f>IF(AM28=0,"",AN28/AM28)</f>
        <v/>
      </c>
      <c r="AQ28" s="27" t="n"/>
      <c r="AR28" s="62" t="n"/>
      <c r="AS28" s="62" t="n"/>
      <c r="AT28" s="62">
        <f>AS28-AR28</f>
        <v/>
      </c>
      <c r="AU28" s="64">
        <f>IF(AR28=0,"",AS28/AR28)</f>
        <v/>
      </c>
      <c r="AV28" s="31" t="n"/>
      <c r="AW28" s="60" t="n"/>
      <c r="AX28" s="60" t="n"/>
      <c r="AY28" s="60">
        <f>AX28-AW28</f>
        <v/>
      </c>
      <c r="AZ28" s="61">
        <f>IF(AW28=0,"",AX28/AW28)</f>
        <v/>
      </c>
      <c r="BA28" s="27" t="n"/>
      <c r="BB28" s="62" t="n"/>
      <c r="BC28" s="62" t="n"/>
      <c r="BD28" s="62">
        <f>BC28-BB28</f>
        <v/>
      </c>
      <c r="BE28" s="64">
        <f>IF(BB28=0,"",BC28/BB28)</f>
        <v/>
      </c>
      <c r="BF28" s="31" t="n"/>
      <c r="BG28" s="60" t="n"/>
      <c r="BH28" s="60" t="n"/>
      <c r="BI28" s="60">
        <f>BH28-BG28</f>
        <v/>
      </c>
      <c r="BJ28" s="61">
        <f>IF(BG28=0,"",BH28/BG28)</f>
        <v/>
      </c>
      <c r="BK28" s="27" t="n"/>
      <c r="BL28" s="62" t="n"/>
      <c r="BM28" s="62" t="n"/>
      <c r="BN28" s="62">
        <f>BM28-BL28</f>
        <v/>
      </c>
      <c r="BO28" s="64">
        <f>IF(BL28=0,"",BM28/BL28)</f>
        <v/>
      </c>
      <c r="BP28" s="31" t="n"/>
      <c r="BQ28" s="60" t="n"/>
      <c r="BR28" s="60" t="n"/>
      <c r="BS28" s="60">
        <f>BR28-BQ28</f>
        <v/>
      </c>
      <c r="BT28" s="61">
        <f>IF(BQ28=0,"",BR28/BQ28)</f>
        <v/>
      </c>
      <c r="BU28" s="27" t="n"/>
      <c r="BV28" s="62" t="n"/>
      <c r="BW28" s="62" t="n"/>
      <c r="BX28" s="62">
        <f>BW28-BV28</f>
        <v/>
      </c>
      <c r="BY28" s="64">
        <f>IF(BV28=0,"",BW28/BV28)</f>
        <v/>
      </c>
      <c r="BZ28" s="31" t="n"/>
      <c r="CA28" s="60" t="n"/>
      <c r="CB28" s="60" t="n"/>
      <c r="CC28" s="60">
        <f>CB28-CA28</f>
        <v/>
      </c>
      <c r="CD28" s="61">
        <f>IF(CA28=0,"",CB28/CA28)</f>
        <v/>
      </c>
      <c r="CE28" s="27" t="n"/>
      <c r="CF28" s="62" t="n"/>
      <c r="CG28" s="62" t="n"/>
      <c r="CH28" s="62">
        <f>CG28-CF28</f>
        <v/>
      </c>
      <c r="CI28" s="64">
        <f>IF(CF28=0,"",CG28/CF28)</f>
        <v/>
      </c>
      <c r="CJ28" s="31" t="n"/>
      <c r="CK28" s="60" t="n"/>
      <c r="CL28" s="60" t="n"/>
      <c r="CM28" s="60">
        <f>CL28-CK28</f>
        <v/>
      </c>
      <c r="CN28" s="61">
        <f>IF(CK28=0,"",CL28/CK28)</f>
        <v/>
      </c>
      <c r="CO28" s="27" t="n"/>
      <c r="CP28" s="62" t="n"/>
      <c r="CQ28" s="62" t="n"/>
      <c r="CR28" s="62">
        <f>CQ28-CP28</f>
        <v/>
      </c>
      <c r="CS28" s="64">
        <f>IF(CP28=0,"",CQ28/CP28)</f>
        <v/>
      </c>
      <c r="CT28" s="31" t="n"/>
      <c r="CU28" s="60" t="n"/>
      <c r="CV28" s="60" t="n"/>
      <c r="CW28" s="60">
        <f>CV28-CU28</f>
        <v/>
      </c>
      <c r="CX28" s="61">
        <f>IF(CU28=0,"",CV28/CU28)</f>
        <v/>
      </c>
      <c r="CY28" s="27" t="n"/>
      <c r="CZ28" s="62" t="n"/>
      <c r="DA28" s="62" t="n"/>
      <c r="DB28" s="62">
        <f>DA28-CZ28</f>
        <v/>
      </c>
      <c r="DC28" s="64">
        <f>IF(CZ28=0,"",DA28/CZ28)</f>
        <v/>
      </c>
      <c r="DD28" s="31" t="n"/>
      <c r="DE28" s="60" t="n"/>
      <c r="DF28" s="60" t="n"/>
      <c r="DG28" s="60">
        <f>DF28-DE28</f>
        <v/>
      </c>
      <c r="DH28" s="61">
        <f>IF(DE28=0,"",DF28/DE28)</f>
        <v/>
      </c>
      <c r="DI28" s="27" t="n"/>
      <c r="DJ28" s="62" t="n"/>
      <c r="DK28" s="62" t="n"/>
      <c r="DL28" s="62">
        <f>DK28-DJ28</f>
        <v/>
      </c>
      <c r="DM28" s="64">
        <f>IF(DJ28=0,"",DK28/DJ28)</f>
        <v/>
      </c>
      <c r="DN28" s="31" t="n"/>
      <c r="DO28" s="60" t="n"/>
    </row>
    <row r="29" outlineLevel="1" ht="15" customHeight="1">
      <c r="A29" s="24" t="n"/>
      <c r="B29" s="24" t="n"/>
      <c r="C29" s="24" t="n"/>
      <c r="D29" s="60" t="n"/>
      <c r="E29" s="60" t="n"/>
      <c r="F29" s="60">
        <f>E29-D29</f>
        <v/>
      </c>
      <c r="G29" s="61">
        <f>IF(D29=0,"",E29/D29)</f>
        <v/>
      </c>
      <c r="H29" s="27" t="n"/>
      <c r="I29" s="60" t="n"/>
      <c r="J29" s="60" t="n"/>
      <c r="K29" s="60">
        <f>J29-I29</f>
        <v/>
      </c>
      <c r="L29" s="61">
        <f>IF(I29=0,"",J29/I29)</f>
        <v/>
      </c>
      <c r="M29" s="27" t="n"/>
      <c r="N29" s="62" t="n"/>
      <c r="O29" s="62" t="n"/>
      <c r="P29" s="62">
        <f>O29-N29</f>
        <v/>
      </c>
      <c r="Q29" s="64">
        <f>IF(N29=0,"",O29/N29)</f>
        <v/>
      </c>
      <c r="R29" s="31" t="n"/>
      <c r="S29" s="60" t="n"/>
      <c r="T29" s="60" t="n"/>
      <c r="U29" s="60">
        <f>T29-S29</f>
        <v/>
      </c>
      <c r="V29" s="61">
        <f>IF(S29=0,"",T29/S29)</f>
        <v/>
      </c>
      <c r="W29" s="27" t="n"/>
      <c r="X29" s="62" t="n"/>
      <c r="Y29" s="62" t="n"/>
      <c r="Z29" s="62">
        <f>Y29-X29</f>
        <v/>
      </c>
      <c r="AA29" s="64">
        <f>IF(X29=0,"",Y29/X29)</f>
        <v/>
      </c>
      <c r="AB29" s="31" t="n"/>
      <c r="AC29" s="60" t="n"/>
      <c r="AD29" s="60" t="n"/>
      <c r="AE29" s="60">
        <f>AD29-AC29</f>
        <v/>
      </c>
      <c r="AF29" s="61">
        <f>IF(AC29=0,"",AD29/AC29)</f>
        <v/>
      </c>
      <c r="AG29" s="27" t="n"/>
      <c r="AH29" s="62" t="n"/>
      <c r="AI29" s="62" t="n"/>
      <c r="AJ29" s="62">
        <f>AI29-AH29</f>
        <v/>
      </c>
      <c r="AK29" s="64">
        <f>IF(AH29=0,"",AI29/AH29)</f>
        <v/>
      </c>
      <c r="AL29" s="31" t="n"/>
      <c r="AM29" s="60" t="n"/>
      <c r="AN29" s="60" t="n"/>
      <c r="AO29" s="60">
        <f>AN29-AM29</f>
        <v/>
      </c>
      <c r="AP29" s="61">
        <f>IF(AM29=0,"",AN29/AM29)</f>
        <v/>
      </c>
      <c r="AQ29" s="27" t="n"/>
      <c r="AR29" s="62" t="n"/>
      <c r="AS29" s="62" t="n"/>
      <c r="AT29" s="62">
        <f>AS29-AR29</f>
        <v/>
      </c>
      <c r="AU29" s="64">
        <f>IF(AR29=0,"",AS29/AR29)</f>
        <v/>
      </c>
      <c r="AV29" s="31" t="n"/>
      <c r="AW29" s="60" t="n"/>
      <c r="AX29" s="60" t="n"/>
      <c r="AY29" s="60">
        <f>AX29-AW29</f>
        <v/>
      </c>
      <c r="AZ29" s="61">
        <f>IF(AW29=0,"",AX29/AW29)</f>
        <v/>
      </c>
      <c r="BA29" s="27" t="n"/>
      <c r="BB29" s="62" t="n"/>
      <c r="BC29" s="62" t="n"/>
      <c r="BD29" s="62">
        <f>BC29-BB29</f>
        <v/>
      </c>
      <c r="BE29" s="64">
        <f>IF(BB29=0,"",BC29/BB29)</f>
        <v/>
      </c>
      <c r="BF29" s="31" t="n"/>
      <c r="BG29" s="60" t="n"/>
      <c r="BH29" s="60" t="n"/>
      <c r="BI29" s="60">
        <f>BH29-BG29</f>
        <v/>
      </c>
      <c r="BJ29" s="61">
        <f>IF(BG29=0,"",BH29/BG29)</f>
        <v/>
      </c>
      <c r="BK29" s="27" t="n"/>
      <c r="BL29" s="62" t="n"/>
      <c r="BM29" s="62" t="n"/>
      <c r="BN29" s="62">
        <f>BM29-BL29</f>
        <v/>
      </c>
      <c r="BO29" s="64">
        <f>IF(BL29=0,"",BM29/BL29)</f>
        <v/>
      </c>
      <c r="BP29" s="31" t="n"/>
      <c r="BQ29" s="60" t="n"/>
      <c r="BR29" s="60" t="n"/>
      <c r="BS29" s="60">
        <f>BR29-BQ29</f>
        <v/>
      </c>
      <c r="BT29" s="61">
        <f>IF(BQ29=0,"",BR29/BQ29)</f>
        <v/>
      </c>
      <c r="BU29" s="27" t="n"/>
      <c r="BV29" s="62" t="n"/>
      <c r="BW29" s="62" t="n"/>
      <c r="BX29" s="62">
        <f>BW29-BV29</f>
        <v/>
      </c>
      <c r="BY29" s="64">
        <f>IF(BV29=0,"",BW29/BV29)</f>
        <v/>
      </c>
      <c r="BZ29" s="31" t="n"/>
      <c r="CA29" s="60" t="n"/>
      <c r="CB29" s="60" t="n"/>
      <c r="CC29" s="60">
        <f>CB29-CA29</f>
        <v/>
      </c>
      <c r="CD29" s="61">
        <f>IF(CA29=0,"",CB29/CA29)</f>
        <v/>
      </c>
      <c r="CE29" s="27" t="n"/>
      <c r="CF29" s="62" t="n"/>
      <c r="CG29" s="62" t="n"/>
      <c r="CH29" s="62">
        <f>CG29-CF29</f>
        <v/>
      </c>
      <c r="CI29" s="64">
        <f>IF(CF29=0,"",CG29/CF29)</f>
        <v/>
      </c>
      <c r="CJ29" s="31" t="n"/>
      <c r="CK29" s="60" t="n"/>
      <c r="CL29" s="60" t="n"/>
      <c r="CM29" s="60">
        <f>CL29-CK29</f>
        <v/>
      </c>
      <c r="CN29" s="61">
        <f>IF(CK29=0,"",CL29/CK29)</f>
        <v/>
      </c>
      <c r="CO29" s="27" t="n"/>
      <c r="CP29" s="62" t="n"/>
      <c r="CQ29" s="62" t="n"/>
      <c r="CR29" s="62">
        <f>CQ29-CP29</f>
        <v/>
      </c>
      <c r="CS29" s="64">
        <f>IF(CP29=0,"",CQ29/CP29)</f>
        <v/>
      </c>
      <c r="CT29" s="31" t="n"/>
      <c r="CU29" s="60" t="n"/>
      <c r="CV29" s="60" t="n"/>
      <c r="CW29" s="60">
        <f>CV29-CU29</f>
        <v/>
      </c>
      <c r="CX29" s="61">
        <f>IF(CU29=0,"",CV29/CU29)</f>
        <v/>
      </c>
      <c r="CY29" s="27" t="n"/>
      <c r="CZ29" s="62" t="n"/>
      <c r="DA29" s="62" t="n"/>
      <c r="DB29" s="62">
        <f>DA29-CZ29</f>
        <v/>
      </c>
      <c r="DC29" s="64">
        <f>IF(CZ29=0,"",DA29/CZ29)</f>
        <v/>
      </c>
      <c r="DD29" s="31" t="n"/>
      <c r="DE29" s="60" t="n"/>
      <c r="DF29" s="60" t="n"/>
      <c r="DG29" s="60">
        <f>DF29-DE29</f>
        <v/>
      </c>
      <c r="DH29" s="61">
        <f>IF(DE29=0,"",DF29/DE29)</f>
        <v/>
      </c>
      <c r="DI29" s="27" t="n"/>
      <c r="DJ29" s="62" t="n"/>
      <c r="DK29" s="62" t="n"/>
      <c r="DL29" s="62">
        <f>DK29-DJ29</f>
        <v/>
      </c>
      <c r="DM29" s="64">
        <f>IF(DJ29=0,"",DK29/DJ29)</f>
        <v/>
      </c>
      <c r="DN29" s="31" t="n"/>
      <c r="DO29" s="60" t="n"/>
    </row>
    <row r="30" outlineLevel="1" ht="15" customHeight="1">
      <c r="A30" s="24" t="n"/>
      <c r="B30" s="24" t="n"/>
      <c r="C30" s="24" t="n"/>
      <c r="D30" s="60" t="n"/>
      <c r="E30" s="60" t="n"/>
      <c r="F30" s="60">
        <f>E30-D30</f>
        <v/>
      </c>
      <c r="G30" s="61">
        <f>IF(D30=0,"",E30/D30)</f>
        <v/>
      </c>
      <c r="H30" s="27" t="n"/>
      <c r="I30" s="60" t="n"/>
      <c r="J30" s="60" t="n"/>
      <c r="K30" s="60">
        <f>J30-I30</f>
        <v/>
      </c>
      <c r="L30" s="61">
        <f>IF(I30=0,"",J30/I30)</f>
        <v/>
      </c>
      <c r="M30" s="27" t="n"/>
      <c r="N30" s="62" t="n"/>
      <c r="O30" s="62" t="n"/>
      <c r="P30" s="62">
        <f>O30-N30</f>
        <v/>
      </c>
      <c r="Q30" s="64">
        <f>IF(N30=0,"",O30/N30)</f>
        <v/>
      </c>
      <c r="R30" s="31" t="n"/>
      <c r="S30" s="60" t="n"/>
      <c r="T30" s="60" t="n"/>
      <c r="U30" s="60">
        <f>T30-S30</f>
        <v/>
      </c>
      <c r="V30" s="61">
        <f>IF(S30=0,"",T30/S30)</f>
        <v/>
      </c>
      <c r="W30" s="27" t="n"/>
      <c r="X30" s="62" t="n"/>
      <c r="Y30" s="62" t="n"/>
      <c r="Z30" s="62">
        <f>Y30-X30</f>
        <v/>
      </c>
      <c r="AA30" s="64">
        <f>IF(X30=0,"",Y30/X30)</f>
        <v/>
      </c>
      <c r="AB30" s="31" t="n"/>
      <c r="AC30" s="60" t="n"/>
      <c r="AD30" s="60" t="n"/>
      <c r="AE30" s="60">
        <f>AD30-AC30</f>
        <v/>
      </c>
      <c r="AF30" s="61">
        <f>IF(AC30=0,"",AD30/AC30)</f>
        <v/>
      </c>
      <c r="AG30" s="27" t="n"/>
      <c r="AH30" s="62" t="n"/>
      <c r="AI30" s="62" t="n"/>
      <c r="AJ30" s="62">
        <f>AI30-AH30</f>
        <v/>
      </c>
      <c r="AK30" s="64">
        <f>IF(AH30=0,"",AI30/AH30)</f>
        <v/>
      </c>
      <c r="AL30" s="31" t="n"/>
      <c r="AM30" s="60" t="n"/>
      <c r="AN30" s="60" t="n"/>
      <c r="AO30" s="60">
        <f>AN30-AM30</f>
        <v/>
      </c>
      <c r="AP30" s="61">
        <f>IF(AM30=0,"",AN30/AM30)</f>
        <v/>
      </c>
      <c r="AQ30" s="27" t="n"/>
      <c r="AR30" s="62" t="n"/>
      <c r="AS30" s="62" t="n"/>
      <c r="AT30" s="62">
        <f>AS30-AR30</f>
        <v/>
      </c>
      <c r="AU30" s="64">
        <f>IF(AR30=0,"",AS30/AR30)</f>
        <v/>
      </c>
      <c r="AV30" s="31" t="n"/>
      <c r="AW30" s="60" t="n"/>
      <c r="AX30" s="60" t="n"/>
      <c r="AY30" s="60">
        <f>AX30-AW30</f>
        <v/>
      </c>
      <c r="AZ30" s="61">
        <f>IF(AW30=0,"",AX30/AW30)</f>
        <v/>
      </c>
      <c r="BA30" s="27" t="n"/>
      <c r="BB30" s="62" t="n"/>
      <c r="BC30" s="62" t="n"/>
      <c r="BD30" s="62">
        <f>BC30-BB30</f>
        <v/>
      </c>
      <c r="BE30" s="64">
        <f>IF(BB30=0,"",BC30/BB30)</f>
        <v/>
      </c>
      <c r="BF30" s="31" t="n"/>
      <c r="BG30" s="60" t="n"/>
      <c r="BH30" s="60" t="n"/>
      <c r="BI30" s="60">
        <f>BH30-BG30</f>
        <v/>
      </c>
      <c r="BJ30" s="61">
        <f>IF(BG30=0,"",BH30/BG30)</f>
        <v/>
      </c>
      <c r="BK30" s="27" t="n"/>
      <c r="BL30" s="62" t="n"/>
      <c r="BM30" s="62" t="n"/>
      <c r="BN30" s="62">
        <f>BM30-BL30</f>
        <v/>
      </c>
      <c r="BO30" s="64">
        <f>IF(BL30=0,"",BM30/BL30)</f>
        <v/>
      </c>
      <c r="BP30" s="31" t="n"/>
      <c r="BQ30" s="60" t="n"/>
      <c r="BR30" s="60" t="n"/>
      <c r="BS30" s="60">
        <f>BR30-BQ30</f>
        <v/>
      </c>
      <c r="BT30" s="61">
        <f>IF(BQ30=0,"",BR30/BQ30)</f>
        <v/>
      </c>
      <c r="BU30" s="27" t="n"/>
      <c r="BV30" s="62" t="n"/>
      <c r="BW30" s="62" t="n"/>
      <c r="BX30" s="62">
        <f>BW30-BV30</f>
        <v/>
      </c>
      <c r="BY30" s="64">
        <f>IF(BV30=0,"",BW30/BV30)</f>
        <v/>
      </c>
      <c r="BZ30" s="31" t="n"/>
      <c r="CA30" s="60" t="n"/>
      <c r="CB30" s="60" t="n"/>
      <c r="CC30" s="60">
        <f>CB30-CA30</f>
        <v/>
      </c>
      <c r="CD30" s="61">
        <f>IF(CA30=0,"",CB30/CA30)</f>
        <v/>
      </c>
      <c r="CE30" s="27" t="n"/>
      <c r="CF30" s="62" t="n"/>
      <c r="CG30" s="62" t="n"/>
      <c r="CH30" s="62">
        <f>CG30-CF30</f>
        <v/>
      </c>
      <c r="CI30" s="64">
        <f>IF(CF30=0,"",CG30/CF30)</f>
        <v/>
      </c>
      <c r="CJ30" s="31" t="n"/>
      <c r="CK30" s="60" t="n"/>
      <c r="CL30" s="60" t="n"/>
      <c r="CM30" s="60">
        <f>CL30-CK30</f>
        <v/>
      </c>
      <c r="CN30" s="61">
        <f>IF(CK30=0,"",CL30/CK30)</f>
        <v/>
      </c>
      <c r="CO30" s="27" t="n"/>
      <c r="CP30" s="62" t="n"/>
      <c r="CQ30" s="62" t="n"/>
      <c r="CR30" s="62">
        <f>CQ30-CP30</f>
        <v/>
      </c>
      <c r="CS30" s="64">
        <f>IF(CP30=0,"",CQ30/CP30)</f>
        <v/>
      </c>
      <c r="CT30" s="31" t="n"/>
      <c r="CU30" s="60" t="n"/>
      <c r="CV30" s="60" t="n"/>
      <c r="CW30" s="60">
        <f>CV30-CU30</f>
        <v/>
      </c>
      <c r="CX30" s="61">
        <f>IF(CU30=0,"",CV30/CU30)</f>
        <v/>
      </c>
      <c r="CY30" s="27" t="n"/>
      <c r="CZ30" s="62" t="n"/>
      <c r="DA30" s="62" t="n"/>
      <c r="DB30" s="62">
        <f>DA30-CZ30</f>
        <v/>
      </c>
      <c r="DC30" s="64">
        <f>IF(CZ30=0,"",DA30/CZ30)</f>
        <v/>
      </c>
      <c r="DD30" s="31" t="n"/>
      <c r="DE30" s="60" t="n"/>
      <c r="DF30" s="60" t="n"/>
      <c r="DG30" s="60">
        <f>DF30-DE30</f>
        <v/>
      </c>
      <c r="DH30" s="61">
        <f>IF(DE30=0,"",DF30/DE30)</f>
        <v/>
      </c>
      <c r="DI30" s="27" t="n"/>
      <c r="DJ30" s="62" t="n"/>
      <c r="DK30" s="62" t="n"/>
      <c r="DL30" s="62">
        <f>DK30-DJ30</f>
        <v/>
      </c>
      <c r="DM30" s="64">
        <f>IF(DJ30=0,"",DK30/DJ30)</f>
        <v/>
      </c>
      <c r="DN30" s="31" t="n"/>
      <c r="DO30" s="60" t="n"/>
    </row>
    <row r="31" outlineLevel="1" ht="15" customHeight="1">
      <c r="A31" s="24" t="n"/>
      <c r="B31" s="24" t="n"/>
      <c r="C31" s="24" t="n"/>
      <c r="D31" s="60" t="n"/>
      <c r="E31" s="60" t="n"/>
      <c r="F31" s="60">
        <f>E31-D31</f>
        <v/>
      </c>
      <c r="G31" s="61">
        <f>IF(D31=0,"",E31/D31)</f>
        <v/>
      </c>
      <c r="H31" s="27" t="n"/>
      <c r="I31" s="60" t="n"/>
      <c r="J31" s="60" t="n"/>
      <c r="K31" s="60">
        <f>J31-I31</f>
        <v/>
      </c>
      <c r="L31" s="61">
        <f>IF(I31=0,"",J31/I31)</f>
        <v/>
      </c>
      <c r="M31" s="27" t="n"/>
      <c r="N31" s="62" t="n"/>
      <c r="O31" s="62" t="n"/>
      <c r="P31" s="63">
        <f>O31-N31</f>
        <v/>
      </c>
      <c r="Q31" s="64">
        <f>IF(N31=0,"",O31/N31)</f>
        <v/>
      </c>
      <c r="R31" s="31" t="n"/>
      <c r="S31" s="60" t="n"/>
      <c r="T31" s="60" t="n"/>
      <c r="U31" s="60">
        <f>T31-S31</f>
        <v/>
      </c>
      <c r="V31" s="61">
        <f>IF(S31=0,"",T31/S31)</f>
        <v/>
      </c>
      <c r="W31" s="27" t="n"/>
      <c r="X31" s="62" t="n"/>
      <c r="Y31" s="62" t="n"/>
      <c r="Z31" s="63">
        <f>Y31-X31</f>
        <v/>
      </c>
      <c r="AA31" s="64">
        <f>IF(X31=0,"",Y31/X31)</f>
        <v/>
      </c>
      <c r="AB31" s="31" t="n"/>
      <c r="AC31" s="60" t="n"/>
      <c r="AD31" s="60" t="n"/>
      <c r="AE31" s="60">
        <f>AD31-AC31</f>
        <v/>
      </c>
      <c r="AF31" s="61">
        <f>IF(AC31=0,"",AD31/AC31)</f>
        <v/>
      </c>
      <c r="AG31" s="27" t="n"/>
      <c r="AH31" s="62" t="n"/>
      <c r="AI31" s="62" t="n"/>
      <c r="AJ31" s="62">
        <f>AI31-AH31</f>
        <v/>
      </c>
      <c r="AK31" s="64">
        <f>IF(AH31=0,"",AI31/AH31)</f>
        <v/>
      </c>
      <c r="AL31" s="31" t="n"/>
      <c r="AM31" s="60" t="n"/>
      <c r="AN31" s="60" t="n"/>
      <c r="AO31" s="60">
        <f>AN31-AM31</f>
        <v/>
      </c>
      <c r="AP31" s="61">
        <f>IF(AM31=0,"",AN31/AM31)</f>
        <v/>
      </c>
      <c r="AQ31" s="27" t="n"/>
      <c r="AR31" s="62" t="n"/>
      <c r="AS31" s="62" t="n"/>
      <c r="AT31" s="62">
        <f>AS31-AR31</f>
        <v/>
      </c>
      <c r="AU31" s="64">
        <f>IF(AR31=0,"",AS31/AR31)</f>
        <v/>
      </c>
      <c r="AV31" s="31" t="n"/>
      <c r="AW31" s="60" t="n"/>
      <c r="AX31" s="60" t="n"/>
      <c r="AY31" s="60">
        <f>AX31-AW31</f>
        <v/>
      </c>
      <c r="AZ31" s="61">
        <f>IF(AW31=0,"",AX31/AW31)</f>
        <v/>
      </c>
      <c r="BA31" s="27" t="n"/>
      <c r="BB31" s="62" t="n"/>
      <c r="BC31" s="62" t="n"/>
      <c r="BD31" s="62">
        <f>BC31-BB31</f>
        <v/>
      </c>
      <c r="BE31" s="64">
        <f>IF(BB31=0,"",BC31/BB31)</f>
        <v/>
      </c>
      <c r="BF31" s="31" t="n"/>
      <c r="BG31" s="60" t="n"/>
      <c r="BH31" s="60" t="n"/>
      <c r="BI31" s="60">
        <f>BH31-BG31</f>
        <v/>
      </c>
      <c r="BJ31" s="61">
        <f>IF(BG31=0,"",BH31/BG31)</f>
        <v/>
      </c>
      <c r="BK31" s="27" t="n"/>
      <c r="BL31" s="62" t="n"/>
      <c r="BM31" s="62" t="n"/>
      <c r="BN31" s="62">
        <f>BM31-BL31</f>
        <v/>
      </c>
      <c r="BO31" s="64">
        <f>IF(BL31=0,"",BM31/BL31)</f>
        <v/>
      </c>
      <c r="BP31" s="31" t="n"/>
      <c r="BQ31" s="60" t="n"/>
      <c r="BR31" s="60" t="n"/>
      <c r="BS31" s="60">
        <f>BR31-BQ31</f>
        <v/>
      </c>
      <c r="BT31" s="61">
        <f>IF(BQ31=0,"",BR31/BQ31)</f>
        <v/>
      </c>
      <c r="BU31" s="27" t="n"/>
      <c r="BV31" s="62" t="n"/>
      <c r="BW31" s="62" t="n"/>
      <c r="BX31" s="62">
        <f>BW31-BV31</f>
        <v/>
      </c>
      <c r="BY31" s="64">
        <f>IF(BV31=0,"",BW31/BV31)</f>
        <v/>
      </c>
      <c r="BZ31" s="31" t="n"/>
      <c r="CA31" s="60" t="n"/>
      <c r="CB31" s="60" t="n"/>
      <c r="CC31" s="60">
        <f>CB31-CA31</f>
        <v/>
      </c>
      <c r="CD31" s="61">
        <f>IF(CA31=0,"",CB31/CA31)</f>
        <v/>
      </c>
      <c r="CE31" s="27" t="n"/>
      <c r="CF31" s="62" t="n"/>
      <c r="CG31" s="62" t="n"/>
      <c r="CH31" s="62">
        <f>CG31-CF31</f>
        <v/>
      </c>
      <c r="CI31" s="64">
        <f>IF(CF31=0,"",CG31/CF31)</f>
        <v/>
      </c>
      <c r="CJ31" s="31" t="n"/>
      <c r="CK31" s="60" t="n"/>
      <c r="CL31" s="60" t="n"/>
      <c r="CM31" s="60">
        <f>CL31-CK31</f>
        <v/>
      </c>
      <c r="CN31" s="61">
        <f>IF(CK31=0,"",CL31/CK31)</f>
        <v/>
      </c>
      <c r="CO31" s="27" t="n"/>
      <c r="CP31" s="62" t="n"/>
      <c r="CQ31" s="62" t="n"/>
      <c r="CR31" s="62">
        <f>CQ31-CP31</f>
        <v/>
      </c>
      <c r="CS31" s="64">
        <f>IF(CP31=0,"",CQ31/CP31)</f>
        <v/>
      </c>
      <c r="CT31" s="31" t="n"/>
      <c r="CU31" s="60" t="n"/>
      <c r="CV31" s="60" t="n"/>
      <c r="CW31" s="60">
        <f>CV31-CU31</f>
        <v/>
      </c>
      <c r="CX31" s="61">
        <f>IF(CU31=0,"",CV31/CU31)</f>
        <v/>
      </c>
      <c r="CY31" s="27" t="n"/>
      <c r="CZ31" s="62" t="n"/>
      <c r="DA31" s="62" t="n"/>
      <c r="DB31" s="62">
        <f>DA31-CZ31</f>
        <v/>
      </c>
      <c r="DC31" s="64">
        <f>IF(CZ31=0,"",DA31/CZ31)</f>
        <v/>
      </c>
      <c r="DD31" s="31" t="n"/>
      <c r="DE31" s="60" t="n"/>
      <c r="DF31" s="60" t="n"/>
      <c r="DG31" s="60">
        <f>DF31-DE31</f>
        <v/>
      </c>
      <c r="DH31" s="61">
        <f>IF(DE31=0,"",DF31/DE31)</f>
        <v/>
      </c>
      <c r="DI31" s="27" t="n"/>
      <c r="DJ31" s="62" t="n"/>
      <c r="DK31" s="62" t="n"/>
      <c r="DL31" s="62">
        <f>DK31-DJ31</f>
        <v/>
      </c>
      <c r="DM31" s="64">
        <f>IF(DJ31=0,"",DK31/DJ31)</f>
        <v/>
      </c>
      <c r="DN31" s="31" t="n"/>
      <c r="DO31" s="60" t="n"/>
    </row>
    <row r="32" outlineLevel="1" ht="15" customHeight="1">
      <c r="A32" s="24" t="n"/>
      <c r="B32" s="24" t="n"/>
      <c r="C32" s="24" t="n"/>
      <c r="D32" s="60" t="n"/>
      <c r="E32" s="60" t="n"/>
      <c r="F32" s="60">
        <f>E32-D32</f>
        <v/>
      </c>
      <c r="G32" s="61">
        <f>IF(D32=0,"",E32/D32)</f>
        <v/>
      </c>
      <c r="H32" s="27" t="n"/>
      <c r="I32" s="60" t="n"/>
      <c r="J32" s="60" t="n"/>
      <c r="K32" s="60">
        <f>J32-I32</f>
        <v/>
      </c>
      <c r="L32" s="61">
        <f>IF(I32=0,"",J32/I32)</f>
        <v/>
      </c>
      <c r="M32" s="27" t="n"/>
      <c r="N32" s="62" t="n"/>
      <c r="O32" s="62" t="n"/>
      <c r="P32" s="62">
        <f>O32-N32</f>
        <v/>
      </c>
      <c r="Q32" s="64">
        <f>IF(N32=0,"",O32/N32)</f>
        <v/>
      </c>
      <c r="R32" s="31" t="n"/>
      <c r="S32" s="60" t="n"/>
      <c r="T32" s="60" t="n"/>
      <c r="U32" s="60">
        <f>T32-S32</f>
        <v/>
      </c>
      <c r="V32" s="61">
        <f>IF(S32=0,"",T32/S32)</f>
        <v/>
      </c>
      <c r="W32" s="27" t="n"/>
      <c r="X32" s="62" t="n"/>
      <c r="Y32" s="62" t="n"/>
      <c r="Z32" s="62">
        <f>Y32-X32</f>
        <v/>
      </c>
      <c r="AA32" s="64">
        <f>IF(X32=0,"",Y32/X32)</f>
        <v/>
      </c>
      <c r="AB32" s="31" t="n"/>
      <c r="AC32" s="60" t="n"/>
      <c r="AD32" s="60" t="n"/>
      <c r="AE32" s="60">
        <f>AD32-AC32</f>
        <v/>
      </c>
      <c r="AF32" s="61">
        <f>IF(AC32=0,"",AD32/AC32)</f>
        <v/>
      </c>
      <c r="AG32" s="27" t="n"/>
      <c r="AH32" s="62" t="n"/>
      <c r="AI32" s="62" t="n"/>
      <c r="AJ32" s="62">
        <f>AI32-AH32</f>
        <v/>
      </c>
      <c r="AK32" s="64">
        <f>IF(AH32=0,"",AI32/AH32)</f>
        <v/>
      </c>
      <c r="AL32" s="31" t="n"/>
      <c r="AM32" s="60" t="n"/>
      <c r="AN32" s="60" t="n"/>
      <c r="AO32" s="60">
        <f>AN32-AM32</f>
        <v/>
      </c>
      <c r="AP32" s="61">
        <f>IF(AM32=0,"",AN32/AM32)</f>
        <v/>
      </c>
      <c r="AQ32" s="27" t="n"/>
      <c r="AR32" s="62" t="n"/>
      <c r="AS32" s="62" t="n"/>
      <c r="AT32" s="62">
        <f>AS32-AR32</f>
        <v/>
      </c>
      <c r="AU32" s="64">
        <f>IF(AR32=0,"",AS32/AR32)</f>
        <v/>
      </c>
      <c r="AV32" s="31" t="n"/>
      <c r="AW32" s="60" t="n"/>
      <c r="AX32" s="60" t="n"/>
      <c r="AY32" s="60">
        <f>AX32-AW32</f>
        <v/>
      </c>
      <c r="AZ32" s="61">
        <f>IF(AW32=0,"",AX32/AW32)</f>
        <v/>
      </c>
      <c r="BA32" s="27" t="n"/>
      <c r="BB32" s="62" t="n"/>
      <c r="BC32" s="62" t="n"/>
      <c r="BD32" s="62">
        <f>BC32-BB32</f>
        <v/>
      </c>
      <c r="BE32" s="64">
        <f>IF(BB32=0,"",BC32/BB32)</f>
        <v/>
      </c>
      <c r="BF32" s="31" t="n"/>
      <c r="BG32" s="60" t="n"/>
      <c r="BH32" s="60" t="n"/>
      <c r="BI32" s="60">
        <f>BH32-BG32</f>
        <v/>
      </c>
      <c r="BJ32" s="61">
        <f>IF(BG32=0,"",BH32/BG32)</f>
        <v/>
      </c>
      <c r="BK32" s="27" t="n"/>
      <c r="BL32" s="62" t="n"/>
      <c r="BM32" s="62" t="n"/>
      <c r="BN32" s="62">
        <f>BM32-BL32</f>
        <v/>
      </c>
      <c r="BO32" s="64">
        <f>IF(BL32=0,"",BM32/BL32)</f>
        <v/>
      </c>
      <c r="BP32" s="31" t="n"/>
      <c r="BQ32" s="60" t="n"/>
      <c r="BR32" s="60" t="n"/>
      <c r="BS32" s="60">
        <f>BR32-BQ32</f>
        <v/>
      </c>
      <c r="BT32" s="61">
        <f>IF(BQ32=0,"",BR32/BQ32)</f>
        <v/>
      </c>
      <c r="BU32" s="27" t="n"/>
      <c r="BV32" s="62" t="n"/>
      <c r="BW32" s="62" t="n"/>
      <c r="BX32" s="62">
        <f>BW32-BV32</f>
        <v/>
      </c>
      <c r="BY32" s="64">
        <f>IF(BV32=0,"",BW32/BV32)</f>
        <v/>
      </c>
      <c r="BZ32" s="31" t="n"/>
      <c r="CA32" s="60" t="n"/>
      <c r="CB32" s="60" t="n"/>
      <c r="CC32" s="60">
        <f>CB32-CA32</f>
        <v/>
      </c>
      <c r="CD32" s="61">
        <f>IF(CA32=0,"",CB32/CA32)</f>
        <v/>
      </c>
      <c r="CE32" s="27" t="n"/>
      <c r="CF32" s="62" t="n"/>
      <c r="CG32" s="62" t="n"/>
      <c r="CH32" s="62">
        <f>CG32-CF32</f>
        <v/>
      </c>
      <c r="CI32" s="64">
        <f>IF(CF32=0,"",CG32/CF32)</f>
        <v/>
      </c>
      <c r="CJ32" s="31" t="n"/>
      <c r="CK32" s="60" t="n"/>
      <c r="CL32" s="60" t="n"/>
      <c r="CM32" s="60">
        <f>CL32-CK32</f>
        <v/>
      </c>
      <c r="CN32" s="61">
        <f>IF(CK32=0,"",CL32/CK32)</f>
        <v/>
      </c>
      <c r="CO32" s="27" t="n"/>
      <c r="CP32" s="62" t="n"/>
      <c r="CQ32" s="62" t="n"/>
      <c r="CR32" s="62">
        <f>CQ32-CP32</f>
        <v/>
      </c>
      <c r="CS32" s="64">
        <f>IF(CP32=0,"",CQ32/CP32)</f>
        <v/>
      </c>
      <c r="CT32" s="31" t="n"/>
      <c r="CU32" s="60" t="n"/>
      <c r="CV32" s="60" t="n"/>
      <c r="CW32" s="60">
        <f>CV32-CU32</f>
        <v/>
      </c>
      <c r="CX32" s="61">
        <f>IF(CU32=0,"",CV32/CU32)</f>
        <v/>
      </c>
      <c r="CY32" s="27" t="n"/>
      <c r="CZ32" s="62" t="n"/>
      <c r="DA32" s="62" t="n"/>
      <c r="DB32" s="62">
        <f>DA32-CZ32</f>
        <v/>
      </c>
      <c r="DC32" s="64">
        <f>IF(CZ32=0,"",DA32/CZ32)</f>
        <v/>
      </c>
      <c r="DD32" s="31" t="n"/>
      <c r="DE32" s="60" t="n"/>
      <c r="DF32" s="60" t="n"/>
      <c r="DG32" s="60">
        <f>DF32-DE32</f>
        <v/>
      </c>
      <c r="DH32" s="61">
        <f>IF(DE32=0,"",DF32/DE32)</f>
        <v/>
      </c>
      <c r="DI32" s="27" t="n"/>
      <c r="DJ32" s="62" t="n"/>
      <c r="DK32" s="62" t="n"/>
      <c r="DL32" s="62">
        <f>DK32-DJ32</f>
        <v/>
      </c>
      <c r="DM32" s="64">
        <f>IF(DJ32=0,"",DK32/DJ32)</f>
        <v/>
      </c>
      <c r="DN32" s="31" t="n"/>
      <c r="DO32" s="60" t="n"/>
    </row>
    <row r="33" outlineLevel="1" ht="15" customHeight="1">
      <c r="A33" s="24" t="n"/>
      <c r="B33" s="24" t="n"/>
      <c r="C33" s="24" t="n"/>
      <c r="D33" s="60" t="n"/>
      <c r="E33" s="60" t="n"/>
      <c r="F33" s="60">
        <f>E33-D33</f>
        <v/>
      </c>
      <c r="G33" s="61">
        <f>IF(D33=0,"",E33/D33)</f>
        <v/>
      </c>
      <c r="H33" s="27" t="n"/>
      <c r="I33" s="60" t="n"/>
      <c r="J33" s="60" t="n"/>
      <c r="K33" s="60">
        <f>J33-I33</f>
        <v/>
      </c>
      <c r="L33" s="61">
        <f>IF(I33=0,"",J33/I33)</f>
        <v/>
      </c>
      <c r="M33" s="27" t="n"/>
      <c r="N33" s="62" t="n"/>
      <c r="O33" s="62" t="n"/>
      <c r="P33" s="62">
        <f>O33-N33</f>
        <v/>
      </c>
      <c r="Q33" s="64">
        <f>IF(N33=0,"",O33/N33)</f>
        <v/>
      </c>
      <c r="R33" s="31" t="n"/>
      <c r="S33" s="60" t="n"/>
      <c r="T33" s="60" t="n"/>
      <c r="U33" s="60">
        <f>T33-S33</f>
        <v/>
      </c>
      <c r="V33" s="61">
        <f>IF(S33=0,"",T33/S33)</f>
        <v/>
      </c>
      <c r="W33" s="27" t="n"/>
      <c r="X33" s="62" t="n"/>
      <c r="Y33" s="62" t="n"/>
      <c r="Z33" s="62">
        <f>Y33-X33</f>
        <v/>
      </c>
      <c r="AA33" s="64">
        <f>IF(X33=0,"",Y33/X33)</f>
        <v/>
      </c>
      <c r="AB33" s="31" t="n"/>
      <c r="AC33" s="60" t="n"/>
      <c r="AD33" s="60" t="n"/>
      <c r="AE33" s="60">
        <f>AD33-AC33</f>
        <v/>
      </c>
      <c r="AF33" s="61">
        <f>IF(AC33=0,"",AD33/AC33)</f>
        <v/>
      </c>
      <c r="AG33" s="27" t="n"/>
      <c r="AH33" s="62" t="n"/>
      <c r="AI33" s="62" t="n"/>
      <c r="AJ33" s="62">
        <f>AI33-AH33</f>
        <v/>
      </c>
      <c r="AK33" s="64">
        <f>IF(AH33=0,"",AI33/AH33)</f>
        <v/>
      </c>
      <c r="AL33" s="31" t="n"/>
      <c r="AM33" s="60" t="n"/>
      <c r="AN33" s="60" t="n"/>
      <c r="AO33" s="60">
        <f>AN33-AM33</f>
        <v/>
      </c>
      <c r="AP33" s="61">
        <f>IF(AM33=0,"",AN33/AM33)</f>
        <v/>
      </c>
      <c r="AQ33" s="27" t="n"/>
      <c r="AR33" s="62" t="n"/>
      <c r="AS33" s="62" t="n"/>
      <c r="AT33" s="62">
        <f>AS33-AR33</f>
        <v/>
      </c>
      <c r="AU33" s="64">
        <f>IF(AR33=0,"",AS33/AR33)</f>
        <v/>
      </c>
      <c r="AV33" s="31" t="n"/>
      <c r="AW33" s="60" t="n"/>
      <c r="AX33" s="60" t="n"/>
      <c r="AY33" s="60">
        <f>AX33-AW33</f>
        <v/>
      </c>
      <c r="AZ33" s="61">
        <f>IF(AW33=0,"",AX33/AW33)</f>
        <v/>
      </c>
      <c r="BA33" s="27" t="n"/>
      <c r="BB33" s="62" t="n"/>
      <c r="BC33" s="62" t="n"/>
      <c r="BD33" s="62">
        <f>BC33-BB33</f>
        <v/>
      </c>
      <c r="BE33" s="64">
        <f>IF(BB33=0,"",BC33/BB33)</f>
        <v/>
      </c>
      <c r="BF33" s="31" t="n"/>
      <c r="BG33" s="60" t="n"/>
      <c r="BH33" s="60" t="n"/>
      <c r="BI33" s="60">
        <f>BH33-BG33</f>
        <v/>
      </c>
      <c r="BJ33" s="61">
        <f>IF(BG33=0,"",BH33/BG33)</f>
        <v/>
      </c>
      <c r="BK33" s="27" t="n"/>
      <c r="BL33" s="62" t="n"/>
      <c r="BM33" s="62" t="n"/>
      <c r="BN33" s="62">
        <f>BM33-BL33</f>
        <v/>
      </c>
      <c r="BO33" s="64">
        <f>IF(BL33=0,"",BM33/BL33)</f>
        <v/>
      </c>
      <c r="BP33" s="31" t="n"/>
      <c r="BQ33" s="60" t="n"/>
      <c r="BR33" s="60" t="n"/>
      <c r="BS33" s="60">
        <f>BR33-BQ33</f>
        <v/>
      </c>
      <c r="BT33" s="61">
        <f>IF(BQ33=0,"",BR33/BQ33)</f>
        <v/>
      </c>
      <c r="BU33" s="27" t="n"/>
      <c r="BV33" s="62" t="n"/>
      <c r="BW33" s="62" t="n"/>
      <c r="BX33" s="62">
        <f>BW33-BV33</f>
        <v/>
      </c>
      <c r="BY33" s="64">
        <f>IF(BV33=0,"",BW33/BV33)</f>
        <v/>
      </c>
      <c r="BZ33" s="31" t="n"/>
      <c r="CA33" s="60" t="n"/>
      <c r="CB33" s="60" t="n"/>
      <c r="CC33" s="60">
        <f>CB33-CA33</f>
        <v/>
      </c>
      <c r="CD33" s="61">
        <f>IF(CA33=0,"",CB33/CA33)</f>
        <v/>
      </c>
      <c r="CE33" s="27" t="n"/>
      <c r="CF33" s="62" t="n"/>
      <c r="CG33" s="62" t="n"/>
      <c r="CH33" s="62">
        <f>CG33-CF33</f>
        <v/>
      </c>
      <c r="CI33" s="64">
        <f>IF(CF33=0,"",CG33/CF33)</f>
        <v/>
      </c>
      <c r="CJ33" s="31" t="n"/>
      <c r="CK33" s="60" t="n"/>
      <c r="CL33" s="60" t="n"/>
      <c r="CM33" s="60">
        <f>CL33-CK33</f>
        <v/>
      </c>
      <c r="CN33" s="61">
        <f>IF(CK33=0,"",CL33/CK33)</f>
        <v/>
      </c>
      <c r="CO33" s="27" t="n"/>
      <c r="CP33" s="62" t="n"/>
      <c r="CQ33" s="62" t="n"/>
      <c r="CR33" s="62">
        <f>CQ33-CP33</f>
        <v/>
      </c>
      <c r="CS33" s="64">
        <f>IF(CP33=0,"",CQ33/CP33)</f>
        <v/>
      </c>
      <c r="CT33" s="31" t="n"/>
      <c r="CU33" s="60" t="n"/>
      <c r="CV33" s="60" t="n"/>
      <c r="CW33" s="60">
        <f>CV33-CU33</f>
        <v/>
      </c>
      <c r="CX33" s="61">
        <f>IF(CU33=0,"",CV33/CU33)</f>
        <v/>
      </c>
      <c r="CY33" s="27" t="n"/>
      <c r="CZ33" s="62" t="n"/>
      <c r="DA33" s="62" t="n"/>
      <c r="DB33" s="62">
        <f>DA33-CZ33</f>
        <v/>
      </c>
      <c r="DC33" s="64">
        <f>IF(CZ33=0,"",DA33/CZ33)</f>
        <v/>
      </c>
      <c r="DD33" s="31" t="n"/>
      <c r="DE33" s="60" t="n"/>
      <c r="DF33" s="60" t="n"/>
      <c r="DG33" s="60">
        <f>DF33-DE33</f>
        <v/>
      </c>
      <c r="DH33" s="61">
        <f>IF(DE33=0,"",DF33/DE33)</f>
        <v/>
      </c>
      <c r="DI33" s="27" t="n"/>
      <c r="DJ33" s="62" t="n"/>
      <c r="DK33" s="62" t="n"/>
      <c r="DL33" s="62">
        <f>DK33-DJ33</f>
        <v/>
      </c>
      <c r="DM33" s="64">
        <f>IF(DJ33=0,"",DK33/DJ33)</f>
        <v/>
      </c>
      <c r="DN33" s="31" t="n"/>
      <c r="DO33" s="60" t="n"/>
    </row>
    <row r="34" outlineLevel="1" ht="15" customHeight="1">
      <c r="A34" s="24" t="n"/>
      <c r="B34" s="24" t="n"/>
      <c r="C34" s="24" t="n"/>
      <c r="D34" s="60" t="n"/>
      <c r="E34" s="60" t="n"/>
      <c r="F34" s="60">
        <f>E34-D34</f>
        <v/>
      </c>
      <c r="G34" s="61">
        <f>IF(D34=0,"",E34/D34)</f>
        <v/>
      </c>
      <c r="H34" s="27" t="n"/>
      <c r="I34" s="60" t="n"/>
      <c r="J34" s="60" t="n"/>
      <c r="K34" s="60">
        <f>J34-I34</f>
        <v/>
      </c>
      <c r="L34" s="61">
        <f>IF(I34=0,"",J34/I34)</f>
        <v/>
      </c>
      <c r="M34" s="27" t="n"/>
      <c r="N34" s="62" t="n"/>
      <c r="O34" s="62" t="n"/>
      <c r="P34" s="62">
        <f>O34-N34</f>
        <v/>
      </c>
      <c r="Q34" s="64">
        <f>IF(N34=0,"",O34/N34)</f>
        <v/>
      </c>
      <c r="R34" s="31" t="n"/>
      <c r="S34" s="60" t="n"/>
      <c r="T34" s="60" t="n"/>
      <c r="U34" s="60">
        <f>T34-S34</f>
        <v/>
      </c>
      <c r="V34" s="61">
        <f>IF(S34=0,"",T34/S34)</f>
        <v/>
      </c>
      <c r="W34" s="27" t="n"/>
      <c r="X34" s="62" t="n"/>
      <c r="Y34" s="62" t="n"/>
      <c r="Z34" s="62">
        <f>Y34-X34</f>
        <v/>
      </c>
      <c r="AA34" s="64">
        <f>IF(X34=0,"",Y34/X34)</f>
        <v/>
      </c>
      <c r="AB34" s="31" t="n"/>
      <c r="AC34" s="60" t="n"/>
      <c r="AD34" s="60" t="n"/>
      <c r="AE34" s="60">
        <f>AD34-AC34</f>
        <v/>
      </c>
      <c r="AF34" s="61">
        <f>IF(AC34=0,"",AD34/AC34)</f>
        <v/>
      </c>
      <c r="AG34" s="27" t="n"/>
      <c r="AH34" s="62" t="n"/>
      <c r="AI34" s="62" t="n"/>
      <c r="AJ34" s="62">
        <f>AI34-AH34</f>
        <v/>
      </c>
      <c r="AK34" s="64">
        <f>IF(AH34=0,"",AI34/AH34)</f>
        <v/>
      </c>
      <c r="AL34" s="31" t="n"/>
      <c r="AM34" s="60" t="n"/>
      <c r="AN34" s="60" t="n"/>
      <c r="AO34" s="60">
        <f>AN34-AM34</f>
        <v/>
      </c>
      <c r="AP34" s="61">
        <f>IF(AM34=0,"",AN34/AM34)</f>
        <v/>
      </c>
      <c r="AQ34" s="27" t="n"/>
      <c r="AR34" s="62" t="n"/>
      <c r="AS34" s="62" t="n"/>
      <c r="AT34" s="62">
        <f>AS34-AR34</f>
        <v/>
      </c>
      <c r="AU34" s="64">
        <f>IF(AR34=0,"",AS34/AR34)</f>
        <v/>
      </c>
      <c r="AV34" s="31" t="n"/>
      <c r="AW34" s="60" t="n"/>
      <c r="AX34" s="60" t="n"/>
      <c r="AY34" s="60">
        <f>AX34-AW34</f>
        <v/>
      </c>
      <c r="AZ34" s="61">
        <f>IF(AW34=0,"",AX34/AW34)</f>
        <v/>
      </c>
      <c r="BA34" s="27" t="n"/>
      <c r="BB34" s="62" t="n"/>
      <c r="BC34" s="62" t="n"/>
      <c r="BD34" s="62">
        <f>BC34-BB34</f>
        <v/>
      </c>
      <c r="BE34" s="64">
        <f>IF(BB34=0,"",BC34/BB34)</f>
        <v/>
      </c>
      <c r="BF34" s="31" t="n"/>
      <c r="BG34" s="60" t="n"/>
      <c r="BH34" s="60" t="n"/>
      <c r="BI34" s="60">
        <f>BH34-BG34</f>
        <v/>
      </c>
      <c r="BJ34" s="61">
        <f>IF(BG34=0,"",BH34/BG34)</f>
        <v/>
      </c>
      <c r="BK34" s="27" t="n"/>
      <c r="BL34" s="62" t="n"/>
      <c r="BM34" s="62" t="n"/>
      <c r="BN34" s="62">
        <f>BM34-BL34</f>
        <v/>
      </c>
      <c r="BO34" s="64">
        <f>IF(BL34=0,"",BM34/BL34)</f>
        <v/>
      </c>
      <c r="BP34" s="31" t="n"/>
      <c r="BQ34" s="60" t="n"/>
      <c r="BR34" s="60" t="n"/>
      <c r="BS34" s="60">
        <f>BR34-BQ34</f>
        <v/>
      </c>
      <c r="BT34" s="61">
        <f>IF(BQ34=0,"",BR34/BQ34)</f>
        <v/>
      </c>
      <c r="BU34" s="27" t="n"/>
      <c r="BV34" s="62" t="n"/>
      <c r="BW34" s="62" t="n"/>
      <c r="BX34" s="62">
        <f>BW34-BV34</f>
        <v/>
      </c>
      <c r="BY34" s="64">
        <f>IF(BV34=0,"",BW34/BV34)</f>
        <v/>
      </c>
      <c r="BZ34" s="31" t="n"/>
      <c r="CA34" s="60" t="n"/>
      <c r="CB34" s="60" t="n"/>
      <c r="CC34" s="60">
        <f>CB34-CA34</f>
        <v/>
      </c>
      <c r="CD34" s="61">
        <f>IF(CA34=0,"",CB34/CA34)</f>
        <v/>
      </c>
      <c r="CE34" s="27" t="n"/>
      <c r="CF34" s="62" t="n"/>
      <c r="CG34" s="62" t="n"/>
      <c r="CH34" s="62">
        <f>CG34-CF34</f>
        <v/>
      </c>
      <c r="CI34" s="64">
        <f>IF(CF34=0,"",CG34/CF34)</f>
        <v/>
      </c>
      <c r="CJ34" s="31" t="n"/>
      <c r="CK34" s="60" t="n"/>
      <c r="CL34" s="60" t="n"/>
      <c r="CM34" s="60">
        <f>CL34-CK34</f>
        <v/>
      </c>
      <c r="CN34" s="61">
        <f>IF(CK34=0,"",CL34/CK34)</f>
        <v/>
      </c>
      <c r="CO34" s="27" t="n"/>
      <c r="CP34" s="62" t="n"/>
      <c r="CQ34" s="62" t="n"/>
      <c r="CR34" s="62">
        <f>CQ34-CP34</f>
        <v/>
      </c>
      <c r="CS34" s="64">
        <f>IF(CP34=0,"",CQ34/CP34)</f>
        <v/>
      </c>
      <c r="CT34" s="31" t="n"/>
      <c r="CU34" s="60" t="n"/>
      <c r="CV34" s="60" t="n"/>
      <c r="CW34" s="60">
        <f>CV34-CU34</f>
        <v/>
      </c>
      <c r="CX34" s="61">
        <f>IF(CU34=0,"",CV34/CU34)</f>
        <v/>
      </c>
      <c r="CY34" s="27" t="n"/>
      <c r="CZ34" s="62" t="n"/>
      <c r="DA34" s="62" t="n"/>
      <c r="DB34" s="62">
        <f>DA34-CZ34</f>
        <v/>
      </c>
      <c r="DC34" s="64">
        <f>IF(CZ34=0,"",DA34/CZ34)</f>
        <v/>
      </c>
      <c r="DD34" s="31" t="n"/>
      <c r="DE34" s="60" t="n"/>
      <c r="DF34" s="60" t="n"/>
      <c r="DG34" s="60">
        <f>DF34-DE34</f>
        <v/>
      </c>
      <c r="DH34" s="61">
        <f>IF(DE34=0,"",DF34/DE34)</f>
        <v/>
      </c>
      <c r="DI34" s="27" t="n"/>
      <c r="DJ34" s="62" t="n"/>
      <c r="DK34" s="62" t="n"/>
      <c r="DL34" s="62">
        <f>DK34-DJ34</f>
        <v/>
      </c>
      <c r="DM34" s="64">
        <f>IF(DJ34=0,"",DK34/DJ34)</f>
        <v/>
      </c>
      <c r="DN34" s="31" t="n"/>
      <c r="DO34" s="60" t="n"/>
    </row>
    <row r="35" ht="15" customHeight="1">
      <c r="A35" s="32" t="n"/>
      <c r="B35" s="32" t="n"/>
      <c r="C35" s="32" t="n"/>
      <c r="D35" s="65">
        <f>D37+D38+D39+D41+D43+D44+D45+D47+D49+D50+D51+D52+D53+D54+D55+D56+D57+D58+D59+D60+D61+D62+D63+D64</f>
        <v/>
      </c>
      <c r="E35" s="65">
        <f>E37+E38+E39+E41+E43+E44+E45+E47+E49+E50+E51+E52+E53+E54+E55+E56+E57+E58+E59+E60+E61+E62+E63+E64</f>
        <v/>
      </c>
      <c r="F35" s="65">
        <f>E35-D35</f>
        <v/>
      </c>
      <c r="G35" s="66">
        <f>IF(D35=0,"",E35/D35)</f>
        <v/>
      </c>
      <c r="H35" s="35" t="n"/>
      <c r="I35" s="65">
        <f>I37+I38+I39+I41+I43+I44+I45+I47+I49+I50+I51+I52+I53+I54+I55+I56+I57+I58+I59+I60+I61+I62+I63+I64</f>
        <v/>
      </c>
      <c r="J35" s="65">
        <f>J37+J38+J39+J41+J43+J44+J45+J47+J49+J50+J51+J52+J53+J54+J55+J56+J57+J58+J59+J60+J61+J62+J63+J64</f>
        <v/>
      </c>
      <c r="K35" s="65">
        <f>J35-I35</f>
        <v/>
      </c>
      <c r="L35" s="66">
        <f>IF(I35=0,"",J35/I35)</f>
        <v/>
      </c>
      <c r="M35" s="35" t="n"/>
      <c r="N35" s="65">
        <f>N37+N38+N39+N41+N43+N44+N45+N47+N49+N50+N51+N52+N53+N54+N55+N56+N57+N58+N59+N60+N61+N62+N63+N64</f>
        <v/>
      </c>
      <c r="O35" s="65">
        <f>O37+O38+O39+O41+O43+O44+O45+O47+O49+O50+O51+O52+O53+O54+O55+O56+O57+O58+O59+O60+O61+O62+O63+O64</f>
        <v/>
      </c>
      <c r="P35" s="65">
        <f>O35-N35</f>
        <v/>
      </c>
      <c r="Q35" s="66">
        <f>IF(N35=0,"",O35/N35)</f>
        <v/>
      </c>
      <c r="R35" s="35" t="n"/>
      <c r="S35" s="65">
        <f>S37+S38+S39+S41+S43+S44+S45+S47+S49+S50+S51+S52+S53+S54+S55+S56+S57+S58+S59+S60+S61+S62+S63+S64</f>
        <v/>
      </c>
      <c r="T35" s="65">
        <f>T37+T38+T39+T41+T43+T44+T45+T47+T49+T50+T51+T52+T53+T54+T55+T56+T57+T58+T59+T60+T61+T62+T63+T64</f>
        <v/>
      </c>
      <c r="U35" s="65">
        <f>T35-S35</f>
        <v/>
      </c>
      <c r="V35" s="66">
        <f>IF(S35=0,"",T35/S35)</f>
        <v/>
      </c>
      <c r="W35" s="35" t="n"/>
      <c r="X35" s="65">
        <f>X37+X38+X39+X41+X43+X44+X45+X47+X49+X50+X51+X52+X53+X54+X55+X56+X57+X58+X59+X60+X61+X62+X63+X64</f>
        <v/>
      </c>
      <c r="Y35" s="65">
        <f>Y37+Y38+Y39+Y41+Y43+Y44+Y45+Y47+Y49+Y50+Y51+Y52+Y53+Y54+Y55+Y56+Y57+Y58+Y59+Y60+Y61+Y62+Y63+Y64</f>
        <v/>
      </c>
      <c r="Z35" s="65">
        <f>Y35-X35</f>
        <v/>
      </c>
      <c r="AA35" s="66">
        <f>IF(X35=0,"",Y35/X35)</f>
        <v/>
      </c>
      <c r="AB35" s="35" t="n"/>
      <c r="AC35" s="65">
        <f>AC37+AC38+AC39+AC41+AC43+AC44+AC45+AC47+AC49+AC50+AC51+AC52+AC53+AC54+AC55+AC56+AC57+AC58+AC59+AC60+AC61+AC62+AC63+AC64</f>
        <v/>
      </c>
      <c r="AD35" s="65">
        <f>AD37+AD38+AD39+AD41+AD43+AD44+AD45+AD47+AD49+AD50+AD51+AD52+AD53+AD54+AD55+AD56+AD57+AD58+AD59+AD60+AD61+AD62+AD63+AD64</f>
        <v/>
      </c>
      <c r="AE35" s="65">
        <f>AD35-AC35</f>
        <v/>
      </c>
      <c r="AF35" s="66">
        <f>IF(AC35=0,"",AD35/AC35)</f>
        <v/>
      </c>
      <c r="AG35" s="35" t="n"/>
      <c r="AH35" s="65">
        <f>AH37+AH38+AH39+AH41+AH43+AH44+AH45+AH47+AH49+AH50+AH51+AH52+AH53+AH54+AH55+AH56+AH57+AH58+AH59+AH60+AH61+AH62+AH63+AH64</f>
        <v/>
      </c>
      <c r="AI35" s="65">
        <f>AI37+AI38+AI39+AI41+AI43+AI44+AI45+AI47+AI49+AI50+AI51+AI52+AI53+AI54+AI55+AI56+AI57+AI58+AI59+AI60+AI61+AI62+AI63+AI64</f>
        <v/>
      </c>
      <c r="AJ35" s="65">
        <f>AI35-AH35</f>
        <v/>
      </c>
      <c r="AK35" s="66">
        <f>IF(AH35=0,"",AI35/AH35)</f>
        <v/>
      </c>
      <c r="AL35" s="35" t="n"/>
      <c r="AM35" s="65">
        <f>AM37+AM38+AM39+AM41+AM43+AM44+AM45+AM47+AM49+AM50+AM51+AM52+AM53+AM54+AM55+AM56+AM57+AM58+AM59+AM60+AM61+AM62+AM63+AM64</f>
        <v/>
      </c>
      <c r="AN35" s="65">
        <f>AN37+AN38+AN39+AN41+AN43+AN44+AN45+AN47+AN49+AN50+AN51+AN52+AN53+AN54+AN55+AN56+AN57+AN58+AN59+AN60+AN61+AN62+AN63+AN64</f>
        <v/>
      </c>
      <c r="AO35" s="65">
        <f>AN35-AM35</f>
        <v/>
      </c>
      <c r="AP35" s="66">
        <f>IF(AM35=0,"",AN35/AM35)</f>
        <v/>
      </c>
      <c r="AQ35" s="35" t="n"/>
      <c r="AR35" s="65">
        <f>AR37+AR38+AR39+AR41+AR43+AR44+AR45+AR47+AR49+AR50+AR51+AR52+AR53+AR54+AR55+AR56+AR57+AR58+AR59+AR60+AR61+AR62+AR63+AR64</f>
        <v/>
      </c>
      <c r="AS35" s="65">
        <f>AS37+AS38+AS39+AS41+AS43+AS44+AS45+AS47+AS49+AS50+AS51+AS52+AS53+AS54+AS55+AS56+AS57+AS58+AS59+AS60+AS61+AS62+AS63+AS64</f>
        <v/>
      </c>
      <c r="AT35" s="65">
        <f>AS35-AR35</f>
        <v/>
      </c>
      <c r="AU35" s="66">
        <f>IF(AR35=0,"",AS35/AR35)</f>
        <v/>
      </c>
      <c r="AV35" s="35" t="n"/>
      <c r="AW35" s="65">
        <f>AW37+AW38+AW39+AW41+AW43+AW44+AW45+AW47+AW49+AW50+AW51+AW52+AW53+AW54+AW55+AW56+AW57+AW58+AW59+AW60+AW61+AW62+AW63+AW64</f>
        <v/>
      </c>
      <c r="AX35" s="65">
        <f>AX37+AX38+AX39+AX41+AX43+AX44+AX45+AX47+AX49+AX50+AX51+AX52+AX53+AX54+AX55+AX56+AX57+AX58+AX59+AX60+AX61+AX62+AX63+AX64</f>
        <v/>
      </c>
      <c r="AY35" s="65">
        <f>AX35-AW35</f>
        <v/>
      </c>
      <c r="AZ35" s="66">
        <f>IF(AW35=0,"",AX35/AW35)</f>
        <v/>
      </c>
      <c r="BA35" s="35" t="n"/>
      <c r="BB35" s="65">
        <f>BB37+BB38+BB39+BB41+BB43+BB44+BB45+BB47+BB49+BB50+BB51+BB52+BB53+BB54+BB55+BB56+BB57+BB58+BB59+BB60+BB61+BB62+BB63+BB64</f>
        <v/>
      </c>
      <c r="BC35" s="65">
        <f>BC37+BC38+BC39+BC41+BC43+BC44+BC45+BC47+BC49+BC50+BC51+BC52+BC53+BC54+BC55+BC56+BC57+BC58+BC59+BC60+BC61+BC62+BC63+BC64</f>
        <v/>
      </c>
      <c r="BD35" s="65">
        <f>BC35-BB35</f>
        <v/>
      </c>
      <c r="BE35" s="66">
        <f>IF(BB35=0,"",BC35/BB35)</f>
        <v/>
      </c>
      <c r="BF35" s="35" t="n"/>
      <c r="BG35" s="65">
        <f>BG37+BG38+BG39+BG41+BG43+BG44+BG45+BG47+BG49+BG50+BG51+BG52+BG53+BG54+BG55+BG56+BG57+BG58+BG59+BG60+BG61+BG62+BG63+BG64</f>
        <v/>
      </c>
      <c r="BH35" s="65">
        <f>BH37+BH38+BH39+BH41+BH43+BH44+BH45+BH47+BH49+BH50+BH51+BH52+BH53+BH54+BH55+BH56+BH57+BH58+BH59+BH60+BH61+BH62+BH63+BH64</f>
        <v/>
      </c>
      <c r="BI35" s="65">
        <f>BH35-BG35</f>
        <v/>
      </c>
      <c r="BJ35" s="66">
        <f>IF(BG35=0,"",BH35/BG35)</f>
        <v/>
      </c>
      <c r="BK35" s="35" t="n"/>
      <c r="BL35" s="65">
        <f>BL37+BL38+BL39+BL41+BL43+BL44+BL45+BL47+BL49+BL50+BL51+BL52+BL53+BL54+BL55+BL56+BL57+BL58+BL59+BL60+BL61+BL62+BL63+BL64</f>
        <v/>
      </c>
      <c r="BM35" s="65">
        <f>BM37+BM38+BM39+BM41+BM43+BM44+BM45+BM47+BM49+BM50+BM51+BM52+BM53+BM54+BM55+BM56+BM57+BM58+BM59+BM60+BM61+BM62+BM63+BM64</f>
        <v/>
      </c>
      <c r="BN35" s="65">
        <f>BM35-BL35</f>
        <v/>
      </c>
      <c r="BO35" s="66">
        <f>IF(BL35=0,"",BM35/BL35)</f>
        <v/>
      </c>
      <c r="BP35" s="35" t="n"/>
      <c r="BQ35" s="65">
        <f>BQ37+BQ38+BQ39+BQ41+BQ43+BQ44+BQ45+BQ47+BQ49+BQ50+BQ51+BQ52+BQ53+BQ54+BQ55+BQ56+BQ57+BQ58+BQ59+BQ60+BQ61+BQ62+BQ63+BQ64</f>
        <v/>
      </c>
      <c r="BR35" s="65">
        <f>BR37+BR38+BR39+BR41+BR43+BR44+BR45+BR47+BR49+BR50+BR51+BR52+BR53+BR54+BR55+BR56+BR57+BR58+BR59+BR60+BR61+BR62+BR63+BR64</f>
        <v/>
      </c>
      <c r="BS35" s="65">
        <f>BR35-BQ35</f>
        <v/>
      </c>
      <c r="BT35" s="66">
        <f>IF(BQ35=0,"",BR35/BQ35)</f>
        <v/>
      </c>
      <c r="BU35" s="35" t="n"/>
      <c r="BV35" s="65">
        <f>BV37+BV38+BV39+BV41+BV43+BV44+BV45+BV47+BV49+BV50+BV51+BV52+BV53+BV54+BV55+BV56+BV57+BV58+BV59+BV60+BV61+BV62+BV63+BV64</f>
        <v/>
      </c>
      <c r="BW35" s="65">
        <f>BW37+BW38+BW39+BW41+BW43+BW44+BW45+BW47+BW49+BW50+BW51+BW52+BW53+BW54+BW55+BW56+BW57+BW58+BW59+BW60+BW61+BW62+BW63+BW64</f>
        <v/>
      </c>
      <c r="BX35" s="65">
        <f>BW35-BV35</f>
        <v/>
      </c>
      <c r="BY35" s="66">
        <f>IF(BV35=0,"",BW35/BV35)</f>
        <v/>
      </c>
      <c r="BZ35" s="35" t="n"/>
      <c r="CA35" s="65">
        <f>CA37+CA38+CA39+CA41+CA43+CA44+CA45+CA47+CA49+CA50+CA51+CA52+CA53+CA54+CA55+CA56+CA57+CA58+CA59+CA60+CA61+CA62+CA63+CA64</f>
        <v/>
      </c>
      <c r="CB35" s="65">
        <f>CB37+CB38+CB39+CB41+CB43+CB44+CB45+CB47+CB49+CB50+CB51+CB52+CB53+CB54+CB55+CB56+CB57+CB58+CB59+CB60+CB61+CB62+CB63+CB64</f>
        <v/>
      </c>
      <c r="CC35" s="65">
        <f>CB35-CA35</f>
        <v/>
      </c>
      <c r="CD35" s="66">
        <f>IF(CA35=0,"",CB35/CA35)</f>
        <v/>
      </c>
      <c r="CE35" s="35" t="n"/>
      <c r="CF35" s="65">
        <f>CF37+CF38+CF39+CF41+CF43+CF44+CF45+CF47+CF49+CF50+CF51+CF52+CF53+CF54+CF55+CF56+CF57+CF58+CF59+CF60+CF61+CF62+CF63+CF64</f>
        <v/>
      </c>
      <c r="CG35" s="65">
        <f>CG37+CG38+CG39+CG41+CG43+CG44+CG45+CG47+CG49+CG50+CG51+CG52+CG53+CG54+CG55+CG56+CG57+CG58+CG59+CG60+CG61+CG62+CG63+CG64</f>
        <v/>
      </c>
      <c r="CH35" s="65">
        <f>CG35-CF35</f>
        <v/>
      </c>
      <c r="CI35" s="66">
        <f>IF(CF35=0,"",CG35/CF35)</f>
        <v/>
      </c>
      <c r="CJ35" s="35" t="n"/>
      <c r="CK35" s="65">
        <f>CK37+CK38+CK39+CK41+CK43+CK44+CK45+CK47+CK49+CK50+CK51+CK52+CK53+CK54+CK55+CK56+CK57+CK58+CK59+CK60+CK61+CK62+CK63+CK64</f>
        <v/>
      </c>
      <c r="CL35" s="65">
        <f>CL37+CL38+CL39+CL41+CL43+CL44+CL45+CL47+CL49+CL50+CL51+CL52+CL53+CL54+CL55+CL56+CL57+CL58+CL59+CL60+CL61+CL62+CL63+CL64</f>
        <v/>
      </c>
      <c r="CM35" s="65">
        <f>CL35-CK35</f>
        <v/>
      </c>
      <c r="CN35" s="66">
        <f>IF(CK35=0,"",CL35/CK35)</f>
        <v/>
      </c>
      <c r="CO35" s="35" t="n"/>
      <c r="CP35" s="65">
        <f>CP37+CP38+CP39+CP41+CP43+CP44+CP45+CP47+CP49+CP50+CP51+CP52+CP53+CP54+CP55+CP56+CP57+CP58+CP59+CP60+CP61+CP62+CP63+CP64</f>
        <v/>
      </c>
      <c r="CQ35" s="65">
        <f>CQ37+CQ38+CQ39+CQ41+CQ43+CQ44+CQ45+CQ47+CQ49+CQ50+CQ51+CQ52+CQ53+CQ54+CQ55+CQ56+CQ57+CQ58+CQ59+CQ60+CQ61+CQ62+CQ63+CQ64</f>
        <v/>
      </c>
      <c r="CR35" s="65">
        <f>CQ35-CP35</f>
        <v/>
      </c>
      <c r="CS35" s="66">
        <f>IF(CP35=0,"",CQ35/CP35)</f>
        <v/>
      </c>
      <c r="CT35" s="35" t="n"/>
      <c r="CU35" s="65">
        <f>CU37+CU38+CU39+CU41+CU43+CU44+CU45+CU47+CU49+CU50+CU51+CU52+CU53+CU54+CU55+CU56+CU57+CU58+CU59+CU60+CU61+CU62+CU63+CU64</f>
        <v/>
      </c>
      <c r="CV35" s="65">
        <f>CV37+CV38+CV39+CV41+CV43+CV44+CV45+CV47+CV49+CV50+CV51+CV52+CV53+CV54+CV55+CV56+CV57+CV58+CV59+CV60+CV61+CV62+CV63+CV64</f>
        <v/>
      </c>
      <c r="CW35" s="65">
        <f>CV35-CU35</f>
        <v/>
      </c>
      <c r="CX35" s="66">
        <f>IF(CU35=0,"",CV35/CU35)</f>
        <v/>
      </c>
      <c r="CY35" s="35" t="n"/>
      <c r="CZ35" s="65">
        <f>CZ37+CZ38+CZ39+CZ41+CZ43+CZ44+CZ45+CZ47+CZ49+CZ50+CZ51+CZ52+CZ53+CZ54+CZ55+CZ56+CZ57+CZ58+CZ59+CZ60+CZ61+CZ62+CZ63+CZ64</f>
        <v/>
      </c>
      <c r="DA35" s="65">
        <f>DA37+DA38+DA39+DA41+DA43+DA44+DA45+DA47+DA49+DA50+DA51+DA52+DA53+DA54+DA55+DA56+DA57+DA58+DA59+DA60+DA61+DA62+DA63+DA64</f>
        <v/>
      </c>
      <c r="DB35" s="65">
        <f>DA35-CZ35</f>
        <v/>
      </c>
      <c r="DC35" s="66">
        <f>IF(CZ35=0,"",DA35/CZ35)</f>
        <v/>
      </c>
      <c r="DD35" s="35" t="n"/>
      <c r="DE35" s="65">
        <f>DE37+DE38+DE39+DE41+DE43+DE44+DE45+DE47+DE49+DE50+DE51+DE52+DE53+DE54+DE55+DE56+DE57+DE58+DE59+DE60+DE61+DE62+DE63+DE64</f>
        <v/>
      </c>
      <c r="DF35" s="65">
        <f>DF37+DF38+DF39+DF41+DF43+DF44+DF45+DF47+DF49+DF50+DF51+DF52+DF53+DF54+DF55+DF56+DF57+DF58+DF59+DF60+DF61+DF62+DF63+DF64</f>
        <v/>
      </c>
      <c r="DG35" s="65">
        <f>DF35-DE35</f>
        <v/>
      </c>
      <c r="DH35" s="66">
        <f>IF(DE35=0,"",DF35/DE35)</f>
        <v/>
      </c>
      <c r="DI35" s="35" t="n"/>
      <c r="DJ35" s="65">
        <f>DJ37+DJ38+DJ39+DJ41+DJ43+DJ44+DJ45+DJ47+DJ49+DJ50+DJ51+DJ52+DJ53+DJ54+DJ55+DJ56+DJ57+DJ58+DJ59+DJ60+DJ61+DJ62+DJ63+DJ64</f>
        <v/>
      </c>
      <c r="DK35" s="65">
        <f>DK37+DK38+DK39+DK41+DK43+DK44+DK45+DK47+DK49+DK50+DK51+DK52+DK53+DK54+DK55+DK56+DK57+DK58+DK59+DK60+DK61+DK62+DK63+DK64</f>
        <v/>
      </c>
      <c r="DL35" s="65">
        <f>DK35-DJ35</f>
        <v/>
      </c>
      <c r="DM35" s="66">
        <f>IF(DJ35=0,"",DK35/DJ35)</f>
        <v/>
      </c>
      <c r="DN35" s="35" t="n"/>
      <c r="DO35" s="65">
        <f>DO37+DO38+DO39+DO41+DO43+DO44+DO45+DO47+DO49+DO50+DO51+DO52+DO53+DO54+DO55+DO56+DO57+DO58+DO59+DO60+DO61+DO62+DO63+DO64</f>
        <v/>
      </c>
    </row>
    <row r="36" ht="15" customHeight="1">
      <c r="A36" s="19" t="n"/>
      <c r="B36" s="20" t="n"/>
      <c r="C36" s="19" t="n"/>
      <c r="D36" s="58">
        <f>D37+D38+D39</f>
        <v/>
      </c>
      <c r="E36" s="58">
        <f>E37+E38+E39</f>
        <v/>
      </c>
      <c r="F36" s="58">
        <f>E36-D36</f>
        <v/>
      </c>
      <c r="G36" s="59">
        <f>IF(D36=0,"",E36/D36)</f>
        <v/>
      </c>
      <c r="H36" s="23" t="n"/>
      <c r="I36" s="58">
        <f>I37+I38+I39</f>
        <v/>
      </c>
      <c r="J36" s="58">
        <f>J37+J38+J39</f>
        <v/>
      </c>
      <c r="K36" s="58">
        <f>J36-I36</f>
        <v/>
      </c>
      <c r="L36" s="59">
        <f>IF(I36=0,"",J36/I36)</f>
        <v/>
      </c>
      <c r="M36" s="23" t="n"/>
      <c r="N36" s="58">
        <f>N37+N38+N39</f>
        <v/>
      </c>
      <c r="O36" s="58">
        <f>O37+O38+O39</f>
        <v/>
      </c>
      <c r="P36" s="58">
        <f>O36-N36</f>
        <v/>
      </c>
      <c r="Q36" s="59">
        <f>IF(N36=0,"",O36/N36)</f>
        <v/>
      </c>
      <c r="R36" s="23" t="n"/>
      <c r="S36" s="58">
        <f>S37+S38+S39</f>
        <v/>
      </c>
      <c r="T36" s="58">
        <f>T37+T38+T39</f>
        <v/>
      </c>
      <c r="U36" s="58">
        <f>T36-S36</f>
        <v/>
      </c>
      <c r="V36" s="59">
        <f>IF(S36=0,"",T36/S36)</f>
        <v/>
      </c>
      <c r="W36" s="23" t="n"/>
      <c r="X36" s="58">
        <f>X37+X38+X39</f>
        <v/>
      </c>
      <c r="Y36" s="58">
        <f>Y37+Y38+Y39</f>
        <v/>
      </c>
      <c r="Z36" s="58">
        <f>Y36-X36</f>
        <v/>
      </c>
      <c r="AA36" s="59">
        <f>IF(X36=0,"",Y36/X36)</f>
        <v/>
      </c>
      <c r="AB36" s="23" t="n"/>
      <c r="AC36" s="58">
        <f>AC37+AC38+AC39</f>
        <v/>
      </c>
      <c r="AD36" s="58">
        <f>AD37+AD38+AD39</f>
        <v/>
      </c>
      <c r="AE36" s="58">
        <f>AD36-AC36</f>
        <v/>
      </c>
      <c r="AF36" s="59">
        <f>IF(AC36=0,"",AD36/AC36)</f>
        <v/>
      </c>
      <c r="AG36" s="23" t="n"/>
      <c r="AH36" s="58">
        <f>AH37+AH38+AH39</f>
        <v/>
      </c>
      <c r="AI36" s="58">
        <f>AI37+AI38+AI39</f>
        <v/>
      </c>
      <c r="AJ36" s="58">
        <f>AI36-AH36</f>
        <v/>
      </c>
      <c r="AK36" s="59">
        <f>IF(AH36=0,"",AI36/AH36)</f>
        <v/>
      </c>
      <c r="AL36" s="23" t="n"/>
      <c r="AM36" s="58">
        <f>AM37+AM38+AM39</f>
        <v/>
      </c>
      <c r="AN36" s="58">
        <f>AN37+AN38+AN39</f>
        <v/>
      </c>
      <c r="AO36" s="58">
        <f>AN36-AM36</f>
        <v/>
      </c>
      <c r="AP36" s="59">
        <f>IF(AM36=0,"",AN36/AM36)</f>
        <v/>
      </c>
      <c r="AQ36" s="23" t="n"/>
      <c r="AR36" s="58">
        <f>AR37+AR38+AR39</f>
        <v/>
      </c>
      <c r="AS36" s="58">
        <f>AS37+AS38+AS39</f>
        <v/>
      </c>
      <c r="AT36" s="58">
        <f>AS36-AR36</f>
        <v/>
      </c>
      <c r="AU36" s="59">
        <f>IF(AR36=0,"",AS36/AR36)</f>
        <v/>
      </c>
      <c r="AV36" s="23" t="n"/>
      <c r="AW36" s="58">
        <f>AW37+AW38+AW39</f>
        <v/>
      </c>
      <c r="AX36" s="58">
        <f>AX37+AX38+AX39</f>
        <v/>
      </c>
      <c r="AY36" s="58">
        <f>AX36-AW36</f>
        <v/>
      </c>
      <c r="AZ36" s="59">
        <f>IF(AW36=0,"",AX36/AW36)</f>
        <v/>
      </c>
      <c r="BA36" s="23" t="n"/>
      <c r="BB36" s="58">
        <f>BB37+BB38+BB39</f>
        <v/>
      </c>
      <c r="BC36" s="58">
        <f>BC37+BC38+BC39</f>
        <v/>
      </c>
      <c r="BD36" s="58">
        <f>BC36-BB36</f>
        <v/>
      </c>
      <c r="BE36" s="59">
        <f>IF(BB36=0,"",BC36/BB36)</f>
        <v/>
      </c>
      <c r="BF36" s="23" t="n"/>
      <c r="BG36" s="58">
        <f>BG37+BG38+BG39</f>
        <v/>
      </c>
      <c r="BH36" s="58">
        <f>BH37+BH38+BH39</f>
        <v/>
      </c>
      <c r="BI36" s="58">
        <f>BH36-BG36</f>
        <v/>
      </c>
      <c r="BJ36" s="59">
        <f>IF(BG36=0,"",BH36/BG36)</f>
        <v/>
      </c>
      <c r="BK36" s="23" t="n"/>
      <c r="BL36" s="58">
        <f>BL37+BL38+BL39</f>
        <v/>
      </c>
      <c r="BM36" s="58">
        <f>BM37+BM38+BM39</f>
        <v/>
      </c>
      <c r="BN36" s="58">
        <f>BM36-BL36</f>
        <v/>
      </c>
      <c r="BO36" s="59">
        <f>IF(BL36=0,"",BM36/BL36)</f>
        <v/>
      </c>
      <c r="BP36" s="23" t="n"/>
      <c r="BQ36" s="58">
        <f>BQ37+BQ38+BQ39</f>
        <v/>
      </c>
      <c r="BR36" s="58">
        <f>BR37+BR38+BR39</f>
        <v/>
      </c>
      <c r="BS36" s="58">
        <f>BR36-BQ36</f>
        <v/>
      </c>
      <c r="BT36" s="59">
        <f>IF(BQ36=0,"",BR36/BQ36)</f>
        <v/>
      </c>
      <c r="BU36" s="23" t="n"/>
      <c r="BV36" s="58">
        <f>BV37+BV38+BV39</f>
        <v/>
      </c>
      <c r="BW36" s="58">
        <f>BW37+BW38+BW39</f>
        <v/>
      </c>
      <c r="BX36" s="58">
        <f>BW36-BV36</f>
        <v/>
      </c>
      <c r="BY36" s="59">
        <f>IF(BV36=0,"",BW36/BV36)</f>
        <v/>
      </c>
      <c r="BZ36" s="23" t="n"/>
      <c r="CA36" s="58">
        <f>CA37+CA38+CA39</f>
        <v/>
      </c>
      <c r="CB36" s="58">
        <f>CB37+CB38+CB39</f>
        <v/>
      </c>
      <c r="CC36" s="58">
        <f>CB36-CA36</f>
        <v/>
      </c>
      <c r="CD36" s="59">
        <f>IF(CA36=0,"",CB36/CA36)</f>
        <v/>
      </c>
      <c r="CE36" s="23" t="n"/>
      <c r="CF36" s="58">
        <f>CF37+CF38+CF39</f>
        <v/>
      </c>
      <c r="CG36" s="58">
        <f>CG37+CG38+CG39</f>
        <v/>
      </c>
      <c r="CH36" s="58">
        <f>CG36-CF36</f>
        <v/>
      </c>
      <c r="CI36" s="59">
        <f>IF(CF36=0,"",CG36/CF36)</f>
        <v/>
      </c>
      <c r="CJ36" s="23" t="n"/>
      <c r="CK36" s="58">
        <f>CK37+CK38+CK39</f>
        <v/>
      </c>
      <c r="CL36" s="58">
        <f>CL37+CL38+CL39</f>
        <v/>
      </c>
      <c r="CM36" s="58">
        <f>CL36-CK36</f>
        <v/>
      </c>
      <c r="CN36" s="59">
        <f>IF(CK36=0,"",CL36/CK36)</f>
        <v/>
      </c>
      <c r="CO36" s="23" t="n"/>
      <c r="CP36" s="58">
        <f>CP37+CP38+CP39</f>
        <v/>
      </c>
      <c r="CQ36" s="58">
        <f>CQ37+CQ38+CQ39</f>
        <v/>
      </c>
      <c r="CR36" s="58">
        <f>CQ36-CP36</f>
        <v/>
      </c>
      <c r="CS36" s="59">
        <f>IF(CP36=0,"",CQ36/CP36)</f>
        <v/>
      </c>
      <c r="CT36" s="23" t="n"/>
      <c r="CU36" s="58">
        <f>CU37+CU38+CU39</f>
        <v/>
      </c>
      <c r="CV36" s="58">
        <f>CV37+CV38+CV39</f>
        <v/>
      </c>
      <c r="CW36" s="58">
        <f>CV36-CU36</f>
        <v/>
      </c>
      <c r="CX36" s="59">
        <f>IF(CU36=0,"",CV36/CU36)</f>
        <v/>
      </c>
      <c r="CY36" s="23" t="n"/>
      <c r="CZ36" s="58">
        <f>CZ37+CZ38+CZ39</f>
        <v/>
      </c>
      <c r="DA36" s="58">
        <f>DA37+DA38+DA39</f>
        <v/>
      </c>
      <c r="DB36" s="58">
        <f>DA36-CZ36</f>
        <v/>
      </c>
      <c r="DC36" s="59">
        <f>IF(CZ36=0,"",DA36/CZ36)</f>
        <v/>
      </c>
      <c r="DD36" s="23" t="n"/>
      <c r="DE36" s="58">
        <f>DE37+DE38+DE39</f>
        <v/>
      </c>
      <c r="DF36" s="58">
        <f>DF37+DF38+DF39</f>
        <v/>
      </c>
      <c r="DG36" s="58">
        <f>DF36-DE36</f>
        <v/>
      </c>
      <c r="DH36" s="59">
        <f>IF(DE36=0,"",DF36/DE36)</f>
        <v/>
      </c>
      <c r="DI36" s="23" t="n"/>
      <c r="DJ36" s="58">
        <f>DJ37+DJ38+DJ39</f>
        <v/>
      </c>
      <c r="DK36" s="58">
        <f>DK37+DK38+DK39</f>
        <v/>
      </c>
      <c r="DL36" s="58">
        <f>DK36-DJ36</f>
        <v/>
      </c>
      <c r="DM36" s="59">
        <f>IF(DJ36=0,"",DK36/DJ36)</f>
        <v/>
      </c>
      <c r="DN36" s="23" t="n"/>
      <c r="DO36" s="58">
        <f>DO37+DO38+DO39</f>
        <v/>
      </c>
    </row>
    <row r="37" outlineLevel="1" ht="15" customHeight="1">
      <c r="A37" s="24" t="n"/>
      <c r="B37" s="24" t="n"/>
      <c r="C37" s="24" t="n"/>
      <c r="D37" s="60" t="n"/>
      <c r="E37" s="60" t="n"/>
      <c r="F37" s="60">
        <f>E37-D37</f>
        <v/>
      </c>
      <c r="G37" s="61">
        <f>IF(D37=0,"",E37/D37)</f>
        <v/>
      </c>
      <c r="H37" s="27" t="n"/>
      <c r="I37" s="60" t="n"/>
      <c r="J37" s="60" t="n"/>
      <c r="K37" s="60">
        <f>J37-I37</f>
        <v/>
      </c>
      <c r="L37" s="61">
        <f>IF(I37=0,"",J37/I37)</f>
        <v/>
      </c>
      <c r="M37" s="27" t="n"/>
      <c r="N37" s="62" t="n"/>
      <c r="O37" s="62" t="n"/>
      <c r="P37" s="63">
        <f>O37-N37</f>
        <v/>
      </c>
      <c r="Q37" s="64">
        <f>IF(N37=0,"",O37/N37)</f>
        <v/>
      </c>
      <c r="R37" s="31" t="n"/>
      <c r="S37" s="60" t="n"/>
      <c r="T37" s="60" t="n"/>
      <c r="U37" s="60">
        <f>T37-S37</f>
        <v/>
      </c>
      <c r="V37" s="61">
        <f>IF(S37=0,"",T37/S37)</f>
        <v/>
      </c>
      <c r="W37" s="27" t="n"/>
      <c r="X37" s="62" t="n"/>
      <c r="Y37" s="62" t="n"/>
      <c r="Z37" s="63">
        <f>Y37-X37</f>
        <v/>
      </c>
      <c r="AA37" s="64">
        <f>IF(X37=0,"",Y37/X37)</f>
        <v/>
      </c>
      <c r="AB37" s="31" t="n"/>
      <c r="AC37" s="60" t="n"/>
      <c r="AD37" s="60" t="n"/>
      <c r="AE37" s="60">
        <f>AD37-AC37</f>
        <v/>
      </c>
      <c r="AF37" s="61">
        <f>IF(AC37=0,"",AD37/AC37)</f>
        <v/>
      </c>
      <c r="AG37" s="27" t="n"/>
      <c r="AH37" s="62" t="n"/>
      <c r="AI37" s="62" t="n"/>
      <c r="AJ37" s="62">
        <f>AI37-AH37</f>
        <v/>
      </c>
      <c r="AK37" s="64">
        <f>IF(AH37=0,"",AI37/AH37)</f>
        <v/>
      </c>
      <c r="AL37" s="31" t="n"/>
      <c r="AM37" s="60" t="n"/>
      <c r="AN37" s="60" t="n"/>
      <c r="AO37" s="60">
        <f>AN37-AM37</f>
        <v/>
      </c>
      <c r="AP37" s="61">
        <f>IF(AM37=0,"",AN37/AM37)</f>
        <v/>
      </c>
      <c r="AQ37" s="27" t="n"/>
      <c r="AR37" s="62" t="n"/>
      <c r="AS37" s="62" t="n"/>
      <c r="AT37" s="62">
        <f>AS37-AR37</f>
        <v/>
      </c>
      <c r="AU37" s="64">
        <f>IF(AR37=0,"",AS37/AR37)</f>
        <v/>
      </c>
      <c r="AV37" s="31" t="n"/>
      <c r="AW37" s="60" t="n"/>
      <c r="AX37" s="60" t="n"/>
      <c r="AY37" s="60">
        <f>AX37-AW37</f>
        <v/>
      </c>
      <c r="AZ37" s="61">
        <f>IF(AW37=0,"",AX37/AW37)</f>
        <v/>
      </c>
      <c r="BA37" s="27" t="n"/>
      <c r="BB37" s="62" t="n"/>
      <c r="BC37" s="62" t="n"/>
      <c r="BD37" s="62">
        <f>BC37-BB37</f>
        <v/>
      </c>
      <c r="BE37" s="64">
        <f>IF(BB37=0,"",BC37/BB37)</f>
        <v/>
      </c>
      <c r="BF37" s="31" t="n"/>
      <c r="BG37" s="60" t="n"/>
      <c r="BH37" s="60" t="n"/>
      <c r="BI37" s="60">
        <f>BH37-BG37</f>
        <v/>
      </c>
      <c r="BJ37" s="61">
        <f>IF(BG37=0,"",BH37/BG37)</f>
        <v/>
      </c>
      <c r="BK37" s="27" t="n"/>
      <c r="BL37" s="62" t="n"/>
      <c r="BM37" s="62" t="n"/>
      <c r="BN37" s="62">
        <f>BM37-BL37</f>
        <v/>
      </c>
      <c r="BO37" s="64">
        <f>IF(BL37=0,"",BM37/BL37)</f>
        <v/>
      </c>
      <c r="BP37" s="31" t="n"/>
      <c r="BQ37" s="60" t="n"/>
      <c r="BR37" s="60" t="n"/>
      <c r="BS37" s="60">
        <f>BR37-BQ37</f>
        <v/>
      </c>
      <c r="BT37" s="61">
        <f>IF(BQ37=0,"",BR37/BQ37)</f>
        <v/>
      </c>
      <c r="BU37" s="27" t="n"/>
      <c r="BV37" s="62" t="n"/>
      <c r="BW37" s="62" t="n"/>
      <c r="BX37" s="62">
        <f>BW37-BV37</f>
        <v/>
      </c>
      <c r="BY37" s="64">
        <f>IF(BV37=0,"",BW37/BV37)</f>
        <v/>
      </c>
      <c r="BZ37" s="31" t="n"/>
      <c r="CA37" s="60" t="n"/>
      <c r="CB37" s="60" t="n"/>
      <c r="CC37" s="60">
        <f>CB37-CA37</f>
        <v/>
      </c>
      <c r="CD37" s="61">
        <f>IF(CA37=0,"",CB37/CA37)</f>
        <v/>
      </c>
      <c r="CE37" s="27" t="n"/>
      <c r="CF37" s="62" t="n"/>
      <c r="CG37" s="62" t="n"/>
      <c r="CH37" s="62">
        <f>CG37-CF37</f>
        <v/>
      </c>
      <c r="CI37" s="64">
        <f>IF(CF37=0,"",CG37/CF37)</f>
        <v/>
      </c>
      <c r="CJ37" s="31" t="n"/>
      <c r="CK37" s="60" t="n"/>
      <c r="CL37" s="60" t="n"/>
      <c r="CM37" s="60">
        <f>CL37-CK37</f>
        <v/>
      </c>
      <c r="CN37" s="61">
        <f>IF(CK37=0,"",CL37/CK37)</f>
        <v/>
      </c>
      <c r="CO37" s="27" t="n"/>
      <c r="CP37" s="62" t="n"/>
      <c r="CQ37" s="62" t="n"/>
      <c r="CR37" s="62">
        <f>CQ37-CP37</f>
        <v/>
      </c>
      <c r="CS37" s="64">
        <f>IF(CP37=0,"",CQ37/CP37)</f>
        <v/>
      </c>
      <c r="CT37" s="31" t="n"/>
      <c r="CU37" s="60" t="n"/>
      <c r="CV37" s="60" t="n"/>
      <c r="CW37" s="60">
        <f>CV37-CU37</f>
        <v/>
      </c>
      <c r="CX37" s="61">
        <f>IF(CU37=0,"",CV37/CU37)</f>
        <v/>
      </c>
      <c r="CY37" s="27" t="n"/>
      <c r="CZ37" s="62" t="n"/>
      <c r="DA37" s="62" t="n"/>
      <c r="DB37" s="62">
        <f>DA37-CZ37</f>
        <v/>
      </c>
      <c r="DC37" s="64">
        <f>IF(CZ37=0,"",DA37/CZ37)</f>
        <v/>
      </c>
      <c r="DD37" s="31" t="n"/>
      <c r="DE37" s="60" t="n"/>
      <c r="DF37" s="60" t="n"/>
      <c r="DG37" s="60">
        <f>DF37-DE37</f>
        <v/>
      </c>
      <c r="DH37" s="61">
        <f>IF(DE37=0,"",DF37/DE37)</f>
        <v/>
      </c>
      <c r="DI37" s="27" t="n"/>
      <c r="DJ37" s="62" t="n"/>
      <c r="DK37" s="62" t="n"/>
      <c r="DL37" s="62">
        <f>DK37-DJ37</f>
        <v/>
      </c>
      <c r="DM37" s="64">
        <f>IF(DJ37=0,"",DK37/DJ37)</f>
        <v/>
      </c>
      <c r="DN37" s="31" t="n"/>
      <c r="DO37" s="60" t="n"/>
    </row>
    <row r="38" outlineLevel="1" ht="15" customHeight="1">
      <c r="A38" s="24" t="n"/>
      <c r="B38" s="24" t="n"/>
      <c r="C38" s="24" t="n"/>
      <c r="D38" s="60" t="n"/>
      <c r="E38" s="60" t="n"/>
      <c r="F38" s="60">
        <f>E38-D38</f>
        <v/>
      </c>
      <c r="G38" s="61">
        <f>IF(D38=0,"",E38/D38)</f>
        <v/>
      </c>
      <c r="H38" s="27" t="n"/>
      <c r="I38" s="60" t="n"/>
      <c r="J38" s="60" t="n"/>
      <c r="K38" s="60">
        <f>J38-I38</f>
        <v/>
      </c>
      <c r="L38" s="61">
        <f>IF(I38=0,"",J38/I38)</f>
        <v/>
      </c>
      <c r="M38" s="27" t="n"/>
      <c r="N38" s="62" t="n"/>
      <c r="O38" s="62" t="n"/>
      <c r="P38" s="62">
        <f>O38-N38</f>
        <v/>
      </c>
      <c r="Q38" s="64">
        <f>IF(N38=0,"",O38/N38)</f>
        <v/>
      </c>
      <c r="R38" s="31" t="n"/>
      <c r="S38" s="60" t="n"/>
      <c r="T38" s="60" t="n"/>
      <c r="U38" s="60">
        <f>T38-S38</f>
        <v/>
      </c>
      <c r="V38" s="61">
        <f>IF(S38=0,"",T38/S38)</f>
        <v/>
      </c>
      <c r="W38" s="27" t="n"/>
      <c r="X38" s="62" t="n"/>
      <c r="Y38" s="62" t="n"/>
      <c r="Z38" s="62">
        <f>Y38-X38</f>
        <v/>
      </c>
      <c r="AA38" s="64">
        <f>IF(X38=0,"",Y38/X38)</f>
        <v/>
      </c>
      <c r="AB38" s="31" t="n"/>
      <c r="AC38" s="60" t="n"/>
      <c r="AD38" s="60" t="n"/>
      <c r="AE38" s="60">
        <f>AD38-AC38</f>
        <v/>
      </c>
      <c r="AF38" s="61">
        <f>IF(AC38=0,"",AD38/AC38)</f>
        <v/>
      </c>
      <c r="AG38" s="27" t="n"/>
      <c r="AH38" s="62" t="n"/>
      <c r="AI38" s="62" t="n"/>
      <c r="AJ38" s="62">
        <f>AI38-AH38</f>
        <v/>
      </c>
      <c r="AK38" s="64">
        <f>IF(AH38=0,"",AI38/AH38)</f>
        <v/>
      </c>
      <c r="AL38" s="31" t="n"/>
      <c r="AM38" s="60" t="n"/>
      <c r="AN38" s="60" t="n"/>
      <c r="AO38" s="60">
        <f>AN38-AM38</f>
        <v/>
      </c>
      <c r="AP38" s="61">
        <f>IF(AM38=0,"",AN38/AM38)</f>
        <v/>
      </c>
      <c r="AQ38" s="27" t="n"/>
      <c r="AR38" s="62" t="n"/>
      <c r="AS38" s="62" t="n"/>
      <c r="AT38" s="62">
        <f>AS38-AR38</f>
        <v/>
      </c>
      <c r="AU38" s="64">
        <f>IF(AR38=0,"",AS38/AR38)</f>
        <v/>
      </c>
      <c r="AV38" s="31" t="n"/>
      <c r="AW38" s="60" t="n"/>
      <c r="AX38" s="60" t="n"/>
      <c r="AY38" s="60">
        <f>AX38-AW38</f>
        <v/>
      </c>
      <c r="AZ38" s="61">
        <f>IF(AW38=0,"",AX38/AW38)</f>
        <v/>
      </c>
      <c r="BA38" s="27" t="n"/>
      <c r="BB38" s="62" t="n"/>
      <c r="BC38" s="62" t="n"/>
      <c r="BD38" s="62">
        <f>BC38-BB38</f>
        <v/>
      </c>
      <c r="BE38" s="64">
        <f>IF(BB38=0,"",BC38/BB38)</f>
        <v/>
      </c>
      <c r="BF38" s="31" t="n"/>
      <c r="BG38" s="60" t="n"/>
      <c r="BH38" s="60" t="n"/>
      <c r="BI38" s="60">
        <f>BH38-BG38</f>
        <v/>
      </c>
      <c r="BJ38" s="61">
        <f>IF(BG38=0,"",BH38/BG38)</f>
        <v/>
      </c>
      <c r="BK38" s="27" t="n"/>
      <c r="BL38" s="62" t="n"/>
      <c r="BM38" s="62" t="n"/>
      <c r="BN38" s="62">
        <f>BM38-BL38</f>
        <v/>
      </c>
      <c r="BO38" s="64">
        <f>IF(BL38=0,"",BM38/BL38)</f>
        <v/>
      </c>
      <c r="BP38" s="31" t="n"/>
      <c r="BQ38" s="60" t="n"/>
      <c r="BR38" s="60" t="n"/>
      <c r="BS38" s="60">
        <f>BR38-BQ38</f>
        <v/>
      </c>
      <c r="BT38" s="61">
        <f>IF(BQ38=0,"",BR38/BQ38)</f>
        <v/>
      </c>
      <c r="BU38" s="27" t="n"/>
      <c r="BV38" s="62" t="n"/>
      <c r="BW38" s="62" t="n"/>
      <c r="BX38" s="62">
        <f>BW38-BV38</f>
        <v/>
      </c>
      <c r="BY38" s="64">
        <f>IF(BV38=0,"",BW38/BV38)</f>
        <v/>
      </c>
      <c r="BZ38" s="31" t="n"/>
      <c r="CA38" s="60" t="n"/>
      <c r="CB38" s="60" t="n"/>
      <c r="CC38" s="60">
        <f>CB38-CA38</f>
        <v/>
      </c>
      <c r="CD38" s="61">
        <f>IF(CA38=0,"",CB38/CA38)</f>
        <v/>
      </c>
      <c r="CE38" s="27" t="n"/>
      <c r="CF38" s="62" t="n"/>
      <c r="CG38" s="62" t="n"/>
      <c r="CH38" s="62">
        <f>CG38-CF38</f>
        <v/>
      </c>
      <c r="CI38" s="64">
        <f>IF(CF38=0,"",CG38/CF38)</f>
        <v/>
      </c>
      <c r="CJ38" s="31" t="n"/>
      <c r="CK38" s="60" t="n"/>
      <c r="CL38" s="60" t="n"/>
      <c r="CM38" s="60">
        <f>CL38-CK38</f>
        <v/>
      </c>
      <c r="CN38" s="61">
        <f>IF(CK38=0,"",CL38/CK38)</f>
        <v/>
      </c>
      <c r="CO38" s="27" t="n"/>
      <c r="CP38" s="62" t="n"/>
      <c r="CQ38" s="62" t="n"/>
      <c r="CR38" s="62">
        <f>CQ38-CP38</f>
        <v/>
      </c>
      <c r="CS38" s="64">
        <f>IF(CP38=0,"",CQ38/CP38)</f>
        <v/>
      </c>
      <c r="CT38" s="31" t="n"/>
      <c r="CU38" s="60" t="n"/>
      <c r="CV38" s="60" t="n"/>
      <c r="CW38" s="60">
        <f>CV38-CU38</f>
        <v/>
      </c>
      <c r="CX38" s="61">
        <f>IF(CU38=0,"",CV38/CU38)</f>
        <v/>
      </c>
      <c r="CY38" s="27" t="n"/>
      <c r="CZ38" s="62" t="n"/>
      <c r="DA38" s="62" t="n"/>
      <c r="DB38" s="62">
        <f>DA38-CZ38</f>
        <v/>
      </c>
      <c r="DC38" s="64">
        <f>IF(CZ38=0,"",DA38/CZ38)</f>
        <v/>
      </c>
      <c r="DD38" s="31" t="n"/>
      <c r="DE38" s="60" t="n"/>
      <c r="DF38" s="60" t="n"/>
      <c r="DG38" s="60">
        <f>DF38-DE38</f>
        <v/>
      </c>
      <c r="DH38" s="61">
        <f>IF(DE38=0,"",DF38/DE38)</f>
        <v/>
      </c>
      <c r="DI38" s="27" t="n"/>
      <c r="DJ38" s="62" t="n"/>
      <c r="DK38" s="62" t="n"/>
      <c r="DL38" s="62">
        <f>DK38-DJ38</f>
        <v/>
      </c>
      <c r="DM38" s="64">
        <f>IF(DJ38=0,"",DK38/DJ38)</f>
        <v/>
      </c>
      <c r="DN38" s="31" t="n"/>
      <c r="DO38" s="60" t="n"/>
    </row>
    <row r="39" outlineLevel="1" ht="15" customHeight="1">
      <c r="A39" s="24" t="n"/>
      <c r="B39" s="24" t="n"/>
      <c r="C39" s="24" t="n"/>
      <c r="D39" s="60" t="n"/>
      <c r="E39" s="60" t="n"/>
      <c r="F39" s="60">
        <f>E39-D39</f>
        <v/>
      </c>
      <c r="G39" s="61">
        <f>IF(D39=0,"",E39/D39)</f>
        <v/>
      </c>
      <c r="H39" s="27" t="n"/>
      <c r="I39" s="60" t="n"/>
      <c r="J39" s="60" t="n"/>
      <c r="K39" s="60">
        <f>J39-I39</f>
        <v/>
      </c>
      <c r="L39" s="61">
        <f>IF(I39=0,"",J39/I39)</f>
        <v/>
      </c>
      <c r="M39" s="27" t="n"/>
      <c r="N39" s="62" t="n"/>
      <c r="O39" s="62" t="n"/>
      <c r="P39" s="62">
        <f>O39-N39</f>
        <v/>
      </c>
      <c r="Q39" s="64">
        <f>IF(N39=0,"",O39/N39)</f>
        <v/>
      </c>
      <c r="R39" s="31" t="n"/>
      <c r="S39" s="60" t="n"/>
      <c r="T39" s="60" t="n"/>
      <c r="U39" s="60">
        <f>T39-S39</f>
        <v/>
      </c>
      <c r="V39" s="61">
        <f>IF(S39=0,"",T39/S39)</f>
        <v/>
      </c>
      <c r="W39" s="27" t="n"/>
      <c r="X39" s="62" t="n"/>
      <c r="Y39" s="62" t="n"/>
      <c r="Z39" s="62">
        <f>Y39-X39</f>
        <v/>
      </c>
      <c r="AA39" s="64">
        <f>IF(X39=0,"",Y39/X39)</f>
        <v/>
      </c>
      <c r="AB39" s="31" t="n"/>
      <c r="AC39" s="60" t="n"/>
      <c r="AD39" s="60" t="n"/>
      <c r="AE39" s="60">
        <f>AD39-AC39</f>
        <v/>
      </c>
      <c r="AF39" s="61">
        <f>IF(AC39=0,"",AD39/AC39)</f>
        <v/>
      </c>
      <c r="AG39" s="27" t="n"/>
      <c r="AH39" s="62" t="n"/>
      <c r="AI39" s="62" t="n"/>
      <c r="AJ39" s="62">
        <f>AI39-AH39</f>
        <v/>
      </c>
      <c r="AK39" s="64">
        <f>IF(AH39=0,"",AI39/AH39)</f>
        <v/>
      </c>
      <c r="AL39" s="31" t="n"/>
      <c r="AM39" s="60" t="n"/>
      <c r="AN39" s="60" t="n"/>
      <c r="AO39" s="60">
        <f>AN39-AM39</f>
        <v/>
      </c>
      <c r="AP39" s="61">
        <f>IF(AM39=0,"",AN39/AM39)</f>
        <v/>
      </c>
      <c r="AQ39" s="27" t="n"/>
      <c r="AR39" s="62" t="n"/>
      <c r="AS39" s="62" t="n"/>
      <c r="AT39" s="62">
        <f>AS39-AR39</f>
        <v/>
      </c>
      <c r="AU39" s="64">
        <f>IF(AR39=0,"",AS39/AR39)</f>
        <v/>
      </c>
      <c r="AV39" s="31" t="n"/>
      <c r="AW39" s="60" t="n"/>
      <c r="AX39" s="60" t="n"/>
      <c r="AY39" s="60">
        <f>AX39-AW39</f>
        <v/>
      </c>
      <c r="AZ39" s="61">
        <f>IF(AW39=0,"",AX39/AW39)</f>
        <v/>
      </c>
      <c r="BA39" s="27" t="n"/>
      <c r="BB39" s="62" t="n"/>
      <c r="BC39" s="62" t="n"/>
      <c r="BD39" s="62">
        <f>BC39-BB39</f>
        <v/>
      </c>
      <c r="BE39" s="64">
        <f>IF(BB39=0,"",BC39/BB39)</f>
        <v/>
      </c>
      <c r="BF39" s="31" t="n"/>
      <c r="BG39" s="60" t="n"/>
      <c r="BH39" s="60" t="n"/>
      <c r="BI39" s="60">
        <f>BH39-BG39</f>
        <v/>
      </c>
      <c r="BJ39" s="61">
        <f>IF(BG39=0,"",BH39/BG39)</f>
        <v/>
      </c>
      <c r="BK39" s="27" t="n"/>
      <c r="BL39" s="62" t="n"/>
      <c r="BM39" s="62" t="n"/>
      <c r="BN39" s="62">
        <f>BM39-BL39</f>
        <v/>
      </c>
      <c r="BO39" s="64">
        <f>IF(BL39=0,"",BM39/BL39)</f>
        <v/>
      </c>
      <c r="BP39" s="31" t="n"/>
      <c r="BQ39" s="60" t="n"/>
      <c r="BR39" s="60" t="n"/>
      <c r="BS39" s="60">
        <f>BR39-BQ39</f>
        <v/>
      </c>
      <c r="BT39" s="61">
        <f>IF(BQ39=0,"",BR39/BQ39)</f>
        <v/>
      </c>
      <c r="BU39" s="27" t="n"/>
      <c r="BV39" s="62" t="n"/>
      <c r="BW39" s="62" t="n"/>
      <c r="BX39" s="62">
        <f>BW39-BV39</f>
        <v/>
      </c>
      <c r="BY39" s="64">
        <f>IF(BV39=0,"",BW39/BV39)</f>
        <v/>
      </c>
      <c r="BZ39" s="31" t="n"/>
      <c r="CA39" s="60" t="n"/>
      <c r="CB39" s="60" t="n"/>
      <c r="CC39" s="60">
        <f>CB39-CA39</f>
        <v/>
      </c>
      <c r="CD39" s="61">
        <f>IF(CA39=0,"",CB39/CA39)</f>
        <v/>
      </c>
      <c r="CE39" s="27" t="n"/>
      <c r="CF39" s="62" t="n"/>
      <c r="CG39" s="62" t="n"/>
      <c r="CH39" s="62">
        <f>CG39-CF39</f>
        <v/>
      </c>
      <c r="CI39" s="64">
        <f>IF(CF39=0,"",CG39/CF39)</f>
        <v/>
      </c>
      <c r="CJ39" s="31" t="n"/>
      <c r="CK39" s="60" t="n"/>
      <c r="CL39" s="60" t="n"/>
      <c r="CM39" s="60">
        <f>CL39-CK39</f>
        <v/>
      </c>
      <c r="CN39" s="61">
        <f>IF(CK39=0,"",CL39/CK39)</f>
        <v/>
      </c>
      <c r="CO39" s="27" t="n"/>
      <c r="CP39" s="62" t="n"/>
      <c r="CQ39" s="62" t="n"/>
      <c r="CR39" s="62">
        <f>CQ39-CP39</f>
        <v/>
      </c>
      <c r="CS39" s="64">
        <f>IF(CP39=0,"",CQ39/CP39)</f>
        <v/>
      </c>
      <c r="CT39" s="31" t="n"/>
      <c r="CU39" s="60" t="n"/>
      <c r="CV39" s="60" t="n"/>
      <c r="CW39" s="60">
        <f>CV39-CU39</f>
        <v/>
      </c>
      <c r="CX39" s="61">
        <f>IF(CU39=0,"",CV39/CU39)</f>
        <v/>
      </c>
      <c r="CY39" s="27" t="n"/>
      <c r="CZ39" s="62" t="n"/>
      <c r="DA39" s="62" t="n"/>
      <c r="DB39" s="62">
        <f>DA39-CZ39</f>
        <v/>
      </c>
      <c r="DC39" s="64">
        <f>IF(CZ39=0,"",DA39/CZ39)</f>
        <v/>
      </c>
      <c r="DD39" s="31" t="n"/>
      <c r="DE39" s="60" t="n"/>
      <c r="DF39" s="60" t="n"/>
      <c r="DG39" s="60">
        <f>DF39-DE39</f>
        <v/>
      </c>
      <c r="DH39" s="61">
        <f>IF(DE39=0,"",DF39/DE39)</f>
        <v/>
      </c>
      <c r="DI39" s="27" t="n"/>
      <c r="DJ39" s="62" t="n"/>
      <c r="DK39" s="62" t="n"/>
      <c r="DL39" s="62">
        <f>DK39-DJ39</f>
        <v/>
      </c>
      <c r="DM39" s="64">
        <f>IF(DJ39=0,"",DK39/DJ39)</f>
        <v/>
      </c>
      <c r="DN39" s="31" t="n"/>
      <c r="DO39" s="60" t="n"/>
    </row>
    <row r="40" ht="15" customHeight="1">
      <c r="A40" s="19" t="n"/>
      <c r="B40" s="20" t="n"/>
      <c r="C40" s="19" t="n"/>
      <c r="D40" s="58">
        <f>D41</f>
        <v/>
      </c>
      <c r="E40" s="58">
        <f>E41</f>
        <v/>
      </c>
      <c r="F40" s="58">
        <f>E40-D40</f>
        <v/>
      </c>
      <c r="G40" s="59">
        <f>IF(D40=0,"",E40/D40)</f>
        <v/>
      </c>
      <c r="H40" s="23" t="n"/>
      <c r="I40" s="58">
        <f>I41</f>
        <v/>
      </c>
      <c r="J40" s="58">
        <f>J41</f>
        <v/>
      </c>
      <c r="K40" s="58">
        <f>J40-I40</f>
        <v/>
      </c>
      <c r="L40" s="59">
        <f>IF(I40=0,"",J40/I40)</f>
        <v/>
      </c>
      <c r="M40" s="23" t="n"/>
      <c r="N40" s="58">
        <f>N41</f>
        <v/>
      </c>
      <c r="O40" s="58">
        <f>O41</f>
        <v/>
      </c>
      <c r="P40" s="58">
        <f>O40-N40</f>
        <v/>
      </c>
      <c r="Q40" s="59">
        <f>IF(N40=0,"",O40/N40)</f>
        <v/>
      </c>
      <c r="R40" s="23" t="n"/>
      <c r="S40" s="58">
        <f>S41</f>
        <v/>
      </c>
      <c r="T40" s="58">
        <f>T41</f>
        <v/>
      </c>
      <c r="U40" s="58">
        <f>T40-S40</f>
        <v/>
      </c>
      <c r="V40" s="59">
        <f>IF(S40=0,"",T40/S40)</f>
        <v/>
      </c>
      <c r="W40" s="23" t="n"/>
      <c r="X40" s="58">
        <f>X41</f>
        <v/>
      </c>
      <c r="Y40" s="58">
        <f>Y41</f>
        <v/>
      </c>
      <c r="Z40" s="58">
        <f>Y40-X40</f>
        <v/>
      </c>
      <c r="AA40" s="59">
        <f>IF(X40=0,"",Y40/X40)</f>
        <v/>
      </c>
      <c r="AB40" s="23" t="n"/>
      <c r="AC40" s="58">
        <f>AC41</f>
        <v/>
      </c>
      <c r="AD40" s="58">
        <f>AD41</f>
        <v/>
      </c>
      <c r="AE40" s="58">
        <f>AD40-AC40</f>
        <v/>
      </c>
      <c r="AF40" s="59">
        <f>IF(AC40=0,"",AD40/AC40)</f>
        <v/>
      </c>
      <c r="AG40" s="23" t="n"/>
      <c r="AH40" s="58">
        <f>AH41</f>
        <v/>
      </c>
      <c r="AI40" s="58">
        <f>AI41</f>
        <v/>
      </c>
      <c r="AJ40" s="58">
        <f>AI40-AH40</f>
        <v/>
      </c>
      <c r="AK40" s="59">
        <f>IF(AH40=0,"",AI40/AH40)</f>
        <v/>
      </c>
      <c r="AL40" s="23" t="n"/>
      <c r="AM40" s="58">
        <f>AM41</f>
        <v/>
      </c>
      <c r="AN40" s="58">
        <f>AN41</f>
        <v/>
      </c>
      <c r="AO40" s="58">
        <f>AN40-AM40</f>
        <v/>
      </c>
      <c r="AP40" s="59">
        <f>IF(AM40=0,"",AN40/AM40)</f>
        <v/>
      </c>
      <c r="AQ40" s="23" t="n"/>
      <c r="AR40" s="58">
        <f>AR41</f>
        <v/>
      </c>
      <c r="AS40" s="58">
        <f>AS41</f>
        <v/>
      </c>
      <c r="AT40" s="58">
        <f>AS40-AR40</f>
        <v/>
      </c>
      <c r="AU40" s="59">
        <f>IF(AR40=0,"",AS40/AR40)</f>
        <v/>
      </c>
      <c r="AV40" s="23" t="n"/>
      <c r="AW40" s="58">
        <f>AW41</f>
        <v/>
      </c>
      <c r="AX40" s="58">
        <f>AX41</f>
        <v/>
      </c>
      <c r="AY40" s="58">
        <f>AX40-AW40</f>
        <v/>
      </c>
      <c r="AZ40" s="59">
        <f>IF(AW40=0,"",AX40/AW40)</f>
        <v/>
      </c>
      <c r="BA40" s="23" t="n"/>
      <c r="BB40" s="58">
        <f>BB41</f>
        <v/>
      </c>
      <c r="BC40" s="58">
        <f>BC41</f>
        <v/>
      </c>
      <c r="BD40" s="58">
        <f>BC40-BB40</f>
        <v/>
      </c>
      <c r="BE40" s="59">
        <f>IF(BB40=0,"",BC40/BB40)</f>
        <v/>
      </c>
      <c r="BF40" s="23" t="n"/>
      <c r="BG40" s="58">
        <f>BG41</f>
        <v/>
      </c>
      <c r="BH40" s="58">
        <f>BH41</f>
        <v/>
      </c>
      <c r="BI40" s="58">
        <f>BH40-BG40</f>
        <v/>
      </c>
      <c r="BJ40" s="59">
        <f>IF(BG40=0,"",BH40/BG40)</f>
        <v/>
      </c>
      <c r="BK40" s="23" t="n"/>
      <c r="BL40" s="58">
        <f>BL41</f>
        <v/>
      </c>
      <c r="BM40" s="58">
        <f>BM41</f>
        <v/>
      </c>
      <c r="BN40" s="58">
        <f>BM40-BL40</f>
        <v/>
      </c>
      <c r="BO40" s="59">
        <f>IF(BL40=0,"",BM40/BL40)</f>
        <v/>
      </c>
      <c r="BP40" s="23" t="n"/>
      <c r="BQ40" s="58">
        <f>BQ41</f>
        <v/>
      </c>
      <c r="BR40" s="58">
        <f>BR41</f>
        <v/>
      </c>
      <c r="BS40" s="58">
        <f>BR40-BQ40</f>
        <v/>
      </c>
      <c r="BT40" s="59">
        <f>IF(BQ40=0,"",BR40/BQ40)</f>
        <v/>
      </c>
      <c r="BU40" s="23" t="n"/>
      <c r="BV40" s="58">
        <f>BV41</f>
        <v/>
      </c>
      <c r="BW40" s="58">
        <f>BW41</f>
        <v/>
      </c>
      <c r="BX40" s="58">
        <f>BW40-BV40</f>
        <v/>
      </c>
      <c r="BY40" s="59">
        <f>IF(BV40=0,"",BW40/BV40)</f>
        <v/>
      </c>
      <c r="BZ40" s="23" t="n"/>
      <c r="CA40" s="58">
        <f>CA41</f>
        <v/>
      </c>
      <c r="CB40" s="58">
        <f>CB41</f>
        <v/>
      </c>
      <c r="CC40" s="58">
        <f>CB40-CA40</f>
        <v/>
      </c>
      <c r="CD40" s="59">
        <f>IF(CA40=0,"",CB40/CA40)</f>
        <v/>
      </c>
      <c r="CE40" s="23" t="n"/>
      <c r="CF40" s="58">
        <f>CF41</f>
        <v/>
      </c>
      <c r="CG40" s="58">
        <f>CG41</f>
        <v/>
      </c>
      <c r="CH40" s="58">
        <f>CG40-CF40</f>
        <v/>
      </c>
      <c r="CI40" s="59">
        <f>IF(CF40=0,"",CG40/CF40)</f>
        <v/>
      </c>
      <c r="CJ40" s="23" t="n"/>
      <c r="CK40" s="58">
        <f>CK41</f>
        <v/>
      </c>
      <c r="CL40" s="58">
        <f>CL41</f>
        <v/>
      </c>
      <c r="CM40" s="58">
        <f>CL40-CK40</f>
        <v/>
      </c>
      <c r="CN40" s="59">
        <f>IF(CK40=0,"",CL40/CK40)</f>
        <v/>
      </c>
      <c r="CO40" s="23" t="n"/>
      <c r="CP40" s="58">
        <f>CP41</f>
        <v/>
      </c>
      <c r="CQ40" s="58">
        <f>CQ41</f>
        <v/>
      </c>
      <c r="CR40" s="58">
        <f>CQ40-CP40</f>
        <v/>
      </c>
      <c r="CS40" s="59">
        <f>IF(CP40=0,"",CQ40/CP40)</f>
        <v/>
      </c>
      <c r="CT40" s="23" t="n"/>
      <c r="CU40" s="58">
        <f>CU41</f>
        <v/>
      </c>
      <c r="CV40" s="58">
        <f>CV41</f>
        <v/>
      </c>
      <c r="CW40" s="58">
        <f>CV40-CU40</f>
        <v/>
      </c>
      <c r="CX40" s="59">
        <f>IF(CU40=0,"",CV40/CU40)</f>
        <v/>
      </c>
      <c r="CY40" s="23" t="n"/>
      <c r="CZ40" s="58">
        <f>CZ41</f>
        <v/>
      </c>
      <c r="DA40" s="58">
        <f>DA41</f>
        <v/>
      </c>
      <c r="DB40" s="58">
        <f>DA40-CZ40</f>
        <v/>
      </c>
      <c r="DC40" s="59">
        <f>IF(CZ40=0,"",DA40/CZ40)</f>
        <v/>
      </c>
      <c r="DD40" s="23" t="n"/>
      <c r="DE40" s="58">
        <f>DE41</f>
        <v/>
      </c>
      <c r="DF40" s="58">
        <f>DF41</f>
        <v/>
      </c>
      <c r="DG40" s="58">
        <f>DF40-DE40</f>
        <v/>
      </c>
      <c r="DH40" s="59">
        <f>IF(DE40=0,"",DF40/DE40)</f>
        <v/>
      </c>
      <c r="DI40" s="23" t="n"/>
      <c r="DJ40" s="58">
        <f>DJ41</f>
        <v/>
      </c>
      <c r="DK40" s="58">
        <f>DK41</f>
        <v/>
      </c>
      <c r="DL40" s="58">
        <f>DK40-DJ40</f>
        <v/>
      </c>
      <c r="DM40" s="59">
        <f>IF(DJ40=0,"",DK40/DJ40)</f>
        <v/>
      </c>
      <c r="DN40" s="23" t="n"/>
      <c r="DO40" s="58">
        <f>DO41</f>
        <v/>
      </c>
    </row>
    <row r="41" outlineLevel="1" ht="15" customHeight="1">
      <c r="A41" s="24" t="n"/>
      <c r="B41" s="24" t="n"/>
      <c r="C41" s="24" t="n"/>
      <c r="D41" s="60" t="n"/>
      <c r="E41" s="60" t="n"/>
      <c r="F41" s="60">
        <f>E41-D41</f>
        <v/>
      </c>
      <c r="G41" s="61">
        <f>IF(D41=0,"",E41/D41)</f>
        <v/>
      </c>
      <c r="H41" s="27" t="n"/>
      <c r="I41" s="60" t="n"/>
      <c r="J41" s="60" t="n"/>
      <c r="K41" s="60">
        <f>J41-I41</f>
        <v/>
      </c>
      <c r="L41" s="61">
        <f>IF(I41=0,"",J41/I41)</f>
        <v/>
      </c>
      <c r="M41" s="27" t="n"/>
      <c r="N41" s="62" t="n"/>
      <c r="O41" s="62" t="n"/>
      <c r="P41" s="62">
        <f>O41-N41</f>
        <v/>
      </c>
      <c r="Q41" s="64">
        <f>IF(N41=0,"",O41/N41)</f>
        <v/>
      </c>
      <c r="R41" s="31" t="n"/>
      <c r="S41" s="60" t="n"/>
      <c r="T41" s="60" t="n"/>
      <c r="U41" s="60">
        <f>T41-S41</f>
        <v/>
      </c>
      <c r="V41" s="61">
        <f>IF(S41=0,"",T41/S41)</f>
        <v/>
      </c>
      <c r="W41" s="27" t="n"/>
      <c r="X41" s="62" t="n"/>
      <c r="Y41" s="62" t="n"/>
      <c r="Z41" s="63">
        <f>Y41-X41</f>
        <v/>
      </c>
      <c r="AA41" s="64">
        <f>IF(X41=0,"",Y41/X41)</f>
        <v/>
      </c>
      <c r="AB41" s="31" t="n"/>
      <c r="AC41" s="60" t="n"/>
      <c r="AD41" s="60" t="n"/>
      <c r="AE41" s="60">
        <f>AD41-AC41</f>
        <v/>
      </c>
      <c r="AF41" s="61">
        <f>IF(AC41=0,"",AD41/AC41)</f>
        <v/>
      </c>
      <c r="AG41" s="27" t="n"/>
      <c r="AH41" s="62" t="n"/>
      <c r="AI41" s="62" t="n"/>
      <c r="AJ41" s="62">
        <f>AI41-AH41</f>
        <v/>
      </c>
      <c r="AK41" s="64">
        <f>IF(AH41=0,"",AI41/AH41)</f>
        <v/>
      </c>
      <c r="AL41" s="31" t="n"/>
      <c r="AM41" s="60" t="n"/>
      <c r="AN41" s="60" t="n"/>
      <c r="AO41" s="60">
        <f>AN41-AM41</f>
        <v/>
      </c>
      <c r="AP41" s="61">
        <f>IF(AM41=0,"",AN41/AM41)</f>
        <v/>
      </c>
      <c r="AQ41" s="27" t="n"/>
      <c r="AR41" s="62" t="n"/>
      <c r="AS41" s="62" t="n"/>
      <c r="AT41" s="62">
        <f>AS41-AR41</f>
        <v/>
      </c>
      <c r="AU41" s="64">
        <f>IF(AR41=0,"",AS41/AR41)</f>
        <v/>
      </c>
      <c r="AV41" s="31" t="n"/>
      <c r="AW41" s="60" t="n"/>
      <c r="AX41" s="60" t="n"/>
      <c r="AY41" s="60">
        <f>AX41-AW41</f>
        <v/>
      </c>
      <c r="AZ41" s="61">
        <f>IF(AW41=0,"",AX41/AW41)</f>
        <v/>
      </c>
      <c r="BA41" s="27" t="n"/>
      <c r="BB41" s="62" t="n"/>
      <c r="BC41" s="62" t="n"/>
      <c r="BD41" s="62">
        <f>BC41-BB41</f>
        <v/>
      </c>
      <c r="BE41" s="64">
        <f>IF(BB41=0,"",BC41/BB41)</f>
        <v/>
      </c>
      <c r="BF41" s="31" t="n"/>
      <c r="BG41" s="60" t="n"/>
      <c r="BH41" s="60" t="n"/>
      <c r="BI41" s="60">
        <f>BH41-BG41</f>
        <v/>
      </c>
      <c r="BJ41" s="61">
        <f>IF(BG41=0,"",BH41/BG41)</f>
        <v/>
      </c>
      <c r="BK41" s="27" t="n"/>
      <c r="BL41" s="62" t="n"/>
      <c r="BM41" s="62" t="n"/>
      <c r="BN41" s="62">
        <f>BM41-BL41</f>
        <v/>
      </c>
      <c r="BO41" s="64">
        <f>IF(BL41=0,"",BM41/BL41)</f>
        <v/>
      </c>
      <c r="BP41" s="31" t="n"/>
      <c r="BQ41" s="60" t="n"/>
      <c r="BR41" s="60" t="n"/>
      <c r="BS41" s="60">
        <f>BR41-BQ41</f>
        <v/>
      </c>
      <c r="BT41" s="61">
        <f>IF(BQ41=0,"",BR41/BQ41)</f>
        <v/>
      </c>
      <c r="BU41" s="27" t="n"/>
      <c r="BV41" s="62" t="n"/>
      <c r="BW41" s="62" t="n"/>
      <c r="BX41" s="62">
        <f>BW41-BV41</f>
        <v/>
      </c>
      <c r="BY41" s="64">
        <f>IF(BV41=0,"",BW41/BV41)</f>
        <v/>
      </c>
      <c r="BZ41" s="31" t="n"/>
      <c r="CA41" s="60" t="n"/>
      <c r="CB41" s="60" t="n"/>
      <c r="CC41" s="60">
        <f>CB41-CA41</f>
        <v/>
      </c>
      <c r="CD41" s="61">
        <f>IF(CA41=0,"",CB41/CA41)</f>
        <v/>
      </c>
      <c r="CE41" s="27" t="n"/>
      <c r="CF41" s="62" t="n"/>
      <c r="CG41" s="62" t="n"/>
      <c r="CH41" s="62">
        <f>CG41-CF41</f>
        <v/>
      </c>
      <c r="CI41" s="64">
        <f>IF(CF41=0,"",CG41/CF41)</f>
        <v/>
      </c>
      <c r="CJ41" s="31" t="n"/>
      <c r="CK41" s="60" t="n"/>
      <c r="CL41" s="60" t="n"/>
      <c r="CM41" s="60">
        <f>CL41-CK41</f>
        <v/>
      </c>
      <c r="CN41" s="61">
        <f>IF(CK41=0,"",CL41/CK41)</f>
        <v/>
      </c>
      <c r="CO41" s="27" t="n"/>
      <c r="CP41" s="62" t="n"/>
      <c r="CQ41" s="62" t="n"/>
      <c r="CR41" s="62">
        <f>CQ41-CP41</f>
        <v/>
      </c>
      <c r="CS41" s="64">
        <f>IF(CP41=0,"",CQ41/CP41)</f>
        <v/>
      </c>
      <c r="CT41" s="31" t="n"/>
      <c r="CU41" s="60" t="n"/>
      <c r="CV41" s="60" t="n"/>
      <c r="CW41" s="60">
        <f>CV41-CU41</f>
        <v/>
      </c>
      <c r="CX41" s="61">
        <f>IF(CU41=0,"",CV41/CU41)</f>
        <v/>
      </c>
      <c r="CY41" s="27" t="n"/>
      <c r="CZ41" s="62" t="n"/>
      <c r="DA41" s="62" t="n"/>
      <c r="DB41" s="62">
        <f>DA41-CZ41</f>
        <v/>
      </c>
      <c r="DC41" s="64">
        <f>IF(CZ41=0,"",DA41/CZ41)</f>
        <v/>
      </c>
      <c r="DD41" s="31" t="n"/>
      <c r="DE41" s="60" t="n"/>
      <c r="DF41" s="60" t="n"/>
      <c r="DG41" s="60">
        <f>DF41-DE41</f>
        <v/>
      </c>
      <c r="DH41" s="61">
        <f>IF(DE41=0,"",DF41/DE41)</f>
        <v/>
      </c>
      <c r="DI41" s="27" t="n"/>
      <c r="DJ41" s="62" t="n"/>
      <c r="DK41" s="62" t="n"/>
      <c r="DL41" s="62">
        <f>DK41-DJ41</f>
        <v/>
      </c>
      <c r="DM41" s="64">
        <f>IF(DJ41=0,"",DK41/DJ41)</f>
        <v/>
      </c>
      <c r="DN41" s="31" t="n"/>
      <c r="DO41" s="60" t="n"/>
    </row>
    <row r="42" ht="15" customHeight="1">
      <c r="A42" s="19" t="n"/>
      <c r="B42" s="20" t="n"/>
      <c r="C42" s="19" t="n"/>
      <c r="D42" s="58">
        <f>D43+D44+D45</f>
        <v/>
      </c>
      <c r="E42" s="58">
        <f>E43+E44+E45</f>
        <v/>
      </c>
      <c r="F42" s="58">
        <f>E42-D42</f>
        <v/>
      </c>
      <c r="G42" s="59">
        <f>IF(D42=0,"",E42/D42)</f>
        <v/>
      </c>
      <c r="H42" s="23" t="n"/>
      <c r="I42" s="58">
        <f>I43+I44+I45</f>
        <v/>
      </c>
      <c r="J42" s="58">
        <f>J43+J44+J45</f>
        <v/>
      </c>
      <c r="K42" s="58">
        <f>J42-I42</f>
        <v/>
      </c>
      <c r="L42" s="59">
        <f>IF(I42=0,"",J42/I42)</f>
        <v/>
      </c>
      <c r="M42" s="23" t="n"/>
      <c r="N42" s="58">
        <f>N43+N44+N45</f>
        <v/>
      </c>
      <c r="O42" s="58">
        <f>O43+O44+O45</f>
        <v/>
      </c>
      <c r="P42" s="58">
        <f>O42-N42</f>
        <v/>
      </c>
      <c r="Q42" s="59">
        <f>IF(N42=0,"",O42/N42)</f>
        <v/>
      </c>
      <c r="R42" s="23" t="n"/>
      <c r="S42" s="58">
        <f>S43+S44+S45</f>
        <v/>
      </c>
      <c r="T42" s="58">
        <f>T43+T44+T45</f>
        <v/>
      </c>
      <c r="U42" s="58">
        <f>T42-S42</f>
        <v/>
      </c>
      <c r="V42" s="59">
        <f>IF(S42=0,"",T42/S42)</f>
        <v/>
      </c>
      <c r="W42" s="23" t="n"/>
      <c r="X42" s="58">
        <f>X43+X44+X45</f>
        <v/>
      </c>
      <c r="Y42" s="58">
        <f>Y43+Y44+Y45</f>
        <v/>
      </c>
      <c r="Z42" s="58">
        <f>Y42-X42</f>
        <v/>
      </c>
      <c r="AA42" s="59">
        <f>IF(X42=0,"",Y42/X42)</f>
        <v/>
      </c>
      <c r="AB42" s="23" t="n"/>
      <c r="AC42" s="58">
        <f>AC43+AC44+AC45</f>
        <v/>
      </c>
      <c r="AD42" s="58">
        <f>AD43+AD44+AD45</f>
        <v/>
      </c>
      <c r="AE42" s="58">
        <f>AD42-AC42</f>
        <v/>
      </c>
      <c r="AF42" s="59">
        <f>IF(AC42=0,"",AD42/AC42)</f>
        <v/>
      </c>
      <c r="AG42" s="23" t="n"/>
      <c r="AH42" s="58">
        <f>AH43+AH44+AH45</f>
        <v/>
      </c>
      <c r="AI42" s="58">
        <f>AI43+AI44+AI45</f>
        <v/>
      </c>
      <c r="AJ42" s="58">
        <f>AI42-AH42</f>
        <v/>
      </c>
      <c r="AK42" s="59">
        <f>IF(AH42=0,"",AI42/AH42)</f>
        <v/>
      </c>
      <c r="AL42" s="23" t="n"/>
      <c r="AM42" s="58">
        <f>AM43+AM44+AM45</f>
        <v/>
      </c>
      <c r="AN42" s="58">
        <f>AN43+AN44+AN45</f>
        <v/>
      </c>
      <c r="AO42" s="58">
        <f>AN42-AM42</f>
        <v/>
      </c>
      <c r="AP42" s="59">
        <f>IF(AM42=0,"",AN42/AM42)</f>
        <v/>
      </c>
      <c r="AQ42" s="23" t="n"/>
      <c r="AR42" s="58">
        <f>AR43+AR44+AR45</f>
        <v/>
      </c>
      <c r="AS42" s="58">
        <f>AS43+AS44+AS45</f>
        <v/>
      </c>
      <c r="AT42" s="58">
        <f>AS42-AR42</f>
        <v/>
      </c>
      <c r="AU42" s="59">
        <f>IF(AR42=0,"",AS42/AR42)</f>
        <v/>
      </c>
      <c r="AV42" s="23" t="n"/>
      <c r="AW42" s="58">
        <f>AW43+AW44+AW45</f>
        <v/>
      </c>
      <c r="AX42" s="58">
        <f>AX43+AX44+AX45</f>
        <v/>
      </c>
      <c r="AY42" s="58">
        <f>AX42-AW42</f>
        <v/>
      </c>
      <c r="AZ42" s="59">
        <f>IF(AW42=0,"",AX42/AW42)</f>
        <v/>
      </c>
      <c r="BA42" s="23" t="n"/>
      <c r="BB42" s="58">
        <f>BB43+BB44+BB45</f>
        <v/>
      </c>
      <c r="BC42" s="58">
        <f>BC43+BC44+BC45</f>
        <v/>
      </c>
      <c r="BD42" s="58">
        <f>BC42-BB42</f>
        <v/>
      </c>
      <c r="BE42" s="59">
        <f>IF(BB42=0,"",BC42/BB42)</f>
        <v/>
      </c>
      <c r="BF42" s="23" t="n"/>
      <c r="BG42" s="58">
        <f>BG43+BG44+BG45</f>
        <v/>
      </c>
      <c r="BH42" s="58">
        <f>BH43+BH44+BH45</f>
        <v/>
      </c>
      <c r="BI42" s="58">
        <f>BH42-BG42</f>
        <v/>
      </c>
      <c r="BJ42" s="59">
        <f>IF(BG42=0,"",BH42/BG42)</f>
        <v/>
      </c>
      <c r="BK42" s="23" t="n"/>
      <c r="BL42" s="58">
        <f>BL43+BL44+BL45</f>
        <v/>
      </c>
      <c r="BM42" s="58">
        <f>BM43+BM44+BM45</f>
        <v/>
      </c>
      <c r="BN42" s="58">
        <f>BM42-BL42</f>
        <v/>
      </c>
      <c r="BO42" s="59">
        <f>IF(BL42=0,"",BM42/BL42)</f>
        <v/>
      </c>
      <c r="BP42" s="23" t="n"/>
      <c r="BQ42" s="58">
        <f>BQ43+BQ44+BQ45</f>
        <v/>
      </c>
      <c r="BR42" s="58">
        <f>BR43+BR44+BR45</f>
        <v/>
      </c>
      <c r="BS42" s="58">
        <f>BR42-BQ42</f>
        <v/>
      </c>
      <c r="BT42" s="59">
        <f>IF(BQ42=0,"",BR42/BQ42)</f>
        <v/>
      </c>
      <c r="BU42" s="23" t="n"/>
      <c r="BV42" s="58">
        <f>BV43+BV44+BV45</f>
        <v/>
      </c>
      <c r="BW42" s="58">
        <f>BW43+BW44+BW45</f>
        <v/>
      </c>
      <c r="BX42" s="58">
        <f>BW42-BV42</f>
        <v/>
      </c>
      <c r="BY42" s="59">
        <f>IF(BV42=0,"",BW42/BV42)</f>
        <v/>
      </c>
      <c r="BZ42" s="23" t="n"/>
      <c r="CA42" s="58">
        <f>CA43+CA44+CA45</f>
        <v/>
      </c>
      <c r="CB42" s="58">
        <f>CB43+CB44+CB45</f>
        <v/>
      </c>
      <c r="CC42" s="58">
        <f>CB42-CA42</f>
        <v/>
      </c>
      <c r="CD42" s="59">
        <f>IF(CA42=0,"",CB42/CA42)</f>
        <v/>
      </c>
      <c r="CE42" s="23" t="n"/>
      <c r="CF42" s="58">
        <f>CF43+CF44+CF45</f>
        <v/>
      </c>
      <c r="CG42" s="58">
        <f>CG43+CG44+CG45</f>
        <v/>
      </c>
      <c r="CH42" s="58">
        <f>CG42-CF42</f>
        <v/>
      </c>
      <c r="CI42" s="59">
        <f>IF(CF42=0,"",CG42/CF42)</f>
        <v/>
      </c>
      <c r="CJ42" s="23" t="n"/>
      <c r="CK42" s="58">
        <f>CK43+CK44+CK45</f>
        <v/>
      </c>
      <c r="CL42" s="58">
        <f>CL43+CL44+CL45</f>
        <v/>
      </c>
      <c r="CM42" s="58">
        <f>CL42-CK42</f>
        <v/>
      </c>
      <c r="CN42" s="59">
        <f>IF(CK42=0,"",CL42/CK42)</f>
        <v/>
      </c>
      <c r="CO42" s="23" t="n"/>
      <c r="CP42" s="58">
        <f>CP43+CP44+CP45</f>
        <v/>
      </c>
      <c r="CQ42" s="58">
        <f>CQ43+CQ44+CQ45</f>
        <v/>
      </c>
      <c r="CR42" s="58">
        <f>CQ42-CP42</f>
        <v/>
      </c>
      <c r="CS42" s="59">
        <f>IF(CP42=0,"",CQ42/CP42)</f>
        <v/>
      </c>
      <c r="CT42" s="23" t="n"/>
      <c r="CU42" s="58">
        <f>CU43+CU44+CU45</f>
        <v/>
      </c>
      <c r="CV42" s="58">
        <f>CV43+CV44+CV45</f>
        <v/>
      </c>
      <c r="CW42" s="58">
        <f>CV42-CU42</f>
        <v/>
      </c>
      <c r="CX42" s="59">
        <f>IF(CU42=0,"",CV42/CU42)</f>
        <v/>
      </c>
      <c r="CY42" s="23" t="n"/>
      <c r="CZ42" s="58">
        <f>CZ43+CZ44+CZ45</f>
        <v/>
      </c>
      <c r="DA42" s="58">
        <f>DA43+DA44+DA45</f>
        <v/>
      </c>
      <c r="DB42" s="58">
        <f>DA42-CZ42</f>
        <v/>
      </c>
      <c r="DC42" s="59">
        <f>IF(CZ42=0,"",DA42/CZ42)</f>
        <v/>
      </c>
      <c r="DD42" s="23" t="n"/>
      <c r="DE42" s="58">
        <f>DE43+DE44+DE45</f>
        <v/>
      </c>
      <c r="DF42" s="58">
        <f>DF43+DF44+DF45</f>
        <v/>
      </c>
      <c r="DG42" s="58">
        <f>DF42-DE42</f>
        <v/>
      </c>
      <c r="DH42" s="59">
        <f>IF(DE42=0,"",DF42/DE42)</f>
        <v/>
      </c>
      <c r="DI42" s="23" t="n"/>
      <c r="DJ42" s="58">
        <f>DJ43+DJ44+DJ45</f>
        <v/>
      </c>
      <c r="DK42" s="58">
        <f>DK43+DK44+DK45</f>
        <v/>
      </c>
      <c r="DL42" s="58">
        <f>DK42-DJ42</f>
        <v/>
      </c>
      <c r="DM42" s="59">
        <f>IF(DJ42=0,"",DK42/DJ42)</f>
        <v/>
      </c>
      <c r="DN42" s="23" t="n"/>
      <c r="DO42" s="58">
        <f>DO43+DO44+DO45</f>
        <v/>
      </c>
    </row>
    <row r="43" outlineLevel="1" ht="15" customHeight="1">
      <c r="A43" s="24" t="n"/>
      <c r="B43" s="24" t="n"/>
      <c r="C43" s="24" t="n"/>
      <c r="D43" s="60" t="n"/>
      <c r="E43" s="60" t="n"/>
      <c r="F43" s="60">
        <f>E43-D43</f>
        <v/>
      </c>
      <c r="G43" s="61">
        <f>IF(D43=0,"",E43/D43)</f>
        <v/>
      </c>
      <c r="H43" s="27" t="n"/>
      <c r="I43" s="60" t="n"/>
      <c r="J43" s="60" t="n"/>
      <c r="K43" s="60">
        <f>J43-I43</f>
        <v/>
      </c>
      <c r="L43" s="61">
        <f>IF(I43=0,"",J43/I43)</f>
        <v/>
      </c>
      <c r="M43" s="27" t="n"/>
      <c r="N43" s="62" t="n"/>
      <c r="O43" s="62" t="n"/>
      <c r="P43" s="63">
        <f>O43-N43</f>
        <v/>
      </c>
      <c r="Q43" s="64">
        <f>IF(N43=0,"",O43/N43)</f>
        <v/>
      </c>
      <c r="R43" s="31" t="n"/>
      <c r="S43" s="60" t="n"/>
      <c r="T43" s="60" t="n"/>
      <c r="U43" s="60">
        <f>T43-S43</f>
        <v/>
      </c>
      <c r="V43" s="61">
        <f>IF(S43=0,"",T43/S43)</f>
        <v/>
      </c>
      <c r="W43" s="27" t="n"/>
      <c r="X43" s="62" t="n"/>
      <c r="Y43" s="62" t="n"/>
      <c r="Z43" s="63">
        <f>Y43-X43</f>
        <v/>
      </c>
      <c r="AA43" s="64">
        <f>IF(X43=0,"",Y43/X43)</f>
        <v/>
      </c>
      <c r="AB43" s="31" t="n"/>
      <c r="AC43" s="60" t="n"/>
      <c r="AD43" s="60" t="n"/>
      <c r="AE43" s="60">
        <f>AD43-AC43</f>
        <v/>
      </c>
      <c r="AF43" s="61">
        <f>IF(AC43=0,"",AD43/AC43)</f>
        <v/>
      </c>
      <c r="AG43" s="27" t="n"/>
      <c r="AH43" s="62" t="n"/>
      <c r="AI43" s="62" t="n"/>
      <c r="AJ43" s="62">
        <f>AI43-AH43</f>
        <v/>
      </c>
      <c r="AK43" s="64">
        <f>IF(AH43=0,"",AI43/AH43)</f>
        <v/>
      </c>
      <c r="AL43" s="31" t="n"/>
      <c r="AM43" s="60" t="n"/>
      <c r="AN43" s="60" t="n"/>
      <c r="AO43" s="60">
        <f>AN43-AM43</f>
        <v/>
      </c>
      <c r="AP43" s="61">
        <f>IF(AM43=0,"",AN43/AM43)</f>
        <v/>
      </c>
      <c r="AQ43" s="27" t="n"/>
      <c r="AR43" s="62" t="n"/>
      <c r="AS43" s="62" t="n"/>
      <c r="AT43" s="62">
        <f>AS43-AR43</f>
        <v/>
      </c>
      <c r="AU43" s="64">
        <f>IF(AR43=0,"",AS43/AR43)</f>
        <v/>
      </c>
      <c r="AV43" s="31" t="n"/>
      <c r="AW43" s="60" t="n"/>
      <c r="AX43" s="60" t="n"/>
      <c r="AY43" s="60">
        <f>AX43-AW43</f>
        <v/>
      </c>
      <c r="AZ43" s="61">
        <f>IF(AW43=0,"",AX43/AW43)</f>
        <v/>
      </c>
      <c r="BA43" s="27" t="n"/>
      <c r="BB43" s="62" t="n"/>
      <c r="BC43" s="62" t="n"/>
      <c r="BD43" s="62">
        <f>BC43-BB43</f>
        <v/>
      </c>
      <c r="BE43" s="64">
        <f>IF(BB43=0,"",BC43/BB43)</f>
        <v/>
      </c>
      <c r="BF43" s="31" t="n"/>
      <c r="BG43" s="60" t="n"/>
      <c r="BH43" s="60" t="n"/>
      <c r="BI43" s="60">
        <f>BH43-BG43</f>
        <v/>
      </c>
      <c r="BJ43" s="61">
        <f>IF(BG43=0,"",BH43/BG43)</f>
        <v/>
      </c>
      <c r="BK43" s="27" t="n"/>
      <c r="BL43" s="62" t="n"/>
      <c r="BM43" s="62" t="n"/>
      <c r="BN43" s="62">
        <f>BM43-BL43</f>
        <v/>
      </c>
      <c r="BO43" s="64">
        <f>IF(BL43=0,"",BM43/BL43)</f>
        <v/>
      </c>
      <c r="BP43" s="31" t="n"/>
      <c r="BQ43" s="60" t="n"/>
      <c r="BR43" s="60" t="n"/>
      <c r="BS43" s="60">
        <f>BR43-BQ43</f>
        <v/>
      </c>
      <c r="BT43" s="61">
        <f>IF(BQ43=0,"",BR43/BQ43)</f>
        <v/>
      </c>
      <c r="BU43" s="27" t="n"/>
      <c r="BV43" s="62" t="n"/>
      <c r="BW43" s="62" t="n"/>
      <c r="BX43" s="62">
        <f>BW43-BV43</f>
        <v/>
      </c>
      <c r="BY43" s="64">
        <f>IF(BV43=0,"",BW43/BV43)</f>
        <v/>
      </c>
      <c r="BZ43" s="31" t="n"/>
      <c r="CA43" s="60" t="n"/>
      <c r="CB43" s="60" t="n"/>
      <c r="CC43" s="60">
        <f>CB43-CA43</f>
        <v/>
      </c>
      <c r="CD43" s="61">
        <f>IF(CA43=0,"",CB43/CA43)</f>
        <v/>
      </c>
      <c r="CE43" s="27" t="n"/>
      <c r="CF43" s="62" t="n"/>
      <c r="CG43" s="62" t="n"/>
      <c r="CH43" s="62">
        <f>CG43-CF43</f>
        <v/>
      </c>
      <c r="CI43" s="64">
        <f>IF(CF43=0,"",CG43/CF43)</f>
        <v/>
      </c>
      <c r="CJ43" s="31" t="n"/>
      <c r="CK43" s="60" t="n"/>
      <c r="CL43" s="60" t="n"/>
      <c r="CM43" s="60">
        <f>CL43-CK43</f>
        <v/>
      </c>
      <c r="CN43" s="61">
        <f>IF(CK43=0,"",CL43/CK43)</f>
        <v/>
      </c>
      <c r="CO43" s="27" t="n"/>
      <c r="CP43" s="62" t="n"/>
      <c r="CQ43" s="62" t="n"/>
      <c r="CR43" s="62">
        <f>CQ43-CP43</f>
        <v/>
      </c>
      <c r="CS43" s="64">
        <f>IF(CP43=0,"",CQ43/CP43)</f>
        <v/>
      </c>
      <c r="CT43" s="31" t="n"/>
      <c r="CU43" s="60" t="n"/>
      <c r="CV43" s="60" t="n"/>
      <c r="CW43" s="60">
        <f>CV43-CU43</f>
        <v/>
      </c>
      <c r="CX43" s="61">
        <f>IF(CU43=0,"",CV43/CU43)</f>
        <v/>
      </c>
      <c r="CY43" s="27" t="n"/>
      <c r="CZ43" s="62" t="n"/>
      <c r="DA43" s="62" t="n"/>
      <c r="DB43" s="62">
        <f>DA43-CZ43</f>
        <v/>
      </c>
      <c r="DC43" s="64">
        <f>IF(CZ43=0,"",DA43/CZ43)</f>
        <v/>
      </c>
      <c r="DD43" s="31" t="n"/>
      <c r="DE43" s="60" t="n"/>
      <c r="DF43" s="60" t="n"/>
      <c r="DG43" s="60">
        <f>DF43-DE43</f>
        <v/>
      </c>
      <c r="DH43" s="61">
        <f>IF(DE43=0,"",DF43/DE43)</f>
        <v/>
      </c>
      <c r="DI43" s="27" t="n"/>
      <c r="DJ43" s="62" t="n"/>
      <c r="DK43" s="62" t="n"/>
      <c r="DL43" s="62">
        <f>DK43-DJ43</f>
        <v/>
      </c>
      <c r="DM43" s="64">
        <f>IF(DJ43=0,"",DK43/DJ43)</f>
        <v/>
      </c>
      <c r="DN43" s="31" t="n"/>
      <c r="DO43" s="60" t="n"/>
    </row>
    <row r="44" outlineLevel="1" ht="15" customHeight="1">
      <c r="A44" s="24" t="n"/>
      <c r="B44" s="24" t="n"/>
      <c r="C44" s="24" t="n"/>
      <c r="D44" s="60" t="n"/>
      <c r="E44" s="60" t="n"/>
      <c r="F44" s="60">
        <f>E44-D44</f>
        <v/>
      </c>
      <c r="G44" s="61">
        <f>IF(D44=0,"",E44/D44)</f>
        <v/>
      </c>
      <c r="H44" s="27" t="n"/>
      <c r="I44" s="60" t="n"/>
      <c r="J44" s="60" t="n"/>
      <c r="K44" s="60">
        <f>J44-I44</f>
        <v/>
      </c>
      <c r="L44" s="61">
        <f>IF(I44=0,"",J44/I44)</f>
        <v/>
      </c>
      <c r="M44" s="27" t="n"/>
      <c r="N44" s="62" t="n"/>
      <c r="O44" s="62" t="n"/>
      <c r="P44" s="63">
        <f>O44-N44</f>
        <v/>
      </c>
      <c r="Q44" s="64">
        <f>IF(N44=0,"",O44/N44)</f>
        <v/>
      </c>
      <c r="R44" s="31" t="n"/>
      <c r="S44" s="60" t="n"/>
      <c r="T44" s="60" t="n"/>
      <c r="U44" s="60">
        <f>T44-S44</f>
        <v/>
      </c>
      <c r="V44" s="61">
        <f>IF(S44=0,"",T44/S44)</f>
        <v/>
      </c>
      <c r="W44" s="27" t="n"/>
      <c r="X44" s="62" t="n"/>
      <c r="Y44" s="62" t="n"/>
      <c r="Z44" s="63">
        <f>Y44-X44</f>
        <v/>
      </c>
      <c r="AA44" s="64">
        <f>IF(X44=0,"",Y44/X44)</f>
        <v/>
      </c>
      <c r="AB44" s="31" t="n"/>
      <c r="AC44" s="60" t="n"/>
      <c r="AD44" s="60" t="n"/>
      <c r="AE44" s="60">
        <f>AD44-AC44</f>
        <v/>
      </c>
      <c r="AF44" s="61">
        <f>IF(AC44=0,"",AD44/AC44)</f>
        <v/>
      </c>
      <c r="AG44" s="27" t="n"/>
      <c r="AH44" s="62" t="n"/>
      <c r="AI44" s="62" t="n"/>
      <c r="AJ44" s="62">
        <f>AI44-AH44</f>
        <v/>
      </c>
      <c r="AK44" s="64">
        <f>IF(AH44=0,"",AI44/AH44)</f>
        <v/>
      </c>
      <c r="AL44" s="31" t="n"/>
      <c r="AM44" s="60" t="n"/>
      <c r="AN44" s="60" t="n"/>
      <c r="AO44" s="60">
        <f>AN44-AM44</f>
        <v/>
      </c>
      <c r="AP44" s="61">
        <f>IF(AM44=0,"",AN44/AM44)</f>
        <v/>
      </c>
      <c r="AQ44" s="27" t="n"/>
      <c r="AR44" s="62" t="n"/>
      <c r="AS44" s="62" t="n"/>
      <c r="AT44" s="62">
        <f>AS44-AR44</f>
        <v/>
      </c>
      <c r="AU44" s="64">
        <f>IF(AR44=0,"",AS44/AR44)</f>
        <v/>
      </c>
      <c r="AV44" s="31" t="n"/>
      <c r="AW44" s="60" t="n"/>
      <c r="AX44" s="60" t="n"/>
      <c r="AY44" s="60">
        <f>AX44-AW44</f>
        <v/>
      </c>
      <c r="AZ44" s="61">
        <f>IF(AW44=0,"",AX44/AW44)</f>
        <v/>
      </c>
      <c r="BA44" s="27" t="n"/>
      <c r="BB44" s="62" t="n"/>
      <c r="BC44" s="62" t="n"/>
      <c r="BD44" s="62">
        <f>BC44-BB44</f>
        <v/>
      </c>
      <c r="BE44" s="64">
        <f>IF(BB44=0,"",BC44/BB44)</f>
        <v/>
      </c>
      <c r="BF44" s="31" t="n"/>
      <c r="BG44" s="60" t="n"/>
      <c r="BH44" s="60" t="n"/>
      <c r="BI44" s="60">
        <f>BH44-BG44</f>
        <v/>
      </c>
      <c r="BJ44" s="61">
        <f>IF(BG44=0,"",BH44/BG44)</f>
        <v/>
      </c>
      <c r="BK44" s="27" t="n"/>
      <c r="BL44" s="62" t="n"/>
      <c r="BM44" s="62" t="n"/>
      <c r="BN44" s="62">
        <f>BM44-BL44</f>
        <v/>
      </c>
      <c r="BO44" s="64">
        <f>IF(BL44=0,"",BM44/BL44)</f>
        <v/>
      </c>
      <c r="BP44" s="31" t="n"/>
      <c r="BQ44" s="60" t="n"/>
      <c r="BR44" s="60" t="n"/>
      <c r="BS44" s="60">
        <f>BR44-BQ44</f>
        <v/>
      </c>
      <c r="BT44" s="61">
        <f>IF(BQ44=0,"",BR44/BQ44)</f>
        <v/>
      </c>
      <c r="BU44" s="27" t="n"/>
      <c r="BV44" s="62" t="n"/>
      <c r="BW44" s="62" t="n"/>
      <c r="BX44" s="62">
        <f>BW44-BV44</f>
        <v/>
      </c>
      <c r="BY44" s="64">
        <f>IF(BV44=0,"",BW44/BV44)</f>
        <v/>
      </c>
      <c r="BZ44" s="31" t="n"/>
      <c r="CA44" s="60" t="n"/>
      <c r="CB44" s="60" t="n"/>
      <c r="CC44" s="60">
        <f>CB44-CA44</f>
        <v/>
      </c>
      <c r="CD44" s="61">
        <f>IF(CA44=0,"",CB44/CA44)</f>
        <v/>
      </c>
      <c r="CE44" s="27" t="n"/>
      <c r="CF44" s="62" t="n"/>
      <c r="CG44" s="62" t="n"/>
      <c r="CH44" s="62">
        <f>CG44-CF44</f>
        <v/>
      </c>
      <c r="CI44" s="64">
        <f>IF(CF44=0,"",CG44/CF44)</f>
        <v/>
      </c>
      <c r="CJ44" s="31" t="n"/>
      <c r="CK44" s="60" t="n"/>
      <c r="CL44" s="60" t="n"/>
      <c r="CM44" s="60">
        <f>CL44-CK44</f>
        <v/>
      </c>
      <c r="CN44" s="61">
        <f>IF(CK44=0,"",CL44/CK44)</f>
        <v/>
      </c>
      <c r="CO44" s="27" t="n"/>
      <c r="CP44" s="62" t="n"/>
      <c r="CQ44" s="62" t="n"/>
      <c r="CR44" s="62">
        <f>CQ44-CP44</f>
        <v/>
      </c>
      <c r="CS44" s="64">
        <f>IF(CP44=0,"",CQ44/CP44)</f>
        <v/>
      </c>
      <c r="CT44" s="31" t="n"/>
      <c r="CU44" s="60" t="n"/>
      <c r="CV44" s="60" t="n"/>
      <c r="CW44" s="60">
        <f>CV44-CU44</f>
        <v/>
      </c>
      <c r="CX44" s="61">
        <f>IF(CU44=0,"",CV44/CU44)</f>
        <v/>
      </c>
      <c r="CY44" s="27" t="n"/>
      <c r="CZ44" s="62" t="n"/>
      <c r="DA44" s="62" t="n"/>
      <c r="DB44" s="62">
        <f>DA44-CZ44</f>
        <v/>
      </c>
      <c r="DC44" s="64">
        <f>IF(CZ44=0,"",DA44/CZ44)</f>
        <v/>
      </c>
      <c r="DD44" s="31" t="n"/>
      <c r="DE44" s="60" t="n"/>
      <c r="DF44" s="60" t="n"/>
      <c r="DG44" s="60">
        <f>DF44-DE44</f>
        <v/>
      </c>
      <c r="DH44" s="61">
        <f>IF(DE44=0,"",DF44/DE44)</f>
        <v/>
      </c>
      <c r="DI44" s="27" t="n"/>
      <c r="DJ44" s="62" t="n"/>
      <c r="DK44" s="62" t="n"/>
      <c r="DL44" s="62">
        <f>DK44-DJ44</f>
        <v/>
      </c>
      <c r="DM44" s="64">
        <f>IF(DJ44=0,"",DK44/DJ44)</f>
        <v/>
      </c>
      <c r="DN44" s="31" t="n"/>
      <c r="DO44" s="60" t="n"/>
    </row>
    <row r="45" outlineLevel="1" ht="15" customHeight="1">
      <c r="A45" s="24" t="n"/>
      <c r="B45" s="24" t="n"/>
      <c r="C45" s="24" t="n"/>
      <c r="D45" s="60" t="n"/>
      <c r="E45" s="60" t="n"/>
      <c r="F45" s="60">
        <f>E45-D45</f>
        <v/>
      </c>
      <c r="G45" s="61">
        <f>IF(D45=0,"",E45/D45)</f>
        <v/>
      </c>
      <c r="H45" s="27" t="n"/>
      <c r="I45" s="60" t="n"/>
      <c r="J45" s="60" t="n"/>
      <c r="K45" s="60">
        <f>J45-I45</f>
        <v/>
      </c>
      <c r="L45" s="61">
        <f>IF(I45=0,"",J45/I45)</f>
        <v/>
      </c>
      <c r="M45" s="27" t="n"/>
      <c r="N45" s="62" t="n"/>
      <c r="O45" s="62" t="n"/>
      <c r="P45" s="63">
        <f>O45-N45</f>
        <v/>
      </c>
      <c r="Q45" s="64">
        <f>IF(N45=0,"",O45/N45)</f>
        <v/>
      </c>
      <c r="R45" s="31" t="n"/>
      <c r="S45" s="60" t="n"/>
      <c r="T45" s="60" t="n"/>
      <c r="U45" s="60">
        <f>T45-S45</f>
        <v/>
      </c>
      <c r="V45" s="61">
        <f>IF(S45=0,"",T45/S45)</f>
        <v/>
      </c>
      <c r="W45" s="27" t="n"/>
      <c r="X45" s="62" t="n"/>
      <c r="Y45" s="62" t="n"/>
      <c r="Z45" s="62">
        <f>Y45-X45</f>
        <v/>
      </c>
      <c r="AA45" s="64">
        <f>IF(X45=0,"",Y45/X45)</f>
        <v/>
      </c>
      <c r="AB45" s="31" t="n"/>
      <c r="AC45" s="60" t="n"/>
      <c r="AD45" s="60" t="n"/>
      <c r="AE45" s="60">
        <f>AD45-AC45</f>
        <v/>
      </c>
      <c r="AF45" s="61">
        <f>IF(AC45=0,"",AD45/AC45)</f>
        <v/>
      </c>
      <c r="AG45" s="27" t="n"/>
      <c r="AH45" s="62" t="n"/>
      <c r="AI45" s="62" t="n"/>
      <c r="AJ45" s="62">
        <f>AI45-AH45</f>
        <v/>
      </c>
      <c r="AK45" s="64">
        <f>IF(AH45=0,"",AI45/AH45)</f>
        <v/>
      </c>
      <c r="AL45" s="31" t="n"/>
      <c r="AM45" s="60" t="n"/>
      <c r="AN45" s="60" t="n"/>
      <c r="AO45" s="60">
        <f>AN45-AM45</f>
        <v/>
      </c>
      <c r="AP45" s="61">
        <f>IF(AM45=0,"",AN45/AM45)</f>
        <v/>
      </c>
      <c r="AQ45" s="27" t="n"/>
      <c r="AR45" s="62" t="n"/>
      <c r="AS45" s="62" t="n"/>
      <c r="AT45" s="62">
        <f>AS45-AR45</f>
        <v/>
      </c>
      <c r="AU45" s="64">
        <f>IF(AR45=0,"",AS45/AR45)</f>
        <v/>
      </c>
      <c r="AV45" s="31" t="n"/>
      <c r="AW45" s="60" t="n"/>
      <c r="AX45" s="60" t="n"/>
      <c r="AY45" s="60">
        <f>AX45-AW45</f>
        <v/>
      </c>
      <c r="AZ45" s="61">
        <f>IF(AW45=0,"",AX45/AW45)</f>
        <v/>
      </c>
      <c r="BA45" s="27" t="n"/>
      <c r="BB45" s="62" t="n"/>
      <c r="BC45" s="62" t="n"/>
      <c r="BD45" s="62">
        <f>BC45-BB45</f>
        <v/>
      </c>
      <c r="BE45" s="64">
        <f>IF(BB45=0,"",BC45/BB45)</f>
        <v/>
      </c>
      <c r="BF45" s="31" t="n"/>
      <c r="BG45" s="60" t="n"/>
      <c r="BH45" s="60" t="n"/>
      <c r="BI45" s="60">
        <f>BH45-BG45</f>
        <v/>
      </c>
      <c r="BJ45" s="61">
        <f>IF(BG45=0,"",BH45/BG45)</f>
        <v/>
      </c>
      <c r="BK45" s="27" t="n"/>
      <c r="BL45" s="62" t="n"/>
      <c r="BM45" s="62" t="n"/>
      <c r="BN45" s="62">
        <f>BM45-BL45</f>
        <v/>
      </c>
      <c r="BO45" s="64">
        <f>IF(BL45=0,"",BM45/BL45)</f>
        <v/>
      </c>
      <c r="BP45" s="31" t="n"/>
      <c r="BQ45" s="60" t="n"/>
      <c r="BR45" s="60" t="n"/>
      <c r="BS45" s="60">
        <f>BR45-BQ45</f>
        <v/>
      </c>
      <c r="BT45" s="61">
        <f>IF(BQ45=0,"",BR45/BQ45)</f>
        <v/>
      </c>
      <c r="BU45" s="27" t="n"/>
      <c r="BV45" s="62" t="n"/>
      <c r="BW45" s="62" t="n"/>
      <c r="BX45" s="62">
        <f>BW45-BV45</f>
        <v/>
      </c>
      <c r="BY45" s="64">
        <f>IF(BV45=0,"",BW45/BV45)</f>
        <v/>
      </c>
      <c r="BZ45" s="31" t="n"/>
      <c r="CA45" s="60" t="n"/>
      <c r="CB45" s="60" t="n"/>
      <c r="CC45" s="60">
        <f>CB45-CA45</f>
        <v/>
      </c>
      <c r="CD45" s="61">
        <f>IF(CA45=0,"",CB45/CA45)</f>
        <v/>
      </c>
      <c r="CE45" s="27" t="n"/>
      <c r="CF45" s="62" t="n"/>
      <c r="CG45" s="62" t="n"/>
      <c r="CH45" s="62">
        <f>CG45-CF45</f>
        <v/>
      </c>
      <c r="CI45" s="64">
        <f>IF(CF45=0,"",CG45/CF45)</f>
        <v/>
      </c>
      <c r="CJ45" s="31" t="n"/>
      <c r="CK45" s="60" t="n"/>
      <c r="CL45" s="60" t="n"/>
      <c r="CM45" s="60">
        <f>CL45-CK45</f>
        <v/>
      </c>
      <c r="CN45" s="61">
        <f>IF(CK45=0,"",CL45/CK45)</f>
        <v/>
      </c>
      <c r="CO45" s="27" t="n"/>
      <c r="CP45" s="62" t="n"/>
      <c r="CQ45" s="62" t="n"/>
      <c r="CR45" s="62">
        <f>CQ45-CP45</f>
        <v/>
      </c>
      <c r="CS45" s="64">
        <f>IF(CP45=0,"",CQ45/CP45)</f>
        <v/>
      </c>
      <c r="CT45" s="31" t="n"/>
      <c r="CU45" s="60" t="n"/>
      <c r="CV45" s="60" t="n"/>
      <c r="CW45" s="60">
        <f>CV45-CU45</f>
        <v/>
      </c>
      <c r="CX45" s="61">
        <f>IF(CU45=0,"",CV45/CU45)</f>
        <v/>
      </c>
      <c r="CY45" s="27" t="n"/>
      <c r="CZ45" s="62" t="n"/>
      <c r="DA45" s="62" t="n"/>
      <c r="DB45" s="62">
        <f>DA45-CZ45</f>
        <v/>
      </c>
      <c r="DC45" s="64">
        <f>IF(CZ45=0,"",DA45/CZ45)</f>
        <v/>
      </c>
      <c r="DD45" s="31" t="n"/>
      <c r="DE45" s="60" t="n"/>
      <c r="DF45" s="60" t="n"/>
      <c r="DG45" s="60">
        <f>DF45-DE45</f>
        <v/>
      </c>
      <c r="DH45" s="61">
        <f>IF(DE45=0,"",DF45/DE45)</f>
        <v/>
      </c>
      <c r="DI45" s="27" t="n"/>
      <c r="DJ45" s="62" t="n"/>
      <c r="DK45" s="62" t="n"/>
      <c r="DL45" s="62">
        <f>DK45-DJ45</f>
        <v/>
      </c>
      <c r="DM45" s="64">
        <f>IF(DJ45=0,"",DK45/DJ45)</f>
        <v/>
      </c>
      <c r="DN45" s="31" t="n"/>
      <c r="DO45" s="60" t="n"/>
    </row>
    <row r="46" ht="15" customHeight="1">
      <c r="A46" s="19" t="n"/>
      <c r="B46" s="20" t="n"/>
      <c r="C46" s="19" t="n"/>
      <c r="D46" s="58">
        <f>D47</f>
        <v/>
      </c>
      <c r="E46" s="58">
        <f>E47</f>
        <v/>
      </c>
      <c r="F46" s="58">
        <f>E46-D46</f>
        <v/>
      </c>
      <c r="G46" s="59">
        <f>IF(D46=0,"",E46/D46)</f>
        <v/>
      </c>
      <c r="H46" s="23" t="n"/>
      <c r="I46" s="58">
        <f>I47</f>
        <v/>
      </c>
      <c r="J46" s="58">
        <f>J47</f>
        <v/>
      </c>
      <c r="K46" s="58">
        <f>J46-I46</f>
        <v/>
      </c>
      <c r="L46" s="59">
        <f>IF(I46=0,"",J46/I46)</f>
        <v/>
      </c>
      <c r="M46" s="23" t="n"/>
      <c r="N46" s="58">
        <f>N47</f>
        <v/>
      </c>
      <c r="O46" s="58">
        <f>O47</f>
        <v/>
      </c>
      <c r="P46" s="58">
        <f>O46-N46</f>
        <v/>
      </c>
      <c r="Q46" s="59">
        <f>IF(N46=0,"",O46/N46)</f>
        <v/>
      </c>
      <c r="R46" s="23" t="n"/>
      <c r="S46" s="58">
        <f>S47</f>
        <v/>
      </c>
      <c r="T46" s="58">
        <f>T47</f>
        <v/>
      </c>
      <c r="U46" s="58">
        <f>T46-S46</f>
        <v/>
      </c>
      <c r="V46" s="59">
        <f>IF(S46=0,"",T46/S46)</f>
        <v/>
      </c>
      <c r="W46" s="23" t="n"/>
      <c r="X46" s="58">
        <f>X47</f>
        <v/>
      </c>
      <c r="Y46" s="58">
        <f>Y47</f>
        <v/>
      </c>
      <c r="Z46" s="58">
        <f>Y46-X46</f>
        <v/>
      </c>
      <c r="AA46" s="59">
        <f>IF(X46=0,"",Y46/X46)</f>
        <v/>
      </c>
      <c r="AB46" s="23" t="n"/>
      <c r="AC46" s="58">
        <f>AC47</f>
        <v/>
      </c>
      <c r="AD46" s="58">
        <f>AD47</f>
        <v/>
      </c>
      <c r="AE46" s="58">
        <f>AD46-AC46</f>
        <v/>
      </c>
      <c r="AF46" s="59">
        <f>IF(AC46=0,"",AD46/AC46)</f>
        <v/>
      </c>
      <c r="AG46" s="23" t="n"/>
      <c r="AH46" s="58">
        <f>AH47</f>
        <v/>
      </c>
      <c r="AI46" s="58">
        <f>AI47</f>
        <v/>
      </c>
      <c r="AJ46" s="58">
        <f>AI46-AH46</f>
        <v/>
      </c>
      <c r="AK46" s="59">
        <f>IF(AH46=0,"",AI46/AH46)</f>
        <v/>
      </c>
      <c r="AL46" s="23" t="n"/>
      <c r="AM46" s="58">
        <f>AM47</f>
        <v/>
      </c>
      <c r="AN46" s="58">
        <f>AN47</f>
        <v/>
      </c>
      <c r="AO46" s="58">
        <f>AN46-AM46</f>
        <v/>
      </c>
      <c r="AP46" s="59">
        <f>IF(AM46=0,"",AN46/AM46)</f>
        <v/>
      </c>
      <c r="AQ46" s="23" t="n"/>
      <c r="AR46" s="58">
        <f>AR47</f>
        <v/>
      </c>
      <c r="AS46" s="58">
        <f>AS47</f>
        <v/>
      </c>
      <c r="AT46" s="58">
        <f>AS46-AR46</f>
        <v/>
      </c>
      <c r="AU46" s="59">
        <f>IF(AR46=0,"",AS46/AR46)</f>
        <v/>
      </c>
      <c r="AV46" s="23" t="n"/>
      <c r="AW46" s="58">
        <f>AW47</f>
        <v/>
      </c>
      <c r="AX46" s="58">
        <f>AX47</f>
        <v/>
      </c>
      <c r="AY46" s="58">
        <f>AX46-AW46</f>
        <v/>
      </c>
      <c r="AZ46" s="59">
        <f>IF(AW46=0,"",AX46/AW46)</f>
        <v/>
      </c>
      <c r="BA46" s="23" t="n"/>
      <c r="BB46" s="58">
        <f>BB47</f>
        <v/>
      </c>
      <c r="BC46" s="58">
        <f>BC47</f>
        <v/>
      </c>
      <c r="BD46" s="58">
        <f>BC46-BB46</f>
        <v/>
      </c>
      <c r="BE46" s="59">
        <f>IF(BB46=0,"",BC46/BB46)</f>
        <v/>
      </c>
      <c r="BF46" s="23" t="n"/>
      <c r="BG46" s="58">
        <f>BG47</f>
        <v/>
      </c>
      <c r="BH46" s="58">
        <f>BH47</f>
        <v/>
      </c>
      <c r="BI46" s="58">
        <f>BH46-BG46</f>
        <v/>
      </c>
      <c r="BJ46" s="59">
        <f>IF(BG46=0,"",BH46/BG46)</f>
        <v/>
      </c>
      <c r="BK46" s="23" t="n"/>
      <c r="BL46" s="58">
        <f>BL47</f>
        <v/>
      </c>
      <c r="BM46" s="58">
        <f>BM47</f>
        <v/>
      </c>
      <c r="BN46" s="58">
        <f>BM46-BL46</f>
        <v/>
      </c>
      <c r="BO46" s="59">
        <f>IF(BL46=0,"",BM46/BL46)</f>
        <v/>
      </c>
      <c r="BP46" s="23" t="n"/>
      <c r="BQ46" s="58">
        <f>BQ47</f>
        <v/>
      </c>
      <c r="BR46" s="58">
        <f>BR47</f>
        <v/>
      </c>
      <c r="BS46" s="58">
        <f>BR46-BQ46</f>
        <v/>
      </c>
      <c r="BT46" s="59">
        <f>IF(BQ46=0,"",BR46/BQ46)</f>
        <v/>
      </c>
      <c r="BU46" s="23" t="n"/>
      <c r="BV46" s="58">
        <f>BV47</f>
        <v/>
      </c>
      <c r="BW46" s="58">
        <f>BW47</f>
        <v/>
      </c>
      <c r="BX46" s="58">
        <f>BW46-BV46</f>
        <v/>
      </c>
      <c r="BY46" s="59">
        <f>IF(BV46=0,"",BW46/BV46)</f>
        <v/>
      </c>
      <c r="BZ46" s="23" t="n"/>
      <c r="CA46" s="58">
        <f>CA47</f>
        <v/>
      </c>
      <c r="CB46" s="58">
        <f>CB47</f>
        <v/>
      </c>
      <c r="CC46" s="58">
        <f>CB46-CA46</f>
        <v/>
      </c>
      <c r="CD46" s="59">
        <f>IF(CA46=0,"",CB46/CA46)</f>
        <v/>
      </c>
      <c r="CE46" s="23" t="n"/>
      <c r="CF46" s="58">
        <f>CF47</f>
        <v/>
      </c>
      <c r="CG46" s="58">
        <f>CG47</f>
        <v/>
      </c>
      <c r="CH46" s="58">
        <f>CG46-CF46</f>
        <v/>
      </c>
      <c r="CI46" s="59">
        <f>IF(CF46=0,"",CG46/CF46)</f>
        <v/>
      </c>
      <c r="CJ46" s="23" t="n"/>
      <c r="CK46" s="58">
        <f>CK47</f>
        <v/>
      </c>
      <c r="CL46" s="58">
        <f>CL47</f>
        <v/>
      </c>
      <c r="CM46" s="58">
        <f>CL46-CK46</f>
        <v/>
      </c>
      <c r="CN46" s="59">
        <f>IF(CK46=0,"",CL46/CK46)</f>
        <v/>
      </c>
      <c r="CO46" s="23" t="n"/>
      <c r="CP46" s="58">
        <f>CP47</f>
        <v/>
      </c>
      <c r="CQ46" s="58">
        <f>CQ47</f>
        <v/>
      </c>
      <c r="CR46" s="58">
        <f>CQ46-CP46</f>
        <v/>
      </c>
      <c r="CS46" s="59">
        <f>IF(CP46=0,"",CQ46/CP46)</f>
        <v/>
      </c>
      <c r="CT46" s="23" t="n"/>
      <c r="CU46" s="58">
        <f>CU47</f>
        <v/>
      </c>
      <c r="CV46" s="58">
        <f>CV47</f>
        <v/>
      </c>
      <c r="CW46" s="58">
        <f>CV46-CU46</f>
        <v/>
      </c>
      <c r="CX46" s="59">
        <f>IF(CU46=0,"",CV46/CU46)</f>
        <v/>
      </c>
      <c r="CY46" s="23" t="n"/>
      <c r="CZ46" s="58">
        <f>CZ47</f>
        <v/>
      </c>
      <c r="DA46" s="58">
        <f>DA47</f>
        <v/>
      </c>
      <c r="DB46" s="58">
        <f>DA46-CZ46</f>
        <v/>
      </c>
      <c r="DC46" s="59">
        <f>IF(CZ46=0,"",DA46/CZ46)</f>
        <v/>
      </c>
      <c r="DD46" s="23" t="n"/>
      <c r="DE46" s="58">
        <f>DE47</f>
        <v/>
      </c>
      <c r="DF46" s="58">
        <f>DF47</f>
        <v/>
      </c>
      <c r="DG46" s="58">
        <f>DF46-DE46</f>
        <v/>
      </c>
      <c r="DH46" s="59">
        <f>IF(DE46=0,"",DF46/DE46)</f>
        <v/>
      </c>
      <c r="DI46" s="23" t="n"/>
      <c r="DJ46" s="58">
        <f>DJ47</f>
        <v/>
      </c>
      <c r="DK46" s="58">
        <f>DK47</f>
        <v/>
      </c>
      <c r="DL46" s="58">
        <f>DK46-DJ46</f>
        <v/>
      </c>
      <c r="DM46" s="59">
        <f>IF(DJ46=0,"",DK46/DJ46)</f>
        <v/>
      </c>
      <c r="DN46" s="23" t="n"/>
      <c r="DO46" s="58">
        <f>DO47</f>
        <v/>
      </c>
    </row>
    <row r="47" outlineLevel="1" ht="15" customHeight="1">
      <c r="A47" s="24" t="n"/>
      <c r="B47" s="24" t="n"/>
      <c r="C47" s="24" t="n"/>
      <c r="D47" s="60" t="n"/>
      <c r="E47" s="60" t="n"/>
      <c r="F47" s="60">
        <f>E47-D47</f>
        <v/>
      </c>
      <c r="G47" s="61">
        <f>IF(D47=0,"",E47/D47)</f>
        <v/>
      </c>
      <c r="H47" s="27" t="n"/>
      <c r="I47" s="60" t="n"/>
      <c r="J47" s="60" t="n"/>
      <c r="K47" s="60">
        <f>J47-I47</f>
        <v/>
      </c>
      <c r="L47" s="61">
        <f>IF(I47=0,"",J47/I47)</f>
        <v/>
      </c>
      <c r="M47" s="27" t="n"/>
      <c r="N47" s="62" t="n"/>
      <c r="O47" s="62" t="n"/>
      <c r="P47" s="62">
        <f>O47-N47</f>
        <v/>
      </c>
      <c r="Q47" s="64">
        <f>IF(N47=0,"",O47/N47)</f>
        <v/>
      </c>
      <c r="R47" s="31" t="n"/>
      <c r="S47" s="60" t="n"/>
      <c r="T47" s="60" t="n"/>
      <c r="U47" s="60">
        <f>T47-S47</f>
        <v/>
      </c>
      <c r="V47" s="61">
        <f>IF(S47=0,"",T47/S47)</f>
        <v/>
      </c>
      <c r="W47" s="27" t="n"/>
      <c r="X47" s="62" t="n"/>
      <c r="Y47" s="62" t="n"/>
      <c r="Z47" s="63">
        <f>Y47-X47</f>
        <v/>
      </c>
      <c r="AA47" s="64">
        <f>IF(X47=0,"",Y47/X47)</f>
        <v/>
      </c>
      <c r="AB47" s="31" t="n"/>
      <c r="AC47" s="60" t="n"/>
      <c r="AD47" s="60" t="n"/>
      <c r="AE47" s="60">
        <f>AD47-AC47</f>
        <v/>
      </c>
      <c r="AF47" s="61">
        <f>IF(AC47=0,"",AD47/AC47)</f>
        <v/>
      </c>
      <c r="AG47" s="27" t="n"/>
      <c r="AH47" s="62" t="n"/>
      <c r="AI47" s="62" t="n"/>
      <c r="AJ47" s="62">
        <f>AI47-AH47</f>
        <v/>
      </c>
      <c r="AK47" s="64">
        <f>IF(AH47=0,"",AI47/AH47)</f>
        <v/>
      </c>
      <c r="AL47" s="31" t="n"/>
      <c r="AM47" s="60" t="n"/>
      <c r="AN47" s="60" t="n"/>
      <c r="AO47" s="60">
        <f>AN47-AM47</f>
        <v/>
      </c>
      <c r="AP47" s="61">
        <f>IF(AM47=0,"",AN47/AM47)</f>
        <v/>
      </c>
      <c r="AQ47" s="27" t="n"/>
      <c r="AR47" s="62" t="n"/>
      <c r="AS47" s="62" t="n"/>
      <c r="AT47" s="62">
        <f>AS47-AR47</f>
        <v/>
      </c>
      <c r="AU47" s="64">
        <f>IF(AR47=0,"",AS47/AR47)</f>
        <v/>
      </c>
      <c r="AV47" s="31" t="n"/>
      <c r="AW47" s="60" t="n"/>
      <c r="AX47" s="60" t="n"/>
      <c r="AY47" s="60">
        <f>AX47-AW47</f>
        <v/>
      </c>
      <c r="AZ47" s="61">
        <f>IF(AW47=0,"",AX47/AW47)</f>
        <v/>
      </c>
      <c r="BA47" s="27" t="n"/>
      <c r="BB47" s="62" t="n"/>
      <c r="BC47" s="62" t="n"/>
      <c r="BD47" s="62">
        <f>BC47-BB47</f>
        <v/>
      </c>
      <c r="BE47" s="64">
        <f>IF(BB47=0,"",BC47/BB47)</f>
        <v/>
      </c>
      <c r="BF47" s="31" t="n"/>
      <c r="BG47" s="60" t="n"/>
      <c r="BH47" s="60" t="n"/>
      <c r="BI47" s="60">
        <f>BH47-BG47</f>
        <v/>
      </c>
      <c r="BJ47" s="61">
        <f>IF(BG47=0,"",BH47/BG47)</f>
        <v/>
      </c>
      <c r="BK47" s="27" t="n"/>
      <c r="BL47" s="62" t="n"/>
      <c r="BM47" s="62" t="n"/>
      <c r="BN47" s="62">
        <f>BM47-BL47</f>
        <v/>
      </c>
      <c r="BO47" s="64">
        <f>IF(BL47=0,"",BM47/BL47)</f>
        <v/>
      </c>
      <c r="BP47" s="31" t="n"/>
      <c r="BQ47" s="60" t="n"/>
      <c r="BR47" s="60" t="n"/>
      <c r="BS47" s="60">
        <f>BR47-BQ47</f>
        <v/>
      </c>
      <c r="BT47" s="61">
        <f>IF(BQ47=0,"",BR47/BQ47)</f>
        <v/>
      </c>
      <c r="BU47" s="27" t="n"/>
      <c r="BV47" s="62" t="n"/>
      <c r="BW47" s="62" t="n"/>
      <c r="BX47" s="62">
        <f>BW47-BV47</f>
        <v/>
      </c>
      <c r="BY47" s="64">
        <f>IF(BV47=0,"",BW47/BV47)</f>
        <v/>
      </c>
      <c r="BZ47" s="31" t="n"/>
      <c r="CA47" s="60" t="n"/>
      <c r="CB47" s="60" t="n"/>
      <c r="CC47" s="60">
        <f>CB47-CA47</f>
        <v/>
      </c>
      <c r="CD47" s="61">
        <f>IF(CA47=0,"",CB47/CA47)</f>
        <v/>
      </c>
      <c r="CE47" s="27" t="n"/>
      <c r="CF47" s="62" t="n"/>
      <c r="CG47" s="62" t="n"/>
      <c r="CH47" s="62">
        <f>CG47-CF47</f>
        <v/>
      </c>
      <c r="CI47" s="64">
        <f>IF(CF47=0,"",CG47/CF47)</f>
        <v/>
      </c>
      <c r="CJ47" s="31" t="n"/>
      <c r="CK47" s="60" t="n"/>
      <c r="CL47" s="60" t="n"/>
      <c r="CM47" s="60">
        <f>CL47-CK47</f>
        <v/>
      </c>
      <c r="CN47" s="61">
        <f>IF(CK47=0,"",CL47/CK47)</f>
        <v/>
      </c>
      <c r="CO47" s="27" t="n"/>
      <c r="CP47" s="62" t="n"/>
      <c r="CQ47" s="62" t="n"/>
      <c r="CR47" s="62">
        <f>CQ47-CP47</f>
        <v/>
      </c>
      <c r="CS47" s="64">
        <f>IF(CP47=0,"",CQ47/CP47)</f>
        <v/>
      </c>
      <c r="CT47" s="31" t="n"/>
      <c r="CU47" s="60" t="n"/>
      <c r="CV47" s="60" t="n"/>
      <c r="CW47" s="60">
        <f>CV47-CU47</f>
        <v/>
      </c>
      <c r="CX47" s="61">
        <f>IF(CU47=0,"",CV47/CU47)</f>
        <v/>
      </c>
      <c r="CY47" s="27" t="n"/>
      <c r="CZ47" s="62" t="n"/>
      <c r="DA47" s="62" t="n"/>
      <c r="DB47" s="62">
        <f>DA47-CZ47</f>
        <v/>
      </c>
      <c r="DC47" s="64">
        <f>IF(CZ47=0,"",DA47/CZ47)</f>
        <v/>
      </c>
      <c r="DD47" s="31" t="n"/>
      <c r="DE47" s="60" t="n"/>
      <c r="DF47" s="60" t="n"/>
      <c r="DG47" s="60">
        <f>DF47-DE47</f>
        <v/>
      </c>
      <c r="DH47" s="61">
        <f>IF(DE47=0,"",DF47/DE47)</f>
        <v/>
      </c>
      <c r="DI47" s="27" t="n"/>
      <c r="DJ47" s="62" t="n"/>
      <c r="DK47" s="62" t="n"/>
      <c r="DL47" s="62">
        <f>DK47-DJ47</f>
        <v/>
      </c>
      <c r="DM47" s="64">
        <f>IF(DJ47=0,"",DK47/DJ47)</f>
        <v/>
      </c>
      <c r="DN47" s="31" t="n"/>
      <c r="DO47" s="60" t="n"/>
    </row>
    <row r="48" ht="15" customHeight="1">
      <c r="A48" s="19" t="n"/>
      <c r="B48" s="20" t="n"/>
      <c r="C48" s="19" t="n"/>
      <c r="D48" s="58">
        <f>D49+D50+D51+D52+D53+D54+D55+D56+D57+D58+D59+D60+D61+D62+D63+D64</f>
        <v/>
      </c>
      <c r="E48" s="58">
        <f>E49+E50+E51+E52+E53+E54+E55+E56+E57+E58+E59+E60+E61+E62+E63+E64</f>
        <v/>
      </c>
      <c r="F48" s="58">
        <f>E48-D48</f>
        <v/>
      </c>
      <c r="G48" s="59">
        <f>IF(D48=0,"",E48/D48)</f>
        <v/>
      </c>
      <c r="H48" s="23" t="n"/>
      <c r="I48" s="58">
        <f>I49+I50+I51+I52+I53+I54+I55+I56+I57+I58+I59+I60+I61+I62+I63+I64</f>
        <v/>
      </c>
      <c r="J48" s="58">
        <f>J49+J50+J51+J52+J53+J54+J55+J56+J57+J58+J59+J60+J61+J62+J63+J64</f>
        <v/>
      </c>
      <c r="K48" s="58">
        <f>J48-I48</f>
        <v/>
      </c>
      <c r="L48" s="59">
        <f>IF(I48=0,"",J48/I48)</f>
        <v/>
      </c>
      <c r="M48" s="23" t="n"/>
      <c r="N48" s="58">
        <f>N49+N50+N51+N52+N53+N54+N55+N56+N57+N58+N59+N60+N61+N62+N63+N64</f>
        <v/>
      </c>
      <c r="O48" s="58">
        <f>O49+O50+O51+O52+O53+O54+O55+O56+O57+O58+O59+O60+O61+O62+O63+O64</f>
        <v/>
      </c>
      <c r="P48" s="58">
        <f>O48-N48</f>
        <v/>
      </c>
      <c r="Q48" s="59">
        <f>IF(N48=0,"",O48/N48)</f>
        <v/>
      </c>
      <c r="R48" s="23" t="n"/>
      <c r="S48" s="58">
        <f>S49+S50+S51+S52+S53+S54+S55+S56+S57+S58+S59+S60+S61+S62+S63+S64</f>
        <v/>
      </c>
      <c r="T48" s="58">
        <f>T49+T50+T51+T52+T53+T54+T55+T56+T57+T58+T59+T60+T61+T62+T63+T64</f>
        <v/>
      </c>
      <c r="U48" s="58">
        <f>T48-S48</f>
        <v/>
      </c>
      <c r="V48" s="59">
        <f>IF(S48=0,"",T48/S48)</f>
        <v/>
      </c>
      <c r="W48" s="23" t="n"/>
      <c r="X48" s="58">
        <f>X49+X50+X51+X52+X53+X54+X55+X56+X57+X58+X59+X60+X61+X62+X63+X64</f>
        <v/>
      </c>
      <c r="Y48" s="58">
        <f>Y49+Y50+Y51+Y52+Y53+Y54+Y55+Y56+Y57+Y58+Y59+Y60+Y61+Y62+Y63+Y64</f>
        <v/>
      </c>
      <c r="Z48" s="58">
        <f>Y48-X48</f>
        <v/>
      </c>
      <c r="AA48" s="59">
        <f>IF(X48=0,"",Y48/X48)</f>
        <v/>
      </c>
      <c r="AB48" s="23" t="n"/>
      <c r="AC48" s="58">
        <f>AC49+AC50+AC51+AC52+AC53+AC54+AC55+AC56+AC57+AC58+AC59+AC60+AC61+AC62+AC63+AC64</f>
        <v/>
      </c>
      <c r="AD48" s="58">
        <f>AD49+AD50+AD51+AD52+AD53+AD54+AD55+AD56+AD57+AD58+AD59+AD60+AD61+AD62+AD63+AD64</f>
        <v/>
      </c>
      <c r="AE48" s="58">
        <f>AD48-AC48</f>
        <v/>
      </c>
      <c r="AF48" s="59">
        <f>IF(AC48=0,"",AD48/AC48)</f>
        <v/>
      </c>
      <c r="AG48" s="23" t="n"/>
      <c r="AH48" s="58">
        <f>AH49+AH50+AH51+AH52+AH53+AH54+AH55+AH56+AH57+AH58+AH59+AH60+AH61+AH62+AH63+AH64</f>
        <v/>
      </c>
      <c r="AI48" s="58">
        <f>AI49+AI50+AI51+AI52+AI53+AI54+AI55+AI56+AI57+AI58+AI59+AI60+AI61+AI62+AI63+AI64</f>
        <v/>
      </c>
      <c r="AJ48" s="58">
        <f>AI48-AH48</f>
        <v/>
      </c>
      <c r="AK48" s="59">
        <f>IF(AH48=0,"",AI48/AH48)</f>
        <v/>
      </c>
      <c r="AL48" s="23" t="n"/>
      <c r="AM48" s="58">
        <f>AM49+AM50+AM51+AM52+AM53+AM54+AM55+AM56+AM57+AM58+AM59+AM60+AM61+AM62+AM63+AM64</f>
        <v/>
      </c>
      <c r="AN48" s="58">
        <f>AN49+AN50+AN51+AN52+AN53+AN54+AN55+AN56+AN57+AN58+AN59+AN60+AN61+AN62+AN63+AN64</f>
        <v/>
      </c>
      <c r="AO48" s="58">
        <f>AN48-AM48</f>
        <v/>
      </c>
      <c r="AP48" s="59">
        <f>IF(AM48=0,"",AN48/AM48)</f>
        <v/>
      </c>
      <c r="AQ48" s="23" t="n"/>
      <c r="AR48" s="58">
        <f>AR49+AR50+AR51+AR52+AR53+AR54+AR55+AR56+AR57+AR58+AR59+AR60+AR61+AR62+AR63+AR64</f>
        <v/>
      </c>
      <c r="AS48" s="58">
        <f>AS49+AS50+AS51+AS52+AS53+AS54+AS55+AS56+AS57+AS58+AS59+AS60+AS61+AS62+AS63+AS64</f>
        <v/>
      </c>
      <c r="AT48" s="58">
        <f>AS48-AR48</f>
        <v/>
      </c>
      <c r="AU48" s="59">
        <f>IF(AR48=0,"",AS48/AR48)</f>
        <v/>
      </c>
      <c r="AV48" s="23" t="n"/>
      <c r="AW48" s="58">
        <f>AW49+AW50+AW51+AW52+AW53+AW54+AW55+AW56+AW57+AW58+AW59+AW60+AW61+AW62+AW63+AW64</f>
        <v/>
      </c>
      <c r="AX48" s="58">
        <f>AX49+AX50+AX51+AX52+AX53+AX54+AX55+AX56+AX57+AX58+AX59+AX60+AX61+AX62+AX63+AX64</f>
        <v/>
      </c>
      <c r="AY48" s="58">
        <f>AX48-AW48</f>
        <v/>
      </c>
      <c r="AZ48" s="59">
        <f>IF(AW48=0,"",AX48/AW48)</f>
        <v/>
      </c>
      <c r="BA48" s="23" t="n"/>
      <c r="BB48" s="58">
        <f>BB49+BB50+BB51+BB52+BB53+BB54+BB55+BB56+BB57+BB58+BB59+BB60+BB61+BB62+BB63+BB64</f>
        <v/>
      </c>
      <c r="BC48" s="58">
        <f>BC49+BC50+BC51+BC52+BC53+BC54+BC55+BC56+BC57+BC58+BC59+BC60+BC61+BC62+BC63+BC64</f>
        <v/>
      </c>
      <c r="BD48" s="58">
        <f>BC48-BB48</f>
        <v/>
      </c>
      <c r="BE48" s="59">
        <f>IF(BB48=0,"",BC48/BB48)</f>
        <v/>
      </c>
      <c r="BF48" s="23" t="n"/>
      <c r="BG48" s="58">
        <f>BG49+BG50+BG51+BG52+BG53+BG54+BG55+BG56+BG57+BG58+BG59+BG60+BG61+BG62+BG63+BG64</f>
        <v/>
      </c>
      <c r="BH48" s="58">
        <f>BH49+BH50+BH51+BH52+BH53+BH54+BH55+BH56+BH57+BH58+BH59+BH60+BH61+BH62+BH63+BH64</f>
        <v/>
      </c>
      <c r="BI48" s="58">
        <f>BH48-BG48</f>
        <v/>
      </c>
      <c r="BJ48" s="59">
        <f>IF(BG48=0,"",BH48/BG48)</f>
        <v/>
      </c>
      <c r="BK48" s="23" t="n"/>
      <c r="BL48" s="58">
        <f>BL49+BL50+BL51+BL52+BL53+BL54+BL55+BL56+BL57+BL58+BL59+BL60+BL61+BL62+BL63+BL64</f>
        <v/>
      </c>
      <c r="BM48" s="58">
        <f>BM49+BM50+BM51+BM52+BM53+BM54+BM55+BM56+BM57+BM58+BM59+BM60+BM61+BM62+BM63+BM64</f>
        <v/>
      </c>
      <c r="BN48" s="58">
        <f>BM48-BL48</f>
        <v/>
      </c>
      <c r="BO48" s="59">
        <f>IF(BL48=0,"",BM48/BL48)</f>
        <v/>
      </c>
      <c r="BP48" s="23" t="n"/>
      <c r="BQ48" s="58">
        <f>BQ49+BQ50+BQ51+BQ52+BQ53+BQ54+BQ55+BQ56+BQ57+BQ58+BQ59+BQ60+BQ61+BQ62+BQ63+BQ64</f>
        <v/>
      </c>
      <c r="BR48" s="58">
        <f>BR49+BR50+BR51+BR52+BR53+BR54+BR55+BR56+BR57+BR58+BR59+BR60+BR61+BR62+BR63+BR64</f>
        <v/>
      </c>
      <c r="BS48" s="58">
        <f>BR48-BQ48</f>
        <v/>
      </c>
      <c r="BT48" s="59">
        <f>IF(BQ48=0,"",BR48/BQ48)</f>
        <v/>
      </c>
      <c r="BU48" s="23" t="n"/>
      <c r="BV48" s="58">
        <f>BV49+BV50+BV51+BV52+BV53+BV54+BV55+BV56+BV57+BV58+BV59+BV60+BV61+BV62+BV63+BV64</f>
        <v/>
      </c>
      <c r="BW48" s="58">
        <f>BW49+BW50+BW51+BW52+BW53+BW54+BW55+BW56+BW57+BW58+BW59+BW60+BW61+BW62+BW63+BW64</f>
        <v/>
      </c>
      <c r="BX48" s="58">
        <f>BW48-BV48</f>
        <v/>
      </c>
      <c r="BY48" s="59">
        <f>IF(BV48=0,"",BW48/BV48)</f>
        <v/>
      </c>
      <c r="BZ48" s="23" t="n"/>
      <c r="CA48" s="58">
        <f>CA49+CA50+CA51+CA52+CA53+CA54+CA55+CA56+CA57+CA58+CA59+CA60+CA61+CA62+CA63+CA64</f>
        <v/>
      </c>
      <c r="CB48" s="58">
        <f>CB49+CB50+CB51+CB52+CB53+CB54+CB55+CB56+CB57+CB58+CB59+CB60+CB61+CB62+CB63+CB64</f>
        <v/>
      </c>
      <c r="CC48" s="58">
        <f>CB48-CA48</f>
        <v/>
      </c>
      <c r="CD48" s="59">
        <f>IF(CA48=0,"",CB48/CA48)</f>
        <v/>
      </c>
      <c r="CE48" s="23" t="n"/>
      <c r="CF48" s="58">
        <f>CF49+CF50+CF51+CF52+CF53+CF54+CF55+CF56+CF57+CF58+CF59+CF60+CF61+CF62+CF63+CF64</f>
        <v/>
      </c>
      <c r="CG48" s="58">
        <f>CG49+CG50+CG51+CG52+CG53+CG54+CG55+CG56+CG57+CG58+CG59+CG60+CG61+CG62+CG63+CG64</f>
        <v/>
      </c>
      <c r="CH48" s="58">
        <f>CG48-CF48</f>
        <v/>
      </c>
      <c r="CI48" s="59">
        <f>IF(CF48=0,"",CG48/CF48)</f>
        <v/>
      </c>
      <c r="CJ48" s="23" t="n"/>
      <c r="CK48" s="58">
        <f>CK49+CK50+CK51+CK52+CK53+CK54+CK55+CK56+CK57+CK58+CK59+CK60+CK61+CK62+CK63+CK64</f>
        <v/>
      </c>
      <c r="CL48" s="58">
        <f>CL49+CL50+CL51+CL52+CL53+CL54+CL55+CL56+CL57+CL58+CL59+CL60+CL61+CL62+CL63+CL64</f>
        <v/>
      </c>
      <c r="CM48" s="58">
        <f>CL48-CK48</f>
        <v/>
      </c>
      <c r="CN48" s="59">
        <f>IF(CK48=0,"",CL48/CK48)</f>
        <v/>
      </c>
      <c r="CO48" s="23" t="n"/>
      <c r="CP48" s="58">
        <f>CP49+CP50+CP51+CP52+CP53+CP54+CP55+CP56+CP57+CP58+CP59+CP60+CP61+CP62+CP63+CP64</f>
        <v/>
      </c>
      <c r="CQ48" s="58">
        <f>CQ49+CQ50+CQ51+CQ52+CQ53+CQ54+CQ55+CQ56+CQ57+CQ58+CQ59+CQ60+CQ61+CQ62+CQ63+CQ64</f>
        <v/>
      </c>
      <c r="CR48" s="58">
        <f>CQ48-CP48</f>
        <v/>
      </c>
      <c r="CS48" s="59">
        <f>IF(CP48=0,"",CQ48/CP48)</f>
        <v/>
      </c>
      <c r="CT48" s="23" t="n"/>
      <c r="CU48" s="58">
        <f>CU49+CU50+CU51+CU52+CU53+CU54+CU55+CU56+CU57+CU58+CU59+CU60+CU61+CU62+CU63+CU64</f>
        <v/>
      </c>
      <c r="CV48" s="58">
        <f>CV49+CV50+CV51+CV52+CV53+CV54+CV55+CV56+CV57+CV58+CV59+CV60+CV61+CV62+CV63+CV64</f>
        <v/>
      </c>
      <c r="CW48" s="58">
        <f>CV48-CU48</f>
        <v/>
      </c>
      <c r="CX48" s="59">
        <f>IF(CU48=0,"",CV48/CU48)</f>
        <v/>
      </c>
      <c r="CY48" s="23" t="n"/>
      <c r="CZ48" s="58">
        <f>CZ49+CZ50+CZ51+CZ52+CZ53+CZ54+CZ55+CZ56+CZ57+CZ58+CZ59+CZ60+CZ61+CZ62+CZ63+CZ64</f>
        <v/>
      </c>
      <c r="DA48" s="58">
        <f>DA49+DA50+DA51+DA52+DA53+DA54+DA55+DA56+DA57+DA58+DA59+DA60+DA61+DA62+DA63+DA64</f>
        <v/>
      </c>
      <c r="DB48" s="58">
        <f>DA48-CZ48</f>
        <v/>
      </c>
      <c r="DC48" s="59">
        <f>IF(CZ48=0,"",DA48/CZ48)</f>
        <v/>
      </c>
      <c r="DD48" s="23" t="n"/>
      <c r="DE48" s="58">
        <f>DE49+DE50+DE51+DE52+DE53+DE54+DE55+DE56+DE57+DE58+DE59+DE60+DE61+DE62+DE63+DE64</f>
        <v/>
      </c>
      <c r="DF48" s="58">
        <f>DF49+DF50+DF51+DF52+DF53+DF54+DF55+DF56+DF57+DF58+DF59+DF60+DF61+DF62+DF63+DF64</f>
        <v/>
      </c>
      <c r="DG48" s="58">
        <f>DF48-DE48</f>
        <v/>
      </c>
      <c r="DH48" s="59">
        <f>IF(DE48=0,"",DF48/DE48)</f>
        <v/>
      </c>
      <c r="DI48" s="23" t="n"/>
      <c r="DJ48" s="58">
        <f>DJ49+DJ50+DJ51+DJ52+DJ53+DJ54+DJ55+DJ56+DJ57+DJ58+DJ59+DJ60+DJ61+DJ62+DJ63+DJ64</f>
        <v/>
      </c>
      <c r="DK48" s="58">
        <f>DK49+DK50+DK51+DK52+DK53+DK54+DK55+DK56+DK57+DK58+DK59+DK60+DK61+DK62+DK63+DK64</f>
        <v/>
      </c>
      <c r="DL48" s="58">
        <f>DK48-DJ48</f>
        <v/>
      </c>
      <c r="DM48" s="59">
        <f>IF(DJ48=0,"",DK48/DJ48)</f>
        <v/>
      </c>
      <c r="DN48" s="23" t="n"/>
      <c r="DO48" s="58">
        <f>DO49+DO50+DO51+DO52+DO53+DO54+DO55+DO56+DO57+DO58+DO59+DO60+DO61+DO62+DO63+DO64</f>
        <v/>
      </c>
    </row>
    <row r="49" outlineLevel="1" ht="15" customHeight="1">
      <c r="A49" s="24" t="n"/>
      <c r="B49" s="24" t="n"/>
      <c r="C49" s="24" t="n"/>
      <c r="D49" s="60" t="n"/>
      <c r="E49" s="60" t="n"/>
      <c r="F49" s="60">
        <f>E49-D49</f>
        <v/>
      </c>
      <c r="G49" s="61">
        <f>IF(D49=0,"",E49/D49)</f>
        <v/>
      </c>
      <c r="H49" s="27" t="n"/>
      <c r="I49" s="60" t="n"/>
      <c r="J49" s="60" t="n"/>
      <c r="K49" s="60">
        <f>J49-I49</f>
        <v/>
      </c>
      <c r="L49" s="61">
        <f>IF(I49=0,"",J49/I49)</f>
        <v/>
      </c>
      <c r="M49" s="27" t="n"/>
      <c r="N49" s="62" t="n"/>
      <c r="O49" s="62" t="n"/>
      <c r="P49" s="62">
        <f>O49-N49</f>
        <v/>
      </c>
      <c r="Q49" s="64">
        <f>IF(N49=0,"",O49/N49)</f>
        <v/>
      </c>
      <c r="R49" s="31" t="n"/>
      <c r="S49" s="60" t="n"/>
      <c r="T49" s="60" t="n"/>
      <c r="U49" s="60">
        <f>T49-S49</f>
        <v/>
      </c>
      <c r="V49" s="61">
        <f>IF(S49=0,"",T49/S49)</f>
        <v/>
      </c>
      <c r="W49" s="27" t="n"/>
      <c r="X49" s="62" t="n"/>
      <c r="Y49" s="62" t="n"/>
      <c r="Z49" s="62">
        <f>Y49-X49</f>
        <v/>
      </c>
      <c r="AA49" s="64">
        <f>IF(X49=0,"",Y49/X49)</f>
        <v/>
      </c>
      <c r="AB49" s="31" t="n"/>
      <c r="AC49" s="60" t="n"/>
      <c r="AD49" s="60" t="n"/>
      <c r="AE49" s="60">
        <f>AD49-AC49</f>
        <v/>
      </c>
      <c r="AF49" s="61">
        <f>IF(AC49=0,"",AD49/AC49)</f>
        <v/>
      </c>
      <c r="AG49" s="27" t="n"/>
      <c r="AH49" s="62" t="n"/>
      <c r="AI49" s="62" t="n"/>
      <c r="AJ49" s="62">
        <f>AI49-AH49</f>
        <v/>
      </c>
      <c r="AK49" s="64">
        <f>IF(AH49=0,"",AI49/AH49)</f>
        <v/>
      </c>
      <c r="AL49" s="31" t="n"/>
      <c r="AM49" s="60" t="n"/>
      <c r="AN49" s="60" t="n"/>
      <c r="AO49" s="60">
        <f>AN49-AM49</f>
        <v/>
      </c>
      <c r="AP49" s="61">
        <f>IF(AM49=0,"",AN49/AM49)</f>
        <v/>
      </c>
      <c r="AQ49" s="27" t="n"/>
      <c r="AR49" s="62" t="n"/>
      <c r="AS49" s="62" t="n"/>
      <c r="AT49" s="62">
        <f>AS49-AR49</f>
        <v/>
      </c>
      <c r="AU49" s="64">
        <f>IF(AR49=0,"",AS49/AR49)</f>
        <v/>
      </c>
      <c r="AV49" s="31" t="n"/>
      <c r="AW49" s="60" t="n"/>
      <c r="AX49" s="60" t="n"/>
      <c r="AY49" s="60">
        <f>AX49-AW49</f>
        <v/>
      </c>
      <c r="AZ49" s="61">
        <f>IF(AW49=0,"",AX49/AW49)</f>
        <v/>
      </c>
      <c r="BA49" s="27" t="n"/>
      <c r="BB49" s="62" t="n"/>
      <c r="BC49" s="62" t="n"/>
      <c r="BD49" s="62">
        <f>BC49-BB49</f>
        <v/>
      </c>
      <c r="BE49" s="64">
        <f>IF(BB49=0,"",BC49/BB49)</f>
        <v/>
      </c>
      <c r="BF49" s="31" t="n"/>
      <c r="BG49" s="60" t="n"/>
      <c r="BH49" s="60" t="n"/>
      <c r="BI49" s="60">
        <f>BH49-BG49</f>
        <v/>
      </c>
      <c r="BJ49" s="61">
        <f>IF(BG49=0,"",BH49/BG49)</f>
        <v/>
      </c>
      <c r="BK49" s="27" t="n"/>
      <c r="BL49" s="62" t="n"/>
      <c r="BM49" s="62" t="n"/>
      <c r="BN49" s="62">
        <f>BM49-BL49</f>
        <v/>
      </c>
      <c r="BO49" s="64">
        <f>IF(BL49=0,"",BM49/BL49)</f>
        <v/>
      </c>
      <c r="BP49" s="31" t="n"/>
      <c r="BQ49" s="60" t="n"/>
      <c r="BR49" s="60" t="n"/>
      <c r="BS49" s="60">
        <f>BR49-BQ49</f>
        <v/>
      </c>
      <c r="BT49" s="61">
        <f>IF(BQ49=0,"",BR49/BQ49)</f>
        <v/>
      </c>
      <c r="BU49" s="27" t="n"/>
      <c r="BV49" s="62" t="n"/>
      <c r="BW49" s="62" t="n"/>
      <c r="BX49" s="62">
        <f>BW49-BV49</f>
        <v/>
      </c>
      <c r="BY49" s="64">
        <f>IF(BV49=0,"",BW49/BV49)</f>
        <v/>
      </c>
      <c r="BZ49" s="31" t="n"/>
      <c r="CA49" s="60" t="n"/>
      <c r="CB49" s="60" t="n"/>
      <c r="CC49" s="60">
        <f>CB49-CA49</f>
        <v/>
      </c>
      <c r="CD49" s="61">
        <f>IF(CA49=0,"",CB49/CA49)</f>
        <v/>
      </c>
      <c r="CE49" s="27" t="n"/>
      <c r="CF49" s="62" t="n"/>
      <c r="CG49" s="62" t="n"/>
      <c r="CH49" s="62">
        <f>CG49-CF49</f>
        <v/>
      </c>
      <c r="CI49" s="64">
        <f>IF(CF49=0,"",CG49/CF49)</f>
        <v/>
      </c>
      <c r="CJ49" s="31" t="n"/>
      <c r="CK49" s="60" t="n"/>
      <c r="CL49" s="60" t="n"/>
      <c r="CM49" s="60">
        <f>CL49-CK49</f>
        <v/>
      </c>
      <c r="CN49" s="61">
        <f>IF(CK49=0,"",CL49/CK49)</f>
        <v/>
      </c>
      <c r="CO49" s="27" t="n"/>
      <c r="CP49" s="62" t="n"/>
      <c r="CQ49" s="62" t="n"/>
      <c r="CR49" s="62">
        <f>CQ49-CP49</f>
        <v/>
      </c>
      <c r="CS49" s="64">
        <f>IF(CP49=0,"",CQ49/CP49)</f>
        <v/>
      </c>
      <c r="CT49" s="31" t="n"/>
      <c r="CU49" s="60" t="n"/>
      <c r="CV49" s="60" t="n"/>
      <c r="CW49" s="60">
        <f>CV49-CU49</f>
        <v/>
      </c>
      <c r="CX49" s="61">
        <f>IF(CU49=0,"",CV49/CU49)</f>
        <v/>
      </c>
      <c r="CY49" s="27" t="n"/>
      <c r="CZ49" s="62" t="n"/>
      <c r="DA49" s="62" t="n"/>
      <c r="DB49" s="62">
        <f>DA49-CZ49</f>
        <v/>
      </c>
      <c r="DC49" s="64">
        <f>IF(CZ49=0,"",DA49/CZ49)</f>
        <v/>
      </c>
      <c r="DD49" s="31" t="n"/>
      <c r="DE49" s="60" t="n"/>
      <c r="DF49" s="60" t="n"/>
      <c r="DG49" s="60">
        <f>DF49-DE49</f>
        <v/>
      </c>
      <c r="DH49" s="61">
        <f>IF(DE49=0,"",DF49/DE49)</f>
        <v/>
      </c>
      <c r="DI49" s="27" t="n"/>
      <c r="DJ49" s="62" t="n"/>
      <c r="DK49" s="62" t="n"/>
      <c r="DL49" s="62">
        <f>DK49-DJ49</f>
        <v/>
      </c>
      <c r="DM49" s="64">
        <f>IF(DJ49=0,"",DK49/DJ49)</f>
        <v/>
      </c>
      <c r="DN49" s="31" t="n"/>
      <c r="DO49" s="60" t="n"/>
    </row>
    <row r="50" outlineLevel="1" ht="15" customHeight="1">
      <c r="A50" s="24" t="n"/>
      <c r="B50" s="24" t="n"/>
      <c r="C50" s="24" t="n"/>
      <c r="D50" s="60" t="n"/>
      <c r="E50" s="60" t="n"/>
      <c r="F50" s="60">
        <f>E50-D50</f>
        <v/>
      </c>
      <c r="G50" s="61">
        <f>IF(D50=0,"",E50/D50)</f>
        <v/>
      </c>
      <c r="H50" s="27" t="n"/>
      <c r="I50" s="60" t="n"/>
      <c r="J50" s="60" t="n"/>
      <c r="K50" s="60">
        <f>J50-I50</f>
        <v/>
      </c>
      <c r="L50" s="61">
        <f>IF(I50=0,"",J50/I50)</f>
        <v/>
      </c>
      <c r="M50" s="27" t="n"/>
      <c r="N50" s="62" t="n"/>
      <c r="O50" s="62" t="n"/>
      <c r="P50" s="62">
        <f>O50-N50</f>
        <v/>
      </c>
      <c r="Q50" s="64">
        <f>IF(N50=0,"",O50/N50)</f>
        <v/>
      </c>
      <c r="R50" s="31" t="n"/>
      <c r="S50" s="60" t="n"/>
      <c r="T50" s="60" t="n"/>
      <c r="U50" s="60">
        <f>T50-S50</f>
        <v/>
      </c>
      <c r="V50" s="61">
        <f>IF(S50=0,"",T50/S50)</f>
        <v/>
      </c>
      <c r="W50" s="27" t="n"/>
      <c r="X50" s="62" t="n"/>
      <c r="Y50" s="62" t="n"/>
      <c r="Z50" s="62">
        <f>Y50-X50</f>
        <v/>
      </c>
      <c r="AA50" s="64">
        <f>IF(X50=0,"",Y50/X50)</f>
        <v/>
      </c>
      <c r="AB50" s="31" t="n"/>
      <c r="AC50" s="60" t="n"/>
      <c r="AD50" s="60" t="n"/>
      <c r="AE50" s="60">
        <f>AD50-AC50</f>
        <v/>
      </c>
      <c r="AF50" s="61">
        <f>IF(AC50=0,"",AD50/AC50)</f>
        <v/>
      </c>
      <c r="AG50" s="27" t="n"/>
      <c r="AH50" s="62" t="n"/>
      <c r="AI50" s="62" t="n"/>
      <c r="AJ50" s="62">
        <f>AI50-AH50</f>
        <v/>
      </c>
      <c r="AK50" s="64">
        <f>IF(AH50=0,"",AI50/AH50)</f>
        <v/>
      </c>
      <c r="AL50" s="31" t="n"/>
      <c r="AM50" s="60" t="n"/>
      <c r="AN50" s="60" t="n"/>
      <c r="AO50" s="60">
        <f>AN50-AM50</f>
        <v/>
      </c>
      <c r="AP50" s="61">
        <f>IF(AM50=0,"",AN50/AM50)</f>
        <v/>
      </c>
      <c r="AQ50" s="27" t="n"/>
      <c r="AR50" s="62" t="n"/>
      <c r="AS50" s="62" t="n"/>
      <c r="AT50" s="62">
        <f>AS50-AR50</f>
        <v/>
      </c>
      <c r="AU50" s="64">
        <f>IF(AR50=0,"",AS50/AR50)</f>
        <v/>
      </c>
      <c r="AV50" s="31" t="n"/>
      <c r="AW50" s="60" t="n"/>
      <c r="AX50" s="60" t="n"/>
      <c r="AY50" s="60">
        <f>AX50-AW50</f>
        <v/>
      </c>
      <c r="AZ50" s="61">
        <f>IF(AW50=0,"",AX50/AW50)</f>
        <v/>
      </c>
      <c r="BA50" s="27" t="n"/>
      <c r="BB50" s="62" t="n"/>
      <c r="BC50" s="62" t="n"/>
      <c r="BD50" s="62">
        <f>BC50-BB50</f>
        <v/>
      </c>
      <c r="BE50" s="64">
        <f>IF(BB50=0,"",BC50/BB50)</f>
        <v/>
      </c>
      <c r="BF50" s="31" t="n"/>
      <c r="BG50" s="60" t="n"/>
      <c r="BH50" s="60" t="n"/>
      <c r="BI50" s="60">
        <f>BH50-BG50</f>
        <v/>
      </c>
      <c r="BJ50" s="61">
        <f>IF(BG50=0,"",BH50/BG50)</f>
        <v/>
      </c>
      <c r="BK50" s="27" t="n"/>
      <c r="BL50" s="62" t="n"/>
      <c r="BM50" s="62" t="n"/>
      <c r="BN50" s="62">
        <f>BM50-BL50</f>
        <v/>
      </c>
      <c r="BO50" s="64">
        <f>IF(BL50=0,"",BM50/BL50)</f>
        <v/>
      </c>
      <c r="BP50" s="31" t="n"/>
      <c r="BQ50" s="60" t="n"/>
      <c r="BR50" s="60" t="n"/>
      <c r="BS50" s="60">
        <f>BR50-BQ50</f>
        <v/>
      </c>
      <c r="BT50" s="61">
        <f>IF(BQ50=0,"",BR50/BQ50)</f>
        <v/>
      </c>
      <c r="BU50" s="27" t="n"/>
      <c r="BV50" s="62" t="n"/>
      <c r="BW50" s="62" t="n"/>
      <c r="BX50" s="62">
        <f>BW50-BV50</f>
        <v/>
      </c>
      <c r="BY50" s="64">
        <f>IF(BV50=0,"",BW50/BV50)</f>
        <v/>
      </c>
      <c r="BZ50" s="31" t="n"/>
      <c r="CA50" s="60" t="n"/>
      <c r="CB50" s="60" t="n"/>
      <c r="CC50" s="60">
        <f>CB50-CA50</f>
        <v/>
      </c>
      <c r="CD50" s="61">
        <f>IF(CA50=0,"",CB50/CA50)</f>
        <v/>
      </c>
      <c r="CE50" s="27" t="n"/>
      <c r="CF50" s="62" t="n"/>
      <c r="CG50" s="62" t="n"/>
      <c r="CH50" s="62">
        <f>CG50-CF50</f>
        <v/>
      </c>
      <c r="CI50" s="64">
        <f>IF(CF50=0,"",CG50/CF50)</f>
        <v/>
      </c>
      <c r="CJ50" s="31" t="n"/>
      <c r="CK50" s="60" t="n"/>
      <c r="CL50" s="60" t="n"/>
      <c r="CM50" s="60">
        <f>CL50-CK50</f>
        <v/>
      </c>
      <c r="CN50" s="61">
        <f>IF(CK50=0,"",CL50/CK50)</f>
        <v/>
      </c>
      <c r="CO50" s="27" t="n"/>
      <c r="CP50" s="62" t="n"/>
      <c r="CQ50" s="62" t="n"/>
      <c r="CR50" s="62">
        <f>CQ50-CP50</f>
        <v/>
      </c>
      <c r="CS50" s="64">
        <f>IF(CP50=0,"",CQ50/CP50)</f>
        <v/>
      </c>
      <c r="CT50" s="31" t="n"/>
      <c r="CU50" s="60" t="n"/>
      <c r="CV50" s="60" t="n"/>
      <c r="CW50" s="60">
        <f>CV50-CU50</f>
        <v/>
      </c>
      <c r="CX50" s="61">
        <f>IF(CU50=0,"",CV50/CU50)</f>
        <v/>
      </c>
      <c r="CY50" s="27" t="n"/>
      <c r="CZ50" s="62" t="n"/>
      <c r="DA50" s="62" t="n"/>
      <c r="DB50" s="62">
        <f>DA50-CZ50</f>
        <v/>
      </c>
      <c r="DC50" s="64">
        <f>IF(CZ50=0,"",DA50/CZ50)</f>
        <v/>
      </c>
      <c r="DD50" s="31" t="n"/>
      <c r="DE50" s="60" t="n"/>
      <c r="DF50" s="60" t="n"/>
      <c r="DG50" s="60">
        <f>DF50-DE50</f>
        <v/>
      </c>
      <c r="DH50" s="61">
        <f>IF(DE50=0,"",DF50/DE50)</f>
        <v/>
      </c>
      <c r="DI50" s="27" t="n"/>
      <c r="DJ50" s="62" t="n"/>
      <c r="DK50" s="62" t="n"/>
      <c r="DL50" s="62">
        <f>DK50-DJ50</f>
        <v/>
      </c>
      <c r="DM50" s="64">
        <f>IF(DJ50=0,"",DK50/DJ50)</f>
        <v/>
      </c>
      <c r="DN50" s="31" t="n"/>
      <c r="DO50" s="60" t="n"/>
    </row>
    <row r="51" outlineLevel="1" ht="15" customHeight="1">
      <c r="A51" s="24" t="n"/>
      <c r="B51" s="24" t="n"/>
      <c r="C51" s="24" t="n"/>
      <c r="D51" s="60" t="n"/>
      <c r="E51" s="60" t="n"/>
      <c r="F51" s="60">
        <f>E51-D51</f>
        <v/>
      </c>
      <c r="G51" s="61">
        <f>IF(D51=0,"",E51/D51)</f>
        <v/>
      </c>
      <c r="H51" s="27" t="n"/>
      <c r="I51" s="60" t="n"/>
      <c r="J51" s="60" t="n"/>
      <c r="K51" s="60">
        <f>J51-I51</f>
        <v/>
      </c>
      <c r="L51" s="61">
        <f>IF(I51=0,"",J51/I51)</f>
        <v/>
      </c>
      <c r="M51" s="27" t="n"/>
      <c r="N51" s="62" t="n"/>
      <c r="O51" s="62" t="n"/>
      <c r="P51" s="62">
        <f>O51-N51</f>
        <v/>
      </c>
      <c r="Q51" s="64">
        <f>IF(N51=0,"",O51/N51)</f>
        <v/>
      </c>
      <c r="R51" s="31" t="n"/>
      <c r="S51" s="60" t="n"/>
      <c r="T51" s="60" t="n"/>
      <c r="U51" s="60">
        <f>T51-S51</f>
        <v/>
      </c>
      <c r="V51" s="61">
        <f>IF(S51=0,"",T51/S51)</f>
        <v/>
      </c>
      <c r="W51" s="27" t="n"/>
      <c r="X51" s="62" t="n"/>
      <c r="Y51" s="62" t="n"/>
      <c r="Z51" s="62">
        <f>Y51-X51</f>
        <v/>
      </c>
      <c r="AA51" s="64">
        <f>IF(X51=0,"",Y51/X51)</f>
        <v/>
      </c>
      <c r="AB51" s="31" t="n"/>
      <c r="AC51" s="60" t="n"/>
      <c r="AD51" s="60" t="n"/>
      <c r="AE51" s="60">
        <f>AD51-AC51</f>
        <v/>
      </c>
      <c r="AF51" s="61">
        <f>IF(AC51=0,"",AD51/AC51)</f>
        <v/>
      </c>
      <c r="AG51" s="27" t="n"/>
      <c r="AH51" s="62" t="n"/>
      <c r="AI51" s="62" t="n"/>
      <c r="AJ51" s="62">
        <f>AI51-AH51</f>
        <v/>
      </c>
      <c r="AK51" s="64">
        <f>IF(AH51=0,"",AI51/AH51)</f>
        <v/>
      </c>
      <c r="AL51" s="31" t="n"/>
      <c r="AM51" s="60" t="n"/>
      <c r="AN51" s="60" t="n"/>
      <c r="AO51" s="60">
        <f>AN51-AM51</f>
        <v/>
      </c>
      <c r="AP51" s="61">
        <f>IF(AM51=0,"",AN51/AM51)</f>
        <v/>
      </c>
      <c r="AQ51" s="27" t="n"/>
      <c r="AR51" s="62" t="n"/>
      <c r="AS51" s="62" t="n"/>
      <c r="AT51" s="62">
        <f>AS51-AR51</f>
        <v/>
      </c>
      <c r="AU51" s="64">
        <f>IF(AR51=0,"",AS51/AR51)</f>
        <v/>
      </c>
      <c r="AV51" s="31" t="n"/>
      <c r="AW51" s="60" t="n"/>
      <c r="AX51" s="60" t="n"/>
      <c r="AY51" s="60">
        <f>AX51-AW51</f>
        <v/>
      </c>
      <c r="AZ51" s="61">
        <f>IF(AW51=0,"",AX51/AW51)</f>
        <v/>
      </c>
      <c r="BA51" s="27" t="n"/>
      <c r="BB51" s="62" t="n"/>
      <c r="BC51" s="62" t="n"/>
      <c r="BD51" s="62">
        <f>BC51-BB51</f>
        <v/>
      </c>
      <c r="BE51" s="64">
        <f>IF(BB51=0,"",BC51/BB51)</f>
        <v/>
      </c>
      <c r="BF51" s="31" t="n"/>
      <c r="BG51" s="60" t="n"/>
      <c r="BH51" s="60" t="n"/>
      <c r="BI51" s="60">
        <f>BH51-BG51</f>
        <v/>
      </c>
      <c r="BJ51" s="61">
        <f>IF(BG51=0,"",BH51/BG51)</f>
        <v/>
      </c>
      <c r="BK51" s="27" t="n"/>
      <c r="BL51" s="62" t="n"/>
      <c r="BM51" s="62" t="n"/>
      <c r="BN51" s="62">
        <f>BM51-BL51</f>
        <v/>
      </c>
      <c r="BO51" s="64">
        <f>IF(BL51=0,"",BM51/BL51)</f>
        <v/>
      </c>
      <c r="BP51" s="31" t="n"/>
      <c r="BQ51" s="60" t="n"/>
      <c r="BR51" s="60" t="n"/>
      <c r="BS51" s="60">
        <f>BR51-BQ51</f>
        <v/>
      </c>
      <c r="BT51" s="61">
        <f>IF(BQ51=0,"",BR51/BQ51)</f>
        <v/>
      </c>
      <c r="BU51" s="27" t="n"/>
      <c r="BV51" s="62" t="n"/>
      <c r="BW51" s="62" t="n"/>
      <c r="BX51" s="62">
        <f>BW51-BV51</f>
        <v/>
      </c>
      <c r="BY51" s="64">
        <f>IF(BV51=0,"",BW51/BV51)</f>
        <v/>
      </c>
      <c r="BZ51" s="31" t="n"/>
      <c r="CA51" s="60" t="n"/>
      <c r="CB51" s="60" t="n"/>
      <c r="CC51" s="60">
        <f>CB51-CA51</f>
        <v/>
      </c>
      <c r="CD51" s="61">
        <f>IF(CA51=0,"",CB51/CA51)</f>
        <v/>
      </c>
      <c r="CE51" s="27" t="n"/>
      <c r="CF51" s="62" t="n"/>
      <c r="CG51" s="62" t="n"/>
      <c r="CH51" s="62">
        <f>CG51-CF51</f>
        <v/>
      </c>
      <c r="CI51" s="64">
        <f>IF(CF51=0,"",CG51/CF51)</f>
        <v/>
      </c>
      <c r="CJ51" s="31" t="n"/>
      <c r="CK51" s="60" t="n"/>
      <c r="CL51" s="60" t="n"/>
      <c r="CM51" s="60">
        <f>CL51-CK51</f>
        <v/>
      </c>
      <c r="CN51" s="61">
        <f>IF(CK51=0,"",CL51/CK51)</f>
        <v/>
      </c>
      <c r="CO51" s="27" t="n"/>
      <c r="CP51" s="62" t="n"/>
      <c r="CQ51" s="62" t="n"/>
      <c r="CR51" s="62">
        <f>CQ51-CP51</f>
        <v/>
      </c>
      <c r="CS51" s="64">
        <f>IF(CP51=0,"",CQ51/CP51)</f>
        <v/>
      </c>
      <c r="CT51" s="31" t="n"/>
      <c r="CU51" s="60" t="n"/>
      <c r="CV51" s="60" t="n"/>
      <c r="CW51" s="60">
        <f>CV51-CU51</f>
        <v/>
      </c>
      <c r="CX51" s="61">
        <f>IF(CU51=0,"",CV51/CU51)</f>
        <v/>
      </c>
      <c r="CY51" s="27" t="n"/>
      <c r="CZ51" s="62" t="n"/>
      <c r="DA51" s="62" t="n"/>
      <c r="DB51" s="62">
        <f>DA51-CZ51</f>
        <v/>
      </c>
      <c r="DC51" s="64">
        <f>IF(CZ51=0,"",DA51/CZ51)</f>
        <v/>
      </c>
      <c r="DD51" s="31" t="n"/>
      <c r="DE51" s="60" t="n"/>
      <c r="DF51" s="60" t="n"/>
      <c r="DG51" s="60">
        <f>DF51-DE51</f>
        <v/>
      </c>
      <c r="DH51" s="61">
        <f>IF(DE51=0,"",DF51/DE51)</f>
        <v/>
      </c>
      <c r="DI51" s="27" t="n"/>
      <c r="DJ51" s="62" t="n"/>
      <c r="DK51" s="62" t="n"/>
      <c r="DL51" s="62">
        <f>DK51-DJ51</f>
        <v/>
      </c>
      <c r="DM51" s="64">
        <f>IF(DJ51=0,"",DK51/DJ51)</f>
        <v/>
      </c>
      <c r="DN51" s="31" t="n"/>
      <c r="DO51" s="60" t="n"/>
    </row>
    <row r="52" outlineLevel="1" ht="15" customHeight="1">
      <c r="A52" s="24" t="n"/>
      <c r="B52" s="24" t="n"/>
      <c r="C52" s="24" t="n"/>
      <c r="D52" s="60" t="n"/>
      <c r="E52" s="60" t="n"/>
      <c r="F52" s="60">
        <f>E52-D52</f>
        <v/>
      </c>
      <c r="G52" s="61">
        <f>IF(D52=0,"",E52/D52)</f>
        <v/>
      </c>
      <c r="H52" s="27" t="n"/>
      <c r="I52" s="60" t="n"/>
      <c r="J52" s="60" t="n"/>
      <c r="K52" s="60">
        <f>J52-I52</f>
        <v/>
      </c>
      <c r="L52" s="61">
        <f>IF(I52=0,"",J52/I52)</f>
        <v/>
      </c>
      <c r="M52" s="27" t="n"/>
      <c r="N52" s="62" t="n"/>
      <c r="O52" s="62" t="n"/>
      <c r="P52" s="62">
        <f>O52-N52</f>
        <v/>
      </c>
      <c r="Q52" s="64">
        <f>IF(N52=0,"",O52/N52)</f>
        <v/>
      </c>
      <c r="R52" s="31" t="n"/>
      <c r="S52" s="60" t="n"/>
      <c r="T52" s="60" t="n"/>
      <c r="U52" s="60">
        <f>T52-S52</f>
        <v/>
      </c>
      <c r="V52" s="61">
        <f>IF(S52=0,"",T52/S52)</f>
        <v/>
      </c>
      <c r="W52" s="27" t="n"/>
      <c r="X52" s="62" t="n"/>
      <c r="Y52" s="62" t="n"/>
      <c r="Z52" s="62">
        <f>Y52-X52</f>
        <v/>
      </c>
      <c r="AA52" s="64">
        <f>IF(X52=0,"",Y52/X52)</f>
        <v/>
      </c>
      <c r="AB52" s="31" t="n"/>
      <c r="AC52" s="60" t="n"/>
      <c r="AD52" s="60" t="n"/>
      <c r="AE52" s="60">
        <f>AD52-AC52</f>
        <v/>
      </c>
      <c r="AF52" s="61">
        <f>IF(AC52=0,"",AD52/AC52)</f>
        <v/>
      </c>
      <c r="AG52" s="27" t="n"/>
      <c r="AH52" s="62" t="n"/>
      <c r="AI52" s="62" t="n"/>
      <c r="AJ52" s="62">
        <f>AI52-AH52</f>
        <v/>
      </c>
      <c r="AK52" s="64">
        <f>IF(AH52=0,"",AI52/AH52)</f>
        <v/>
      </c>
      <c r="AL52" s="31" t="n"/>
      <c r="AM52" s="60" t="n"/>
      <c r="AN52" s="60" t="n"/>
      <c r="AO52" s="60">
        <f>AN52-AM52</f>
        <v/>
      </c>
      <c r="AP52" s="61">
        <f>IF(AM52=0,"",AN52/AM52)</f>
        <v/>
      </c>
      <c r="AQ52" s="27" t="n"/>
      <c r="AR52" s="62" t="n"/>
      <c r="AS52" s="62" t="n"/>
      <c r="AT52" s="62">
        <f>AS52-AR52</f>
        <v/>
      </c>
      <c r="AU52" s="64">
        <f>IF(AR52=0,"",AS52/AR52)</f>
        <v/>
      </c>
      <c r="AV52" s="31" t="n"/>
      <c r="AW52" s="60" t="n"/>
      <c r="AX52" s="60" t="n"/>
      <c r="AY52" s="60">
        <f>AX52-AW52</f>
        <v/>
      </c>
      <c r="AZ52" s="61">
        <f>IF(AW52=0,"",AX52/AW52)</f>
        <v/>
      </c>
      <c r="BA52" s="27" t="n"/>
      <c r="BB52" s="62" t="n"/>
      <c r="BC52" s="62" t="n"/>
      <c r="BD52" s="62">
        <f>BC52-BB52</f>
        <v/>
      </c>
      <c r="BE52" s="64">
        <f>IF(BB52=0,"",BC52/BB52)</f>
        <v/>
      </c>
      <c r="BF52" s="31" t="n"/>
      <c r="BG52" s="60" t="n"/>
      <c r="BH52" s="60" t="n"/>
      <c r="BI52" s="60">
        <f>BH52-BG52</f>
        <v/>
      </c>
      <c r="BJ52" s="61">
        <f>IF(BG52=0,"",BH52/BG52)</f>
        <v/>
      </c>
      <c r="BK52" s="27" t="n"/>
      <c r="BL52" s="62" t="n"/>
      <c r="BM52" s="62" t="n"/>
      <c r="BN52" s="62">
        <f>BM52-BL52</f>
        <v/>
      </c>
      <c r="BO52" s="64">
        <f>IF(BL52=0,"",BM52/BL52)</f>
        <v/>
      </c>
      <c r="BP52" s="31" t="n"/>
      <c r="BQ52" s="60" t="n"/>
      <c r="BR52" s="60" t="n"/>
      <c r="BS52" s="60">
        <f>BR52-BQ52</f>
        <v/>
      </c>
      <c r="BT52" s="61">
        <f>IF(BQ52=0,"",BR52/BQ52)</f>
        <v/>
      </c>
      <c r="BU52" s="27" t="n"/>
      <c r="BV52" s="62" t="n"/>
      <c r="BW52" s="62" t="n"/>
      <c r="BX52" s="62">
        <f>BW52-BV52</f>
        <v/>
      </c>
      <c r="BY52" s="64">
        <f>IF(BV52=0,"",BW52/BV52)</f>
        <v/>
      </c>
      <c r="BZ52" s="31" t="n"/>
      <c r="CA52" s="60" t="n"/>
      <c r="CB52" s="60" t="n"/>
      <c r="CC52" s="60">
        <f>CB52-CA52</f>
        <v/>
      </c>
      <c r="CD52" s="61">
        <f>IF(CA52=0,"",CB52/CA52)</f>
        <v/>
      </c>
      <c r="CE52" s="27" t="n"/>
      <c r="CF52" s="62" t="n"/>
      <c r="CG52" s="62" t="n"/>
      <c r="CH52" s="62">
        <f>CG52-CF52</f>
        <v/>
      </c>
      <c r="CI52" s="64">
        <f>IF(CF52=0,"",CG52/CF52)</f>
        <v/>
      </c>
      <c r="CJ52" s="31" t="n"/>
      <c r="CK52" s="60" t="n"/>
      <c r="CL52" s="60" t="n"/>
      <c r="CM52" s="60">
        <f>CL52-CK52</f>
        <v/>
      </c>
      <c r="CN52" s="61">
        <f>IF(CK52=0,"",CL52/CK52)</f>
        <v/>
      </c>
      <c r="CO52" s="27" t="n"/>
      <c r="CP52" s="62" t="n"/>
      <c r="CQ52" s="62" t="n"/>
      <c r="CR52" s="62">
        <f>CQ52-CP52</f>
        <v/>
      </c>
      <c r="CS52" s="64">
        <f>IF(CP52=0,"",CQ52/CP52)</f>
        <v/>
      </c>
      <c r="CT52" s="31" t="n"/>
      <c r="CU52" s="60" t="n"/>
      <c r="CV52" s="60" t="n"/>
      <c r="CW52" s="60">
        <f>CV52-CU52</f>
        <v/>
      </c>
      <c r="CX52" s="61">
        <f>IF(CU52=0,"",CV52/CU52)</f>
        <v/>
      </c>
      <c r="CY52" s="27" t="n"/>
      <c r="CZ52" s="62" t="n"/>
      <c r="DA52" s="62" t="n"/>
      <c r="DB52" s="62">
        <f>DA52-CZ52</f>
        <v/>
      </c>
      <c r="DC52" s="64">
        <f>IF(CZ52=0,"",DA52/CZ52)</f>
        <v/>
      </c>
      <c r="DD52" s="31" t="n"/>
      <c r="DE52" s="60" t="n"/>
      <c r="DF52" s="60" t="n"/>
      <c r="DG52" s="60">
        <f>DF52-DE52</f>
        <v/>
      </c>
      <c r="DH52" s="61">
        <f>IF(DE52=0,"",DF52/DE52)</f>
        <v/>
      </c>
      <c r="DI52" s="27" t="n"/>
      <c r="DJ52" s="62" t="n"/>
      <c r="DK52" s="62" t="n"/>
      <c r="DL52" s="62">
        <f>DK52-DJ52</f>
        <v/>
      </c>
      <c r="DM52" s="64">
        <f>IF(DJ52=0,"",DK52/DJ52)</f>
        <v/>
      </c>
      <c r="DN52" s="31" t="n"/>
      <c r="DO52" s="60" t="n"/>
    </row>
    <row r="53" outlineLevel="1" ht="15" customHeight="1">
      <c r="A53" s="24" t="n"/>
      <c r="B53" s="24" t="n"/>
      <c r="C53" s="24" t="n"/>
      <c r="D53" s="60" t="n"/>
      <c r="E53" s="60" t="n"/>
      <c r="F53" s="60">
        <f>E53-D53</f>
        <v/>
      </c>
      <c r="G53" s="61">
        <f>IF(D53=0,"",E53/D53)</f>
        <v/>
      </c>
      <c r="H53" s="27" t="n"/>
      <c r="I53" s="60" t="n"/>
      <c r="J53" s="60" t="n"/>
      <c r="K53" s="60">
        <f>J53-I53</f>
        <v/>
      </c>
      <c r="L53" s="61">
        <f>IF(I53=0,"",J53/I53)</f>
        <v/>
      </c>
      <c r="M53" s="27" t="n"/>
      <c r="N53" s="62" t="n"/>
      <c r="O53" s="62" t="n"/>
      <c r="P53" s="62">
        <f>O53-N53</f>
        <v/>
      </c>
      <c r="Q53" s="64">
        <f>IF(N53=0,"",O53/N53)</f>
        <v/>
      </c>
      <c r="R53" s="31" t="n"/>
      <c r="S53" s="60" t="n"/>
      <c r="T53" s="60" t="n"/>
      <c r="U53" s="60">
        <f>T53-S53</f>
        <v/>
      </c>
      <c r="V53" s="61">
        <f>IF(S53=0,"",T53/S53)</f>
        <v/>
      </c>
      <c r="W53" s="27" t="n"/>
      <c r="X53" s="62" t="n"/>
      <c r="Y53" s="62" t="n"/>
      <c r="Z53" s="62">
        <f>Y53-X53</f>
        <v/>
      </c>
      <c r="AA53" s="64">
        <f>IF(X53=0,"",Y53/X53)</f>
        <v/>
      </c>
      <c r="AB53" s="31" t="n"/>
      <c r="AC53" s="60" t="n"/>
      <c r="AD53" s="60" t="n"/>
      <c r="AE53" s="60">
        <f>AD53-AC53</f>
        <v/>
      </c>
      <c r="AF53" s="61">
        <f>IF(AC53=0,"",AD53/AC53)</f>
        <v/>
      </c>
      <c r="AG53" s="27" t="n"/>
      <c r="AH53" s="62" t="n"/>
      <c r="AI53" s="62" t="n"/>
      <c r="AJ53" s="62">
        <f>AI53-AH53</f>
        <v/>
      </c>
      <c r="AK53" s="64">
        <f>IF(AH53=0,"",AI53/AH53)</f>
        <v/>
      </c>
      <c r="AL53" s="31" t="n"/>
      <c r="AM53" s="60" t="n"/>
      <c r="AN53" s="60" t="n"/>
      <c r="AO53" s="60">
        <f>AN53-AM53</f>
        <v/>
      </c>
      <c r="AP53" s="61">
        <f>IF(AM53=0,"",AN53/AM53)</f>
        <v/>
      </c>
      <c r="AQ53" s="27" t="n"/>
      <c r="AR53" s="62" t="n"/>
      <c r="AS53" s="62" t="n"/>
      <c r="AT53" s="62">
        <f>AS53-AR53</f>
        <v/>
      </c>
      <c r="AU53" s="64">
        <f>IF(AR53=0,"",AS53/AR53)</f>
        <v/>
      </c>
      <c r="AV53" s="31" t="n"/>
      <c r="AW53" s="60" t="n"/>
      <c r="AX53" s="60" t="n"/>
      <c r="AY53" s="60">
        <f>AX53-AW53</f>
        <v/>
      </c>
      <c r="AZ53" s="61">
        <f>IF(AW53=0,"",AX53/AW53)</f>
        <v/>
      </c>
      <c r="BA53" s="27" t="n"/>
      <c r="BB53" s="62" t="n"/>
      <c r="BC53" s="62" t="n"/>
      <c r="BD53" s="62">
        <f>BC53-BB53</f>
        <v/>
      </c>
      <c r="BE53" s="64">
        <f>IF(BB53=0,"",BC53/BB53)</f>
        <v/>
      </c>
      <c r="BF53" s="31" t="n"/>
      <c r="BG53" s="60" t="n"/>
      <c r="BH53" s="60" t="n"/>
      <c r="BI53" s="60">
        <f>BH53-BG53</f>
        <v/>
      </c>
      <c r="BJ53" s="61">
        <f>IF(BG53=0,"",BH53/BG53)</f>
        <v/>
      </c>
      <c r="BK53" s="27" t="n"/>
      <c r="BL53" s="62" t="n"/>
      <c r="BM53" s="62" t="n"/>
      <c r="BN53" s="62">
        <f>BM53-BL53</f>
        <v/>
      </c>
      <c r="BO53" s="64">
        <f>IF(BL53=0,"",BM53/BL53)</f>
        <v/>
      </c>
      <c r="BP53" s="31" t="n"/>
      <c r="BQ53" s="60" t="n"/>
      <c r="BR53" s="60" t="n"/>
      <c r="BS53" s="60">
        <f>BR53-BQ53</f>
        <v/>
      </c>
      <c r="BT53" s="61">
        <f>IF(BQ53=0,"",BR53/BQ53)</f>
        <v/>
      </c>
      <c r="BU53" s="27" t="n"/>
      <c r="BV53" s="62" t="n"/>
      <c r="BW53" s="62" t="n"/>
      <c r="BX53" s="62">
        <f>BW53-BV53</f>
        <v/>
      </c>
      <c r="BY53" s="64">
        <f>IF(BV53=0,"",BW53/BV53)</f>
        <v/>
      </c>
      <c r="BZ53" s="31" t="n"/>
      <c r="CA53" s="60" t="n"/>
      <c r="CB53" s="60" t="n"/>
      <c r="CC53" s="60">
        <f>CB53-CA53</f>
        <v/>
      </c>
      <c r="CD53" s="61">
        <f>IF(CA53=0,"",CB53/CA53)</f>
        <v/>
      </c>
      <c r="CE53" s="27" t="n"/>
      <c r="CF53" s="62" t="n"/>
      <c r="CG53" s="62" t="n"/>
      <c r="CH53" s="62">
        <f>CG53-CF53</f>
        <v/>
      </c>
      <c r="CI53" s="64">
        <f>IF(CF53=0,"",CG53/CF53)</f>
        <v/>
      </c>
      <c r="CJ53" s="31" t="n"/>
      <c r="CK53" s="60" t="n"/>
      <c r="CL53" s="60" t="n"/>
      <c r="CM53" s="60">
        <f>CL53-CK53</f>
        <v/>
      </c>
      <c r="CN53" s="61">
        <f>IF(CK53=0,"",CL53/CK53)</f>
        <v/>
      </c>
      <c r="CO53" s="27" t="n"/>
      <c r="CP53" s="62" t="n"/>
      <c r="CQ53" s="62" t="n"/>
      <c r="CR53" s="62">
        <f>CQ53-CP53</f>
        <v/>
      </c>
      <c r="CS53" s="64">
        <f>IF(CP53=0,"",CQ53/CP53)</f>
        <v/>
      </c>
      <c r="CT53" s="31" t="n"/>
      <c r="CU53" s="60" t="n"/>
      <c r="CV53" s="60" t="n"/>
      <c r="CW53" s="60">
        <f>CV53-CU53</f>
        <v/>
      </c>
      <c r="CX53" s="61">
        <f>IF(CU53=0,"",CV53/CU53)</f>
        <v/>
      </c>
      <c r="CY53" s="27" t="n"/>
      <c r="CZ53" s="62" t="n"/>
      <c r="DA53" s="62" t="n"/>
      <c r="DB53" s="62">
        <f>DA53-CZ53</f>
        <v/>
      </c>
      <c r="DC53" s="64">
        <f>IF(CZ53=0,"",DA53/CZ53)</f>
        <v/>
      </c>
      <c r="DD53" s="31" t="n"/>
      <c r="DE53" s="60" t="n"/>
      <c r="DF53" s="60" t="n"/>
      <c r="DG53" s="60">
        <f>DF53-DE53</f>
        <v/>
      </c>
      <c r="DH53" s="61">
        <f>IF(DE53=0,"",DF53/DE53)</f>
        <v/>
      </c>
      <c r="DI53" s="27" t="n"/>
      <c r="DJ53" s="62" t="n"/>
      <c r="DK53" s="62" t="n"/>
      <c r="DL53" s="62">
        <f>DK53-DJ53</f>
        <v/>
      </c>
      <c r="DM53" s="64">
        <f>IF(DJ53=0,"",DK53/DJ53)</f>
        <v/>
      </c>
      <c r="DN53" s="31" t="n"/>
      <c r="DO53" s="60" t="n"/>
    </row>
    <row r="54" outlineLevel="1" ht="15" customHeight="1">
      <c r="A54" s="24" t="n"/>
      <c r="B54" s="24" t="n"/>
      <c r="C54" s="24" t="n"/>
      <c r="D54" s="60" t="n"/>
      <c r="E54" s="60" t="n"/>
      <c r="F54" s="60">
        <f>E54-D54</f>
        <v/>
      </c>
      <c r="G54" s="61">
        <f>IF(D54=0,"",E54/D54)</f>
        <v/>
      </c>
      <c r="H54" s="27" t="n"/>
      <c r="I54" s="60" t="n"/>
      <c r="J54" s="60" t="n"/>
      <c r="K54" s="60">
        <f>J54-I54</f>
        <v/>
      </c>
      <c r="L54" s="61">
        <f>IF(I54=0,"",J54/I54)</f>
        <v/>
      </c>
      <c r="M54" s="27" t="n"/>
      <c r="N54" s="62" t="n"/>
      <c r="O54" s="62" t="n"/>
      <c r="P54" s="62">
        <f>O54-N54</f>
        <v/>
      </c>
      <c r="Q54" s="64">
        <f>IF(N54=0,"",O54/N54)</f>
        <v/>
      </c>
      <c r="R54" s="31" t="n"/>
      <c r="S54" s="60" t="n"/>
      <c r="T54" s="60" t="n"/>
      <c r="U54" s="60">
        <f>T54-S54</f>
        <v/>
      </c>
      <c r="V54" s="61">
        <f>IF(S54=0,"",T54/S54)</f>
        <v/>
      </c>
      <c r="W54" s="27" t="n"/>
      <c r="X54" s="62" t="n"/>
      <c r="Y54" s="62" t="n"/>
      <c r="Z54" s="62">
        <f>Y54-X54</f>
        <v/>
      </c>
      <c r="AA54" s="64">
        <f>IF(X54=0,"",Y54/X54)</f>
        <v/>
      </c>
      <c r="AB54" s="31" t="n"/>
      <c r="AC54" s="60" t="n"/>
      <c r="AD54" s="60" t="n"/>
      <c r="AE54" s="60">
        <f>AD54-AC54</f>
        <v/>
      </c>
      <c r="AF54" s="61">
        <f>IF(AC54=0,"",AD54/AC54)</f>
        <v/>
      </c>
      <c r="AG54" s="27" t="n"/>
      <c r="AH54" s="62" t="n"/>
      <c r="AI54" s="62" t="n"/>
      <c r="AJ54" s="62">
        <f>AI54-AH54</f>
        <v/>
      </c>
      <c r="AK54" s="64">
        <f>IF(AH54=0,"",AI54/AH54)</f>
        <v/>
      </c>
      <c r="AL54" s="31" t="n"/>
      <c r="AM54" s="60" t="n"/>
      <c r="AN54" s="60" t="n"/>
      <c r="AO54" s="60">
        <f>AN54-AM54</f>
        <v/>
      </c>
      <c r="AP54" s="61">
        <f>IF(AM54=0,"",AN54/AM54)</f>
        <v/>
      </c>
      <c r="AQ54" s="27" t="n"/>
      <c r="AR54" s="62" t="n"/>
      <c r="AS54" s="62" t="n"/>
      <c r="AT54" s="62">
        <f>AS54-AR54</f>
        <v/>
      </c>
      <c r="AU54" s="64">
        <f>IF(AR54=0,"",AS54/AR54)</f>
        <v/>
      </c>
      <c r="AV54" s="31" t="n"/>
      <c r="AW54" s="60" t="n"/>
      <c r="AX54" s="60" t="n"/>
      <c r="AY54" s="60">
        <f>AX54-AW54</f>
        <v/>
      </c>
      <c r="AZ54" s="61">
        <f>IF(AW54=0,"",AX54/AW54)</f>
        <v/>
      </c>
      <c r="BA54" s="27" t="n"/>
      <c r="BB54" s="62" t="n"/>
      <c r="BC54" s="62" t="n"/>
      <c r="BD54" s="62">
        <f>BC54-BB54</f>
        <v/>
      </c>
      <c r="BE54" s="64">
        <f>IF(BB54=0,"",BC54/BB54)</f>
        <v/>
      </c>
      <c r="BF54" s="31" t="n"/>
      <c r="BG54" s="60" t="n"/>
      <c r="BH54" s="60" t="n"/>
      <c r="BI54" s="60">
        <f>BH54-BG54</f>
        <v/>
      </c>
      <c r="BJ54" s="61">
        <f>IF(BG54=0,"",BH54/BG54)</f>
        <v/>
      </c>
      <c r="BK54" s="27" t="n"/>
      <c r="BL54" s="62" t="n"/>
      <c r="BM54" s="62" t="n"/>
      <c r="BN54" s="62">
        <f>BM54-BL54</f>
        <v/>
      </c>
      <c r="BO54" s="64">
        <f>IF(BL54=0,"",BM54/BL54)</f>
        <v/>
      </c>
      <c r="BP54" s="31" t="n"/>
      <c r="BQ54" s="60" t="n"/>
      <c r="BR54" s="60" t="n"/>
      <c r="BS54" s="60">
        <f>BR54-BQ54</f>
        <v/>
      </c>
      <c r="BT54" s="61">
        <f>IF(BQ54=0,"",BR54/BQ54)</f>
        <v/>
      </c>
      <c r="BU54" s="27" t="n"/>
      <c r="BV54" s="62" t="n"/>
      <c r="BW54" s="62" t="n"/>
      <c r="BX54" s="62">
        <f>BW54-BV54</f>
        <v/>
      </c>
      <c r="BY54" s="64">
        <f>IF(BV54=0,"",BW54/BV54)</f>
        <v/>
      </c>
      <c r="BZ54" s="31" t="n"/>
      <c r="CA54" s="60" t="n"/>
      <c r="CB54" s="60" t="n"/>
      <c r="CC54" s="60">
        <f>CB54-CA54</f>
        <v/>
      </c>
      <c r="CD54" s="61">
        <f>IF(CA54=0,"",CB54/CA54)</f>
        <v/>
      </c>
      <c r="CE54" s="27" t="n"/>
      <c r="CF54" s="62" t="n"/>
      <c r="CG54" s="62" t="n"/>
      <c r="CH54" s="62">
        <f>CG54-CF54</f>
        <v/>
      </c>
      <c r="CI54" s="64">
        <f>IF(CF54=0,"",CG54/CF54)</f>
        <v/>
      </c>
      <c r="CJ54" s="31" t="n"/>
      <c r="CK54" s="60" t="n"/>
      <c r="CL54" s="60" t="n"/>
      <c r="CM54" s="60">
        <f>CL54-CK54</f>
        <v/>
      </c>
      <c r="CN54" s="61">
        <f>IF(CK54=0,"",CL54/CK54)</f>
        <v/>
      </c>
      <c r="CO54" s="27" t="n"/>
      <c r="CP54" s="62" t="n"/>
      <c r="CQ54" s="62" t="n"/>
      <c r="CR54" s="62">
        <f>CQ54-CP54</f>
        <v/>
      </c>
      <c r="CS54" s="64">
        <f>IF(CP54=0,"",CQ54/CP54)</f>
        <v/>
      </c>
      <c r="CT54" s="31" t="n"/>
      <c r="CU54" s="60" t="n"/>
      <c r="CV54" s="60" t="n"/>
      <c r="CW54" s="60">
        <f>CV54-CU54</f>
        <v/>
      </c>
      <c r="CX54" s="61">
        <f>IF(CU54=0,"",CV54/CU54)</f>
        <v/>
      </c>
      <c r="CY54" s="27" t="n"/>
      <c r="CZ54" s="62" t="n"/>
      <c r="DA54" s="62" t="n"/>
      <c r="DB54" s="62">
        <f>DA54-CZ54</f>
        <v/>
      </c>
      <c r="DC54" s="64">
        <f>IF(CZ54=0,"",DA54/CZ54)</f>
        <v/>
      </c>
      <c r="DD54" s="31" t="n"/>
      <c r="DE54" s="60" t="n"/>
      <c r="DF54" s="60" t="n"/>
      <c r="DG54" s="60">
        <f>DF54-DE54</f>
        <v/>
      </c>
      <c r="DH54" s="61">
        <f>IF(DE54=0,"",DF54/DE54)</f>
        <v/>
      </c>
      <c r="DI54" s="27" t="n"/>
      <c r="DJ54" s="62" t="n"/>
      <c r="DK54" s="62" t="n"/>
      <c r="DL54" s="62">
        <f>DK54-DJ54</f>
        <v/>
      </c>
      <c r="DM54" s="64">
        <f>IF(DJ54=0,"",DK54/DJ54)</f>
        <v/>
      </c>
      <c r="DN54" s="31" t="n"/>
      <c r="DO54" s="60" t="n"/>
    </row>
    <row r="55" outlineLevel="1" ht="15" customHeight="1">
      <c r="A55" s="24" t="n"/>
      <c r="B55" s="24" t="n"/>
      <c r="C55" s="24" t="n"/>
      <c r="D55" s="60" t="n"/>
      <c r="E55" s="60" t="n"/>
      <c r="F55" s="60">
        <f>E55-D55</f>
        <v/>
      </c>
      <c r="G55" s="61">
        <f>IF(D55=0,"",E55/D55)</f>
        <v/>
      </c>
      <c r="H55" s="27" t="n"/>
      <c r="I55" s="60" t="n"/>
      <c r="J55" s="60" t="n"/>
      <c r="K55" s="60">
        <f>J55-I55</f>
        <v/>
      </c>
      <c r="L55" s="61">
        <f>IF(I55=0,"",J55/I55)</f>
        <v/>
      </c>
      <c r="M55" s="27" t="n"/>
      <c r="N55" s="62" t="n"/>
      <c r="O55" s="62" t="n"/>
      <c r="P55" s="62">
        <f>O55-N55</f>
        <v/>
      </c>
      <c r="Q55" s="64">
        <f>IF(N55=0,"",O55/N55)</f>
        <v/>
      </c>
      <c r="R55" s="31" t="n"/>
      <c r="S55" s="60" t="n"/>
      <c r="T55" s="60" t="n"/>
      <c r="U55" s="60">
        <f>T55-S55</f>
        <v/>
      </c>
      <c r="V55" s="61">
        <f>IF(S55=0,"",T55/S55)</f>
        <v/>
      </c>
      <c r="W55" s="27" t="n"/>
      <c r="X55" s="62" t="n"/>
      <c r="Y55" s="62" t="n"/>
      <c r="Z55" s="63">
        <f>Y55-X55</f>
        <v/>
      </c>
      <c r="AA55" s="64">
        <f>IF(X55=0,"",Y55/X55)</f>
        <v/>
      </c>
      <c r="AB55" s="31" t="n"/>
      <c r="AC55" s="60" t="n"/>
      <c r="AD55" s="60" t="n"/>
      <c r="AE55" s="60">
        <f>AD55-AC55</f>
        <v/>
      </c>
      <c r="AF55" s="61">
        <f>IF(AC55=0,"",AD55/AC55)</f>
        <v/>
      </c>
      <c r="AG55" s="27" t="n"/>
      <c r="AH55" s="62" t="n"/>
      <c r="AI55" s="62" t="n"/>
      <c r="AJ55" s="62">
        <f>AI55-AH55</f>
        <v/>
      </c>
      <c r="AK55" s="64">
        <f>IF(AH55=0,"",AI55/AH55)</f>
        <v/>
      </c>
      <c r="AL55" s="31" t="n"/>
      <c r="AM55" s="60" t="n"/>
      <c r="AN55" s="60" t="n"/>
      <c r="AO55" s="60">
        <f>AN55-AM55</f>
        <v/>
      </c>
      <c r="AP55" s="61">
        <f>IF(AM55=0,"",AN55/AM55)</f>
        <v/>
      </c>
      <c r="AQ55" s="27" t="n"/>
      <c r="AR55" s="62" t="n"/>
      <c r="AS55" s="62" t="n"/>
      <c r="AT55" s="62">
        <f>AS55-AR55</f>
        <v/>
      </c>
      <c r="AU55" s="64">
        <f>IF(AR55=0,"",AS55/AR55)</f>
        <v/>
      </c>
      <c r="AV55" s="31" t="n"/>
      <c r="AW55" s="60" t="n"/>
      <c r="AX55" s="60" t="n"/>
      <c r="AY55" s="60">
        <f>AX55-AW55</f>
        <v/>
      </c>
      <c r="AZ55" s="61">
        <f>IF(AW55=0,"",AX55/AW55)</f>
        <v/>
      </c>
      <c r="BA55" s="27" t="n"/>
      <c r="BB55" s="62" t="n"/>
      <c r="BC55" s="62" t="n"/>
      <c r="BD55" s="62">
        <f>BC55-BB55</f>
        <v/>
      </c>
      <c r="BE55" s="64">
        <f>IF(BB55=0,"",BC55/BB55)</f>
        <v/>
      </c>
      <c r="BF55" s="31" t="n"/>
      <c r="BG55" s="60" t="n"/>
      <c r="BH55" s="60" t="n"/>
      <c r="BI55" s="60">
        <f>BH55-BG55</f>
        <v/>
      </c>
      <c r="BJ55" s="61">
        <f>IF(BG55=0,"",BH55/BG55)</f>
        <v/>
      </c>
      <c r="BK55" s="27" t="n"/>
      <c r="BL55" s="62" t="n"/>
      <c r="BM55" s="62" t="n"/>
      <c r="BN55" s="62">
        <f>BM55-BL55</f>
        <v/>
      </c>
      <c r="BO55" s="64">
        <f>IF(BL55=0,"",BM55/BL55)</f>
        <v/>
      </c>
      <c r="BP55" s="31" t="n"/>
      <c r="BQ55" s="60" t="n"/>
      <c r="BR55" s="60" t="n"/>
      <c r="BS55" s="60">
        <f>BR55-BQ55</f>
        <v/>
      </c>
      <c r="BT55" s="61">
        <f>IF(BQ55=0,"",BR55/BQ55)</f>
        <v/>
      </c>
      <c r="BU55" s="27" t="n"/>
      <c r="BV55" s="62" t="n"/>
      <c r="BW55" s="62" t="n"/>
      <c r="BX55" s="62">
        <f>BW55-BV55</f>
        <v/>
      </c>
      <c r="BY55" s="64">
        <f>IF(BV55=0,"",BW55/BV55)</f>
        <v/>
      </c>
      <c r="BZ55" s="31" t="n"/>
      <c r="CA55" s="60" t="n"/>
      <c r="CB55" s="60" t="n"/>
      <c r="CC55" s="60">
        <f>CB55-CA55</f>
        <v/>
      </c>
      <c r="CD55" s="61">
        <f>IF(CA55=0,"",CB55/CA55)</f>
        <v/>
      </c>
      <c r="CE55" s="27" t="n"/>
      <c r="CF55" s="62" t="n"/>
      <c r="CG55" s="62" t="n"/>
      <c r="CH55" s="62">
        <f>CG55-CF55</f>
        <v/>
      </c>
      <c r="CI55" s="64">
        <f>IF(CF55=0,"",CG55/CF55)</f>
        <v/>
      </c>
      <c r="CJ55" s="31" t="n"/>
      <c r="CK55" s="60" t="n"/>
      <c r="CL55" s="60" t="n"/>
      <c r="CM55" s="60">
        <f>CL55-CK55</f>
        <v/>
      </c>
      <c r="CN55" s="61">
        <f>IF(CK55=0,"",CL55/CK55)</f>
        <v/>
      </c>
      <c r="CO55" s="27" t="n"/>
      <c r="CP55" s="62" t="n"/>
      <c r="CQ55" s="62" t="n"/>
      <c r="CR55" s="62">
        <f>CQ55-CP55</f>
        <v/>
      </c>
      <c r="CS55" s="64">
        <f>IF(CP55=0,"",CQ55/CP55)</f>
        <v/>
      </c>
      <c r="CT55" s="31" t="n"/>
      <c r="CU55" s="60" t="n"/>
      <c r="CV55" s="60" t="n"/>
      <c r="CW55" s="60">
        <f>CV55-CU55</f>
        <v/>
      </c>
      <c r="CX55" s="61">
        <f>IF(CU55=0,"",CV55/CU55)</f>
        <v/>
      </c>
      <c r="CY55" s="27" t="n"/>
      <c r="CZ55" s="62" t="n"/>
      <c r="DA55" s="62" t="n"/>
      <c r="DB55" s="62">
        <f>DA55-CZ55</f>
        <v/>
      </c>
      <c r="DC55" s="64">
        <f>IF(CZ55=0,"",DA55/CZ55)</f>
        <v/>
      </c>
      <c r="DD55" s="31" t="n"/>
      <c r="DE55" s="60" t="n"/>
      <c r="DF55" s="60" t="n"/>
      <c r="DG55" s="60">
        <f>DF55-DE55</f>
        <v/>
      </c>
      <c r="DH55" s="61">
        <f>IF(DE55=0,"",DF55/DE55)</f>
        <v/>
      </c>
      <c r="DI55" s="27" t="n"/>
      <c r="DJ55" s="62" t="n"/>
      <c r="DK55" s="62" t="n"/>
      <c r="DL55" s="62">
        <f>DK55-DJ55</f>
        <v/>
      </c>
      <c r="DM55" s="64">
        <f>IF(DJ55=0,"",DK55/DJ55)</f>
        <v/>
      </c>
      <c r="DN55" s="31" t="n"/>
      <c r="DO55" s="60" t="n"/>
    </row>
    <row r="56" outlineLevel="1" ht="15" customHeight="1">
      <c r="A56" s="24" t="n"/>
      <c r="B56" s="24" t="n"/>
      <c r="C56" s="24" t="n"/>
      <c r="D56" s="60" t="n"/>
      <c r="E56" s="60" t="n"/>
      <c r="F56" s="60">
        <f>E56-D56</f>
        <v/>
      </c>
      <c r="G56" s="61">
        <f>IF(D56=0,"",E56/D56)</f>
        <v/>
      </c>
      <c r="H56" s="27" t="n"/>
      <c r="I56" s="60" t="n"/>
      <c r="J56" s="60" t="n"/>
      <c r="K56" s="60">
        <f>J56-I56</f>
        <v/>
      </c>
      <c r="L56" s="61">
        <f>IF(I56=0,"",J56/I56)</f>
        <v/>
      </c>
      <c r="M56" s="27" t="n"/>
      <c r="N56" s="62" t="n"/>
      <c r="O56" s="62" t="n"/>
      <c r="P56" s="63">
        <f>O56-N56</f>
        <v/>
      </c>
      <c r="Q56" s="64">
        <f>IF(N56=0,"",O56/N56)</f>
        <v/>
      </c>
      <c r="R56" s="31" t="n"/>
      <c r="S56" s="60" t="n"/>
      <c r="T56" s="60" t="n"/>
      <c r="U56" s="60">
        <f>T56-S56</f>
        <v/>
      </c>
      <c r="V56" s="61">
        <f>IF(S56=0,"",T56/S56)</f>
        <v/>
      </c>
      <c r="W56" s="27" t="n"/>
      <c r="X56" s="62" t="n"/>
      <c r="Y56" s="62" t="n"/>
      <c r="Z56" s="63">
        <f>Y56-X56</f>
        <v/>
      </c>
      <c r="AA56" s="64">
        <f>IF(X56=0,"",Y56/X56)</f>
        <v/>
      </c>
      <c r="AB56" s="31" t="n"/>
      <c r="AC56" s="60" t="n"/>
      <c r="AD56" s="60" t="n"/>
      <c r="AE56" s="60">
        <f>AD56-AC56</f>
        <v/>
      </c>
      <c r="AF56" s="61">
        <f>IF(AC56=0,"",AD56/AC56)</f>
        <v/>
      </c>
      <c r="AG56" s="27" t="n"/>
      <c r="AH56" s="62" t="n"/>
      <c r="AI56" s="62" t="n"/>
      <c r="AJ56" s="62">
        <f>AI56-AH56</f>
        <v/>
      </c>
      <c r="AK56" s="64">
        <f>IF(AH56=0,"",AI56/AH56)</f>
        <v/>
      </c>
      <c r="AL56" s="31" t="n"/>
      <c r="AM56" s="60" t="n"/>
      <c r="AN56" s="60" t="n"/>
      <c r="AO56" s="60">
        <f>AN56-AM56</f>
        <v/>
      </c>
      <c r="AP56" s="61">
        <f>IF(AM56=0,"",AN56/AM56)</f>
        <v/>
      </c>
      <c r="AQ56" s="27" t="n"/>
      <c r="AR56" s="62" t="n"/>
      <c r="AS56" s="62" t="n"/>
      <c r="AT56" s="62">
        <f>AS56-AR56</f>
        <v/>
      </c>
      <c r="AU56" s="64">
        <f>IF(AR56=0,"",AS56/AR56)</f>
        <v/>
      </c>
      <c r="AV56" s="31" t="n"/>
      <c r="AW56" s="60" t="n"/>
      <c r="AX56" s="60" t="n"/>
      <c r="AY56" s="60">
        <f>AX56-AW56</f>
        <v/>
      </c>
      <c r="AZ56" s="61">
        <f>IF(AW56=0,"",AX56/AW56)</f>
        <v/>
      </c>
      <c r="BA56" s="27" t="n"/>
      <c r="BB56" s="62" t="n"/>
      <c r="BC56" s="62" t="n"/>
      <c r="BD56" s="62">
        <f>BC56-BB56</f>
        <v/>
      </c>
      <c r="BE56" s="64">
        <f>IF(BB56=0,"",BC56/BB56)</f>
        <v/>
      </c>
      <c r="BF56" s="31" t="n"/>
      <c r="BG56" s="60" t="n"/>
      <c r="BH56" s="60" t="n"/>
      <c r="BI56" s="60">
        <f>BH56-BG56</f>
        <v/>
      </c>
      <c r="BJ56" s="61">
        <f>IF(BG56=0,"",BH56/BG56)</f>
        <v/>
      </c>
      <c r="BK56" s="27" t="n"/>
      <c r="BL56" s="62" t="n"/>
      <c r="BM56" s="62" t="n"/>
      <c r="BN56" s="62">
        <f>BM56-BL56</f>
        <v/>
      </c>
      <c r="BO56" s="64">
        <f>IF(BL56=0,"",BM56/BL56)</f>
        <v/>
      </c>
      <c r="BP56" s="31" t="n"/>
      <c r="BQ56" s="60" t="n"/>
      <c r="BR56" s="60" t="n"/>
      <c r="BS56" s="60">
        <f>BR56-BQ56</f>
        <v/>
      </c>
      <c r="BT56" s="61">
        <f>IF(BQ56=0,"",BR56/BQ56)</f>
        <v/>
      </c>
      <c r="BU56" s="27" t="n"/>
      <c r="BV56" s="62" t="n"/>
      <c r="BW56" s="62" t="n"/>
      <c r="BX56" s="62">
        <f>BW56-BV56</f>
        <v/>
      </c>
      <c r="BY56" s="64">
        <f>IF(BV56=0,"",BW56/BV56)</f>
        <v/>
      </c>
      <c r="BZ56" s="31" t="n"/>
      <c r="CA56" s="60" t="n"/>
      <c r="CB56" s="60" t="n"/>
      <c r="CC56" s="60">
        <f>CB56-CA56</f>
        <v/>
      </c>
      <c r="CD56" s="61">
        <f>IF(CA56=0,"",CB56/CA56)</f>
        <v/>
      </c>
      <c r="CE56" s="27" t="n"/>
      <c r="CF56" s="62" t="n"/>
      <c r="CG56" s="62" t="n"/>
      <c r="CH56" s="62">
        <f>CG56-CF56</f>
        <v/>
      </c>
      <c r="CI56" s="64">
        <f>IF(CF56=0,"",CG56/CF56)</f>
        <v/>
      </c>
      <c r="CJ56" s="31" t="n"/>
      <c r="CK56" s="60" t="n"/>
      <c r="CL56" s="60" t="n"/>
      <c r="CM56" s="60">
        <f>CL56-CK56</f>
        <v/>
      </c>
      <c r="CN56" s="61">
        <f>IF(CK56=0,"",CL56/CK56)</f>
        <v/>
      </c>
      <c r="CO56" s="27" t="n"/>
      <c r="CP56" s="62" t="n"/>
      <c r="CQ56" s="62" t="n"/>
      <c r="CR56" s="62">
        <f>CQ56-CP56</f>
        <v/>
      </c>
      <c r="CS56" s="64">
        <f>IF(CP56=0,"",CQ56/CP56)</f>
        <v/>
      </c>
      <c r="CT56" s="31" t="n"/>
      <c r="CU56" s="60" t="n"/>
      <c r="CV56" s="60" t="n"/>
      <c r="CW56" s="60">
        <f>CV56-CU56</f>
        <v/>
      </c>
      <c r="CX56" s="61">
        <f>IF(CU56=0,"",CV56/CU56)</f>
        <v/>
      </c>
      <c r="CY56" s="27" t="n"/>
      <c r="CZ56" s="62" t="n"/>
      <c r="DA56" s="62" t="n"/>
      <c r="DB56" s="62">
        <f>DA56-CZ56</f>
        <v/>
      </c>
      <c r="DC56" s="64">
        <f>IF(CZ56=0,"",DA56/CZ56)</f>
        <v/>
      </c>
      <c r="DD56" s="31" t="n"/>
      <c r="DE56" s="60" t="n"/>
      <c r="DF56" s="60" t="n"/>
      <c r="DG56" s="60">
        <f>DF56-DE56</f>
        <v/>
      </c>
      <c r="DH56" s="61">
        <f>IF(DE56=0,"",DF56/DE56)</f>
        <v/>
      </c>
      <c r="DI56" s="27" t="n"/>
      <c r="DJ56" s="62" t="n"/>
      <c r="DK56" s="62" t="n"/>
      <c r="DL56" s="62">
        <f>DK56-DJ56</f>
        <v/>
      </c>
      <c r="DM56" s="64">
        <f>IF(DJ56=0,"",DK56/DJ56)</f>
        <v/>
      </c>
      <c r="DN56" s="31" t="n"/>
      <c r="DO56" s="60" t="n"/>
    </row>
    <row r="57" outlineLevel="1" ht="15" customHeight="1">
      <c r="A57" s="24" t="n"/>
      <c r="B57" s="24" t="n"/>
      <c r="C57" s="24" t="n"/>
      <c r="D57" s="60" t="n"/>
      <c r="E57" s="60" t="n"/>
      <c r="F57" s="60">
        <f>E57-D57</f>
        <v/>
      </c>
      <c r="G57" s="61">
        <f>IF(D57=0,"",E57/D57)</f>
        <v/>
      </c>
      <c r="H57" s="27" t="n"/>
      <c r="I57" s="60" t="n"/>
      <c r="J57" s="60" t="n"/>
      <c r="K57" s="60">
        <f>J57-I57</f>
        <v/>
      </c>
      <c r="L57" s="61">
        <f>IF(I57=0,"",J57/I57)</f>
        <v/>
      </c>
      <c r="M57" s="27" t="n"/>
      <c r="N57" s="62" t="n"/>
      <c r="O57" s="62" t="n"/>
      <c r="P57" s="63">
        <f>O57-N57</f>
        <v/>
      </c>
      <c r="Q57" s="64">
        <f>IF(N57=0,"",O57/N57)</f>
        <v/>
      </c>
      <c r="R57" s="31" t="n"/>
      <c r="S57" s="60" t="n"/>
      <c r="T57" s="60" t="n"/>
      <c r="U57" s="60">
        <f>T57-S57</f>
        <v/>
      </c>
      <c r="V57" s="61">
        <f>IF(S57=0,"",T57/S57)</f>
        <v/>
      </c>
      <c r="W57" s="27" t="n"/>
      <c r="X57" s="62" t="n"/>
      <c r="Y57" s="62" t="n"/>
      <c r="Z57" s="63">
        <f>Y57-X57</f>
        <v/>
      </c>
      <c r="AA57" s="64">
        <f>IF(X57=0,"",Y57/X57)</f>
        <v/>
      </c>
      <c r="AB57" s="31" t="n"/>
      <c r="AC57" s="60" t="n"/>
      <c r="AD57" s="60" t="n"/>
      <c r="AE57" s="60">
        <f>AD57-AC57</f>
        <v/>
      </c>
      <c r="AF57" s="61">
        <f>IF(AC57=0,"",AD57/AC57)</f>
        <v/>
      </c>
      <c r="AG57" s="27" t="n"/>
      <c r="AH57" s="62" t="n"/>
      <c r="AI57" s="62" t="n"/>
      <c r="AJ57" s="62">
        <f>AI57-AH57</f>
        <v/>
      </c>
      <c r="AK57" s="64">
        <f>IF(AH57=0,"",AI57/AH57)</f>
        <v/>
      </c>
      <c r="AL57" s="31" t="n"/>
      <c r="AM57" s="60" t="n"/>
      <c r="AN57" s="60" t="n"/>
      <c r="AO57" s="60">
        <f>AN57-AM57</f>
        <v/>
      </c>
      <c r="AP57" s="61">
        <f>IF(AM57=0,"",AN57/AM57)</f>
        <v/>
      </c>
      <c r="AQ57" s="27" t="n"/>
      <c r="AR57" s="62" t="n"/>
      <c r="AS57" s="62" t="n"/>
      <c r="AT57" s="62">
        <f>AS57-AR57</f>
        <v/>
      </c>
      <c r="AU57" s="64">
        <f>IF(AR57=0,"",AS57/AR57)</f>
        <v/>
      </c>
      <c r="AV57" s="31" t="n"/>
      <c r="AW57" s="60" t="n"/>
      <c r="AX57" s="60" t="n"/>
      <c r="AY57" s="60">
        <f>AX57-AW57</f>
        <v/>
      </c>
      <c r="AZ57" s="61">
        <f>IF(AW57=0,"",AX57/AW57)</f>
        <v/>
      </c>
      <c r="BA57" s="27" t="n"/>
      <c r="BB57" s="62" t="n"/>
      <c r="BC57" s="62" t="n"/>
      <c r="BD57" s="62">
        <f>BC57-BB57</f>
        <v/>
      </c>
      <c r="BE57" s="64">
        <f>IF(BB57=0,"",BC57/BB57)</f>
        <v/>
      </c>
      <c r="BF57" s="31" t="n"/>
      <c r="BG57" s="60" t="n"/>
      <c r="BH57" s="60" t="n"/>
      <c r="BI57" s="60">
        <f>BH57-BG57</f>
        <v/>
      </c>
      <c r="BJ57" s="61">
        <f>IF(BG57=0,"",BH57/BG57)</f>
        <v/>
      </c>
      <c r="BK57" s="27" t="n"/>
      <c r="BL57" s="62" t="n"/>
      <c r="BM57" s="62" t="n"/>
      <c r="BN57" s="62">
        <f>BM57-BL57</f>
        <v/>
      </c>
      <c r="BO57" s="64">
        <f>IF(BL57=0,"",BM57/BL57)</f>
        <v/>
      </c>
      <c r="BP57" s="31" t="n"/>
      <c r="BQ57" s="60" t="n"/>
      <c r="BR57" s="60" t="n"/>
      <c r="BS57" s="60">
        <f>BR57-BQ57</f>
        <v/>
      </c>
      <c r="BT57" s="61">
        <f>IF(BQ57=0,"",BR57/BQ57)</f>
        <v/>
      </c>
      <c r="BU57" s="27" t="n"/>
      <c r="BV57" s="62" t="n"/>
      <c r="BW57" s="62" t="n"/>
      <c r="BX57" s="62">
        <f>BW57-BV57</f>
        <v/>
      </c>
      <c r="BY57" s="64">
        <f>IF(BV57=0,"",BW57/BV57)</f>
        <v/>
      </c>
      <c r="BZ57" s="31" t="n"/>
      <c r="CA57" s="60" t="n"/>
      <c r="CB57" s="60" t="n"/>
      <c r="CC57" s="60">
        <f>CB57-CA57</f>
        <v/>
      </c>
      <c r="CD57" s="61">
        <f>IF(CA57=0,"",CB57/CA57)</f>
        <v/>
      </c>
      <c r="CE57" s="27" t="n"/>
      <c r="CF57" s="62" t="n"/>
      <c r="CG57" s="62" t="n"/>
      <c r="CH57" s="62">
        <f>CG57-CF57</f>
        <v/>
      </c>
      <c r="CI57" s="64">
        <f>IF(CF57=0,"",CG57/CF57)</f>
        <v/>
      </c>
      <c r="CJ57" s="31" t="n"/>
      <c r="CK57" s="60" t="n"/>
      <c r="CL57" s="60" t="n"/>
      <c r="CM57" s="60">
        <f>CL57-CK57</f>
        <v/>
      </c>
      <c r="CN57" s="61">
        <f>IF(CK57=0,"",CL57/CK57)</f>
        <v/>
      </c>
      <c r="CO57" s="27" t="n"/>
      <c r="CP57" s="62" t="n"/>
      <c r="CQ57" s="62" t="n"/>
      <c r="CR57" s="62">
        <f>CQ57-CP57</f>
        <v/>
      </c>
      <c r="CS57" s="64">
        <f>IF(CP57=0,"",CQ57/CP57)</f>
        <v/>
      </c>
      <c r="CT57" s="31" t="n"/>
      <c r="CU57" s="60" t="n"/>
      <c r="CV57" s="60" t="n"/>
      <c r="CW57" s="60">
        <f>CV57-CU57</f>
        <v/>
      </c>
      <c r="CX57" s="61">
        <f>IF(CU57=0,"",CV57/CU57)</f>
        <v/>
      </c>
      <c r="CY57" s="27" t="n"/>
      <c r="CZ57" s="62" t="n"/>
      <c r="DA57" s="62" t="n"/>
      <c r="DB57" s="62">
        <f>DA57-CZ57</f>
        <v/>
      </c>
      <c r="DC57" s="64">
        <f>IF(CZ57=0,"",DA57/CZ57)</f>
        <v/>
      </c>
      <c r="DD57" s="31" t="n"/>
      <c r="DE57" s="60" t="n"/>
      <c r="DF57" s="60" t="n"/>
      <c r="DG57" s="60">
        <f>DF57-DE57</f>
        <v/>
      </c>
      <c r="DH57" s="61">
        <f>IF(DE57=0,"",DF57/DE57)</f>
        <v/>
      </c>
      <c r="DI57" s="27" t="n"/>
      <c r="DJ57" s="62" t="n"/>
      <c r="DK57" s="62" t="n"/>
      <c r="DL57" s="62">
        <f>DK57-DJ57</f>
        <v/>
      </c>
      <c r="DM57" s="64">
        <f>IF(DJ57=0,"",DK57/DJ57)</f>
        <v/>
      </c>
      <c r="DN57" s="31" t="n"/>
      <c r="DO57" s="60" t="n"/>
    </row>
    <row r="58" outlineLevel="1" ht="15" customHeight="1">
      <c r="A58" s="24" t="n"/>
      <c r="B58" s="24" t="n"/>
      <c r="C58" s="24" t="n"/>
      <c r="D58" s="60" t="n"/>
      <c r="E58" s="60" t="n"/>
      <c r="F58" s="60">
        <f>E58-D58</f>
        <v/>
      </c>
      <c r="G58" s="61">
        <f>IF(D58=0,"",E58/D58)</f>
        <v/>
      </c>
      <c r="H58" s="27" t="n"/>
      <c r="I58" s="60" t="n"/>
      <c r="J58" s="60" t="n"/>
      <c r="K58" s="60">
        <f>J58-I58</f>
        <v/>
      </c>
      <c r="L58" s="61">
        <f>IF(I58=0,"",J58/I58)</f>
        <v/>
      </c>
      <c r="M58" s="27" t="n"/>
      <c r="N58" s="62" t="n"/>
      <c r="O58" s="62" t="n"/>
      <c r="P58" s="62">
        <f>O58-N58</f>
        <v/>
      </c>
      <c r="Q58" s="64">
        <f>IF(N58=0,"",O58/N58)</f>
        <v/>
      </c>
      <c r="R58" s="31" t="n"/>
      <c r="S58" s="60" t="n"/>
      <c r="T58" s="60" t="n"/>
      <c r="U58" s="60">
        <f>T58-S58</f>
        <v/>
      </c>
      <c r="V58" s="61">
        <f>IF(S58=0,"",T58/S58)</f>
        <v/>
      </c>
      <c r="W58" s="27" t="n"/>
      <c r="X58" s="62" t="n"/>
      <c r="Y58" s="62" t="n"/>
      <c r="Z58" s="62">
        <f>Y58-X58</f>
        <v/>
      </c>
      <c r="AA58" s="64">
        <f>IF(X58=0,"",Y58/X58)</f>
        <v/>
      </c>
      <c r="AB58" s="31" t="n"/>
      <c r="AC58" s="60" t="n"/>
      <c r="AD58" s="60" t="n"/>
      <c r="AE58" s="60">
        <f>AD58-AC58</f>
        <v/>
      </c>
      <c r="AF58" s="61">
        <f>IF(AC58=0,"",AD58/AC58)</f>
        <v/>
      </c>
      <c r="AG58" s="27" t="n"/>
      <c r="AH58" s="62" t="n"/>
      <c r="AI58" s="62" t="n"/>
      <c r="AJ58" s="62">
        <f>AI58-AH58</f>
        <v/>
      </c>
      <c r="AK58" s="64">
        <f>IF(AH58=0,"",AI58/AH58)</f>
        <v/>
      </c>
      <c r="AL58" s="31" t="n"/>
      <c r="AM58" s="60" t="n"/>
      <c r="AN58" s="60" t="n"/>
      <c r="AO58" s="60">
        <f>AN58-AM58</f>
        <v/>
      </c>
      <c r="AP58" s="61">
        <f>IF(AM58=0,"",AN58/AM58)</f>
        <v/>
      </c>
      <c r="AQ58" s="27" t="n"/>
      <c r="AR58" s="62" t="n"/>
      <c r="AS58" s="62" t="n"/>
      <c r="AT58" s="62">
        <f>AS58-AR58</f>
        <v/>
      </c>
      <c r="AU58" s="64">
        <f>IF(AR58=0,"",AS58/AR58)</f>
        <v/>
      </c>
      <c r="AV58" s="31" t="n"/>
      <c r="AW58" s="60" t="n"/>
      <c r="AX58" s="60" t="n"/>
      <c r="AY58" s="60">
        <f>AX58-AW58</f>
        <v/>
      </c>
      <c r="AZ58" s="61">
        <f>IF(AW58=0,"",AX58/AW58)</f>
        <v/>
      </c>
      <c r="BA58" s="27" t="n"/>
      <c r="BB58" s="62" t="n"/>
      <c r="BC58" s="62" t="n"/>
      <c r="BD58" s="62">
        <f>BC58-BB58</f>
        <v/>
      </c>
      <c r="BE58" s="64">
        <f>IF(BB58=0,"",BC58/BB58)</f>
        <v/>
      </c>
      <c r="BF58" s="31" t="n"/>
      <c r="BG58" s="60" t="n"/>
      <c r="BH58" s="60" t="n"/>
      <c r="BI58" s="60">
        <f>BH58-BG58</f>
        <v/>
      </c>
      <c r="BJ58" s="61">
        <f>IF(BG58=0,"",BH58/BG58)</f>
        <v/>
      </c>
      <c r="BK58" s="27" t="n"/>
      <c r="BL58" s="62" t="n"/>
      <c r="BM58" s="62" t="n"/>
      <c r="BN58" s="62">
        <f>BM58-BL58</f>
        <v/>
      </c>
      <c r="BO58" s="64">
        <f>IF(BL58=0,"",BM58/BL58)</f>
        <v/>
      </c>
      <c r="BP58" s="31" t="n"/>
      <c r="BQ58" s="60" t="n"/>
      <c r="BR58" s="60" t="n"/>
      <c r="BS58" s="60">
        <f>BR58-BQ58</f>
        <v/>
      </c>
      <c r="BT58" s="61">
        <f>IF(BQ58=0,"",BR58/BQ58)</f>
        <v/>
      </c>
      <c r="BU58" s="27" t="n"/>
      <c r="BV58" s="62" t="n"/>
      <c r="BW58" s="62" t="n"/>
      <c r="BX58" s="62">
        <f>BW58-BV58</f>
        <v/>
      </c>
      <c r="BY58" s="64">
        <f>IF(BV58=0,"",BW58/BV58)</f>
        <v/>
      </c>
      <c r="BZ58" s="31" t="n"/>
      <c r="CA58" s="60" t="n"/>
      <c r="CB58" s="60" t="n"/>
      <c r="CC58" s="60">
        <f>CB58-CA58</f>
        <v/>
      </c>
      <c r="CD58" s="61">
        <f>IF(CA58=0,"",CB58/CA58)</f>
        <v/>
      </c>
      <c r="CE58" s="27" t="n"/>
      <c r="CF58" s="62" t="n"/>
      <c r="CG58" s="62" t="n"/>
      <c r="CH58" s="62">
        <f>CG58-CF58</f>
        <v/>
      </c>
      <c r="CI58" s="64">
        <f>IF(CF58=0,"",CG58/CF58)</f>
        <v/>
      </c>
      <c r="CJ58" s="31" t="n"/>
      <c r="CK58" s="60" t="n"/>
      <c r="CL58" s="60" t="n"/>
      <c r="CM58" s="60">
        <f>CL58-CK58</f>
        <v/>
      </c>
      <c r="CN58" s="61">
        <f>IF(CK58=0,"",CL58/CK58)</f>
        <v/>
      </c>
      <c r="CO58" s="27" t="n"/>
      <c r="CP58" s="62" t="n"/>
      <c r="CQ58" s="62" t="n"/>
      <c r="CR58" s="62">
        <f>CQ58-CP58</f>
        <v/>
      </c>
      <c r="CS58" s="64">
        <f>IF(CP58=0,"",CQ58/CP58)</f>
        <v/>
      </c>
      <c r="CT58" s="31" t="n"/>
      <c r="CU58" s="60" t="n"/>
      <c r="CV58" s="60" t="n"/>
      <c r="CW58" s="60">
        <f>CV58-CU58</f>
        <v/>
      </c>
      <c r="CX58" s="61">
        <f>IF(CU58=0,"",CV58/CU58)</f>
        <v/>
      </c>
      <c r="CY58" s="27" t="n"/>
      <c r="CZ58" s="62" t="n"/>
      <c r="DA58" s="62" t="n"/>
      <c r="DB58" s="62">
        <f>DA58-CZ58</f>
        <v/>
      </c>
      <c r="DC58" s="64">
        <f>IF(CZ58=0,"",DA58/CZ58)</f>
        <v/>
      </c>
      <c r="DD58" s="31" t="n"/>
      <c r="DE58" s="60" t="n"/>
      <c r="DF58" s="60" t="n"/>
      <c r="DG58" s="60">
        <f>DF58-DE58</f>
        <v/>
      </c>
      <c r="DH58" s="61">
        <f>IF(DE58=0,"",DF58/DE58)</f>
        <v/>
      </c>
      <c r="DI58" s="27" t="n"/>
      <c r="DJ58" s="62" t="n"/>
      <c r="DK58" s="62" t="n"/>
      <c r="DL58" s="62">
        <f>DK58-DJ58</f>
        <v/>
      </c>
      <c r="DM58" s="64">
        <f>IF(DJ58=0,"",DK58/DJ58)</f>
        <v/>
      </c>
      <c r="DN58" s="31" t="n"/>
      <c r="DO58" s="60" t="n"/>
    </row>
    <row r="59" outlineLevel="1" ht="15" customHeight="1">
      <c r="A59" s="24" t="n"/>
      <c r="B59" s="24" t="n"/>
      <c r="C59" s="24" t="n"/>
      <c r="D59" s="60" t="n"/>
      <c r="E59" s="60" t="n"/>
      <c r="F59" s="60">
        <f>E59-D59</f>
        <v/>
      </c>
      <c r="G59" s="61">
        <f>IF(D59=0,"",E59/D59)</f>
        <v/>
      </c>
      <c r="H59" s="27" t="n"/>
      <c r="I59" s="60" t="n"/>
      <c r="J59" s="60" t="n"/>
      <c r="K59" s="60">
        <f>J59-I59</f>
        <v/>
      </c>
      <c r="L59" s="61">
        <f>IF(I59=0,"",J59/I59)</f>
        <v/>
      </c>
      <c r="M59" s="27" t="n"/>
      <c r="N59" s="62" t="n"/>
      <c r="O59" s="62" t="n"/>
      <c r="P59" s="62">
        <f>O59-N59</f>
        <v/>
      </c>
      <c r="Q59" s="64">
        <f>IF(N59=0,"",O59/N59)</f>
        <v/>
      </c>
      <c r="R59" s="31" t="n"/>
      <c r="S59" s="60" t="n"/>
      <c r="T59" s="60" t="n"/>
      <c r="U59" s="60">
        <f>T59-S59</f>
        <v/>
      </c>
      <c r="V59" s="61">
        <f>IF(S59=0,"",T59/S59)</f>
        <v/>
      </c>
      <c r="W59" s="27" t="n"/>
      <c r="X59" s="62" t="n"/>
      <c r="Y59" s="62" t="n"/>
      <c r="Z59" s="62">
        <f>Y59-X59</f>
        <v/>
      </c>
      <c r="AA59" s="64">
        <f>IF(X59=0,"",Y59/X59)</f>
        <v/>
      </c>
      <c r="AB59" s="31" t="n"/>
      <c r="AC59" s="60" t="n"/>
      <c r="AD59" s="60" t="n"/>
      <c r="AE59" s="60">
        <f>AD59-AC59</f>
        <v/>
      </c>
      <c r="AF59" s="61">
        <f>IF(AC59=0,"",AD59/AC59)</f>
        <v/>
      </c>
      <c r="AG59" s="27" t="n"/>
      <c r="AH59" s="62" t="n"/>
      <c r="AI59" s="62" t="n"/>
      <c r="AJ59" s="62">
        <f>AI59-AH59</f>
        <v/>
      </c>
      <c r="AK59" s="64">
        <f>IF(AH59=0,"",AI59/AH59)</f>
        <v/>
      </c>
      <c r="AL59" s="31" t="n"/>
      <c r="AM59" s="60" t="n"/>
      <c r="AN59" s="60" t="n"/>
      <c r="AO59" s="60">
        <f>AN59-AM59</f>
        <v/>
      </c>
      <c r="AP59" s="61">
        <f>IF(AM59=0,"",AN59/AM59)</f>
        <v/>
      </c>
      <c r="AQ59" s="27" t="n"/>
      <c r="AR59" s="62" t="n"/>
      <c r="AS59" s="62" t="n"/>
      <c r="AT59" s="62">
        <f>AS59-AR59</f>
        <v/>
      </c>
      <c r="AU59" s="64">
        <f>IF(AR59=0,"",AS59/AR59)</f>
        <v/>
      </c>
      <c r="AV59" s="31" t="n"/>
      <c r="AW59" s="60" t="n"/>
      <c r="AX59" s="60" t="n"/>
      <c r="AY59" s="60">
        <f>AX59-AW59</f>
        <v/>
      </c>
      <c r="AZ59" s="61">
        <f>IF(AW59=0,"",AX59/AW59)</f>
        <v/>
      </c>
      <c r="BA59" s="27" t="n"/>
      <c r="BB59" s="62" t="n"/>
      <c r="BC59" s="62" t="n"/>
      <c r="BD59" s="62">
        <f>BC59-BB59</f>
        <v/>
      </c>
      <c r="BE59" s="64">
        <f>IF(BB59=0,"",BC59/BB59)</f>
        <v/>
      </c>
      <c r="BF59" s="31" t="n"/>
      <c r="BG59" s="60" t="n"/>
      <c r="BH59" s="60" t="n"/>
      <c r="BI59" s="60">
        <f>BH59-BG59</f>
        <v/>
      </c>
      <c r="BJ59" s="61">
        <f>IF(BG59=0,"",BH59/BG59)</f>
        <v/>
      </c>
      <c r="BK59" s="27" t="n"/>
      <c r="BL59" s="62" t="n"/>
      <c r="BM59" s="62" t="n"/>
      <c r="BN59" s="62">
        <f>BM59-BL59</f>
        <v/>
      </c>
      <c r="BO59" s="64">
        <f>IF(BL59=0,"",BM59/BL59)</f>
        <v/>
      </c>
      <c r="BP59" s="31" t="n"/>
      <c r="BQ59" s="60" t="n"/>
      <c r="BR59" s="60" t="n"/>
      <c r="BS59" s="60">
        <f>BR59-BQ59</f>
        <v/>
      </c>
      <c r="BT59" s="61">
        <f>IF(BQ59=0,"",BR59/BQ59)</f>
        <v/>
      </c>
      <c r="BU59" s="27" t="n"/>
      <c r="BV59" s="62" t="n"/>
      <c r="BW59" s="62" t="n"/>
      <c r="BX59" s="62">
        <f>BW59-BV59</f>
        <v/>
      </c>
      <c r="BY59" s="64">
        <f>IF(BV59=0,"",BW59/BV59)</f>
        <v/>
      </c>
      <c r="BZ59" s="31" t="n"/>
      <c r="CA59" s="60" t="n"/>
      <c r="CB59" s="60" t="n"/>
      <c r="CC59" s="60">
        <f>CB59-CA59</f>
        <v/>
      </c>
      <c r="CD59" s="61">
        <f>IF(CA59=0,"",CB59/CA59)</f>
        <v/>
      </c>
      <c r="CE59" s="27" t="n"/>
      <c r="CF59" s="62" t="n"/>
      <c r="CG59" s="62" t="n"/>
      <c r="CH59" s="62">
        <f>CG59-CF59</f>
        <v/>
      </c>
      <c r="CI59" s="64">
        <f>IF(CF59=0,"",CG59/CF59)</f>
        <v/>
      </c>
      <c r="CJ59" s="31" t="n"/>
      <c r="CK59" s="60" t="n"/>
      <c r="CL59" s="60" t="n"/>
      <c r="CM59" s="60">
        <f>CL59-CK59</f>
        <v/>
      </c>
      <c r="CN59" s="61">
        <f>IF(CK59=0,"",CL59/CK59)</f>
        <v/>
      </c>
      <c r="CO59" s="27" t="n"/>
      <c r="CP59" s="62" t="n"/>
      <c r="CQ59" s="62" t="n"/>
      <c r="CR59" s="62">
        <f>CQ59-CP59</f>
        <v/>
      </c>
      <c r="CS59" s="64">
        <f>IF(CP59=0,"",CQ59/CP59)</f>
        <v/>
      </c>
      <c r="CT59" s="31" t="n"/>
      <c r="CU59" s="60" t="n"/>
      <c r="CV59" s="60" t="n"/>
      <c r="CW59" s="60">
        <f>CV59-CU59</f>
        <v/>
      </c>
      <c r="CX59" s="61">
        <f>IF(CU59=0,"",CV59/CU59)</f>
        <v/>
      </c>
      <c r="CY59" s="27" t="n"/>
      <c r="CZ59" s="62" t="n"/>
      <c r="DA59" s="62" t="n"/>
      <c r="DB59" s="62">
        <f>DA59-CZ59</f>
        <v/>
      </c>
      <c r="DC59" s="64">
        <f>IF(CZ59=0,"",DA59/CZ59)</f>
        <v/>
      </c>
      <c r="DD59" s="31" t="n"/>
      <c r="DE59" s="60" t="n"/>
      <c r="DF59" s="60" t="n"/>
      <c r="DG59" s="60">
        <f>DF59-DE59</f>
        <v/>
      </c>
      <c r="DH59" s="61">
        <f>IF(DE59=0,"",DF59/DE59)</f>
        <v/>
      </c>
      <c r="DI59" s="27" t="n"/>
      <c r="DJ59" s="62" t="n"/>
      <c r="DK59" s="62" t="n"/>
      <c r="DL59" s="62">
        <f>DK59-DJ59</f>
        <v/>
      </c>
      <c r="DM59" s="64">
        <f>IF(DJ59=0,"",DK59/DJ59)</f>
        <v/>
      </c>
      <c r="DN59" s="31" t="n"/>
      <c r="DO59" s="60" t="n"/>
    </row>
    <row r="60" outlineLevel="1" ht="15" customHeight="1">
      <c r="A60" s="24" t="n"/>
      <c r="B60" s="24" t="n"/>
      <c r="C60" s="24" t="n"/>
      <c r="D60" s="60" t="n"/>
      <c r="E60" s="60" t="n"/>
      <c r="F60" s="60">
        <f>E60-D60</f>
        <v/>
      </c>
      <c r="G60" s="61">
        <f>IF(D60=0,"",E60/D60)</f>
        <v/>
      </c>
      <c r="H60" s="27" t="n"/>
      <c r="I60" s="60" t="n"/>
      <c r="J60" s="60" t="n"/>
      <c r="K60" s="60">
        <f>J60-I60</f>
        <v/>
      </c>
      <c r="L60" s="61">
        <f>IF(I60=0,"",J60/I60)</f>
        <v/>
      </c>
      <c r="M60" s="27" t="n"/>
      <c r="N60" s="62" t="n"/>
      <c r="O60" s="62" t="n"/>
      <c r="P60" s="62">
        <f>O60-N60</f>
        <v/>
      </c>
      <c r="Q60" s="64">
        <f>IF(N60=0,"",O60/N60)</f>
        <v/>
      </c>
      <c r="R60" s="31" t="n"/>
      <c r="S60" s="60" t="n"/>
      <c r="T60" s="60" t="n"/>
      <c r="U60" s="60">
        <f>T60-S60</f>
        <v/>
      </c>
      <c r="V60" s="61">
        <f>IF(S60=0,"",T60/S60)</f>
        <v/>
      </c>
      <c r="W60" s="27" t="n"/>
      <c r="X60" s="62" t="n"/>
      <c r="Y60" s="62" t="n"/>
      <c r="Z60" s="62">
        <f>Y60-X60</f>
        <v/>
      </c>
      <c r="AA60" s="64">
        <f>IF(X60=0,"",Y60/X60)</f>
        <v/>
      </c>
      <c r="AB60" s="31" t="n"/>
      <c r="AC60" s="60" t="n"/>
      <c r="AD60" s="60" t="n"/>
      <c r="AE60" s="60">
        <f>AD60-AC60</f>
        <v/>
      </c>
      <c r="AF60" s="61">
        <f>IF(AC60=0,"",AD60/AC60)</f>
        <v/>
      </c>
      <c r="AG60" s="27" t="n"/>
      <c r="AH60" s="62" t="n"/>
      <c r="AI60" s="62" t="n"/>
      <c r="AJ60" s="62">
        <f>AI60-AH60</f>
        <v/>
      </c>
      <c r="AK60" s="64">
        <f>IF(AH60=0,"",AI60/AH60)</f>
        <v/>
      </c>
      <c r="AL60" s="31" t="n"/>
      <c r="AM60" s="60" t="n"/>
      <c r="AN60" s="60" t="n"/>
      <c r="AO60" s="60">
        <f>AN60-AM60</f>
        <v/>
      </c>
      <c r="AP60" s="61">
        <f>IF(AM60=0,"",AN60/AM60)</f>
        <v/>
      </c>
      <c r="AQ60" s="27" t="n"/>
      <c r="AR60" s="62" t="n"/>
      <c r="AS60" s="62" t="n"/>
      <c r="AT60" s="62">
        <f>AS60-AR60</f>
        <v/>
      </c>
      <c r="AU60" s="64">
        <f>IF(AR60=0,"",AS60/AR60)</f>
        <v/>
      </c>
      <c r="AV60" s="31" t="n"/>
      <c r="AW60" s="60" t="n"/>
      <c r="AX60" s="60" t="n"/>
      <c r="AY60" s="60">
        <f>AX60-AW60</f>
        <v/>
      </c>
      <c r="AZ60" s="61">
        <f>IF(AW60=0,"",AX60/AW60)</f>
        <v/>
      </c>
      <c r="BA60" s="27" t="n"/>
      <c r="BB60" s="62" t="n"/>
      <c r="BC60" s="62" t="n"/>
      <c r="BD60" s="62">
        <f>BC60-BB60</f>
        <v/>
      </c>
      <c r="BE60" s="64">
        <f>IF(BB60=0,"",BC60/BB60)</f>
        <v/>
      </c>
      <c r="BF60" s="31" t="n"/>
      <c r="BG60" s="60" t="n"/>
      <c r="BH60" s="60" t="n"/>
      <c r="BI60" s="60">
        <f>BH60-BG60</f>
        <v/>
      </c>
      <c r="BJ60" s="61">
        <f>IF(BG60=0,"",BH60/BG60)</f>
        <v/>
      </c>
      <c r="BK60" s="27" t="n"/>
      <c r="BL60" s="62" t="n"/>
      <c r="BM60" s="62" t="n"/>
      <c r="BN60" s="62">
        <f>BM60-BL60</f>
        <v/>
      </c>
      <c r="BO60" s="64">
        <f>IF(BL60=0,"",BM60/BL60)</f>
        <v/>
      </c>
      <c r="BP60" s="31" t="n"/>
      <c r="BQ60" s="60" t="n"/>
      <c r="BR60" s="60" t="n"/>
      <c r="BS60" s="60">
        <f>BR60-BQ60</f>
        <v/>
      </c>
      <c r="BT60" s="61">
        <f>IF(BQ60=0,"",BR60/BQ60)</f>
        <v/>
      </c>
      <c r="BU60" s="27" t="n"/>
      <c r="BV60" s="62" t="n"/>
      <c r="BW60" s="62" t="n"/>
      <c r="BX60" s="62">
        <f>BW60-BV60</f>
        <v/>
      </c>
      <c r="BY60" s="64">
        <f>IF(BV60=0,"",BW60/BV60)</f>
        <v/>
      </c>
      <c r="BZ60" s="31" t="n"/>
      <c r="CA60" s="60" t="n"/>
      <c r="CB60" s="60" t="n"/>
      <c r="CC60" s="60">
        <f>CB60-CA60</f>
        <v/>
      </c>
      <c r="CD60" s="61">
        <f>IF(CA60=0,"",CB60/CA60)</f>
        <v/>
      </c>
      <c r="CE60" s="27" t="n"/>
      <c r="CF60" s="62" t="n"/>
      <c r="CG60" s="62" t="n"/>
      <c r="CH60" s="62">
        <f>CG60-CF60</f>
        <v/>
      </c>
      <c r="CI60" s="64">
        <f>IF(CF60=0,"",CG60/CF60)</f>
        <v/>
      </c>
      <c r="CJ60" s="31" t="n"/>
      <c r="CK60" s="60" t="n"/>
      <c r="CL60" s="60" t="n"/>
      <c r="CM60" s="60">
        <f>CL60-CK60</f>
        <v/>
      </c>
      <c r="CN60" s="61">
        <f>IF(CK60=0,"",CL60/CK60)</f>
        <v/>
      </c>
      <c r="CO60" s="27" t="n"/>
      <c r="CP60" s="62" t="n"/>
      <c r="CQ60" s="62" t="n"/>
      <c r="CR60" s="62">
        <f>CQ60-CP60</f>
        <v/>
      </c>
      <c r="CS60" s="64">
        <f>IF(CP60=0,"",CQ60/CP60)</f>
        <v/>
      </c>
      <c r="CT60" s="31" t="n"/>
      <c r="CU60" s="60" t="n"/>
      <c r="CV60" s="60" t="n"/>
      <c r="CW60" s="60">
        <f>CV60-CU60</f>
        <v/>
      </c>
      <c r="CX60" s="61">
        <f>IF(CU60=0,"",CV60/CU60)</f>
        <v/>
      </c>
      <c r="CY60" s="27" t="n"/>
      <c r="CZ60" s="62" t="n"/>
      <c r="DA60" s="62" t="n"/>
      <c r="DB60" s="62">
        <f>DA60-CZ60</f>
        <v/>
      </c>
      <c r="DC60" s="64">
        <f>IF(CZ60=0,"",DA60/CZ60)</f>
        <v/>
      </c>
      <c r="DD60" s="31" t="n"/>
      <c r="DE60" s="60" t="n"/>
      <c r="DF60" s="60" t="n"/>
      <c r="DG60" s="60">
        <f>DF60-DE60</f>
        <v/>
      </c>
      <c r="DH60" s="61">
        <f>IF(DE60=0,"",DF60/DE60)</f>
        <v/>
      </c>
      <c r="DI60" s="27" t="n"/>
      <c r="DJ60" s="62" t="n"/>
      <c r="DK60" s="62" t="n"/>
      <c r="DL60" s="62">
        <f>DK60-DJ60</f>
        <v/>
      </c>
      <c r="DM60" s="64">
        <f>IF(DJ60=0,"",DK60/DJ60)</f>
        <v/>
      </c>
      <c r="DN60" s="31" t="n"/>
      <c r="DO60" s="60" t="n"/>
    </row>
    <row r="61" outlineLevel="1" ht="15" customHeight="1">
      <c r="A61" s="24" t="n"/>
      <c r="B61" s="24" t="n"/>
      <c r="C61" s="24" t="n"/>
      <c r="D61" s="60" t="n"/>
      <c r="E61" s="60" t="n"/>
      <c r="F61" s="60">
        <f>E61-D61</f>
        <v/>
      </c>
      <c r="G61" s="61">
        <f>IF(D61=0,"",E61/D61)</f>
        <v/>
      </c>
      <c r="H61" s="27" t="n"/>
      <c r="I61" s="60" t="n"/>
      <c r="J61" s="60" t="n"/>
      <c r="K61" s="60">
        <f>J61-I61</f>
        <v/>
      </c>
      <c r="L61" s="61">
        <f>IF(I61=0,"",J61/I61)</f>
        <v/>
      </c>
      <c r="M61" s="27" t="n"/>
      <c r="N61" s="62" t="n"/>
      <c r="O61" s="62" t="n"/>
      <c r="P61" s="62">
        <f>O61-N61</f>
        <v/>
      </c>
      <c r="Q61" s="64">
        <f>IF(N61=0,"",O61/N61)</f>
        <v/>
      </c>
      <c r="R61" s="31" t="n"/>
      <c r="S61" s="60" t="n"/>
      <c r="T61" s="60" t="n"/>
      <c r="U61" s="60">
        <f>T61-S61</f>
        <v/>
      </c>
      <c r="V61" s="61">
        <f>IF(S61=0,"",T61/S61)</f>
        <v/>
      </c>
      <c r="W61" s="27" t="n"/>
      <c r="X61" s="62" t="n"/>
      <c r="Y61" s="62" t="n"/>
      <c r="Z61" s="62">
        <f>Y61-X61</f>
        <v/>
      </c>
      <c r="AA61" s="64">
        <f>IF(X61=0,"",Y61/X61)</f>
        <v/>
      </c>
      <c r="AB61" s="31" t="n"/>
      <c r="AC61" s="60" t="n"/>
      <c r="AD61" s="60" t="n"/>
      <c r="AE61" s="60">
        <f>AD61-AC61</f>
        <v/>
      </c>
      <c r="AF61" s="61">
        <f>IF(AC61=0,"",AD61/AC61)</f>
        <v/>
      </c>
      <c r="AG61" s="27" t="n"/>
      <c r="AH61" s="62" t="n"/>
      <c r="AI61" s="62" t="n"/>
      <c r="AJ61" s="62">
        <f>AI61-AH61</f>
        <v/>
      </c>
      <c r="AK61" s="64">
        <f>IF(AH61=0,"",AI61/AH61)</f>
        <v/>
      </c>
      <c r="AL61" s="31" t="n"/>
      <c r="AM61" s="60" t="n"/>
      <c r="AN61" s="60" t="n"/>
      <c r="AO61" s="60">
        <f>AN61-AM61</f>
        <v/>
      </c>
      <c r="AP61" s="61">
        <f>IF(AM61=0,"",AN61/AM61)</f>
        <v/>
      </c>
      <c r="AQ61" s="27" t="n"/>
      <c r="AR61" s="62" t="n"/>
      <c r="AS61" s="62" t="n"/>
      <c r="AT61" s="62">
        <f>AS61-AR61</f>
        <v/>
      </c>
      <c r="AU61" s="64">
        <f>IF(AR61=0,"",AS61/AR61)</f>
        <v/>
      </c>
      <c r="AV61" s="31" t="n"/>
      <c r="AW61" s="60" t="n"/>
      <c r="AX61" s="60" t="n"/>
      <c r="AY61" s="60">
        <f>AX61-AW61</f>
        <v/>
      </c>
      <c r="AZ61" s="61">
        <f>IF(AW61=0,"",AX61/AW61)</f>
        <v/>
      </c>
      <c r="BA61" s="27" t="n"/>
      <c r="BB61" s="62" t="n"/>
      <c r="BC61" s="62" t="n"/>
      <c r="BD61" s="62">
        <f>BC61-BB61</f>
        <v/>
      </c>
      <c r="BE61" s="64">
        <f>IF(BB61=0,"",BC61/BB61)</f>
        <v/>
      </c>
      <c r="BF61" s="31" t="n"/>
      <c r="BG61" s="60" t="n"/>
      <c r="BH61" s="60" t="n"/>
      <c r="BI61" s="60">
        <f>BH61-BG61</f>
        <v/>
      </c>
      <c r="BJ61" s="61">
        <f>IF(BG61=0,"",BH61/BG61)</f>
        <v/>
      </c>
      <c r="BK61" s="27" t="n"/>
      <c r="BL61" s="62" t="n"/>
      <c r="BM61" s="62" t="n"/>
      <c r="BN61" s="62">
        <f>BM61-BL61</f>
        <v/>
      </c>
      <c r="BO61" s="64">
        <f>IF(BL61=0,"",BM61/BL61)</f>
        <v/>
      </c>
      <c r="BP61" s="31" t="n"/>
      <c r="BQ61" s="60" t="n"/>
      <c r="BR61" s="60" t="n"/>
      <c r="BS61" s="60">
        <f>BR61-BQ61</f>
        <v/>
      </c>
      <c r="BT61" s="61">
        <f>IF(BQ61=0,"",BR61/BQ61)</f>
        <v/>
      </c>
      <c r="BU61" s="27" t="n"/>
      <c r="BV61" s="62" t="n"/>
      <c r="BW61" s="62" t="n"/>
      <c r="BX61" s="62">
        <f>BW61-BV61</f>
        <v/>
      </c>
      <c r="BY61" s="64">
        <f>IF(BV61=0,"",BW61/BV61)</f>
        <v/>
      </c>
      <c r="BZ61" s="31" t="n"/>
      <c r="CA61" s="60" t="n"/>
      <c r="CB61" s="60" t="n"/>
      <c r="CC61" s="60">
        <f>CB61-CA61</f>
        <v/>
      </c>
      <c r="CD61" s="61">
        <f>IF(CA61=0,"",CB61/CA61)</f>
        <v/>
      </c>
      <c r="CE61" s="27" t="n"/>
      <c r="CF61" s="62" t="n"/>
      <c r="CG61" s="62" t="n"/>
      <c r="CH61" s="62">
        <f>CG61-CF61</f>
        <v/>
      </c>
      <c r="CI61" s="64">
        <f>IF(CF61=0,"",CG61/CF61)</f>
        <v/>
      </c>
      <c r="CJ61" s="31" t="n"/>
      <c r="CK61" s="60" t="n"/>
      <c r="CL61" s="60" t="n"/>
      <c r="CM61" s="60">
        <f>CL61-CK61</f>
        <v/>
      </c>
      <c r="CN61" s="61">
        <f>IF(CK61=0,"",CL61/CK61)</f>
        <v/>
      </c>
      <c r="CO61" s="27" t="n"/>
      <c r="CP61" s="62" t="n"/>
      <c r="CQ61" s="62" t="n"/>
      <c r="CR61" s="62">
        <f>CQ61-CP61</f>
        <v/>
      </c>
      <c r="CS61" s="64">
        <f>IF(CP61=0,"",CQ61/CP61)</f>
        <v/>
      </c>
      <c r="CT61" s="31" t="n"/>
      <c r="CU61" s="60" t="n"/>
      <c r="CV61" s="60" t="n"/>
      <c r="CW61" s="60">
        <f>CV61-CU61</f>
        <v/>
      </c>
      <c r="CX61" s="61">
        <f>IF(CU61=0,"",CV61/CU61)</f>
        <v/>
      </c>
      <c r="CY61" s="27" t="n"/>
      <c r="CZ61" s="62" t="n"/>
      <c r="DA61" s="62" t="n"/>
      <c r="DB61" s="62">
        <f>DA61-CZ61</f>
        <v/>
      </c>
      <c r="DC61" s="64">
        <f>IF(CZ61=0,"",DA61/CZ61)</f>
        <v/>
      </c>
      <c r="DD61" s="31" t="n"/>
      <c r="DE61" s="60" t="n"/>
      <c r="DF61" s="60" t="n"/>
      <c r="DG61" s="60">
        <f>DF61-DE61</f>
        <v/>
      </c>
      <c r="DH61" s="61">
        <f>IF(DE61=0,"",DF61/DE61)</f>
        <v/>
      </c>
      <c r="DI61" s="27" t="n"/>
      <c r="DJ61" s="62" t="n"/>
      <c r="DK61" s="62" t="n"/>
      <c r="DL61" s="62">
        <f>DK61-DJ61</f>
        <v/>
      </c>
      <c r="DM61" s="64">
        <f>IF(DJ61=0,"",DK61/DJ61)</f>
        <v/>
      </c>
      <c r="DN61" s="31" t="n"/>
      <c r="DO61" s="60" t="n"/>
    </row>
    <row r="62" outlineLevel="1" ht="15" customHeight="1">
      <c r="A62" s="24" t="n"/>
      <c r="B62" s="24" t="n"/>
      <c r="C62" s="24" t="n"/>
      <c r="D62" s="60" t="n"/>
      <c r="E62" s="60" t="n"/>
      <c r="F62" s="60">
        <f>E62-D62</f>
        <v/>
      </c>
      <c r="G62" s="61">
        <f>IF(D62=0,"",E62/D62)</f>
        <v/>
      </c>
      <c r="H62" s="27" t="n"/>
      <c r="I62" s="60" t="n"/>
      <c r="J62" s="60" t="n"/>
      <c r="K62" s="60">
        <f>J62-I62</f>
        <v/>
      </c>
      <c r="L62" s="61">
        <f>IF(I62=0,"",J62/I62)</f>
        <v/>
      </c>
      <c r="M62" s="27" t="n"/>
      <c r="N62" s="62" t="n"/>
      <c r="O62" s="62" t="n"/>
      <c r="P62" s="62">
        <f>O62-N62</f>
        <v/>
      </c>
      <c r="Q62" s="64">
        <f>IF(N62=0,"",O62/N62)</f>
        <v/>
      </c>
      <c r="R62" s="31" t="n"/>
      <c r="S62" s="60" t="n"/>
      <c r="T62" s="60" t="n"/>
      <c r="U62" s="60">
        <f>T62-S62</f>
        <v/>
      </c>
      <c r="V62" s="61">
        <f>IF(S62=0,"",T62/S62)</f>
        <v/>
      </c>
      <c r="W62" s="27" t="n"/>
      <c r="X62" s="62" t="n"/>
      <c r="Y62" s="62" t="n"/>
      <c r="Z62" s="62">
        <f>Y62-X62</f>
        <v/>
      </c>
      <c r="AA62" s="64">
        <f>IF(X62=0,"",Y62/X62)</f>
        <v/>
      </c>
      <c r="AB62" s="31" t="n"/>
      <c r="AC62" s="60" t="n"/>
      <c r="AD62" s="60" t="n"/>
      <c r="AE62" s="60">
        <f>AD62-AC62</f>
        <v/>
      </c>
      <c r="AF62" s="61">
        <f>IF(AC62=0,"",AD62/AC62)</f>
        <v/>
      </c>
      <c r="AG62" s="27" t="n"/>
      <c r="AH62" s="62" t="n"/>
      <c r="AI62" s="62" t="n"/>
      <c r="AJ62" s="62">
        <f>AI62-AH62</f>
        <v/>
      </c>
      <c r="AK62" s="64">
        <f>IF(AH62=0,"",AI62/AH62)</f>
        <v/>
      </c>
      <c r="AL62" s="31" t="n"/>
      <c r="AM62" s="60" t="n"/>
      <c r="AN62" s="60" t="n"/>
      <c r="AO62" s="60">
        <f>AN62-AM62</f>
        <v/>
      </c>
      <c r="AP62" s="61">
        <f>IF(AM62=0,"",AN62/AM62)</f>
        <v/>
      </c>
      <c r="AQ62" s="27" t="n"/>
      <c r="AR62" s="62" t="n"/>
      <c r="AS62" s="62" t="n"/>
      <c r="AT62" s="62">
        <f>AS62-AR62</f>
        <v/>
      </c>
      <c r="AU62" s="64">
        <f>IF(AR62=0,"",AS62/AR62)</f>
        <v/>
      </c>
      <c r="AV62" s="31" t="n"/>
      <c r="AW62" s="60" t="n"/>
      <c r="AX62" s="60" t="n"/>
      <c r="AY62" s="60">
        <f>AX62-AW62</f>
        <v/>
      </c>
      <c r="AZ62" s="61">
        <f>IF(AW62=0,"",AX62/AW62)</f>
        <v/>
      </c>
      <c r="BA62" s="27" t="n"/>
      <c r="BB62" s="62" t="n"/>
      <c r="BC62" s="62" t="n"/>
      <c r="BD62" s="62">
        <f>BC62-BB62</f>
        <v/>
      </c>
      <c r="BE62" s="64">
        <f>IF(BB62=0,"",BC62/BB62)</f>
        <v/>
      </c>
      <c r="BF62" s="31" t="n"/>
      <c r="BG62" s="60" t="n"/>
      <c r="BH62" s="60" t="n"/>
      <c r="BI62" s="60">
        <f>BH62-BG62</f>
        <v/>
      </c>
      <c r="BJ62" s="61">
        <f>IF(BG62=0,"",BH62/BG62)</f>
        <v/>
      </c>
      <c r="BK62" s="27" t="n"/>
      <c r="BL62" s="62" t="n"/>
      <c r="BM62" s="62" t="n"/>
      <c r="BN62" s="62">
        <f>BM62-BL62</f>
        <v/>
      </c>
      <c r="BO62" s="64">
        <f>IF(BL62=0,"",BM62/BL62)</f>
        <v/>
      </c>
      <c r="BP62" s="31" t="n"/>
      <c r="BQ62" s="60" t="n"/>
      <c r="BR62" s="60" t="n"/>
      <c r="BS62" s="60">
        <f>BR62-BQ62</f>
        <v/>
      </c>
      <c r="BT62" s="61">
        <f>IF(BQ62=0,"",BR62/BQ62)</f>
        <v/>
      </c>
      <c r="BU62" s="27" t="n"/>
      <c r="BV62" s="62" t="n"/>
      <c r="BW62" s="62" t="n"/>
      <c r="BX62" s="62">
        <f>BW62-BV62</f>
        <v/>
      </c>
      <c r="BY62" s="64">
        <f>IF(BV62=0,"",BW62/BV62)</f>
        <v/>
      </c>
      <c r="BZ62" s="31" t="n"/>
      <c r="CA62" s="60" t="n"/>
      <c r="CB62" s="60" t="n"/>
      <c r="CC62" s="60">
        <f>CB62-CA62</f>
        <v/>
      </c>
      <c r="CD62" s="61">
        <f>IF(CA62=0,"",CB62/CA62)</f>
        <v/>
      </c>
      <c r="CE62" s="27" t="n"/>
      <c r="CF62" s="62" t="n"/>
      <c r="CG62" s="62" t="n"/>
      <c r="CH62" s="62">
        <f>CG62-CF62</f>
        <v/>
      </c>
      <c r="CI62" s="64">
        <f>IF(CF62=0,"",CG62/CF62)</f>
        <v/>
      </c>
      <c r="CJ62" s="31" t="n"/>
      <c r="CK62" s="60" t="n"/>
      <c r="CL62" s="60" t="n"/>
      <c r="CM62" s="60">
        <f>CL62-CK62</f>
        <v/>
      </c>
      <c r="CN62" s="61">
        <f>IF(CK62=0,"",CL62/CK62)</f>
        <v/>
      </c>
      <c r="CO62" s="27" t="n"/>
      <c r="CP62" s="62" t="n"/>
      <c r="CQ62" s="62" t="n"/>
      <c r="CR62" s="62">
        <f>CQ62-CP62</f>
        <v/>
      </c>
      <c r="CS62" s="64">
        <f>IF(CP62=0,"",CQ62/CP62)</f>
        <v/>
      </c>
      <c r="CT62" s="31" t="n"/>
      <c r="CU62" s="60" t="n"/>
      <c r="CV62" s="60" t="n"/>
      <c r="CW62" s="60">
        <f>CV62-CU62</f>
        <v/>
      </c>
      <c r="CX62" s="61">
        <f>IF(CU62=0,"",CV62/CU62)</f>
        <v/>
      </c>
      <c r="CY62" s="27" t="n"/>
      <c r="CZ62" s="62" t="n"/>
      <c r="DA62" s="62" t="n"/>
      <c r="DB62" s="62">
        <f>DA62-CZ62</f>
        <v/>
      </c>
      <c r="DC62" s="64">
        <f>IF(CZ62=0,"",DA62/CZ62)</f>
        <v/>
      </c>
      <c r="DD62" s="31" t="n"/>
      <c r="DE62" s="60" t="n"/>
      <c r="DF62" s="60" t="n"/>
      <c r="DG62" s="60">
        <f>DF62-DE62</f>
        <v/>
      </c>
      <c r="DH62" s="61">
        <f>IF(DE62=0,"",DF62/DE62)</f>
        <v/>
      </c>
      <c r="DI62" s="27" t="n"/>
      <c r="DJ62" s="62" t="n"/>
      <c r="DK62" s="62" t="n"/>
      <c r="DL62" s="62">
        <f>DK62-DJ62</f>
        <v/>
      </c>
      <c r="DM62" s="64">
        <f>IF(DJ62=0,"",DK62/DJ62)</f>
        <v/>
      </c>
      <c r="DN62" s="31" t="n"/>
      <c r="DO62" s="60" t="n"/>
    </row>
    <row r="63" outlineLevel="1" ht="15" customHeight="1">
      <c r="A63" s="24" t="n"/>
      <c r="B63" s="24" t="n"/>
      <c r="C63" s="24" t="n"/>
      <c r="D63" s="60" t="n"/>
      <c r="E63" s="60" t="n"/>
      <c r="F63" s="60">
        <f>E63-D63</f>
        <v/>
      </c>
      <c r="G63" s="61">
        <f>IF(D63=0,"",E63/D63)</f>
        <v/>
      </c>
      <c r="H63" s="27" t="n"/>
      <c r="I63" s="60" t="n"/>
      <c r="J63" s="60" t="n"/>
      <c r="K63" s="60">
        <f>J63-I63</f>
        <v/>
      </c>
      <c r="L63" s="61">
        <f>IF(I63=0,"",J63/I63)</f>
        <v/>
      </c>
      <c r="M63" s="27" t="n"/>
      <c r="N63" s="62" t="n"/>
      <c r="O63" s="62" t="n"/>
      <c r="P63" s="62">
        <f>O63-N63</f>
        <v/>
      </c>
      <c r="Q63" s="64">
        <f>IF(N63=0,"",O63/N63)</f>
        <v/>
      </c>
      <c r="R63" s="31" t="n"/>
      <c r="S63" s="60" t="n"/>
      <c r="T63" s="60" t="n"/>
      <c r="U63" s="60">
        <f>T63-S63</f>
        <v/>
      </c>
      <c r="V63" s="61">
        <f>IF(S63=0,"",T63/S63)</f>
        <v/>
      </c>
      <c r="W63" s="27" t="n"/>
      <c r="X63" s="62" t="n"/>
      <c r="Y63" s="62" t="n"/>
      <c r="Z63" s="62">
        <f>Y63-X63</f>
        <v/>
      </c>
      <c r="AA63" s="64">
        <f>IF(X63=0,"",Y63/X63)</f>
        <v/>
      </c>
      <c r="AB63" s="31" t="n"/>
      <c r="AC63" s="60" t="n"/>
      <c r="AD63" s="60" t="n"/>
      <c r="AE63" s="60">
        <f>AD63-AC63</f>
        <v/>
      </c>
      <c r="AF63" s="61">
        <f>IF(AC63=0,"",AD63/AC63)</f>
        <v/>
      </c>
      <c r="AG63" s="27" t="n"/>
      <c r="AH63" s="62" t="n"/>
      <c r="AI63" s="62" t="n"/>
      <c r="AJ63" s="62">
        <f>AI63-AH63</f>
        <v/>
      </c>
      <c r="AK63" s="64">
        <f>IF(AH63=0,"",AI63/AH63)</f>
        <v/>
      </c>
      <c r="AL63" s="31" t="n"/>
      <c r="AM63" s="60" t="n"/>
      <c r="AN63" s="60" t="n"/>
      <c r="AO63" s="60">
        <f>AN63-AM63</f>
        <v/>
      </c>
      <c r="AP63" s="61">
        <f>IF(AM63=0,"",AN63/AM63)</f>
        <v/>
      </c>
      <c r="AQ63" s="27" t="n"/>
      <c r="AR63" s="62" t="n"/>
      <c r="AS63" s="62" t="n"/>
      <c r="AT63" s="62">
        <f>AS63-AR63</f>
        <v/>
      </c>
      <c r="AU63" s="64">
        <f>IF(AR63=0,"",AS63/AR63)</f>
        <v/>
      </c>
      <c r="AV63" s="31" t="n"/>
      <c r="AW63" s="60" t="n"/>
      <c r="AX63" s="60" t="n"/>
      <c r="AY63" s="60">
        <f>AX63-AW63</f>
        <v/>
      </c>
      <c r="AZ63" s="61">
        <f>IF(AW63=0,"",AX63/AW63)</f>
        <v/>
      </c>
      <c r="BA63" s="27" t="n"/>
      <c r="BB63" s="62" t="n"/>
      <c r="BC63" s="62" t="n"/>
      <c r="BD63" s="62">
        <f>BC63-BB63</f>
        <v/>
      </c>
      <c r="BE63" s="64">
        <f>IF(BB63=0,"",BC63/BB63)</f>
        <v/>
      </c>
      <c r="BF63" s="31" t="n"/>
      <c r="BG63" s="60" t="n"/>
      <c r="BH63" s="60" t="n"/>
      <c r="BI63" s="60">
        <f>BH63-BG63</f>
        <v/>
      </c>
      <c r="BJ63" s="61">
        <f>IF(BG63=0,"",BH63/BG63)</f>
        <v/>
      </c>
      <c r="BK63" s="27" t="n"/>
      <c r="BL63" s="62" t="n"/>
      <c r="BM63" s="62" t="n"/>
      <c r="BN63" s="62">
        <f>BM63-BL63</f>
        <v/>
      </c>
      <c r="BO63" s="64">
        <f>IF(BL63=0,"",BM63/BL63)</f>
        <v/>
      </c>
      <c r="BP63" s="31" t="n"/>
      <c r="BQ63" s="60" t="n"/>
      <c r="BR63" s="60" t="n"/>
      <c r="BS63" s="60">
        <f>BR63-BQ63</f>
        <v/>
      </c>
      <c r="BT63" s="61">
        <f>IF(BQ63=0,"",BR63/BQ63)</f>
        <v/>
      </c>
      <c r="BU63" s="27" t="n"/>
      <c r="BV63" s="62" t="n"/>
      <c r="BW63" s="62" t="n"/>
      <c r="BX63" s="62">
        <f>BW63-BV63</f>
        <v/>
      </c>
      <c r="BY63" s="64">
        <f>IF(BV63=0,"",BW63/BV63)</f>
        <v/>
      </c>
      <c r="BZ63" s="31" t="n"/>
      <c r="CA63" s="60" t="n"/>
      <c r="CB63" s="60" t="n"/>
      <c r="CC63" s="60">
        <f>CB63-CA63</f>
        <v/>
      </c>
      <c r="CD63" s="61">
        <f>IF(CA63=0,"",CB63/CA63)</f>
        <v/>
      </c>
      <c r="CE63" s="27" t="n"/>
      <c r="CF63" s="62" t="n"/>
      <c r="CG63" s="62" t="n"/>
      <c r="CH63" s="62">
        <f>CG63-CF63</f>
        <v/>
      </c>
      <c r="CI63" s="64">
        <f>IF(CF63=0,"",CG63/CF63)</f>
        <v/>
      </c>
      <c r="CJ63" s="31" t="n"/>
      <c r="CK63" s="60" t="n"/>
      <c r="CL63" s="60" t="n"/>
      <c r="CM63" s="60">
        <f>CL63-CK63</f>
        <v/>
      </c>
      <c r="CN63" s="61">
        <f>IF(CK63=0,"",CL63/CK63)</f>
        <v/>
      </c>
      <c r="CO63" s="27" t="n"/>
      <c r="CP63" s="62" t="n"/>
      <c r="CQ63" s="62" t="n"/>
      <c r="CR63" s="62">
        <f>CQ63-CP63</f>
        <v/>
      </c>
      <c r="CS63" s="64">
        <f>IF(CP63=0,"",CQ63/CP63)</f>
        <v/>
      </c>
      <c r="CT63" s="31" t="n"/>
      <c r="CU63" s="60" t="n"/>
      <c r="CV63" s="60" t="n"/>
      <c r="CW63" s="60">
        <f>CV63-CU63</f>
        <v/>
      </c>
      <c r="CX63" s="61">
        <f>IF(CU63=0,"",CV63/CU63)</f>
        <v/>
      </c>
      <c r="CY63" s="27" t="n"/>
      <c r="CZ63" s="62" t="n"/>
      <c r="DA63" s="62" t="n"/>
      <c r="DB63" s="62">
        <f>DA63-CZ63</f>
        <v/>
      </c>
      <c r="DC63" s="64">
        <f>IF(CZ63=0,"",DA63/CZ63)</f>
        <v/>
      </c>
      <c r="DD63" s="31" t="n"/>
      <c r="DE63" s="60" t="n"/>
      <c r="DF63" s="60" t="n"/>
      <c r="DG63" s="60">
        <f>DF63-DE63</f>
        <v/>
      </c>
      <c r="DH63" s="61">
        <f>IF(DE63=0,"",DF63/DE63)</f>
        <v/>
      </c>
      <c r="DI63" s="27" t="n"/>
      <c r="DJ63" s="62" t="n"/>
      <c r="DK63" s="62" t="n"/>
      <c r="DL63" s="62">
        <f>DK63-DJ63</f>
        <v/>
      </c>
      <c r="DM63" s="64">
        <f>IF(DJ63=0,"",DK63/DJ63)</f>
        <v/>
      </c>
      <c r="DN63" s="31" t="n"/>
      <c r="DO63" s="60" t="n"/>
    </row>
    <row r="64" outlineLevel="1" ht="15" customHeight="1">
      <c r="A64" s="24" t="n"/>
      <c r="B64" s="24" t="n"/>
      <c r="C64" s="24" t="n"/>
      <c r="D64" s="60" t="n"/>
      <c r="E64" s="60" t="n"/>
      <c r="F64" s="60">
        <f>E64-D64</f>
        <v/>
      </c>
      <c r="G64" s="61">
        <f>IF(D64=0,"",E64/D64)</f>
        <v/>
      </c>
      <c r="H64" s="27" t="n"/>
      <c r="I64" s="60" t="n"/>
      <c r="J64" s="60" t="n"/>
      <c r="K64" s="60">
        <f>J64-I64</f>
        <v/>
      </c>
      <c r="L64" s="61">
        <f>IF(I64=0,"",J64/I64)</f>
        <v/>
      </c>
      <c r="M64" s="27" t="n"/>
      <c r="N64" s="62" t="n"/>
      <c r="O64" s="62" t="n"/>
      <c r="P64" s="62">
        <f>O64-N64</f>
        <v/>
      </c>
      <c r="Q64" s="64">
        <f>IF(N64=0,"",O64/N64)</f>
        <v/>
      </c>
      <c r="R64" s="31" t="n"/>
      <c r="S64" s="60" t="n"/>
      <c r="T64" s="60" t="n"/>
      <c r="U64" s="60">
        <f>T64-S64</f>
        <v/>
      </c>
      <c r="V64" s="61">
        <f>IF(S64=0,"",T64/S64)</f>
        <v/>
      </c>
      <c r="W64" s="27" t="n"/>
      <c r="X64" s="62" t="n"/>
      <c r="Y64" s="62" t="n"/>
      <c r="Z64" s="62">
        <f>Y64-X64</f>
        <v/>
      </c>
      <c r="AA64" s="64">
        <f>IF(X64=0,"",Y64/X64)</f>
        <v/>
      </c>
      <c r="AB64" s="31" t="n"/>
      <c r="AC64" s="60" t="n"/>
      <c r="AD64" s="60" t="n"/>
      <c r="AE64" s="60">
        <f>AD64-AC64</f>
        <v/>
      </c>
      <c r="AF64" s="61">
        <f>IF(AC64=0,"",AD64/AC64)</f>
        <v/>
      </c>
      <c r="AG64" s="27" t="n"/>
      <c r="AH64" s="62" t="n"/>
      <c r="AI64" s="62" t="n"/>
      <c r="AJ64" s="62">
        <f>AI64-AH64</f>
        <v/>
      </c>
      <c r="AK64" s="64">
        <f>IF(AH64=0,"",AI64/AH64)</f>
        <v/>
      </c>
      <c r="AL64" s="31" t="n"/>
      <c r="AM64" s="60" t="n"/>
      <c r="AN64" s="60" t="n"/>
      <c r="AO64" s="60">
        <f>AN64-AM64</f>
        <v/>
      </c>
      <c r="AP64" s="61">
        <f>IF(AM64=0,"",AN64/AM64)</f>
        <v/>
      </c>
      <c r="AQ64" s="27" t="n"/>
      <c r="AR64" s="62" t="n"/>
      <c r="AS64" s="62" t="n"/>
      <c r="AT64" s="62">
        <f>AS64-AR64</f>
        <v/>
      </c>
      <c r="AU64" s="64">
        <f>IF(AR64=0,"",AS64/AR64)</f>
        <v/>
      </c>
      <c r="AV64" s="31" t="n"/>
      <c r="AW64" s="60" t="n"/>
      <c r="AX64" s="60" t="n"/>
      <c r="AY64" s="60">
        <f>AX64-AW64</f>
        <v/>
      </c>
      <c r="AZ64" s="61">
        <f>IF(AW64=0,"",AX64/AW64)</f>
        <v/>
      </c>
      <c r="BA64" s="27" t="n"/>
      <c r="BB64" s="62" t="n"/>
      <c r="BC64" s="62" t="n"/>
      <c r="BD64" s="62">
        <f>BC64-BB64</f>
        <v/>
      </c>
      <c r="BE64" s="64">
        <f>IF(BB64=0,"",BC64/BB64)</f>
        <v/>
      </c>
      <c r="BF64" s="31" t="n"/>
      <c r="BG64" s="60" t="n"/>
      <c r="BH64" s="60" t="n"/>
      <c r="BI64" s="60">
        <f>BH64-BG64</f>
        <v/>
      </c>
      <c r="BJ64" s="61">
        <f>IF(BG64=0,"",BH64/BG64)</f>
        <v/>
      </c>
      <c r="BK64" s="27" t="n"/>
      <c r="BL64" s="62" t="n"/>
      <c r="BM64" s="62" t="n"/>
      <c r="BN64" s="62">
        <f>BM64-BL64</f>
        <v/>
      </c>
      <c r="BO64" s="64">
        <f>IF(BL64=0,"",BM64/BL64)</f>
        <v/>
      </c>
      <c r="BP64" s="31" t="n"/>
      <c r="BQ64" s="60" t="n"/>
      <c r="BR64" s="60" t="n"/>
      <c r="BS64" s="60">
        <f>BR64-BQ64</f>
        <v/>
      </c>
      <c r="BT64" s="61">
        <f>IF(BQ64=0,"",BR64/BQ64)</f>
        <v/>
      </c>
      <c r="BU64" s="27" t="n"/>
      <c r="BV64" s="62" t="n"/>
      <c r="BW64" s="62" t="n"/>
      <c r="BX64" s="62">
        <f>BW64-BV64</f>
        <v/>
      </c>
      <c r="BY64" s="64">
        <f>IF(BV64=0,"",BW64/BV64)</f>
        <v/>
      </c>
      <c r="BZ64" s="31" t="n"/>
      <c r="CA64" s="60" t="n"/>
      <c r="CB64" s="60" t="n"/>
      <c r="CC64" s="60">
        <f>CB64-CA64</f>
        <v/>
      </c>
      <c r="CD64" s="61">
        <f>IF(CA64=0,"",CB64/CA64)</f>
        <v/>
      </c>
      <c r="CE64" s="27" t="n"/>
      <c r="CF64" s="62" t="n"/>
      <c r="CG64" s="62" t="n"/>
      <c r="CH64" s="62">
        <f>CG64-CF64</f>
        <v/>
      </c>
      <c r="CI64" s="64">
        <f>IF(CF64=0,"",CG64/CF64)</f>
        <v/>
      </c>
      <c r="CJ64" s="31" t="n"/>
      <c r="CK64" s="60" t="n"/>
      <c r="CL64" s="60" t="n"/>
      <c r="CM64" s="60">
        <f>CL64-CK64</f>
        <v/>
      </c>
      <c r="CN64" s="61">
        <f>IF(CK64=0,"",CL64/CK64)</f>
        <v/>
      </c>
      <c r="CO64" s="27" t="n"/>
      <c r="CP64" s="62" t="n"/>
      <c r="CQ64" s="62" t="n"/>
      <c r="CR64" s="62">
        <f>CQ64-CP64</f>
        <v/>
      </c>
      <c r="CS64" s="64">
        <f>IF(CP64=0,"",CQ64/CP64)</f>
        <v/>
      </c>
      <c r="CT64" s="31" t="n"/>
      <c r="CU64" s="60" t="n"/>
      <c r="CV64" s="60" t="n"/>
      <c r="CW64" s="60">
        <f>CV64-CU64</f>
        <v/>
      </c>
      <c r="CX64" s="61">
        <f>IF(CU64=0,"",CV64/CU64)</f>
        <v/>
      </c>
      <c r="CY64" s="27" t="n"/>
      <c r="CZ64" s="62" t="n"/>
      <c r="DA64" s="62" t="n"/>
      <c r="DB64" s="62">
        <f>DA64-CZ64</f>
        <v/>
      </c>
      <c r="DC64" s="64">
        <f>IF(CZ64=0,"",DA64/CZ64)</f>
        <v/>
      </c>
      <c r="DD64" s="31" t="n"/>
      <c r="DE64" s="60" t="n"/>
      <c r="DF64" s="60" t="n"/>
      <c r="DG64" s="60">
        <f>DF64-DE64</f>
        <v/>
      </c>
      <c r="DH64" s="61">
        <f>IF(DE64=0,"",DF64/DE64)</f>
        <v/>
      </c>
      <c r="DI64" s="27" t="n"/>
      <c r="DJ64" s="62" t="n"/>
      <c r="DK64" s="62" t="n"/>
      <c r="DL64" s="62">
        <f>DK64-DJ64</f>
        <v/>
      </c>
      <c r="DM64" s="64">
        <f>IF(DJ64=0,"",DK64/DJ64)</f>
        <v/>
      </c>
      <c r="DN64" s="31" t="n"/>
      <c r="DO64" s="60" t="n"/>
    </row>
    <row r="65" ht="15" customHeight="1">
      <c r="A65" s="32" t="n"/>
      <c r="B65" s="32" t="n"/>
      <c r="C65" s="32" t="n"/>
      <c r="D65" s="65">
        <f>D67+D69+D71+D72</f>
        <v/>
      </c>
      <c r="E65" s="65">
        <f>E67+E69+E71+E72</f>
        <v/>
      </c>
      <c r="F65" s="65">
        <f>E65-D65</f>
        <v/>
      </c>
      <c r="G65" s="66">
        <f>IF(D65=0,"",E65/D65)</f>
        <v/>
      </c>
      <c r="H65" s="35" t="n"/>
      <c r="I65" s="65">
        <f>I67+I69+I71+I72</f>
        <v/>
      </c>
      <c r="J65" s="65">
        <f>J67+J69+J71+J72</f>
        <v/>
      </c>
      <c r="K65" s="65">
        <f>J65-I65</f>
        <v/>
      </c>
      <c r="L65" s="66">
        <f>IF(I65=0,"",J65/I65)</f>
        <v/>
      </c>
      <c r="M65" s="35" t="n"/>
      <c r="N65" s="65">
        <f>N67+N69+N71+N72</f>
        <v/>
      </c>
      <c r="O65" s="65">
        <f>O67+O69+O71+O72</f>
        <v/>
      </c>
      <c r="P65" s="65">
        <f>O65-N65</f>
        <v/>
      </c>
      <c r="Q65" s="66">
        <f>IF(N65=0,"",O65/N65)</f>
        <v/>
      </c>
      <c r="R65" s="35" t="n"/>
      <c r="S65" s="65">
        <f>S67+S69+S71+S72</f>
        <v/>
      </c>
      <c r="T65" s="65">
        <f>T67+T69+T71+T72</f>
        <v/>
      </c>
      <c r="U65" s="65">
        <f>T65-S65</f>
        <v/>
      </c>
      <c r="V65" s="66">
        <f>IF(S65=0,"",T65/S65)</f>
        <v/>
      </c>
      <c r="W65" s="35" t="n"/>
      <c r="X65" s="65">
        <f>X67+X69+X71+X72</f>
        <v/>
      </c>
      <c r="Y65" s="65">
        <f>Y67+Y69+Y71+Y72</f>
        <v/>
      </c>
      <c r="Z65" s="65">
        <f>Y65-X65</f>
        <v/>
      </c>
      <c r="AA65" s="66">
        <f>IF(X65=0,"",Y65/X65)</f>
        <v/>
      </c>
      <c r="AB65" s="35" t="n"/>
      <c r="AC65" s="65">
        <f>AC67+AC69+AC71+AC72</f>
        <v/>
      </c>
      <c r="AD65" s="65">
        <f>AD67+AD69+AD71+AD72</f>
        <v/>
      </c>
      <c r="AE65" s="65">
        <f>AD65-AC65</f>
        <v/>
      </c>
      <c r="AF65" s="66">
        <f>IF(AC65=0,"",AD65/AC65)</f>
        <v/>
      </c>
      <c r="AG65" s="35" t="n"/>
      <c r="AH65" s="65">
        <f>AH67+AH69+AH71+AH72</f>
        <v/>
      </c>
      <c r="AI65" s="65">
        <f>AI67+AI69+AI71+AI72</f>
        <v/>
      </c>
      <c r="AJ65" s="65">
        <f>AI65-AH65</f>
        <v/>
      </c>
      <c r="AK65" s="66">
        <f>IF(AH65=0,"",AI65/AH65)</f>
        <v/>
      </c>
      <c r="AL65" s="35" t="n"/>
      <c r="AM65" s="65">
        <f>AM67+AM69+AM71+AM72</f>
        <v/>
      </c>
      <c r="AN65" s="65">
        <f>AN67+AN69+AN71+AN72</f>
        <v/>
      </c>
      <c r="AO65" s="65">
        <f>AN65-AM65</f>
        <v/>
      </c>
      <c r="AP65" s="66">
        <f>IF(AM65=0,"",AN65/AM65)</f>
        <v/>
      </c>
      <c r="AQ65" s="35" t="n"/>
      <c r="AR65" s="65">
        <f>AR67+AR69+AR71+AR72</f>
        <v/>
      </c>
      <c r="AS65" s="65">
        <f>AS67+AS69+AS71+AS72</f>
        <v/>
      </c>
      <c r="AT65" s="65">
        <f>AS65-AR65</f>
        <v/>
      </c>
      <c r="AU65" s="66">
        <f>IF(AR65=0,"",AS65/AR65)</f>
        <v/>
      </c>
      <c r="AV65" s="35" t="n"/>
      <c r="AW65" s="65">
        <f>AW67+AW69+AW71+AW72</f>
        <v/>
      </c>
      <c r="AX65" s="65">
        <f>AX67+AX69+AX71+AX72</f>
        <v/>
      </c>
      <c r="AY65" s="65">
        <f>AX65-AW65</f>
        <v/>
      </c>
      <c r="AZ65" s="66">
        <f>IF(AW65=0,"",AX65/AW65)</f>
        <v/>
      </c>
      <c r="BA65" s="35" t="n"/>
      <c r="BB65" s="65">
        <f>BB67+BB69+BB71+BB72</f>
        <v/>
      </c>
      <c r="BC65" s="65">
        <f>BC67+BC69+BC71+BC72</f>
        <v/>
      </c>
      <c r="BD65" s="65">
        <f>BC65-BB65</f>
        <v/>
      </c>
      <c r="BE65" s="66">
        <f>IF(BB65=0,"",BC65/BB65)</f>
        <v/>
      </c>
      <c r="BF65" s="35" t="n"/>
      <c r="BG65" s="65">
        <f>BG67+BG69+BG71+BG72</f>
        <v/>
      </c>
      <c r="BH65" s="65">
        <f>BH67+BH69+BH71+BH72</f>
        <v/>
      </c>
      <c r="BI65" s="65">
        <f>BH65-BG65</f>
        <v/>
      </c>
      <c r="BJ65" s="66">
        <f>IF(BG65=0,"",BH65/BG65)</f>
        <v/>
      </c>
      <c r="BK65" s="35" t="n"/>
      <c r="BL65" s="65">
        <f>BL67+BL69+BL71+BL72</f>
        <v/>
      </c>
      <c r="BM65" s="65">
        <f>BM67+BM69+BM71+BM72</f>
        <v/>
      </c>
      <c r="BN65" s="65">
        <f>BM65-BL65</f>
        <v/>
      </c>
      <c r="BO65" s="66">
        <f>IF(BL65=0,"",BM65/BL65)</f>
        <v/>
      </c>
      <c r="BP65" s="35" t="n"/>
      <c r="BQ65" s="65">
        <f>BQ67+BQ69+BQ71+BQ72</f>
        <v/>
      </c>
      <c r="BR65" s="65">
        <f>BR67+BR69+BR71+BR72</f>
        <v/>
      </c>
      <c r="BS65" s="65">
        <f>BR65-BQ65</f>
        <v/>
      </c>
      <c r="BT65" s="66">
        <f>IF(BQ65=0,"",BR65/BQ65)</f>
        <v/>
      </c>
      <c r="BU65" s="35" t="n"/>
      <c r="BV65" s="65">
        <f>BV67+BV69+BV71+BV72</f>
        <v/>
      </c>
      <c r="BW65" s="65">
        <f>BW67+BW69+BW71+BW72</f>
        <v/>
      </c>
      <c r="BX65" s="65">
        <f>BW65-BV65</f>
        <v/>
      </c>
      <c r="BY65" s="66">
        <f>IF(BV65=0,"",BW65/BV65)</f>
        <v/>
      </c>
      <c r="BZ65" s="35" t="n"/>
      <c r="CA65" s="65">
        <f>CA67+CA69+CA71+CA72</f>
        <v/>
      </c>
      <c r="CB65" s="65">
        <f>CB67+CB69+CB71+CB72</f>
        <v/>
      </c>
      <c r="CC65" s="65">
        <f>CB65-CA65</f>
        <v/>
      </c>
      <c r="CD65" s="66">
        <f>IF(CA65=0,"",CB65/CA65)</f>
        <v/>
      </c>
      <c r="CE65" s="35" t="n"/>
      <c r="CF65" s="65">
        <f>CF67+CF69+CF71+CF72</f>
        <v/>
      </c>
      <c r="CG65" s="65">
        <f>CG67+CG69+CG71+CG72</f>
        <v/>
      </c>
      <c r="CH65" s="65">
        <f>CG65-CF65</f>
        <v/>
      </c>
      <c r="CI65" s="66">
        <f>IF(CF65=0,"",CG65/CF65)</f>
        <v/>
      </c>
      <c r="CJ65" s="35" t="n"/>
      <c r="CK65" s="65">
        <f>CK67+CK69+CK71+CK72</f>
        <v/>
      </c>
      <c r="CL65" s="65">
        <f>CL67+CL69+CL71+CL72</f>
        <v/>
      </c>
      <c r="CM65" s="65">
        <f>CL65-CK65</f>
        <v/>
      </c>
      <c r="CN65" s="66">
        <f>IF(CK65=0,"",CL65/CK65)</f>
        <v/>
      </c>
      <c r="CO65" s="35" t="n"/>
      <c r="CP65" s="65">
        <f>CP67+CP69+CP71+CP72</f>
        <v/>
      </c>
      <c r="CQ65" s="65">
        <f>CQ67+CQ69+CQ71+CQ72</f>
        <v/>
      </c>
      <c r="CR65" s="65">
        <f>CQ65-CP65</f>
        <v/>
      </c>
      <c r="CS65" s="66">
        <f>IF(CP65=0,"",CQ65/CP65)</f>
        <v/>
      </c>
      <c r="CT65" s="35" t="n"/>
      <c r="CU65" s="65">
        <f>CU67+CU69+CU71+CU72</f>
        <v/>
      </c>
      <c r="CV65" s="65">
        <f>CV67+CV69+CV71+CV72</f>
        <v/>
      </c>
      <c r="CW65" s="65">
        <f>CV65-CU65</f>
        <v/>
      </c>
      <c r="CX65" s="66">
        <f>IF(CU65=0,"",CV65/CU65)</f>
        <v/>
      </c>
      <c r="CY65" s="35" t="n"/>
      <c r="CZ65" s="65">
        <f>CZ67+CZ69+CZ71+CZ72</f>
        <v/>
      </c>
      <c r="DA65" s="65">
        <f>DA67+DA69+DA71+DA72</f>
        <v/>
      </c>
      <c r="DB65" s="65">
        <f>DA65-CZ65</f>
        <v/>
      </c>
      <c r="DC65" s="66">
        <f>IF(CZ65=0,"",DA65/CZ65)</f>
        <v/>
      </c>
      <c r="DD65" s="35" t="n"/>
      <c r="DE65" s="65">
        <f>DE67+DE69+DE71+DE72</f>
        <v/>
      </c>
      <c r="DF65" s="65">
        <f>DF67+DF69+DF71+DF72</f>
        <v/>
      </c>
      <c r="DG65" s="65">
        <f>DF65-DE65</f>
        <v/>
      </c>
      <c r="DH65" s="66">
        <f>IF(DE65=0,"",DF65/DE65)</f>
        <v/>
      </c>
      <c r="DI65" s="35" t="n"/>
      <c r="DJ65" s="65">
        <f>DJ67+DJ69+DJ71+DJ72</f>
        <v/>
      </c>
      <c r="DK65" s="65">
        <f>DK67+DK69+DK71+DK72</f>
        <v/>
      </c>
      <c r="DL65" s="65">
        <f>DK65-DJ65</f>
        <v/>
      </c>
      <c r="DM65" s="66">
        <f>IF(DJ65=0,"",DK65/DJ65)</f>
        <v/>
      </c>
      <c r="DN65" s="35" t="n"/>
      <c r="DO65" s="65">
        <f>DO67+DO69+DO71+DO72</f>
        <v/>
      </c>
    </row>
    <row r="66" ht="15" customHeight="1">
      <c r="A66" s="19" t="n"/>
      <c r="B66" s="20" t="n"/>
      <c r="C66" s="19" t="n"/>
      <c r="D66" s="58">
        <f>D67</f>
        <v/>
      </c>
      <c r="E66" s="58">
        <f>E67</f>
        <v/>
      </c>
      <c r="F66" s="58">
        <f>E66-D66</f>
        <v/>
      </c>
      <c r="G66" s="59">
        <f>IF(D66=0,"",E66/D66)</f>
        <v/>
      </c>
      <c r="H66" s="23" t="n"/>
      <c r="I66" s="58">
        <f>I67</f>
        <v/>
      </c>
      <c r="J66" s="58">
        <f>J67</f>
        <v/>
      </c>
      <c r="K66" s="58">
        <f>J66-I66</f>
        <v/>
      </c>
      <c r="L66" s="59">
        <f>IF(I66=0,"",J66/I66)</f>
        <v/>
      </c>
      <c r="M66" s="23" t="n"/>
      <c r="N66" s="58">
        <f>N67</f>
        <v/>
      </c>
      <c r="O66" s="58">
        <f>O67</f>
        <v/>
      </c>
      <c r="P66" s="58">
        <f>O66-N66</f>
        <v/>
      </c>
      <c r="Q66" s="59">
        <f>IF(N66=0,"",O66/N66)</f>
        <v/>
      </c>
      <c r="R66" s="23" t="n"/>
      <c r="S66" s="58">
        <f>S67</f>
        <v/>
      </c>
      <c r="T66" s="58">
        <f>T67</f>
        <v/>
      </c>
      <c r="U66" s="58">
        <f>T66-S66</f>
        <v/>
      </c>
      <c r="V66" s="59">
        <f>IF(S66=0,"",T66/S66)</f>
        <v/>
      </c>
      <c r="W66" s="23" t="n"/>
      <c r="X66" s="58">
        <f>X67</f>
        <v/>
      </c>
      <c r="Y66" s="58">
        <f>Y67</f>
        <v/>
      </c>
      <c r="Z66" s="58">
        <f>Y66-X66</f>
        <v/>
      </c>
      <c r="AA66" s="59">
        <f>IF(X66=0,"",Y66/X66)</f>
        <v/>
      </c>
      <c r="AB66" s="23" t="n"/>
      <c r="AC66" s="58">
        <f>AC67</f>
        <v/>
      </c>
      <c r="AD66" s="58">
        <f>AD67</f>
        <v/>
      </c>
      <c r="AE66" s="58">
        <f>AD66-AC66</f>
        <v/>
      </c>
      <c r="AF66" s="59">
        <f>IF(AC66=0,"",AD66/AC66)</f>
        <v/>
      </c>
      <c r="AG66" s="23" t="n"/>
      <c r="AH66" s="58">
        <f>AH67</f>
        <v/>
      </c>
      <c r="AI66" s="58">
        <f>AI67</f>
        <v/>
      </c>
      <c r="AJ66" s="58">
        <f>AI66-AH66</f>
        <v/>
      </c>
      <c r="AK66" s="59">
        <f>IF(AH66=0,"",AI66/AH66)</f>
        <v/>
      </c>
      <c r="AL66" s="23" t="n"/>
      <c r="AM66" s="58">
        <f>AM67</f>
        <v/>
      </c>
      <c r="AN66" s="58">
        <f>AN67</f>
        <v/>
      </c>
      <c r="AO66" s="58">
        <f>AN66-AM66</f>
        <v/>
      </c>
      <c r="AP66" s="59">
        <f>IF(AM66=0,"",AN66/AM66)</f>
        <v/>
      </c>
      <c r="AQ66" s="23" t="n"/>
      <c r="AR66" s="58">
        <f>AR67</f>
        <v/>
      </c>
      <c r="AS66" s="58">
        <f>AS67</f>
        <v/>
      </c>
      <c r="AT66" s="58">
        <f>AS66-AR66</f>
        <v/>
      </c>
      <c r="AU66" s="59">
        <f>IF(AR66=0,"",AS66/AR66)</f>
        <v/>
      </c>
      <c r="AV66" s="23" t="n"/>
      <c r="AW66" s="58">
        <f>AW67</f>
        <v/>
      </c>
      <c r="AX66" s="58">
        <f>AX67</f>
        <v/>
      </c>
      <c r="AY66" s="58">
        <f>AX66-AW66</f>
        <v/>
      </c>
      <c r="AZ66" s="59">
        <f>IF(AW66=0,"",AX66/AW66)</f>
        <v/>
      </c>
      <c r="BA66" s="23" t="n"/>
      <c r="BB66" s="58">
        <f>BB67</f>
        <v/>
      </c>
      <c r="BC66" s="58">
        <f>BC67</f>
        <v/>
      </c>
      <c r="BD66" s="58">
        <f>BC66-BB66</f>
        <v/>
      </c>
      <c r="BE66" s="59">
        <f>IF(BB66=0,"",BC66/BB66)</f>
        <v/>
      </c>
      <c r="BF66" s="23" t="n"/>
      <c r="BG66" s="58">
        <f>BG67</f>
        <v/>
      </c>
      <c r="BH66" s="58">
        <f>BH67</f>
        <v/>
      </c>
      <c r="BI66" s="58">
        <f>BH66-BG66</f>
        <v/>
      </c>
      <c r="BJ66" s="59">
        <f>IF(BG66=0,"",BH66/BG66)</f>
        <v/>
      </c>
      <c r="BK66" s="23" t="n"/>
      <c r="BL66" s="58">
        <f>BL67</f>
        <v/>
      </c>
      <c r="BM66" s="58">
        <f>BM67</f>
        <v/>
      </c>
      <c r="BN66" s="58">
        <f>BM66-BL66</f>
        <v/>
      </c>
      <c r="BO66" s="59">
        <f>IF(BL66=0,"",BM66/BL66)</f>
        <v/>
      </c>
      <c r="BP66" s="23" t="n"/>
      <c r="BQ66" s="58">
        <f>BQ67</f>
        <v/>
      </c>
      <c r="BR66" s="58">
        <f>BR67</f>
        <v/>
      </c>
      <c r="BS66" s="58">
        <f>BR66-BQ66</f>
        <v/>
      </c>
      <c r="BT66" s="59">
        <f>IF(BQ66=0,"",BR66/BQ66)</f>
        <v/>
      </c>
      <c r="BU66" s="23" t="n"/>
      <c r="BV66" s="58">
        <f>BV67</f>
        <v/>
      </c>
      <c r="BW66" s="58">
        <f>BW67</f>
        <v/>
      </c>
      <c r="BX66" s="58">
        <f>BW66-BV66</f>
        <v/>
      </c>
      <c r="BY66" s="59">
        <f>IF(BV66=0,"",BW66/BV66)</f>
        <v/>
      </c>
      <c r="BZ66" s="23" t="n"/>
      <c r="CA66" s="58">
        <f>CA67</f>
        <v/>
      </c>
      <c r="CB66" s="58">
        <f>CB67</f>
        <v/>
      </c>
      <c r="CC66" s="58">
        <f>CB66-CA66</f>
        <v/>
      </c>
      <c r="CD66" s="59">
        <f>IF(CA66=0,"",CB66/CA66)</f>
        <v/>
      </c>
      <c r="CE66" s="23" t="n"/>
      <c r="CF66" s="58">
        <f>CF67</f>
        <v/>
      </c>
      <c r="CG66" s="58">
        <f>CG67</f>
        <v/>
      </c>
      <c r="CH66" s="58">
        <f>CG66-CF66</f>
        <v/>
      </c>
      <c r="CI66" s="59">
        <f>IF(CF66=0,"",CG66/CF66)</f>
        <v/>
      </c>
      <c r="CJ66" s="23" t="n"/>
      <c r="CK66" s="58">
        <f>CK67</f>
        <v/>
      </c>
      <c r="CL66" s="58">
        <f>CL67</f>
        <v/>
      </c>
      <c r="CM66" s="58">
        <f>CL66-CK66</f>
        <v/>
      </c>
      <c r="CN66" s="59">
        <f>IF(CK66=0,"",CL66/CK66)</f>
        <v/>
      </c>
      <c r="CO66" s="23" t="n"/>
      <c r="CP66" s="58">
        <f>CP67</f>
        <v/>
      </c>
      <c r="CQ66" s="58">
        <f>CQ67</f>
        <v/>
      </c>
      <c r="CR66" s="58">
        <f>CQ66-CP66</f>
        <v/>
      </c>
      <c r="CS66" s="59">
        <f>IF(CP66=0,"",CQ66/CP66)</f>
        <v/>
      </c>
      <c r="CT66" s="23" t="n"/>
      <c r="CU66" s="58">
        <f>CU67</f>
        <v/>
      </c>
      <c r="CV66" s="58">
        <f>CV67</f>
        <v/>
      </c>
      <c r="CW66" s="58">
        <f>CV66-CU66</f>
        <v/>
      </c>
      <c r="CX66" s="59">
        <f>IF(CU66=0,"",CV66/CU66)</f>
        <v/>
      </c>
      <c r="CY66" s="23" t="n"/>
      <c r="CZ66" s="58">
        <f>CZ67</f>
        <v/>
      </c>
      <c r="DA66" s="58">
        <f>DA67</f>
        <v/>
      </c>
      <c r="DB66" s="58">
        <f>DA66-CZ66</f>
        <v/>
      </c>
      <c r="DC66" s="59">
        <f>IF(CZ66=0,"",DA66/CZ66)</f>
        <v/>
      </c>
      <c r="DD66" s="23" t="n"/>
      <c r="DE66" s="58">
        <f>DE67</f>
        <v/>
      </c>
      <c r="DF66" s="58">
        <f>DF67</f>
        <v/>
      </c>
      <c r="DG66" s="58">
        <f>DF66-DE66</f>
        <v/>
      </c>
      <c r="DH66" s="59">
        <f>IF(DE66=0,"",DF66/DE66)</f>
        <v/>
      </c>
      <c r="DI66" s="23" t="n"/>
      <c r="DJ66" s="58">
        <f>DJ67</f>
        <v/>
      </c>
      <c r="DK66" s="58">
        <f>DK67</f>
        <v/>
      </c>
      <c r="DL66" s="58">
        <f>DK66-DJ66</f>
        <v/>
      </c>
      <c r="DM66" s="59">
        <f>IF(DJ66=0,"",DK66/DJ66)</f>
        <v/>
      </c>
      <c r="DN66" s="23" t="n"/>
      <c r="DO66" s="58">
        <f>DO67</f>
        <v/>
      </c>
    </row>
    <row r="67" outlineLevel="1" ht="15" customHeight="1">
      <c r="A67" s="24" t="n"/>
      <c r="B67" s="24" t="n"/>
      <c r="C67" s="24" t="n"/>
      <c r="D67" s="60" t="n"/>
      <c r="E67" s="60" t="n"/>
      <c r="F67" s="60">
        <f>E67-D67</f>
        <v/>
      </c>
      <c r="G67" s="61">
        <f>IF(D67=0,"",E67/D67)</f>
        <v/>
      </c>
      <c r="H67" s="27" t="n"/>
      <c r="I67" s="60" t="n"/>
      <c r="J67" s="60" t="n"/>
      <c r="K67" s="60">
        <f>J67-I67</f>
        <v/>
      </c>
      <c r="L67" s="61">
        <f>IF(I67=0,"",J67/I67)</f>
        <v/>
      </c>
      <c r="M67" s="27" t="n"/>
      <c r="N67" s="62" t="n"/>
      <c r="O67" s="62" t="n"/>
      <c r="P67" s="62">
        <f>O67-N67</f>
        <v/>
      </c>
      <c r="Q67" s="64">
        <f>IF(N67=0,"",O67/N67)</f>
        <v/>
      </c>
      <c r="R67" s="31" t="n"/>
      <c r="S67" s="60" t="n"/>
      <c r="T67" s="60" t="n"/>
      <c r="U67" s="60">
        <f>T67-S67</f>
        <v/>
      </c>
      <c r="V67" s="61">
        <f>IF(S67=0,"",T67/S67)</f>
        <v/>
      </c>
      <c r="W67" s="27" t="n"/>
      <c r="X67" s="62" t="n"/>
      <c r="Y67" s="62" t="n"/>
      <c r="Z67" s="63">
        <f>Y67-X67</f>
        <v/>
      </c>
      <c r="AA67" s="64">
        <f>IF(X67=0,"",Y67/X67)</f>
        <v/>
      </c>
      <c r="AB67" s="31" t="n"/>
      <c r="AC67" s="60" t="n"/>
      <c r="AD67" s="60" t="n"/>
      <c r="AE67" s="60">
        <f>AD67-AC67</f>
        <v/>
      </c>
      <c r="AF67" s="61">
        <f>IF(AC67=0,"",AD67/AC67)</f>
        <v/>
      </c>
      <c r="AG67" s="27" t="n"/>
      <c r="AH67" s="62" t="n"/>
      <c r="AI67" s="62" t="n"/>
      <c r="AJ67" s="62">
        <f>AI67-AH67</f>
        <v/>
      </c>
      <c r="AK67" s="64">
        <f>IF(AH67=0,"",AI67/AH67)</f>
        <v/>
      </c>
      <c r="AL67" s="31" t="n"/>
      <c r="AM67" s="60" t="n"/>
      <c r="AN67" s="60" t="n"/>
      <c r="AO67" s="60">
        <f>AN67-AM67</f>
        <v/>
      </c>
      <c r="AP67" s="61">
        <f>IF(AM67=0,"",AN67/AM67)</f>
        <v/>
      </c>
      <c r="AQ67" s="27" t="n"/>
      <c r="AR67" s="62" t="n"/>
      <c r="AS67" s="62" t="n"/>
      <c r="AT67" s="62">
        <f>AS67-AR67</f>
        <v/>
      </c>
      <c r="AU67" s="64">
        <f>IF(AR67=0,"",AS67/AR67)</f>
        <v/>
      </c>
      <c r="AV67" s="31" t="n"/>
      <c r="AW67" s="60" t="n"/>
      <c r="AX67" s="60" t="n"/>
      <c r="AY67" s="60">
        <f>AX67-AW67</f>
        <v/>
      </c>
      <c r="AZ67" s="61">
        <f>IF(AW67=0,"",AX67/AW67)</f>
        <v/>
      </c>
      <c r="BA67" s="27" t="n"/>
      <c r="BB67" s="62" t="n"/>
      <c r="BC67" s="62" t="n"/>
      <c r="BD67" s="62">
        <f>BC67-BB67</f>
        <v/>
      </c>
      <c r="BE67" s="64">
        <f>IF(BB67=0,"",BC67/BB67)</f>
        <v/>
      </c>
      <c r="BF67" s="31" t="n"/>
      <c r="BG67" s="60" t="n"/>
      <c r="BH67" s="60" t="n"/>
      <c r="BI67" s="60">
        <f>BH67-BG67</f>
        <v/>
      </c>
      <c r="BJ67" s="61">
        <f>IF(BG67=0,"",BH67/BG67)</f>
        <v/>
      </c>
      <c r="BK67" s="27" t="n"/>
      <c r="BL67" s="62" t="n"/>
      <c r="BM67" s="62" t="n"/>
      <c r="BN67" s="62">
        <f>BM67-BL67</f>
        <v/>
      </c>
      <c r="BO67" s="64">
        <f>IF(BL67=0,"",BM67/BL67)</f>
        <v/>
      </c>
      <c r="BP67" s="31" t="n"/>
      <c r="BQ67" s="60" t="n"/>
      <c r="BR67" s="60" t="n"/>
      <c r="BS67" s="60">
        <f>BR67-BQ67</f>
        <v/>
      </c>
      <c r="BT67" s="61">
        <f>IF(BQ67=0,"",BR67/BQ67)</f>
        <v/>
      </c>
      <c r="BU67" s="27" t="n"/>
      <c r="BV67" s="62" t="n"/>
      <c r="BW67" s="62" t="n"/>
      <c r="BX67" s="62">
        <f>BW67-BV67</f>
        <v/>
      </c>
      <c r="BY67" s="64">
        <f>IF(BV67=0,"",BW67/BV67)</f>
        <v/>
      </c>
      <c r="BZ67" s="31" t="n"/>
      <c r="CA67" s="60" t="n"/>
      <c r="CB67" s="60" t="n"/>
      <c r="CC67" s="60">
        <f>CB67-CA67</f>
        <v/>
      </c>
      <c r="CD67" s="61">
        <f>IF(CA67=0,"",CB67/CA67)</f>
        <v/>
      </c>
      <c r="CE67" s="27" t="n"/>
      <c r="CF67" s="62" t="n"/>
      <c r="CG67" s="62" t="n"/>
      <c r="CH67" s="62">
        <f>CG67-CF67</f>
        <v/>
      </c>
      <c r="CI67" s="64">
        <f>IF(CF67=0,"",CG67/CF67)</f>
        <v/>
      </c>
      <c r="CJ67" s="31" t="n"/>
      <c r="CK67" s="60" t="n"/>
      <c r="CL67" s="60" t="n"/>
      <c r="CM67" s="60">
        <f>CL67-CK67</f>
        <v/>
      </c>
      <c r="CN67" s="61">
        <f>IF(CK67=0,"",CL67/CK67)</f>
        <v/>
      </c>
      <c r="CO67" s="27" t="n"/>
      <c r="CP67" s="62" t="n"/>
      <c r="CQ67" s="62" t="n"/>
      <c r="CR67" s="62">
        <f>CQ67-CP67</f>
        <v/>
      </c>
      <c r="CS67" s="64">
        <f>IF(CP67=0,"",CQ67/CP67)</f>
        <v/>
      </c>
      <c r="CT67" s="31" t="n"/>
      <c r="CU67" s="60" t="n"/>
      <c r="CV67" s="60" t="n"/>
      <c r="CW67" s="60">
        <f>CV67-CU67</f>
        <v/>
      </c>
      <c r="CX67" s="61">
        <f>IF(CU67=0,"",CV67/CU67)</f>
        <v/>
      </c>
      <c r="CY67" s="27" t="n"/>
      <c r="CZ67" s="62" t="n"/>
      <c r="DA67" s="62" t="n"/>
      <c r="DB67" s="62">
        <f>DA67-CZ67</f>
        <v/>
      </c>
      <c r="DC67" s="64">
        <f>IF(CZ67=0,"",DA67/CZ67)</f>
        <v/>
      </c>
      <c r="DD67" s="31" t="n"/>
      <c r="DE67" s="60" t="n"/>
      <c r="DF67" s="60" t="n"/>
      <c r="DG67" s="60">
        <f>DF67-DE67</f>
        <v/>
      </c>
      <c r="DH67" s="61">
        <f>IF(DE67=0,"",DF67/DE67)</f>
        <v/>
      </c>
      <c r="DI67" s="27" t="n"/>
      <c r="DJ67" s="62" t="n"/>
      <c r="DK67" s="62" t="n"/>
      <c r="DL67" s="62">
        <f>DK67-DJ67</f>
        <v/>
      </c>
      <c r="DM67" s="64">
        <f>IF(DJ67=0,"",DK67/DJ67)</f>
        <v/>
      </c>
      <c r="DN67" s="31" t="n"/>
      <c r="DO67" s="60" t="n"/>
    </row>
    <row r="68" ht="15" customHeight="1">
      <c r="A68" s="19" t="n"/>
      <c r="B68" s="20" t="n"/>
      <c r="C68" s="19" t="n"/>
      <c r="D68" s="58">
        <f>D69</f>
        <v/>
      </c>
      <c r="E68" s="58">
        <f>E69</f>
        <v/>
      </c>
      <c r="F68" s="58">
        <f>E68-D68</f>
        <v/>
      </c>
      <c r="G68" s="59">
        <f>IF(D68=0,"",E68/D68)</f>
        <v/>
      </c>
      <c r="H68" s="23" t="n"/>
      <c r="I68" s="58">
        <f>I69</f>
        <v/>
      </c>
      <c r="J68" s="58">
        <f>J69</f>
        <v/>
      </c>
      <c r="K68" s="58">
        <f>J68-I68</f>
        <v/>
      </c>
      <c r="L68" s="59">
        <f>IF(I68=0,"",J68/I68)</f>
        <v/>
      </c>
      <c r="M68" s="23" t="n"/>
      <c r="N68" s="58">
        <f>N69</f>
        <v/>
      </c>
      <c r="O68" s="58">
        <f>O69</f>
        <v/>
      </c>
      <c r="P68" s="58">
        <f>O68-N68</f>
        <v/>
      </c>
      <c r="Q68" s="59">
        <f>IF(N68=0,"",O68/N68)</f>
        <v/>
      </c>
      <c r="R68" s="23" t="n"/>
      <c r="S68" s="58">
        <f>S69</f>
        <v/>
      </c>
      <c r="T68" s="58">
        <f>T69</f>
        <v/>
      </c>
      <c r="U68" s="58">
        <f>T68-S68</f>
        <v/>
      </c>
      <c r="V68" s="59">
        <f>IF(S68=0,"",T68/S68)</f>
        <v/>
      </c>
      <c r="W68" s="23" t="n"/>
      <c r="X68" s="58">
        <f>X69</f>
        <v/>
      </c>
      <c r="Y68" s="58">
        <f>Y69</f>
        <v/>
      </c>
      <c r="Z68" s="58">
        <f>Y68-X68</f>
        <v/>
      </c>
      <c r="AA68" s="59">
        <f>IF(X68=0,"",Y68/X68)</f>
        <v/>
      </c>
      <c r="AB68" s="23" t="n"/>
      <c r="AC68" s="58">
        <f>AC69</f>
        <v/>
      </c>
      <c r="AD68" s="58">
        <f>AD69</f>
        <v/>
      </c>
      <c r="AE68" s="58">
        <f>AD68-AC68</f>
        <v/>
      </c>
      <c r="AF68" s="59">
        <f>IF(AC68=0,"",AD68/AC68)</f>
        <v/>
      </c>
      <c r="AG68" s="23" t="n"/>
      <c r="AH68" s="58">
        <f>AH69</f>
        <v/>
      </c>
      <c r="AI68" s="58">
        <f>AI69</f>
        <v/>
      </c>
      <c r="AJ68" s="58">
        <f>AI68-AH68</f>
        <v/>
      </c>
      <c r="AK68" s="59">
        <f>IF(AH68=0,"",AI68/AH68)</f>
        <v/>
      </c>
      <c r="AL68" s="23" t="n"/>
      <c r="AM68" s="58">
        <f>AM69</f>
        <v/>
      </c>
      <c r="AN68" s="58">
        <f>AN69</f>
        <v/>
      </c>
      <c r="AO68" s="58">
        <f>AN68-AM68</f>
        <v/>
      </c>
      <c r="AP68" s="59">
        <f>IF(AM68=0,"",AN68/AM68)</f>
        <v/>
      </c>
      <c r="AQ68" s="23" t="n"/>
      <c r="AR68" s="58">
        <f>AR69</f>
        <v/>
      </c>
      <c r="AS68" s="58">
        <f>AS69</f>
        <v/>
      </c>
      <c r="AT68" s="58">
        <f>AS68-AR68</f>
        <v/>
      </c>
      <c r="AU68" s="59">
        <f>IF(AR68=0,"",AS68/AR68)</f>
        <v/>
      </c>
      <c r="AV68" s="23" t="n"/>
      <c r="AW68" s="58">
        <f>AW69</f>
        <v/>
      </c>
      <c r="AX68" s="58">
        <f>AX69</f>
        <v/>
      </c>
      <c r="AY68" s="58">
        <f>AX68-AW68</f>
        <v/>
      </c>
      <c r="AZ68" s="59">
        <f>IF(AW68=0,"",AX68/AW68)</f>
        <v/>
      </c>
      <c r="BA68" s="23" t="n"/>
      <c r="BB68" s="58">
        <f>BB69</f>
        <v/>
      </c>
      <c r="BC68" s="58">
        <f>BC69</f>
        <v/>
      </c>
      <c r="BD68" s="58">
        <f>BC68-BB68</f>
        <v/>
      </c>
      <c r="BE68" s="59">
        <f>IF(BB68=0,"",BC68/BB68)</f>
        <v/>
      </c>
      <c r="BF68" s="23" t="n"/>
      <c r="BG68" s="58">
        <f>BG69</f>
        <v/>
      </c>
      <c r="BH68" s="58">
        <f>BH69</f>
        <v/>
      </c>
      <c r="BI68" s="58">
        <f>BH68-BG68</f>
        <v/>
      </c>
      <c r="BJ68" s="59">
        <f>IF(BG68=0,"",BH68/BG68)</f>
        <v/>
      </c>
      <c r="BK68" s="23" t="n"/>
      <c r="BL68" s="58">
        <f>BL69</f>
        <v/>
      </c>
      <c r="BM68" s="58">
        <f>BM69</f>
        <v/>
      </c>
      <c r="BN68" s="58">
        <f>BM68-BL68</f>
        <v/>
      </c>
      <c r="BO68" s="59">
        <f>IF(BL68=0,"",BM68/BL68)</f>
        <v/>
      </c>
      <c r="BP68" s="23" t="n"/>
      <c r="BQ68" s="58">
        <f>BQ69</f>
        <v/>
      </c>
      <c r="BR68" s="58">
        <f>BR69</f>
        <v/>
      </c>
      <c r="BS68" s="58">
        <f>BR68-BQ68</f>
        <v/>
      </c>
      <c r="BT68" s="59">
        <f>IF(BQ68=0,"",BR68/BQ68)</f>
        <v/>
      </c>
      <c r="BU68" s="23" t="n"/>
      <c r="BV68" s="58">
        <f>BV69</f>
        <v/>
      </c>
      <c r="BW68" s="58">
        <f>BW69</f>
        <v/>
      </c>
      <c r="BX68" s="58">
        <f>BW68-BV68</f>
        <v/>
      </c>
      <c r="BY68" s="59">
        <f>IF(BV68=0,"",BW68/BV68)</f>
        <v/>
      </c>
      <c r="BZ68" s="23" t="n"/>
      <c r="CA68" s="58">
        <f>CA69</f>
        <v/>
      </c>
      <c r="CB68" s="58">
        <f>CB69</f>
        <v/>
      </c>
      <c r="CC68" s="58">
        <f>CB68-CA68</f>
        <v/>
      </c>
      <c r="CD68" s="59">
        <f>IF(CA68=0,"",CB68/CA68)</f>
        <v/>
      </c>
      <c r="CE68" s="23" t="n"/>
      <c r="CF68" s="58">
        <f>CF69</f>
        <v/>
      </c>
      <c r="CG68" s="58">
        <f>CG69</f>
        <v/>
      </c>
      <c r="CH68" s="58">
        <f>CG68-CF68</f>
        <v/>
      </c>
      <c r="CI68" s="59">
        <f>IF(CF68=0,"",CG68/CF68)</f>
        <v/>
      </c>
      <c r="CJ68" s="23" t="n"/>
      <c r="CK68" s="58">
        <f>CK69</f>
        <v/>
      </c>
      <c r="CL68" s="58">
        <f>CL69</f>
        <v/>
      </c>
      <c r="CM68" s="58">
        <f>CL68-CK68</f>
        <v/>
      </c>
      <c r="CN68" s="59">
        <f>IF(CK68=0,"",CL68/CK68)</f>
        <v/>
      </c>
      <c r="CO68" s="23" t="n"/>
      <c r="CP68" s="58">
        <f>CP69</f>
        <v/>
      </c>
      <c r="CQ68" s="58">
        <f>CQ69</f>
        <v/>
      </c>
      <c r="CR68" s="58">
        <f>CQ68-CP68</f>
        <v/>
      </c>
      <c r="CS68" s="59">
        <f>IF(CP68=0,"",CQ68/CP68)</f>
        <v/>
      </c>
      <c r="CT68" s="23" t="n"/>
      <c r="CU68" s="58">
        <f>CU69</f>
        <v/>
      </c>
      <c r="CV68" s="58">
        <f>CV69</f>
        <v/>
      </c>
      <c r="CW68" s="58">
        <f>CV68-CU68</f>
        <v/>
      </c>
      <c r="CX68" s="59">
        <f>IF(CU68=0,"",CV68/CU68)</f>
        <v/>
      </c>
      <c r="CY68" s="23" t="n"/>
      <c r="CZ68" s="58">
        <f>CZ69</f>
        <v/>
      </c>
      <c r="DA68" s="58">
        <f>DA69</f>
        <v/>
      </c>
      <c r="DB68" s="58">
        <f>DA68-CZ68</f>
        <v/>
      </c>
      <c r="DC68" s="59">
        <f>IF(CZ68=0,"",DA68/CZ68)</f>
        <v/>
      </c>
      <c r="DD68" s="23" t="n"/>
      <c r="DE68" s="58">
        <f>DE69</f>
        <v/>
      </c>
      <c r="DF68" s="58">
        <f>DF69</f>
        <v/>
      </c>
      <c r="DG68" s="58">
        <f>DF68-DE68</f>
        <v/>
      </c>
      <c r="DH68" s="59">
        <f>IF(DE68=0,"",DF68/DE68)</f>
        <v/>
      </c>
      <c r="DI68" s="23" t="n"/>
      <c r="DJ68" s="58">
        <f>DJ69</f>
        <v/>
      </c>
      <c r="DK68" s="58">
        <f>DK69</f>
        <v/>
      </c>
      <c r="DL68" s="58">
        <f>DK68-DJ68</f>
        <v/>
      </c>
      <c r="DM68" s="59">
        <f>IF(DJ68=0,"",DK68/DJ68)</f>
        <v/>
      </c>
      <c r="DN68" s="23" t="n"/>
      <c r="DO68" s="58">
        <f>DO69</f>
        <v/>
      </c>
    </row>
    <row r="69" outlineLevel="1" ht="15" customHeight="1">
      <c r="A69" s="24" t="n"/>
      <c r="B69" s="24" t="n"/>
      <c r="C69" s="24" t="n"/>
      <c r="D69" s="60" t="n"/>
      <c r="E69" s="60" t="n"/>
      <c r="F69" s="60">
        <f>E69-D69</f>
        <v/>
      </c>
      <c r="G69" s="61">
        <f>IF(D69=0,"",E69/D69)</f>
        <v/>
      </c>
      <c r="H69" s="27" t="n"/>
      <c r="I69" s="60" t="n"/>
      <c r="J69" s="60" t="n"/>
      <c r="K69" s="60">
        <f>J69-I69</f>
        <v/>
      </c>
      <c r="L69" s="61">
        <f>IF(I69=0,"",J69/I69)</f>
        <v/>
      </c>
      <c r="M69" s="27" t="n"/>
      <c r="N69" s="62" t="n"/>
      <c r="O69" s="62" t="n"/>
      <c r="P69" s="62">
        <f>O69-N69</f>
        <v/>
      </c>
      <c r="Q69" s="64">
        <f>IF(N69=0,"",O69/N69)</f>
        <v/>
      </c>
      <c r="R69" s="31" t="n"/>
      <c r="S69" s="60" t="n"/>
      <c r="T69" s="60" t="n"/>
      <c r="U69" s="60">
        <f>T69-S69</f>
        <v/>
      </c>
      <c r="V69" s="61">
        <f>IF(S69=0,"",T69/S69)</f>
        <v/>
      </c>
      <c r="W69" s="27" t="n"/>
      <c r="X69" s="62" t="n"/>
      <c r="Y69" s="62" t="n"/>
      <c r="Z69" s="62">
        <f>Y69-X69</f>
        <v/>
      </c>
      <c r="AA69" s="64">
        <f>IF(X69=0,"",Y69/X69)</f>
        <v/>
      </c>
      <c r="AB69" s="31" t="n"/>
      <c r="AC69" s="60" t="n"/>
      <c r="AD69" s="60" t="n"/>
      <c r="AE69" s="60">
        <f>AD69-AC69</f>
        <v/>
      </c>
      <c r="AF69" s="61">
        <f>IF(AC69=0,"",AD69/AC69)</f>
        <v/>
      </c>
      <c r="AG69" s="27" t="n"/>
      <c r="AH69" s="62" t="n"/>
      <c r="AI69" s="62" t="n"/>
      <c r="AJ69" s="62">
        <f>AI69-AH69</f>
        <v/>
      </c>
      <c r="AK69" s="64">
        <f>IF(AH69=0,"",AI69/AH69)</f>
        <v/>
      </c>
      <c r="AL69" s="31" t="n"/>
      <c r="AM69" s="60" t="n"/>
      <c r="AN69" s="60" t="n"/>
      <c r="AO69" s="60">
        <f>AN69-AM69</f>
        <v/>
      </c>
      <c r="AP69" s="61">
        <f>IF(AM69=0,"",AN69/AM69)</f>
        <v/>
      </c>
      <c r="AQ69" s="27" t="n"/>
      <c r="AR69" s="62" t="n"/>
      <c r="AS69" s="62" t="n"/>
      <c r="AT69" s="62">
        <f>AS69-AR69</f>
        <v/>
      </c>
      <c r="AU69" s="64">
        <f>IF(AR69=0,"",AS69/AR69)</f>
        <v/>
      </c>
      <c r="AV69" s="31" t="n"/>
      <c r="AW69" s="60" t="n"/>
      <c r="AX69" s="60" t="n"/>
      <c r="AY69" s="60">
        <f>AX69-AW69</f>
        <v/>
      </c>
      <c r="AZ69" s="61">
        <f>IF(AW69=0,"",AX69/AW69)</f>
        <v/>
      </c>
      <c r="BA69" s="27" t="n"/>
      <c r="BB69" s="62" t="n"/>
      <c r="BC69" s="62" t="n"/>
      <c r="BD69" s="62">
        <f>BC69-BB69</f>
        <v/>
      </c>
      <c r="BE69" s="64">
        <f>IF(BB69=0,"",BC69/BB69)</f>
        <v/>
      </c>
      <c r="BF69" s="31" t="n"/>
      <c r="BG69" s="60" t="n"/>
      <c r="BH69" s="60" t="n"/>
      <c r="BI69" s="60">
        <f>BH69-BG69</f>
        <v/>
      </c>
      <c r="BJ69" s="61">
        <f>IF(BG69=0,"",BH69/BG69)</f>
        <v/>
      </c>
      <c r="BK69" s="27" t="n"/>
      <c r="BL69" s="62" t="n"/>
      <c r="BM69" s="62" t="n"/>
      <c r="BN69" s="62">
        <f>BM69-BL69</f>
        <v/>
      </c>
      <c r="BO69" s="64">
        <f>IF(BL69=0,"",BM69/BL69)</f>
        <v/>
      </c>
      <c r="BP69" s="31" t="n"/>
      <c r="BQ69" s="60" t="n"/>
      <c r="BR69" s="60" t="n"/>
      <c r="BS69" s="60">
        <f>BR69-BQ69</f>
        <v/>
      </c>
      <c r="BT69" s="61">
        <f>IF(BQ69=0,"",BR69/BQ69)</f>
        <v/>
      </c>
      <c r="BU69" s="27" t="n"/>
      <c r="BV69" s="62" t="n"/>
      <c r="BW69" s="62" t="n"/>
      <c r="BX69" s="62">
        <f>BW69-BV69</f>
        <v/>
      </c>
      <c r="BY69" s="64">
        <f>IF(BV69=0,"",BW69/BV69)</f>
        <v/>
      </c>
      <c r="BZ69" s="31" t="n"/>
      <c r="CA69" s="60" t="n"/>
      <c r="CB69" s="60" t="n"/>
      <c r="CC69" s="60">
        <f>CB69-CA69</f>
        <v/>
      </c>
      <c r="CD69" s="61">
        <f>IF(CA69=0,"",CB69/CA69)</f>
        <v/>
      </c>
      <c r="CE69" s="27" t="n"/>
      <c r="CF69" s="62" t="n"/>
      <c r="CG69" s="62" t="n"/>
      <c r="CH69" s="62">
        <f>CG69-CF69</f>
        <v/>
      </c>
      <c r="CI69" s="64">
        <f>IF(CF69=0,"",CG69/CF69)</f>
        <v/>
      </c>
      <c r="CJ69" s="31" t="n"/>
      <c r="CK69" s="60" t="n"/>
      <c r="CL69" s="60" t="n"/>
      <c r="CM69" s="60">
        <f>CL69-CK69</f>
        <v/>
      </c>
      <c r="CN69" s="61">
        <f>IF(CK69=0,"",CL69/CK69)</f>
        <v/>
      </c>
      <c r="CO69" s="27" t="n"/>
      <c r="CP69" s="62" t="n"/>
      <c r="CQ69" s="62" t="n"/>
      <c r="CR69" s="62">
        <f>CQ69-CP69</f>
        <v/>
      </c>
      <c r="CS69" s="64">
        <f>IF(CP69=0,"",CQ69/CP69)</f>
        <v/>
      </c>
      <c r="CT69" s="31" t="n"/>
      <c r="CU69" s="60" t="n"/>
      <c r="CV69" s="60" t="n"/>
      <c r="CW69" s="60">
        <f>CV69-CU69</f>
        <v/>
      </c>
      <c r="CX69" s="61">
        <f>IF(CU69=0,"",CV69/CU69)</f>
        <v/>
      </c>
      <c r="CY69" s="27" t="n"/>
      <c r="CZ69" s="62" t="n"/>
      <c r="DA69" s="62" t="n"/>
      <c r="DB69" s="62">
        <f>DA69-CZ69</f>
        <v/>
      </c>
      <c r="DC69" s="64">
        <f>IF(CZ69=0,"",DA69/CZ69)</f>
        <v/>
      </c>
      <c r="DD69" s="31" t="n"/>
      <c r="DE69" s="60" t="n"/>
      <c r="DF69" s="60" t="n"/>
      <c r="DG69" s="60">
        <f>DF69-DE69</f>
        <v/>
      </c>
      <c r="DH69" s="61">
        <f>IF(DE69=0,"",DF69/DE69)</f>
        <v/>
      </c>
      <c r="DI69" s="27" t="n"/>
      <c r="DJ69" s="62" t="n"/>
      <c r="DK69" s="62" t="n"/>
      <c r="DL69" s="62">
        <f>DK69-DJ69</f>
        <v/>
      </c>
      <c r="DM69" s="64">
        <f>IF(DJ69=0,"",DK69/DJ69)</f>
        <v/>
      </c>
      <c r="DN69" s="31" t="n"/>
      <c r="DO69" s="60" t="n"/>
    </row>
    <row r="70" ht="15" customHeight="1">
      <c r="A70" s="19" t="n"/>
      <c r="B70" s="20" t="n"/>
      <c r="C70" s="19" t="n"/>
      <c r="D70" s="58">
        <f>D71+D72</f>
        <v/>
      </c>
      <c r="E70" s="58">
        <f>E71+E72</f>
        <v/>
      </c>
      <c r="F70" s="58">
        <f>E70-D70</f>
        <v/>
      </c>
      <c r="G70" s="59">
        <f>IF(D70=0,"",E70/D70)</f>
        <v/>
      </c>
      <c r="H70" s="23" t="n"/>
      <c r="I70" s="58">
        <f>I71+I72</f>
        <v/>
      </c>
      <c r="J70" s="58">
        <f>J71+J72</f>
        <v/>
      </c>
      <c r="K70" s="58">
        <f>J70-I70</f>
        <v/>
      </c>
      <c r="L70" s="59">
        <f>IF(I70=0,"",J70/I70)</f>
        <v/>
      </c>
      <c r="M70" s="23" t="n"/>
      <c r="N70" s="58">
        <f>N71+N72</f>
        <v/>
      </c>
      <c r="O70" s="58">
        <f>O71+O72</f>
        <v/>
      </c>
      <c r="P70" s="58">
        <f>O70-N70</f>
        <v/>
      </c>
      <c r="Q70" s="59">
        <f>IF(N70=0,"",O70/N70)</f>
        <v/>
      </c>
      <c r="R70" s="23" t="n"/>
      <c r="S70" s="58">
        <f>S71+S72</f>
        <v/>
      </c>
      <c r="T70" s="58">
        <f>T71+T72</f>
        <v/>
      </c>
      <c r="U70" s="58">
        <f>T70-S70</f>
        <v/>
      </c>
      <c r="V70" s="59">
        <f>IF(S70=0,"",T70/S70)</f>
        <v/>
      </c>
      <c r="W70" s="23" t="n"/>
      <c r="X70" s="58">
        <f>X71+X72</f>
        <v/>
      </c>
      <c r="Y70" s="58">
        <f>Y71+Y72</f>
        <v/>
      </c>
      <c r="Z70" s="58">
        <f>Y70-X70</f>
        <v/>
      </c>
      <c r="AA70" s="59">
        <f>IF(X70=0,"",Y70/X70)</f>
        <v/>
      </c>
      <c r="AB70" s="23" t="n"/>
      <c r="AC70" s="58">
        <f>AC71+AC72</f>
        <v/>
      </c>
      <c r="AD70" s="58">
        <f>AD71+AD72</f>
        <v/>
      </c>
      <c r="AE70" s="58">
        <f>AD70-AC70</f>
        <v/>
      </c>
      <c r="AF70" s="59">
        <f>IF(AC70=0,"",AD70/AC70)</f>
        <v/>
      </c>
      <c r="AG70" s="23" t="n"/>
      <c r="AH70" s="58">
        <f>AH71+AH72</f>
        <v/>
      </c>
      <c r="AI70" s="58">
        <f>AI71+AI72</f>
        <v/>
      </c>
      <c r="AJ70" s="58">
        <f>AI70-AH70</f>
        <v/>
      </c>
      <c r="AK70" s="59">
        <f>IF(AH70=0,"",AI70/AH70)</f>
        <v/>
      </c>
      <c r="AL70" s="23" t="n"/>
      <c r="AM70" s="58">
        <f>AM71+AM72</f>
        <v/>
      </c>
      <c r="AN70" s="58">
        <f>AN71+AN72</f>
        <v/>
      </c>
      <c r="AO70" s="58">
        <f>AN70-AM70</f>
        <v/>
      </c>
      <c r="AP70" s="59">
        <f>IF(AM70=0,"",AN70/AM70)</f>
        <v/>
      </c>
      <c r="AQ70" s="23" t="n"/>
      <c r="AR70" s="58">
        <f>AR71+AR72</f>
        <v/>
      </c>
      <c r="AS70" s="58">
        <f>AS71+AS72</f>
        <v/>
      </c>
      <c r="AT70" s="58">
        <f>AS70-AR70</f>
        <v/>
      </c>
      <c r="AU70" s="59">
        <f>IF(AR70=0,"",AS70/AR70)</f>
        <v/>
      </c>
      <c r="AV70" s="23" t="n"/>
      <c r="AW70" s="58">
        <f>AW71+AW72</f>
        <v/>
      </c>
      <c r="AX70" s="58">
        <f>AX71+AX72</f>
        <v/>
      </c>
      <c r="AY70" s="58">
        <f>AX70-AW70</f>
        <v/>
      </c>
      <c r="AZ70" s="59">
        <f>IF(AW70=0,"",AX70/AW70)</f>
        <v/>
      </c>
      <c r="BA70" s="23" t="n"/>
      <c r="BB70" s="58">
        <f>BB71+BB72</f>
        <v/>
      </c>
      <c r="BC70" s="58">
        <f>BC71+BC72</f>
        <v/>
      </c>
      <c r="BD70" s="58">
        <f>BC70-BB70</f>
        <v/>
      </c>
      <c r="BE70" s="59">
        <f>IF(BB70=0,"",BC70/BB70)</f>
        <v/>
      </c>
      <c r="BF70" s="23" t="n"/>
      <c r="BG70" s="58">
        <f>BG71+BG72</f>
        <v/>
      </c>
      <c r="BH70" s="58">
        <f>BH71+BH72</f>
        <v/>
      </c>
      <c r="BI70" s="58">
        <f>BH70-BG70</f>
        <v/>
      </c>
      <c r="BJ70" s="59">
        <f>IF(BG70=0,"",BH70/BG70)</f>
        <v/>
      </c>
      <c r="BK70" s="23" t="n"/>
      <c r="BL70" s="58">
        <f>BL71+BL72</f>
        <v/>
      </c>
      <c r="BM70" s="58">
        <f>BM71+BM72</f>
        <v/>
      </c>
      <c r="BN70" s="58">
        <f>BM70-BL70</f>
        <v/>
      </c>
      <c r="BO70" s="59">
        <f>IF(BL70=0,"",BM70/BL70)</f>
        <v/>
      </c>
      <c r="BP70" s="23" t="n"/>
      <c r="BQ70" s="58">
        <f>BQ71+BQ72</f>
        <v/>
      </c>
      <c r="BR70" s="58">
        <f>BR71+BR72</f>
        <v/>
      </c>
      <c r="BS70" s="58">
        <f>BR70-BQ70</f>
        <v/>
      </c>
      <c r="BT70" s="59">
        <f>IF(BQ70=0,"",BR70/BQ70)</f>
        <v/>
      </c>
      <c r="BU70" s="23" t="n"/>
      <c r="BV70" s="58">
        <f>BV71+BV72</f>
        <v/>
      </c>
      <c r="BW70" s="58">
        <f>BW71+BW72</f>
        <v/>
      </c>
      <c r="BX70" s="58">
        <f>BW70-BV70</f>
        <v/>
      </c>
      <c r="BY70" s="59">
        <f>IF(BV70=0,"",BW70/BV70)</f>
        <v/>
      </c>
      <c r="BZ70" s="23" t="n"/>
      <c r="CA70" s="58">
        <f>CA71+CA72</f>
        <v/>
      </c>
      <c r="CB70" s="58">
        <f>CB71+CB72</f>
        <v/>
      </c>
      <c r="CC70" s="58">
        <f>CB70-CA70</f>
        <v/>
      </c>
      <c r="CD70" s="59">
        <f>IF(CA70=0,"",CB70/CA70)</f>
        <v/>
      </c>
      <c r="CE70" s="23" t="n"/>
      <c r="CF70" s="58">
        <f>CF71+CF72</f>
        <v/>
      </c>
      <c r="CG70" s="58">
        <f>CG71+CG72</f>
        <v/>
      </c>
      <c r="CH70" s="58">
        <f>CG70-CF70</f>
        <v/>
      </c>
      <c r="CI70" s="59">
        <f>IF(CF70=0,"",CG70/CF70)</f>
        <v/>
      </c>
      <c r="CJ70" s="23" t="n"/>
      <c r="CK70" s="58">
        <f>CK71+CK72</f>
        <v/>
      </c>
      <c r="CL70" s="58">
        <f>CL71+CL72</f>
        <v/>
      </c>
      <c r="CM70" s="58">
        <f>CL70-CK70</f>
        <v/>
      </c>
      <c r="CN70" s="59">
        <f>IF(CK70=0,"",CL70/CK70)</f>
        <v/>
      </c>
      <c r="CO70" s="23" t="n"/>
      <c r="CP70" s="58">
        <f>CP71+CP72</f>
        <v/>
      </c>
      <c r="CQ70" s="58">
        <f>CQ71+CQ72</f>
        <v/>
      </c>
      <c r="CR70" s="58">
        <f>CQ70-CP70</f>
        <v/>
      </c>
      <c r="CS70" s="59">
        <f>IF(CP70=0,"",CQ70/CP70)</f>
        <v/>
      </c>
      <c r="CT70" s="23" t="n"/>
      <c r="CU70" s="58">
        <f>CU71+CU72</f>
        <v/>
      </c>
      <c r="CV70" s="58">
        <f>CV71+CV72</f>
        <v/>
      </c>
      <c r="CW70" s="58">
        <f>CV70-CU70</f>
        <v/>
      </c>
      <c r="CX70" s="59">
        <f>IF(CU70=0,"",CV70/CU70)</f>
        <v/>
      </c>
      <c r="CY70" s="23" t="n"/>
      <c r="CZ70" s="58">
        <f>CZ71+CZ72</f>
        <v/>
      </c>
      <c r="DA70" s="58">
        <f>DA71+DA72</f>
        <v/>
      </c>
      <c r="DB70" s="58">
        <f>DA70-CZ70</f>
        <v/>
      </c>
      <c r="DC70" s="59">
        <f>IF(CZ70=0,"",DA70/CZ70)</f>
        <v/>
      </c>
      <c r="DD70" s="23" t="n"/>
      <c r="DE70" s="58">
        <f>DE71+DE72</f>
        <v/>
      </c>
      <c r="DF70" s="58">
        <f>DF71+DF72</f>
        <v/>
      </c>
      <c r="DG70" s="58">
        <f>DF70-DE70</f>
        <v/>
      </c>
      <c r="DH70" s="59">
        <f>IF(DE70=0,"",DF70/DE70)</f>
        <v/>
      </c>
      <c r="DI70" s="23" t="n"/>
      <c r="DJ70" s="58">
        <f>DJ71+DJ72</f>
        <v/>
      </c>
      <c r="DK70" s="58">
        <f>DK71+DK72</f>
        <v/>
      </c>
      <c r="DL70" s="58">
        <f>DK70-DJ70</f>
        <v/>
      </c>
      <c r="DM70" s="59">
        <f>IF(DJ70=0,"",DK70/DJ70)</f>
        <v/>
      </c>
      <c r="DN70" s="23" t="n"/>
      <c r="DO70" s="58">
        <f>DO71+DO72</f>
        <v/>
      </c>
    </row>
    <row r="71" outlineLevel="1" ht="15" customHeight="1">
      <c r="A71" s="24" t="n"/>
      <c r="B71" s="24" t="n"/>
      <c r="C71" s="24" t="n"/>
      <c r="D71" s="60" t="n"/>
      <c r="E71" s="60" t="n"/>
      <c r="F71" s="60">
        <f>E71-D71</f>
        <v/>
      </c>
      <c r="G71" s="61">
        <f>IF(D71=0,"",E71/D71)</f>
        <v/>
      </c>
      <c r="H71" s="27" t="n"/>
      <c r="I71" s="60" t="n"/>
      <c r="J71" s="60" t="n"/>
      <c r="K71" s="60">
        <f>J71-I71</f>
        <v/>
      </c>
      <c r="L71" s="61">
        <f>IF(I71=0,"",J71/I71)</f>
        <v/>
      </c>
      <c r="M71" s="27" t="n"/>
      <c r="N71" s="62" t="n"/>
      <c r="O71" s="62" t="n"/>
      <c r="P71" s="62">
        <f>O71-N71</f>
        <v/>
      </c>
      <c r="Q71" s="64">
        <f>IF(N71=0,"",O71/N71)</f>
        <v/>
      </c>
      <c r="R71" s="31" t="n"/>
      <c r="S71" s="60" t="n"/>
      <c r="T71" s="60" t="n"/>
      <c r="U71" s="60">
        <f>T71-S71</f>
        <v/>
      </c>
      <c r="V71" s="61">
        <f>IF(S71=0,"",T71/S71)</f>
        <v/>
      </c>
      <c r="W71" s="27" t="n"/>
      <c r="X71" s="62" t="n"/>
      <c r="Y71" s="62" t="n"/>
      <c r="Z71" s="62">
        <f>Y71-X71</f>
        <v/>
      </c>
      <c r="AA71" s="64">
        <f>IF(X71=0,"",Y71/X71)</f>
        <v/>
      </c>
      <c r="AB71" s="31" t="n"/>
      <c r="AC71" s="60" t="n"/>
      <c r="AD71" s="60" t="n"/>
      <c r="AE71" s="60">
        <f>AD71-AC71</f>
        <v/>
      </c>
      <c r="AF71" s="61">
        <f>IF(AC71=0,"",AD71/AC71)</f>
        <v/>
      </c>
      <c r="AG71" s="27" t="n"/>
      <c r="AH71" s="62" t="n"/>
      <c r="AI71" s="62" t="n"/>
      <c r="AJ71" s="62">
        <f>AI71-AH71</f>
        <v/>
      </c>
      <c r="AK71" s="64">
        <f>IF(AH71=0,"",AI71/AH71)</f>
        <v/>
      </c>
      <c r="AL71" s="31" t="n"/>
      <c r="AM71" s="60" t="n"/>
      <c r="AN71" s="60" t="n"/>
      <c r="AO71" s="60">
        <f>AN71-AM71</f>
        <v/>
      </c>
      <c r="AP71" s="61">
        <f>IF(AM71=0,"",AN71/AM71)</f>
        <v/>
      </c>
      <c r="AQ71" s="27" t="n"/>
      <c r="AR71" s="62" t="n"/>
      <c r="AS71" s="62" t="n"/>
      <c r="AT71" s="62">
        <f>AS71-AR71</f>
        <v/>
      </c>
      <c r="AU71" s="64">
        <f>IF(AR71=0,"",AS71/AR71)</f>
        <v/>
      </c>
      <c r="AV71" s="31" t="n"/>
      <c r="AW71" s="60" t="n"/>
      <c r="AX71" s="60" t="n"/>
      <c r="AY71" s="60">
        <f>AX71-AW71</f>
        <v/>
      </c>
      <c r="AZ71" s="61">
        <f>IF(AW71=0,"",AX71/AW71)</f>
        <v/>
      </c>
      <c r="BA71" s="27" t="n"/>
      <c r="BB71" s="62" t="n"/>
      <c r="BC71" s="62" t="n"/>
      <c r="BD71" s="62">
        <f>BC71-BB71</f>
        <v/>
      </c>
      <c r="BE71" s="64">
        <f>IF(BB71=0,"",BC71/BB71)</f>
        <v/>
      </c>
      <c r="BF71" s="31" t="n"/>
      <c r="BG71" s="60" t="n"/>
      <c r="BH71" s="60" t="n"/>
      <c r="BI71" s="60">
        <f>BH71-BG71</f>
        <v/>
      </c>
      <c r="BJ71" s="61">
        <f>IF(BG71=0,"",BH71/BG71)</f>
        <v/>
      </c>
      <c r="BK71" s="27" t="n"/>
      <c r="BL71" s="62" t="n"/>
      <c r="BM71" s="62" t="n"/>
      <c r="BN71" s="62">
        <f>BM71-BL71</f>
        <v/>
      </c>
      <c r="BO71" s="64">
        <f>IF(BL71=0,"",BM71/BL71)</f>
        <v/>
      </c>
      <c r="BP71" s="31" t="n"/>
      <c r="BQ71" s="60" t="n"/>
      <c r="BR71" s="60" t="n"/>
      <c r="BS71" s="60">
        <f>BR71-BQ71</f>
        <v/>
      </c>
      <c r="BT71" s="61">
        <f>IF(BQ71=0,"",BR71/BQ71)</f>
        <v/>
      </c>
      <c r="BU71" s="27" t="n"/>
      <c r="BV71" s="62" t="n"/>
      <c r="BW71" s="62" t="n"/>
      <c r="BX71" s="62">
        <f>BW71-BV71</f>
        <v/>
      </c>
      <c r="BY71" s="64">
        <f>IF(BV71=0,"",BW71/BV71)</f>
        <v/>
      </c>
      <c r="BZ71" s="31" t="n"/>
      <c r="CA71" s="60" t="n"/>
      <c r="CB71" s="60" t="n"/>
      <c r="CC71" s="60">
        <f>CB71-CA71</f>
        <v/>
      </c>
      <c r="CD71" s="61">
        <f>IF(CA71=0,"",CB71/CA71)</f>
        <v/>
      </c>
      <c r="CE71" s="27" t="n"/>
      <c r="CF71" s="62" t="n"/>
      <c r="CG71" s="62" t="n"/>
      <c r="CH71" s="62">
        <f>CG71-CF71</f>
        <v/>
      </c>
      <c r="CI71" s="64">
        <f>IF(CF71=0,"",CG71/CF71)</f>
        <v/>
      </c>
      <c r="CJ71" s="31" t="n"/>
      <c r="CK71" s="60" t="n"/>
      <c r="CL71" s="60" t="n"/>
      <c r="CM71" s="60">
        <f>CL71-CK71</f>
        <v/>
      </c>
      <c r="CN71" s="61">
        <f>IF(CK71=0,"",CL71/CK71)</f>
        <v/>
      </c>
      <c r="CO71" s="27" t="n"/>
      <c r="CP71" s="62" t="n"/>
      <c r="CQ71" s="62" t="n"/>
      <c r="CR71" s="62">
        <f>CQ71-CP71</f>
        <v/>
      </c>
      <c r="CS71" s="64">
        <f>IF(CP71=0,"",CQ71/CP71)</f>
        <v/>
      </c>
      <c r="CT71" s="31" t="n"/>
      <c r="CU71" s="60" t="n"/>
      <c r="CV71" s="60" t="n"/>
      <c r="CW71" s="60">
        <f>CV71-CU71</f>
        <v/>
      </c>
      <c r="CX71" s="61">
        <f>IF(CU71=0,"",CV71/CU71)</f>
        <v/>
      </c>
      <c r="CY71" s="27" t="n"/>
      <c r="CZ71" s="62" t="n"/>
      <c r="DA71" s="62" t="n"/>
      <c r="DB71" s="62">
        <f>DA71-CZ71</f>
        <v/>
      </c>
      <c r="DC71" s="64">
        <f>IF(CZ71=0,"",DA71/CZ71)</f>
        <v/>
      </c>
      <c r="DD71" s="31" t="n"/>
      <c r="DE71" s="60" t="n"/>
      <c r="DF71" s="60" t="n"/>
      <c r="DG71" s="60">
        <f>DF71-DE71</f>
        <v/>
      </c>
      <c r="DH71" s="61">
        <f>IF(DE71=0,"",DF71/DE71)</f>
        <v/>
      </c>
      <c r="DI71" s="27" t="n"/>
      <c r="DJ71" s="62" t="n"/>
      <c r="DK71" s="62" t="n"/>
      <c r="DL71" s="62">
        <f>DK71-DJ71</f>
        <v/>
      </c>
      <c r="DM71" s="64">
        <f>IF(DJ71=0,"",DK71/DJ71)</f>
        <v/>
      </c>
      <c r="DN71" s="31" t="n"/>
      <c r="DO71" s="60" t="n"/>
    </row>
    <row r="72" outlineLevel="1" ht="15" customHeight="1">
      <c r="A72" s="24" t="n"/>
      <c r="B72" s="24" t="n"/>
      <c r="C72" s="24" t="n"/>
      <c r="D72" s="60" t="n"/>
      <c r="E72" s="60" t="n"/>
      <c r="F72" s="60">
        <f>E72-D72</f>
        <v/>
      </c>
      <c r="G72" s="61">
        <f>IF(D72=0,"",E72/D72)</f>
        <v/>
      </c>
      <c r="H72" s="27" t="n"/>
      <c r="I72" s="60" t="n"/>
      <c r="J72" s="60" t="n"/>
      <c r="K72" s="60">
        <f>J72-I72</f>
        <v/>
      </c>
      <c r="L72" s="61">
        <f>IF(I72=0,"",J72/I72)</f>
        <v/>
      </c>
      <c r="M72" s="27" t="n"/>
      <c r="N72" s="62" t="n"/>
      <c r="O72" s="62" t="n"/>
      <c r="P72" s="62">
        <f>O72-N72</f>
        <v/>
      </c>
      <c r="Q72" s="64">
        <f>IF(N72=0,"",O72/N72)</f>
        <v/>
      </c>
      <c r="R72" s="31" t="n"/>
      <c r="S72" s="60" t="n"/>
      <c r="T72" s="60" t="n"/>
      <c r="U72" s="60">
        <f>T72-S72</f>
        <v/>
      </c>
      <c r="V72" s="61">
        <f>IF(S72=0,"",T72/S72)</f>
        <v/>
      </c>
      <c r="W72" s="27" t="n"/>
      <c r="X72" s="62" t="n"/>
      <c r="Y72" s="62" t="n"/>
      <c r="Z72" s="62">
        <f>Y72-X72</f>
        <v/>
      </c>
      <c r="AA72" s="64">
        <f>IF(X72=0,"",Y72/X72)</f>
        <v/>
      </c>
      <c r="AB72" s="31" t="n"/>
      <c r="AC72" s="60" t="n"/>
      <c r="AD72" s="60" t="n"/>
      <c r="AE72" s="60">
        <f>AD72-AC72</f>
        <v/>
      </c>
      <c r="AF72" s="61">
        <f>IF(AC72=0,"",AD72/AC72)</f>
        <v/>
      </c>
      <c r="AG72" s="27" t="n"/>
      <c r="AH72" s="62" t="n"/>
      <c r="AI72" s="62" t="n"/>
      <c r="AJ72" s="62">
        <f>AI72-AH72</f>
        <v/>
      </c>
      <c r="AK72" s="64">
        <f>IF(AH72=0,"",AI72/AH72)</f>
        <v/>
      </c>
      <c r="AL72" s="31" t="n"/>
      <c r="AM72" s="60" t="n"/>
      <c r="AN72" s="60" t="n"/>
      <c r="AO72" s="60">
        <f>AN72-AM72</f>
        <v/>
      </c>
      <c r="AP72" s="61">
        <f>IF(AM72=0,"",AN72/AM72)</f>
        <v/>
      </c>
      <c r="AQ72" s="27" t="n"/>
      <c r="AR72" s="62" t="n"/>
      <c r="AS72" s="62" t="n"/>
      <c r="AT72" s="62">
        <f>AS72-AR72</f>
        <v/>
      </c>
      <c r="AU72" s="64">
        <f>IF(AR72=0,"",AS72/AR72)</f>
        <v/>
      </c>
      <c r="AV72" s="31" t="n"/>
      <c r="AW72" s="60" t="n"/>
      <c r="AX72" s="60" t="n"/>
      <c r="AY72" s="60">
        <f>AX72-AW72</f>
        <v/>
      </c>
      <c r="AZ72" s="61">
        <f>IF(AW72=0,"",AX72/AW72)</f>
        <v/>
      </c>
      <c r="BA72" s="27" t="n"/>
      <c r="BB72" s="62" t="n"/>
      <c r="BC72" s="62" t="n"/>
      <c r="BD72" s="62">
        <f>BC72-BB72</f>
        <v/>
      </c>
      <c r="BE72" s="64">
        <f>IF(BB72=0,"",BC72/BB72)</f>
        <v/>
      </c>
      <c r="BF72" s="31" t="n"/>
      <c r="BG72" s="60" t="n"/>
      <c r="BH72" s="60" t="n"/>
      <c r="BI72" s="60">
        <f>BH72-BG72</f>
        <v/>
      </c>
      <c r="BJ72" s="61">
        <f>IF(BG72=0,"",BH72/BG72)</f>
        <v/>
      </c>
      <c r="BK72" s="27" t="n"/>
      <c r="BL72" s="62" t="n"/>
      <c r="BM72" s="62" t="n"/>
      <c r="BN72" s="62">
        <f>BM72-BL72</f>
        <v/>
      </c>
      <c r="BO72" s="64">
        <f>IF(BL72=0,"",BM72/BL72)</f>
        <v/>
      </c>
      <c r="BP72" s="31" t="n"/>
      <c r="BQ72" s="60" t="n"/>
      <c r="BR72" s="60" t="n"/>
      <c r="BS72" s="60">
        <f>BR72-BQ72</f>
        <v/>
      </c>
      <c r="BT72" s="61">
        <f>IF(BQ72=0,"",BR72/BQ72)</f>
        <v/>
      </c>
      <c r="BU72" s="27" t="n"/>
      <c r="BV72" s="62" t="n"/>
      <c r="BW72" s="62" t="n"/>
      <c r="BX72" s="62">
        <f>BW72-BV72</f>
        <v/>
      </c>
      <c r="BY72" s="64">
        <f>IF(BV72=0,"",BW72/BV72)</f>
        <v/>
      </c>
      <c r="BZ72" s="31" t="n"/>
      <c r="CA72" s="60" t="n"/>
      <c r="CB72" s="60" t="n"/>
      <c r="CC72" s="60">
        <f>CB72-CA72</f>
        <v/>
      </c>
      <c r="CD72" s="61">
        <f>IF(CA72=0,"",CB72/CA72)</f>
        <v/>
      </c>
      <c r="CE72" s="27" t="n"/>
      <c r="CF72" s="62" t="n"/>
      <c r="CG72" s="62" t="n"/>
      <c r="CH72" s="62">
        <f>CG72-CF72</f>
        <v/>
      </c>
      <c r="CI72" s="64">
        <f>IF(CF72=0,"",CG72/CF72)</f>
        <v/>
      </c>
      <c r="CJ72" s="31" t="n"/>
      <c r="CK72" s="60" t="n"/>
      <c r="CL72" s="60" t="n"/>
      <c r="CM72" s="60">
        <f>CL72-CK72</f>
        <v/>
      </c>
      <c r="CN72" s="61">
        <f>IF(CK72=0,"",CL72/CK72)</f>
        <v/>
      </c>
      <c r="CO72" s="27" t="n"/>
      <c r="CP72" s="62" t="n"/>
      <c r="CQ72" s="62" t="n"/>
      <c r="CR72" s="62">
        <f>CQ72-CP72</f>
        <v/>
      </c>
      <c r="CS72" s="64">
        <f>IF(CP72=0,"",CQ72/CP72)</f>
        <v/>
      </c>
      <c r="CT72" s="31" t="n"/>
      <c r="CU72" s="60" t="n"/>
      <c r="CV72" s="60" t="n"/>
      <c r="CW72" s="60">
        <f>CV72-CU72</f>
        <v/>
      </c>
      <c r="CX72" s="61">
        <f>IF(CU72=0,"",CV72/CU72)</f>
        <v/>
      </c>
      <c r="CY72" s="27" t="n"/>
      <c r="CZ72" s="62" t="n"/>
      <c r="DA72" s="62" t="n"/>
      <c r="DB72" s="62">
        <f>DA72-CZ72</f>
        <v/>
      </c>
      <c r="DC72" s="64">
        <f>IF(CZ72=0,"",DA72/CZ72)</f>
        <v/>
      </c>
      <c r="DD72" s="31" t="n"/>
      <c r="DE72" s="60" t="n"/>
      <c r="DF72" s="60" t="n"/>
      <c r="DG72" s="60">
        <f>DF72-DE72</f>
        <v/>
      </c>
      <c r="DH72" s="61">
        <f>IF(DE72=0,"",DF72/DE72)</f>
        <v/>
      </c>
      <c r="DI72" s="27" t="n"/>
      <c r="DJ72" s="62" t="n"/>
      <c r="DK72" s="62" t="n"/>
      <c r="DL72" s="62">
        <f>DK72-DJ72</f>
        <v/>
      </c>
      <c r="DM72" s="64">
        <f>IF(DJ72=0,"",DK72/DJ72)</f>
        <v/>
      </c>
      <c r="DN72" s="31" t="n"/>
      <c r="DO72" s="60" t="n"/>
    </row>
    <row r="73" ht="15" customHeight="1">
      <c r="A73" s="32" t="n"/>
      <c r="B73" s="32" t="n"/>
      <c r="C73" s="32" t="n"/>
      <c r="D73" s="65">
        <f>D75+D76+D77+D79+D81+D82+D83+D85+D87+D88+D89+D90+D91+D92+D93+D94+D95</f>
        <v/>
      </c>
      <c r="E73" s="65">
        <f>E75+E76+E77+E79+E81+E82+E83+E85+E87+E88+E89+E90+E91+E92+E93+E94+E95</f>
        <v/>
      </c>
      <c r="F73" s="65">
        <f>E73-D73</f>
        <v/>
      </c>
      <c r="G73" s="66">
        <f>IF(D73=0,"",E73/D73)</f>
        <v/>
      </c>
      <c r="H73" s="35" t="n"/>
      <c r="I73" s="65">
        <f>I75+I76+I77+I79+I81+I82+I83+I85+I87+I88+I89+I90+I91+I92+I93+I94+I95</f>
        <v/>
      </c>
      <c r="J73" s="65">
        <f>J75+J76+J77+J79+J81+J82+J83+J85+J87+J88+J89+J90+J91+J92+J93+J94+J95</f>
        <v/>
      </c>
      <c r="K73" s="65">
        <f>J73-I73</f>
        <v/>
      </c>
      <c r="L73" s="66">
        <f>IF(I73=0,"",J73/I73)</f>
        <v/>
      </c>
      <c r="M73" s="35" t="n"/>
      <c r="N73" s="65">
        <f>N75+N76+N77+N79+N81+N82+N83+N85+N87+N88+N89+N90+N91+N92+N93+N94+N95</f>
        <v/>
      </c>
      <c r="O73" s="65">
        <f>O75+O76+O77+O79+O81+O82+O83+O85+O87+O88+O89+O90+O91+O92+O93+O94+O95</f>
        <v/>
      </c>
      <c r="P73" s="65">
        <f>O73-N73</f>
        <v/>
      </c>
      <c r="Q73" s="66">
        <f>IF(N73=0,"",O73/N73)</f>
        <v/>
      </c>
      <c r="R73" s="35" t="n"/>
      <c r="S73" s="65">
        <f>S75+S76+S77+S79+S81+S82+S83+S85+S87+S88+S89+S90+S91+S92+S93+S94+S95</f>
        <v/>
      </c>
      <c r="T73" s="65">
        <f>T75+T76+T77+T79+T81+T82+T83+T85+T87+T88+T89+T90+T91+T92+T93+T94+T95</f>
        <v/>
      </c>
      <c r="U73" s="65">
        <f>T73-S73</f>
        <v/>
      </c>
      <c r="V73" s="66">
        <f>IF(S73=0,"",T73/S73)</f>
        <v/>
      </c>
      <c r="W73" s="35" t="n"/>
      <c r="X73" s="65">
        <f>X75+X76+X77+X79+X81+X82+X83+X85+X87+X88+X89+X90+X91+X92+X93+X94+X95</f>
        <v/>
      </c>
      <c r="Y73" s="65">
        <f>Y75+Y76+Y77+Y79+Y81+Y82+Y83+Y85+Y87+Y88+Y89+Y90+Y91+Y92+Y93+Y94+Y95</f>
        <v/>
      </c>
      <c r="Z73" s="65">
        <f>Y73-X73</f>
        <v/>
      </c>
      <c r="AA73" s="66">
        <f>IF(X73=0,"",Y73/X73)</f>
        <v/>
      </c>
      <c r="AB73" s="35" t="n"/>
      <c r="AC73" s="65">
        <f>AC75+AC76+AC77+AC79+AC81+AC82+AC83+AC85+AC87+AC88+AC89+AC90+AC91+AC92+AC93+AC94+AC95</f>
        <v/>
      </c>
      <c r="AD73" s="65">
        <f>AD75+AD76+AD77+AD79+AD81+AD82+AD83+AD85+AD87+AD88+AD89+AD90+AD91+AD92+AD93+AD94+AD95</f>
        <v/>
      </c>
      <c r="AE73" s="65">
        <f>AD73-AC73</f>
        <v/>
      </c>
      <c r="AF73" s="66">
        <f>IF(AC73=0,"",AD73/AC73)</f>
        <v/>
      </c>
      <c r="AG73" s="35" t="n"/>
      <c r="AH73" s="65">
        <f>AH75+AH76+AH77+AH79+AH81+AH82+AH83+AH85+AH87+AH88+AH89+AH90+AH91+AH92+AH93+AH94+AH95</f>
        <v/>
      </c>
      <c r="AI73" s="65">
        <f>AI75+AI76+AI77+AI79+AI81+AI82+AI83+AI85+AI87+AI88+AI89+AI90+AI91+AI92+AI93+AI94+AI95</f>
        <v/>
      </c>
      <c r="AJ73" s="65">
        <f>AI73-AH73</f>
        <v/>
      </c>
      <c r="AK73" s="66">
        <f>IF(AH73=0,"",AI73/AH73)</f>
        <v/>
      </c>
      <c r="AL73" s="35" t="n"/>
      <c r="AM73" s="65">
        <f>AM75+AM76+AM77+AM79+AM81+AM82+AM83+AM85+AM87+AM88+AM89+AM90+AM91+AM92+AM93+AM94+AM95</f>
        <v/>
      </c>
      <c r="AN73" s="65">
        <f>AN75+AN76+AN77+AN79+AN81+AN82+AN83+AN85+AN87+AN88+AN89+AN90+AN91+AN92+AN93+AN94+AN95</f>
        <v/>
      </c>
      <c r="AO73" s="65">
        <f>AN73-AM73</f>
        <v/>
      </c>
      <c r="AP73" s="66">
        <f>IF(AM73=0,"",AN73/AM73)</f>
        <v/>
      </c>
      <c r="AQ73" s="35" t="n"/>
      <c r="AR73" s="65">
        <f>AR75+AR76+AR77+AR79+AR81+AR82+AR83+AR85+AR87+AR88+AR89+AR90+AR91+AR92+AR93+AR94+AR95</f>
        <v/>
      </c>
      <c r="AS73" s="65">
        <f>AS75+AS76+AS77+AS79+AS81+AS82+AS83+AS85+AS87+AS88+AS89+AS90+AS91+AS92+AS93+AS94+AS95</f>
        <v/>
      </c>
      <c r="AT73" s="65">
        <f>AS73-AR73</f>
        <v/>
      </c>
      <c r="AU73" s="66">
        <f>IF(AR73=0,"",AS73/AR73)</f>
        <v/>
      </c>
      <c r="AV73" s="35" t="n"/>
      <c r="AW73" s="65">
        <f>AW75+AW76+AW77+AW79+AW81+AW82+AW83+AW85+AW87+AW88+AW89+AW90+AW91+AW92+AW93+AW94+AW95</f>
        <v/>
      </c>
      <c r="AX73" s="65">
        <f>AX75+AX76+AX77+AX79+AX81+AX82+AX83+AX85+AX87+AX88+AX89+AX90+AX91+AX92+AX93+AX94+AX95</f>
        <v/>
      </c>
      <c r="AY73" s="65">
        <f>AX73-AW73</f>
        <v/>
      </c>
      <c r="AZ73" s="66">
        <f>IF(AW73=0,"",AX73/AW73)</f>
        <v/>
      </c>
      <c r="BA73" s="35" t="n"/>
      <c r="BB73" s="65">
        <f>BB75+BB76+BB77+BB79+BB81+BB82+BB83+BB85+BB87+BB88+BB89+BB90+BB91+BB92+BB93+BB94+BB95</f>
        <v/>
      </c>
      <c r="BC73" s="65">
        <f>BC75+BC76+BC77+BC79+BC81+BC82+BC83+BC85+BC87+BC88+BC89+BC90+BC91+BC92+BC93+BC94+BC95</f>
        <v/>
      </c>
      <c r="BD73" s="65">
        <f>BC73-BB73</f>
        <v/>
      </c>
      <c r="BE73" s="66">
        <f>IF(BB73=0,"",BC73/BB73)</f>
        <v/>
      </c>
      <c r="BF73" s="35" t="n"/>
      <c r="BG73" s="65">
        <f>BG75+BG76+BG77+BG79+BG81+BG82+BG83+BG85+BG87+BG88+BG89+BG90+BG91+BG92+BG93+BG94+BG95</f>
        <v/>
      </c>
      <c r="BH73" s="65">
        <f>BH75+BH76+BH77+BH79+BH81+BH82+BH83+BH85+BH87+BH88+BH89+BH90+BH91+BH92+BH93+BH94+BH95</f>
        <v/>
      </c>
      <c r="BI73" s="65">
        <f>BH73-BG73</f>
        <v/>
      </c>
      <c r="BJ73" s="66">
        <f>IF(BG73=0,"",BH73/BG73)</f>
        <v/>
      </c>
      <c r="BK73" s="35" t="n"/>
      <c r="BL73" s="65">
        <f>BL75+BL76+BL77+BL79+BL81+BL82+BL83+BL85+BL87+BL88+BL89+BL90+BL91+BL92+BL93+BL94+BL95</f>
        <v/>
      </c>
      <c r="BM73" s="65">
        <f>BM75+BM76+BM77+BM79+BM81+BM82+BM83+BM85+BM87+BM88+BM89+BM90+BM91+BM92+BM93+BM94+BM95</f>
        <v/>
      </c>
      <c r="BN73" s="65">
        <f>BM73-BL73</f>
        <v/>
      </c>
      <c r="BO73" s="66">
        <f>IF(BL73=0,"",BM73/BL73)</f>
        <v/>
      </c>
      <c r="BP73" s="35" t="n"/>
      <c r="BQ73" s="65">
        <f>BQ75+BQ76+BQ77+BQ79+BQ81+BQ82+BQ83+BQ85+BQ87+BQ88+BQ89+BQ90+BQ91+BQ92+BQ93+BQ94+BQ95</f>
        <v/>
      </c>
      <c r="BR73" s="65">
        <f>BR75+BR76+BR77+BR79+BR81+BR82+BR83+BR85+BR87+BR88+BR89+BR90+BR91+BR92+BR93+BR94+BR95</f>
        <v/>
      </c>
      <c r="BS73" s="65">
        <f>BR73-BQ73</f>
        <v/>
      </c>
      <c r="BT73" s="66">
        <f>IF(BQ73=0,"",BR73/BQ73)</f>
        <v/>
      </c>
      <c r="BU73" s="35" t="n"/>
      <c r="BV73" s="65">
        <f>BV75+BV76+BV77+BV79+BV81+BV82+BV83+BV85+BV87+BV88+BV89+BV90+BV91+BV92+BV93+BV94+BV95</f>
        <v/>
      </c>
      <c r="BW73" s="65">
        <f>BW75+BW76+BW77+BW79+BW81+BW82+BW83+BW85+BW87+BW88+BW89+BW90+BW91+BW92+BW93+BW94+BW95</f>
        <v/>
      </c>
      <c r="BX73" s="65">
        <f>BW73-BV73</f>
        <v/>
      </c>
      <c r="BY73" s="66">
        <f>IF(BV73=0,"",BW73/BV73)</f>
        <v/>
      </c>
      <c r="BZ73" s="35" t="n"/>
      <c r="CA73" s="65">
        <f>CA75+CA76+CA77+CA79+CA81+CA82+CA83+CA85+CA87+CA88+CA89+CA90+CA91+CA92+CA93+CA94+CA95</f>
        <v/>
      </c>
      <c r="CB73" s="65">
        <f>CB75+CB76+CB77+CB79+CB81+CB82+CB83+CB85+CB87+CB88+CB89+CB90+CB91+CB92+CB93+CB94+CB95</f>
        <v/>
      </c>
      <c r="CC73" s="65">
        <f>CB73-CA73</f>
        <v/>
      </c>
      <c r="CD73" s="66">
        <f>IF(CA73=0,"",CB73/CA73)</f>
        <v/>
      </c>
      <c r="CE73" s="35" t="n"/>
      <c r="CF73" s="65">
        <f>CF75+CF76+CF77+CF79+CF81+CF82+CF83+CF85+CF87+CF88+CF89+CF90+CF91+CF92+CF93+CF94+CF95</f>
        <v/>
      </c>
      <c r="CG73" s="65">
        <f>CG75+CG76+CG77+CG79+CG81+CG82+CG83+CG85+CG87+CG88+CG89+CG90+CG91+CG92+CG93+CG94+CG95</f>
        <v/>
      </c>
      <c r="CH73" s="65">
        <f>CG73-CF73</f>
        <v/>
      </c>
      <c r="CI73" s="66">
        <f>IF(CF73=0,"",CG73/CF73)</f>
        <v/>
      </c>
      <c r="CJ73" s="35" t="n"/>
      <c r="CK73" s="65">
        <f>CK75+CK76+CK77+CK79+CK81+CK82+CK83+CK85+CK87+CK88+CK89+CK90+CK91+CK92+CK93+CK94+CK95</f>
        <v/>
      </c>
      <c r="CL73" s="65">
        <f>CL75+CL76+CL77+CL79+CL81+CL82+CL83+CL85+CL87+CL88+CL89+CL90+CL91+CL92+CL93+CL94+CL95</f>
        <v/>
      </c>
      <c r="CM73" s="65">
        <f>CL73-CK73</f>
        <v/>
      </c>
      <c r="CN73" s="66">
        <f>IF(CK73=0,"",CL73/CK73)</f>
        <v/>
      </c>
      <c r="CO73" s="35" t="n"/>
      <c r="CP73" s="65">
        <f>CP75+CP76+CP77+CP79+CP81+CP82+CP83+CP85+CP87+CP88+CP89+CP90+CP91+CP92+CP93+CP94+CP95</f>
        <v/>
      </c>
      <c r="CQ73" s="65">
        <f>CQ75+CQ76+CQ77+CQ79+CQ81+CQ82+CQ83+CQ85+CQ87+CQ88+CQ89+CQ90+CQ91+CQ92+CQ93+CQ94+CQ95</f>
        <v/>
      </c>
      <c r="CR73" s="65">
        <f>CQ73-CP73</f>
        <v/>
      </c>
      <c r="CS73" s="66">
        <f>IF(CP73=0,"",CQ73/CP73)</f>
        <v/>
      </c>
      <c r="CT73" s="35" t="n"/>
      <c r="CU73" s="65">
        <f>CU75+CU76+CU77+CU79+CU81+CU82+CU83+CU85+CU87+CU88+CU89+CU90+CU91+CU92+CU93+CU94+CU95</f>
        <v/>
      </c>
      <c r="CV73" s="65">
        <f>CV75+CV76+CV77+CV79+CV81+CV82+CV83+CV85+CV87+CV88+CV89+CV90+CV91+CV92+CV93+CV94+CV95</f>
        <v/>
      </c>
      <c r="CW73" s="65">
        <f>CV73-CU73</f>
        <v/>
      </c>
      <c r="CX73" s="66">
        <f>IF(CU73=0,"",CV73/CU73)</f>
        <v/>
      </c>
      <c r="CY73" s="35" t="n"/>
      <c r="CZ73" s="65">
        <f>CZ75+CZ76+CZ77+CZ79+CZ81+CZ82+CZ83+CZ85+CZ87+CZ88+CZ89+CZ90+CZ91+CZ92+CZ93+CZ94+CZ95</f>
        <v/>
      </c>
      <c r="DA73" s="65">
        <f>DA75+DA76+DA77+DA79+DA81+DA82+DA83+DA85+DA87+DA88+DA89+DA90+DA91+DA92+DA93+DA94+DA95</f>
        <v/>
      </c>
      <c r="DB73" s="65">
        <f>DA73-CZ73</f>
        <v/>
      </c>
      <c r="DC73" s="66">
        <f>IF(CZ73=0,"",DA73/CZ73)</f>
        <v/>
      </c>
      <c r="DD73" s="35" t="n"/>
      <c r="DE73" s="65">
        <f>DE75+DE76+DE77+DE79+DE81+DE82+DE83+DE85+DE87+DE88+DE89+DE90+DE91+DE92+DE93+DE94+DE95</f>
        <v/>
      </c>
      <c r="DF73" s="65">
        <f>DF75+DF76+DF77+DF79+DF81+DF82+DF83+DF85+DF87+DF88+DF89+DF90+DF91+DF92+DF93+DF94+DF95</f>
        <v/>
      </c>
      <c r="DG73" s="65">
        <f>DF73-DE73</f>
        <v/>
      </c>
      <c r="DH73" s="66">
        <f>IF(DE73=0,"",DF73/DE73)</f>
        <v/>
      </c>
      <c r="DI73" s="35" t="n"/>
      <c r="DJ73" s="65">
        <f>DJ75+DJ76+DJ77+DJ79+DJ81+DJ82+DJ83+DJ85+DJ87+DJ88+DJ89+DJ90+DJ91+DJ92+DJ93+DJ94+DJ95</f>
        <v/>
      </c>
      <c r="DK73" s="65">
        <f>DK75+DK76+DK77+DK79+DK81+DK82+DK83+DK85+DK87+DK88+DK89+DK90+DK91+DK92+DK93+DK94+DK95</f>
        <v/>
      </c>
      <c r="DL73" s="65">
        <f>DK73-DJ73</f>
        <v/>
      </c>
      <c r="DM73" s="66">
        <f>IF(DJ73=0,"",DK73/DJ73)</f>
        <v/>
      </c>
      <c r="DN73" s="35" t="n"/>
      <c r="DO73" s="65">
        <f>DO75+DO76+DO77+DO79+DO81+DO82+DO83+DO85+DO87+DO88+DO89+DO90+DO91+DO92+DO93+DO94+DO95</f>
        <v/>
      </c>
    </row>
    <row r="74" ht="15" customHeight="1">
      <c r="A74" s="19" t="n"/>
      <c r="B74" s="20" t="n"/>
      <c r="C74" s="19" t="n"/>
      <c r="D74" s="58">
        <f>D75+D76+D77</f>
        <v/>
      </c>
      <c r="E74" s="58">
        <f>E75+E76+E77</f>
        <v/>
      </c>
      <c r="F74" s="58">
        <f>E74-D74</f>
        <v/>
      </c>
      <c r="G74" s="59">
        <f>IF(D74=0,"",E74/D74)</f>
        <v/>
      </c>
      <c r="H74" s="23" t="n"/>
      <c r="I74" s="58">
        <f>I75+I76+I77</f>
        <v/>
      </c>
      <c r="J74" s="58">
        <f>J75+J76+J77</f>
        <v/>
      </c>
      <c r="K74" s="58">
        <f>J74-I74</f>
        <v/>
      </c>
      <c r="L74" s="59">
        <f>IF(I74=0,"",J74/I74)</f>
        <v/>
      </c>
      <c r="M74" s="23" t="n"/>
      <c r="N74" s="58">
        <f>N75+N76+N77</f>
        <v/>
      </c>
      <c r="O74" s="58">
        <f>O75+O76+O77</f>
        <v/>
      </c>
      <c r="P74" s="58">
        <f>O74-N74</f>
        <v/>
      </c>
      <c r="Q74" s="59">
        <f>IF(N74=0,"",O74/N74)</f>
        <v/>
      </c>
      <c r="R74" s="23" t="n"/>
      <c r="S74" s="58">
        <f>S75+S76+S77</f>
        <v/>
      </c>
      <c r="T74" s="58">
        <f>T75+T76+T77</f>
        <v/>
      </c>
      <c r="U74" s="58">
        <f>T74-S74</f>
        <v/>
      </c>
      <c r="V74" s="59">
        <f>IF(S74=0,"",T74/S74)</f>
        <v/>
      </c>
      <c r="W74" s="23" t="n"/>
      <c r="X74" s="58">
        <f>X75+X76+X77</f>
        <v/>
      </c>
      <c r="Y74" s="58">
        <f>Y75+Y76+Y77</f>
        <v/>
      </c>
      <c r="Z74" s="58">
        <f>Y74-X74</f>
        <v/>
      </c>
      <c r="AA74" s="59">
        <f>IF(X74=0,"",Y74/X74)</f>
        <v/>
      </c>
      <c r="AB74" s="23" t="n"/>
      <c r="AC74" s="58">
        <f>AC75+AC76+AC77</f>
        <v/>
      </c>
      <c r="AD74" s="58">
        <f>AD75+AD76+AD77</f>
        <v/>
      </c>
      <c r="AE74" s="58">
        <f>AD74-AC74</f>
        <v/>
      </c>
      <c r="AF74" s="59">
        <f>IF(AC74=0,"",AD74/AC74)</f>
        <v/>
      </c>
      <c r="AG74" s="23" t="n"/>
      <c r="AH74" s="58">
        <f>AH75+AH76+AH77</f>
        <v/>
      </c>
      <c r="AI74" s="58">
        <f>AI75+AI76+AI77</f>
        <v/>
      </c>
      <c r="AJ74" s="58">
        <f>AI74-AH74</f>
        <v/>
      </c>
      <c r="AK74" s="59">
        <f>IF(AH74=0,"",AI74/AH74)</f>
        <v/>
      </c>
      <c r="AL74" s="23" t="n"/>
      <c r="AM74" s="58">
        <f>AM75+AM76+AM77</f>
        <v/>
      </c>
      <c r="AN74" s="58">
        <f>AN75+AN76+AN77</f>
        <v/>
      </c>
      <c r="AO74" s="58">
        <f>AN74-AM74</f>
        <v/>
      </c>
      <c r="AP74" s="59">
        <f>IF(AM74=0,"",AN74/AM74)</f>
        <v/>
      </c>
      <c r="AQ74" s="23" t="n"/>
      <c r="AR74" s="58">
        <f>AR75+AR76+AR77</f>
        <v/>
      </c>
      <c r="AS74" s="58">
        <f>AS75+AS76+AS77</f>
        <v/>
      </c>
      <c r="AT74" s="58">
        <f>AS74-AR74</f>
        <v/>
      </c>
      <c r="AU74" s="59">
        <f>IF(AR74=0,"",AS74/AR74)</f>
        <v/>
      </c>
      <c r="AV74" s="23" t="n"/>
      <c r="AW74" s="58">
        <f>AW75+AW76+AW77</f>
        <v/>
      </c>
      <c r="AX74" s="58">
        <f>AX75+AX76+AX77</f>
        <v/>
      </c>
      <c r="AY74" s="58">
        <f>AX74-AW74</f>
        <v/>
      </c>
      <c r="AZ74" s="59">
        <f>IF(AW74=0,"",AX74/AW74)</f>
        <v/>
      </c>
      <c r="BA74" s="23" t="n"/>
      <c r="BB74" s="58">
        <f>BB75+BB76+BB77</f>
        <v/>
      </c>
      <c r="BC74" s="58">
        <f>BC75+BC76+BC77</f>
        <v/>
      </c>
      <c r="BD74" s="58">
        <f>BC74-BB74</f>
        <v/>
      </c>
      <c r="BE74" s="59">
        <f>IF(BB74=0,"",BC74/BB74)</f>
        <v/>
      </c>
      <c r="BF74" s="23" t="n"/>
      <c r="BG74" s="58">
        <f>BG75+BG76+BG77</f>
        <v/>
      </c>
      <c r="BH74" s="58">
        <f>BH75+BH76+BH77</f>
        <v/>
      </c>
      <c r="BI74" s="58">
        <f>BH74-BG74</f>
        <v/>
      </c>
      <c r="BJ74" s="59">
        <f>IF(BG74=0,"",BH74/BG74)</f>
        <v/>
      </c>
      <c r="BK74" s="23" t="n"/>
      <c r="BL74" s="58">
        <f>BL75+BL76+BL77</f>
        <v/>
      </c>
      <c r="BM74" s="58">
        <f>BM75+BM76+BM77</f>
        <v/>
      </c>
      <c r="BN74" s="58">
        <f>BM74-BL74</f>
        <v/>
      </c>
      <c r="BO74" s="59">
        <f>IF(BL74=0,"",BM74/BL74)</f>
        <v/>
      </c>
      <c r="BP74" s="23" t="n"/>
      <c r="BQ74" s="58">
        <f>BQ75+BQ76+BQ77</f>
        <v/>
      </c>
      <c r="BR74" s="58">
        <f>BR75+BR76+BR77</f>
        <v/>
      </c>
      <c r="BS74" s="58">
        <f>BR74-BQ74</f>
        <v/>
      </c>
      <c r="BT74" s="59">
        <f>IF(BQ74=0,"",BR74/BQ74)</f>
        <v/>
      </c>
      <c r="BU74" s="23" t="n"/>
      <c r="BV74" s="58">
        <f>BV75+BV76+BV77</f>
        <v/>
      </c>
      <c r="BW74" s="58">
        <f>BW75+BW76+BW77</f>
        <v/>
      </c>
      <c r="BX74" s="58">
        <f>BW74-BV74</f>
        <v/>
      </c>
      <c r="BY74" s="59">
        <f>IF(BV74=0,"",BW74/BV74)</f>
        <v/>
      </c>
      <c r="BZ74" s="23" t="n"/>
      <c r="CA74" s="58">
        <f>CA75+CA76+CA77</f>
        <v/>
      </c>
      <c r="CB74" s="58">
        <f>CB75+CB76+CB77</f>
        <v/>
      </c>
      <c r="CC74" s="58">
        <f>CB74-CA74</f>
        <v/>
      </c>
      <c r="CD74" s="59">
        <f>IF(CA74=0,"",CB74/CA74)</f>
        <v/>
      </c>
      <c r="CE74" s="23" t="n"/>
      <c r="CF74" s="58">
        <f>CF75+CF76+CF77</f>
        <v/>
      </c>
      <c r="CG74" s="58">
        <f>CG75+CG76+CG77</f>
        <v/>
      </c>
      <c r="CH74" s="58">
        <f>CG74-CF74</f>
        <v/>
      </c>
      <c r="CI74" s="59">
        <f>IF(CF74=0,"",CG74/CF74)</f>
        <v/>
      </c>
      <c r="CJ74" s="23" t="n"/>
      <c r="CK74" s="58">
        <f>CK75+CK76+CK77</f>
        <v/>
      </c>
      <c r="CL74" s="58">
        <f>CL75+CL76+CL77</f>
        <v/>
      </c>
      <c r="CM74" s="58">
        <f>CL74-CK74</f>
        <v/>
      </c>
      <c r="CN74" s="59">
        <f>IF(CK74=0,"",CL74/CK74)</f>
        <v/>
      </c>
      <c r="CO74" s="23" t="n"/>
      <c r="CP74" s="58">
        <f>CP75+CP76+CP77</f>
        <v/>
      </c>
      <c r="CQ74" s="58">
        <f>CQ75+CQ76+CQ77</f>
        <v/>
      </c>
      <c r="CR74" s="58">
        <f>CQ74-CP74</f>
        <v/>
      </c>
      <c r="CS74" s="59">
        <f>IF(CP74=0,"",CQ74/CP74)</f>
        <v/>
      </c>
      <c r="CT74" s="23" t="n"/>
      <c r="CU74" s="58">
        <f>CU75+CU76+CU77</f>
        <v/>
      </c>
      <c r="CV74" s="58">
        <f>CV75+CV76+CV77</f>
        <v/>
      </c>
      <c r="CW74" s="58">
        <f>CV74-CU74</f>
        <v/>
      </c>
      <c r="CX74" s="59">
        <f>IF(CU74=0,"",CV74/CU74)</f>
        <v/>
      </c>
      <c r="CY74" s="23" t="n"/>
      <c r="CZ74" s="58">
        <f>CZ75+CZ76+CZ77</f>
        <v/>
      </c>
      <c r="DA74" s="58">
        <f>DA75+DA76+DA77</f>
        <v/>
      </c>
      <c r="DB74" s="58">
        <f>DA74-CZ74</f>
        <v/>
      </c>
      <c r="DC74" s="59">
        <f>IF(CZ74=0,"",DA74/CZ74)</f>
        <v/>
      </c>
      <c r="DD74" s="23" t="n"/>
      <c r="DE74" s="58">
        <f>DE75+DE76+DE77</f>
        <v/>
      </c>
      <c r="DF74" s="58">
        <f>DF75+DF76+DF77</f>
        <v/>
      </c>
      <c r="DG74" s="58">
        <f>DF74-DE74</f>
        <v/>
      </c>
      <c r="DH74" s="59">
        <f>IF(DE74=0,"",DF74/DE74)</f>
        <v/>
      </c>
      <c r="DI74" s="23" t="n"/>
      <c r="DJ74" s="58">
        <f>DJ75+DJ76+DJ77</f>
        <v/>
      </c>
      <c r="DK74" s="58">
        <f>DK75+DK76+DK77</f>
        <v/>
      </c>
      <c r="DL74" s="58">
        <f>DK74-DJ74</f>
        <v/>
      </c>
      <c r="DM74" s="59">
        <f>IF(DJ74=0,"",DK74/DJ74)</f>
        <v/>
      </c>
      <c r="DN74" s="23" t="n"/>
      <c r="DO74" s="58">
        <f>DO75+DO76+DO77</f>
        <v/>
      </c>
    </row>
    <row r="75" outlineLevel="1" ht="15" customHeight="1">
      <c r="A75" s="24" t="n"/>
      <c r="B75" s="24" t="n"/>
      <c r="C75" s="24" t="n"/>
      <c r="D75" s="60" t="n"/>
      <c r="E75" s="60" t="n"/>
      <c r="F75" s="60">
        <f>E75-D75</f>
        <v/>
      </c>
      <c r="G75" s="61">
        <f>IF(D75=0,"",E75/D75)</f>
        <v/>
      </c>
      <c r="H75" s="27" t="n"/>
      <c r="I75" s="60" t="n"/>
      <c r="J75" s="60" t="n"/>
      <c r="K75" s="60">
        <f>J75-I75</f>
        <v/>
      </c>
      <c r="L75" s="61">
        <f>IF(I75=0,"",J75/I75)</f>
        <v/>
      </c>
      <c r="M75" s="27" t="n"/>
      <c r="N75" s="62" t="n"/>
      <c r="O75" s="62" t="n"/>
      <c r="P75" s="62">
        <f>O75-N75</f>
        <v/>
      </c>
      <c r="Q75" s="64">
        <f>IF(N75=0,"",O75/N75)</f>
        <v/>
      </c>
      <c r="R75" s="31" t="n"/>
      <c r="S75" s="60" t="n"/>
      <c r="T75" s="60" t="n"/>
      <c r="U75" s="60">
        <f>T75-S75</f>
        <v/>
      </c>
      <c r="V75" s="61">
        <f>IF(S75=0,"",T75/S75)</f>
        <v/>
      </c>
      <c r="W75" s="27" t="n"/>
      <c r="X75" s="62" t="n"/>
      <c r="Y75" s="62" t="n"/>
      <c r="Z75" s="62">
        <f>Y75-X75</f>
        <v/>
      </c>
      <c r="AA75" s="64">
        <f>IF(X75=0,"",Y75/X75)</f>
        <v/>
      </c>
      <c r="AB75" s="31" t="n"/>
      <c r="AC75" s="60" t="n"/>
      <c r="AD75" s="60" t="n"/>
      <c r="AE75" s="60">
        <f>AD75-AC75</f>
        <v/>
      </c>
      <c r="AF75" s="61">
        <f>IF(AC75=0,"",AD75/AC75)</f>
        <v/>
      </c>
      <c r="AG75" s="27" t="n"/>
      <c r="AH75" s="62" t="n"/>
      <c r="AI75" s="62" t="n"/>
      <c r="AJ75" s="62">
        <f>AI75-AH75</f>
        <v/>
      </c>
      <c r="AK75" s="64">
        <f>IF(AH75=0,"",AI75/AH75)</f>
        <v/>
      </c>
      <c r="AL75" s="31" t="n"/>
      <c r="AM75" s="60" t="n"/>
      <c r="AN75" s="60" t="n"/>
      <c r="AO75" s="60">
        <f>AN75-AM75</f>
        <v/>
      </c>
      <c r="AP75" s="61">
        <f>IF(AM75=0,"",AN75/AM75)</f>
        <v/>
      </c>
      <c r="AQ75" s="27" t="n"/>
      <c r="AR75" s="62" t="n"/>
      <c r="AS75" s="62" t="n"/>
      <c r="AT75" s="62">
        <f>AS75-AR75</f>
        <v/>
      </c>
      <c r="AU75" s="64">
        <f>IF(AR75=0,"",AS75/AR75)</f>
        <v/>
      </c>
      <c r="AV75" s="31" t="n"/>
      <c r="AW75" s="60" t="n"/>
      <c r="AX75" s="60" t="n"/>
      <c r="AY75" s="60">
        <f>AX75-AW75</f>
        <v/>
      </c>
      <c r="AZ75" s="61">
        <f>IF(AW75=0,"",AX75/AW75)</f>
        <v/>
      </c>
      <c r="BA75" s="27" t="n"/>
      <c r="BB75" s="62" t="n"/>
      <c r="BC75" s="62" t="n"/>
      <c r="BD75" s="62">
        <f>BC75-BB75</f>
        <v/>
      </c>
      <c r="BE75" s="64">
        <f>IF(BB75=0,"",BC75/BB75)</f>
        <v/>
      </c>
      <c r="BF75" s="31" t="n"/>
      <c r="BG75" s="60" t="n"/>
      <c r="BH75" s="60" t="n"/>
      <c r="BI75" s="60">
        <f>BH75-BG75</f>
        <v/>
      </c>
      <c r="BJ75" s="61">
        <f>IF(BG75=0,"",BH75/BG75)</f>
        <v/>
      </c>
      <c r="BK75" s="27" t="n"/>
      <c r="BL75" s="62" t="n"/>
      <c r="BM75" s="62" t="n"/>
      <c r="BN75" s="62">
        <f>BM75-BL75</f>
        <v/>
      </c>
      <c r="BO75" s="64">
        <f>IF(BL75=0,"",BM75/BL75)</f>
        <v/>
      </c>
      <c r="BP75" s="31" t="n"/>
      <c r="BQ75" s="60" t="n"/>
      <c r="BR75" s="60" t="n"/>
      <c r="BS75" s="60">
        <f>BR75-BQ75</f>
        <v/>
      </c>
      <c r="BT75" s="61">
        <f>IF(BQ75=0,"",BR75/BQ75)</f>
        <v/>
      </c>
      <c r="BU75" s="27" t="n"/>
      <c r="BV75" s="62" t="n"/>
      <c r="BW75" s="62" t="n"/>
      <c r="BX75" s="62">
        <f>BW75-BV75</f>
        <v/>
      </c>
      <c r="BY75" s="64">
        <f>IF(BV75=0,"",BW75/BV75)</f>
        <v/>
      </c>
      <c r="BZ75" s="31" t="n"/>
      <c r="CA75" s="60" t="n"/>
      <c r="CB75" s="60" t="n"/>
      <c r="CC75" s="60">
        <f>CB75-CA75</f>
        <v/>
      </c>
      <c r="CD75" s="61">
        <f>IF(CA75=0,"",CB75/CA75)</f>
        <v/>
      </c>
      <c r="CE75" s="27" t="n"/>
      <c r="CF75" s="62" t="n"/>
      <c r="CG75" s="62" t="n"/>
      <c r="CH75" s="62">
        <f>CG75-CF75</f>
        <v/>
      </c>
      <c r="CI75" s="64">
        <f>IF(CF75=0,"",CG75/CF75)</f>
        <v/>
      </c>
      <c r="CJ75" s="31" t="n"/>
      <c r="CK75" s="60" t="n"/>
      <c r="CL75" s="60" t="n"/>
      <c r="CM75" s="60">
        <f>CL75-CK75</f>
        <v/>
      </c>
      <c r="CN75" s="61">
        <f>IF(CK75=0,"",CL75/CK75)</f>
        <v/>
      </c>
      <c r="CO75" s="27" t="n"/>
      <c r="CP75" s="62" t="n"/>
      <c r="CQ75" s="62" t="n"/>
      <c r="CR75" s="62">
        <f>CQ75-CP75</f>
        <v/>
      </c>
      <c r="CS75" s="64">
        <f>IF(CP75=0,"",CQ75/CP75)</f>
        <v/>
      </c>
      <c r="CT75" s="31" t="n"/>
      <c r="CU75" s="60" t="n"/>
      <c r="CV75" s="60" t="n"/>
      <c r="CW75" s="60">
        <f>CV75-CU75</f>
        <v/>
      </c>
      <c r="CX75" s="61">
        <f>IF(CU75=0,"",CV75/CU75)</f>
        <v/>
      </c>
      <c r="CY75" s="27" t="n"/>
      <c r="CZ75" s="62" t="n"/>
      <c r="DA75" s="62" t="n"/>
      <c r="DB75" s="62">
        <f>DA75-CZ75</f>
        <v/>
      </c>
      <c r="DC75" s="64">
        <f>IF(CZ75=0,"",DA75/CZ75)</f>
        <v/>
      </c>
      <c r="DD75" s="31" t="n"/>
      <c r="DE75" s="60" t="n"/>
      <c r="DF75" s="60" t="n"/>
      <c r="DG75" s="60">
        <f>DF75-DE75</f>
        <v/>
      </c>
      <c r="DH75" s="61">
        <f>IF(DE75=0,"",DF75/DE75)</f>
        <v/>
      </c>
      <c r="DI75" s="27" t="n"/>
      <c r="DJ75" s="62" t="n"/>
      <c r="DK75" s="62" t="n"/>
      <c r="DL75" s="62">
        <f>DK75-DJ75</f>
        <v/>
      </c>
      <c r="DM75" s="64">
        <f>IF(DJ75=0,"",DK75/DJ75)</f>
        <v/>
      </c>
      <c r="DN75" s="31" t="n"/>
      <c r="DO75" s="60" t="n"/>
    </row>
    <row r="76" outlineLevel="1" ht="15" customHeight="1">
      <c r="A76" s="24" t="n"/>
      <c r="B76" s="24" t="n"/>
      <c r="C76" s="24" t="n"/>
      <c r="D76" s="60" t="n"/>
      <c r="E76" s="60" t="n"/>
      <c r="F76" s="60">
        <f>E76-D76</f>
        <v/>
      </c>
      <c r="G76" s="61">
        <f>IF(D76=0,"",E76/D76)</f>
        <v/>
      </c>
      <c r="H76" s="27" t="n"/>
      <c r="I76" s="60" t="n"/>
      <c r="J76" s="60" t="n"/>
      <c r="K76" s="60">
        <f>J76-I76</f>
        <v/>
      </c>
      <c r="L76" s="61">
        <f>IF(I76=0,"",J76/I76)</f>
        <v/>
      </c>
      <c r="M76" s="27" t="n"/>
      <c r="N76" s="62" t="n"/>
      <c r="O76" s="62" t="n"/>
      <c r="P76" s="62">
        <f>O76-N76</f>
        <v/>
      </c>
      <c r="Q76" s="64">
        <f>IF(N76=0,"",O76/N76)</f>
        <v/>
      </c>
      <c r="R76" s="31" t="n"/>
      <c r="S76" s="60" t="n"/>
      <c r="T76" s="60" t="n"/>
      <c r="U76" s="60">
        <f>T76-S76</f>
        <v/>
      </c>
      <c r="V76" s="61">
        <f>IF(S76=0,"",T76/S76)</f>
        <v/>
      </c>
      <c r="W76" s="27" t="n"/>
      <c r="X76" s="62" t="n"/>
      <c r="Y76" s="62" t="n"/>
      <c r="Z76" s="62">
        <f>Y76-X76</f>
        <v/>
      </c>
      <c r="AA76" s="64">
        <f>IF(X76=0,"",Y76/X76)</f>
        <v/>
      </c>
      <c r="AB76" s="31" t="n"/>
      <c r="AC76" s="60" t="n"/>
      <c r="AD76" s="60" t="n"/>
      <c r="AE76" s="60">
        <f>AD76-AC76</f>
        <v/>
      </c>
      <c r="AF76" s="61">
        <f>IF(AC76=0,"",AD76/AC76)</f>
        <v/>
      </c>
      <c r="AG76" s="27" t="n"/>
      <c r="AH76" s="62" t="n"/>
      <c r="AI76" s="62" t="n"/>
      <c r="AJ76" s="62">
        <f>AI76-AH76</f>
        <v/>
      </c>
      <c r="AK76" s="64">
        <f>IF(AH76=0,"",AI76/AH76)</f>
        <v/>
      </c>
      <c r="AL76" s="31" t="n"/>
      <c r="AM76" s="60" t="n"/>
      <c r="AN76" s="60" t="n"/>
      <c r="AO76" s="60">
        <f>AN76-AM76</f>
        <v/>
      </c>
      <c r="AP76" s="61">
        <f>IF(AM76=0,"",AN76/AM76)</f>
        <v/>
      </c>
      <c r="AQ76" s="27" t="n"/>
      <c r="AR76" s="62" t="n"/>
      <c r="AS76" s="62" t="n"/>
      <c r="AT76" s="62">
        <f>AS76-AR76</f>
        <v/>
      </c>
      <c r="AU76" s="64">
        <f>IF(AR76=0,"",AS76/AR76)</f>
        <v/>
      </c>
      <c r="AV76" s="31" t="n"/>
      <c r="AW76" s="60" t="n"/>
      <c r="AX76" s="60" t="n"/>
      <c r="AY76" s="60">
        <f>AX76-AW76</f>
        <v/>
      </c>
      <c r="AZ76" s="61">
        <f>IF(AW76=0,"",AX76/AW76)</f>
        <v/>
      </c>
      <c r="BA76" s="27" t="n"/>
      <c r="BB76" s="62" t="n"/>
      <c r="BC76" s="62" t="n"/>
      <c r="BD76" s="62">
        <f>BC76-BB76</f>
        <v/>
      </c>
      <c r="BE76" s="64">
        <f>IF(BB76=0,"",BC76/BB76)</f>
        <v/>
      </c>
      <c r="BF76" s="31" t="n"/>
      <c r="BG76" s="60" t="n"/>
      <c r="BH76" s="60" t="n"/>
      <c r="BI76" s="60">
        <f>BH76-BG76</f>
        <v/>
      </c>
      <c r="BJ76" s="61">
        <f>IF(BG76=0,"",BH76/BG76)</f>
        <v/>
      </c>
      <c r="BK76" s="27" t="n"/>
      <c r="BL76" s="62" t="n"/>
      <c r="BM76" s="62" t="n"/>
      <c r="BN76" s="62">
        <f>BM76-BL76</f>
        <v/>
      </c>
      <c r="BO76" s="64">
        <f>IF(BL76=0,"",BM76/BL76)</f>
        <v/>
      </c>
      <c r="BP76" s="31" t="n"/>
      <c r="BQ76" s="60" t="n"/>
      <c r="BR76" s="60" t="n"/>
      <c r="BS76" s="60">
        <f>BR76-BQ76</f>
        <v/>
      </c>
      <c r="BT76" s="61">
        <f>IF(BQ76=0,"",BR76/BQ76)</f>
        <v/>
      </c>
      <c r="BU76" s="27" t="n"/>
      <c r="BV76" s="62" t="n"/>
      <c r="BW76" s="62" t="n"/>
      <c r="BX76" s="62">
        <f>BW76-BV76</f>
        <v/>
      </c>
      <c r="BY76" s="64">
        <f>IF(BV76=0,"",BW76/BV76)</f>
        <v/>
      </c>
      <c r="BZ76" s="31" t="n"/>
      <c r="CA76" s="60" t="n"/>
      <c r="CB76" s="60" t="n"/>
      <c r="CC76" s="60">
        <f>CB76-CA76</f>
        <v/>
      </c>
      <c r="CD76" s="61">
        <f>IF(CA76=0,"",CB76/CA76)</f>
        <v/>
      </c>
      <c r="CE76" s="27" t="n"/>
      <c r="CF76" s="62" t="n"/>
      <c r="CG76" s="62" t="n"/>
      <c r="CH76" s="62">
        <f>CG76-CF76</f>
        <v/>
      </c>
      <c r="CI76" s="64">
        <f>IF(CF76=0,"",CG76/CF76)</f>
        <v/>
      </c>
      <c r="CJ76" s="31" t="n"/>
      <c r="CK76" s="60" t="n"/>
      <c r="CL76" s="60" t="n"/>
      <c r="CM76" s="60">
        <f>CL76-CK76</f>
        <v/>
      </c>
      <c r="CN76" s="61">
        <f>IF(CK76=0,"",CL76/CK76)</f>
        <v/>
      </c>
      <c r="CO76" s="27" t="n"/>
      <c r="CP76" s="62" t="n"/>
      <c r="CQ76" s="62" t="n"/>
      <c r="CR76" s="62">
        <f>CQ76-CP76</f>
        <v/>
      </c>
      <c r="CS76" s="64">
        <f>IF(CP76=0,"",CQ76/CP76)</f>
        <v/>
      </c>
      <c r="CT76" s="31" t="n"/>
      <c r="CU76" s="60" t="n"/>
      <c r="CV76" s="60" t="n"/>
      <c r="CW76" s="60">
        <f>CV76-CU76</f>
        <v/>
      </c>
      <c r="CX76" s="61">
        <f>IF(CU76=0,"",CV76/CU76)</f>
        <v/>
      </c>
      <c r="CY76" s="27" t="n"/>
      <c r="CZ76" s="62" t="n"/>
      <c r="DA76" s="62" t="n"/>
      <c r="DB76" s="62">
        <f>DA76-CZ76</f>
        <v/>
      </c>
      <c r="DC76" s="64">
        <f>IF(CZ76=0,"",DA76/CZ76)</f>
        <v/>
      </c>
      <c r="DD76" s="31" t="n"/>
      <c r="DE76" s="60" t="n"/>
      <c r="DF76" s="60" t="n"/>
      <c r="DG76" s="60">
        <f>DF76-DE76</f>
        <v/>
      </c>
      <c r="DH76" s="61">
        <f>IF(DE76=0,"",DF76/DE76)</f>
        <v/>
      </c>
      <c r="DI76" s="27" t="n"/>
      <c r="DJ76" s="62" t="n"/>
      <c r="DK76" s="62" t="n"/>
      <c r="DL76" s="62">
        <f>DK76-DJ76</f>
        <v/>
      </c>
      <c r="DM76" s="64">
        <f>IF(DJ76=0,"",DK76/DJ76)</f>
        <v/>
      </c>
      <c r="DN76" s="31" t="n"/>
      <c r="DO76" s="60" t="n"/>
    </row>
    <row r="77" outlineLevel="1" ht="15" customHeight="1">
      <c r="A77" s="24" t="n"/>
      <c r="B77" s="24" t="n"/>
      <c r="C77" s="24" t="n"/>
      <c r="D77" s="60" t="n"/>
      <c r="E77" s="60" t="n"/>
      <c r="F77" s="60">
        <f>E77-D77</f>
        <v/>
      </c>
      <c r="G77" s="61">
        <f>IF(D77=0,"",E77/D77)</f>
        <v/>
      </c>
      <c r="H77" s="27" t="n"/>
      <c r="I77" s="60" t="n"/>
      <c r="J77" s="60" t="n"/>
      <c r="K77" s="60">
        <f>J77-I77</f>
        <v/>
      </c>
      <c r="L77" s="61">
        <f>IF(I77=0,"",J77/I77)</f>
        <v/>
      </c>
      <c r="M77" s="27" t="n"/>
      <c r="N77" s="62" t="n"/>
      <c r="O77" s="62" t="n"/>
      <c r="P77" s="62">
        <f>O77-N77</f>
        <v/>
      </c>
      <c r="Q77" s="64">
        <f>IF(N77=0,"",O77/N77)</f>
        <v/>
      </c>
      <c r="R77" s="31" t="n"/>
      <c r="S77" s="60" t="n"/>
      <c r="T77" s="60" t="n"/>
      <c r="U77" s="60">
        <f>T77-S77</f>
        <v/>
      </c>
      <c r="V77" s="61">
        <f>IF(S77=0,"",T77/S77)</f>
        <v/>
      </c>
      <c r="W77" s="27" t="n"/>
      <c r="X77" s="62" t="n"/>
      <c r="Y77" s="62" t="n"/>
      <c r="Z77" s="62">
        <f>Y77-X77</f>
        <v/>
      </c>
      <c r="AA77" s="64">
        <f>IF(X77=0,"",Y77/X77)</f>
        <v/>
      </c>
      <c r="AB77" s="31" t="n"/>
      <c r="AC77" s="60" t="n"/>
      <c r="AD77" s="60" t="n"/>
      <c r="AE77" s="60">
        <f>AD77-AC77</f>
        <v/>
      </c>
      <c r="AF77" s="61">
        <f>IF(AC77=0,"",AD77/AC77)</f>
        <v/>
      </c>
      <c r="AG77" s="27" t="n"/>
      <c r="AH77" s="62" t="n"/>
      <c r="AI77" s="62" t="n"/>
      <c r="AJ77" s="62">
        <f>AI77-AH77</f>
        <v/>
      </c>
      <c r="AK77" s="64">
        <f>IF(AH77=0,"",AI77/AH77)</f>
        <v/>
      </c>
      <c r="AL77" s="31" t="n"/>
      <c r="AM77" s="60" t="n"/>
      <c r="AN77" s="60" t="n"/>
      <c r="AO77" s="60">
        <f>AN77-AM77</f>
        <v/>
      </c>
      <c r="AP77" s="61">
        <f>IF(AM77=0,"",AN77/AM77)</f>
        <v/>
      </c>
      <c r="AQ77" s="27" t="n"/>
      <c r="AR77" s="62" t="n"/>
      <c r="AS77" s="62" t="n"/>
      <c r="AT77" s="62">
        <f>AS77-AR77</f>
        <v/>
      </c>
      <c r="AU77" s="64">
        <f>IF(AR77=0,"",AS77/AR77)</f>
        <v/>
      </c>
      <c r="AV77" s="31" t="n"/>
      <c r="AW77" s="60" t="n"/>
      <c r="AX77" s="60" t="n"/>
      <c r="AY77" s="60">
        <f>AX77-AW77</f>
        <v/>
      </c>
      <c r="AZ77" s="61">
        <f>IF(AW77=0,"",AX77/AW77)</f>
        <v/>
      </c>
      <c r="BA77" s="27" t="n"/>
      <c r="BB77" s="62" t="n"/>
      <c r="BC77" s="62" t="n"/>
      <c r="BD77" s="62">
        <f>BC77-BB77</f>
        <v/>
      </c>
      <c r="BE77" s="64">
        <f>IF(BB77=0,"",BC77/BB77)</f>
        <v/>
      </c>
      <c r="BF77" s="31" t="n"/>
      <c r="BG77" s="60" t="n"/>
      <c r="BH77" s="60" t="n"/>
      <c r="BI77" s="60">
        <f>BH77-BG77</f>
        <v/>
      </c>
      <c r="BJ77" s="61">
        <f>IF(BG77=0,"",BH77/BG77)</f>
        <v/>
      </c>
      <c r="BK77" s="27" t="n"/>
      <c r="BL77" s="62" t="n"/>
      <c r="BM77" s="62" t="n"/>
      <c r="BN77" s="62">
        <f>BM77-BL77</f>
        <v/>
      </c>
      <c r="BO77" s="64">
        <f>IF(BL77=0,"",BM77/BL77)</f>
        <v/>
      </c>
      <c r="BP77" s="31" t="n"/>
      <c r="BQ77" s="60" t="n"/>
      <c r="BR77" s="60" t="n"/>
      <c r="BS77" s="60">
        <f>BR77-BQ77</f>
        <v/>
      </c>
      <c r="BT77" s="61">
        <f>IF(BQ77=0,"",BR77/BQ77)</f>
        <v/>
      </c>
      <c r="BU77" s="27" t="n"/>
      <c r="BV77" s="62" t="n"/>
      <c r="BW77" s="62" t="n"/>
      <c r="BX77" s="62">
        <f>BW77-BV77</f>
        <v/>
      </c>
      <c r="BY77" s="64">
        <f>IF(BV77=0,"",BW77/BV77)</f>
        <v/>
      </c>
      <c r="BZ77" s="31" t="n"/>
      <c r="CA77" s="60" t="n"/>
      <c r="CB77" s="60" t="n"/>
      <c r="CC77" s="60">
        <f>CB77-CA77</f>
        <v/>
      </c>
      <c r="CD77" s="61">
        <f>IF(CA77=0,"",CB77/CA77)</f>
        <v/>
      </c>
      <c r="CE77" s="27" t="n"/>
      <c r="CF77" s="62" t="n"/>
      <c r="CG77" s="62" t="n"/>
      <c r="CH77" s="62">
        <f>CG77-CF77</f>
        <v/>
      </c>
      <c r="CI77" s="64">
        <f>IF(CF77=0,"",CG77/CF77)</f>
        <v/>
      </c>
      <c r="CJ77" s="31" t="n"/>
      <c r="CK77" s="60" t="n"/>
      <c r="CL77" s="60" t="n"/>
      <c r="CM77" s="60">
        <f>CL77-CK77</f>
        <v/>
      </c>
      <c r="CN77" s="61">
        <f>IF(CK77=0,"",CL77/CK77)</f>
        <v/>
      </c>
      <c r="CO77" s="27" t="n"/>
      <c r="CP77" s="62" t="n"/>
      <c r="CQ77" s="62" t="n"/>
      <c r="CR77" s="62">
        <f>CQ77-CP77</f>
        <v/>
      </c>
      <c r="CS77" s="64">
        <f>IF(CP77=0,"",CQ77/CP77)</f>
        <v/>
      </c>
      <c r="CT77" s="31" t="n"/>
      <c r="CU77" s="60" t="n"/>
      <c r="CV77" s="60" t="n"/>
      <c r="CW77" s="60">
        <f>CV77-CU77</f>
        <v/>
      </c>
      <c r="CX77" s="61">
        <f>IF(CU77=0,"",CV77/CU77)</f>
        <v/>
      </c>
      <c r="CY77" s="27" t="n"/>
      <c r="CZ77" s="62" t="n"/>
      <c r="DA77" s="62" t="n"/>
      <c r="DB77" s="62">
        <f>DA77-CZ77</f>
        <v/>
      </c>
      <c r="DC77" s="64">
        <f>IF(CZ77=0,"",DA77/CZ77)</f>
        <v/>
      </c>
      <c r="DD77" s="31" t="n"/>
      <c r="DE77" s="60" t="n"/>
      <c r="DF77" s="60" t="n"/>
      <c r="DG77" s="60">
        <f>DF77-DE77</f>
        <v/>
      </c>
      <c r="DH77" s="61">
        <f>IF(DE77=0,"",DF77/DE77)</f>
        <v/>
      </c>
      <c r="DI77" s="27" t="n"/>
      <c r="DJ77" s="62" t="n"/>
      <c r="DK77" s="62" t="n"/>
      <c r="DL77" s="62">
        <f>DK77-DJ77</f>
        <v/>
      </c>
      <c r="DM77" s="64">
        <f>IF(DJ77=0,"",DK77/DJ77)</f>
        <v/>
      </c>
      <c r="DN77" s="31" t="n"/>
      <c r="DO77" s="60" t="n"/>
    </row>
    <row r="78" ht="15" customHeight="1">
      <c r="A78" s="19" t="n"/>
      <c r="B78" s="20" t="n"/>
      <c r="C78" s="19" t="n"/>
      <c r="D78" s="58">
        <f>D79</f>
        <v/>
      </c>
      <c r="E78" s="58">
        <f>E79</f>
        <v/>
      </c>
      <c r="F78" s="58">
        <f>E78-D78</f>
        <v/>
      </c>
      <c r="G78" s="59">
        <f>IF(D78=0,"",E78/D78)</f>
        <v/>
      </c>
      <c r="H78" s="23" t="n"/>
      <c r="I78" s="58">
        <f>I79</f>
        <v/>
      </c>
      <c r="J78" s="58">
        <f>J79</f>
        <v/>
      </c>
      <c r="K78" s="58">
        <f>J78-I78</f>
        <v/>
      </c>
      <c r="L78" s="59">
        <f>IF(I78=0,"",J78/I78)</f>
        <v/>
      </c>
      <c r="M78" s="23" t="n"/>
      <c r="N78" s="58">
        <f>N79</f>
        <v/>
      </c>
      <c r="O78" s="58">
        <f>O79</f>
        <v/>
      </c>
      <c r="P78" s="58">
        <f>O78-N78</f>
        <v/>
      </c>
      <c r="Q78" s="59">
        <f>IF(N78=0,"",O78/N78)</f>
        <v/>
      </c>
      <c r="R78" s="23" t="n"/>
      <c r="S78" s="58">
        <f>S79</f>
        <v/>
      </c>
      <c r="T78" s="58">
        <f>T79</f>
        <v/>
      </c>
      <c r="U78" s="58">
        <f>T78-S78</f>
        <v/>
      </c>
      <c r="V78" s="59">
        <f>IF(S78=0,"",T78/S78)</f>
        <v/>
      </c>
      <c r="W78" s="23" t="n"/>
      <c r="X78" s="58">
        <f>X79</f>
        <v/>
      </c>
      <c r="Y78" s="58">
        <f>Y79</f>
        <v/>
      </c>
      <c r="Z78" s="58">
        <f>Y78-X78</f>
        <v/>
      </c>
      <c r="AA78" s="59">
        <f>IF(X78=0,"",Y78/X78)</f>
        <v/>
      </c>
      <c r="AB78" s="23" t="n"/>
      <c r="AC78" s="58">
        <f>AC79</f>
        <v/>
      </c>
      <c r="AD78" s="58">
        <f>AD79</f>
        <v/>
      </c>
      <c r="AE78" s="58">
        <f>AD78-AC78</f>
        <v/>
      </c>
      <c r="AF78" s="59">
        <f>IF(AC78=0,"",AD78/AC78)</f>
        <v/>
      </c>
      <c r="AG78" s="23" t="n"/>
      <c r="AH78" s="58">
        <f>AH79</f>
        <v/>
      </c>
      <c r="AI78" s="58">
        <f>AI79</f>
        <v/>
      </c>
      <c r="AJ78" s="58">
        <f>AI78-AH78</f>
        <v/>
      </c>
      <c r="AK78" s="59">
        <f>IF(AH78=0,"",AI78/AH78)</f>
        <v/>
      </c>
      <c r="AL78" s="23" t="n"/>
      <c r="AM78" s="58">
        <f>AM79</f>
        <v/>
      </c>
      <c r="AN78" s="58">
        <f>AN79</f>
        <v/>
      </c>
      <c r="AO78" s="58">
        <f>AN78-AM78</f>
        <v/>
      </c>
      <c r="AP78" s="59">
        <f>IF(AM78=0,"",AN78/AM78)</f>
        <v/>
      </c>
      <c r="AQ78" s="23" t="n"/>
      <c r="AR78" s="58">
        <f>AR79</f>
        <v/>
      </c>
      <c r="AS78" s="58">
        <f>AS79</f>
        <v/>
      </c>
      <c r="AT78" s="58">
        <f>AS78-AR78</f>
        <v/>
      </c>
      <c r="AU78" s="59">
        <f>IF(AR78=0,"",AS78/AR78)</f>
        <v/>
      </c>
      <c r="AV78" s="23" t="n"/>
      <c r="AW78" s="58">
        <f>AW79</f>
        <v/>
      </c>
      <c r="AX78" s="58">
        <f>AX79</f>
        <v/>
      </c>
      <c r="AY78" s="58">
        <f>AX78-AW78</f>
        <v/>
      </c>
      <c r="AZ78" s="59">
        <f>IF(AW78=0,"",AX78/AW78)</f>
        <v/>
      </c>
      <c r="BA78" s="23" t="n"/>
      <c r="BB78" s="58">
        <f>BB79</f>
        <v/>
      </c>
      <c r="BC78" s="58">
        <f>BC79</f>
        <v/>
      </c>
      <c r="BD78" s="58">
        <f>BC78-BB78</f>
        <v/>
      </c>
      <c r="BE78" s="59">
        <f>IF(BB78=0,"",BC78/BB78)</f>
        <v/>
      </c>
      <c r="BF78" s="23" t="n"/>
      <c r="BG78" s="58">
        <f>BG79</f>
        <v/>
      </c>
      <c r="BH78" s="58">
        <f>BH79</f>
        <v/>
      </c>
      <c r="BI78" s="58">
        <f>BH78-BG78</f>
        <v/>
      </c>
      <c r="BJ78" s="59">
        <f>IF(BG78=0,"",BH78/BG78)</f>
        <v/>
      </c>
      <c r="BK78" s="23" t="n"/>
      <c r="BL78" s="58">
        <f>BL79</f>
        <v/>
      </c>
      <c r="BM78" s="58">
        <f>BM79</f>
        <v/>
      </c>
      <c r="BN78" s="58">
        <f>BM78-BL78</f>
        <v/>
      </c>
      <c r="BO78" s="59">
        <f>IF(BL78=0,"",BM78/BL78)</f>
        <v/>
      </c>
      <c r="BP78" s="23" t="n"/>
      <c r="BQ78" s="58">
        <f>BQ79</f>
        <v/>
      </c>
      <c r="BR78" s="58">
        <f>BR79</f>
        <v/>
      </c>
      <c r="BS78" s="58">
        <f>BR78-BQ78</f>
        <v/>
      </c>
      <c r="BT78" s="59">
        <f>IF(BQ78=0,"",BR78/BQ78)</f>
        <v/>
      </c>
      <c r="BU78" s="23" t="n"/>
      <c r="BV78" s="58">
        <f>BV79</f>
        <v/>
      </c>
      <c r="BW78" s="58">
        <f>BW79</f>
        <v/>
      </c>
      <c r="BX78" s="58">
        <f>BW78-BV78</f>
        <v/>
      </c>
      <c r="BY78" s="59">
        <f>IF(BV78=0,"",BW78/BV78)</f>
        <v/>
      </c>
      <c r="BZ78" s="23" t="n"/>
      <c r="CA78" s="58">
        <f>CA79</f>
        <v/>
      </c>
      <c r="CB78" s="58">
        <f>CB79</f>
        <v/>
      </c>
      <c r="CC78" s="58">
        <f>CB78-CA78</f>
        <v/>
      </c>
      <c r="CD78" s="59">
        <f>IF(CA78=0,"",CB78/CA78)</f>
        <v/>
      </c>
      <c r="CE78" s="23" t="n"/>
      <c r="CF78" s="58">
        <f>CF79</f>
        <v/>
      </c>
      <c r="CG78" s="58">
        <f>CG79</f>
        <v/>
      </c>
      <c r="CH78" s="58">
        <f>CG78-CF78</f>
        <v/>
      </c>
      <c r="CI78" s="59">
        <f>IF(CF78=0,"",CG78/CF78)</f>
        <v/>
      </c>
      <c r="CJ78" s="23" t="n"/>
      <c r="CK78" s="58">
        <f>CK79</f>
        <v/>
      </c>
      <c r="CL78" s="58">
        <f>CL79</f>
        <v/>
      </c>
      <c r="CM78" s="58">
        <f>CL78-CK78</f>
        <v/>
      </c>
      <c r="CN78" s="59">
        <f>IF(CK78=0,"",CL78/CK78)</f>
        <v/>
      </c>
      <c r="CO78" s="23" t="n"/>
      <c r="CP78" s="58">
        <f>CP79</f>
        <v/>
      </c>
      <c r="CQ78" s="58">
        <f>CQ79</f>
        <v/>
      </c>
      <c r="CR78" s="58">
        <f>CQ78-CP78</f>
        <v/>
      </c>
      <c r="CS78" s="59">
        <f>IF(CP78=0,"",CQ78/CP78)</f>
        <v/>
      </c>
      <c r="CT78" s="23" t="n"/>
      <c r="CU78" s="58">
        <f>CU79</f>
        <v/>
      </c>
      <c r="CV78" s="58">
        <f>CV79</f>
        <v/>
      </c>
      <c r="CW78" s="58">
        <f>CV78-CU78</f>
        <v/>
      </c>
      <c r="CX78" s="59">
        <f>IF(CU78=0,"",CV78/CU78)</f>
        <v/>
      </c>
      <c r="CY78" s="23" t="n"/>
      <c r="CZ78" s="58">
        <f>CZ79</f>
        <v/>
      </c>
      <c r="DA78" s="58">
        <f>DA79</f>
        <v/>
      </c>
      <c r="DB78" s="58">
        <f>DA78-CZ78</f>
        <v/>
      </c>
      <c r="DC78" s="59">
        <f>IF(CZ78=0,"",DA78/CZ78)</f>
        <v/>
      </c>
      <c r="DD78" s="23" t="n"/>
      <c r="DE78" s="58">
        <f>DE79</f>
        <v/>
      </c>
      <c r="DF78" s="58">
        <f>DF79</f>
        <v/>
      </c>
      <c r="DG78" s="58">
        <f>DF78-DE78</f>
        <v/>
      </c>
      <c r="DH78" s="59">
        <f>IF(DE78=0,"",DF78/DE78)</f>
        <v/>
      </c>
      <c r="DI78" s="23" t="n"/>
      <c r="DJ78" s="58">
        <f>DJ79</f>
        <v/>
      </c>
      <c r="DK78" s="58">
        <f>DK79</f>
        <v/>
      </c>
      <c r="DL78" s="58">
        <f>DK78-DJ78</f>
        <v/>
      </c>
      <c r="DM78" s="59">
        <f>IF(DJ78=0,"",DK78/DJ78)</f>
        <v/>
      </c>
      <c r="DN78" s="23" t="n"/>
      <c r="DO78" s="58">
        <f>DO79</f>
        <v/>
      </c>
    </row>
    <row r="79" outlineLevel="1" ht="15" customHeight="1">
      <c r="A79" s="24" t="n"/>
      <c r="B79" s="24" t="n"/>
      <c r="C79" s="24" t="n"/>
      <c r="D79" s="60" t="n"/>
      <c r="E79" s="60" t="n"/>
      <c r="F79" s="60">
        <f>E79-D79</f>
        <v/>
      </c>
      <c r="G79" s="61">
        <f>IF(D79=0,"",E79/D79)</f>
        <v/>
      </c>
      <c r="H79" s="27" t="n"/>
      <c r="I79" s="60" t="n"/>
      <c r="J79" s="60" t="n"/>
      <c r="K79" s="60">
        <f>J79-I79</f>
        <v/>
      </c>
      <c r="L79" s="61">
        <f>IF(I79=0,"",J79/I79)</f>
        <v/>
      </c>
      <c r="M79" s="27" t="n"/>
      <c r="N79" s="62" t="n"/>
      <c r="O79" s="62" t="n"/>
      <c r="P79" s="62">
        <f>O79-N79</f>
        <v/>
      </c>
      <c r="Q79" s="64">
        <f>IF(N79=0,"",O79/N79)</f>
        <v/>
      </c>
      <c r="R79" s="31" t="n"/>
      <c r="S79" s="60" t="n"/>
      <c r="T79" s="60" t="n"/>
      <c r="U79" s="60">
        <f>T79-S79</f>
        <v/>
      </c>
      <c r="V79" s="61">
        <f>IF(S79=0,"",T79/S79)</f>
        <v/>
      </c>
      <c r="W79" s="27" t="n"/>
      <c r="X79" s="62" t="n"/>
      <c r="Y79" s="62" t="n"/>
      <c r="Z79" s="62">
        <f>Y79-X79</f>
        <v/>
      </c>
      <c r="AA79" s="64">
        <f>IF(X79=0,"",Y79/X79)</f>
        <v/>
      </c>
      <c r="AB79" s="31" t="n"/>
      <c r="AC79" s="60" t="n"/>
      <c r="AD79" s="60" t="n"/>
      <c r="AE79" s="60">
        <f>AD79-AC79</f>
        <v/>
      </c>
      <c r="AF79" s="61">
        <f>IF(AC79=0,"",AD79/AC79)</f>
        <v/>
      </c>
      <c r="AG79" s="27" t="n"/>
      <c r="AH79" s="62" t="n"/>
      <c r="AI79" s="62" t="n"/>
      <c r="AJ79" s="62">
        <f>AI79-AH79</f>
        <v/>
      </c>
      <c r="AK79" s="64">
        <f>IF(AH79=0,"",AI79/AH79)</f>
        <v/>
      </c>
      <c r="AL79" s="31" t="n"/>
      <c r="AM79" s="60" t="n"/>
      <c r="AN79" s="60" t="n"/>
      <c r="AO79" s="60">
        <f>AN79-AM79</f>
        <v/>
      </c>
      <c r="AP79" s="61">
        <f>IF(AM79=0,"",AN79/AM79)</f>
        <v/>
      </c>
      <c r="AQ79" s="27" t="n"/>
      <c r="AR79" s="62" t="n"/>
      <c r="AS79" s="62" t="n"/>
      <c r="AT79" s="62">
        <f>AS79-AR79</f>
        <v/>
      </c>
      <c r="AU79" s="64">
        <f>IF(AR79=0,"",AS79/AR79)</f>
        <v/>
      </c>
      <c r="AV79" s="31" t="n"/>
      <c r="AW79" s="60" t="n"/>
      <c r="AX79" s="60" t="n"/>
      <c r="AY79" s="60">
        <f>AX79-AW79</f>
        <v/>
      </c>
      <c r="AZ79" s="61">
        <f>IF(AW79=0,"",AX79/AW79)</f>
        <v/>
      </c>
      <c r="BA79" s="27" t="n"/>
      <c r="BB79" s="62" t="n"/>
      <c r="BC79" s="62" t="n"/>
      <c r="BD79" s="62">
        <f>BC79-BB79</f>
        <v/>
      </c>
      <c r="BE79" s="64">
        <f>IF(BB79=0,"",BC79/BB79)</f>
        <v/>
      </c>
      <c r="BF79" s="31" t="n"/>
      <c r="BG79" s="60" t="n"/>
      <c r="BH79" s="60" t="n"/>
      <c r="BI79" s="60">
        <f>BH79-BG79</f>
        <v/>
      </c>
      <c r="BJ79" s="61">
        <f>IF(BG79=0,"",BH79/BG79)</f>
        <v/>
      </c>
      <c r="BK79" s="27" t="n"/>
      <c r="BL79" s="62" t="n"/>
      <c r="BM79" s="62" t="n"/>
      <c r="BN79" s="62">
        <f>BM79-BL79</f>
        <v/>
      </c>
      <c r="BO79" s="64">
        <f>IF(BL79=0,"",BM79/BL79)</f>
        <v/>
      </c>
      <c r="BP79" s="31" t="n"/>
      <c r="BQ79" s="60" t="n"/>
      <c r="BR79" s="60" t="n"/>
      <c r="BS79" s="60">
        <f>BR79-BQ79</f>
        <v/>
      </c>
      <c r="BT79" s="61">
        <f>IF(BQ79=0,"",BR79/BQ79)</f>
        <v/>
      </c>
      <c r="BU79" s="27" t="n"/>
      <c r="BV79" s="62" t="n"/>
      <c r="BW79" s="62" t="n"/>
      <c r="BX79" s="62">
        <f>BW79-BV79</f>
        <v/>
      </c>
      <c r="BY79" s="64">
        <f>IF(BV79=0,"",BW79/BV79)</f>
        <v/>
      </c>
      <c r="BZ79" s="31" t="n"/>
      <c r="CA79" s="60" t="n"/>
      <c r="CB79" s="60" t="n"/>
      <c r="CC79" s="60">
        <f>CB79-CA79</f>
        <v/>
      </c>
      <c r="CD79" s="61">
        <f>IF(CA79=0,"",CB79/CA79)</f>
        <v/>
      </c>
      <c r="CE79" s="27" t="n"/>
      <c r="CF79" s="62" t="n"/>
      <c r="CG79" s="62" t="n"/>
      <c r="CH79" s="62">
        <f>CG79-CF79</f>
        <v/>
      </c>
      <c r="CI79" s="64">
        <f>IF(CF79=0,"",CG79/CF79)</f>
        <v/>
      </c>
      <c r="CJ79" s="31" t="n"/>
      <c r="CK79" s="60" t="n"/>
      <c r="CL79" s="60" t="n"/>
      <c r="CM79" s="60">
        <f>CL79-CK79</f>
        <v/>
      </c>
      <c r="CN79" s="61">
        <f>IF(CK79=0,"",CL79/CK79)</f>
        <v/>
      </c>
      <c r="CO79" s="27" t="n"/>
      <c r="CP79" s="62" t="n"/>
      <c r="CQ79" s="62" t="n"/>
      <c r="CR79" s="62">
        <f>CQ79-CP79</f>
        <v/>
      </c>
      <c r="CS79" s="64">
        <f>IF(CP79=0,"",CQ79/CP79)</f>
        <v/>
      </c>
      <c r="CT79" s="31" t="n"/>
      <c r="CU79" s="60" t="n"/>
      <c r="CV79" s="60" t="n"/>
      <c r="CW79" s="60">
        <f>CV79-CU79</f>
        <v/>
      </c>
      <c r="CX79" s="61">
        <f>IF(CU79=0,"",CV79/CU79)</f>
        <v/>
      </c>
      <c r="CY79" s="27" t="n"/>
      <c r="CZ79" s="62" t="n"/>
      <c r="DA79" s="62" t="n"/>
      <c r="DB79" s="62">
        <f>DA79-CZ79</f>
        <v/>
      </c>
      <c r="DC79" s="64">
        <f>IF(CZ79=0,"",DA79/CZ79)</f>
        <v/>
      </c>
      <c r="DD79" s="31" t="n"/>
      <c r="DE79" s="60" t="n"/>
      <c r="DF79" s="60" t="n"/>
      <c r="DG79" s="60">
        <f>DF79-DE79</f>
        <v/>
      </c>
      <c r="DH79" s="61">
        <f>IF(DE79=0,"",DF79/DE79)</f>
        <v/>
      </c>
      <c r="DI79" s="27" t="n"/>
      <c r="DJ79" s="62" t="n"/>
      <c r="DK79" s="62" t="n"/>
      <c r="DL79" s="62">
        <f>DK79-DJ79</f>
        <v/>
      </c>
      <c r="DM79" s="64">
        <f>IF(DJ79=0,"",DK79/DJ79)</f>
        <v/>
      </c>
      <c r="DN79" s="31" t="n"/>
      <c r="DO79" s="60" t="n"/>
    </row>
    <row r="80" ht="15" customHeight="1">
      <c r="A80" s="19" t="n"/>
      <c r="B80" s="20" t="n"/>
      <c r="C80" s="19" t="n"/>
      <c r="D80" s="58">
        <f>D81+D82+D83</f>
        <v/>
      </c>
      <c r="E80" s="58">
        <f>E81+E82+E83</f>
        <v/>
      </c>
      <c r="F80" s="58">
        <f>E80-D80</f>
        <v/>
      </c>
      <c r="G80" s="59">
        <f>IF(D80=0,"",E80/D80)</f>
        <v/>
      </c>
      <c r="H80" s="23" t="n"/>
      <c r="I80" s="58">
        <f>I81+I82+I83</f>
        <v/>
      </c>
      <c r="J80" s="58">
        <f>J81+J82+J83</f>
        <v/>
      </c>
      <c r="K80" s="58">
        <f>J80-I80</f>
        <v/>
      </c>
      <c r="L80" s="59">
        <f>IF(I80=0,"",J80/I80)</f>
        <v/>
      </c>
      <c r="M80" s="23" t="n"/>
      <c r="N80" s="58">
        <f>N81+N82+N83</f>
        <v/>
      </c>
      <c r="O80" s="58">
        <f>O81+O82+O83</f>
        <v/>
      </c>
      <c r="P80" s="58">
        <f>O80-N80</f>
        <v/>
      </c>
      <c r="Q80" s="59">
        <f>IF(N80=0,"",O80/N80)</f>
        <v/>
      </c>
      <c r="R80" s="23" t="n"/>
      <c r="S80" s="58">
        <f>S81+S82+S83</f>
        <v/>
      </c>
      <c r="T80" s="58">
        <f>T81+T82+T83</f>
        <v/>
      </c>
      <c r="U80" s="58">
        <f>T80-S80</f>
        <v/>
      </c>
      <c r="V80" s="59">
        <f>IF(S80=0,"",T80/S80)</f>
        <v/>
      </c>
      <c r="W80" s="23" t="n"/>
      <c r="X80" s="58">
        <f>X81+X82+X83</f>
        <v/>
      </c>
      <c r="Y80" s="58">
        <f>Y81+Y82+Y83</f>
        <v/>
      </c>
      <c r="Z80" s="58">
        <f>Y80-X80</f>
        <v/>
      </c>
      <c r="AA80" s="59">
        <f>IF(X80=0,"",Y80/X80)</f>
        <v/>
      </c>
      <c r="AB80" s="23" t="n"/>
      <c r="AC80" s="58">
        <f>AC81+AC82+AC83</f>
        <v/>
      </c>
      <c r="AD80" s="58">
        <f>AD81+AD82+AD83</f>
        <v/>
      </c>
      <c r="AE80" s="58">
        <f>AD80-AC80</f>
        <v/>
      </c>
      <c r="AF80" s="59">
        <f>IF(AC80=0,"",AD80/AC80)</f>
        <v/>
      </c>
      <c r="AG80" s="23" t="n"/>
      <c r="AH80" s="58">
        <f>AH81+AH82+AH83</f>
        <v/>
      </c>
      <c r="AI80" s="58">
        <f>AI81+AI82+AI83</f>
        <v/>
      </c>
      <c r="AJ80" s="58">
        <f>AI80-AH80</f>
        <v/>
      </c>
      <c r="AK80" s="59">
        <f>IF(AH80=0,"",AI80/AH80)</f>
        <v/>
      </c>
      <c r="AL80" s="23" t="n"/>
      <c r="AM80" s="58">
        <f>AM81+AM82+AM83</f>
        <v/>
      </c>
      <c r="AN80" s="58">
        <f>AN81+AN82+AN83</f>
        <v/>
      </c>
      <c r="AO80" s="58">
        <f>AN80-AM80</f>
        <v/>
      </c>
      <c r="AP80" s="59">
        <f>IF(AM80=0,"",AN80/AM80)</f>
        <v/>
      </c>
      <c r="AQ80" s="23" t="n"/>
      <c r="AR80" s="58">
        <f>AR81+AR82+AR83</f>
        <v/>
      </c>
      <c r="AS80" s="58">
        <f>AS81+AS82+AS83</f>
        <v/>
      </c>
      <c r="AT80" s="58">
        <f>AS80-AR80</f>
        <v/>
      </c>
      <c r="AU80" s="59">
        <f>IF(AR80=0,"",AS80/AR80)</f>
        <v/>
      </c>
      <c r="AV80" s="23" t="n"/>
      <c r="AW80" s="58">
        <f>AW81+AW82+AW83</f>
        <v/>
      </c>
      <c r="AX80" s="58">
        <f>AX81+AX82+AX83</f>
        <v/>
      </c>
      <c r="AY80" s="58">
        <f>AX80-AW80</f>
        <v/>
      </c>
      <c r="AZ80" s="59">
        <f>IF(AW80=0,"",AX80/AW80)</f>
        <v/>
      </c>
      <c r="BA80" s="23" t="n"/>
      <c r="BB80" s="58">
        <f>BB81+BB82+BB83</f>
        <v/>
      </c>
      <c r="BC80" s="58">
        <f>BC81+BC82+BC83</f>
        <v/>
      </c>
      <c r="BD80" s="58">
        <f>BC80-BB80</f>
        <v/>
      </c>
      <c r="BE80" s="59">
        <f>IF(BB80=0,"",BC80/BB80)</f>
        <v/>
      </c>
      <c r="BF80" s="23" t="n"/>
      <c r="BG80" s="58">
        <f>BG81+BG82+BG83</f>
        <v/>
      </c>
      <c r="BH80" s="58">
        <f>BH81+BH82+BH83</f>
        <v/>
      </c>
      <c r="BI80" s="58">
        <f>BH80-BG80</f>
        <v/>
      </c>
      <c r="BJ80" s="59">
        <f>IF(BG80=0,"",BH80/BG80)</f>
        <v/>
      </c>
      <c r="BK80" s="23" t="n"/>
      <c r="BL80" s="58">
        <f>BL81+BL82+BL83</f>
        <v/>
      </c>
      <c r="BM80" s="58">
        <f>BM81+BM82+BM83</f>
        <v/>
      </c>
      <c r="BN80" s="58">
        <f>BM80-BL80</f>
        <v/>
      </c>
      <c r="BO80" s="59">
        <f>IF(BL80=0,"",BM80/BL80)</f>
        <v/>
      </c>
      <c r="BP80" s="23" t="n"/>
      <c r="BQ80" s="58">
        <f>BQ81+BQ82+BQ83</f>
        <v/>
      </c>
      <c r="BR80" s="58">
        <f>BR81+BR82+BR83</f>
        <v/>
      </c>
      <c r="BS80" s="58">
        <f>BR80-BQ80</f>
        <v/>
      </c>
      <c r="BT80" s="59">
        <f>IF(BQ80=0,"",BR80/BQ80)</f>
        <v/>
      </c>
      <c r="BU80" s="23" t="n"/>
      <c r="BV80" s="58">
        <f>BV81+BV82+BV83</f>
        <v/>
      </c>
      <c r="BW80" s="58">
        <f>BW81+BW82+BW83</f>
        <v/>
      </c>
      <c r="BX80" s="58">
        <f>BW80-BV80</f>
        <v/>
      </c>
      <c r="BY80" s="59">
        <f>IF(BV80=0,"",BW80/BV80)</f>
        <v/>
      </c>
      <c r="BZ80" s="23" t="n"/>
      <c r="CA80" s="58">
        <f>CA81+CA82+CA83</f>
        <v/>
      </c>
      <c r="CB80" s="58">
        <f>CB81+CB82+CB83</f>
        <v/>
      </c>
      <c r="CC80" s="58">
        <f>CB80-CA80</f>
        <v/>
      </c>
      <c r="CD80" s="59">
        <f>IF(CA80=0,"",CB80/CA80)</f>
        <v/>
      </c>
      <c r="CE80" s="23" t="n"/>
      <c r="CF80" s="58">
        <f>CF81+CF82+CF83</f>
        <v/>
      </c>
      <c r="CG80" s="58">
        <f>CG81+CG82+CG83</f>
        <v/>
      </c>
      <c r="CH80" s="58">
        <f>CG80-CF80</f>
        <v/>
      </c>
      <c r="CI80" s="59">
        <f>IF(CF80=0,"",CG80/CF80)</f>
        <v/>
      </c>
      <c r="CJ80" s="23" t="n"/>
      <c r="CK80" s="58">
        <f>CK81+CK82+CK83</f>
        <v/>
      </c>
      <c r="CL80" s="58">
        <f>CL81+CL82+CL83</f>
        <v/>
      </c>
      <c r="CM80" s="58">
        <f>CL80-CK80</f>
        <v/>
      </c>
      <c r="CN80" s="59">
        <f>IF(CK80=0,"",CL80/CK80)</f>
        <v/>
      </c>
      <c r="CO80" s="23" t="n"/>
      <c r="CP80" s="58">
        <f>CP81+CP82+CP83</f>
        <v/>
      </c>
      <c r="CQ80" s="58">
        <f>CQ81+CQ82+CQ83</f>
        <v/>
      </c>
      <c r="CR80" s="58">
        <f>CQ80-CP80</f>
        <v/>
      </c>
      <c r="CS80" s="59">
        <f>IF(CP80=0,"",CQ80/CP80)</f>
        <v/>
      </c>
      <c r="CT80" s="23" t="n"/>
      <c r="CU80" s="58">
        <f>CU81+CU82+CU83</f>
        <v/>
      </c>
      <c r="CV80" s="58">
        <f>CV81+CV82+CV83</f>
        <v/>
      </c>
      <c r="CW80" s="58">
        <f>CV80-CU80</f>
        <v/>
      </c>
      <c r="CX80" s="59">
        <f>IF(CU80=0,"",CV80/CU80)</f>
        <v/>
      </c>
      <c r="CY80" s="23" t="n"/>
      <c r="CZ80" s="58">
        <f>CZ81+CZ82+CZ83</f>
        <v/>
      </c>
      <c r="DA80" s="58">
        <f>DA81+DA82+DA83</f>
        <v/>
      </c>
      <c r="DB80" s="58">
        <f>DA80-CZ80</f>
        <v/>
      </c>
      <c r="DC80" s="59">
        <f>IF(CZ80=0,"",DA80/CZ80)</f>
        <v/>
      </c>
      <c r="DD80" s="23" t="n"/>
      <c r="DE80" s="58">
        <f>DE81+DE82+DE83</f>
        <v/>
      </c>
      <c r="DF80" s="58">
        <f>DF81+DF82+DF83</f>
        <v/>
      </c>
      <c r="DG80" s="58">
        <f>DF80-DE80</f>
        <v/>
      </c>
      <c r="DH80" s="59">
        <f>IF(DE80=0,"",DF80/DE80)</f>
        <v/>
      </c>
      <c r="DI80" s="23" t="n"/>
      <c r="DJ80" s="58">
        <f>DJ81+DJ82+DJ83</f>
        <v/>
      </c>
      <c r="DK80" s="58">
        <f>DK81+DK82+DK83</f>
        <v/>
      </c>
      <c r="DL80" s="58">
        <f>DK80-DJ80</f>
        <v/>
      </c>
      <c r="DM80" s="59">
        <f>IF(DJ80=0,"",DK80/DJ80)</f>
        <v/>
      </c>
      <c r="DN80" s="23" t="n"/>
      <c r="DO80" s="58">
        <f>DO81+DO82+DO83</f>
        <v/>
      </c>
    </row>
    <row r="81" outlineLevel="1" ht="15" customHeight="1">
      <c r="A81" s="24" t="n"/>
      <c r="B81" s="24" t="n"/>
      <c r="C81" s="24" t="n"/>
      <c r="D81" s="60" t="n"/>
      <c r="E81" s="60" t="n"/>
      <c r="F81" s="60">
        <f>E81-D81</f>
        <v/>
      </c>
      <c r="G81" s="61">
        <f>IF(D81=0,"",E81/D81)</f>
        <v/>
      </c>
      <c r="H81" s="27" t="n"/>
      <c r="I81" s="60" t="n"/>
      <c r="J81" s="60" t="n"/>
      <c r="K81" s="60">
        <f>J81-I81</f>
        <v/>
      </c>
      <c r="L81" s="61">
        <f>IF(I81=0,"",J81/I81)</f>
        <v/>
      </c>
      <c r="M81" s="27" t="n"/>
      <c r="N81" s="62" t="n"/>
      <c r="O81" s="62" t="n"/>
      <c r="P81" s="62">
        <f>O81-N81</f>
        <v/>
      </c>
      <c r="Q81" s="64">
        <f>IF(N81=0,"",O81/N81)</f>
        <v/>
      </c>
      <c r="R81" s="31" t="n"/>
      <c r="S81" s="60" t="n"/>
      <c r="T81" s="60" t="n"/>
      <c r="U81" s="60">
        <f>T81-S81</f>
        <v/>
      </c>
      <c r="V81" s="61">
        <f>IF(S81=0,"",T81/S81)</f>
        <v/>
      </c>
      <c r="W81" s="27" t="n"/>
      <c r="X81" s="62" t="n"/>
      <c r="Y81" s="62" t="n"/>
      <c r="Z81" s="63">
        <f>Y81-X81</f>
        <v/>
      </c>
      <c r="AA81" s="64">
        <f>IF(X81=0,"",Y81/X81)</f>
        <v/>
      </c>
      <c r="AB81" s="31" t="n"/>
      <c r="AC81" s="60" t="n"/>
      <c r="AD81" s="60" t="n"/>
      <c r="AE81" s="60">
        <f>AD81-AC81</f>
        <v/>
      </c>
      <c r="AF81" s="61">
        <f>IF(AC81=0,"",AD81/AC81)</f>
        <v/>
      </c>
      <c r="AG81" s="27" t="n"/>
      <c r="AH81" s="62" t="n"/>
      <c r="AI81" s="62" t="n"/>
      <c r="AJ81" s="62">
        <f>AI81-AH81</f>
        <v/>
      </c>
      <c r="AK81" s="64">
        <f>IF(AH81=0,"",AI81/AH81)</f>
        <v/>
      </c>
      <c r="AL81" s="31" t="n"/>
      <c r="AM81" s="60" t="n"/>
      <c r="AN81" s="60" t="n"/>
      <c r="AO81" s="60">
        <f>AN81-AM81</f>
        <v/>
      </c>
      <c r="AP81" s="61">
        <f>IF(AM81=0,"",AN81/AM81)</f>
        <v/>
      </c>
      <c r="AQ81" s="27" t="n"/>
      <c r="AR81" s="62" t="n"/>
      <c r="AS81" s="62" t="n"/>
      <c r="AT81" s="62">
        <f>AS81-AR81</f>
        <v/>
      </c>
      <c r="AU81" s="64">
        <f>IF(AR81=0,"",AS81/AR81)</f>
        <v/>
      </c>
      <c r="AV81" s="31" t="n"/>
      <c r="AW81" s="60" t="n"/>
      <c r="AX81" s="60" t="n"/>
      <c r="AY81" s="60">
        <f>AX81-AW81</f>
        <v/>
      </c>
      <c r="AZ81" s="61">
        <f>IF(AW81=0,"",AX81/AW81)</f>
        <v/>
      </c>
      <c r="BA81" s="27" t="n"/>
      <c r="BB81" s="62" t="n"/>
      <c r="BC81" s="62" t="n"/>
      <c r="BD81" s="62">
        <f>BC81-BB81</f>
        <v/>
      </c>
      <c r="BE81" s="64">
        <f>IF(BB81=0,"",BC81/BB81)</f>
        <v/>
      </c>
      <c r="BF81" s="31" t="n"/>
      <c r="BG81" s="60" t="n"/>
      <c r="BH81" s="60" t="n"/>
      <c r="BI81" s="60">
        <f>BH81-BG81</f>
        <v/>
      </c>
      <c r="BJ81" s="61">
        <f>IF(BG81=0,"",BH81/BG81)</f>
        <v/>
      </c>
      <c r="BK81" s="27" t="n"/>
      <c r="BL81" s="62" t="n"/>
      <c r="BM81" s="62" t="n"/>
      <c r="BN81" s="62">
        <f>BM81-BL81</f>
        <v/>
      </c>
      <c r="BO81" s="64">
        <f>IF(BL81=0,"",BM81/BL81)</f>
        <v/>
      </c>
      <c r="BP81" s="31" t="n"/>
      <c r="BQ81" s="60" t="n"/>
      <c r="BR81" s="60" t="n"/>
      <c r="BS81" s="60">
        <f>BR81-BQ81</f>
        <v/>
      </c>
      <c r="BT81" s="61">
        <f>IF(BQ81=0,"",BR81/BQ81)</f>
        <v/>
      </c>
      <c r="BU81" s="27" t="n"/>
      <c r="BV81" s="62" t="n"/>
      <c r="BW81" s="62" t="n"/>
      <c r="BX81" s="62">
        <f>BW81-BV81</f>
        <v/>
      </c>
      <c r="BY81" s="64">
        <f>IF(BV81=0,"",BW81/BV81)</f>
        <v/>
      </c>
      <c r="BZ81" s="31" t="n"/>
      <c r="CA81" s="60" t="n"/>
      <c r="CB81" s="60" t="n"/>
      <c r="CC81" s="60">
        <f>CB81-CA81</f>
        <v/>
      </c>
      <c r="CD81" s="61">
        <f>IF(CA81=0,"",CB81/CA81)</f>
        <v/>
      </c>
      <c r="CE81" s="27" t="n"/>
      <c r="CF81" s="62" t="n"/>
      <c r="CG81" s="62" t="n"/>
      <c r="CH81" s="62">
        <f>CG81-CF81</f>
        <v/>
      </c>
      <c r="CI81" s="64">
        <f>IF(CF81=0,"",CG81/CF81)</f>
        <v/>
      </c>
      <c r="CJ81" s="31" t="n"/>
      <c r="CK81" s="60" t="n"/>
      <c r="CL81" s="60" t="n"/>
      <c r="CM81" s="60">
        <f>CL81-CK81</f>
        <v/>
      </c>
      <c r="CN81" s="61">
        <f>IF(CK81=0,"",CL81/CK81)</f>
        <v/>
      </c>
      <c r="CO81" s="27" t="n"/>
      <c r="CP81" s="62" t="n"/>
      <c r="CQ81" s="62" t="n"/>
      <c r="CR81" s="62">
        <f>CQ81-CP81</f>
        <v/>
      </c>
      <c r="CS81" s="64">
        <f>IF(CP81=0,"",CQ81/CP81)</f>
        <v/>
      </c>
      <c r="CT81" s="31" t="n"/>
      <c r="CU81" s="60" t="n"/>
      <c r="CV81" s="60" t="n"/>
      <c r="CW81" s="60">
        <f>CV81-CU81</f>
        <v/>
      </c>
      <c r="CX81" s="61">
        <f>IF(CU81=0,"",CV81/CU81)</f>
        <v/>
      </c>
      <c r="CY81" s="27" t="n"/>
      <c r="CZ81" s="62" t="n"/>
      <c r="DA81" s="62" t="n"/>
      <c r="DB81" s="62">
        <f>DA81-CZ81</f>
        <v/>
      </c>
      <c r="DC81" s="64">
        <f>IF(CZ81=0,"",DA81/CZ81)</f>
        <v/>
      </c>
      <c r="DD81" s="31" t="n"/>
      <c r="DE81" s="60" t="n"/>
      <c r="DF81" s="60" t="n"/>
      <c r="DG81" s="60">
        <f>DF81-DE81</f>
        <v/>
      </c>
      <c r="DH81" s="61">
        <f>IF(DE81=0,"",DF81/DE81)</f>
        <v/>
      </c>
      <c r="DI81" s="27" t="n"/>
      <c r="DJ81" s="62" t="n"/>
      <c r="DK81" s="62" t="n"/>
      <c r="DL81" s="62">
        <f>DK81-DJ81</f>
        <v/>
      </c>
      <c r="DM81" s="64">
        <f>IF(DJ81=0,"",DK81/DJ81)</f>
        <v/>
      </c>
      <c r="DN81" s="31" t="n"/>
      <c r="DO81" s="60" t="n"/>
    </row>
    <row r="82" outlineLevel="1" ht="15" customHeight="1">
      <c r="A82" s="24" t="n"/>
      <c r="B82" s="24" t="n"/>
      <c r="C82" s="24" t="n"/>
      <c r="D82" s="60" t="n"/>
      <c r="E82" s="60" t="n"/>
      <c r="F82" s="60">
        <f>E82-D82</f>
        <v/>
      </c>
      <c r="G82" s="61">
        <f>IF(D82=0,"",E82/D82)</f>
        <v/>
      </c>
      <c r="H82" s="27" t="n"/>
      <c r="I82" s="60" t="n"/>
      <c r="J82" s="60" t="n"/>
      <c r="K82" s="60">
        <f>J82-I82</f>
        <v/>
      </c>
      <c r="L82" s="61">
        <f>IF(I82=0,"",J82/I82)</f>
        <v/>
      </c>
      <c r="M82" s="27" t="n"/>
      <c r="N82" s="62" t="n"/>
      <c r="O82" s="62" t="n"/>
      <c r="P82" s="63">
        <f>O82-N82</f>
        <v/>
      </c>
      <c r="Q82" s="64">
        <f>IF(N82=0,"",O82/N82)</f>
        <v/>
      </c>
      <c r="R82" s="31" t="n"/>
      <c r="S82" s="60" t="n"/>
      <c r="T82" s="60" t="n"/>
      <c r="U82" s="60">
        <f>T82-S82</f>
        <v/>
      </c>
      <c r="V82" s="61">
        <f>IF(S82=0,"",T82/S82)</f>
        <v/>
      </c>
      <c r="W82" s="27" t="n"/>
      <c r="X82" s="62" t="n"/>
      <c r="Y82" s="62" t="n"/>
      <c r="Z82" s="63">
        <f>Y82-X82</f>
        <v/>
      </c>
      <c r="AA82" s="64">
        <f>IF(X82=0,"",Y82/X82)</f>
        <v/>
      </c>
      <c r="AB82" s="31" t="n"/>
      <c r="AC82" s="60" t="n"/>
      <c r="AD82" s="60" t="n"/>
      <c r="AE82" s="60">
        <f>AD82-AC82</f>
        <v/>
      </c>
      <c r="AF82" s="61">
        <f>IF(AC82=0,"",AD82/AC82)</f>
        <v/>
      </c>
      <c r="AG82" s="27" t="n"/>
      <c r="AH82" s="62" t="n"/>
      <c r="AI82" s="62" t="n"/>
      <c r="AJ82" s="62">
        <f>AI82-AH82</f>
        <v/>
      </c>
      <c r="AK82" s="64">
        <f>IF(AH82=0,"",AI82/AH82)</f>
        <v/>
      </c>
      <c r="AL82" s="31" t="n"/>
      <c r="AM82" s="60" t="n"/>
      <c r="AN82" s="60" t="n"/>
      <c r="AO82" s="60">
        <f>AN82-AM82</f>
        <v/>
      </c>
      <c r="AP82" s="61">
        <f>IF(AM82=0,"",AN82/AM82)</f>
        <v/>
      </c>
      <c r="AQ82" s="27" t="n"/>
      <c r="AR82" s="62" t="n"/>
      <c r="AS82" s="62" t="n"/>
      <c r="AT82" s="62">
        <f>AS82-AR82</f>
        <v/>
      </c>
      <c r="AU82" s="64">
        <f>IF(AR82=0,"",AS82/AR82)</f>
        <v/>
      </c>
      <c r="AV82" s="31" t="n"/>
      <c r="AW82" s="60" t="n"/>
      <c r="AX82" s="60" t="n"/>
      <c r="AY82" s="60">
        <f>AX82-AW82</f>
        <v/>
      </c>
      <c r="AZ82" s="61">
        <f>IF(AW82=0,"",AX82/AW82)</f>
        <v/>
      </c>
      <c r="BA82" s="27" t="n"/>
      <c r="BB82" s="62" t="n"/>
      <c r="BC82" s="62" t="n"/>
      <c r="BD82" s="62">
        <f>BC82-BB82</f>
        <v/>
      </c>
      <c r="BE82" s="64">
        <f>IF(BB82=0,"",BC82/BB82)</f>
        <v/>
      </c>
      <c r="BF82" s="31" t="n"/>
      <c r="BG82" s="60" t="n"/>
      <c r="BH82" s="60" t="n"/>
      <c r="BI82" s="60">
        <f>BH82-BG82</f>
        <v/>
      </c>
      <c r="BJ82" s="61">
        <f>IF(BG82=0,"",BH82/BG82)</f>
        <v/>
      </c>
      <c r="BK82" s="27" t="n"/>
      <c r="BL82" s="62" t="n"/>
      <c r="BM82" s="62" t="n"/>
      <c r="BN82" s="62">
        <f>BM82-BL82</f>
        <v/>
      </c>
      <c r="BO82" s="64">
        <f>IF(BL82=0,"",BM82/BL82)</f>
        <v/>
      </c>
      <c r="BP82" s="31" t="n"/>
      <c r="BQ82" s="60" t="n"/>
      <c r="BR82" s="60" t="n"/>
      <c r="BS82" s="60">
        <f>BR82-BQ82</f>
        <v/>
      </c>
      <c r="BT82" s="61">
        <f>IF(BQ82=0,"",BR82/BQ82)</f>
        <v/>
      </c>
      <c r="BU82" s="27" t="n"/>
      <c r="BV82" s="62" t="n"/>
      <c r="BW82" s="62" t="n"/>
      <c r="BX82" s="62">
        <f>BW82-BV82</f>
        <v/>
      </c>
      <c r="BY82" s="64">
        <f>IF(BV82=0,"",BW82/BV82)</f>
        <v/>
      </c>
      <c r="BZ82" s="31" t="n"/>
      <c r="CA82" s="60" t="n"/>
      <c r="CB82" s="60" t="n"/>
      <c r="CC82" s="60">
        <f>CB82-CA82</f>
        <v/>
      </c>
      <c r="CD82" s="61">
        <f>IF(CA82=0,"",CB82/CA82)</f>
        <v/>
      </c>
      <c r="CE82" s="27" t="n"/>
      <c r="CF82" s="62" t="n"/>
      <c r="CG82" s="62" t="n"/>
      <c r="CH82" s="62">
        <f>CG82-CF82</f>
        <v/>
      </c>
      <c r="CI82" s="64">
        <f>IF(CF82=0,"",CG82/CF82)</f>
        <v/>
      </c>
      <c r="CJ82" s="31" t="n"/>
      <c r="CK82" s="60" t="n"/>
      <c r="CL82" s="60" t="n"/>
      <c r="CM82" s="60">
        <f>CL82-CK82</f>
        <v/>
      </c>
      <c r="CN82" s="61">
        <f>IF(CK82=0,"",CL82/CK82)</f>
        <v/>
      </c>
      <c r="CO82" s="27" t="n"/>
      <c r="CP82" s="62" t="n"/>
      <c r="CQ82" s="62" t="n"/>
      <c r="CR82" s="62">
        <f>CQ82-CP82</f>
        <v/>
      </c>
      <c r="CS82" s="64">
        <f>IF(CP82=0,"",CQ82/CP82)</f>
        <v/>
      </c>
      <c r="CT82" s="31" t="n"/>
      <c r="CU82" s="60" t="n"/>
      <c r="CV82" s="60" t="n"/>
      <c r="CW82" s="60">
        <f>CV82-CU82</f>
        <v/>
      </c>
      <c r="CX82" s="61">
        <f>IF(CU82=0,"",CV82/CU82)</f>
        <v/>
      </c>
      <c r="CY82" s="27" t="n"/>
      <c r="CZ82" s="62" t="n"/>
      <c r="DA82" s="62" t="n"/>
      <c r="DB82" s="62">
        <f>DA82-CZ82</f>
        <v/>
      </c>
      <c r="DC82" s="64">
        <f>IF(CZ82=0,"",DA82/CZ82)</f>
        <v/>
      </c>
      <c r="DD82" s="31" t="n"/>
      <c r="DE82" s="60" t="n"/>
      <c r="DF82" s="60" t="n"/>
      <c r="DG82" s="60">
        <f>DF82-DE82</f>
        <v/>
      </c>
      <c r="DH82" s="61">
        <f>IF(DE82=0,"",DF82/DE82)</f>
        <v/>
      </c>
      <c r="DI82" s="27" t="n"/>
      <c r="DJ82" s="62" t="n"/>
      <c r="DK82" s="62" t="n"/>
      <c r="DL82" s="62">
        <f>DK82-DJ82</f>
        <v/>
      </c>
      <c r="DM82" s="64">
        <f>IF(DJ82=0,"",DK82/DJ82)</f>
        <v/>
      </c>
      <c r="DN82" s="31" t="n"/>
      <c r="DO82" s="60" t="n"/>
    </row>
    <row r="83" outlineLevel="1" ht="15" customHeight="1">
      <c r="A83" s="24" t="n"/>
      <c r="B83" s="24" t="n"/>
      <c r="C83" s="24" t="n"/>
      <c r="D83" s="60" t="n"/>
      <c r="E83" s="60" t="n"/>
      <c r="F83" s="60">
        <f>E83-D83</f>
        <v/>
      </c>
      <c r="G83" s="61">
        <f>IF(D83=0,"",E83/D83)</f>
        <v/>
      </c>
      <c r="H83" s="27" t="n"/>
      <c r="I83" s="60" t="n"/>
      <c r="J83" s="60" t="n"/>
      <c r="K83" s="60">
        <f>J83-I83</f>
        <v/>
      </c>
      <c r="L83" s="61">
        <f>IF(I83=0,"",J83/I83)</f>
        <v/>
      </c>
      <c r="M83" s="27" t="n"/>
      <c r="N83" s="62" t="n"/>
      <c r="O83" s="62" t="n"/>
      <c r="P83" s="63">
        <f>O83-N83</f>
        <v/>
      </c>
      <c r="Q83" s="64">
        <f>IF(N83=0,"",O83/N83)</f>
        <v/>
      </c>
      <c r="R83" s="31" t="n"/>
      <c r="S83" s="60" t="n"/>
      <c r="T83" s="60" t="n"/>
      <c r="U83" s="60">
        <f>T83-S83</f>
        <v/>
      </c>
      <c r="V83" s="61">
        <f>IF(S83=0,"",T83/S83)</f>
        <v/>
      </c>
      <c r="W83" s="27" t="n"/>
      <c r="X83" s="62" t="n"/>
      <c r="Y83" s="62" t="n"/>
      <c r="Z83" s="63">
        <f>Y83-X83</f>
        <v/>
      </c>
      <c r="AA83" s="64">
        <f>IF(X83=0,"",Y83/X83)</f>
        <v/>
      </c>
      <c r="AB83" s="31" t="n"/>
      <c r="AC83" s="60" t="n"/>
      <c r="AD83" s="60" t="n"/>
      <c r="AE83" s="60">
        <f>AD83-AC83</f>
        <v/>
      </c>
      <c r="AF83" s="61">
        <f>IF(AC83=0,"",AD83/AC83)</f>
        <v/>
      </c>
      <c r="AG83" s="27" t="n"/>
      <c r="AH83" s="62" t="n"/>
      <c r="AI83" s="62" t="n"/>
      <c r="AJ83" s="62">
        <f>AI83-AH83</f>
        <v/>
      </c>
      <c r="AK83" s="64">
        <f>IF(AH83=0,"",AI83/AH83)</f>
        <v/>
      </c>
      <c r="AL83" s="31" t="n"/>
      <c r="AM83" s="60" t="n"/>
      <c r="AN83" s="60" t="n"/>
      <c r="AO83" s="60">
        <f>AN83-AM83</f>
        <v/>
      </c>
      <c r="AP83" s="61">
        <f>IF(AM83=0,"",AN83/AM83)</f>
        <v/>
      </c>
      <c r="AQ83" s="27" t="n"/>
      <c r="AR83" s="62" t="n"/>
      <c r="AS83" s="62" t="n"/>
      <c r="AT83" s="62">
        <f>AS83-AR83</f>
        <v/>
      </c>
      <c r="AU83" s="64">
        <f>IF(AR83=0,"",AS83/AR83)</f>
        <v/>
      </c>
      <c r="AV83" s="31" t="n"/>
      <c r="AW83" s="60" t="n"/>
      <c r="AX83" s="60" t="n"/>
      <c r="AY83" s="60">
        <f>AX83-AW83</f>
        <v/>
      </c>
      <c r="AZ83" s="61">
        <f>IF(AW83=0,"",AX83/AW83)</f>
        <v/>
      </c>
      <c r="BA83" s="27" t="n"/>
      <c r="BB83" s="62" t="n"/>
      <c r="BC83" s="62" t="n"/>
      <c r="BD83" s="62">
        <f>BC83-BB83</f>
        <v/>
      </c>
      <c r="BE83" s="64">
        <f>IF(BB83=0,"",BC83/BB83)</f>
        <v/>
      </c>
      <c r="BF83" s="31" t="n"/>
      <c r="BG83" s="60" t="n"/>
      <c r="BH83" s="60" t="n"/>
      <c r="BI83" s="60">
        <f>BH83-BG83</f>
        <v/>
      </c>
      <c r="BJ83" s="61">
        <f>IF(BG83=0,"",BH83/BG83)</f>
        <v/>
      </c>
      <c r="BK83" s="27" t="n"/>
      <c r="BL83" s="62" t="n"/>
      <c r="BM83" s="62" t="n"/>
      <c r="BN83" s="62">
        <f>BM83-BL83</f>
        <v/>
      </c>
      <c r="BO83" s="64">
        <f>IF(BL83=0,"",BM83/BL83)</f>
        <v/>
      </c>
      <c r="BP83" s="31" t="n"/>
      <c r="BQ83" s="60" t="n"/>
      <c r="BR83" s="60" t="n"/>
      <c r="BS83" s="60">
        <f>BR83-BQ83</f>
        <v/>
      </c>
      <c r="BT83" s="61">
        <f>IF(BQ83=0,"",BR83/BQ83)</f>
        <v/>
      </c>
      <c r="BU83" s="27" t="n"/>
      <c r="BV83" s="62" t="n"/>
      <c r="BW83" s="62" t="n"/>
      <c r="BX83" s="62">
        <f>BW83-BV83</f>
        <v/>
      </c>
      <c r="BY83" s="64">
        <f>IF(BV83=0,"",BW83/BV83)</f>
        <v/>
      </c>
      <c r="BZ83" s="31" t="n"/>
      <c r="CA83" s="60" t="n"/>
      <c r="CB83" s="60" t="n"/>
      <c r="CC83" s="60">
        <f>CB83-CA83</f>
        <v/>
      </c>
      <c r="CD83" s="61">
        <f>IF(CA83=0,"",CB83/CA83)</f>
        <v/>
      </c>
      <c r="CE83" s="27" t="n"/>
      <c r="CF83" s="62" t="n"/>
      <c r="CG83" s="62" t="n"/>
      <c r="CH83" s="62">
        <f>CG83-CF83</f>
        <v/>
      </c>
      <c r="CI83" s="64">
        <f>IF(CF83=0,"",CG83/CF83)</f>
        <v/>
      </c>
      <c r="CJ83" s="31" t="n"/>
      <c r="CK83" s="60" t="n"/>
      <c r="CL83" s="60" t="n"/>
      <c r="CM83" s="60">
        <f>CL83-CK83</f>
        <v/>
      </c>
      <c r="CN83" s="61">
        <f>IF(CK83=0,"",CL83/CK83)</f>
        <v/>
      </c>
      <c r="CO83" s="27" t="n"/>
      <c r="CP83" s="62" t="n"/>
      <c r="CQ83" s="62" t="n"/>
      <c r="CR83" s="62">
        <f>CQ83-CP83</f>
        <v/>
      </c>
      <c r="CS83" s="64">
        <f>IF(CP83=0,"",CQ83/CP83)</f>
        <v/>
      </c>
      <c r="CT83" s="31" t="n"/>
      <c r="CU83" s="60" t="n"/>
      <c r="CV83" s="60" t="n"/>
      <c r="CW83" s="60">
        <f>CV83-CU83</f>
        <v/>
      </c>
      <c r="CX83" s="61">
        <f>IF(CU83=0,"",CV83/CU83)</f>
        <v/>
      </c>
      <c r="CY83" s="27" t="n"/>
      <c r="CZ83" s="62" t="n"/>
      <c r="DA83" s="62" t="n"/>
      <c r="DB83" s="62">
        <f>DA83-CZ83</f>
        <v/>
      </c>
      <c r="DC83" s="64">
        <f>IF(CZ83=0,"",DA83/CZ83)</f>
        <v/>
      </c>
      <c r="DD83" s="31" t="n"/>
      <c r="DE83" s="60" t="n"/>
      <c r="DF83" s="60" t="n"/>
      <c r="DG83" s="60">
        <f>DF83-DE83</f>
        <v/>
      </c>
      <c r="DH83" s="61">
        <f>IF(DE83=0,"",DF83/DE83)</f>
        <v/>
      </c>
      <c r="DI83" s="27" t="n"/>
      <c r="DJ83" s="62" t="n"/>
      <c r="DK83" s="62" t="n"/>
      <c r="DL83" s="62">
        <f>DK83-DJ83</f>
        <v/>
      </c>
      <c r="DM83" s="64">
        <f>IF(DJ83=0,"",DK83/DJ83)</f>
        <v/>
      </c>
      <c r="DN83" s="31" t="n"/>
      <c r="DO83" s="60" t="n"/>
    </row>
    <row r="84" ht="15" customHeight="1">
      <c r="A84" s="19" t="n"/>
      <c r="B84" s="20" t="n"/>
      <c r="C84" s="19" t="n"/>
      <c r="D84" s="58">
        <f>D85</f>
        <v/>
      </c>
      <c r="E84" s="58">
        <f>E85</f>
        <v/>
      </c>
      <c r="F84" s="58">
        <f>E84-D84</f>
        <v/>
      </c>
      <c r="G84" s="59">
        <f>IF(D84=0,"",E84/D84)</f>
        <v/>
      </c>
      <c r="H84" s="23" t="n"/>
      <c r="I84" s="58">
        <f>I85</f>
        <v/>
      </c>
      <c r="J84" s="58">
        <f>J85</f>
        <v/>
      </c>
      <c r="K84" s="58">
        <f>J84-I84</f>
        <v/>
      </c>
      <c r="L84" s="59">
        <f>IF(I84=0,"",J84/I84)</f>
        <v/>
      </c>
      <c r="M84" s="23" t="n"/>
      <c r="N84" s="58">
        <f>N85</f>
        <v/>
      </c>
      <c r="O84" s="58">
        <f>O85</f>
        <v/>
      </c>
      <c r="P84" s="58">
        <f>O84-N84</f>
        <v/>
      </c>
      <c r="Q84" s="59">
        <f>IF(N84=0,"",O84/N84)</f>
        <v/>
      </c>
      <c r="R84" s="23" t="n"/>
      <c r="S84" s="58">
        <f>S85</f>
        <v/>
      </c>
      <c r="T84" s="58">
        <f>T85</f>
        <v/>
      </c>
      <c r="U84" s="58">
        <f>T84-S84</f>
        <v/>
      </c>
      <c r="V84" s="59">
        <f>IF(S84=0,"",T84/S84)</f>
        <v/>
      </c>
      <c r="W84" s="23" t="n"/>
      <c r="X84" s="58">
        <f>X85</f>
        <v/>
      </c>
      <c r="Y84" s="58">
        <f>Y85</f>
        <v/>
      </c>
      <c r="Z84" s="58">
        <f>Y84-X84</f>
        <v/>
      </c>
      <c r="AA84" s="59">
        <f>IF(X84=0,"",Y84/X84)</f>
        <v/>
      </c>
      <c r="AB84" s="23" t="n"/>
      <c r="AC84" s="58">
        <f>AC85</f>
        <v/>
      </c>
      <c r="AD84" s="58">
        <f>AD85</f>
        <v/>
      </c>
      <c r="AE84" s="58">
        <f>AD84-AC84</f>
        <v/>
      </c>
      <c r="AF84" s="59">
        <f>IF(AC84=0,"",AD84/AC84)</f>
        <v/>
      </c>
      <c r="AG84" s="23" t="n"/>
      <c r="AH84" s="58">
        <f>AH85</f>
        <v/>
      </c>
      <c r="AI84" s="58">
        <f>AI85</f>
        <v/>
      </c>
      <c r="AJ84" s="58">
        <f>AI84-AH84</f>
        <v/>
      </c>
      <c r="AK84" s="59">
        <f>IF(AH84=0,"",AI84/AH84)</f>
        <v/>
      </c>
      <c r="AL84" s="23" t="n"/>
      <c r="AM84" s="58">
        <f>AM85</f>
        <v/>
      </c>
      <c r="AN84" s="58">
        <f>AN85</f>
        <v/>
      </c>
      <c r="AO84" s="58">
        <f>AN84-AM84</f>
        <v/>
      </c>
      <c r="AP84" s="59">
        <f>IF(AM84=0,"",AN84/AM84)</f>
        <v/>
      </c>
      <c r="AQ84" s="23" t="n"/>
      <c r="AR84" s="58">
        <f>AR85</f>
        <v/>
      </c>
      <c r="AS84" s="58">
        <f>AS85</f>
        <v/>
      </c>
      <c r="AT84" s="58">
        <f>AS84-AR84</f>
        <v/>
      </c>
      <c r="AU84" s="59">
        <f>IF(AR84=0,"",AS84/AR84)</f>
        <v/>
      </c>
      <c r="AV84" s="23" t="n"/>
      <c r="AW84" s="58">
        <f>AW85</f>
        <v/>
      </c>
      <c r="AX84" s="58">
        <f>AX85</f>
        <v/>
      </c>
      <c r="AY84" s="58">
        <f>AX84-AW84</f>
        <v/>
      </c>
      <c r="AZ84" s="59">
        <f>IF(AW84=0,"",AX84/AW84)</f>
        <v/>
      </c>
      <c r="BA84" s="23" t="n"/>
      <c r="BB84" s="58">
        <f>BB85</f>
        <v/>
      </c>
      <c r="BC84" s="58">
        <f>BC85</f>
        <v/>
      </c>
      <c r="BD84" s="58">
        <f>BC84-BB84</f>
        <v/>
      </c>
      <c r="BE84" s="59">
        <f>IF(BB84=0,"",BC84/BB84)</f>
        <v/>
      </c>
      <c r="BF84" s="23" t="n"/>
      <c r="BG84" s="58">
        <f>BG85</f>
        <v/>
      </c>
      <c r="BH84" s="58">
        <f>BH85</f>
        <v/>
      </c>
      <c r="BI84" s="58">
        <f>BH84-BG84</f>
        <v/>
      </c>
      <c r="BJ84" s="59">
        <f>IF(BG84=0,"",BH84/BG84)</f>
        <v/>
      </c>
      <c r="BK84" s="23" t="n"/>
      <c r="BL84" s="58">
        <f>BL85</f>
        <v/>
      </c>
      <c r="BM84" s="58">
        <f>BM85</f>
        <v/>
      </c>
      <c r="BN84" s="58">
        <f>BM84-BL84</f>
        <v/>
      </c>
      <c r="BO84" s="59">
        <f>IF(BL84=0,"",BM84/BL84)</f>
        <v/>
      </c>
      <c r="BP84" s="23" t="n"/>
      <c r="BQ84" s="58">
        <f>BQ85</f>
        <v/>
      </c>
      <c r="BR84" s="58">
        <f>BR85</f>
        <v/>
      </c>
      <c r="BS84" s="58">
        <f>BR84-BQ84</f>
        <v/>
      </c>
      <c r="BT84" s="59">
        <f>IF(BQ84=0,"",BR84/BQ84)</f>
        <v/>
      </c>
      <c r="BU84" s="23" t="n"/>
      <c r="BV84" s="58">
        <f>BV85</f>
        <v/>
      </c>
      <c r="BW84" s="58">
        <f>BW85</f>
        <v/>
      </c>
      <c r="BX84" s="58">
        <f>BW84-BV84</f>
        <v/>
      </c>
      <c r="BY84" s="59">
        <f>IF(BV84=0,"",BW84/BV84)</f>
        <v/>
      </c>
      <c r="BZ84" s="23" t="n"/>
      <c r="CA84" s="58">
        <f>CA85</f>
        <v/>
      </c>
      <c r="CB84" s="58">
        <f>CB85</f>
        <v/>
      </c>
      <c r="CC84" s="58">
        <f>CB84-CA84</f>
        <v/>
      </c>
      <c r="CD84" s="59">
        <f>IF(CA84=0,"",CB84/CA84)</f>
        <v/>
      </c>
      <c r="CE84" s="23" t="n"/>
      <c r="CF84" s="58">
        <f>CF85</f>
        <v/>
      </c>
      <c r="CG84" s="58">
        <f>CG85</f>
        <v/>
      </c>
      <c r="CH84" s="58">
        <f>CG84-CF84</f>
        <v/>
      </c>
      <c r="CI84" s="59">
        <f>IF(CF84=0,"",CG84/CF84)</f>
        <v/>
      </c>
      <c r="CJ84" s="23" t="n"/>
      <c r="CK84" s="58">
        <f>CK85</f>
        <v/>
      </c>
      <c r="CL84" s="58">
        <f>CL85</f>
        <v/>
      </c>
      <c r="CM84" s="58">
        <f>CL84-CK84</f>
        <v/>
      </c>
      <c r="CN84" s="59">
        <f>IF(CK84=0,"",CL84/CK84)</f>
        <v/>
      </c>
      <c r="CO84" s="23" t="n"/>
      <c r="CP84" s="58">
        <f>CP85</f>
        <v/>
      </c>
      <c r="CQ84" s="58">
        <f>CQ85</f>
        <v/>
      </c>
      <c r="CR84" s="58">
        <f>CQ84-CP84</f>
        <v/>
      </c>
      <c r="CS84" s="59">
        <f>IF(CP84=0,"",CQ84/CP84)</f>
        <v/>
      </c>
      <c r="CT84" s="23" t="n"/>
      <c r="CU84" s="58">
        <f>CU85</f>
        <v/>
      </c>
      <c r="CV84" s="58">
        <f>CV85</f>
        <v/>
      </c>
      <c r="CW84" s="58">
        <f>CV84-CU84</f>
        <v/>
      </c>
      <c r="CX84" s="59">
        <f>IF(CU84=0,"",CV84/CU84)</f>
        <v/>
      </c>
      <c r="CY84" s="23" t="n"/>
      <c r="CZ84" s="58">
        <f>CZ85</f>
        <v/>
      </c>
      <c r="DA84" s="58">
        <f>DA85</f>
        <v/>
      </c>
      <c r="DB84" s="58">
        <f>DA84-CZ84</f>
        <v/>
      </c>
      <c r="DC84" s="59">
        <f>IF(CZ84=0,"",DA84/CZ84)</f>
        <v/>
      </c>
      <c r="DD84" s="23" t="n"/>
      <c r="DE84" s="58">
        <f>DE85</f>
        <v/>
      </c>
      <c r="DF84" s="58">
        <f>DF85</f>
        <v/>
      </c>
      <c r="DG84" s="58">
        <f>DF84-DE84</f>
        <v/>
      </c>
      <c r="DH84" s="59">
        <f>IF(DE84=0,"",DF84/DE84)</f>
        <v/>
      </c>
      <c r="DI84" s="23" t="n"/>
      <c r="DJ84" s="58">
        <f>DJ85</f>
        <v/>
      </c>
      <c r="DK84" s="58">
        <f>DK85</f>
        <v/>
      </c>
      <c r="DL84" s="58">
        <f>DK84-DJ84</f>
        <v/>
      </c>
      <c r="DM84" s="59">
        <f>IF(DJ84=0,"",DK84/DJ84)</f>
        <v/>
      </c>
      <c r="DN84" s="23" t="n"/>
      <c r="DO84" s="58">
        <f>DO85</f>
        <v/>
      </c>
    </row>
    <row r="85" outlineLevel="1" ht="15" customHeight="1">
      <c r="A85" s="24" t="n"/>
      <c r="B85" s="24" t="n"/>
      <c r="C85" s="24" t="n"/>
      <c r="D85" s="60" t="n"/>
      <c r="E85" s="60" t="n"/>
      <c r="F85" s="60">
        <f>E85-D85</f>
        <v/>
      </c>
      <c r="G85" s="61">
        <f>IF(D85=0,"",E85/D85)</f>
        <v/>
      </c>
      <c r="H85" s="27" t="n"/>
      <c r="I85" s="60" t="n"/>
      <c r="J85" s="60" t="n"/>
      <c r="K85" s="60">
        <f>J85-I85</f>
        <v/>
      </c>
      <c r="L85" s="61">
        <f>IF(I85=0,"",J85/I85)</f>
        <v/>
      </c>
      <c r="M85" s="27" t="n"/>
      <c r="N85" s="62" t="n"/>
      <c r="O85" s="62" t="n"/>
      <c r="P85" s="62">
        <f>O85-N85</f>
        <v/>
      </c>
      <c r="Q85" s="64">
        <f>IF(N85=0,"",O85/N85)</f>
        <v/>
      </c>
      <c r="R85" s="31" t="n"/>
      <c r="S85" s="60" t="n"/>
      <c r="T85" s="60" t="n"/>
      <c r="U85" s="60">
        <f>T85-S85</f>
        <v/>
      </c>
      <c r="V85" s="61">
        <f>IF(S85=0,"",T85/S85)</f>
        <v/>
      </c>
      <c r="W85" s="27" t="n"/>
      <c r="X85" s="62" t="n"/>
      <c r="Y85" s="62" t="n"/>
      <c r="Z85" s="62">
        <f>Y85-X85</f>
        <v/>
      </c>
      <c r="AA85" s="64">
        <f>IF(X85=0,"",Y85/X85)</f>
        <v/>
      </c>
      <c r="AB85" s="31" t="n"/>
      <c r="AC85" s="60" t="n"/>
      <c r="AD85" s="60" t="n"/>
      <c r="AE85" s="60">
        <f>AD85-AC85</f>
        <v/>
      </c>
      <c r="AF85" s="61">
        <f>IF(AC85=0,"",AD85/AC85)</f>
        <v/>
      </c>
      <c r="AG85" s="27" t="n"/>
      <c r="AH85" s="62" t="n"/>
      <c r="AI85" s="62" t="n"/>
      <c r="AJ85" s="62">
        <f>AI85-AH85</f>
        <v/>
      </c>
      <c r="AK85" s="64">
        <f>IF(AH85=0,"",AI85/AH85)</f>
        <v/>
      </c>
      <c r="AL85" s="31" t="n"/>
      <c r="AM85" s="60" t="n"/>
      <c r="AN85" s="60" t="n"/>
      <c r="AO85" s="60">
        <f>AN85-AM85</f>
        <v/>
      </c>
      <c r="AP85" s="61">
        <f>IF(AM85=0,"",AN85/AM85)</f>
        <v/>
      </c>
      <c r="AQ85" s="27" t="n"/>
      <c r="AR85" s="62" t="n"/>
      <c r="AS85" s="62" t="n"/>
      <c r="AT85" s="62">
        <f>AS85-AR85</f>
        <v/>
      </c>
      <c r="AU85" s="64">
        <f>IF(AR85=0,"",AS85/AR85)</f>
        <v/>
      </c>
      <c r="AV85" s="31" t="n"/>
      <c r="AW85" s="60" t="n"/>
      <c r="AX85" s="60" t="n"/>
      <c r="AY85" s="60">
        <f>AX85-AW85</f>
        <v/>
      </c>
      <c r="AZ85" s="61">
        <f>IF(AW85=0,"",AX85/AW85)</f>
        <v/>
      </c>
      <c r="BA85" s="27" t="n"/>
      <c r="BB85" s="62" t="n"/>
      <c r="BC85" s="62" t="n"/>
      <c r="BD85" s="62">
        <f>BC85-BB85</f>
        <v/>
      </c>
      <c r="BE85" s="64">
        <f>IF(BB85=0,"",BC85/BB85)</f>
        <v/>
      </c>
      <c r="BF85" s="31" t="n"/>
      <c r="BG85" s="60" t="n"/>
      <c r="BH85" s="60" t="n"/>
      <c r="BI85" s="60">
        <f>BH85-BG85</f>
        <v/>
      </c>
      <c r="BJ85" s="61">
        <f>IF(BG85=0,"",BH85/BG85)</f>
        <v/>
      </c>
      <c r="BK85" s="27" t="n"/>
      <c r="BL85" s="62" t="n"/>
      <c r="BM85" s="62" t="n"/>
      <c r="BN85" s="62">
        <f>BM85-BL85</f>
        <v/>
      </c>
      <c r="BO85" s="64">
        <f>IF(BL85=0,"",BM85/BL85)</f>
        <v/>
      </c>
      <c r="BP85" s="31" t="n"/>
      <c r="BQ85" s="60" t="n"/>
      <c r="BR85" s="60" t="n"/>
      <c r="BS85" s="60">
        <f>BR85-BQ85</f>
        <v/>
      </c>
      <c r="BT85" s="61">
        <f>IF(BQ85=0,"",BR85/BQ85)</f>
        <v/>
      </c>
      <c r="BU85" s="27" t="n"/>
      <c r="BV85" s="62" t="n"/>
      <c r="BW85" s="62" t="n"/>
      <c r="BX85" s="62">
        <f>BW85-BV85</f>
        <v/>
      </c>
      <c r="BY85" s="64">
        <f>IF(BV85=0,"",BW85/BV85)</f>
        <v/>
      </c>
      <c r="BZ85" s="31" t="n"/>
      <c r="CA85" s="60" t="n"/>
      <c r="CB85" s="60" t="n"/>
      <c r="CC85" s="60">
        <f>CB85-CA85</f>
        <v/>
      </c>
      <c r="CD85" s="61">
        <f>IF(CA85=0,"",CB85/CA85)</f>
        <v/>
      </c>
      <c r="CE85" s="27" t="n"/>
      <c r="CF85" s="62" t="n"/>
      <c r="CG85" s="62" t="n"/>
      <c r="CH85" s="62">
        <f>CG85-CF85</f>
        <v/>
      </c>
      <c r="CI85" s="64">
        <f>IF(CF85=0,"",CG85/CF85)</f>
        <v/>
      </c>
      <c r="CJ85" s="31" t="n"/>
      <c r="CK85" s="60" t="n"/>
      <c r="CL85" s="60" t="n"/>
      <c r="CM85" s="60">
        <f>CL85-CK85</f>
        <v/>
      </c>
      <c r="CN85" s="61">
        <f>IF(CK85=0,"",CL85/CK85)</f>
        <v/>
      </c>
      <c r="CO85" s="27" t="n"/>
      <c r="CP85" s="62" t="n"/>
      <c r="CQ85" s="62" t="n"/>
      <c r="CR85" s="62">
        <f>CQ85-CP85</f>
        <v/>
      </c>
      <c r="CS85" s="64">
        <f>IF(CP85=0,"",CQ85/CP85)</f>
        <v/>
      </c>
      <c r="CT85" s="31" t="n"/>
      <c r="CU85" s="60" t="n"/>
      <c r="CV85" s="60" t="n"/>
      <c r="CW85" s="60">
        <f>CV85-CU85</f>
        <v/>
      </c>
      <c r="CX85" s="61">
        <f>IF(CU85=0,"",CV85/CU85)</f>
        <v/>
      </c>
      <c r="CY85" s="27" t="n"/>
      <c r="CZ85" s="62" t="n"/>
      <c r="DA85" s="62" t="n"/>
      <c r="DB85" s="62">
        <f>DA85-CZ85</f>
        <v/>
      </c>
      <c r="DC85" s="64">
        <f>IF(CZ85=0,"",DA85/CZ85)</f>
        <v/>
      </c>
      <c r="DD85" s="31" t="n"/>
      <c r="DE85" s="60" t="n"/>
      <c r="DF85" s="60" t="n"/>
      <c r="DG85" s="60">
        <f>DF85-DE85</f>
        <v/>
      </c>
      <c r="DH85" s="61">
        <f>IF(DE85=0,"",DF85/DE85)</f>
        <v/>
      </c>
      <c r="DI85" s="27" t="n"/>
      <c r="DJ85" s="62" t="n"/>
      <c r="DK85" s="62" t="n"/>
      <c r="DL85" s="62">
        <f>DK85-DJ85</f>
        <v/>
      </c>
      <c r="DM85" s="64">
        <f>IF(DJ85=0,"",DK85/DJ85)</f>
        <v/>
      </c>
      <c r="DN85" s="31" t="n"/>
      <c r="DO85" s="60" t="n"/>
    </row>
    <row r="86" ht="15" customHeight="1">
      <c r="A86" s="19" t="n"/>
      <c r="B86" s="20" t="n"/>
      <c r="C86" s="19" t="n"/>
      <c r="D86" s="58">
        <f>D87+D88+D89+D90+D91+D92+D93+D94+D95</f>
        <v/>
      </c>
      <c r="E86" s="58">
        <f>E87+E88+E89+E90+E91+E92+E93+E94+E95</f>
        <v/>
      </c>
      <c r="F86" s="58">
        <f>E86-D86</f>
        <v/>
      </c>
      <c r="G86" s="59">
        <f>IF(D86=0,"",E86/D86)</f>
        <v/>
      </c>
      <c r="H86" s="23" t="n"/>
      <c r="I86" s="58">
        <f>I87+I88+I89+I90+I91+I92+I93+I94+I95</f>
        <v/>
      </c>
      <c r="J86" s="58">
        <f>J87+J88+J89+J90+J91+J92+J93+J94+J95</f>
        <v/>
      </c>
      <c r="K86" s="58">
        <f>J86-I86</f>
        <v/>
      </c>
      <c r="L86" s="59">
        <f>IF(I86=0,"",J86/I86)</f>
        <v/>
      </c>
      <c r="M86" s="23" t="n"/>
      <c r="N86" s="58">
        <f>N87+N88+N89+N90+N91+N92+N93+N94+N95</f>
        <v/>
      </c>
      <c r="O86" s="58">
        <f>O87+O88+O89+O90+O91+O92+O93+O94+O95</f>
        <v/>
      </c>
      <c r="P86" s="58">
        <f>O86-N86</f>
        <v/>
      </c>
      <c r="Q86" s="59">
        <f>IF(N86=0,"",O86/N86)</f>
        <v/>
      </c>
      <c r="R86" s="23" t="n"/>
      <c r="S86" s="58">
        <f>S87+S88+S89+S90+S91+S92+S93+S94+S95</f>
        <v/>
      </c>
      <c r="T86" s="58">
        <f>T87+T88+T89+T90+T91+T92+T93+T94+T95</f>
        <v/>
      </c>
      <c r="U86" s="58">
        <f>T86-S86</f>
        <v/>
      </c>
      <c r="V86" s="59">
        <f>IF(S86=0,"",T86/S86)</f>
        <v/>
      </c>
      <c r="W86" s="23" t="n"/>
      <c r="X86" s="58">
        <f>X87+X88+X89+X90+X91+X92+X93+X94+X95</f>
        <v/>
      </c>
      <c r="Y86" s="58">
        <f>Y87+Y88+Y89+Y90+Y91+Y92+Y93+Y94+Y95</f>
        <v/>
      </c>
      <c r="Z86" s="58">
        <f>Y86-X86</f>
        <v/>
      </c>
      <c r="AA86" s="59">
        <f>IF(X86=0,"",Y86/X86)</f>
        <v/>
      </c>
      <c r="AB86" s="23" t="n"/>
      <c r="AC86" s="58">
        <f>AC87+AC88+AC89+AC90+AC91+AC92+AC93+AC94+AC95</f>
        <v/>
      </c>
      <c r="AD86" s="58">
        <f>AD87+AD88+AD89+AD90+AD91+AD92+AD93+AD94+AD95</f>
        <v/>
      </c>
      <c r="AE86" s="58">
        <f>AD86-AC86</f>
        <v/>
      </c>
      <c r="AF86" s="59">
        <f>IF(AC86=0,"",AD86/AC86)</f>
        <v/>
      </c>
      <c r="AG86" s="23" t="n"/>
      <c r="AH86" s="58">
        <f>AH87+AH88+AH89+AH90+AH91+AH92+AH93+AH94+AH95</f>
        <v/>
      </c>
      <c r="AI86" s="58">
        <f>AI87+AI88+AI89+AI90+AI91+AI92+AI93+AI94+AI95</f>
        <v/>
      </c>
      <c r="AJ86" s="58">
        <f>AI86-AH86</f>
        <v/>
      </c>
      <c r="AK86" s="59">
        <f>IF(AH86=0,"",AI86/AH86)</f>
        <v/>
      </c>
      <c r="AL86" s="23" t="n"/>
      <c r="AM86" s="58">
        <f>AM87+AM88+AM89+AM90+AM91+AM92+AM93+AM94+AM95</f>
        <v/>
      </c>
      <c r="AN86" s="58">
        <f>AN87+AN88+AN89+AN90+AN91+AN92+AN93+AN94+AN95</f>
        <v/>
      </c>
      <c r="AO86" s="58">
        <f>AN86-AM86</f>
        <v/>
      </c>
      <c r="AP86" s="59">
        <f>IF(AM86=0,"",AN86/AM86)</f>
        <v/>
      </c>
      <c r="AQ86" s="23" t="n"/>
      <c r="AR86" s="58">
        <f>AR87+AR88+AR89+AR90+AR91+AR92+AR93+AR94+AR95</f>
        <v/>
      </c>
      <c r="AS86" s="58">
        <f>AS87+AS88+AS89+AS90+AS91+AS92+AS93+AS94+AS95</f>
        <v/>
      </c>
      <c r="AT86" s="58">
        <f>AS86-AR86</f>
        <v/>
      </c>
      <c r="AU86" s="59">
        <f>IF(AR86=0,"",AS86/AR86)</f>
        <v/>
      </c>
      <c r="AV86" s="23" t="n"/>
      <c r="AW86" s="58">
        <f>AW87+AW88+AW89+AW90+AW91+AW92+AW93+AW94+AW95</f>
        <v/>
      </c>
      <c r="AX86" s="58">
        <f>AX87+AX88+AX89+AX90+AX91+AX92+AX93+AX94+AX95</f>
        <v/>
      </c>
      <c r="AY86" s="58">
        <f>AX86-AW86</f>
        <v/>
      </c>
      <c r="AZ86" s="59">
        <f>IF(AW86=0,"",AX86/AW86)</f>
        <v/>
      </c>
      <c r="BA86" s="23" t="n"/>
      <c r="BB86" s="58">
        <f>BB87+BB88+BB89+BB90+BB91+BB92+BB93+BB94+BB95</f>
        <v/>
      </c>
      <c r="BC86" s="58">
        <f>BC87+BC88+BC89+BC90+BC91+BC92+BC93+BC94+BC95</f>
        <v/>
      </c>
      <c r="BD86" s="58">
        <f>BC86-BB86</f>
        <v/>
      </c>
      <c r="BE86" s="59">
        <f>IF(BB86=0,"",BC86/BB86)</f>
        <v/>
      </c>
      <c r="BF86" s="23" t="n"/>
      <c r="BG86" s="58">
        <f>BG87+BG88+BG89+BG90+BG91+BG92+BG93+BG94+BG95</f>
        <v/>
      </c>
      <c r="BH86" s="58">
        <f>BH87+BH88+BH89+BH90+BH91+BH92+BH93+BH94+BH95</f>
        <v/>
      </c>
      <c r="BI86" s="58">
        <f>BH86-BG86</f>
        <v/>
      </c>
      <c r="BJ86" s="59">
        <f>IF(BG86=0,"",BH86/BG86)</f>
        <v/>
      </c>
      <c r="BK86" s="23" t="n"/>
      <c r="BL86" s="58">
        <f>BL87+BL88+BL89+BL90+BL91+BL92+BL93+BL94+BL95</f>
        <v/>
      </c>
      <c r="BM86" s="58">
        <f>BM87+BM88+BM89+BM90+BM91+BM92+BM93+BM94+BM95</f>
        <v/>
      </c>
      <c r="BN86" s="58">
        <f>BM86-BL86</f>
        <v/>
      </c>
      <c r="BO86" s="59">
        <f>IF(BL86=0,"",BM86/BL86)</f>
        <v/>
      </c>
      <c r="BP86" s="23" t="n"/>
      <c r="BQ86" s="58">
        <f>BQ87+BQ88+BQ89+BQ90+BQ91+BQ92+BQ93+BQ94+BQ95</f>
        <v/>
      </c>
      <c r="BR86" s="58">
        <f>BR87+BR88+BR89+BR90+BR91+BR92+BR93+BR94+BR95</f>
        <v/>
      </c>
      <c r="BS86" s="58">
        <f>BR86-BQ86</f>
        <v/>
      </c>
      <c r="BT86" s="59">
        <f>IF(BQ86=0,"",BR86/BQ86)</f>
        <v/>
      </c>
      <c r="BU86" s="23" t="n"/>
      <c r="BV86" s="58">
        <f>BV87+BV88+BV89+BV90+BV91+BV92+BV93+BV94+BV95</f>
        <v/>
      </c>
      <c r="BW86" s="58">
        <f>BW87+BW88+BW89+BW90+BW91+BW92+BW93+BW94+BW95</f>
        <v/>
      </c>
      <c r="BX86" s="58">
        <f>BW86-BV86</f>
        <v/>
      </c>
      <c r="BY86" s="59">
        <f>IF(BV86=0,"",BW86/BV86)</f>
        <v/>
      </c>
      <c r="BZ86" s="23" t="n"/>
      <c r="CA86" s="58">
        <f>CA87+CA88+CA89+CA90+CA91+CA92+CA93+CA94+CA95</f>
        <v/>
      </c>
      <c r="CB86" s="58">
        <f>CB87+CB88+CB89+CB90+CB91+CB92+CB93+CB94+CB95</f>
        <v/>
      </c>
      <c r="CC86" s="58">
        <f>CB86-CA86</f>
        <v/>
      </c>
      <c r="CD86" s="59">
        <f>IF(CA86=0,"",CB86/CA86)</f>
        <v/>
      </c>
      <c r="CE86" s="23" t="n"/>
      <c r="CF86" s="58">
        <f>CF87+CF88+CF89+CF90+CF91+CF92+CF93+CF94+CF95</f>
        <v/>
      </c>
      <c r="CG86" s="58">
        <f>CG87+CG88+CG89+CG90+CG91+CG92+CG93+CG94+CG95</f>
        <v/>
      </c>
      <c r="CH86" s="58">
        <f>CG86-CF86</f>
        <v/>
      </c>
      <c r="CI86" s="59">
        <f>IF(CF86=0,"",CG86/CF86)</f>
        <v/>
      </c>
      <c r="CJ86" s="23" t="n"/>
      <c r="CK86" s="58">
        <f>CK87+CK88+CK89+CK90+CK91+CK92+CK93+CK94+CK95</f>
        <v/>
      </c>
      <c r="CL86" s="58">
        <f>CL87+CL88+CL89+CL90+CL91+CL92+CL93+CL94+CL95</f>
        <v/>
      </c>
      <c r="CM86" s="58">
        <f>CL86-CK86</f>
        <v/>
      </c>
      <c r="CN86" s="59">
        <f>IF(CK86=0,"",CL86/CK86)</f>
        <v/>
      </c>
      <c r="CO86" s="23" t="n"/>
      <c r="CP86" s="58">
        <f>CP87+CP88+CP89+CP90+CP91+CP92+CP93+CP94+CP95</f>
        <v/>
      </c>
      <c r="CQ86" s="58">
        <f>CQ87+CQ88+CQ89+CQ90+CQ91+CQ92+CQ93+CQ94+CQ95</f>
        <v/>
      </c>
      <c r="CR86" s="58">
        <f>CQ86-CP86</f>
        <v/>
      </c>
      <c r="CS86" s="59">
        <f>IF(CP86=0,"",CQ86/CP86)</f>
        <v/>
      </c>
      <c r="CT86" s="23" t="n"/>
      <c r="CU86" s="58">
        <f>CU87+CU88+CU89+CU90+CU91+CU92+CU93+CU94+CU95</f>
        <v/>
      </c>
      <c r="CV86" s="58">
        <f>CV87+CV88+CV89+CV90+CV91+CV92+CV93+CV94+CV95</f>
        <v/>
      </c>
      <c r="CW86" s="58">
        <f>CV86-CU86</f>
        <v/>
      </c>
      <c r="CX86" s="59">
        <f>IF(CU86=0,"",CV86/CU86)</f>
        <v/>
      </c>
      <c r="CY86" s="23" t="n"/>
      <c r="CZ86" s="58">
        <f>CZ87+CZ88+CZ89+CZ90+CZ91+CZ92+CZ93+CZ94+CZ95</f>
        <v/>
      </c>
      <c r="DA86" s="58">
        <f>DA87+DA88+DA89+DA90+DA91+DA92+DA93+DA94+DA95</f>
        <v/>
      </c>
      <c r="DB86" s="58">
        <f>DA86-CZ86</f>
        <v/>
      </c>
      <c r="DC86" s="59">
        <f>IF(CZ86=0,"",DA86/CZ86)</f>
        <v/>
      </c>
      <c r="DD86" s="23" t="n"/>
      <c r="DE86" s="58">
        <f>DE87+DE88+DE89+DE90+DE91+DE92+DE93+DE94+DE95</f>
        <v/>
      </c>
      <c r="DF86" s="58">
        <f>DF87+DF88+DF89+DF90+DF91+DF92+DF93+DF94+DF95</f>
        <v/>
      </c>
      <c r="DG86" s="58">
        <f>DF86-DE86</f>
        <v/>
      </c>
      <c r="DH86" s="59">
        <f>IF(DE86=0,"",DF86/DE86)</f>
        <v/>
      </c>
      <c r="DI86" s="23" t="n"/>
      <c r="DJ86" s="58">
        <f>DJ87+DJ88+DJ89+DJ90+DJ91+DJ92+DJ93+DJ94+DJ95</f>
        <v/>
      </c>
      <c r="DK86" s="58">
        <f>DK87+DK88+DK89+DK90+DK91+DK92+DK93+DK94+DK95</f>
        <v/>
      </c>
      <c r="DL86" s="58">
        <f>DK86-DJ86</f>
        <v/>
      </c>
      <c r="DM86" s="59">
        <f>IF(DJ86=0,"",DK86/DJ86)</f>
        <v/>
      </c>
      <c r="DN86" s="23" t="n"/>
      <c r="DO86" s="58">
        <f>DO87+DO88+DO89+DO90+DO91+DO92+DO93+DO94+DO95</f>
        <v/>
      </c>
    </row>
    <row r="87" outlineLevel="1" ht="15" customHeight="1">
      <c r="A87" s="24" t="n"/>
      <c r="B87" s="24" t="n"/>
      <c r="C87" s="24" t="n"/>
      <c r="D87" s="60" t="n"/>
      <c r="E87" s="60" t="n"/>
      <c r="F87" s="60">
        <f>E87-D87</f>
        <v/>
      </c>
      <c r="G87" s="61">
        <f>IF(D87=0,"",E87/D87)</f>
        <v/>
      </c>
      <c r="H87" s="27" t="n"/>
      <c r="I87" s="60" t="n"/>
      <c r="J87" s="60" t="n"/>
      <c r="K87" s="60">
        <f>J87-I87</f>
        <v/>
      </c>
      <c r="L87" s="61">
        <f>IF(I87=0,"",J87/I87)</f>
        <v/>
      </c>
      <c r="M87" s="27" t="n"/>
      <c r="N87" s="62" t="n"/>
      <c r="O87" s="62" t="n"/>
      <c r="P87" s="62">
        <f>O87-N87</f>
        <v/>
      </c>
      <c r="Q87" s="64">
        <f>IF(N87=0,"",O87/N87)</f>
        <v/>
      </c>
      <c r="R87" s="31" t="n"/>
      <c r="S87" s="60" t="n"/>
      <c r="T87" s="60" t="n"/>
      <c r="U87" s="60">
        <f>T87-S87</f>
        <v/>
      </c>
      <c r="V87" s="61">
        <f>IF(S87=0,"",T87/S87)</f>
        <v/>
      </c>
      <c r="W87" s="27" t="n"/>
      <c r="X87" s="62" t="n"/>
      <c r="Y87" s="62" t="n"/>
      <c r="Z87" s="62">
        <f>Y87-X87</f>
        <v/>
      </c>
      <c r="AA87" s="64">
        <f>IF(X87=0,"",Y87/X87)</f>
        <v/>
      </c>
      <c r="AB87" s="31" t="n"/>
      <c r="AC87" s="60" t="n"/>
      <c r="AD87" s="60" t="n"/>
      <c r="AE87" s="60">
        <f>AD87-AC87</f>
        <v/>
      </c>
      <c r="AF87" s="61">
        <f>IF(AC87=0,"",AD87/AC87)</f>
        <v/>
      </c>
      <c r="AG87" s="27" t="n"/>
      <c r="AH87" s="62" t="n"/>
      <c r="AI87" s="62" t="n"/>
      <c r="AJ87" s="62">
        <f>AI87-AH87</f>
        <v/>
      </c>
      <c r="AK87" s="64">
        <f>IF(AH87=0,"",AI87/AH87)</f>
        <v/>
      </c>
      <c r="AL87" s="31" t="n"/>
      <c r="AM87" s="60" t="n"/>
      <c r="AN87" s="60" t="n"/>
      <c r="AO87" s="60">
        <f>AN87-AM87</f>
        <v/>
      </c>
      <c r="AP87" s="61">
        <f>IF(AM87=0,"",AN87/AM87)</f>
        <v/>
      </c>
      <c r="AQ87" s="27" t="n"/>
      <c r="AR87" s="62" t="n"/>
      <c r="AS87" s="62" t="n"/>
      <c r="AT87" s="62">
        <f>AS87-AR87</f>
        <v/>
      </c>
      <c r="AU87" s="64">
        <f>IF(AR87=0,"",AS87/AR87)</f>
        <v/>
      </c>
      <c r="AV87" s="31" t="n"/>
      <c r="AW87" s="60" t="n"/>
      <c r="AX87" s="60" t="n"/>
      <c r="AY87" s="60">
        <f>AX87-AW87</f>
        <v/>
      </c>
      <c r="AZ87" s="61">
        <f>IF(AW87=0,"",AX87/AW87)</f>
        <v/>
      </c>
      <c r="BA87" s="27" t="n"/>
      <c r="BB87" s="62" t="n"/>
      <c r="BC87" s="62" t="n"/>
      <c r="BD87" s="62">
        <f>BC87-BB87</f>
        <v/>
      </c>
      <c r="BE87" s="64">
        <f>IF(BB87=0,"",BC87/BB87)</f>
        <v/>
      </c>
      <c r="BF87" s="31" t="n"/>
      <c r="BG87" s="60" t="n"/>
      <c r="BH87" s="60" t="n"/>
      <c r="BI87" s="60">
        <f>BH87-BG87</f>
        <v/>
      </c>
      <c r="BJ87" s="61">
        <f>IF(BG87=0,"",BH87/BG87)</f>
        <v/>
      </c>
      <c r="BK87" s="27" t="n"/>
      <c r="BL87" s="62" t="n"/>
      <c r="BM87" s="62" t="n"/>
      <c r="BN87" s="62">
        <f>BM87-BL87</f>
        <v/>
      </c>
      <c r="BO87" s="64">
        <f>IF(BL87=0,"",BM87/BL87)</f>
        <v/>
      </c>
      <c r="BP87" s="31" t="n"/>
      <c r="BQ87" s="60" t="n"/>
      <c r="BR87" s="60" t="n"/>
      <c r="BS87" s="60">
        <f>BR87-BQ87</f>
        <v/>
      </c>
      <c r="BT87" s="61">
        <f>IF(BQ87=0,"",BR87/BQ87)</f>
        <v/>
      </c>
      <c r="BU87" s="27" t="n"/>
      <c r="BV87" s="62" t="n"/>
      <c r="BW87" s="62" t="n"/>
      <c r="BX87" s="62">
        <f>BW87-BV87</f>
        <v/>
      </c>
      <c r="BY87" s="64">
        <f>IF(BV87=0,"",BW87/BV87)</f>
        <v/>
      </c>
      <c r="BZ87" s="31" t="n"/>
      <c r="CA87" s="60" t="n"/>
      <c r="CB87" s="60" t="n"/>
      <c r="CC87" s="60">
        <f>CB87-CA87</f>
        <v/>
      </c>
      <c r="CD87" s="61">
        <f>IF(CA87=0,"",CB87/CA87)</f>
        <v/>
      </c>
      <c r="CE87" s="27" t="n"/>
      <c r="CF87" s="62" t="n"/>
      <c r="CG87" s="62" t="n"/>
      <c r="CH87" s="62">
        <f>CG87-CF87</f>
        <v/>
      </c>
      <c r="CI87" s="64">
        <f>IF(CF87=0,"",CG87/CF87)</f>
        <v/>
      </c>
      <c r="CJ87" s="31" t="n"/>
      <c r="CK87" s="60" t="n"/>
      <c r="CL87" s="60" t="n"/>
      <c r="CM87" s="60">
        <f>CL87-CK87</f>
        <v/>
      </c>
      <c r="CN87" s="61">
        <f>IF(CK87=0,"",CL87/CK87)</f>
        <v/>
      </c>
      <c r="CO87" s="27" t="n"/>
      <c r="CP87" s="62" t="n"/>
      <c r="CQ87" s="62" t="n"/>
      <c r="CR87" s="62">
        <f>CQ87-CP87</f>
        <v/>
      </c>
      <c r="CS87" s="64">
        <f>IF(CP87=0,"",CQ87/CP87)</f>
        <v/>
      </c>
      <c r="CT87" s="31" t="n"/>
      <c r="CU87" s="60" t="n"/>
      <c r="CV87" s="60" t="n"/>
      <c r="CW87" s="60">
        <f>CV87-CU87</f>
        <v/>
      </c>
      <c r="CX87" s="61">
        <f>IF(CU87=0,"",CV87/CU87)</f>
        <v/>
      </c>
      <c r="CY87" s="27" t="n"/>
      <c r="CZ87" s="62" t="n"/>
      <c r="DA87" s="62" t="n"/>
      <c r="DB87" s="62">
        <f>DA87-CZ87</f>
        <v/>
      </c>
      <c r="DC87" s="64">
        <f>IF(CZ87=0,"",DA87/CZ87)</f>
        <v/>
      </c>
      <c r="DD87" s="31" t="n"/>
      <c r="DE87" s="60" t="n"/>
      <c r="DF87" s="60" t="n"/>
      <c r="DG87" s="60">
        <f>DF87-DE87</f>
        <v/>
      </c>
      <c r="DH87" s="61">
        <f>IF(DE87=0,"",DF87/DE87)</f>
        <v/>
      </c>
      <c r="DI87" s="27" t="n"/>
      <c r="DJ87" s="62" t="n"/>
      <c r="DK87" s="62" t="n"/>
      <c r="DL87" s="62">
        <f>DK87-DJ87</f>
        <v/>
      </c>
      <c r="DM87" s="64">
        <f>IF(DJ87=0,"",DK87/DJ87)</f>
        <v/>
      </c>
      <c r="DN87" s="31" t="n"/>
      <c r="DO87" s="60" t="n"/>
    </row>
    <row r="88" outlineLevel="1" ht="15" customHeight="1">
      <c r="A88" s="24" t="n"/>
      <c r="B88" s="24" t="n"/>
      <c r="C88" s="24" t="n"/>
      <c r="D88" s="60" t="n"/>
      <c r="E88" s="60" t="n"/>
      <c r="F88" s="60">
        <f>E88-D88</f>
        <v/>
      </c>
      <c r="G88" s="61">
        <f>IF(D88=0,"",E88/D88)</f>
        <v/>
      </c>
      <c r="H88" s="27" t="n"/>
      <c r="I88" s="60" t="n"/>
      <c r="J88" s="60" t="n"/>
      <c r="K88" s="60">
        <f>J88-I88</f>
        <v/>
      </c>
      <c r="L88" s="61">
        <f>IF(I88=0,"",J88/I88)</f>
        <v/>
      </c>
      <c r="M88" s="27" t="n"/>
      <c r="N88" s="62" t="n"/>
      <c r="O88" s="62" t="n"/>
      <c r="P88" s="62">
        <f>O88-N88</f>
        <v/>
      </c>
      <c r="Q88" s="64">
        <f>IF(N88=0,"",O88/N88)</f>
        <v/>
      </c>
      <c r="R88" s="31" t="n"/>
      <c r="S88" s="60" t="n"/>
      <c r="T88" s="60" t="n"/>
      <c r="U88" s="60">
        <f>T88-S88</f>
        <v/>
      </c>
      <c r="V88" s="61">
        <f>IF(S88=0,"",T88/S88)</f>
        <v/>
      </c>
      <c r="W88" s="27" t="n"/>
      <c r="X88" s="62" t="n"/>
      <c r="Y88" s="62" t="n"/>
      <c r="Z88" s="62">
        <f>Y88-X88</f>
        <v/>
      </c>
      <c r="AA88" s="64">
        <f>IF(X88=0,"",Y88/X88)</f>
        <v/>
      </c>
      <c r="AB88" s="31" t="n"/>
      <c r="AC88" s="60" t="n"/>
      <c r="AD88" s="60" t="n"/>
      <c r="AE88" s="60">
        <f>AD88-AC88</f>
        <v/>
      </c>
      <c r="AF88" s="61">
        <f>IF(AC88=0,"",AD88/AC88)</f>
        <v/>
      </c>
      <c r="AG88" s="27" t="n"/>
      <c r="AH88" s="62" t="n"/>
      <c r="AI88" s="62" t="n"/>
      <c r="AJ88" s="62">
        <f>AI88-AH88</f>
        <v/>
      </c>
      <c r="AK88" s="64">
        <f>IF(AH88=0,"",AI88/AH88)</f>
        <v/>
      </c>
      <c r="AL88" s="31" t="n"/>
      <c r="AM88" s="60" t="n"/>
      <c r="AN88" s="60" t="n"/>
      <c r="AO88" s="60">
        <f>AN88-AM88</f>
        <v/>
      </c>
      <c r="AP88" s="61">
        <f>IF(AM88=0,"",AN88/AM88)</f>
        <v/>
      </c>
      <c r="AQ88" s="27" t="n"/>
      <c r="AR88" s="62" t="n"/>
      <c r="AS88" s="62" t="n"/>
      <c r="AT88" s="62">
        <f>AS88-AR88</f>
        <v/>
      </c>
      <c r="AU88" s="64">
        <f>IF(AR88=0,"",AS88/AR88)</f>
        <v/>
      </c>
      <c r="AV88" s="31" t="n"/>
      <c r="AW88" s="60" t="n"/>
      <c r="AX88" s="60" t="n"/>
      <c r="AY88" s="60">
        <f>AX88-AW88</f>
        <v/>
      </c>
      <c r="AZ88" s="61">
        <f>IF(AW88=0,"",AX88/AW88)</f>
        <v/>
      </c>
      <c r="BA88" s="27" t="n"/>
      <c r="BB88" s="62" t="n"/>
      <c r="BC88" s="62" t="n"/>
      <c r="BD88" s="62">
        <f>BC88-BB88</f>
        <v/>
      </c>
      <c r="BE88" s="64">
        <f>IF(BB88=0,"",BC88/BB88)</f>
        <v/>
      </c>
      <c r="BF88" s="31" t="n"/>
      <c r="BG88" s="60" t="n"/>
      <c r="BH88" s="60" t="n"/>
      <c r="BI88" s="60">
        <f>BH88-BG88</f>
        <v/>
      </c>
      <c r="BJ88" s="61">
        <f>IF(BG88=0,"",BH88/BG88)</f>
        <v/>
      </c>
      <c r="BK88" s="27" t="n"/>
      <c r="BL88" s="62" t="n"/>
      <c r="BM88" s="62" t="n"/>
      <c r="BN88" s="62">
        <f>BM88-BL88</f>
        <v/>
      </c>
      <c r="BO88" s="64">
        <f>IF(BL88=0,"",BM88/BL88)</f>
        <v/>
      </c>
      <c r="BP88" s="31" t="n"/>
      <c r="BQ88" s="60" t="n"/>
      <c r="BR88" s="60" t="n"/>
      <c r="BS88" s="60">
        <f>BR88-BQ88</f>
        <v/>
      </c>
      <c r="BT88" s="61">
        <f>IF(BQ88=0,"",BR88/BQ88)</f>
        <v/>
      </c>
      <c r="BU88" s="27" t="n"/>
      <c r="BV88" s="62" t="n"/>
      <c r="BW88" s="62" t="n"/>
      <c r="BX88" s="62">
        <f>BW88-BV88</f>
        <v/>
      </c>
      <c r="BY88" s="64">
        <f>IF(BV88=0,"",BW88/BV88)</f>
        <v/>
      </c>
      <c r="BZ88" s="31" t="n"/>
      <c r="CA88" s="60" t="n"/>
      <c r="CB88" s="60" t="n"/>
      <c r="CC88" s="60">
        <f>CB88-CA88</f>
        <v/>
      </c>
      <c r="CD88" s="61">
        <f>IF(CA88=0,"",CB88/CA88)</f>
        <v/>
      </c>
      <c r="CE88" s="27" t="n"/>
      <c r="CF88" s="62" t="n"/>
      <c r="CG88" s="62" t="n"/>
      <c r="CH88" s="62">
        <f>CG88-CF88</f>
        <v/>
      </c>
      <c r="CI88" s="64">
        <f>IF(CF88=0,"",CG88/CF88)</f>
        <v/>
      </c>
      <c r="CJ88" s="31" t="n"/>
      <c r="CK88" s="60" t="n"/>
      <c r="CL88" s="60" t="n"/>
      <c r="CM88" s="60">
        <f>CL88-CK88</f>
        <v/>
      </c>
      <c r="CN88" s="61">
        <f>IF(CK88=0,"",CL88/CK88)</f>
        <v/>
      </c>
      <c r="CO88" s="27" t="n"/>
      <c r="CP88" s="62" t="n"/>
      <c r="CQ88" s="62" t="n"/>
      <c r="CR88" s="62">
        <f>CQ88-CP88</f>
        <v/>
      </c>
      <c r="CS88" s="64">
        <f>IF(CP88=0,"",CQ88/CP88)</f>
        <v/>
      </c>
      <c r="CT88" s="31" t="n"/>
      <c r="CU88" s="60" t="n"/>
      <c r="CV88" s="60" t="n"/>
      <c r="CW88" s="60">
        <f>CV88-CU88</f>
        <v/>
      </c>
      <c r="CX88" s="61">
        <f>IF(CU88=0,"",CV88/CU88)</f>
        <v/>
      </c>
      <c r="CY88" s="27" t="n"/>
      <c r="CZ88" s="62" t="n"/>
      <c r="DA88" s="62" t="n"/>
      <c r="DB88" s="62">
        <f>DA88-CZ88</f>
        <v/>
      </c>
      <c r="DC88" s="64">
        <f>IF(CZ88=0,"",DA88/CZ88)</f>
        <v/>
      </c>
      <c r="DD88" s="31" t="n"/>
      <c r="DE88" s="60" t="n"/>
      <c r="DF88" s="60" t="n"/>
      <c r="DG88" s="60">
        <f>DF88-DE88</f>
        <v/>
      </c>
      <c r="DH88" s="61">
        <f>IF(DE88=0,"",DF88/DE88)</f>
        <v/>
      </c>
      <c r="DI88" s="27" t="n"/>
      <c r="DJ88" s="62" t="n"/>
      <c r="DK88" s="62" t="n"/>
      <c r="DL88" s="62">
        <f>DK88-DJ88</f>
        <v/>
      </c>
      <c r="DM88" s="64">
        <f>IF(DJ88=0,"",DK88/DJ88)</f>
        <v/>
      </c>
      <c r="DN88" s="31" t="n"/>
      <c r="DO88" s="60" t="n"/>
    </row>
    <row r="89" outlineLevel="1" ht="15" customHeight="1">
      <c r="A89" s="24" t="n"/>
      <c r="B89" s="24" t="n"/>
      <c r="C89" s="24" t="n"/>
      <c r="D89" s="60" t="n"/>
      <c r="E89" s="60" t="n"/>
      <c r="F89" s="60">
        <f>E89-D89</f>
        <v/>
      </c>
      <c r="G89" s="61">
        <f>IF(D89=0,"",E89/D89)</f>
        <v/>
      </c>
      <c r="H89" s="27" t="n"/>
      <c r="I89" s="60" t="n"/>
      <c r="J89" s="60" t="n"/>
      <c r="K89" s="60">
        <f>J89-I89</f>
        <v/>
      </c>
      <c r="L89" s="61">
        <f>IF(I89=0,"",J89/I89)</f>
        <v/>
      </c>
      <c r="M89" s="27" t="n"/>
      <c r="N89" s="62" t="n"/>
      <c r="O89" s="62" t="n"/>
      <c r="P89" s="62">
        <f>O89-N89</f>
        <v/>
      </c>
      <c r="Q89" s="64">
        <f>IF(N89=0,"",O89/N89)</f>
        <v/>
      </c>
      <c r="R89" s="31" t="n"/>
      <c r="S89" s="60" t="n"/>
      <c r="T89" s="60" t="n"/>
      <c r="U89" s="60">
        <f>T89-S89</f>
        <v/>
      </c>
      <c r="V89" s="61">
        <f>IF(S89=0,"",T89/S89)</f>
        <v/>
      </c>
      <c r="W89" s="27" t="n"/>
      <c r="X89" s="62" t="n"/>
      <c r="Y89" s="62" t="n"/>
      <c r="Z89" s="62">
        <f>Y89-X89</f>
        <v/>
      </c>
      <c r="AA89" s="64">
        <f>IF(X89=0,"",Y89/X89)</f>
        <v/>
      </c>
      <c r="AB89" s="31" t="n"/>
      <c r="AC89" s="60" t="n"/>
      <c r="AD89" s="60" t="n"/>
      <c r="AE89" s="60">
        <f>AD89-AC89</f>
        <v/>
      </c>
      <c r="AF89" s="61">
        <f>IF(AC89=0,"",AD89/AC89)</f>
        <v/>
      </c>
      <c r="AG89" s="27" t="n"/>
      <c r="AH89" s="62" t="n"/>
      <c r="AI89" s="62" t="n"/>
      <c r="AJ89" s="62">
        <f>AI89-AH89</f>
        <v/>
      </c>
      <c r="AK89" s="64">
        <f>IF(AH89=0,"",AI89/AH89)</f>
        <v/>
      </c>
      <c r="AL89" s="31" t="n"/>
      <c r="AM89" s="60" t="n"/>
      <c r="AN89" s="60" t="n"/>
      <c r="AO89" s="60">
        <f>AN89-AM89</f>
        <v/>
      </c>
      <c r="AP89" s="61">
        <f>IF(AM89=0,"",AN89/AM89)</f>
        <v/>
      </c>
      <c r="AQ89" s="27" t="n"/>
      <c r="AR89" s="62" t="n"/>
      <c r="AS89" s="62" t="n"/>
      <c r="AT89" s="62">
        <f>AS89-AR89</f>
        <v/>
      </c>
      <c r="AU89" s="64">
        <f>IF(AR89=0,"",AS89/AR89)</f>
        <v/>
      </c>
      <c r="AV89" s="31" t="n"/>
      <c r="AW89" s="60" t="n"/>
      <c r="AX89" s="60" t="n"/>
      <c r="AY89" s="60">
        <f>AX89-AW89</f>
        <v/>
      </c>
      <c r="AZ89" s="61">
        <f>IF(AW89=0,"",AX89/AW89)</f>
        <v/>
      </c>
      <c r="BA89" s="27" t="n"/>
      <c r="BB89" s="62" t="n"/>
      <c r="BC89" s="62" t="n"/>
      <c r="BD89" s="62">
        <f>BC89-BB89</f>
        <v/>
      </c>
      <c r="BE89" s="64">
        <f>IF(BB89=0,"",BC89/BB89)</f>
        <v/>
      </c>
      <c r="BF89" s="31" t="n"/>
      <c r="BG89" s="60" t="n"/>
      <c r="BH89" s="60" t="n"/>
      <c r="BI89" s="60">
        <f>BH89-BG89</f>
        <v/>
      </c>
      <c r="BJ89" s="61">
        <f>IF(BG89=0,"",BH89/BG89)</f>
        <v/>
      </c>
      <c r="BK89" s="27" t="n"/>
      <c r="BL89" s="62" t="n"/>
      <c r="BM89" s="62" t="n"/>
      <c r="BN89" s="62">
        <f>BM89-BL89</f>
        <v/>
      </c>
      <c r="BO89" s="64">
        <f>IF(BL89=0,"",BM89/BL89)</f>
        <v/>
      </c>
      <c r="BP89" s="31" t="n"/>
      <c r="BQ89" s="60" t="n"/>
      <c r="BR89" s="60" t="n"/>
      <c r="BS89" s="60">
        <f>BR89-BQ89</f>
        <v/>
      </c>
      <c r="BT89" s="61">
        <f>IF(BQ89=0,"",BR89/BQ89)</f>
        <v/>
      </c>
      <c r="BU89" s="27" t="n"/>
      <c r="BV89" s="62" t="n"/>
      <c r="BW89" s="62" t="n"/>
      <c r="BX89" s="62">
        <f>BW89-BV89</f>
        <v/>
      </c>
      <c r="BY89" s="64">
        <f>IF(BV89=0,"",BW89/BV89)</f>
        <v/>
      </c>
      <c r="BZ89" s="31" t="n"/>
      <c r="CA89" s="60" t="n"/>
      <c r="CB89" s="60" t="n"/>
      <c r="CC89" s="60">
        <f>CB89-CA89</f>
        <v/>
      </c>
      <c r="CD89" s="61">
        <f>IF(CA89=0,"",CB89/CA89)</f>
        <v/>
      </c>
      <c r="CE89" s="27" t="n"/>
      <c r="CF89" s="62" t="n"/>
      <c r="CG89" s="62" t="n"/>
      <c r="CH89" s="62">
        <f>CG89-CF89</f>
        <v/>
      </c>
      <c r="CI89" s="64">
        <f>IF(CF89=0,"",CG89/CF89)</f>
        <v/>
      </c>
      <c r="CJ89" s="31" t="n"/>
      <c r="CK89" s="60" t="n"/>
      <c r="CL89" s="60" t="n"/>
      <c r="CM89" s="60">
        <f>CL89-CK89</f>
        <v/>
      </c>
      <c r="CN89" s="61">
        <f>IF(CK89=0,"",CL89/CK89)</f>
        <v/>
      </c>
      <c r="CO89" s="27" t="n"/>
      <c r="CP89" s="62" t="n"/>
      <c r="CQ89" s="62" t="n"/>
      <c r="CR89" s="62">
        <f>CQ89-CP89</f>
        <v/>
      </c>
      <c r="CS89" s="64">
        <f>IF(CP89=0,"",CQ89/CP89)</f>
        <v/>
      </c>
      <c r="CT89" s="31" t="n"/>
      <c r="CU89" s="60" t="n"/>
      <c r="CV89" s="60" t="n"/>
      <c r="CW89" s="60">
        <f>CV89-CU89</f>
        <v/>
      </c>
      <c r="CX89" s="61">
        <f>IF(CU89=0,"",CV89/CU89)</f>
        <v/>
      </c>
      <c r="CY89" s="27" t="n"/>
      <c r="CZ89" s="62" t="n"/>
      <c r="DA89" s="62" t="n"/>
      <c r="DB89" s="62">
        <f>DA89-CZ89</f>
        <v/>
      </c>
      <c r="DC89" s="64">
        <f>IF(CZ89=0,"",DA89/CZ89)</f>
        <v/>
      </c>
      <c r="DD89" s="31" t="n"/>
      <c r="DE89" s="60" t="n"/>
      <c r="DF89" s="60" t="n"/>
      <c r="DG89" s="60">
        <f>DF89-DE89</f>
        <v/>
      </c>
      <c r="DH89" s="61">
        <f>IF(DE89=0,"",DF89/DE89)</f>
        <v/>
      </c>
      <c r="DI89" s="27" t="n"/>
      <c r="DJ89" s="62" t="n"/>
      <c r="DK89" s="62" t="n"/>
      <c r="DL89" s="62">
        <f>DK89-DJ89</f>
        <v/>
      </c>
      <c r="DM89" s="64">
        <f>IF(DJ89=0,"",DK89/DJ89)</f>
        <v/>
      </c>
      <c r="DN89" s="31" t="n"/>
      <c r="DO89" s="60" t="n"/>
    </row>
    <row r="90" outlineLevel="1" ht="15" customHeight="1">
      <c r="A90" s="24" t="n"/>
      <c r="B90" s="24" t="n"/>
      <c r="C90" s="24" t="n"/>
      <c r="D90" s="60" t="n"/>
      <c r="E90" s="60" t="n"/>
      <c r="F90" s="60">
        <f>E90-D90</f>
        <v/>
      </c>
      <c r="G90" s="61">
        <f>IF(D90=0,"",E90/D90)</f>
        <v/>
      </c>
      <c r="H90" s="27" t="n"/>
      <c r="I90" s="60" t="n"/>
      <c r="J90" s="60" t="n"/>
      <c r="K90" s="60">
        <f>J90-I90</f>
        <v/>
      </c>
      <c r="L90" s="61">
        <f>IF(I90=0,"",J90/I90)</f>
        <v/>
      </c>
      <c r="M90" s="27" t="n"/>
      <c r="N90" s="62" t="n"/>
      <c r="O90" s="62" t="n"/>
      <c r="P90" s="62">
        <f>O90-N90</f>
        <v/>
      </c>
      <c r="Q90" s="64">
        <f>IF(N90=0,"",O90/N90)</f>
        <v/>
      </c>
      <c r="R90" s="31" t="n"/>
      <c r="S90" s="60" t="n"/>
      <c r="T90" s="60" t="n"/>
      <c r="U90" s="60">
        <f>T90-S90</f>
        <v/>
      </c>
      <c r="V90" s="61">
        <f>IF(S90=0,"",T90/S90)</f>
        <v/>
      </c>
      <c r="W90" s="27" t="n"/>
      <c r="X90" s="62" t="n"/>
      <c r="Y90" s="62" t="n"/>
      <c r="Z90" s="62">
        <f>Y90-X90</f>
        <v/>
      </c>
      <c r="AA90" s="64">
        <f>IF(X90=0,"",Y90/X90)</f>
        <v/>
      </c>
      <c r="AB90" s="31" t="n"/>
      <c r="AC90" s="60" t="n"/>
      <c r="AD90" s="60" t="n"/>
      <c r="AE90" s="60">
        <f>AD90-AC90</f>
        <v/>
      </c>
      <c r="AF90" s="61">
        <f>IF(AC90=0,"",AD90/AC90)</f>
        <v/>
      </c>
      <c r="AG90" s="27" t="n"/>
      <c r="AH90" s="62" t="n"/>
      <c r="AI90" s="62" t="n"/>
      <c r="AJ90" s="62">
        <f>AI90-AH90</f>
        <v/>
      </c>
      <c r="AK90" s="64">
        <f>IF(AH90=0,"",AI90/AH90)</f>
        <v/>
      </c>
      <c r="AL90" s="31" t="n"/>
      <c r="AM90" s="60" t="n"/>
      <c r="AN90" s="60" t="n"/>
      <c r="AO90" s="60">
        <f>AN90-AM90</f>
        <v/>
      </c>
      <c r="AP90" s="61">
        <f>IF(AM90=0,"",AN90/AM90)</f>
        <v/>
      </c>
      <c r="AQ90" s="27" t="n"/>
      <c r="AR90" s="62" t="n"/>
      <c r="AS90" s="62" t="n"/>
      <c r="AT90" s="62">
        <f>AS90-AR90</f>
        <v/>
      </c>
      <c r="AU90" s="64">
        <f>IF(AR90=0,"",AS90/AR90)</f>
        <v/>
      </c>
      <c r="AV90" s="31" t="n"/>
      <c r="AW90" s="60" t="n"/>
      <c r="AX90" s="60" t="n"/>
      <c r="AY90" s="60">
        <f>AX90-AW90</f>
        <v/>
      </c>
      <c r="AZ90" s="61">
        <f>IF(AW90=0,"",AX90/AW90)</f>
        <v/>
      </c>
      <c r="BA90" s="27" t="n"/>
      <c r="BB90" s="62" t="n"/>
      <c r="BC90" s="62" t="n"/>
      <c r="BD90" s="62">
        <f>BC90-BB90</f>
        <v/>
      </c>
      <c r="BE90" s="64">
        <f>IF(BB90=0,"",BC90/BB90)</f>
        <v/>
      </c>
      <c r="BF90" s="31" t="n"/>
      <c r="BG90" s="60" t="n"/>
      <c r="BH90" s="60" t="n"/>
      <c r="BI90" s="60">
        <f>BH90-BG90</f>
        <v/>
      </c>
      <c r="BJ90" s="61">
        <f>IF(BG90=0,"",BH90/BG90)</f>
        <v/>
      </c>
      <c r="BK90" s="27" t="n"/>
      <c r="BL90" s="62" t="n"/>
      <c r="BM90" s="62" t="n"/>
      <c r="BN90" s="62">
        <f>BM90-BL90</f>
        <v/>
      </c>
      <c r="BO90" s="64">
        <f>IF(BL90=0,"",BM90/BL90)</f>
        <v/>
      </c>
      <c r="BP90" s="31" t="n"/>
      <c r="BQ90" s="60" t="n"/>
      <c r="BR90" s="60" t="n"/>
      <c r="BS90" s="60">
        <f>BR90-BQ90</f>
        <v/>
      </c>
      <c r="BT90" s="61">
        <f>IF(BQ90=0,"",BR90/BQ90)</f>
        <v/>
      </c>
      <c r="BU90" s="27" t="n"/>
      <c r="BV90" s="62" t="n"/>
      <c r="BW90" s="62" t="n"/>
      <c r="BX90" s="62">
        <f>BW90-BV90</f>
        <v/>
      </c>
      <c r="BY90" s="64">
        <f>IF(BV90=0,"",BW90/BV90)</f>
        <v/>
      </c>
      <c r="BZ90" s="31" t="n"/>
      <c r="CA90" s="60" t="n"/>
      <c r="CB90" s="60" t="n"/>
      <c r="CC90" s="60">
        <f>CB90-CA90</f>
        <v/>
      </c>
      <c r="CD90" s="61">
        <f>IF(CA90=0,"",CB90/CA90)</f>
        <v/>
      </c>
      <c r="CE90" s="27" t="n"/>
      <c r="CF90" s="62" t="n"/>
      <c r="CG90" s="62" t="n"/>
      <c r="CH90" s="62">
        <f>CG90-CF90</f>
        <v/>
      </c>
      <c r="CI90" s="64">
        <f>IF(CF90=0,"",CG90/CF90)</f>
        <v/>
      </c>
      <c r="CJ90" s="31" t="n"/>
      <c r="CK90" s="60" t="n"/>
      <c r="CL90" s="60" t="n"/>
      <c r="CM90" s="60">
        <f>CL90-CK90</f>
        <v/>
      </c>
      <c r="CN90" s="61">
        <f>IF(CK90=0,"",CL90/CK90)</f>
        <v/>
      </c>
      <c r="CO90" s="27" t="n"/>
      <c r="CP90" s="62" t="n"/>
      <c r="CQ90" s="62" t="n"/>
      <c r="CR90" s="62">
        <f>CQ90-CP90</f>
        <v/>
      </c>
      <c r="CS90" s="64">
        <f>IF(CP90=0,"",CQ90/CP90)</f>
        <v/>
      </c>
      <c r="CT90" s="31" t="n"/>
      <c r="CU90" s="60" t="n"/>
      <c r="CV90" s="60" t="n"/>
      <c r="CW90" s="60">
        <f>CV90-CU90</f>
        <v/>
      </c>
      <c r="CX90" s="61">
        <f>IF(CU90=0,"",CV90/CU90)</f>
        <v/>
      </c>
      <c r="CY90" s="27" t="n"/>
      <c r="CZ90" s="62" t="n"/>
      <c r="DA90" s="62" t="n"/>
      <c r="DB90" s="62">
        <f>DA90-CZ90</f>
        <v/>
      </c>
      <c r="DC90" s="64">
        <f>IF(CZ90=0,"",DA90/CZ90)</f>
        <v/>
      </c>
      <c r="DD90" s="31" t="n"/>
      <c r="DE90" s="60" t="n"/>
      <c r="DF90" s="60" t="n"/>
      <c r="DG90" s="60">
        <f>DF90-DE90</f>
        <v/>
      </c>
      <c r="DH90" s="61">
        <f>IF(DE90=0,"",DF90/DE90)</f>
        <v/>
      </c>
      <c r="DI90" s="27" t="n"/>
      <c r="DJ90" s="62" t="n"/>
      <c r="DK90" s="62" t="n"/>
      <c r="DL90" s="62">
        <f>DK90-DJ90</f>
        <v/>
      </c>
      <c r="DM90" s="64">
        <f>IF(DJ90=0,"",DK90/DJ90)</f>
        <v/>
      </c>
      <c r="DN90" s="31" t="n"/>
      <c r="DO90" s="60" t="n"/>
    </row>
    <row r="91" outlineLevel="1" ht="15" customHeight="1">
      <c r="A91" s="24" t="n"/>
      <c r="B91" s="24" t="n"/>
      <c r="C91" s="24" t="n"/>
      <c r="D91" s="60" t="n"/>
      <c r="E91" s="60" t="n"/>
      <c r="F91" s="60">
        <f>E91-D91</f>
        <v/>
      </c>
      <c r="G91" s="61">
        <f>IF(D91=0,"",E91/D91)</f>
        <v/>
      </c>
      <c r="H91" s="27" t="n"/>
      <c r="I91" s="60" t="n"/>
      <c r="J91" s="60" t="n"/>
      <c r="K91" s="60">
        <f>J91-I91</f>
        <v/>
      </c>
      <c r="L91" s="61">
        <f>IF(I91=0,"",J91/I91)</f>
        <v/>
      </c>
      <c r="M91" s="27" t="n"/>
      <c r="N91" s="62" t="n"/>
      <c r="O91" s="62" t="n"/>
      <c r="P91" s="62">
        <f>O91-N91</f>
        <v/>
      </c>
      <c r="Q91" s="64">
        <f>IF(N91=0,"",O91/N91)</f>
        <v/>
      </c>
      <c r="R91" s="31" t="n"/>
      <c r="S91" s="60" t="n"/>
      <c r="T91" s="60" t="n"/>
      <c r="U91" s="60">
        <f>T91-S91</f>
        <v/>
      </c>
      <c r="V91" s="61">
        <f>IF(S91=0,"",T91/S91)</f>
        <v/>
      </c>
      <c r="W91" s="27" t="n"/>
      <c r="X91" s="62" t="n"/>
      <c r="Y91" s="62" t="n"/>
      <c r="Z91" s="62">
        <f>Y91-X91</f>
        <v/>
      </c>
      <c r="AA91" s="64">
        <f>IF(X91=0,"",Y91/X91)</f>
        <v/>
      </c>
      <c r="AB91" s="31" t="n"/>
      <c r="AC91" s="60" t="n"/>
      <c r="AD91" s="60" t="n"/>
      <c r="AE91" s="60">
        <f>AD91-AC91</f>
        <v/>
      </c>
      <c r="AF91" s="61">
        <f>IF(AC91=0,"",AD91/AC91)</f>
        <v/>
      </c>
      <c r="AG91" s="27" t="n"/>
      <c r="AH91" s="62" t="n"/>
      <c r="AI91" s="62" t="n"/>
      <c r="AJ91" s="62">
        <f>AI91-AH91</f>
        <v/>
      </c>
      <c r="AK91" s="64">
        <f>IF(AH91=0,"",AI91/AH91)</f>
        <v/>
      </c>
      <c r="AL91" s="31" t="n"/>
      <c r="AM91" s="60" t="n"/>
      <c r="AN91" s="60" t="n"/>
      <c r="AO91" s="60">
        <f>AN91-AM91</f>
        <v/>
      </c>
      <c r="AP91" s="61">
        <f>IF(AM91=0,"",AN91/AM91)</f>
        <v/>
      </c>
      <c r="AQ91" s="27" t="n"/>
      <c r="AR91" s="62" t="n"/>
      <c r="AS91" s="62" t="n"/>
      <c r="AT91" s="62">
        <f>AS91-AR91</f>
        <v/>
      </c>
      <c r="AU91" s="64">
        <f>IF(AR91=0,"",AS91/AR91)</f>
        <v/>
      </c>
      <c r="AV91" s="31" t="n"/>
      <c r="AW91" s="60" t="n"/>
      <c r="AX91" s="60" t="n"/>
      <c r="AY91" s="60">
        <f>AX91-AW91</f>
        <v/>
      </c>
      <c r="AZ91" s="61">
        <f>IF(AW91=0,"",AX91/AW91)</f>
        <v/>
      </c>
      <c r="BA91" s="27" t="n"/>
      <c r="BB91" s="62" t="n"/>
      <c r="BC91" s="62" t="n"/>
      <c r="BD91" s="62">
        <f>BC91-BB91</f>
        <v/>
      </c>
      <c r="BE91" s="64">
        <f>IF(BB91=0,"",BC91/BB91)</f>
        <v/>
      </c>
      <c r="BF91" s="31" t="n"/>
      <c r="BG91" s="60" t="n"/>
      <c r="BH91" s="60" t="n"/>
      <c r="BI91" s="60">
        <f>BH91-BG91</f>
        <v/>
      </c>
      <c r="BJ91" s="61">
        <f>IF(BG91=0,"",BH91/BG91)</f>
        <v/>
      </c>
      <c r="BK91" s="27" t="n"/>
      <c r="BL91" s="62" t="n"/>
      <c r="BM91" s="62" t="n"/>
      <c r="BN91" s="62">
        <f>BM91-BL91</f>
        <v/>
      </c>
      <c r="BO91" s="64">
        <f>IF(BL91=0,"",BM91/BL91)</f>
        <v/>
      </c>
      <c r="BP91" s="31" t="n"/>
      <c r="BQ91" s="60" t="n"/>
      <c r="BR91" s="60" t="n"/>
      <c r="BS91" s="60">
        <f>BR91-BQ91</f>
        <v/>
      </c>
      <c r="BT91" s="61">
        <f>IF(BQ91=0,"",BR91/BQ91)</f>
        <v/>
      </c>
      <c r="BU91" s="27" t="n"/>
      <c r="BV91" s="62" t="n"/>
      <c r="BW91" s="62" t="n"/>
      <c r="BX91" s="62">
        <f>BW91-BV91</f>
        <v/>
      </c>
      <c r="BY91" s="64">
        <f>IF(BV91=0,"",BW91/BV91)</f>
        <v/>
      </c>
      <c r="BZ91" s="31" t="n"/>
      <c r="CA91" s="60" t="n"/>
      <c r="CB91" s="60" t="n"/>
      <c r="CC91" s="60">
        <f>CB91-CA91</f>
        <v/>
      </c>
      <c r="CD91" s="61">
        <f>IF(CA91=0,"",CB91/CA91)</f>
        <v/>
      </c>
      <c r="CE91" s="27" t="n"/>
      <c r="CF91" s="62" t="n"/>
      <c r="CG91" s="62" t="n"/>
      <c r="CH91" s="62">
        <f>CG91-CF91</f>
        <v/>
      </c>
      <c r="CI91" s="64">
        <f>IF(CF91=0,"",CG91/CF91)</f>
        <v/>
      </c>
      <c r="CJ91" s="31" t="n"/>
      <c r="CK91" s="60" t="n"/>
      <c r="CL91" s="60" t="n"/>
      <c r="CM91" s="60">
        <f>CL91-CK91</f>
        <v/>
      </c>
      <c r="CN91" s="61">
        <f>IF(CK91=0,"",CL91/CK91)</f>
        <v/>
      </c>
      <c r="CO91" s="27" t="n"/>
      <c r="CP91" s="62" t="n"/>
      <c r="CQ91" s="62" t="n"/>
      <c r="CR91" s="62">
        <f>CQ91-CP91</f>
        <v/>
      </c>
      <c r="CS91" s="64">
        <f>IF(CP91=0,"",CQ91/CP91)</f>
        <v/>
      </c>
      <c r="CT91" s="31" t="n"/>
      <c r="CU91" s="60" t="n"/>
      <c r="CV91" s="60" t="n"/>
      <c r="CW91" s="60">
        <f>CV91-CU91</f>
        <v/>
      </c>
      <c r="CX91" s="61">
        <f>IF(CU91=0,"",CV91/CU91)</f>
        <v/>
      </c>
      <c r="CY91" s="27" t="n"/>
      <c r="CZ91" s="62" t="n"/>
      <c r="DA91" s="62" t="n"/>
      <c r="DB91" s="62">
        <f>DA91-CZ91</f>
        <v/>
      </c>
      <c r="DC91" s="64">
        <f>IF(CZ91=0,"",DA91/CZ91)</f>
        <v/>
      </c>
      <c r="DD91" s="31" t="n"/>
      <c r="DE91" s="60" t="n"/>
      <c r="DF91" s="60" t="n"/>
      <c r="DG91" s="60">
        <f>DF91-DE91</f>
        <v/>
      </c>
      <c r="DH91" s="61">
        <f>IF(DE91=0,"",DF91/DE91)</f>
        <v/>
      </c>
      <c r="DI91" s="27" t="n"/>
      <c r="DJ91" s="62" t="n"/>
      <c r="DK91" s="62" t="n"/>
      <c r="DL91" s="62">
        <f>DK91-DJ91</f>
        <v/>
      </c>
      <c r="DM91" s="64">
        <f>IF(DJ91=0,"",DK91/DJ91)</f>
        <v/>
      </c>
      <c r="DN91" s="31" t="n"/>
      <c r="DO91" s="60" t="n"/>
    </row>
    <row r="92" outlineLevel="1" ht="15" customHeight="1">
      <c r="A92" s="24" t="n"/>
      <c r="B92" s="24" t="n"/>
      <c r="C92" s="24" t="n"/>
      <c r="D92" s="60" t="n"/>
      <c r="E92" s="60" t="n"/>
      <c r="F92" s="60">
        <f>E92-D92</f>
        <v/>
      </c>
      <c r="G92" s="61">
        <f>IF(D92=0,"",E92/D92)</f>
        <v/>
      </c>
      <c r="H92" s="27" t="n"/>
      <c r="I92" s="60" t="n"/>
      <c r="J92" s="60" t="n"/>
      <c r="K92" s="60">
        <f>J92-I92</f>
        <v/>
      </c>
      <c r="L92" s="61">
        <f>IF(I92=0,"",J92/I92)</f>
        <v/>
      </c>
      <c r="M92" s="27" t="n"/>
      <c r="N92" s="62" t="n"/>
      <c r="O92" s="62" t="n"/>
      <c r="P92" s="62">
        <f>O92-N92</f>
        <v/>
      </c>
      <c r="Q92" s="64">
        <f>IF(N92=0,"",O92/N92)</f>
        <v/>
      </c>
      <c r="R92" s="31" t="n"/>
      <c r="S92" s="60" t="n"/>
      <c r="T92" s="60" t="n"/>
      <c r="U92" s="60">
        <f>T92-S92</f>
        <v/>
      </c>
      <c r="V92" s="61">
        <f>IF(S92=0,"",T92/S92)</f>
        <v/>
      </c>
      <c r="W92" s="27" t="n"/>
      <c r="X92" s="62" t="n"/>
      <c r="Y92" s="62" t="n"/>
      <c r="Z92" s="62">
        <f>Y92-X92</f>
        <v/>
      </c>
      <c r="AA92" s="64">
        <f>IF(X92=0,"",Y92/X92)</f>
        <v/>
      </c>
      <c r="AB92" s="31" t="n"/>
      <c r="AC92" s="60" t="n"/>
      <c r="AD92" s="60" t="n"/>
      <c r="AE92" s="60">
        <f>AD92-AC92</f>
        <v/>
      </c>
      <c r="AF92" s="61">
        <f>IF(AC92=0,"",AD92/AC92)</f>
        <v/>
      </c>
      <c r="AG92" s="27" t="n"/>
      <c r="AH92" s="62" t="n"/>
      <c r="AI92" s="62" t="n"/>
      <c r="AJ92" s="62">
        <f>AI92-AH92</f>
        <v/>
      </c>
      <c r="AK92" s="64">
        <f>IF(AH92=0,"",AI92/AH92)</f>
        <v/>
      </c>
      <c r="AL92" s="31" t="n"/>
      <c r="AM92" s="60" t="n"/>
      <c r="AN92" s="60" t="n"/>
      <c r="AO92" s="60">
        <f>AN92-AM92</f>
        <v/>
      </c>
      <c r="AP92" s="61">
        <f>IF(AM92=0,"",AN92/AM92)</f>
        <v/>
      </c>
      <c r="AQ92" s="27" t="n"/>
      <c r="AR92" s="62" t="n"/>
      <c r="AS92" s="62" t="n"/>
      <c r="AT92" s="62">
        <f>AS92-AR92</f>
        <v/>
      </c>
      <c r="AU92" s="64">
        <f>IF(AR92=0,"",AS92/AR92)</f>
        <v/>
      </c>
      <c r="AV92" s="31" t="n"/>
      <c r="AW92" s="60" t="n"/>
      <c r="AX92" s="60" t="n"/>
      <c r="AY92" s="60">
        <f>AX92-AW92</f>
        <v/>
      </c>
      <c r="AZ92" s="61">
        <f>IF(AW92=0,"",AX92/AW92)</f>
        <v/>
      </c>
      <c r="BA92" s="27" t="n"/>
      <c r="BB92" s="62" t="n"/>
      <c r="BC92" s="62" t="n"/>
      <c r="BD92" s="62">
        <f>BC92-BB92</f>
        <v/>
      </c>
      <c r="BE92" s="64">
        <f>IF(BB92=0,"",BC92/BB92)</f>
        <v/>
      </c>
      <c r="BF92" s="31" t="n"/>
      <c r="BG92" s="60" t="n"/>
      <c r="BH92" s="60" t="n"/>
      <c r="BI92" s="60">
        <f>BH92-BG92</f>
        <v/>
      </c>
      <c r="BJ92" s="61">
        <f>IF(BG92=0,"",BH92/BG92)</f>
        <v/>
      </c>
      <c r="BK92" s="27" t="n"/>
      <c r="BL92" s="62" t="n"/>
      <c r="BM92" s="62" t="n"/>
      <c r="BN92" s="62">
        <f>BM92-BL92</f>
        <v/>
      </c>
      <c r="BO92" s="64">
        <f>IF(BL92=0,"",BM92/BL92)</f>
        <v/>
      </c>
      <c r="BP92" s="31" t="n"/>
      <c r="BQ92" s="60" t="n"/>
      <c r="BR92" s="60" t="n"/>
      <c r="BS92" s="60">
        <f>BR92-BQ92</f>
        <v/>
      </c>
      <c r="BT92" s="61">
        <f>IF(BQ92=0,"",BR92/BQ92)</f>
        <v/>
      </c>
      <c r="BU92" s="27" t="n"/>
      <c r="BV92" s="62" t="n"/>
      <c r="BW92" s="62" t="n"/>
      <c r="BX92" s="62">
        <f>BW92-BV92</f>
        <v/>
      </c>
      <c r="BY92" s="64">
        <f>IF(BV92=0,"",BW92/BV92)</f>
        <v/>
      </c>
      <c r="BZ92" s="31" t="n"/>
      <c r="CA92" s="60" t="n"/>
      <c r="CB92" s="60" t="n"/>
      <c r="CC92" s="60">
        <f>CB92-CA92</f>
        <v/>
      </c>
      <c r="CD92" s="61">
        <f>IF(CA92=0,"",CB92/CA92)</f>
        <v/>
      </c>
      <c r="CE92" s="27" t="n"/>
      <c r="CF92" s="62" t="n"/>
      <c r="CG92" s="62" t="n"/>
      <c r="CH92" s="62">
        <f>CG92-CF92</f>
        <v/>
      </c>
      <c r="CI92" s="64">
        <f>IF(CF92=0,"",CG92/CF92)</f>
        <v/>
      </c>
      <c r="CJ92" s="31" t="n"/>
      <c r="CK92" s="60" t="n"/>
      <c r="CL92" s="60" t="n"/>
      <c r="CM92" s="60">
        <f>CL92-CK92</f>
        <v/>
      </c>
      <c r="CN92" s="61">
        <f>IF(CK92=0,"",CL92/CK92)</f>
        <v/>
      </c>
      <c r="CO92" s="27" t="n"/>
      <c r="CP92" s="62" t="n"/>
      <c r="CQ92" s="62" t="n"/>
      <c r="CR92" s="62">
        <f>CQ92-CP92</f>
        <v/>
      </c>
      <c r="CS92" s="64">
        <f>IF(CP92=0,"",CQ92/CP92)</f>
        <v/>
      </c>
      <c r="CT92" s="31" t="n"/>
      <c r="CU92" s="60" t="n"/>
      <c r="CV92" s="60" t="n"/>
      <c r="CW92" s="60">
        <f>CV92-CU92</f>
        <v/>
      </c>
      <c r="CX92" s="61">
        <f>IF(CU92=0,"",CV92/CU92)</f>
        <v/>
      </c>
      <c r="CY92" s="27" t="n"/>
      <c r="CZ92" s="62" t="n"/>
      <c r="DA92" s="62" t="n"/>
      <c r="DB92" s="62">
        <f>DA92-CZ92</f>
        <v/>
      </c>
      <c r="DC92" s="64">
        <f>IF(CZ92=0,"",DA92/CZ92)</f>
        <v/>
      </c>
      <c r="DD92" s="31" t="n"/>
      <c r="DE92" s="60" t="n"/>
      <c r="DF92" s="60" t="n"/>
      <c r="DG92" s="60">
        <f>DF92-DE92</f>
        <v/>
      </c>
      <c r="DH92" s="61">
        <f>IF(DE92=0,"",DF92/DE92)</f>
        <v/>
      </c>
      <c r="DI92" s="27" t="n"/>
      <c r="DJ92" s="62" t="n"/>
      <c r="DK92" s="62" t="n"/>
      <c r="DL92" s="62">
        <f>DK92-DJ92</f>
        <v/>
      </c>
      <c r="DM92" s="64">
        <f>IF(DJ92=0,"",DK92/DJ92)</f>
        <v/>
      </c>
      <c r="DN92" s="31" t="n"/>
      <c r="DO92" s="60" t="n"/>
    </row>
    <row r="93" outlineLevel="1" ht="15" customHeight="1">
      <c r="A93" s="24" t="n"/>
      <c r="B93" s="24" t="n"/>
      <c r="C93" s="24" t="n"/>
      <c r="D93" s="60" t="n"/>
      <c r="E93" s="60" t="n"/>
      <c r="F93" s="60">
        <f>E93-D93</f>
        <v/>
      </c>
      <c r="G93" s="61">
        <f>IF(D93=0,"",E93/D93)</f>
        <v/>
      </c>
      <c r="H93" s="27" t="n"/>
      <c r="I93" s="60" t="n"/>
      <c r="J93" s="60" t="n"/>
      <c r="K93" s="60">
        <f>J93-I93</f>
        <v/>
      </c>
      <c r="L93" s="61">
        <f>IF(I93=0,"",J93/I93)</f>
        <v/>
      </c>
      <c r="M93" s="27" t="n"/>
      <c r="N93" s="62" t="n"/>
      <c r="O93" s="62" t="n"/>
      <c r="P93" s="62">
        <f>O93-N93</f>
        <v/>
      </c>
      <c r="Q93" s="64">
        <f>IF(N93=0,"",O93/N93)</f>
        <v/>
      </c>
      <c r="R93" s="31" t="n"/>
      <c r="S93" s="60" t="n"/>
      <c r="T93" s="60" t="n"/>
      <c r="U93" s="60">
        <f>T93-S93</f>
        <v/>
      </c>
      <c r="V93" s="61">
        <f>IF(S93=0,"",T93/S93)</f>
        <v/>
      </c>
      <c r="W93" s="27" t="n"/>
      <c r="X93" s="62" t="n"/>
      <c r="Y93" s="62" t="n"/>
      <c r="Z93" s="62">
        <f>Y93-X93</f>
        <v/>
      </c>
      <c r="AA93" s="64">
        <f>IF(X93=0,"",Y93/X93)</f>
        <v/>
      </c>
      <c r="AB93" s="31" t="n"/>
      <c r="AC93" s="60" t="n"/>
      <c r="AD93" s="60" t="n"/>
      <c r="AE93" s="60">
        <f>AD93-AC93</f>
        <v/>
      </c>
      <c r="AF93" s="61">
        <f>IF(AC93=0,"",AD93/AC93)</f>
        <v/>
      </c>
      <c r="AG93" s="27" t="n"/>
      <c r="AH93" s="62" t="n"/>
      <c r="AI93" s="62" t="n"/>
      <c r="AJ93" s="62">
        <f>AI93-AH93</f>
        <v/>
      </c>
      <c r="AK93" s="64">
        <f>IF(AH93=0,"",AI93/AH93)</f>
        <v/>
      </c>
      <c r="AL93" s="31" t="n"/>
      <c r="AM93" s="60" t="n"/>
      <c r="AN93" s="60" t="n"/>
      <c r="AO93" s="60">
        <f>AN93-AM93</f>
        <v/>
      </c>
      <c r="AP93" s="61">
        <f>IF(AM93=0,"",AN93/AM93)</f>
        <v/>
      </c>
      <c r="AQ93" s="27" t="n"/>
      <c r="AR93" s="62" t="n"/>
      <c r="AS93" s="62" t="n"/>
      <c r="AT93" s="62">
        <f>AS93-AR93</f>
        <v/>
      </c>
      <c r="AU93" s="64">
        <f>IF(AR93=0,"",AS93/AR93)</f>
        <v/>
      </c>
      <c r="AV93" s="31" t="n"/>
      <c r="AW93" s="60" t="n"/>
      <c r="AX93" s="60" t="n"/>
      <c r="AY93" s="60">
        <f>AX93-AW93</f>
        <v/>
      </c>
      <c r="AZ93" s="61">
        <f>IF(AW93=0,"",AX93/AW93)</f>
        <v/>
      </c>
      <c r="BA93" s="27" t="n"/>
      <c r="BB93" s="62" t="n"/>
      <c r="BC93" s="62" t="n"/>
      <c r="BD93" s="62">
        <f>BC93-BB93</f>
        <v/>
      </c>
      <c r="BE93" s="64">
        <f>IF(BB93=0,"",BC93/BB93)</f>
        <v/>
      </c>
      <c r="BF93" s="31" t="n"/>
      <c r="BG93" s="60" t="n"/>
      <c r="BH93" s="60" t="n"/>
      <c r="BI93" s="60">
        <f>BH93-BG93</f>
        <v/>
      </c>
      <c r="BJ93" s="61">
        <f>IF(BG93=0,"",BH93/BG93)</f>
        <v/>
      </c>
      <c r="BK93" s="27" t="n"/>
      <c r="BL93" s="62" t="n"/>
      <c r="BM93" s="62" t="n"/>
      <c r="BN93" s="62">
        <f>BM93-BL93</f>
        <v/>
      </c>
      <c r="BO93" s="64">
        <f>IF(BL93=0,"",BM93/BL93)</f>
        <v/>
      </c>
      <c r="BP93" s="31" t="n"/>
      <c r="BQ93" s="60" t="n"/>
      <c r="BR93" s="60" t="n"/>
      <c r="BS93" s="60">
        <f>BR93-BQ93</f>
        <v/>
      </c>
      <c r="BT93" s="61">
        <f>IF(BQ93=0,"",BR93/BQ93)</f>
        <v/>
      </c>
      <c r="BU93" s="27" t="n"/>
      <c r="BV93" s="62" t="n"/>
      <c r="BW93" s="62" t="n"/>
      <c r="BX93" s="62">
        <f>BW93-BV93</f>
        <v/>
      </c>
      <c r="BY93" s="64">
        <f>IF(BV93=0,"",BW93/BV93)</f>
        <v/>
      </c>
      <c r="BZ93" s="31" t="n"/>
      <c r="CA93" s="60" t="n"/>
      <c r="CB93" s="60" t="n"/>
      <c r="CC93" s="60">
        <f>CB93-CA93</f>
        <v/>
      </c>
      <c r="CD93" s="61">
        <f>IF(CA93=0,"",CB93/CA93)</f>
        <v/>
      </c>
      <c r="CE93" s="27" t="n"/>
      <c r="CF93" s="62" t="n"/>
      <c r="CG93" s="62" t="n"/>
      <c r="CH93" s="62">
        <f>CG93-CF93</f>
        <v/>
      </c>
      <c r="CI93" s="64">
        <f>IF(CF93=0,"",CG93/CF93)</f>
        <v/>
      </c>
      <c r="CJ93" s="31" t="n"/>
      <c r="CK93" s="60" t="n"/>
      <c r="CL93" s="60" t="n"/>
      <c r="CM93" s="60">
        <f>CL93-CK93</f>
        <v/>
      </c>
      <c r="CN93" s="61">
        <f>IF(CK93=0,"",CL93/CK93)</f>
        <v/>
      </c>
      <c r="CO93" s="27" t="n"/>
      <c r="CP93" s="62" t="n"/>
      <c r="CQ93" s="62" t="n"/>
      <c r="CR93" s="62">
        <f>CQ93-CP93</f>
        <v/>
      </c>
      <c r="CS93" s="64">
        <f>IF(CP93=0,"",CQ93/CP93)</f>
        <v/>
      </c>
      <c r="CT93" s="31" t="n"/>
      <c r="CU93" s="60" t="n"/>
      <c r="CV93" s="60" t="n"/>
      <c r="CW93" s="60">
        <f>CV93-CU93</f>
        <v/>
      </c>
      <c r="CX93" s="61">
        <f>IF(CU93=0,"",CV93/CU93)</f>
        <v/>
      </c>
      <c r="CY93" s="27" t="n"/>
      <c r="CZ93" s="62" t="n"/>
      <c r="DA93" s="62" t="n"/>
      <c r="DB93" s="62">
        <f>DA93-CZ93</f>
        <v/>
      </c>
      <c r="DC93" s="64">
        <f>IF(CZ93=0,"",DA93/CZ93)</f>
        <v/>
      </c>
      <c r="DD93" s="31" t="n"/>
      <c r="DE93" s="60" t="n"/>
      <c r="DF93" s="60" t="n"/>
      <c r="DG93" s="60">
        <f>DF93-DE93</f>
        <v/>
      </c>
      <c r="DH93" s="61">
        <f>IF(DE93=0,"",DF93/DE93)</f>
        <v/>
      </c>
      <c r="DI93" s="27" t="n"/>
      <c r="DJ93" s="62" t="n"/>
      <c r="DK93" s="62" t="n"/>
      <c r="DL93" s="62">
        <f>DK93-DJ93</f>
        <v/>
      </c>
      <c r="DM93" s="64">
        <f>IF(DJ93=0,"",DK93/DJ93)</f>
        <v/>
      </c>
      <c r="DN93" s="31" t="n"/>
      <c r="DO93" s="60" t="n"/>
    </row>
    <row r="94" outlineLevel="1" ht="15" customHeight="1">
      <c r="A94" s="24" t="n"/>
      <c r="B94" s="24" t="n"/>
      <c r="C94" s="24" t="n"/>
      <c r="D94" s="60" t="n"/>
      <c r="E94" s="60" t="n"/>
      <c r="F94" s="60">
        <f>E94-D94</f>
        <v/>
      </c>
      <c r="G94" s="61">
        <f>IF(D94=0,"",E94/D94)</f>
        <v/>
      </c>
      <c r="H94" s="27" t="n"/>
      <c r="I94" s="60" t="n"/>
      <c r="J94" s="60" t="n"/>
      <c r="K94" s="60">
        <f>J94-I94</f>
        <v/>
      </c>
      <c r="L94" s="61">
        <f>IF(I94=0,"",J94/I94)</f>
        <v/>
      </c>
      <c r="M94" s="27" t="n"/>
      <c r="N94" s="62" t="n"/>
      <c r="O94" s="62" t="n"/>
      <c r="P94" s="62">
        <f>O94-N94</f>
        <v/>
      </c>
      <c r="Q94" s="64">
        <f>IF(N94=0,"",O94/N94)</f>
        <v/>
      </c>
      <c r="R94" s="31" t="n"/>
      <c r="S94" s="60" t="n"/>
      <c r="T94" s="60" t="n"/>
      <c r="U94" s="60">
        <f>T94-S94</f>
        <v/>
      </c>
      <c r="V94" s="61">
        <f>IF(S94=0,"",T94/S94)</f>
        <v/>
      </c>
      <c r="W94" s="27" t="n"/>
      <c r="X94" s="62" t="n"/>
      <c r="Y94" s="62" t="n"/>
      <c r="Z94" s="62">
        <f>Y94-X94</f>
        <v/>
      </c>
      <c r="AA94" s="64">
        <f>IF(X94=0,"",Y94/X94)</f>
        <v/>
      </c>
      <c r="AB94" s="31" t="n"/>
      <c r="AC94" s="60" t="n"/>
      <c r="AD94" s="60" t="n"/>
      <c r="AE94" s="60">
        <f>AD94-AC94</f>
        <v/>
      </c>
      <c r="AF94" s="61">
        <f>IF(AC94=0,"",AD94/AC94)</f>
        <v/>
      </c>
      <c r="AG94" s="27" t="n"/>
      <c r="AH94" s="62" t="n"/>
      <c r="AI94" s="62" t="n"/>
      <c r="AJ94" s="62">
        <f>AI94-AH94</f>
        <v/>
      </c>
      <c r="AK94" s="64">
        <f>IF(AH94=0,"",AI94/AH94)</f>
        <v/>
      </c>
      <c r="AL94" s="31" t="n"/>
      <c r="AM94" s="60" t="n"/>
      <c r="AN94" s="60" t="n"/>
      <c r="AO94" s="60">
        <f>AN94-AM94</f>
        <v/>
      </c>
      <c r="AP94" s="61">
        <f>IF(AM94=0,"",AN94/AM94)</f>
        <v/>
      </c>
      <c r="AQ94" s="27" t="n"/>
      <c r="AR94" s="62" t="n"/>
      <c r="AS94" s="62" t="n"/>
      <c r="AT94" s="62">
        <f>AS94-AR94</f>
        <v/>
      </c>
      <c r="AU94" s="64">
        <f>IF(AR94=0,"",AS94/AR94)</f>
        <v/>
      </c>
      <c r="AV94" s="31" t="n"/>
      <c r="AW94" s="60" t="n"/>
      <c r="AX94" s="60" t="n"/>
      <c r="AY94" s="60">
        <f>AX94-AW94</f>
        <v/>
      </c>
      <c r="AZ94" s="61">
        <f>IF(AW94=0,"",AX94/AW94)</f>
        <v/>
      </c>
      <c r="BA94" s="27" t="n"/>
      <c r="BB94" s="62" t="n"/>
      <c r="BC94" s="62" t="n"/>
      <c r="BD94" s="62">
        <f>BC94-BB94</f>
        <v/>
      </c>
      <c r="BE94" s="64">
        <f>IF(BB94=0,"",BC94/BB94)</f>
        <v/>
      </c>
      <c r="BF94" s="31" t="n"/>
      <c r="BG94" s="60" t="n"/>
      <c r="BH94" s="60" t="n"/>
      <c r="BI94" s="60">
        <f>BH94-BG94</f>
        <v/>
      </c>
      <c r="BJ94" s="61">
        <f>IF(BG94=0,"",BH94/BG94)</f>
        <v/>
      </c>
      <c r="BK94" s="27" t="n"/>
      <c r="BL94" s="62" t="n"/>
      <c r="BM94" s="62" t="n"/>
      <c r="BN94" s="62">
        <f>BM94-BL94</f>
        <v/>
      </c>
      <c r="BO94" s="64">
        <f>IF(BL94=0,"",BM94/BL94)</f>
        <v/>
      </c>
      <c r="BP94" s="31" t="n"/>
      <c r="BQ94" s="60" t="n"/>
      <c r="BR94" s="60" t="n"/>
      <c r="BS94" s="60">
        <f>BR94-BQ94</f>
        <v/>
      </c>
      <c r="BT94" s="61">
        <f>IF(BQ94=0,"",BR94/BQ94)</f>
        <v/>
      </c>
      <c r="BU94" s="27" t="n"/>
      <c r="BV94" s="62" t="n"/>
      <c r="BW94" s="62" t="n"/>
      <c r="BX94" s="62">
        <f>BW94-BV94</f>
        <v/>
      </c>
      <c r="BY94" s="64">
        <f>IF(BV94=0,"",BW94/BV94)</f>
        <v/>
      </c>
      <c r="BZ94" s="31" t="n"/>
      <c r="CA94" s="60" t="n"/>
      <c r="CB94" s="60" t="n"/>
      <c r="CC94" s="60">
        <f>CB94-CA94</f>
        <v/>
      </c>
      <c r="CD94" s="61">
        <f>IF(CA94=0,"",CB94/CA94)</f>
        <v/>
      </c>
      <c r="CE94" s="27" t="n"/>
      <c r="CF94" s="62" t="n"/>
      <c r="CG94" s="62" t="n"/>
      <c r="CH94" s="62">
        <f>CG94-CF94</f>
        <v/>
      </c>
      <c r="CI94" s="64">
        <f>IF(CF94=0,"",CG94/CF94)</f>
        <v/>
      </c>
      <c r="CJ94" s="31" t="n"/>
      <c r="CK94" s="60" t="n"/>
      <c r="CL94" s="60" t="n"/>
      <c r="CM94" s="60">
        <f>CL94-CK94</f>
        <v/>
      </c>
      <c r="CN94" s="61">
        <f>IF(CK94=0,"",CL94/CK94)</f>
        <v/>
      </c>
      <c r="CO94" s="27" t="n"/>
      <c r="CP94" s="62" t="n"/>
      <c r="CQ94" s="62" t="n"/>
      <c r="CR94" s="62">
        <f>CQ94-CP94</f>
        <v/>
      </c>
      <c r="CS94" s="64">
        <f>IF(CP94=0,"",CQ94/CP94)</f>
        <v/>
      </c>
      <c r="CT94" s="31" t="n"/>
      <c r="CU94" s="60" t="n"/>
      <c r="CV94" s="60" t="n"/>
      <c r="CW94" s="60">
        <f>CV94-CU94</f>
        <v/>
      </c>
      <c r="CX94" s="61">
        <f>IF(CU94=0,"",CV94/CU94)</f>
        <v/>
      </c>
      <c r="CY94" s="27" t="n"/>
      <c r="CZ94" s="62" t="n"/>
      <c r="DA94" s="62" t="n"/>
      <c r="DB94" s="62">
        <f>DA94-CZ94</f>
        <v/>
      </c>
      <c r="DC94" s="64">
        <f>IF(CZ94=0,"",DA94/CZ94)</f>
        <v/>
      </c>
      <c r="DD94" s="31" t="n"/>
      <c r="DE94" s="60" t="n"/>
      <c r="DF94" s="60" t="n"/>
      <c r="DG94" s="60">
        <f>DF94-DE94</f>
        <v/>
      </c>
      <c r="DH94" s="61">
        <f>IF(DE94=0,"",DF94/DE94)</f>
        <v/>
      </c>
      <c r="DI94" s="27" t="n"/>
      <c r="DJ94" s="62" t="n"/>
      <c r="DK94" s="62" t="n"/>
      <c r="DL94" s="62">
        <f>DK94-DJ94</f>
        <v/>
      </c>
      <c r="DM94" s="64">
        <f>IF(DJ94=0,"",DK94/DJ94)</f>
        <v/>
      </c>
      <c r="DN94" s="31" t="n"/>
      <c r="DO94" s="60" t="n"/>
    </row>
    <row r="95" outlineLevel="1" ht="15" customHeight="1">
      <c r="A95" s="24" t="n"/>
      <c r="B95" s="24" t="n"/>
      <c r="C95" s="24" t="n"/>
      <c r="D95" s="60" t="n"/>
      <c r="E95" s="60" t="n"/>
      <c r="F95" s="60">
        <f>E95-D95</f>
        <v/>
      </c>
      <c r="G95" s="61">
        <f>IF(D95=0,"",E95/D95)</f>
        <v/>
      </c>
      <c r="H95" s="27" t="n"/>
      <c r="I95" s="60" t="n"/>
      <c r="J95" s="60" t="n"/>
      <c r="K95" s="60">
        <f>J95-I95</f>
        <v/>
      </c>
      <c r="L95" s="61">
        <f>IF(I95=0,"",J95/I95)</f>
        <v/>
      </c>
      <c r="M95" s="27" t="n"/>
      <c r="N95" s="62" t="n"/>
      <c r="O95" s="62" t="n"/>
      <c r="P95" s="62">
        <f>O95-N95</f>
        <v/>
      </c>
      <c r="Q95" s="64">
        <f>IF(N95=0,"",O95/N95)</f>
        <v/>
      </c>
      <c r="R95" s="31" t="n"/>
      <c r="S95" s="60" t="n"/>
      <c r="T95" s="60" t="n"/>
      <c r="U95" s="60">
        <f>T95-S95</f>
        <v/>
      </c>
      <c r="V95" s="61">
        <f>IF(S95=0,"",T95/S95)</f>
        <v/>
      </c>
      <c r="W95" s="27" t="n"/>
      <c r="X95" s="62" t="n"/>
      <c r="Y95" s="62" t="n"/>
      <c r="Z95" s="62">
        <f>Y95-X95</f>
        <v/>
      </c>
      <c r="AA95" s="64">
        <f>IF(X95=0,"",Y95/X95)</f>
        <v/>
      </c>
      <c r="AB95" s="31" t="n"/>
      <c r="AC95" s="60" t="n"/>
      <c r="AD95" s="60" t="n"/>
      <c r="AE95" s="60">
        <f>AD95-AC95</f>
        <v/>
      </c>
      <c r="AF95" s="61">
        <f>IF(AC95=0,"",AD95/AC95)</f>
        <v/>
      </c>
      <c r="AG95" s="27" t="n"/>
      <c r="AH95" s="62" t="n"/>
      <c r="AI95" s="62" t="n"/>
      <c r="AJ95" s="62">
        <f>AI95-AH95</f>
        <v/>
      </c>
      <c r="AK95" s="64">
        <f>IF(AH95=0,"",AI95/AH95)</f>
        <v/>
      </c>
      <c r="AL95" s="31" t="n"/>
      <c r="AM95" s="60" t="n"/>
      <c r="AN95" s="60" t="n"/>
      <c r="AO95" s="60">
        <f>AN95-AM95</f>
        <v/>
      </c>
      <c r="AP95" s="61">
        <f>IF(AM95=0,"",AN95/AM95)</f>
        <v/>
      </c>
      <c r="AQ95" s="27" t="n"/>
      <c r="AR95" s="62" t="n"/>
      <c r="AS95" s="62" t="n"/>
      <c r="AT95" s="62">
        <f>AS95-AR95</f>
        <v/>
      </c>
      <c r="AU95" s="64">
        <f>IF(AR95=0,"",AS95/AR95)</f>
        <v/>
      </c>
      <c r="AV95" s="31" t="n"/>
      <c r="AW95" s="60" t="n"/>
      <c r="AX95" s="60" t="n"/>
      <c r="AY95" s="60">
        <f>AX95-AW95</f>
        <v/>
      </c>
      <c r="AZ95" s="61">
        <f>IF(AW95=0,"",AX95/AW95)</f>
        <v/>
      </c>
      <c r="BA95" s="27" t="n"/>
      <c r="BB95" s="62" t="n"/>
      <c r="BC95" s="62" t="n"/>
      <c r="BD95" s="62">
        <f>BC95-BB95</f>
        <v/>
      </c>
      <c r="BE95" s="64">
        <f>IF(BB95=0,"",BC95/BB95)</f>
        <v/>
      </c>
      <c r="BF95" s="31" t="n"/>
      <c r="BG95" s="60" t="n"/>
      <c r="BH95" s="60" t="n"/>
      <c r="BI95" s="60">
        <f>BH95-BG95</f>
        <v/>
      </c>
      <c r="BJ95" s="61">
        <f>IF(BG95=0,"",BH95/BG95)</f>
        <v/>
      </c>
      <c r="BK95" s="27" t="n"/>
      <c r="BL95" s="62" t="n"/>
      <c r="BM95" s="62" t="n"/>
      <c r="BN95" s="62">
        <f>BM95-BL95</f>
        <v/>
      </c>
      <c r="BO95" s="64">
        <f>IF(BL95=0,"",BM95/BL95)</f>
        <v/>
      </c>
      <c r="BP95" s="31" t="n"/>
      <c r="BQ95" s="60" t="n"/>
      <c r="BR95" s="60" t="n"/>
      <c r="BS95" s="60">
        <f>BR95-BQ95</f>
        <v/>
      </c>
      <c r="BT95" s="61">
        <f>IF(BQ95=0,"",BR95/BQ95)</f>
        <v/>
      </c>
      <c r="BU95" s="27" t="n"/>
      <c r="BV95" s="62" t="n"/>
      <c r="BW95" s="62" t="n"/>
      <c r="BX95" s="62">
        <f>BW95-BV95</f>
        <v/>
      </c>
      <c r="BY95" s="64">
        <f>IF(BV95=0,"",BW95/BV95)</f>
        <v/>
      </c>
      <c r="BZ95" s="31" t="n"/>
      <c r="CA95" s="60" t="n"/>
      <c r="CB95" s="60" t="n"/>
      <c r="CC95" s="60">
        <f>CB95-CA95</f>
        <v/>
      </c>
      <c r="CD95" s="61">
        <f>IF(CA95=0,"",CB95/CA95)</f>
        <v/>
      </c>
      <c r="CE95" s="27" t="n"/>
      <c r="CF95" s="62" t="n"/>
      <c r="CG95" s="62" t="n"/>
      <c r="CH95" s="62">
        <f>CG95-CF95</f>
        <v/>
      </c>
      <c r="CI95" s="64">
        <f>IF(CF95=0,"",CG95/CF95)</f>
        <v/>
      </c>
      <c r="CJ95" s="31" t="n"/>
      <c r="CK95" s="60" t="n"/>
      <c r="CL95" s="60" t="n"/>
      <c r="CM95" s="60">
        <f>CL95-CK95</f>
        <v/>
      </c>
      <c r="CN95" s="61">
        <f>IF(CK95=0,"",CL95/CK95)</f>
        <v/>
      </c>
      <c r="CO95" s="27" t="n"/>
      <c r="CP95" s="62" t="n"/>
      <c r="CQ95" s="62" t="n"/>
      <c r="CR95" s="62">
        <f>CQ95-CP95</f>
        <v/>
      </c>
      <c r="CS95" s="64">
        <f>IF(CP95=0,"",CQ95/CP95)</f>
        <v/>
      </c>
      <c r="CT95" s="31" t="n"/>
      <c r="CU95" s="60" t="n"/>
      <c r="CV95" s="60" t="n"/>
      <c r="CW95" s="60">
        <f>CV95-CU95</f>
        <v/>
      </c>
      <c r="CX95" s="61">
        <f>IF(CU95=0,"",CV95/CU95)</f>
        <v/>
      </c>
      <c r="CY95" s="27" t="n"/>
      <c r="CZ95" s="62" t="n"/>
      <c r="DA95" s="62" t="n"/>
      <c r="DB95" s="62">
        <f>DA95-CZ95</f>
        <v/>
      </c>
      <c r="DC95" s="64">
        <f>IF(CZ95=0,"",DA95/CZ95)</f>
        <v/>
      </c>
      <c r="DD95" s="31" t="n"/>
      <c r="DE95" s="60" t="n"/>
      <c r="DF95" s="60" t="n"/>
      <c r="DG95" s="60">
        <f>DF95-DE95</f>
        <v/>
      </c>
      <c r="DH95" s="61">
        <f>IF(DE95=0,"",DF95/DE95)</f>
        <v/>
      </c>
      <c r="DI95" s="27" t="n"/>
      <c r="DJ95" s="62" t="n"/>
      <c r="DK95" s="62" t="n"/>
      <c r="DL95" s="62">
        <f>DK95-DJ95</f>
        <v/>
      </c>
      <c r="DM95" s="64">
        <f>IF(DJ95=0,"",DK95/DJ95)</f>
        <v/>
      </c>
      <c r="DN95" s="31" t="n"/>
      <c r="DO95" s="60" t="n"/>
    </row>
    <row r="96" ht="15" customHeight="1">
      <c r="A96" s="32" t="n"/>
      <c r="B96" s="32" t="n"/>
      <c r="C96" s="32" t="n"/>
      <c r="D96" s="65">
        <f>D98+D99+D100+D102+D104+D105+D107+D109+D110+D111+D112+D113+D114+D115+D116+D117+D118+D119+D120+D121+D122</f>
        <v/>
      </c>
      <c r="E96" s="65">
        <f>E98+E99+E100+E102+E104+E105+E107+E109+E110+E111+E112+E113+E114+E115+E116+E117+E118+E119+E120+E121+E122</f>
        <v/>
      </c>
      <c r="F96" s="65">
        <f>E96-D96</f>
        <v/>
      </c>
      <c r="G96" s="66">
        <f>IF(D96=0,"",E96/D96)</f>
        <v/>
      </c>
      <c r="H96" s="35" t="n"/>
      <c r="I96" s="65">
        <f>I98+I99+I100+I102+I104+I105+I107+I109+I110+I111+I112+I113+I114+I115+I116+I117+I118+I119+I120+I121+I122</f>
        <v/>
      </c>
      <c r="J96" s="65">
        <f>J98+J99+J100+J102+J104+J105+J107+J109+J110+J111+J112+J113+J114+J115+J116+J117+J118+J119+J120+J121+J122</f>
        <v/>
      </c>
      <c r="K96" s="65">
        <f>J96-I96</f>
        <v/>
      </c>
      <c r="L96" s="66">
        <f>IF(I96=0,"",J96/I96)</f>
        <v/>
      </c>
      <c r="M96" s="35" t="n"/>
      <c r="N96" s="65">
        <f>N98+N99+N100+N102+N104+N105+N107+N109+N110+N111+N112+N113+N114+N115+N116+N117+N118+N119+N120+N121+N122</f>
        <v/>
      </c>
      <c r="O96" s="65">
        <f>O98+O99+O100+O102+O104+O105+O107+O109+O110+O111+O112+O113+O114+O115+O116+O117+O118+O119+O120+O121+O122</f>
        <v/>
      </c>
      <c r="P96" s="65">
        <f>O96-N96</f>
        <v/>
      </c>
      <c r="Q96" s="66">
        <f>IF(N96=0,"",O96/N96)</f>
        <v/>
      </c>
      <c r="R96" s="35" t="n"/>
      <c r="S96" s="65">
        <f>S98+S99+S100+S102+S104+S105+S107+S109+S110+S111+S112+S113+S114+S115+S116+S117+S118+S119+S120+S121+S122</f>
        <v/>
      </c>
      <c r="T96" s="65">
        <f>T98+T99+T100+T102+T104+T105+T107+T109+T110+T111+T112+T113+T114+T115+T116+T117+T118+T119+T120+T121+T122</f>
        <v/>
      </c>
      <c r="U96" s="65">
        <f>T96-S96</f>
        <v/>
      </c>
      <c r="V96" s="66">
        <f>IF(S96=0,"",T96/S96)</f>
        <v/>
      </c>
      <c r="W96" s="35" t="n"/>
      <c r="X96" s="65">
        <f>X98+X99+X100+X102+X104+X105+X107+X109+X110+X111+X112+X113+X114+X115+X116+X117+X118+X119+X120+X121+X122</f>
        <v/>
      </c>
      <c r="Y96" s="65">
        <f>Y98+Y99+Y100+Y102+Y104+Y105+Y107+Y109+Y110+Y111+Y112+Y113+Y114+Y115+Y116+Y117+Y118+Y119+Y120+Y121+Y122</f>
        <v/>
      </c>
      <c r="Z96" s="65">
        <f>Y96-X96</f>
        <v/>
      </c>
      <c r="AA96" s="66">
        <f>IF(X96=0,"",Y96/X96)</f>
        <v/>
      </c>
      <c r="AB96" s="35" t="n"/>
      <c r="AC96" s="65">
        <f>AC98+AC99+AC100+AC102+AC104+AC105+AC107+AC109+AC110+AC111+AC112+AC113+AC114+AC115+AC116+AC117+AC118+AC119+AC120+AC121+AC122</f>
        <v/>
      </c>
      <c r="AD96" s="65">
        <f>AD98+AD99+AD100+AD102+AD104+AD105+AD107+AD109+AD110+AD111+AD112+AD113+AD114+AD115+AD116+AD117+AD118+AD119+AD120+AD121+AD122</f>
        <v/>
      </c>
      <c r="AE96" s="65">
        <f>AD96-AC96</f>
        <v/>
      </c>
      <c r="AF96" s="66">
        <f>IF(AC96=0,"",AD96/AC96)</f>
        <v/>
      </c>
      <c r="AG96" s="35" t="n"/>
      <c r="AH96" s="65">
        <f>AH98+AH99+AH100+AH102+AH104+AH105+AH107+AH109+AH110+AH111+AH112+AH113+AH114+AH115+AH116+AH117+AH118+AH119+AH120+AH121+AH122</f>
        <v/>
      </c>
      <c r="AI96" s="65">
        <f>AI98+AI99+AI100+AI102+AI104+AI105+AI107+AI109+AI110+AI111+AI112+AI113+AI114+AI115+AI116+AI117+AI118+AI119+AI120+AI121+AI122</f>
        <v/>
      </c>
      <c r="AJ96" s="65">
        <f>AI96-AH96</f>
        <v/>
      </c>
      <c r="AK96" s="66">
        <f>IF(AH96=0,"",AI96/AH96)</f>
        <v/>
      </c>
      <c r="AL96" s="35" t="n"/>
      <c r="AM96" s="65">
        <f>AM98+AM99+AM100+AM102+AM104+AM105+AM107+AM109+AM110+AM111+AM112+AM113+AM114+AM115+AM116+AM117+AM118+AM119+AM120+AM121+AM122</f>
        <v/>
      </c>
      <c r="AN96" s="65">
        <f>AN98+AN99+AN100+AN102+AN104+AN105+AN107+AN109+AN110+AN111+AN112+AN113+AN114+AN115+AN116+AN117+AN118+AN119+AN120+AN121+AN122</f>
        <v/>
      </c>
      <c r="AO96" s="65">
        <f>AN96-AM96</f>
        <v/>
      </c>
      <c r="AP96" s="66">
        <f>IF(AM96=0,"",AN96/AM96)</f>
        <v/>
      </c>
      <c r="AQ96" s="35" t="n"/>
      <c r="AR96" s="65">
        <f>AR98+AR99+AR100+AR102+AR104+AR105+AR107+AR109+AR110+AR111+AR112+AR113+AR114+AR115+AR116+AR117+AR118+AR119+AR120+AR121+AR122</f>
        <v/>
      </c>
      <c r="AS96" s="65">
        <f>AS98+AS99+AS100+AS102+AS104+AS105+AS107+AS109+AS110+AS111+AS112+AS113+AS114+AS115+AS116+AS117+AS118+AS119+AS120+AS121+AS122</f>
        <v/>
      </c>
      <c r="AT96" s="65">
        <f>AS96-AR96</f>
        <v/>
      </c>
      <c r="AU96" s="66">
        <f>IF(AR96=0,"",AS96/AR96)</f>
        <v/>
      </c>
      <c r="AV96" s="35" t="n"/>
      <c r="AW96" s="65">
        <f>AW98+AW99+AW100+AW102+AW104+AW105+AW107+AW109+AW110+AW111+AW112+AW113+AW114+AW115+AW116+AW117+AW118+AW119+AW120+AW121+AW122</f>
        <v/>
      </c>
      <c r="AX96" s="65">
        <f>AX98+AX99+AX100+AX102+AX104+AX105+AX107+AX109+AX110+AX111+AX112+AX113+AX114+AX115+AX116+AX117+AX118+AX119+AX120+AX121+AX122</f>
        <v/>
      </c>
      <c r="AY96" s="65">
        <f>AX96-AW96</f>
        <v/>
      </c>
      <c r="AZ96" s="66">
        <f>IF(AW96=0,"",AX96/AW96)</f>
        <v/>
      </c>
      <c r="BA96" s="35" t="n"/>
      <c r="BB96" s="65">
        <f>BB98+BB99+BB100+BB102+BB104+BB105+BB107+BB109+BB110+BB111+BB112+BB113+BB114+BB115+BB116+BB117+BB118+BB119+BB120+BB121+BB122</f>
        <v/>
      </c>
      <c r="BC96" s="65">
        <f>BC98+BC99+BC100+BC102+BC104+BC105+BC107+BC109+BC110+BC111+BC112+BC113+BC114+BC115+BC116+BC117+BC118+BC119+BC120+BC121+BC122</f>
        <v/>
      </c>
      <c r="BD96" s="65">
        <f>BC96-BB96</f>
        <v/>
      </c>
      <c r="BE96" s="66">
        <f>IF(BB96=0,"",BC96/BB96)</f>
        <v/>
      </c>
      <c r="BF96" s="35" t="n"/>
      <c r="BG96" s="65">
        <f>BG98+BG99+BG100+BG102+BG104+BG105+BG107+BG109+BG110+BG111+BG112+BG113+BG114+BG115+BG116+BG117+BG118+BG119+BG120+BG121+BG122</f>
        <v/>
      </c>
      <c r="BH96" s="65">
        <f>BH98+BH99+BH100+BH102+BH104+BH105+BH107+BH109+BH110+BH111+BH112+BH113+BH114+BH115+BH116+BH117+BH118+BH119+BH120+BH121+BH122</f>
        <v/>
      </c>
      <c r="BI96" s="65">
        <f>BH96-BG96</f>
        <v/>
      </c>
      <c r="BJ96" s="66">
        <f>IF(BG96=0,"",BH96/BG96)</f>
        <v/>
      </c>
      <c r="BK96" s="35" t="n"/>
      <c r="BL96" s="65">
        <f>BL98+BL99+BL100+BL102+BL104+BL105+BL107+BL109+BL110+BL111+BL112+BL113+BL114+BL115+BL116+BL117+BL118+BL119+BL120+BL121+BL122</f>
        <v/>
      </c>
      <c r="BM96" s="65">
        <f>BM98+BM99+BM100+BM102+BM104+BM105+BM107+BM109+BM110+BM111+BM112+BM113+BM114+BM115+BM116+BM117+BM118+BM119+BM120+BM121+BM122</f>
        <v/>
      </c>
      <c r="BN96" s="65">
        <f>BM96-BL96</f>
        <v/>
      </c>
      <c r="BO96" s="66">
        <f>IF(BL96=0,"",BM96/BL96)</f>
        <v/>
      </c>
      <c r="BP96" s="35" t="n"/>
      <c r="BQ96" s="65">
        <f>BQ98+BQ99+BQ100+BQ102+BQ104+BQ105+BQ107+BQ109+BQ110+BQ111+BQ112+BQ113+BQ114+BQ115+BQ116+BQ117+BQ118+BQ119+BQ120+BQ121+BQ122</f>
        <v/>
      </c>
      <c r="BR96" s="65">
        <f>BR98+BR99+BR100+BR102+BR104+BR105+BR107+BR109+BR110+BR111+BR112+BR113+BR114+BR115+BR116+BR117+BR118+BR119+BR120+BR121+BR122</f>
        <v/>
      </c>
      <c r="BS96" s="65">
        <f>BR96-BQ96</f>
        <v/>
      </c>
      <c r="BT96" s="66">
        <f>IF(BQ96=0,"",BR96/BQ96)</f>
        <v/>
      </c>
      <c r="BU96" s="35" t="n"/>
      <c r="BV96" s="65">
        <f>BV98+BV99+BV100+BV102+BV104+BV105+BV107+BV109+BV110+BV111+BV112+BV113+BV114+BV115+BV116+BV117+BV118+BV119+BV120+BV121+BV122</f>
        <v/>
      </c>
      <c r="BW96" s="65">
        <f>BW98+BW99+BW100+BW102+BW104+BW105+BW107+BW109+BW110+BW111+BW112+BW113+BW114+BW115+BW116+BW117+BW118+BW119+BW120+BW121+BW122</f>
        <v/>
      </c>
      <c r="BX96" s="65">
        <f>BW96-BV96</f>
        <v/>
      </c>
      <c r="BY96" s="66">
        <f>IF(BV96=0,"",BW96/BV96)</f>
        <v/>
      </c>
      <c r="BZ96" s="35" t="n"/>
      <c r="CA96" s="65">
        <f>CA98+CA99+CA100+CA102+CA104+CA105+CA107+CA109+CA110+CA111+CA112+CA113+CA114+CA115+CA116+CA117+CA118+CA119+CA120+CA121+CA122</f>
        <v/>
      </c>
      <c r="CB96" s="65">
        <f>CB98+CB99+CB100+CB102+CB104+CB105+CB107+CB109+CB110+CB111+CB112+CB113+CB114+CB115+CB116+CB117+CB118+CB119+CB120+CB121+CB122</f>
        <v/>
      </c>
      <c r="CC96" s="65">
        <f>CB96-CA96</f>
        <v/>
      </c>
      <c r="CD96" s="66">
        <f>IF(CA96=0,"",CB96/CA96)</f>
        <v/>
      </c>
      <c r="CE96" s="35" t="n"/>
      <c r="CF96" s="65">
        <f>CF98+CF99+CF100+CF102+CF104+CF105+CF107+CF109+CF110+CF111+CF112+CF113+CF114+CF115+CF116+CF117+CF118+CF119+CF120+CF121+CF122</f>
        <v/>
      </c>
      <c r="CG96" s="65">
        <f>CG98+CG99+CG100+CG102+CG104+CG105+CG107+CG109+CG110+CG111+CG112+CG113+CG114+CG115+CG116+CG117+CG118+CG119+CG120+CG121+CG122</f>
        <v/>
      </c>
      <c r="CH96" s="65">
        <f>CG96-CF96</f>
        <v/>
      </c>
      <c r="CI96" s="66">
        <f>IF(CF96=0,"",CG96/CF96)</f>
        <v/>
      </c>
      <c r="CJ96" s="35" t="n"/>
      <c r="CK96" s="65">
        <f>CK98+CK99+CK100+CK102+CK104+CK105+CK107+CK109+CK110+CK111+CK112+CK113+CK114+CK115+CK116+CK117+CK118+CK119+CK120+CK121+CK122</f>
        <v/>
      </c>
      <c r="CL96" s="65">
        <f>CL98+CL99+CL100+CL102+CL104+CL105+CL107+CL109+CL110+CL111+CL112+CL113+CL114+CL115+CL116+CL117+CL118+CL119+CL120+CL121+CL122</f>
        <v/>
      </c>
      <c r="CM96" s="65">
        <f>CL96-CK96</f>
        <v/>
      </c>
      <c r="CN96" s="66">
        <f>IF(CK96=0,"",CL96/CK96)</f>
        <v/>
      </c>
      <c r="CO96" s="35" t="n"/>
      <c r="CP96" s="65">
        <f>CP98+CP99+CP100+CP102+CP104+CP105+CP107+CP109+CP110+CP111+CP112+CP113+CP114+CP115+CP116+CP117+CP118+CP119+CP120+CP121+CP122</f>
        <v/>
      </c>
      <c r="CQ96" s="65">
        <f>CQ98+CQ99+CQ100+CQ102+CQ104+CQ105+CQ107+CQ109+CQ110+CQ111+CQ112+CQ113+CQ114+CQ115+CQ116+CQ117+CQ118+CQ119+CQ120+CQ121+CQ122</f>
        <v/>
      </c>
      <c r="CR96" s="65">
        <f>CQ96-CP96</f>
        <v/>
      </c>
      <c r="CS96" s="66">
        <f>IF(CP96=0,"",CQ96/CP96)</f>
        <v/>
      </c>
      <c r="CT96" s="35" t="n"/>
      <c r="CU96" s="65">
        <f>CU98+CU99+CU100+CU102+CU104+CU105+CU107+CU109+CU110+CU111+CU112+CU113+CU114+CU115+CU116+CU117+CU118+CU119+CU120+CU121+CU122</f>
        <v/>
      </c>
      <c r="CV96" s="65">
        <f>CV98+CV99+CV100+CV102+CV104+CV105+CV107+CV109+CV110+CV111+CV112+CV113+CV114+CV115+CV116+CV117+CV118+CV119+CV120+CV121+CV122</f>
        <v/>
      </c>
      <c r="CW96" s="65">
        <f>CV96-CU96</f>
        <v/>
      </c>
      <c r="CX96" s="66">
        <f>IF(CU96=0,"",CV96/CU96)</f>
        <v/>
      </c>
      <c r="CY96" s="35" t="n"/>
      <c r="CZ96" s="65">
        <f>CZ98+CZ99+CZ100+CZ102+CZ104+CZ105+CZ107+CZ109+CZ110+CZ111+CZ112+CZ113+CZ114+CZ115+CZ116+CZ117+CZ118+CZ119+CZ120+CZ121+CZ122</f>
        <v/>
      </c>
      <c r="DA96" s="65">
        <f>DA98+DA99+DA100+DA102+DA104+DA105+DA107+DA109+DA110+DA111+DA112+DA113+DA114+DA115+DA116+DA117+DA118+DA119+DA120+DA121+DA122</f>
        <v/>
      </c>
      <c r="DB96" s="65">
        <f>DA96-CZ96</f>
        <v/>
      </c>
      <c r="DC96" s="66">
        <f>IF(CZ96=0,"",DA96/CZ96)</f>
        <v/>
      </c>
      <c r="DD96" s="35" t="n"/>
      <c r="DE96" s="65">
        <f>DE98+DE99+DE100+DE102+DE104+DE105+DE107+DE109+DE110+DE111+DE112+DE113+DE114+DE115+DE116+DE117+DE118+DE119+DE120+DE121+DE122</f>
        <v/>
      </c>
      <c r="DF96" s="65">
        <f>DF98+DF99+DF100+DF102+DF104+DF105+DF107+DF109+DF110+DF111+DF112+DF113+DF114+DF115+DF116+DF117+DF118+DF119+DF120+DF121+DF122</f>
        <v/>
      </c>
      <c r="DG96" s="65">
        <f>DF96-DE96</f>
        <v/>
      </c>
      <c r="DH96" s="66">
        <f>IF(DE96=0,"",DF96/DE96)</f>
        <v/>
      </c>
      <c r="DI96" s="35" t="n"/>
      <c r="DJ96" s="65">
        <f>DJ98+DJ99+DJ100+DJ102+DJ104+DJ105+DJ107+DJ109+DJ110+DJ111+DJ112+DJ113+DJ114+DJ115+DJ116+DJ117+DJ118+DJ119+DJ120+DJ121+DJ122</f>
        <v/>
      </c>
      <c r="DK96" s="65">
        <f>DK98+DK99+DK100+DK102+DK104+DK105+DK107+DK109+DK110+DK111+DK112+DK113+DK114+DK115+DK116+DK117+DK118+DK119+DK120+DK121+DK122</f>
        <v/>
      </c>
      <c r="DL96" s="65">
        <f>DK96-DJ96</f>
        <v/>
      </c>
      <c r="DM96" s="66">
        <f>IF(DJ96=0,"",DK96/DJ96)</f>
        <v/>
      </c>
      <c r="DN96" s="35" t="n"/>
      <c r="DO96" s="65">
        <f>DO98+DO99+DO100+DO102+DO104+DO105+DO107+DO109+DO110+DO111+DO112+DO113+DO114+DO115+DO116+DO117+DO118+DO119+DO120+DO121+DO122</f>
        <v/>
      </c>
    </row>
    <row r="97" ht="15" customHeight="1">
      <c r="A97" s="19" t="n"/>
      <c r="B97" s="20" t="n"/>
      <c r="C97" s="19" t="n"/>
      <c r="D97" s="58">
        <f>D98+D99+D100</f>
        <v/>
      </c>
      <c r="E97" s="58">
        <f>E98+E99+E100</f>
        <v/>
      </c>
      <c r="F97" s="58">
        <f>E97-D97</f>
        <v/>
      </c>
      <c r="G97" s="59">
        <f>IF(D97=0,"",E97/D97)</f>
        <v/>
      </c>
      <c r="H97" s="23" t="n"/>
      <c r="I97" s="58">
        <f>I98+I99+I100</f>
        <v/>
      </c>
      <c r="J97" s="58">
        <f>J98+J99+J100</f>
        <v/>
      </c>
      <c r="K97" s="58">
        <f>J97-I97</f>
        <v/>
      </c>
      <c r="L97" s="59">
        <f>IF(I97=0,"",J97/I97)</f>
        <v/>
      </c>
      <c r="M97" s="23" t="n"/>
      <c r="N97" s="58">
        <f>N98+N99+N100</f>
        <v/>
      </c>
      <c r="O97" s="58">
        <f>O98+O99+O100</f>
        <v/>
      </c>
      <c r="P97" s="58">
        <f>O97-N97</f>
        <v/>
      </c>
      <c r="Q97" s="59">
        <f>IF(N97=0,"",O97/N97)</f>
        <v/>
      </c>
      <c r="R97" s="23" t="n"/>
      <c r="S97" s="58">
        <f>S98+S99+S100</f>
        <v/>
      </c>
      <c r="T97" s="58">
        <f>T98+T99+T100</f>
        <v/>
      </c>
      <c r="U97" s="58">
        <f>T97-S97</f>
        <v/>
      </c>
      <c r="V97" s="59">
        <f>IF(S97=0,"",T97/S97)</f>
        <v/>
      </c>
      <c r="W97" s="23" t="n"/>
      <c r="X97" s="58">
        <f>X98+X99+X100</f>
        <v/>
      </c>
      <c r="Y97" s="58">
        <f>Y98+Y99+Y100</f>
        <v/>
      </c>
      <c r="Z97" s="58">
        <f>Y97-X97</f>
        <v/>
      </c>
      <c r="AA97" s="59">
        <f>IF(X97=0,"",Y97/X97)</f>
        <v/>
      </c>
      <c r="AB97" s="23" t="n"/>
      <c r="AC97" s="58">
        <f>AC98+AC99+AC100</f>
        <v/>
      </c>
      <c r="AD97" s="58">
        <f>AD98+AD99+AD100</f>
        <v/>
      </c>
      <c r="AE97" s="58">
        <f>AD97-AC97</f>
        <v/>
      </c>
      <c r="AF97" s="59">
        <f>IF(AC97=0,"",AD97/AC97)</f>
        <v/>
      </c>
      <c r="AG97" s="23" t="n"/>
      <c r="AH97" s="58">
        <f>AH98+AH99+AH100</f>
        <v/>
      </c>
      <c r="AI97" s="58">
        <f>AI98+AI99+AI100</f>
        <v/>
      </c>
      <c r="AJ97" s="58">
        <f>AI97-AH97</f>
        <v/>
      </c>
      <c r="AK97" s="59">
        <f>IF(AH97=0,"",AI97/AH97)</f>
        <v/>
      </c>
      <c r="AL97" s="23" t="n"/>
      <c r="AM97" s="58">
        <f>AM98+AM99+AM100</f>
        <v/>
      </c>
      <c r="AN97" s="58">
        <f>AN98+AN99+AN100</f>
        <v/>
      </c>
      <c r="AO97" s="58">
        <f>AN97-AM97</f>
        <v/>
      </c>
      <c r="AP97" s="59">
        <f>IF(AM97=0,"",AN97/AM97)</f>
        <v/>
      </c>
      <c r="AQ97" s="23" t="n"/>
      <c r="AR97" s="58">
        <f>AR98+AR99+AR100</f>
        <v/>
      </c>
      <c r="AS97" s="58">
        <f>AS98+AS99+AS100</f>
        <v/>
      </c>
      <c r="AT97" s="58">
        <f>AS97-AR97</f>
        <v/>
      </c>
      <c r="AU97" s="59">
        <f>IF(AR97=0,"",AS97/AR97)</f>
        <v/>
      </c>
      <c r="AV97" s="23" t="n"/>
      <c r="AW97" s="58">
        <f>AW98+AW99+AW100</f>
        <v/>
      </c>
      <c r="AX97" s="58">
        <f>AX98+AX99+AX100</f>
        <v/>
      </c>
      <c r="AY97" s="58">
        <f>AX97-AW97</f>
        <v/>
      </c>
      <c r="AZ97" s="59">
        <f>IF(AW97=0,"",AX97/AW97)</f>
        <v/>
      </c>
      <c r="BA97" s="23" t="n"/>
      <c r="BB97" s="58">
        <f>BB98+BB99+BB100</f>
        <v/>
      </c>
      <c r="BC97" s="58">
        <f>BC98+BC99+BC100</f>
        <v/>
      </c>
      <c r="BD97" s="58">
        <f>BC97-BB97</f>
        <v/>
      </c>
      <c r="BE97" s="59">
        <f>IF(BB97=0,"",BC97/BB97)</f>
        <v/>
      </c>
      <c r="BF97" s="23" t="n"/>
      <c r="BG97" s="58">
        <f>BG98+BG99+BG100</f>
        <v/>
      </c>
      <c r="BH97" s="58">
        <f>BH98+BH99+BH100</f>
        <v/>
      </c>
      <c r="BI97" s="58">
        <f>BH97-BG97</f>
        <v/>
      </c>
      <c r="BJ97" s="59">
        <f>IF(BG97=0,"",BH97/BG97)</f>
        <v/>
      </c>
      <c r="BK97" s="23" t="n"/>
      <c r="BL97" s="58">
        <f>BL98+BL99+BL100</f>
        <v/>
      </c>
      <c r="BM97" s="58">
        <f>BM98+BM99+BM100</f>
        <v/>
      </c>
      <c r="BN97" s="58">
        <f>BM97-BL97</f>
        <v/>
      </c>
      <c r="BO97" s="59">
        <f>IF(BL97=0,"",BM97/BL97)</f>
        <v/>
      </c>
      <c r="BP97" s="23" t="n"/>
      <c r="BQ97" s="58">
        <f>BQ98+BQ99+BQ100</f>
        <v/>
      </c>
      <c r="BR97" s="58">
        <f>BR98+BR99+BR100</f>
        <v/>
      </c>
      <c r="BS97" s="58">
        <f>BR97-BQ97</f>
        <v/>
      </c>
      <c r="BT97" s="59">
        <f>IF(BQ97=0,"",BR97/BQ97)</f>
        <v/>
      </c>
      <c r="BU97" s="23" t="n"/>
      <c r="BV97" s="58">
        <f>BV98+BV99+BV100</f>
        <v/>
      </c>
      <c r="BW97" s="58">
        <f>BW98+BW99+BW100</f>
        <v/>
      </c>
      <c r="BX97" s="58">
        <f>BW97-BV97</f>
        <v/>
      </c>
      <c r="BY97" s="59">
        <f>IF(BV97=0,"",BW97/BV97)</f>
        <v/>
      </c>
      <c r="BZ97" s="23" t="n"/>
      <c r="CA97" s="58">
        <f>CA98+CA99+CA100</f>
        <v/>
      </c>
      <c r="CB97" s="58">
        <f>CB98+CB99+CB100</f>
        <v/>
      </c>
      <c r="CC97" s="58">
        <f>CB97-CA97</f>
        <v/>
      </c>
      <c r="CD97" s="59">
        <f>IF(CA97=0,"",CB97/CA97)</f>
        <v/>
      </c>
      <c r="CE97" s="23" t="n"/>
      <c r="CF97" s="58">
        <f>CF98+CF99+CF100</f>
        <v/>
      </c>
      <c r="CG97" s="58">
        <f>CG98+CG99+CG100</f>
        <v/>
      </c>
      <c r="CH97" s="58">
        <f>CG97-CF97</f>
        <v/>
      </c>
      <c r="CI97" s="59">
        <f>IF(CF97=0,"",CG97/CF97)</f>
        <v/>
      </c>
      <c r="CJ97" s="23" t="n"/>
      <c r="CK97" s="58">
        <f>CK98+CK99+CK100</f>
        <v/>
      </c>
      <c r="CL97" s="58">
        <f>CL98+CL99+CL100</f>
        <v/>
      </c>
      <c r="CM97" s="58">
        <f>CL97-CK97</f>
        <v/>
      </c>
      <c r="CN97" s="59">
        <f>IF(CK97=0,"",CL97/CK97)</f>
        <v/>
      </c>
      <c r="CO97" s="23" t="n"/>
      <c r="CP97" s="58">
        <f>CP98+CP99+CP100</f>
        <v/>
      </c>
      <c r="CQ97" s="58">
        <f>CQ98+CQ99+CQ100</f>
        <v/>
      </c>
      <c r="CR97" s="58">
        <f>CQ97-CP97</f>
        <v/>
      </c>
      <c r="CS97" s="59">
        <f>IF(CP97=0,"",CQ97/CP97)</f>
        <v/>
      </c>
      <c r="CT97" s="23" t="n"/>
      <c r="CU97" s="58">
        <f>CU98+CU99+CU100</f>
        <v/>
      </c>
      <c r="CV97" s="58">
        <f>CV98+CV99+CV100</f>
        <v/>
      </c>
      <c r="CW97" s="58">
        <f>CV97-CU97</f>
        <v/>
      </c>
      <c r="CX97" s="59">
        <f>IF(CU97=0,"",CV97/CU97)</f>
        <v/>
      </c>
      <c r="CY97" s="23" t="n"/>
      <c r="CZ97" s="58">
        <f>CZ98+CZ99+CZ100</f>
        <v/>
      </c>
      <c r="DA97" s="58">
        <f>DA98+DA99+DA100</f>
        <v/>
      </c>
      <c r="DB97" s="58">
        <f>DA97-CZ97</f>
        <v/>
      </c>
      <c r="DC97" s="59">
        <f>IF(CZ97=0,"",DA97/CZ97)</f>
        <v/>
      </c>
      <c r="DD97" s="23" t="n"/>
      <c r="DE97" s="58">
        <f>DE98+DE99+DE100</f>
        <v/>
      </c>
      <c r="DF97" s="58">
        <f>DF98+DF99+DF100</f>
        <v/>
      </c>
      <c r="DG97" s="58">
        <f>DF97-DE97</f>
        <v/>
      </c>
      <c r="DH97" s="59">
        <f>IF(DE97=0,"",DF97/DE97)</f>
        <v/>
      </c>
      <c r="DI97" s="23" t="n"/>
      <c r="DJ97" s="58">
        <f>DJ98+DJ99+DJ100</f>
        <v/>
      </c>
      <c r="DK97" s="58">
        <f>DK98+DK99+DK100</f>
        <v/>
      </c>
      <c r="DL97" s="58">
        <f>DK97-DJ97</f>
        <v/>
      </c>
      <c r="DM97" s="59">
        <f>IF(DJ97=0,"",DK97/DJ97)</f>
        <v/>
      </c>
      <c r="DN97" s="23" t="n"/>
      <c r="DO97" s="58">
        <f>DO98+DO99+DO100</f>
        <v/>
      </c>
    </row>
    <row r="98" outlineLevel="1" ht="15" customHeight="1">
      <c r="A98" s="24" t="n"/>
      <c r="B98" s="24" t="n"/>
      <c r="C98" s="24" t="n"/>
      <c r="D98" s="60" t="n"/>
      <c r="E98" s="60" t="n"/>
      <c r="F98" s="60">
        <f>E98-D98</f>
        <v/>
      </c>
      <c r="G98" s="61">
        <f>IF(D98=0,"",E98/D98)</f>
        <v/>
      </c>
      <c r="H98" s="27" t="n"/>
      <c r="I98" s="60" t="n"/>
      <c r="J98" s="60" t="n"/>
      <c r="K98" s="60">
        <f>J98-I98</f>
        <v/>
      </c>
      <c r="L98" s="61">
        <f>IF(I98=0,"",J98/I98)</f>
        <v/>
      </c>
      <c r="M98" s="27" t="n"/>
      <c r="N98" s="62" t="n"/>
      <c r="O98" s="62" t="n"/>
      <c r="P98" s="63">
        <f>O98-N98</f>
        <v/>
      </c>
      <c r="Q98" s="64">
        <f>IF(N98=0,"",O98/N98)</f>
        <v/>
      </c>
      <c r="R98" s="31" t="n"/>
      <c r="S98" s="60" t="n"/>
      <c r="T98" s="60" t="n"/>
      <c r="U98" s="60">
        <f>T98-S98</f>
        <v/>
      </c>
      <c r="V98" s="61">
        <f>IF(S98=0,"",T98/S98)</f>
        <v/>
      </c>
      <c r="W98" s="27" t="n"/>
      <c r="X98" s="62" t="n"/>
      <c r="Y98" s="62" t="n"/>
      <c r="Z98" s="63">
        <f>Y98-X98</f>
        <v/>
      </c>
      <c r="AA98" s="64">
        <f>IF(X98=0,"",Y98/X98)</f>
        <v/>
      </c>
      <c r="AB98" s="31" t="n"/>
      <c r="AC98" s="60" t="n"/>
      <c r="AD98" s="60" t="n"/>
      <c r="AE98" s="60">
        <f>AD98-AC98</f>
        <v/>
      </c>
      <c r="AF98" s="61">
        <f>IF(AC98=0,"",AD98/AC98)</f>
        <v/>
      </c>
      <c r="AG98" s="27" t="n"/>
      <c r="AH98" s="62" t="n"/>
      <c r="AI98" s="62" t="n"/>
      <c r="AJ98" s="62">
        <f>AI98-AH98</f>
        <v/>
      </c>
      <c r="AK98" s="64">
        <f>IF(AH98=0,"",AI98/AH98)</f>
        <v/>
      </c>
      <c r="AL98" s="31" t="n"/>
      <c r="AM98" s="60" t="n"/>
      <c r="AN98" s="60" t="n"/>
      <c r="AO98" s="60">
        <f>AN98-AM98</f>
        <v/>
      </c>
      <c r="AP98" s="61">
        <f>IF(AM98=0,"",AN98/AM98)</f>
        <v/>
      </c>
      <c r="AQ98" s="27" t="n"/>
      <c r="AR98" s="62" t="n"/>
      <c r="AS98" s="62" t="n"/>
      <c r="AT98" s="62">
        <f>AS98-AR98</f>
        <v/>
      </c>
      <c r="AU98" s="64">
        <f>IF(AR98=0,"",AS98/AR98)</f>
        <v/>
      </c>
      <c r="AV98" s="31" t="n"/>
      <c r="AW98" s="60" t="n"/>
      <c r="AX98" s="60" t="n"/>
      <c r="AY98" s="60">
        <f>AX98-AW98</f>
        <v/>
      </c>
      <c r="AZ98" s="61">
        <f>IF(AW98=0,"",AX98/AW98)</f>
        <v/>
      </c>
      <c r="BA98" s="27" t="n"/>
      <c r="BB98" s="62" t="n"/>
      <c r="BC98" s="62" t="n"/>
      <c r="BD98" s="62">
        <f>BC98-BB98</f>
        <v/>
      </c>
      <c r="BE98" s="64">
        <f>IF(BB98=0,"",BC98/BB98)</f>
        <v/>
      </c>
      <c r="BF98" s="31" t="n"/>
      <c r="BG98" s="60" t="n"/>
      <c r="BH98" s="60" t="n"/>
      <c r="BI98" s="60">
        <f>BH98-BG98</f>
        <v/>
      </c>
      <c r="BJ98" s="61">
        <f>IF(BG98=0,"",BH98/BG98)</f>
        <v/>
      </c>
      <c r="BK98" s="27" t="n"/>
      <c r="BL98" s="62" t="n"/>
      <c r="BM98" s="62" t="n"/>
      <c r="BN98" s="62">
        <f>BM98-BL98</f>
        <v/>
      </c>
      <c r="BO98" s="64">
        <f>IF(BL98=0,"",BM98/BL98)</f>
        <v/>
      </c>
      <c r="BP98" s="31" t="n"/>
      <c r="BQ98" s="60" t="n"/>
      <c r="BR98" s="60" t="n"/>
      <c r="BS98" s="60">
        <f>BR98-BQ98</f>
        <v/>
      </c>
      <c r="BT98" s="61">
        <f>IF(BQ98=0,"",BR98/BQ98)</f>
        <v/>
      </c>
      <c r="BU98" s="27" t="n"/>
      <c r="BV98" s="62" t="n"/>
      <c r="BW98" s="62" t="n"/>
      <c r="BX98" s="62">
        <f>BW98-BV98</f>
        <v/>
      </c>
      <c r="BY98" s="64">
        <f>IF(BV98=0,"",BW98/BV98)</f>
        <v/>
      </c>
      <c r="BZ98" s="31" t="n"/>
      <c r="CA98" s="60" t="n"/>
      <c r="CB98" s="60" t="n"/>
      <c r="CC98" s="60">
        <f>CB98-CA98</f>
        <v/>
      </c>
      <c r="CD98" s="61">
        <f>IF(CA98=0,"",CB98/CA98)</f>
        <v/>
      </c>
      <c r="CE98" s="27" t="n"/>
      <c r="CF98" s="62" t="n"/>
      <c r="CG98" s="62" t="n"/>
      <c r="CH98" s="62">
        <f>CG98-CF98</f>
        <v/>
      </c>
      <c r="CI98" s="64">
        <f>IF(CF98=0,"",CG98/CF98)</f>
        <v/>
      </c>
      <c r="CJ98" s="31" t="n"/>
      <c r="CK98" s="60" t="n"/>
      <c r="CL98" s="60" t="n"/>
      <c r="CM98" s="60">
        <f>CL98-CK98</f>
        <v/>
      </c>
      <c r="CN98" s="61">
        <f>IF(CK98=0,"",CL98/CK98)</f>
        <v/>
      </c>
      <c r="CO98" s="27" t="n"/>
      <c r="CP98" s="62" t="n"/>
      <c r="CQ98" s="62" t="n"/>
      <c r="CR98" s="62">
        <f>CQ98-CP98</f>
        <v/>
      </c>
      <c r="CS98" s="64">
        <f>IF(CP98=0,"",CQ98/CP98)</f>
        <v/>
      </c>
      <c r="CT98" s="31" t="n"/>
      <c r="CU98" s="60" t="n"/>
      <c r="CV98" s="60" t="n"/>
      <c r="CW98" s="60">
        <f>CV98-CU98</f>
        <v/>
      </c>
      <c r="CX98" s="61">
        <f>IF(CU98=0,"",CV98/CU98)</f>
        <v/>
      </c>
      <c r="CY98" s="27" t="n"/>
      <c r="CZ98" s="62" t="n"/>
      <c r="DA98" s="62" t="n"/>
      <c r="DB98" s="62">
        <f>DA98-CZ98</f>
        <v/>
      </c>
      <c r="DC98" s="64">
        <f>IF(CZ98=0,"",DA98/CZ98)</f>
        <v/>
      </c>
      <c r="DD98" s="31" t="n"/>
      <c r="DE98" s="60" t="n"/>
      <c r="DF98" s="60" t="n"/>
      <c r="DG98" s="60">
        <f>DF98-DE98</f>
        <v/>
      </c>
      <c r="DH98" s="61">
        <f>IF(DE98=0,"",DF98/DE98)</f>
        <v/>
      </c>
      <c r="DI98" s="27" t="n"/>
      <c r="DJ98" s="62" t="n"/>
      <c r="DK98" s="62" t="n"/>
      <c r="DL98" s="62">
        <f>DK98-DJ98</f>
        <v/>
      </c>
      <c r="DM98" s="64">
        <f>IF(DJ98=0,"",DK98/DJ98)</f>
        <v/>
      </c>
      <c r="DN98" s="31" t="n"/>
      <c r="DO98" s="60" t="n"/>
    </row>
    <row r="99" outlineLevel="1" ht="15" customHeight="1">
      <c r="A99" s="24" t="n"/>
      <c r="B99" s="24" t="n"/>
      <c r="C99" s="24" t="n"/>
      <c r="D99" s="60" t="n"/>
      <c r="E99" s="60" t="n"/>
      <c r="F99" s="60">
        <f>E99-D99</f>
        <v/>
      </c>
      <c r="G99" s="61">
        <f>IF(D99=0,"",E99/D99)</f>
        <v/>
      </c>
      <c r="H99" s="27" t="n"/>
      <c r="I99" s="60" t="n"/>
      <c r="J99" s="60" t="n"/>
      <c r="K99" s="60">
        <f>J99-I99</f>
        <v/>
      </c>
      <c r="L99" s="61">
        <f>IF(I99=0,"",J99/I99)</f>
        <v/>
      </c>
      <c r="M99" s="27" t="n"/>
      <c r="N99" s="62" t="n"/>
      <c r="O99" s="62" t="n"/>
      <c r="P99" s="62">
        <f>O99-N99</f>
        <v/>
      </c>
      <c r="Q99" s="64">
        <f>IF(N99=0,"",O99/N99)</f>
        <v/>
      </c>
      <c r="R99" s="31" t="n"/>
      <c r="S99" s="60" t="n"/>
      <c r="T99" s="60" t="n"/>
      <c r="U99" s="60">
        <f>T99-S99</f>
        <v/>
      </c>
      <c r="V99" s="61">
        <f>IF(S99=0,"",T99/S99)</f>
        <v/>
      </c>
      <c r="W99" s="27" t="n"/>
      <c r="X99" s="62" t="n"/>
      <c r="Y99" s="62" t="n"/>
      <c r="Z99" s="62">
        <f>Y99-X99</f>
        <v/>
      </c>
      <c r="AA99" s="64">
        <f>IF(X99=0,"",Y99/X99)</f>
        <v/>
      </c>
      <c r="AB99" s="31" t="n"/>
      <c r="AC99" s="60" t="n"/>
      <c r="AD99" s="60" t="n"/>
      <c r="AE99" s="60">
        <f>AD99-AC99</f>
        <v/>
      </c>
      <c r="AF99" s="61">
        <f>IF(AC99=0,"",AD99/AC99)</f>
        <v/>
      </c>
      <c r="AG99" s="27" t="n"/>
      <c r="AH99" s="62" t="n"/>
      <c r="AI99" s="62" t="n"/>
      <c r="AJ99" s="62">
        <f>AI99-AH99</f>
        <v/>
      </c>
      <c r="AK99" s="64">
        <f>IF(AH99=0,"",AI99/AH99)</f>
        <v/>
      </c>
      <c r="AL99" s="31" t="n"/>
      <c r="AM99" s="60" t="n"/>
      <c r="AN99" s="60" t="n"/>
      <c r="AO99" s="60">
        <f>AN99-AM99</f>
        <v/>
      </c>
      <c r="AP99" s="61">
        <f>IF(AM99=0,"",AN99/AM99)</f>
        <v/>
      </c>
      <c r="AQ99" s="27" t="n"/>
      <c r="AR99" s="62" t="n"/>
      <c r="AS99" s="62" t="n"/>
      <c r="AT99" s="62">
        <f>AS99-AR99</f>
        <v/>
      </c>
      <c r="AU99" s="64">
        <f>IF(AR99=0,"",AS99/AR99)</f>
        <v/>
      </c>
      <c r="AV99" s="31" t="n"/>
      <c r="AW99" s="60" t="n"/>
      <c r="AX99" s="60" t="n"/>
      <c r="AY99" s="60">
        <f>AX99-AW99</f>
        <v/>
      </c>
      <c r="AZ99" s="61">
        <f>IF(AW99=0,"",AX99/AW99)</f>
        <v/>
      </c>
      <c r="BA99" s="27" t="n"/>
      <c r="BB99" s="62" t="n"/>
      <c r="BC99" s="62" t="n"/>
      <c r="BD99" s="62">
        <f>BC99-BB99</f>
        <v/>
      </c>
      <c r="BE99" s="64">
        <f>IF(BB99=0,"",BC99/BB99)</f>
        <v/>
      </c>
      <c r="BF99" s="31" t="n"/>
      <c r="BG99" s="60" t="n"/>
      <c r="BH99" s="60" t="n"/>
      <c r="BI99" s="60">
        <f>BH99-BG99</f>
        <v/>
      </c>
      <c r="BJ99" s="61">
        <f>IF(BG99=0,"",BH99/BG99)</f>
        <v/>
      </c>
      <c r="BK99" s="27" t="n"/>
      <c r="BL99" s="62" t="n"/>
      <c r="BM99" s="62" t="n"/>
      <c r="BN99" s="62">
        <f>BM99-BL99</f>
        <v/>
      </c>
      <c r="BO99" s="64">
        <f>IF(BL99=0,"",BM99/BL99)</f>
        <v/>
      </c>
      <c r="BP99" s="31" t="n"/>
      <c r="BQ99" s="60" t="n"/>
      <c r="BR99" s="60" t="n"/>
      <c r="BS99" s="60">
        <f>BR99-BQ99</f>
        <v/>
      </c>
      <c r="BT99" s="61">
        <f>IF(BQ99=0,"",BR99/BQ99)</f>
        <v/>
      </c>
      <c r="BU99" s="27" t="n"/>
      <c r="BV99" s="62" t="n"/>
      <c r="BW99" s="62" t="n"/>
      <c r="BX99" s="62">
        <f>BW99-BV99</f>
        <v/>
      </c>
      <c r="BY99" s="64">
        <f>IF(BV99=0,"",BW99/BV99)</f>
        <v/>
      </c>
      <c r="BZ99" s="31" t="n"/>
      <c r="CA99" s="60" t="n"/>
      <c r="CB99" s="60" t="n"/>
      <c r="CC99" s="60">
        <f>CB99-CA99</f>
        <v/>
      </c>
      <c r="CD99" s="61">
        <f>IF(CA99=0,"",CB99/CA99)</f>
        <v/>
      </c>
      <c r="CE99" s="27" t="n"/>
      <c r="CF99" s="62" t="n"/>
      <c r="CG99" s="62" t="n"/>
      <c r="CH99" s="62">
        <f>CG99-CF99</f>
        <v/>
      </c>
      <c r="CI99" s="64">
        <f>IF(CF99=0,"",CG99/CF99)</f>
        <v/>
      </c>
      <c r="CJ99" s="31" t="n"/>
      <c r="CK99" s="60" t="n"/>
      <c r="CL99" s="60" t="n"/>
      <c r="CM99" s="60">
        <f>CL99-CK99</f>
        <v/>
      </c>
      <c r="CN99" s="61">
        <f>IF(CK99=0,"",CL99/CK99)</f>
        <v/>
      </c>
      <c r="CO99" s="27" t="n"/>
      <c r="CP99" s="62" t="n"/>
      <c r="CQ99" s="62" t="n"/>
      <c r="CR99" s="62">
        <f>CQ99-CP99</f>
        <v/>
      </c>
      <c r="CS99" s="64">
        <f>IF(CP99=0,"",CQ99/CP99)</f>
        <v/>
      </c>
      <c r="CT99" s="31" t="n"/>
      <c r="CU99" s="60" t="n"/>
      <c r="CV99" s="60" t="n"/>
      <c r="CW99" s="60">
        <f>CV99-CU99</f>
        <v/>
      </c>
      <c r="CX99" s="61">
        <f>IF(CU99=0,"",CV99/CU99)</f>
        <v/>
      </c>
      <c r="CY99" s="27" t="n"/>
      <c r="CZ99" s="62" t="n"/>
      <c r="DA99" s="62" t="n"/>
      <c r="DB99" s="62">
        <f>DA99-CZ99</f>
        <v/>
      </c>
      <c r="DC99" s="64">
        <f>IF(CZ99=0,"",DA99/CZ99)</f>
        <v/>
      </c>
      <c r="DD99" s="31" t="n"/>
      <c r="DE99" s="60" t="n"/>
      <c r="DF99" s="60" t="n"/>
      <c r="DG99" s="60">
        <f>DF99-DE99</f>
        <v/>
      </c>
      <c r="DH99" s="61">
        <f>IF(DE99=0,"",DF99/DE99)</f>
        <v/>
      </c>
      <c r="DI99" s="27" t="n"/>
      <c r="DJ99" s="62" t="n"/>
      <c r="DK99" s="62" t="n"/>
      <c r="DL99" s="62">
        <f>DK99-DJ99</f>
        <v/>
      </c>
      <c r="DM99" s="64">
        <f>IF(DJ99=0,"",DK99/DJ99)</f>
        <v/>
      </c>
      <c r="DN99" s="31" t="n"/>
      <c r="DO99" s="60" t="n"/>
    </row>
    <row r="100" outlineLevel="1" ht="15" customHeight="1">
      <c r="A100" s="24" t="n"/>
      <c r="B100" s="24" t="n"/>
      <c r="C100" s="24" t="n"/>
      <c r="D100" s="60" t="n"/>
      <c r="E100" s="60" t="n"/>
      <c r="F100" s="60">
        <f>E100-D100</f>
        <v/>
      </c>
      <c r="G100" s="61">
        <f>IF(D100=0,"",E100/D100)</f>
        <v/>
      </c>
      <c r="H100" s="27" t="n"/>
      <c r="I100" s="60" t="n"/>
      <c r="J100" s="60" t="n"/>
      <c r="K100" s="60">
        <f>J100-I100</f>
        <v/>
      </c>
      <c r="L100" s="61">
        <f>IF(I100=0,"",J100/I100)</f>
        <v/>
      </c>
      <c r="M100" s="27" t="n"/>
      <c r="N100" s="62" t="n"/>
      <c r="O100" s="62" t="n"/>
      <c r="P100" s="62">
        <f>O100-N100</f>
        <v/>
      </c>
      <c r="Q100" s="64">
        <f>IF(N100=0,"",O100/N100)</f>
        <v/>
      </c>
      <c r="R100" s="31" t="n"/>
      <c r="S100" s="60" t="n"/>
      <c r="T100" s="60" t="n"/>
      <c r="U100" s="60">
        <f>T100-S100</f>
        <v/>
      </c>
      <c r="V100" s="61">
        <f>IF(S100=0,"",T100/S100)</f>
        <v/>
      </c>
      <c r="W100" s="27" t="n"/>
      <c r="X100" s="62" t="n"/>
      <c r="Y100" s="62" t="n"/>
      <c r="Z100" s="62">
        <f>Y100-X100</f>
        <v/>
      </c>
      <c r="AA100" s="64">
        <f>IF(X100=0,"",Y100/X100)</f>
        <v/>
      </c>
      <c r="AB100" s="31" t="n"/>
      <c r="AC100" s="60" t="n"/>
      <c r="AD100" s="60" t="n"/>
      <c r="AE100" s="60">
        <f>AD100-AC100</f>
        <v/>
      </c>
      <c r="AF100" s="61">
        <f>IF(AC100=0,"",AD100/AC100)</f>
        <v/>
      </c>
      <c r="AG100" s="27" t="n"/>
      <c r="AH100" s="62" t="n"/>
      <c r="AI100" s="62" t="n"/>
      <c r="AJ100" s="62">
        <f>AI100-AH100</f>
        <v/>
      </c>
      <c r="AK100" s="64">
        <f>IF(AH100=0,"",AI100/AH100)</f>
        <v/>
      </c>
      <c r="AL100" s="31" t="n"/>
      <c r="AM100" s="60" t="n"/>
      <c r="AN100" s="60" t="n"/>
      <c r="AO100" s="60">
        <f>AN100-AM100</f>
        <v/>
      </c>
      <c r="AP100" s="61">
        <f>IF(AM100=0,"",AN100/AM100)</f>
        <v/>
      </c>
      <c r="AQ100" s="27" t="n"/>
      <c r="AR100" s="62" t="n"/>
      <c r="AS100" s="62" t="n"/>
      <c r="AT100" s="62">
        <f>AS100-AR100</f>
        <v/>
      </c>
      <c r="AU100" s="64">
        <f>IF(AR100=0,"",AS100/AR100)</f>
        <v/>
      </c>
      <c r="AV100" s="31" t="n"/>
      <c r="AW100" s="60" t="n"/>
      <c r="AX100" s="60" t="n"/>
      <c r="AY100" s="60">
        <f>AX100-AW100</f>
        <v/>
      </c>
      <c r="AZ100" s="61">
        <f>IF(AW100=0,"",AX100/AW100)</f>
        <v/>
      </c>
      <c r="BA100" s="27" t="n"/>
      <c r="BB100" s="62" t="n"/>
      <c r="BC100" s="62" t="n"/>
      <c r="BD100" s="62">
        <f>BC100-BB100</f>
        <v/>
      </c>
      <c r="BE100" s="64">
        <f>IF(BB100=0,"",BC100/BB100)</f>
        <v/>
      </c>
      <c r="BF100" s="31" t="n"/>
      <c r="BG100" s="60" t="n"/>
      <c r="BH100" s="60" t="n"/>
      <c r="BI100" s="60">
        <f>BH100-BG100</f>
        <v/>
      </c>
      <c r="BJ100" s="61">
        <f>IF(BG100=0,"",BH100/BG100)</f>
        <v/>
      </c>
      <c r="BK100" s="27" t="n"/>
      <c r="BL100" s="62" t="n"/>
      <c r="BM100" s="62" t="n"/>
      <c r="BN100" s="62">
        <f>BM100-BL100</f>
        <v/>
      </c>
      <c r="BO100" s="64">
        <f>IF(BL100=0,"",BM100/BL100)</f>
        <v/>
      </c>
      <c r="BP100" s="31" t="n"/>
      <c r="BQ100" s="60" t="n"/>
      <c r="BR100" s="60" t="n"/>
      <c r="BS100" s="60">
        <f>BR100-BQ100</f>
        <v/>
      </c>
      <c r="BT100" s="61">
        <f>IF(BQ100=0,"",BR100/BQ100)</f>
        <v/>
      </c>
      <c r="BU100" s="27" t="n"/>
      <c r="BV100" s="62" t="n"/>
      <c r="BW100" s="62" t="n"/>
      <c r="BX100" s="62">
        <f>BW100-BV100</f>
        <v/>
      </c>
      <c r="BY100" s="64">
        <f>IF(BV100=0,"",BW100/BV100)</f>
        <v/>
      </c>
      <c r="BZ100" s="31" t="n"/>
      <c r="CA100" s="60" t="n"/>
      <c r="CB100" s="60" t="n"/>
      <c r="CC100" s="60">
        <f>CB100-CA100</f>
        <v/>
      </c>
      <c r="CD100" s="61">
        <f>IF(CA100=0,"",CB100/CA100)</f>
        <v/>
      </c>
      <c r="CE100" s="27" t="n"/>
      <c r="CF100" s="62" t="n"/>
      <c r="CG100" s="62" t="n"/>
      <c r="CH100" s="62">
        <f>CG100-CF100</f>
        <v/>
      </c>
      <c r="CI100" s="64">
        <f>IF(CF100=0,"",CG100/CF100)</f>
        <v/>
      </c>
      <c r="CJ100" s="31" t="n"/>
      <c r="CK100" s="60" t="n"/>
      <c r="CL100" s="60" t="n"/>
      <c r="CM100" s="60">
        <f>CL100-CK100</f>
        <v/>
      </c>
      <c r="CN100" s="61">
        <f>IF(CK100=0,"",CL100/CK100)</f>
        <v/>
      </c>
      <c r="CO100" s="27" t="n"/>
      <c r="CP100" s="62" t="n"/>
      <c r="CQ100" s="62" t="n"/>
      <c r="CR100" s="62">
        <f>CQ100-CP100</f>
        <v/>
      </c>
      <c r="CS100" s="64">
        <f>IF(CP100=0,"",CQ100/CP100)</f>
        <v/>
      </c>
      <c r="CT100" s="31" t="n"/>
      <c r="CU100" s="60" t="n"/>
      <c r="CV100" s="60" t="n"/>
      <c r="CW100" s="60">
        <f>CV100-CU100</f>
        <v/>
      </c>
      <c r="CX100" s="61">
        <f>IF(CU100=0,"",CV100/CU100)</f>
        <v/>
      </c>
      <c r="CY100" s="27" t="n"/>
      <c r="CZ100" s="62" t="n"/>
      <c r="DA100" s="62" t="n"/>
      <c r="DB100" s="62">
        <f>DA100-CZ100</f>
        <v/>
      </c>
      <c r="DC100" s="64">
        <f>IF(CZ100=0,"",DA100/CZ100)</f>
        <v/>
      </c>
      <c r="DD100" s="31" t="n"/>
      <c r="DE100" s="60" t="n"/>
      <c r="DF100" s="60" t="n"/>
      <c r="DG100" s="60">
        <f>DF100-DE100</f>
        <v/>
      </c>
      <c r="DH100" s="61">
        <f>IF(DE100=0,"",DF100/DE100)</f>
        <v/>
      </c>
      <c r="DI100" s="27" t="n"/>
      <c r="DJ100" s="62" t="n"/>
      <c r="DK100" s="62" t="n"/>
      <c r="DL100" s="62">
        <f>DK100-DJ100</f>
        <v/>
      </c>
      <c r="DM100" s="64">
        <f>IF(DJ100=0,"",DK100/DJ100)</f>
        <v/>
      </c>
      <c r="DN100" s="31" t="n"/>
      <c r="DO100" s="60" t="n"/>
    </row>
    <row r="101" ht="15" customHeight="1">
      <c r="A101" s="19" t="n"/>
      <c r="B101" s="20" t="n"/>
      <c r="C101" s="19" t="n"/>
      <c r="D101" s="58">
        <f>D102</f>
        <v/>
      </c>
      <c r="E101" s="58">
        <f>E102</f>
        <v/>
      </c>
      <c r="F101" s="58">
        <f>E101-D101</f>
        <v/>
      </c>
      <c r="G101" s="59">
        <f>IF(D101=0,"",E101/D101)</f>
        <v/>
      </c>
      <c r="H101" s="23" t="n"/>
      <c r="I101" s="58">
        <f>I102</f>
        <v/>
      </c>
      <c r="J101" s="58">
        <f>J102</f>
        <v/>
      </c>
      <c r="K101" s="58">
        <f>J101-I101</f>
        <v/>
      </c>
      <c r="L101" s="59">
        <f>IF(I101=0,"",J101/I101)</f>
        <v/>
      </c>
      <c r="M101" s="23" t="n"/>
      <c r="N101" s="58">
        <f>N102</f>
        <v/>
      </c>
      <c r="O101" s="58">
        <f>O102</f>
        <v/>
      </c>
      <c r="P101" s="58">
        <f>O101-N101</f>
        <v/>
      </c>
      <c r="Q101" s="59">
        <f>IF(N101=0,"",O101/N101)</f>
        <v/>
      </c>
      <c r="R101" s="23" t="n"/>
      <c r="S101" s="58">
        <f>S102</f>
        <v/>
      </c>
      <c r="T101" s="58">
        <f>T102</f>
        <v/>
      </c>
      <c r="U101" s="58">
        <f>T101-S101</f>
        <v/>
      </c>
      <c r="V101" s="59">
        <f>IF(S101=0,"",T101/S101)</f>
        <v/>
      </c>
      <c r="W101" s="23" t="n"/>
      <c r="X101" s="58">
        <f>X102</f>
        <v/>
      </c>
      <c r="Y101" s="58">
        <f>Y102</f>
        <v/>
      </c>
      <c r="Z101" s="58">
        <f>Y101-X101</f>
        <v/>
      </c>
      <c r="AA101" s="59">
        <f>IF(X101=0,"",Y101/X101)</f>
        <v/>
      </c>
      <c r="AB101" s="23" t="n"/>
      <c r="AC101" s="58">
        <f>AC102</f>
        <v/>
      </c>
      <c r="AD101" s="58">
        <f>AD102</f>
        <v/>
      </c>
      <c r="AE101" s="58">
        <f>AD101-AC101</f>
        <v/>
      </c>
      <c r="AF101" s="59">
        <f>IF(AC101=0,"",AD101/AC101)</f>
        <v/>
      </c>
      <c r="AG101" s="23" t="n"/>
      <c r="AH101" s="58">
        <f>AH102</f>
        <v/>
      </c>
      <c r="AI101" s="58">
        <f>AI102</f>
        <v/>
      </c>
      <c r="AJ101" s="58">
        <f>AI101-AH101</f>
        <v/>
      </c>
      <c r="AK101" s="59">
        <f>IF(AH101=0,"",AI101/AH101)</f>
        <v/>
      </c>
      <c r="AL101" s="23" t="n"/>
      <c r="AM101" s="58">
        <f>AM102</f>
        <v/>
      </c>
      <c r="AN101" s="58">
        <f>AN102</f>
        <v/>
      </c>
      <c r="AO101" s="58">
        <f>AN101-AM101</f>
        <v/>
      </c>
      <c r="AP101" s="59">
        <f>IF(AM101=0,"",AN101/AM101)</f>
        <v/>
      </c>
      <c r="AQ101" s="23" t="n"/>
      <c r="AR101" s="58">
        <f>AR102</f>
        <v/>
      </c>
      <c r="AS101" s="58">
        <f>AS102</f>
        <v/>
      </c>
      <c r="AT101" s="58">
        <f>AS101-AR101</f>
        <v/>
      </c>
      <c r="AU101" s="59">
        <f>IF(AR101=0,"",AS101/AR101)</f>
        <v/>
      </c>
      <c r="AV101" s="23" t="n"/>
      <c r="AW101" s="58">
        <f>AW102</f>
        <v/>
      </c>
      <c r="AX101" s="58">
        <f>AX102</f>
        <v/>
      </c>
      <c r="AY101" s="58">
        <f>AX101-AW101</f>
        <v/>
      </c>
      <c r="AZ101" s="59">
        <f>IF(AW101=0,"",AX101/AW101)</f>
        <v/>
      </c>
      <c r="BA101" s="23" t="n"/>
      <c r="BB101" s="58">
        <f>BB102</f>
        <v/>
      </c>
      <c r="BC101" s="58">
        <f>BC102</f>
        <v/>
      </c>
      <c r="BD101" s="58">
        <f>BC101-BB101</f>
        <v/>
      </c>
      <c r="BE101" s="59">
        <f>IF(BB101=0,"",BC101/BB101)</f>
        <v/>
      </c>
      <c r="BF101" s="23" t="n"/>
      <c r="BG101" s="58">
        <f>BG102</f>
        <v/>
      </c>
      <c r="BH101" s="58">
        <f>BH102</f>
        <v/>
      </c>
      <c r="BI101" s="58">
        <f>BH101-BG101</f>
        <v/>
      </c>
      <c r="BJ101" s="59">
        <f>IF(BG101=0,"",BH101/BG101)</f>
        <v/>
      </c>
      <c r="BK101" s="23" t="n"/>
      <c r="BL101" s="58">
        <f>BL102</f>
        <v/>
      </c>
      <c r="BM101" s="58">
        <f>BM102</f>
        <v/>
      </c>
      <c r="BN101" s="58">
        <f>BM101-BL101</f>
        <v/>
      </c>
      <c r="BO101" s="59">
        <f>IF(BL101=0,"",BM101/BL101)</f>
        <v/>
      </c>
      <c r="BP101" s="23" t="n"/>
      <c r="BQ101" s="58">
        <f>BQ102</f>
        <v/>
      </c>
      <c r="BR101" s="58">
        <f>BR102</f>
        <v/>
      </c>
      <c r="BS101" s="58">
        <f>BR101-BQ101</f>
        <v/>
      </c>
      <c r="BT101" s="59">
        <f>IF(BQ101=0,"",BR101/BQ101)</f>
        <v/>
      </c>
      <c r="BU101" s="23" t="n"/>
      <c r="BV101" s="58">
        <f>BV102</f>
        <v/>
      </c>
      <c r="BW101" s="58">
        <f>BW102</f>
        <v/>
      </c>
      <c r="BX101" s="58">
        <f>BW101-BV101</f>
        <v/>
      </c>
      <c r="BY101" s="59">
        <f>IF(BV101=0,"",BW101/BV101)</f>
        <v/>
      </c>
      <c r="BZ101" s="23" t="n"/>
      <c r="CA101" s="58">
        <f>CA102</f>
        <v/>
      </c>
      <c r="CB101" s="58">
        <f>CB102</f>
        <v/>
      </c>
      <c r="CC101" s="58">
        <f>CB101-CA101</f>
        <v/>
      </c>
      <c r="CD101" s="59">
        <f>IF(CA101=0,"",CB101/CA101)</f>
        <v/>
      </c>
      <c r="CE101" s="23" t="n"/>
      <c r="CF101" s="58">
        <f>CF102</f>
        <v/>
      </c>
      <c r="CG101" s="58">
        <f>CG102</f>
        <v/>
      </c>
      <c r="CH101" s="58">
        <f>CG101-CF101</f>
        <v/>
      </c>
      <c r="CI101" s="59">
        <f>IF(CF101=0,"",CG101/CF101)</f>
        <v/>
      </c>
      <c r="CJ101" s="23" t="n"/>
      <c r="CK101" s="58">
        <f>CK102</f>
        <v/>
      </c>
      <c r="CL101" s="58">
        <f>CL102</f>
        <v/>
      </c>
      <c r="CM101" s="58">
        <f>CL101-CK101</f>
        <v/>
      </c>
      <c r="CN101" s="59">
        <f>IF(CK101=0,"",CL101/CK101)</f>
        <v/>
      </c>
      <c r="CO101" s="23" t="n"/>
      <c r="CP101" s="58">
        <f>CP102</f>
        <v/>
      </c>
      <c r="CQ101" s="58">
        <f>CQ102</f>
        <v/>
      </c>
      <c r="CR101" s="58">
        <f>CQ101-CP101</f>
        <v/>
      </c>
      <c r="CS101" s="59">
        <f>IF(CP101=0,"",CQ101/CP101)</f>
        <v/>
      </c>
      <c r="CT101" s="23" t="n"/>
      <c r="CU101" s="58">
        <f>CU102</f>
        <v/>
      </c>
      <c r="CV101" s="58">
        <f>CV102</f>
        <v/>
      </c>
      <c r="CW101" s="58">
        <f>CV101-CU101</f>
        <v/>
      </c>
      <c r="CX101" s="59">
        <f>IF(CU101=0,"",CV101/CU101)</f>
        <v/>
      </c>
      <c r="CY101" s="23" t="n"/>
      <c r="CZ101" s="58">
        <f>CZ102</f>
        <v/>
      </c>
      <c r="DA101" s="58">
        <f>DA102</f>
        <v/>
      </c>
      <c r="DB101" s="58">
        <f>DA101-CZ101</f>
        <v/>
      </c>
      <c r="DC101" s="59">
        <f>IF(CZ101=0,"",DA101/CZ101)</f>
        <v/>
      </c>
      <c r="DD101" s="23" t="n"/>
      <c r="DE101" s="58">
        <f>DE102</f>
        <v/>
      </c>
      <c r="DF101" s="58">
        <f>DF102</f>
        <v/>
      </c>
      <c r="DG101" s="58">
        <f>DF101-DE101</f>
        <v/>
      </c>
      <c r="DH101" s="59">
        <f>IF(DE101=0,"",DF101/DE101)</f>
        <v/>
      </c>
      <c r="DI101" s="23" t="n"/>
      <c r="DJ101" s="58">
        <f>DJ102</f>
        <v/>
      </c>
      <c r="DK101" s="58">
        <f>DK102</f>
        <v/>
      </c>
      <c r="DL101" s="58">
        <f>DK101-DJ101</f>
        <v/>
      </c>
      <c r="DM101" s="59">
        <f>IF(DJ101=0,"",DK101/DJ101)</f>
        <v/>
      </c>
      <c r="DN101" s="23" t="n"/>
      <c r="DO101" s="58">
        <f>DO102</f>
        <v/>
      </c>
    </row>
    <row r="102" outlineLevel="1" ht="15" customHeight="1">
      <c r="A102" s="24" t="n"/>
      <c r="B102" s="24" t="n"/>
      <c r="C102" s="24" t="n"/>
      <c r="D102" s="60" t="n"/>
      <c r="E102" s="60" t="n"/>
      <c r="F102" s="60">
        <f>E102-D102</f>
        <v/>
      </c>
      <c r="G102" s="61">
        <f>IF(D102=0,"",E102/D102)</f>
        <v/>
      </c>
      <c r="H102" s="27" t="n"/>
      <c r="I102" s="60" t="n"/>
      <c r="J102" s="60" t="n"/>
      <c r="K102" s="60">
        <f>J102-I102</f>
        <v/>
      </c>
      <c r="L102" s="61">
        <f>IF(I102=0,"",J102/I102)</f>
        <v/>
      </c>
      <c r="M102" s="27" t="n"/>
      <c r="N102" s="62" t="n"/>
      <c r="O102" s="62" t="n"/>
      <c r="P102" s="62">
        <f>O102-N102</f>
        <v/>
      </c>
      <c r="Q102" s="64">
        <f>IF(N102=0,"",O102/N102)</f>
        <v/>
      </c>
      <c r="R102" s="31" t="n"/>
      <c r="S102" s="60" t="n"/>
      <c r="T102" s="60" t="n"/>
      <c r="U102" s="60">
        <f>T102-S102</f>
        <v/>
      </c>
      <c r="V102" s="61">
        <f>IF(S102=0,"",T102/S102)</f>
        <v/>
      </c>
      <c r="W102" s="27" t="n"/>
      <c r="X102" s="62" t="n"/>
      <c r="Y102" s="62" t="n"/>
      <c r="Z102" s="62">
        <f>Y102-X102</f>
        <v/>
      </c>
      <c r="AA102" s="64">
        <f>IF(X102=0,"",Y102/X102)</f>
        <v/>
      </c>
      <c r="AB102" s="31" t="n"/>
      <c r="AC102" s="60" t="n"/>
      <c r="AD102" s="60" t="n"/>
      <c r="AE102" s="60">
        <f>AD102-AC102</f>
        <v/>
      </c>
      <c r="AF102" s="61">
        <f>IF(AC102=0,"",AD102/AC102)</f>
        <v/>
      </c>
      <c r="AG102" s="27" t="n"/>
      <c r="AH102" s="62" t="n"/>
      <c r="AI102" s="62" t="n"/>
      <c r="AJ102" s="62">
        <f>AI102-AH102</f>
        <v/>
      </c>
      <c r="AK102" s="64">
        <f>IF(AH102=0,"",AI102/AH102)</f>
        <v/>
      </c>
      <c r="AL102" s="31" t="n"/>
      <c r="AM102" s="60" t="n"/>
      <c r="AN102" s="60" t="n"/>
      <c r="AO102" s="60">
        <f>AN102-AM102</f>
        <v/>
      </c>
      <c r="AP102" s="61">
        <f>IF(AM102=0,"",AN102/AM102)</f>
        <v/>
      </c>
      <c r="AQ102" s="27" t="n"/>
      <c r="AR102" s="62" t="n"/>
      <c r="AS102" s="62" t="n"/>
      <c r="AT102" s="62">
        <f>AS102-AR102</f>
        <v/>
      </c>
      <c r="AU102" s="64">
        <f>IF(AR102=0,"",AS102/AR102)</f>
        <v/>
      </c>
      <c r="AV102" s="31" t="n"/>
      <c r="AW102" s="60" t="n"/>
      <c r="AX102" s="60" t="n"/>
      <c r="AY102" s="60">
        <f>AX102-AW102</f>
        <v/>
      </c>
      <c r="AZ102" s="61">
        <f>IF(AW102=0,"",AX102/AW102)</f>
        <v/>
      </c>
      <c r="BA102" s="27" t="n"/>
      <c r="BB102" s="62" t="n"/>
      <c r="BC102" s="62" t="n"/>
      <c r="BD102" s="62">
        <f>BC102-BB102</f>
        <v/>
      </c>
      <c r="BE102" s="64">
        <f>IF(BB102=0,"",BC102/BB102)</f>
        <v/>
      </c>
      <c r="BF102" s="31" t="n"/>
      <c r="BG102" s="60" t="n"/>
      <c r="BH102" s="60" t="n"/>
      <c r="BI102" s="60">
        <f>BH102-BG102</f>
        <v/>
      </c>
      <c r="BJ102" s="61">
        <f>IF(BG102=0,"",BH102/BG102)</f>
        <v/>
      </c>
      <c r="BK102" s="27" t="n"/>
      <c r="BL102" s="62" t="n"/>
      <c r="BM102" s="62" t="n"/>
      <c r="BN102" s="62">
        <f>BM102-BL102</f>
        <v/>
      </c>
      <c r="BO102" s="64">
        <f>IF(BL102=0,"",BM102/BL102)</f>
        <v/>
      </c>
      <c r="BP102" s="31" t="n"/>
      <c r="BQ102" s="60" t="n"/>
      <c r="BR102" s="60" t="n"/>
      <c r="BS102" s="60">
        <f>BR102-BQ102</f>
        <v/>
      </c>
      <c r="BT102" s="61">
        <f>IF(BQ102=0,"",BR102/BQ102)</f>
        <v/>
      </c>
      <c r="BU102" s="27" t="n"/>
      <c r="BV102" s="62" t="n"/>
      <c r="BW102" s="62" t="n"/>
      <c r="BX102" s="62">
        <f>BW102-BV102</f>
        <v/>
      </c>
      <c r="BY102" s="64">
        <f>IF(BV102=0,"",BW102/BV102)</f>
        <v/>
      </c>
      <c r="BZ102" s="31" t="n"/>
      <c r="CA102" s="60" t="n"/>
      <c r="CB102" s="60" t="n"/>
      <c r="CC102" s="60">
        <f>CB102-CA102</f>
        <v/>
      </c>
      <c r="CD102" s="61">
        <f>IF(CA102=0,"",CB102/CA102)</f>
        <v/>
      </c>
      <c r="CE102" s="27" t="n"/>
      <c r="CF102" s="62" t="n"/>
      <c r="CG102" s="62" t="n"/>
      <c r="CH102" s="62">
        <f>CG102-CF102</f>
        <v/>
      </c>
      <c r="CI102" s="64">
        <f>IF(CF102=0,"",CG102/CF102)</f>
        <v/>
      </c>
      <c r="CJ102" s="31" t="n"/>
      <c r="CK102" s="60" t="n"/>
      <c r="CL102" s="60" t="n"/>
      <c r="CM102" s="60">
        <f>CL102-CK102</f>
        <v/>
      </c>
      <c r="CN102" s="61">
        <f>IF(CK102=0,"",CL102/CK102)</f>
        <v/>
      </c>
      <c r="CO102" s="27" t="n"/>
      <c r="CP102" s="62" t="n"/>
      <c r="CQ102" s="62" t="n"/>
      <c r="CR102" s="62">
        <f>CQ102-CP102</f>
        <v/>
      </c>
      <c r="CS102" s="64">
        <f>IF(CP102=0,"",CQ102/CP102)</f>
        <v/>
      </c>
      <c r="CT102" s="31" t="n"/>
      <c r="CU102" s="60" t="n"/>
      <c r="CV102" s="60" t="n"/>
      <c r="CW102" s="60">
        <f>CV102-CU102</f>
        <v/>
      </c>
      <c r="CX102" s="61">
        <f>IF(CU102=0,"",CV102/CU102)</f>
        <v/>
      </c>
      <c r="CY102" s="27" t="n"/>
      <c r="CZ102" s="62" t="n"/>
      <c r="DA102" s="62" t="n"/>
      <c r="DB102" s="62">
        <f>DA102-CZ102</f>
        <v/>
      </c>
      <c r="DC102" s="64">
        <f>IF(CZ102=0,"",DA102/CZ102)</f>
        <v/>
      </c>
      <c r="DD102" s="31" t="n"/>
      <c r="DE102" s="60" t="n"/>
      <c r="DF102" s="60" t="n"/>
      <c r="DG102" s="60">
        <f>DF102-DE102</f>
        <v/>
      </c>
      <c r="DH102" s="61">
        <f>IF(DE102=0,"",DF102/DE102)</f>
        <v/>
      </c>
      <c r="DI102" s="27" t="n"/>
      <c r="DJ102" s="62" t="n"/>
      <c r="DK102" s="62" t="n"/>
      <c r="DL102" s="62">
        <f>DK102-DJ102</f>
        <v/>
      </c>
      <c r="DM102" s="64">
        <f>IF(DJ102=0,"",DK102/DJ102)</f>
        <v/>
      </c>
      <c r="DN102" s="31" t="n"/>
      <c r="DO102" s="60" t="n"/>
    </row>
    <row r="103" ht="15" customHeight="1">
      <c r="A103" s="19" t="n"/>
      <c r="B103" s="20" t="n"/>
      <c r="C103" s="19" t="n"/>
      <c r="D103" s="58">
        <f>D104+D105</f>
        <v/>
      </c>
      <c r="E103" s="58">
        <f>E104+E105</f>
        <v/>
      </c>
      <c r="F103" s="58">
        <f>E103-D103</f>
        <v/>
      </c>
      <c r="G103" s="59">
        <f>IF(D103=0,"",E103/D103)</f>
        <v/>
      </c>
      <c r="H103" s="23" t="n"/>
      <c r="I103" s="58">
        <f>I104+I105</f>
        <v/>
      </c>
      <c r="J103" s="58">
        <f>J104+J105</f>
        <v/>
      </c>
      <c r="K103" s="58">
        <f>J103-I103</f>
        <v/>
      </c>
      <c r="L103" s="59">
        <f>IF(I103=0,"",J103/I103)</f>
        <v/>
      </c>
      <c r="M103" s="23" t="n"/>
      <c r="N103" s="58">
        <f>N104+N105</f>
        <v/>
      </c>
      <c r="O103" s="58">
        <f>O104+O105</f>
        <v/>
      </c>
      <c r="P103" s="58">
        <f>O103-N103</f>
        <v/>
      </c>
      <c r="Q103" s="59">
        <f>IF(N103=0,"",O103/N103)</f>
        <v/>
      </c>
      <c r="R103" s="23" t="n"/>
      <c r="S103" s="58">
        <f>S104+S105</f>
        <v/>
      </c>
      <c r="T103" s="58">
        <f>T104+T105</f>
        <v/>
      </c>
      <c r="U103" s="58">
        <f>T103-S103</f>
        <v/>
      </c>
      <c r="V103" s="59">
        <f>IF(S103=0,"",T103/S103)</f>
        <v/>
      </c>
      <c r="W103" s="23" t="n"/>
      <c r="X103" s="58">
        <f>X104+X105</f>
        <v/>
      </c>
      <c r="Y103" s="58">
        <f>Y104+Y105</f>
        <v/>
      </c>
      <c r="Z103" s="58">
        <f>Y103-X103</f>
        <v/>
      </c>
      <c r="AA103" s="59">
        <f>IF(X103=0,"",Y103/X103)</f>
        <v/>
      </c>
      <c r="AB103" s="23" t="n"/>
      <c r="AC103" s="58">
        <f>AC104+AC105</f>
        <v/>
      </c>
      <c r="AD103" s="58">
        <f>AD104+AD105</f>
        <v/>
      </c>
      <c r="AE103" s="58">
        <f>AD103-AC103</f>
        <v/>
      </c>
      <c r="AF103" s="59">
        <f>IF(AC103=0,"",AD103/AC103)</f>
        <v/>
      </c>
      <c r="AG103" s="23" t="n"/>
      <c r="AH103" s="58">
        <f>AH104+AH105</f>
        <v/>
      </c>
      <c r="AI103" s="58">
        <f>AI104+AI105</f>
        <v/>
      </c>
      <c r="AJ103" s="58">
        <f>AI103-AH103</f>
        <v/>
      </c>
      <c r="AK103" s="59">
        <f>IF(AH103=0,"",AI103/AH103)</f>
        <v/>
      </c>
      <c r="AL103" s="23" t="n"/>
      <c r="AM103" s="58">
        <f>AM104+AM105</f>
        <v/>
      </c>
      <c r="AN103" s="58">
        <f>AN104+AN105</f>
        <v/>
      </c>
      <c r="AO103" s="58">
        <f>AN103-AM103</f>
        <v/>
      </c>
      <c r="AP103" s="59">
        <f>IF(AM103=0,"",AN103/AM103)</f>
        <v/>
      </c>
      <c r="AQ103" s="23" t="n"/>
      <c r="AR103" s="58">
        <f>AR104+AR105</f>
        <v/>
      </c>
      <c r="AS103" s="58">
        <f>AS104+AS105</f>
        <v/>
      </c>
      <c r="AT103" s="58">
        <f>AS103-AR103</f>
        <v/>
      </c>
      <c r="AU103" s="59">
        <f>IF(AR103=0,"",AS103/AR103)</f>
        <v/>
      </c>
      <c r="AV103" s="23" t="n"/>
      <c r="AW103" s="58">
        <f>AW104+AW105</f>
        <v/>
      </c>
      <c r="AX103" s="58">
        <f>AX104+AX105</f>
        <v/>
      </c>
      <c r="AY103" s="58">
        <f>AX103-AW103</f>
        <v/>
      </c>
      <c r="AZ103" s="59">
        <f>IF(AW103=0,"",AX103/AW103)</f>
        <v/>
      </c>
      <c r="BA103" s="23" t="n"/>
      <c r="BB103" s="58">
        <f>BB104+BB105</f>
        <v/>
      </c>
      <c r="BC103" s="58">
        <f>BC104+BC105</f>
        <v/>
      </c>
      <c r="BD103" s="58">
        <f>BC103-BB103</f>
        <v/>
      </c>
      <c r="BE103" s="59">
        <f>IF(BB103=0,"",BC103/BB103)</f>
        <v/>
      </c>
      <c r="BF103" s="23" t="n"/>
      <c r="BG103" s="58">
        <f>BG104+BG105</f>
        <v/>
      </c>
      <c r="BH103" s="58">
        <f>BH104+BH105</f>
        <v/>
      </c>
      <c r="BI103" s="58">
        <f>BH103-BG103</f>
        <v/>
      </c>
      <c r="BJ103" s="59">
        <f>IF(BG103=0,"",BH103/BG103)</f>
        <v/>
      </c>
      <c r="BK103" s="23" t="n"/>
      <c r="BL103" s="58">
        <f>BL104+BL105</f>
        <v/>
      </c>
      <c r="BM103" s="58">
        <f>BM104+BM105</f>
        <v/>
      </c>
      <c r="BN103" s="58">
        <f>BM103-BL103</f>
        <v/>
      </c>
      <c r="BO103" s="59">
        <f>IF(BL103=0,"",BM103/BL103)</f>
        <v/>
      </c>
      <c r="BP103" s="23" t="n"/>
      <c r="BQ103" s="58">
        <f>BQ104+BQ105</f>
        <v/>
      </c>
      <c r="BR103" s="58">
        <f>BR104+BR105</f>
        <v/>
      </c>
      <c r="BS103" s="58">
        <f>BR103-BQ103</f>
        <v/>
      </c>
      <c r="BT103" s="59">
        <f>IF(BQ103=0,"",BR103/BQ103)</f>
        <v/>
      </c>
      <c r="BU103" s="23" t="n"/>
      <c r="BV103" s="58">
        <f>BV104+BV105</f>
        <v/>
      </c>
      <c r="BW103" s="58">
        <f>BW104+BW105</f>
        <v/>
      </c>
      <c r="BX103" s="58">
        <f>BW103-BV103</f>
        <v/>
      </c>
      <c r="BY103" s="59">
        <f>IF(BV103=0,"",BW103/BV103)</f>
        <v/>
      </c>
      <c r="BZ103" s="23" t="n"/>
      <c r="CA103" s="58">
        <f>CA104+CA105</f>
        <v/>
      </c>
      <c r="CB103" s="58">
        <f>CB104+CB105</f>
        <v/>
      </c>
      <c r="CC103" s="58">
        <f>CB103-CA103</f>
        <v/>
      </c>
      <c r="CD103" s="59">
        <f>IF(CA103=0,"",CB103/CA103)</f>
        <v/>
      </c>
      <c r="CE103" s="23" t="n"/>
      <c r="CF103" s="58">
        <f>CF104+CF105</f>
        <v/>
      </c>
      <c r="CG103" s="58">
        <f>CG104+CG105</f>
        <v/>
      </c>
      <c r="CH103" s="58">
        <f>CG103-CF103</f>
        <v/>
      </c>
      <c r="CI103" s="59">
        <f>IF(CF103=0,"",CG103/CF103)</f>
        <v/>
      </c>
      <c r="CJ103" s="23" t="n"/>
      <c r="CK103" s="58">
        <f>CK104+CK105</f>
        <v/>
      </c>
      <c r="CL103" s="58">
        <f>CL104+CL105</f>
        <v/>
      </c>
      <c r="CM103" s="58">
        <f>CL103-CK103</f>
        <v/>
      </c>
      <c r="CN103" s="59">
        <f>IF(CK103=0,"",CL103/CK103)</f>
        <v/>
      </c>
      <c r="CO103" s="23" t="n"/>
      <c r="CP103" s="58">
        <f>CP104+CP105</f>
        <v/>
      </c>
      <c r="CQ103" s="58">
        <f>CQ104+CQ105</f>
        <v/>
      </c>
      <c r="CR103" s="58">
        <f>CQ103-CP103</f>
        <v/>
      </c>
      <c r="CS103" s="59">
        <f>IF(CP103=0,"",CQ103/CP103)</f>
        <v/>
      </c>
      <c r="CT103" s="23" t="n"/>
      <c r="CU103" s="58">
        <f>CU104+CU105</f>
        <v/>
      </c>
      <c r="CV103" s="58">
        <f>CV104+CV105</f>
        <v/>
      </c>
      <c r="CW103" s="58">
        <f>CV103-CU103</f>
        <v/>
      </c>
      <c r="CX103" s="59">
        <f>IF(CU103=0,"",CV103/CU103)</f>
        <v/>
      </c>
      <c r="CY103" s="23" t="n"/>
      <c r="CZ103" s="58">
        <f>CZ104+CZ105</f>
        <v/>
      </c>
      <c r="DA103" s="58">
        <f>DA104+DA105</f>
        <v/>
      </c>
      <c r="DB103" s="58">
        <f>DA103-CZ103</f>
        <v/>
      </c>
      <c r="DC103" s="59">
        <f>IF(CZ103=0,"",DA103/CZ103)</f>
        <v/>
      </c>
      <c r="DD103" s="23" t="n"/>
      <c r="DE103" s="58">
        <f>DE104+DE105</f>
        <v/>
      </c>
      <c r="DF103" s="58">
        <f>DF104+DF105</f>
        <v/>
      </c>
      <c r="DG103" s="58">
        <f>DF103-DE103</f>
        <v/>
      </c>
      <c r="DH103" s="59">
        <f>IF(DE103=0,"",DF103/DE103)</f>
        <v/>
      </c>
      <c r="DI103" s="23" t="n"/>
      <c r="DJ103" s="58">
        <f>DJ104+DJ105</f>
        <v/>
      </c>
      <c r="DK103" s="58">
        <f>DK104+DK105</f>
        <v/>
      </c>
      <c r="DL103" s="58">
        <f>DK103-DJ103</f>
        <v/>
      </c>
      <c r="DM103" s="59">
        <f>IF(DJ103=0,"",DK103/DJ103)</f>
        <v/>
      </c>
      <c r="DN103" s="23" t="n"/>
      <c r="DO103" s="58">
        <f>DO104+DO105</f>
        <v/>
      </c>
    </row>
    <row r="104" outlineLevel="1" ht="15" customHeight="1">
      <c r="A104" s="24" t="n"/>
      <c r="B104" s="24" t="n"/>
      <c r="C104" s="24" t="n"/>
      <c r="D104" s="60" t="n"/>
      <c r="E104" s="60" t="n"/>
      <c r="F104" s="60">
        <f>E104-D104</f>
        <v/>
      </c>
      <c r="G104" s="61">
        <f>IF(D104=0,"",E104/D104)</f>
        <v/>
      </c>
      <c r="H104" s="27" t="n"/>
      <c r="I104" s="60" t="n"/>
      <c r="J104" s="60" t="n"/>
      <c r="K104" s="60">
        <f>J104-I104</f>
        <v/>
      </c>
      <c r="L104" s="61">
        <f>IF(I104=0,"",J104/I104)</f>
        <v/>
      </c>
      <c r="M104" s="27" t="n"/>
      <c r="N104" s="62" t="n"/>
      <c r="O104" s="62" t="n"/>
      <c r="P104" s="62">
        <f>O104-N104</f>
        <v/>
      </c>
      <c r="Q104" s="64">
        <f>IF(N104=0,"",O104/N104)</f>
        <v/>
      </c>
      <c r="R104" s="31" t="n"/>
      <c r="S104" s="60" t="n"/>
      <c r="T104" s="60" t="n"/>
      <c r="U104" s="60">
        <f>T104-S104</f>
        <v/>
      </c>
      <c r="V104" s="61">
        <f>IF(S104=0,"",T104/S104)</f>
        <v/>
      </c>
      <c r="W104" s="27" t="n"/>
      <c r="X104" s="62" t="n"/>
      <c r="Y104" s="62" t="n"/>
      <c r="Z104" s="63">
        <f>Y104-X104</f>
        <v/>
      </c>
      <c r="AA104" s="64">
        <f>IF(X104=0,"",Y104/X104)</f>
        <v/>
      </c>
      <c r="AB104" s="31" t="n"/>
      <c r="AC104" s="60" t="n"/>
      <c r="AD104" s="60" t="n"/>
      <c r="AE104" s="60">
        <f>AD104-AC104</f>
        <v/>
      </c>
      <c r="AF104" s="61">
        <f>IF(AC104=0,"",AD104/AC104)</f>
        <v/>
      </c>
      <c r="AG104" s="27" t="n"/>
      <c r="AH104" s="62" t="n"/>
      <c r="AI104" s="62" t="n"/>
      <c r="AJ104" s="62">
        <f>AI104-AH104</f>
        <v/>
      </c>
      <c r="AK104" s="64">
        <f>IF(AH104=0,"",AI104/AH104)</f>
        <v/>
      </c>
      <c r="AL104" s="31" t="n"/>
      <c r="AM104" s="60" t="n"/>
      <c r="AN104" s="60" t="n"/>
      <c r="AO104" s="60">
        <f>AN104-AM104</f>
        <v/>
      </c>
      <c r="AP104" s="61">
        <f>IF(AM104=0,"",AN104/AM104)</f>
        <v/>
      </c>
      <c r="AQ104" s="27" t="n"/>
      <c r="AR104" s="62" t="n"/>
      <c r="AS104" s="62" t="n"/>
      <c r="AT104" s="62">
        <f>AS104-AR104</f>
        <v/>
      </c>
      <c r="AU104" s="64">
        <f>IF(AR104=0,"",AS104/AR104)</f>
        <v/>
      </c>
      <c r="AV104" s="31" t="n"/>
      <c r="AW104" s="60" t="n"/>
      <c r="AX104" s="60" t="n"/>
      <c r="AY104" s="60">
        <f>AX104-AW104</f>
        <v/>
      </c>
      <c r="AZ104" s="61">
        <f>IF(AW104=0,"",AX104/AW104)</f>
        <v/>
      </c>
      <c r="BA104" s="27" t="n"/>
      <c r="BB104" s="62" t="n"/>
      <c r="BC104" s="62" t="n"/>
      <c r="BD104" s="62">
        <f>BC104-BB104</f>
        <v/>
      </c>
      <c r="BE104" s="64">
        <f>IF(BB104=0,"",BC104/BB104)</f>
        <v/>
      </c>
      <c r="BF104" s="31" t="n"/>
      <c r="BG104" s="60" t="n"/>
      <c r="BH104" s="60" t="n"/>
      <c r="BI104" s="60">
        <f>BH104-BG104</f>
        <v/>
      </c>
      <c r="BJ104" s="61">
        <f>IF(BG104=0,"",BH104/BG104)</f>
        <v/>
      </c>
      <c r="BK104" s="27" t="n"/>
      <c r="BL104" s="62" t="n"/>
      <c r="BM104" s="62" t="n"/>
      <c r="BN104" s="62">
        <f>BM104-BL104</f>
        <v/>
      </c>
      <c r="BO104" s="64">
        <f>IF(BL104=0,"",BM104/BL104)</f>
        <v/>
      </c>
      <c r="BP104" s="31" t="n"/>
      <c r="BQ104" s="60" t="n"/>
      <c r="BR104" s="60" t="n"/>
      <c r="BS104" s="60">
        <f>BR104-BQ104</f>
        <v/>
      </c>
      <c r="BT104" s="61">
        <f>IF(BQ104=0,"",BR104/BQ104)</f>
        <v/>
      </c>
      <c r="BU104" s="27" t="n"/>
      <c r="BV104" s="62" t="n"/>
      <c r="BW104" s="62" t="n"/>
      <c r="BX104" s="62">
        <f>BW104-BV104</f>
        <v/>
      </c>
      <c r="BY104" s="64">
        <f>IF(BV104=0,"",BW104/BV104)</f>
        <v/>
      </c>
      <c r="BZ104" s="31" t="n"/>
      <c r="CA104" s="60" t="n"/>
      <c r="CB104" s="60" t="n"/>
      <c r="CC104" s="60">
        <f>CB104-CA104</f>
        <v/>
      </c>
      <c r="CD104" s="61">
        <f>IF(CA104=0,"",CB104/CA104)</f>
        <v/>
      </c>
      <c r="CE104" s="27" t="n"/>
      <c r="CF104" s="62" t="n"/>
      <c r="CG104" s="62" t="n"/>
      <c r="CH104" s="62">
        <f>CG104-CF104</f>
        <v/>
      </c>
      <c r="CI104" s="64">
        <f>IF(CF104=0,"",CG104/CF104)</f>
        <v/>
      </c>
      <c r="CJ104" s="31" t="n"/>
      <c r="CK104" s="60" t="n"/>
      <c r="CL104" s="60" t="n"/>
      <c r="CM104" s="60">
        <f>CL104-CK104</f>
        <v/>
      </c>
      <c r="CN104" s="61">
        <f>IF(CK104=0,"",CL104/CK104)</f>
        <v/>
      </c>
      <c r="CO104" s="27" t="n"/>
      <c r="CP104" s="62" t="n"/>
      <c r="CQ104" s="62" t="n"/>
      <c r="CR104" s="62">
        <f>CQ104-CP104</f>
        <v/>
      </c>
      <c r="CS104" s="64">
        <f>IF(CP104=0,"",CQ104/CP104)</f>
        <v/>
      </c>
      <c r="CT104" s="31" t="n"/>
      <c r="CU104" s="60" t="n"/>
      <c r="CV104" s="60" t="n"/>
      <c r="CW104" s="60">
        <f>CV104-CU104</f>
        <v/>
      </c>
      <c r="CX104" s="61">
        <f>IF(CU104=0,"",CV104/CU104)</f>
        <v/>
      </c>
      <c r="CY104" s="27" t="n"/>
      <c r="CZ104" s="62" t="n"/>
      <c r="DA104" s="62" t="n"/>
      <c r="DB104" s="62">
        <f>DA104-CZ104</f>
        <v/>
      </c>
      <c r="DC104" s="64">
        <f>IF(CZ104=0,"",DA104/CZ104)</f>
        <v/>
      </c>
      <c r="DD104" s="31" t="n"/>
      <c r="DE104" s="60" t="n"/>
      <c r="DF104" s="60" t="n"/>
      <c r="DG104" s="60">
        <f>DF104-DE104</f>
        <v/>
      </c>
      <c r="DH104" s="61">
        <f>IF(DE104=0,"",DF104/DE104)</f>
        <v/>
      </c>
      <c r="DI104" s="27" t="n"/>
      <c r="DJ104" s="62" t="n"/>
      <c r="DK104" s="62" t="n"/>
      <c r="DL104" s="62">
        <f>DK104-DJ104</f>
        <v/>
      </c>
      <c r="DM104" s="64">
        <f>IF(DJ104=0,"",DK104/DJ104)</f>
        <v/>
      </c>
      <c r="DN104" s="31" t="n"/>
      <c r="DO104" s="60" t="n"/>
    </row>
    <row r="105" outlineLevel="1" ht="15" customHeight="1">
      <c r="A105" s="24" t="n"/>
      <c r="B105" s="24" t="n"/>
      <c r="C105" s="24" t="n"/>
      <c r="D105" s="60" t="n"/>
      <c r="E105" s="60" t="n"/>
      <c r="F105" s="60">
        <f>E105-D105</f>
        <v/>
      </c>
      <c r="G105" s="61">
        <f>IF(D105=0,"",E105/D105)</f>
        <v/>
      </c>
      <c r="H105" s="27" t="n"/>
      <c r="I105" s="60" t="n"/>
      <c r="J105" s="60" t="n"/>
      <c r="K105" s="60">
        <f>J105-I105</f>
        <v/>
      </c>
      <c r="L105" s="61">
        <f>IF(I105=0,"",J105/I105)</f>
        <v/>
      </c>
      <c r="M105" s="27" t="n"/>
      <c r="N105" s="62" t="n"/>
      <c r="O105" s="62" t="n"/>
      <c r="P105" s="63">
        <f>O105-N105</f>
        <v/>
      </c>
      <c r="Q105" s="64">
        <f>IF(N105=0,"",O105/N105)</f>
        <v/>
      </c>
      <c r="R105" s="31" t="n"/>
      <c r="S105" s="60" t="n"/>
      <c r="T105" s="60" t="n"/>
      <c r="U105" s="60">
        <f>T105-S105</f>
        <v/>
      </c>
      <c r="V105" s="61">
        <f>IF(S105=0,"",T105/S105)</f>
        <v/>
      </c>
      <c r="W105" s="27" t="n"/>
      <c r="X105" s="62" t="n"/>
      <c r="Y105" s="62" t="n"/>
      <c r="Z105" s="63">
        <f>Y105-X105</f>
        <v/>
      </c>
      <c r="AA105" s="64">
        <f>IF(X105=0,"",Y105/X105)</f>
        <v/>
      </c>
      <c r="AB105" s="31" t="n"/>
      <c r="AC105" s="60" t="n"/>
      <c r="AD105" s="60" t="n"/>
      <c r="AE105" s="60">
        <f>AD105-AC105</f>
        <v/>
      </c>
      <c r="AF105" s="61">
        <f>IF(AC105=0,"",AD105/AC105)</f>
        <v/>
      </c>
      <c r="AG105" s="27" t="n"/>
      <c r="AH105" s="62" t="n"/>
      <c r="AI105" s="62" t="n"/>
      <c r="AJ105" s="62">
        <f>AI105-AH105</f>
        <v/>
      </c>
      <c r="AK105" s="64">
        <f>IF(AH105=0,"",AI105/AH105)</f>
        <v/>
      </c>
      <c r="AL105" s="31" t="n"/>
      <c r="AM105" s="60" t="n"/>
      <c r="AN105" s="60" t="n"/>
      <c r="AO105" s="60">
        <f>AN105-AM105</f>
        <v/>
      </c>
      <c r="AP105" s="61">
        <f>IF(AM105=0,"",AN105/AM105)</f>
        <v/>
      </c>
      <c r="AQ105" s="27" t="n"/>
      <c r="AR105" s="62" t="n"/>
      <c r="AS105" s="62" t="n"/>
      <c r="AT105" s="62">
        <f>AS105-AR105</f>
        <v/>
      </c>
      <c r="AU105" s="64">
        <f>IF(AR105=0,"",AS105/AR105)</f>
        <v/>
      </c>
      <c r="AV105" s="31" t="n"/>
      <c r="AW105" s="60" t="n"/>
      <c r="AX105" s="60" t="n"/>
      <c r="AY105" s="60">
        <f>AX105-AW105</f>
        <v/>
      </c>
      <c r="AZ105" s="61">
        <f>IF(AW105=0,"",AX105/AW105)</f>
        <v/>
      </c>
      <c r="BA105" s="27" t="n"/>
      <c r="BB105" s="62" t="n"/>
      <c r="BC105" s="62" t="n"/>
      <c r="BD105" s="62">
        <f>BC105-BB105</f>
        <v/>
      </c>
      <c r="BE105" s="64">
        <f>IF(BB105=0,"",BC105/BB105)</f>
        <v/>
      </c>
      <c r="BF105" s="31" t="n"/>
      <c r="BG105" s="60" t="n"/>
      <c r="BH105" s="60" t="n"/>
      <c r="BI105" s="60">
        <f>BH105-BG105</f>
        <v/>
      </c>
      <c r="BJ105" s="61">
        <f>IF(BG105=0,"",BH105/BG105)</f>
        <v/>
      </c>
      <c r="BK105" s="27" t="n"/>
      <c r="BL105" s="62" t="n"/>
      <c r="BM105" s="62" t="n"/>
      <c r="BN105" s="62">
        <f>BM105-BL105</f>
        <v/>
      </c>
      <c r="BO105" s="64">
        <f>IF(BL105=0,"",BM105/BL105)</f>
        <v/>
      </c>
      <c r="BP105" s="31" t="n"/>
      <c r="BQ105" s="60" t="n"/>
      <c r="BR105" s="60" t="n"/>
      <c r="BS105" s="60">
        <f>BR105-BQ105</f>
        <v/>
      </c>
      <c r="BT105" s="61">
        <f>IF(BQ105=0,"",BR105/BQ105)</f>
        <v/>
      </c>
      <c r="BU105" s="27" t="n"/>
      <c r="BV105" s="62" t="n"/>
      <c r="BW105" s="62" t="n"/>
      <c r="BX105" s="62">
        <f>BW105-BV105</f>
        <v/>
      </c>
      <c r="BY105" s="64">
        <f>IF(BV105=0,"",BW105/BV105)</f>
        <v/>
      </c>
      <c r="BZ105" s="31" t="n"/>
      <c r="CA105" s="60" t="n"/>
      <c r="CB105" s="60" t="n"/>
      <c r="CC105" s="60">
        <f>CB105-CA105</f>
        <v/>
      </c>
      <c r="CD105" s="61">
        <f>IF(CA105=0,"",CB105/CA105)</f>
        <v/>
      </c>
      <c r="CE105" s="27" t="n"/>
      <c r="CF105" s="62" t="n"/>
      <c r="CG105" s="62" t="n"/>
      <c r="CH105" s="62">
        <f>CG105-CF105</f>
        <v/>
      </c>
      <c r="CI105" s="64">
        <f>IF(CF105=0,"",CG105/CF105)</f>
        <v/>
      </c>
      <c r="CJ105" s="31" t="n"/>
      <c r="CK105" s="60" t="n"/>
      <c r="CL105" s="60" t="n"/>
      <c r="CM105" s="60">
        <f>CL105-CK105</f>
        <v/>
      </c>
      <c r="CN105" s="61">
        <f>IF(CK105=0,"",CL105/CK105)</f>
        <v/>
      </c>
      <c r="CO105" s="27" t="n"/>
      <c r="CP105" s="62" t="n"/>
      <c r="CQ105" s="62" t="n"/>
      <c r="CR105" s="62">
        <f>CQ105-CP105</f>
        <v/>
      </c>
      <c r="CS105" s="64">
        <f>IF(CP105=0,"",CQ105/CP105)</f>
        <v/>
      </c>
      <c r="CT105" s="31" t="n"/>
      <c r="CU105" s="60" t="n"/>
      <c r="CV105" s="60" t="n"/>
      <c r="CW105" s="60">
        <f>CV105-CU105</f>
        <v/>
      </c>
      <c r="CX105" s="61">
        <f>IF(CU105=0,"",CV105/CU105)</f>
        <v/>
      </c>
      <c r="CY105" s="27" t="n"/>
      <c r="CZ105" s="62" t="n"/>
      <c r="DA105" s="62" t="n"/>
      <c r="DB105" s="62">
        <f>DA105-CZ105</f>
        <v/>
      </c>
      <c r="DC105" s="64">
        <f>IF(CZ105=0,"",DA105/CZ105)</f>
        <v/>
      </c>
      <c r="DD105" s="31" t="n"/>
      <c r="DE105" s="60" t="n"/>
      <c r="DF105" s="60" t="n"/>
      <c r="DG105" s="60">
        <f>DF105-DE105</f>
        <v/>
      </c>
      <c r="DH105" s="61">
        <f>IF(DE105=0,"",DF105/DE105)</f>
        <v/>
      </c>
      <c r="DI105" s="27" t="n"/>
      <c r="DJ105" s="62" t="n"/>
      <c r="DK105" s="62" t="n"/>
      <c r="DL105" s="62">
        <f>DK105-DJ105</f>
        <v/>
      </c>
      <c r="DM105" s="64">
        <f>IF(DJ105=0,"",DK105/DJ105)</f>
        <v/>
      </c>
      <c r="DN105" s="31" t="n"/>
      <c r="DO105" s="60" t="n"/>
    </row>
    <row r="106" ht="15" customHeight="1">
      <c r="A106" s="19" t="n"/>
      <c r="B106" s="20" t="n"/>
      <c r="C106" s="19" t="n"/>
      <c r="D106" s="58">
        <f>D107</f>
        <v/>
      </c>
      <c r="E106" s="58">
        <f>E107</f>
        <v/>
      </c>
      <c r="F106" s="58">
        <f>E106-D106</f>
        <v/>
      </c>
      <c r="G106" s="59">
        <f>IF(D106=0,"",E106/D106)</f>
        <v/>
      </c>
      <c r="H106" s="23" t="n"/>
      <c r="I106" s="58">
        <f>I107</f>
        <v/>
      </c>
      <c r="J106" s="58">
        <f>J107</f>
        <v/>
      </c>
      <c r="K106" s="58">
        <f>J106-I106</f>
        <v/>
      </c>
      <c r="L106" s="59">
        <f>IF(I106=0,"",J106/I106)</f>
        <v/>
      </c>
      <c r="M106" s="23" t="n"/>
      <c r="N106" s="58">
        <f>N107</f>
        <v/>
      </c>
      <c r="O106" s="58">
        <f>O107</f>
        <v/>
      </c>
      <c r="P106" s="58">
        <f>O106-N106</f>
        <v/>
      </c>
      <c r="Q106" s="59">
        <f>IF(N106=0,"",O106/N106)</f>
        <v/>
      </c>
      <c r="R106" s="23" t="n"/>
      <c r="S106" s="58">
        <f>S107</f>
        <v/>
      </c>
      <c r="T106" s="58">
        <f>T107</f>
        <v/>
      </c>
      <c r="U106" s="58">
        <f>T106-S106</f>
        <v/>
      </c>
      <c r="V106" s="59">
        <f>IF(S106=0,"",T106/S106)</f>
        <v/>
      </c>
      <c r="W106" s="23" t="n"/>
      <c r="X106" s="58">
        <f>X107</f>
        <v/>
      </c>
      <c r="Y106" s="58">
        <f>Y107</f>
        <v/>
      </c>
      <c r="Z106" s="58">
        <f>Y106-X106</f>
        <v/>
      </c>
      <c r="AA106" s="59">
        <f>IF(X106=0,"",Y106/X106)</f>
        <v/>
      </c>
      <c r="AB106" s="23" t="n"/>
      <c r="AC106" s="58">
        <f>AC107</f>
        <v/>
      </c>
      <c r="AD106" s="58">
        <f>AD107</f>
        <v/>
      </c>
      <c r="AE106" s="58">
        <f>AD106-AC106</f>
        <v/>
      </c>
      <c r="AF106" s="59">
        <f>IF(AC106=0,"",AD106/AC106)</f>
        <v/>
      </c>
      <c r="AG106" s="23" t="n"/>
      <c r="AH106" s="58">
        <f>AH107</f>
        <v/>
      </c>
      <c r="AI106" s="58">
        <f>AI107</f>
        <v/>
      </c>
      <c r="AJ106" s="58">
        <f>AI106-AH106</f>
        <v/>
      </c>
      <c r="AK106" s="59">
        <f>IF(AH106=0,"",AI106/AH106)</f>
        <v/>
      </c>
      <c r="AL106" s="23" t="n"/>
      <c r="AM106" s="58">
        <f>AM107</f>
        <v/>
      </c>
      <c r="AN106" s="58">
        <f>AN107</f>
        <v/>
      </c>
      <c r="AO106" s="58">
        <f>AN106-AM106</f>
        <v/>
      </c>
      <c r="AP106" s="59">
        <f>IF(AM106=0,"",AN106/AM106)</f>
        <v/>
      </c>
      <c r="AQ106" s="23" t="n"/>
      <c r="AR106" s="58">
        <f>AR107</f>
        <v/>
      </c>
      <c r="AS106" s="58">
        <f>AS107</f>
        <v/>
      </c>
      <c r="AT106" s="58">
        <f>AS106-AR106</f>
        <v/>
      </c>
      <c r="AU106" s="59">
        <f>IF(AR106=0,"",AS106/AR106)</f>
        <v/>
      </c>
      <c r="AV106" s="23" t="n"/>
      <c r="AW106" s="58">
        <f>AW107</f>
        <v/>
      </c>
      <c r="AX106" s="58">
        <f>AX107</f>
        <v/>
      </c>
      <c r="AY106" s="58">
        <f>AX106-AW106</f>
        <v/>
      </c>
      <c r="AZ106" s="59">
        <f>IF(AW106=0,"",AX106/AW106)</f>
        <v/>
      </c>
      <c r="BA106" s="23" t="n"/>
      <c r="BB106" s="58">
        <f>BB107</f>
        <v/>
      </c>
      <c r="BC106" s="58">
        <f>BC107</f>
        <v/>
      </c>
      <c r="BD106" s="58">
        <f>BC106-BB106</f>
        <v/>
      </c>
      <c r="BE106" s="59">
        <f>IF(BB106=0,"",BC106/BB106)</f>
        <v/>
      </c>
      <c r="BF106" s="23" t="n"/>
      <c r="BG106" s="58">
        <f>BG107</f>
        <v/>
      </c>
      <c r="BH106" s="58">
        <f>BH107</f>
        <v/>
      </c>
      <c r="BI106" s="58">
        <f>BH106-BG106</f>
        <v/>
      </c>
      <c r="BJ106" s="59">
        <f>IF(BG106=0,"",BH106/BG106)</f>
        <v/>
      </c>
      <c r="BK106" s="23" t="n"/>
      <c r="BL106" s="58">
        <f>BL107</f>
        <v/>
      </c>
      <c r="BM106" s="58">
        <f>BM107</f>
        <v/>
      </c>
      <c r="BN106" s="58">
        <f>BM106-BL106</f>
        <v/>
      </c>
      <c r="BO106" s="59">
        <f>IF(BL106=0,"",BM106/BL106)</f>
        <v/>
      </c>
      <c r="BP106" s="23" t="n"/>
      <c r="BQ106" s="58">
        <f>BQ107</f>
        <v/>
      </c>
      <c r="BR106" s="58">
        <f>BR107</f>
        <v/>
      </c>
      <c r="BS106" s="58">
        <f>BR106-BQ106</f>
        <v/>
      </c>
      <c r="BT106" s="59">
        <f>IF(BQ106=0,"",BR106/BQ106)</f>
        <v/>
      </c>
      <c r="BU106" s="23" t="n"/>
      <c r="BV106" s="58">
        <f>BV107</f>
        <v/>
      </c>
      <c r="BW106" s="58">
        <f>BW107</f>
        <v/>
      </c>
      <c r="BX106" s="58">
        <f>BW106-BV106</f>
        <v/>
      </c>
      <c r="BY106" s="59">
        <f>IF(BV106=0,"",BW106/BV106)</f>
        <v/>
      </c>
      <c r="BZ106" s="23" t="n"/>
      <c r="CA106" s="58">
        <f>CA107</f>
        <v/>
      </c>
      <c r="CB106" s="58">
        <f>CB107</f>
        <v/>
      </c>
      <c r="CC106" s="58">
        <f>CB106-CA106</f>
        <v/>
      </c>
      <c r="CD106" s="59">
        <f>IF(CA106=0,"",CB106/CA106)</f>
        <v/>
      </c>
      <c r="CE106" s="23" t="n"/>
      <c r="CF106" s="58">
        <f>CF107</f>
        <v/>
      </c>
      <c r="CG106" s="58">
        <f>CG107</f>
        <v/>
      </c>
      <c r="CH106" s="58">
        <f>CG106-CF106</f>
        <v/>
      </c>
      <c r="CI106" s="59">
        <f>IF(CF106=0,"",CG106/CF106)</f>
        <v/>
      </c>
      <c r="CJ106" s="23" t="n"/>
      <c r="CK106" s="58">
        <f>CK107</f>
        <v/>
      </c>
      <c r="CL106" s="58">
        <f>CL107</f>
        <v/>
      </c>
      <c r="CM106" s="58">
        <f>CL106-CK106</f>
        <v/>
      </c>
      <c r="CN106" s="59">
        <f>IF(CK106=0,"",CL106/CK106)</f>
        <v/>
      </c>
      <c r="CO106" s="23" t="n"/>
      <c r="CP106" s="58">
        <f>CP107</f>
        <v/>
      </c>
      <c r="CQ106" s="58">
        <f>CQ107</f>
        <v/>
      </c>
      <c r="CR106" s="58">
        <f>CQ106-CP106</f>
        <v/>
      </c>
      <c r="CS106" s="59">
        <f>IF(CP106=0,"",CQ106/CP106)</f>
        <v/>
      </c>
      <c r="CT106" s="23" t="n"/>
      <c r="CU106" s="58">
        <f>CU107</f>
        <v/>
      </c>
      <c r="CV106" s="58">
        <f>CV107</f>
        <v/>
      </c>
      <c r="CW106" s="58">
        <f>CV106-CU106</f>
        <v/>
      </c>
      <c r="CX106" s="59">
        <f>IF(CU106=0,"",CV106/CU106)</f>
        <v/>
      </c>
      <c r="CY106" s="23" t="n"/>
      <c r="CZ106" s="58">
        <f>CZ107</f>
        <v/>
      </c>
      <c r="DA106" s="58">
        <f>DA107</f>
        <v/>
      </c>
      <c r="DB106" s="58">
        <f>DA106-CZ106</f>
        <v/>
      </c>
      <c r="DC106" s="59">
        <f>IF(CZ106=0,"",DA106/CZ106)</f>
        <v/>
      </c>
      <c r="DD106" s="23" t="n"/>
      <c r="DE106" s="58">
        <f>DE107</f>
        <v/>
      </c>
      <c r="DF106" s="58">
        <f>DF107</f>
        <v/>
      </c>
      <c r="DG106" s="58">
        <f>DF106-DE106</f>
        <v/>
      </c>
      <c r="DH106" s="59">
        <f>IF(DE106=0,"",DF106/DE106)</f>
        <v/>
      </c>
      <c r="DI106" s="23" t="n"/>
      <c r="DJ106" s="58">
        <f>DJ107</f>
        <v/>
      </c>
      <c r="DK106" s="58">
        <f>DK107</f>
        <v/>
      </c>
      <c r="DL106" s="58">
        <f>DK106-DJ106</f>
        <v/>
      </c>
      <c r="DM106" s="59">
        <f>IF(DJ106=0,"",DK106/DJ106)</f>
        <v/>
      </c>
      <c r="DN106" s="23" t="n"/>
      <c r="DO106" s="58">
        <f>DO107</f>
        <v/>
      </c>
    </row>
    <row r="107" outlineLevel="1" ht="15" customHeight="1">
      <c r="A107" s="24" t="n"/>
      <c r="B107" s="24" t="n"/>
      <c r="C107" s="24" t="n"/>
      <c r="D107" s="60" t="n"/>
      <c r="E107" s="60" t="n"/>
      <c r="F107" s="60">
        <f>E107-D107</f>
        <v/>
      </c>
      <c r="G107" s="61">
        <f>IF(D107=0,"",E107/D107)</f>
        <v/>
      </c>
      <c r="H107" s="27" t="n"/>
      <c r="I107" s="60" t="n"/>
      <c r="J107" s="60" t="n"/>
      <c r="K107" s="60">
        <f>J107-I107</f>
        <v/>
      </c>
      <c r="L107" s="61">
        <f>IF(I107=0,"",J107/I107)</f>
        <v/>
      </c>
      <c r="M107" s="27" t="n"/>
      <c r="N107" s="62" t="n"/>
      <c r="O107" s="62" t="n"/>
      <c r="P107" s="63">
        <f>O107-N107</f>
        <v/>
      </c>
      <c r="Q107" s="64">
        <f>IF(N107=0,"",O107/N107)</f>
        <v/>
      </c>
      <c r="R107" s="31" t="n"/>
      <c r="S107" s="60" t="n"/>
      <c r="T107" s="60" t="n"/>
      <c r="U107" s="60">
        <f>T107-S107</f>
        <v/>
      </c>
      <c r="V107" s="61">
        <f>IF(S107=0,"",T107/S107)</f>
        <v/>
      </c>
      <c r="W107" s="27" t="n"/>
      <c r="X107" s="62" t="n"/>
      <c r="Y107" s="62" t="n"/>
      <c r="Z107" s="63">
        <f>Y107-X107</f>
        <v/>
      </c>
      <c r="AA107" s="64">
        <f>IF(X107=0,"",Y107/X107)</f>
        <v/>
      </c>
      <c r="AB107" s="31" t="n"/>
      <c r="AC107" s="60" t="n"/>
      <c r="AD107" s="60" t="n"/>
      <c r="AE107" s="60">
        <f>AD107-AC107</f>
        <v/>
      </c>
      <c r="AF107" s="61">
        <f>IF(AC107=0,"",AD107/AC107)</f>
        <v/>
      </c>
      <c r="AG107" s="27" t="n"/>
      <c r="AH107" s="62" t="n"/>
      <c r="AI107" s="62" t="n"/>
      <c r="AJ107" s="62">
        <f>AI107-AH107</f>
        <v/>
      </c>
      <c r="AK107" s="64">
        <f>IF(AH107=0,"",AI107/AH107)</f>
        <v/>
      </c>
      <c r="AL107" s="31" t="n"/>
      <c r="AM107" s="60" t="n"/>
      <c r="AN107" s="60" t="n"/>
      <c r="AO107" s="60">
        <f>AN107-AM107</f>
        <v/>
      </c>
      <c r="AP107" s="61">
        <f>IF(AM107=0,"",AN107/AM107)</f>
        <v/>
      </c>
      <c r="AQ107" s="27" t="n"/>
      <c r="AR107" s="62" t="n"/>
      <c r="AS107" s="62" t="n"/>
      <c r="AT107" s="62">
        <f>AS107-AR107</f>
        <v/>
      </c>
      <c r="AU107" s="64">
        <f>IF(AR107=0,"",AS107/AR107)</f>
        <v/>
      </c>
      <c r="AV107" s="31" t="n"/>
      <c r="AW107" s="60" t="n"/>
      <c r="AX107" s="60" t="n"/>
      <c r="AY107" s="60">
        <f>AX107-AW107</f>
        <v/>
      </c>
      <c r="AZ107" s="61">
        <f>IF(AW107=0,"",AX107/AW107)</f>
        <v/>
      </c>
      <c r="BA107" s="27" t="n"/>
      <c r="BB107" s="62" t="n"/>
      <c r="BC107" s="62" t="n"/>
      <c r="BD107" s="62">
        <f>BC107-BB107</f>
        <v/>
      </c>
      <c r="BE107" s="64">
        <f>IF(BB107=0,"",BC107/BB107)</f>
        <v/>
      </c>
      <c r="BF107" s="31" t="n"/>
      <c r="BG107" s="60" t="n"/>
      <c r="BH107" s="60" t="n"/>
      <c r="BI107" s="60">
        <f>BH107-BG107</f>
        <v/>
      </c>
      <c r="BJ107" s="61">
        <f>IF(BG107=0,"",BH107/BG107)</f>
        <v/>
      </c>
      <c r="BK107" s="27" t="n"/>
      <c r="BL107" s="62" t="n"/>
      <c r="BM107" s="62" t="n"/>
      <c r="BN107" s="62">
        <f>BM107-BL107</f>
        <v/>
      </c>
      <c r="BO107" s="64">
        <f>IF(BL107=0,"",BM107/BL107)</f>
        <v/>
      </c>
      <c r="BP107" s="31" t="n"/>
      <c r="BQ107" s="60" t="n"/>
      <c r="BR107" s="60" t="n"/>
      <c r="BS107" s="60">
        <f>BR107-BQ107</f>
        <v/>
      </c>
      <c r="BT107" s="61">
        <f>IF(BQ107=0,"",BR107/BQ107)</f>
        <v/>
      </c>
      <c r="BU107" s="27" t="n"/>
      <c r="BV107" s="62" t="n"/>
      <c r="BW107" s="62" t="n"/>
      <c r="BX107" s="62">
        <f>BW107-BV107</f>
        <v/>
      </c>
      <c r="BY107" s="64">
        <f>IF(BV107=0,"",BW107/BV107)</f>
        <v/>
      </c>
      <c r="BZ107" s="31" t="n"/>
      <c r="CA107" s="60" t="n"/>
      <c r="CB107" s="60" t="n"/>
      <c r="CC107" s="60">
        <f>CB107-CA107</f>
        <v/>
      </c>
      <c r="CD107" s="61">
        <f>IF(CA107=0,"",CB107/CA107)</f>
        <v/>
      </c>
      <c r="CE107" s="27" t="n"/>
      <c r="CF107" s="62" t="n"/>
      <c r="CG107" s="62" t="n"/>
      <c r="CH107" s="62">
        <f>CG107-CF107</f>
        <v/>
      </c>
      <c r="CI107" s="64">
        <f>IF(CF107=0,"",CG107/CF107)</f>
        <v/>
      </c>
      <c r="CJ107" s="31" t="n"/>
      <c r="CK107" s="60" t="n"/>
      <c r="CL107" s="60" t="n"/>
      <c r="CM107" s="60">
        <f>CL107-CK107</f>
        <v/>
      </c>
      <c r="CN107" s="61">
        <f>IF(CK107=0,"",CL107/CK107)</f>
        <v/>
      </c>
      <c r="CO107" s="27" t="n"/>
      <c r="CP107" s="62" t="n"/>
      <c r="CQ107" s="62" t="n"/>
      <c r="CR107" s="62">
        <f>CQ107-CP107</f>
        <v/>
      </c>
      <c r="CS107" s="64">
        <f>IF(CP107=0,"",CQ107/CP107)</f>
        <v/>
      </c>
      <c r="CT107" s="31" t="n"/>
      <c r="CU107" s="60" t="n"/>
      <c r="CV107" s="60" t="n"/>
      <c r="CW107" s="60">
        <f>CV107-CU107</f>
        <v/>
      </c>
      <c r="CX107" s="61">
        <f>IF(CU107=0,"",CV107/CU107)</f>
        <v/>
      </c>
      <c r="CY107" s="27" t="n"/>
      <c r="CZ107" s="62" t="n"/>
      <c r="DA107" s="62" t="n"/>
      <c r="DB107" s="62">
        <f>DA107-CZ107</f>
        <v/>
      </c>
      <c r="DC107" s="64">
        <f>IF(CZ107=0,"",DA107/CZ107)</f>
        <v/>
      </c>
      <c r="DD107" s="31" t="n"/>
      <c r="DE107" s="60" t="n"/>
      <c r="DF107" s="60" t="n"/>
      <c r="DG107" s="60">
        <f>DF107-DE107</f>
        <v/>
      </c>
      <c r="DH107" s="61">
        <f>IF(DE107=0,"",DF107/DE107)</f>
        <v/>
      </c>
      <c r="DI107" s="27" t="n"/>
      <c r="DJ107" s="62" t="n"/>
      <c r="DK107" s="62" t="n"/>
      <c r="DL107" s="62">
        <f>DK107-DJ107</f>
        <v/>
      </c>
      <c r="DM107" s="64">
        <f>IF(DJ107=0,"",DK107/DJ107)</f>
        <v/>
      </c>
      <c r="DN107" s="31" t="n"/>
      <c r="DO107" s="60" t="n"/>
    </row>
    <row r="108" ht="15" customHeight="1">
      <c r="A108" s="19" t="n"/>
      <c r="B108" s="20" t="n"/>
      <c r="C108" s="19" t="n"/>
      <c r="D108" s="58">
        <f>D109+D110+D111+D112+D113+D114+D115+D116+D117+D118+D119+D120+D121+D122</f>
        <v/>
      </c>
      <c r="E108" s="58">
        <f>E109+E110+E111+E112+E113+E114+E115+E116+E117+E118+E119+E120+E121+E122</f>
        <v/>
      </c>
      <c r="F108" s="58">
        <f>E108-D108</f>
        <v/>
      </c>
      <c r="G108" s="59">
        <f>IF(D108=0,"",E108/D108)</f>
        <v/>
      </c>
      <c r="H108" s="23" t="n"/>
      <c r="I108" s="58">
        <f>I109+I110+I111+I112+I113+I114+I115+I116+I117+I118+I119+I120+I121+I122</f>
        <v/>
      </c>
      <c r="J108" s="58">
        <f>J109+J110+J111+J112+J113+J114+J115+J116+J117+J118+J119+J120+J121+J122</f>
        <v/>
      </c>
      <c r="K108" s="58">
        <f>J108-I108</f>
        <v/>
      </c>
      <c r="L108" s="59">
        <f>IF(I108=0,"",J108/I108)</f>
        <v/>
      </c>
      <c r="M108" s="23" t="n"/>
      <c r="N108" s="58">
        <f>N109+N110+N111+N112+N113+N114+N115+N116+N117+N118+N119+N120+N121+N122</f>
        <v/>
      </c>
      <c r="O108" s="58">
        <f>O109+O110+O111+O112+O113+O114+O115+O116+O117+O118+O119+O120+O121+O122</f>
        <v/>
      </c>
      <c r="P108" s="58">
        <f>O108-N108</f>
        <v/>
      </c>
      <c r="Q108" s="59">
        <f>IF(N108=0,"",O108/N108)</f>
        <v/>
      </c>
      <c r="R108" s="23" t="n"/>
      <c r="S108" s="58">
        <f>S109+S110+S111+S112+S113+S114+S115+S116+S117+S118+S119+S120+S121+S122</f>
        <v/>
      </c>
      <c r="T108" s="58">
        <f>T109+T110+T111+T112+T113+T114+T115+T116+T117+T118+T119+T120+T121+T122</f>
        <v/>
      </c>
      <c r="U108" s="58">
        <f>T108-S108</f>
        <v/>
      </c>
      <c r="V108" s="59">
        <f>IF(S108=0,"",T108/S108)</f>
        <v/>
      </c>
      <c r="W108" s="23" t="n"/>
      <c r="X108" s="58">
        <f>X109+X110+X111+X112+X113+X114+X115+X116+X117+X118+X119+X120+X121+X122</f>
        <v/>
      </c>
      <c r="Y108" s="58">
        <f>Y109+Y110+Y111+Y112+Y113+Y114+Y115+Y116+Y117+Y118+Y119+Y120+Y121+Y122</f>
        <v/>
      </c>
      <c r="Z108" s="58">
        <f>Y108-X108</f>
        <v/>
      </c>
      <c r="AA108" s="59">
        <f>IF(X108=0,"",Y108/X108)</f>
        <v/>
      </c>
      <c r="AB108" s="23" t="n"/>
      <c r="AC108" s="58">
        <f>AC109+AC110+AC111+AC112+AC113+AC114+AC115+AC116+AC117+AC118+AC119+AC120+AC121+AC122</f>
        <v/>
      </c>
      <c r="AD108" s="58">
        <f>AD109+AD110+AD111+AD112+AD113+AD114+AD115+AD116+AD117+AD118+AD119+AD120+AD121+AD122</f>
        <v/>
      </c>
      <c r="AE108" s="58">
        <f>AD108-AC108</f>
        <v/>
      </c>
      <c r="AF108" s="59">
        <f>IF(AC108=0,"",AD108/AC108)</f>
        <v/>
      </c>
      <c r="AG108" s="23" t="n"/>
      <c r="AH108" s="58">
        <f>AH109+AH110+AH111+AH112+AH113+AH114+AH115+AH116+AH117+AH118+AH119+AH120+AH121+AH122</f>
        <v/>
      </c>
      <c r="AI108" s="58">
        <f>AI109+AI110+AI111+AI112+AI113+AI114+AI115+AI116+AI117+AI118+AI119+AI120+AI121+AI122</f>
        <v/>
      </c>
      <c r="AJ108" s="58">
        <f>AI108-AH108</f>
        <v/>
      </c>
      <c r="AK108" s="59">
        <f>IF(AH108=0,"",AI108/AH108)</f>
        <v/>
      </c>
      <c r="AL108" s="23" t="n"/>
      <c r="AM108" s="58">
        <f>AM109+AM110+AM111+AM112+AM113+AM114+AM115+AM116+AM117+AM118+AM119+AM120+AM121+AM122</f>
        <v/>
      </c>
      <c r="AN108" s="58">
        <f>AN109+AN110+AN111+AN112+AN113+AN114+AN115+AN116+AN117+AN118+AN119+AN120+AN121+AN122</f>
        <v/>
      </c>
      <c r="AO108" s="58">
        <f>AN108-AM108</f>
        <v/>
      </c>
      <c r="AP108" s="59">
        <f>IF(AM108=0,"",AN108/AM108)</f>
        <v/>
      </c>
      <c r="AQ108" s="23" t="n"/>
      <c r="AR108" s="58">
        <f>AR109+AR110+AR111+AR112+AR113+AR114+AR115+AR116+AR117+AR118+AR119+AR120+AR121+AR122</f>
        <v/>
      </c>
      <c r="AS108" s="58">
        <f>AS109+AS110+AS111+AS112+AS113+AS114+AS115+AS116+AS117+AS118+AS119+AS120+AS121+AS122</f>
        <v/>
      </c>
      <c r="AT108" s="58">
        <f>AS108-AR108</f>
        <v/>
      </c>
      <c r="AU108" s="59">
        <f>IF(AR108=0,"",AS108/AR108)</f>
        <v/>
      </c>
      <c r="AV108" s="23" t="n"/>
      <c r="AW108" s="58">
        <f>AW109+AW110+AW111+AW112+AW113+AW114+AW115+AW116+AW117+AW118+AW119+AW120+AW121+AW122</f>
        <v/>
      </c>
      <c r="AX108" s="58">
        <f>AX109+AX110+AX111+AX112+AX113+AX114+AX115+AX116+AX117+AX118+AX119+AX120+AX121+AX122</f>
        <v/>
      </c>
      <c r="AY108" s="58">
        <f>AX108-AW108</f>
        <v/>
      </c>
      <c r="AZ108" s="59">
        <f>IF(AW108=0,"",AX108/AW108)</f>
        <v/>
      </c>
      <c r="BA108" s="23" t="n"/>
      <c r="BB108" s="58">
        <f>BB109+BB110+BB111+BB112+BB113+BB114+BB115+BB116+BB117+BB118+BB119+BB120+BB121+BB122</f>
        <v/>
      </c>
      <c r="BC108" s="58">
        <f>BC109+BC110+BC111+BC112+BC113+BC114+BC115+BC116+BC117+BC118+BC119+BC120+BC121+BC122</f>
        <v/>
      </c>
      <c r="BD108" s="58">
        <f>BC108-BB108</f>
        <v/>
      </c>
      <c r="BE108" s="59">
        <f>IF(BB108=0,"",BC108/BB108)</f>
        <v/>
      </c>
      <c r="BF108" s="23" t="n"/>
      <c r="BG108" s="58">
        <f>BG109+BG110+BG111+BG112+BG113+BG114+BG115+BG116+BG117+BG118+BG119+BG120+BG121+BG122</f>
        <v/>
      </c>
      <c r="BH108" s="58">
        <f>BH109+BH110+BH111+BH112+BH113+BH114+BH115+BH116+BH117+BH118+BH119+BH120+BH121+BH122</f>
        <v/>
      </c>
      <c r="BI108" s="58">
        <f>BH108-BG108</f>
        <v/>
      </c>
      <c r="BJ108" s="59">
        <f>IF(BG108=0,"",BH108/BG108)</f>
        <v/>
      </c>
      <c r="BK108" s="23" t="n"/>
      <c r="BL108" s="58">
        <f>BL109+BL110+BL111+BL112+BL113+BL114+BL115+BL116+BL117+BL118+BL119+BL120+BL121+BL122</f>
        <v/>
      </c>
      <c r="BM108" s="58">
        <f>BM109+BM110+BM111+BM112+BM113+BM114+BM115+BM116+BM117+BM118+BM119+BM120+BM121+BM122</f>
        <v/>
      </c>
      <c r="BN108" s="58">
        <f>BM108-BL108</f>
        <v/>
      </c>
      <c r="BO108" s="59">
        <f>IF(BL108=0,"",BM108/BL108)</f>
        <v/>
      </c>
      <c r="BP108" s="23" t="n"/>
      <c r="BQ108" s="58">
        <f>BQ109+BQ110+BQ111+BQ112+BQ113+BQ114+BQ115+BQ116+BQ117+BQ118+BQ119+BQ120+BQ121+BQ122</f>
        <v/>
      </c>
      <c r="BR108" s="58">
        <f>BR109+BR110+BR111+BR112+BR113+BR114+BR115+BR116+BR117+BR118+BR119+BR120+BR121+BR122</f>
        <v/>
      </c>
      <c r="BS108" s="58">
        <f>BR108-BQ108</f>
        <v/>
      </c>
      <c r="BT108" s="59">
        <f>IF(BQ108=0,"",BR108/BQ108)</f>
        <v/>
      </c>
      <c r="BU108" s="23" t="n"/>
      <c r="BV108" s="58">
        <f>BV109+BV110+BV111+BV112+BV113+BV114+BV115+BV116+BV117+BV118+BV119+BV120+BV121+BV122</f>
        <v/>
      </c>
      <c r="BW108" s="58">
        <f>BW109+BW110+BW111+BW112+BW113+BW114+BW115+BW116+BW117+BW118+BW119+BW120+BW121+BW122</f>
        <v/>
      </c>
      <c r="BX108" s="58">
        <f>BW108-BV108</f>
        <v/>
      </c>
      <c r="BY108" s="59">
        <f>IF(BV108=0,"",BW108/BV108)</f>
        <v/>
      </c>
      <c r="BZ108" s="23" t="n"/>
      <c r="CA108" s="58">
        <f>CA109+CA110+CA111+CA112+CA113+CA114+CA115+CA116+CA117+CA118+CA119+CA120+CA121+CA122</f>
        <v/>
      </c>
      <c r="CB108" s="58">
        <f>CB109+CB110+CB111+CB112+CB113+CB114+CB115+CB116+CB117+CB118+CB119+CB120+CB121+CB122</f>
        <v/>
      </c>
      <c r="CC108" s="58">
        <f>CB108-CA108</f>
        <v/>
      </c>
      <c r="CD108" s="59">
        <f>IF(CA108=0,"",CB108/CA108)</f>
        <v/>
      </c>
      <c r="CE108" s="23" t="n"/>
      <c r="CF108" s="58">
        <f>CF109+CF110+CF111+CF112+CF113+CF114+CF115+CF116+CF117+CF118+CF119+CF120+CF121+CF122</f>
        <v/>
      </c>
      <c r="CG108" s="58">
        <f>CG109+CG110+CG111+CG112+CG113+CG114+CG115+CG116+CG117+CG118+CG119+CG120+CG121+CG122</f>
        <v/>
      </c>
      <c r="CH108" s="58">
        <f>CG108-CF108</f>
        <v/>
      </c>
      <c r="CI108" s="59">
        <f>IF(CF108=0,"",CG108/CF108)</f>
        <v/>
      </c>
      <c r="CJ108" s="23" t="n"/>
      <c r="CK108" s="58">
        <f>CK109+CK110+CK111+CK112+CK113+CK114+CK115+CK116+CK117+CK118+CK119+CK120+CK121+CK122</f>
        <v/>
      </c>
      <c r="CL108" s="58">
        <f>CL109+CL110+CL111+CL112+CL113+CL114+CL115+CL116+CL117+CL118+CL119+CL120+CL121+CL122</f>
        <v/>
      </c>
      <c r="CM108" s="58">
        <f>CL108-CK108</f>
        <v/>
      </c>
      <c r="CN108" s="59">
        <f>IF(CK108=0,"",CL108/CK108)</f>
        <v/>
      </c>
      <c r="CO108" s="23" t="n"/>
      <c r="CP108" s="58">
        <f>CP109+CP110+CP111+CP112+CP113+CP114+CP115+CP116+CP117+CP118+CP119+CP120+CP121+CP122</f>
        <v/>
      </c>
      <c r="CQ108" s="58">
        <f>CQ109+CQ110+CQ111+CQ112+CQ113+CQ114+CQ115+CQ116+CQ117+CQ118+CQ119+CQ120+CQ121+CQ122</f>
        <v/>
      </c>
      <c r="CR108" s="58">
        <f>CQ108-CP108</f>
        <v/>
      </c>
      <c r="CS108" s="59">
        <f>IF(CP108=0,"",CQ108/CP108)</f>
        <v/>
      </c>
      <c r="CT108" s="23" t="n"/>
      <c r="CU108" s="58">
        <f>CU109+CU110+CU111+CU112+CU113+CU114+CU115+CU116+CU117+CU118+CU119+CU120+CU121+CU122</f>
        <v/>
      </c>
      <c r="CV108" s="58">
        <f>CV109+CV110+CV111+CV112+CV113+CV114+CV115+CV116+CV117+CV118+CV119+CV120+CV121+CV122</f>
        <v/>
      </c>
      <c r="CW108" s="58">
        <f>CV108-CU108</f>
        <v/>
      </c>
      <c r="CX108" s="59">
        <f>IF(CU108=0,"",CV108/CU108)</f>
        <v/>
      </c>
      <c r="CY108" s="23" t="n"/>
      <c r="CZ108" s="58">
        <f>CZ109+CZ110+CZ111+CZ112+CZ113+CZ114+CZ115+CZ116+CZ117+CZ118+CZ119+CZ120+CZ121+CZ122</f>
        <v/>
      </c>
      <c r="DA108" s="58">
        <f>DA109+DA110+DA111+DA112+DA113+DA114+DA115+DA116+DA117+DA118+DA119+DA120+DA121+DA122</f>
        <v/>
      </c>
      <c r="DB108" s="58">
        <f>DA108-CZ108</f>
        <v/>
      </c>
      <c r="DC108" s="59">
        <f>IF(CZ108=0,"",DA108/CZ108)</f>
        <v/>
      </c>
      <c r="DD108" s="23" t="n"/>
      <c r="DE108" s="58">
        <f>DE109+DE110+DE111+DE112+DE113+DE114+DE115+DE116+DE117+DE118+DE119+DE120+DE121+DE122</f>
        <v/>
      </c>
      <c r="DF108" s="58">
        <f>DF109+DF110+DF111+DF112+DF113+DF114+DF115+DF116+DF117+DF118+DF119+DF120+DF121+DF122</f>
        <v/>
      </c>
      <c r="DG108" s="58">
        <f>DF108-DE108</f>
        <v/>
      </c>
      <c r="DH108" s="59">
        <f>IF(DE108=0,"",DF108/DE108)</f>
        <v/>
      </c>
      <c r="DI108" s="23" t="n"/>
      <c r="DJ108" s="58">
        <f>DJ109+DJ110+DJ111+DJ112+DJ113+DJ114+DJ115+DJ116+DJ117+DJ118+DJ119+DJ120+DJ121+DJ122</f>
        <v/>
      </c>
      <c r="DK108" s="58">
        <f>DK109+DK110+DK111+DK112+DK113+DK114+DK115+DK116+DK117+DK118+DK119+DK120+DK121+DK122</f>
        <v/>
      </c>
      <c r="DL108" s="58">
        <f>DK108-DJ108</f>
        <v/>
      </c>
      <c r="DM108" s="59">
        <f>IF(DJ108=0,"",DK108/DJ108)</f>
        <v/>
      </c>
      <c r="DN108" s="23" t="n"/>
      <c r="DO108" s="58">
        <f>DO109+DO110+DO111+DO112+DO113+DO114+DO115+DO116+DO117+DO118+DO119+DO120+DO121+DO122</f>
        <v/>
      </c>
    </row>
    <row r="109" outlineLevel="1" ht="15" customHeight="1">
      <c r="A109" s="24" t="n"/>
      <c r="B109" s="24" t="n"/>
      <c r="C109" s="24" t="n"/>
      <c r="D109" s="60" t="n"/>
      <c r="E109" s="60" t="n"/>
      <c r="F109" s="60">
        <f>E109-D109</f>
        <v/>
      </c>
      <c r="G109" s="61">
        <f>IF(D109=0,"",E109/D109)</f>
        <v/>
      </c>
      <c r="H109" s="27" t="n"/>
      <c r="I109" s="60" t="n"/>
      <c r="J109" s="60" t="n"/>
      <c r="K109" s="60">
        <f>J109-I109</f>
        <v/>
      </c>
      <c r="L109" s="61">
        <f>IF(I109=0,"",J109/I109)</f>
        <v/>
      </c>
      <c r="M109" s="27" t="n"/>
      <c r="N109" s="62" t="n"/>
      <c r="O109" s="62" t="n"/>
      <c r="P109" s="63">
        <f>O109-N109</f>
        <v/>
      </c>
      <c r="Q109" s="64">
        <f>IF(N109=0,"",O109/N109)</f>
        <v/>
      </c>
      <c r="R109" s="31" t="n"/>
      <c r="S109" s="60" t="n"/>
      <c r="T109" s="60" t="n"/>
      <c r="U109" s="60">
        <f>T109-S109</f>
        <v/>
      </c>
      <c r="V109" s="61">
        <f>IF(S109=0,"",T109/S109)</f>
        <v/>
      </c>
      <c r="W109" s="27" t="n"/>
      <c r="X109" s="62" t="n"/>
      <c r="Y109" s="62" t="n"/>
      <c r="Z109" s="63">
        <f>Y109-X109</f>
        <v/>
      </c>
      <c r="AA109" s="64">
        <f>IF(X109=0,"",Y109/X109)</f>
        <v/>
      </c>
      <c r="AB109" s="31" t="n"/>
      <c r="AC109" s="60" t="n"/>
      <c r="AD109" s="60" t="n"/>
      <c r="AE109" s="60">
        <f>AD109-AC109</f>
        <v/>
      </c>
      <c r="AF109" s="61">
        <f>IF(AC109=0,"",AD109/AC109)</f>
        <v/>
      </c>
      <c r="AG109" s="27" t="n"/>
      <c r="AH109" s="62" t="n"/>
      <c r="AI109" s="62" t="n"/>
      <c r="AJ109" s="62">
        <f>AI109-AH109</f>
        <v/>
      </c>
      <c r="AK109" s="64">
        <f>IF(AH109=0,"",AI109/AH109)</f>
        <v/>
      </c>
      <c r="AL109" s="31" t="n"/>
      <c r="AM109" s="60" t="n"/>
      <c r="AN109" s="60" t="n"/>
      <c r="AO109" s="60">
        <f>AN109-AM109</f>
        <v/>
      </c>
      <c r="AP109" s="61">
        <f>IF(AM109=0,"",AN109/AM109)</f>
        <v/>
      </c>
      <c r="AQ109" s="27" t="n"/>
      <c r="AR109" s="62" t="n"/>
      <c r="AS109" s="62" t="n"/>
      <c r="AT109" s="62">
        <f>AS109-AR109</f>
        <v/>
      </c>
      <c r="AU109" s="64">
        <f>IF(AR109=0,"",AS109/AR109)</f>
        <v/>
      </c>
      <c r="AV109" s="31" t="n"/>
      <c r="AW109" s="60" t="n"/>
      <c r="AX109" s="60" t="n"/>
      <c r="AY109" s="60">
        <f>AX109-AW109</f>
        <v/>
      </c>
      <c r="AZ109" s="61">
        <f>IF(AW109=0,"",AX109/AW109)</f>
        <v/>
      </c>
      <c r="BA109" s="27" t="n"/>
      <c r="BB109" s="62" t="n"/>
      <c r="BC109" s="62" t="n"/>
      <c r="BD109" s="62">
        <f>BC109-BB109</f>
        <v/>
      </c>
      <c r="BE109" s="64">
        <f>IF(BB109=0,"",BC109/BB109)</f>
        <v/>
      </c>
      <c r="BF109" s="31" t="n"/>
      <c r="BG109" s="60" t="n"/>
      <c r="BH109" s="60" t="n"/>
      <c r="BI109" s="60">
        <f>BH109-BG109</f>
        <v/>
      </c>
      <c r="BJ109" s="61">
        <f>IF(BG109=0,"",BH109/BG109)</f>
        <v/>
      </c>
      <c r="BK109" s="27" t="n"/>
      <c r="BL109" s="62" t="n"/>
      <c r="BM109" s="62" t="n"/>
      <c r="BN109" s="62">
        <f>BM109-BL109</f>
        <v/>
      </c>
      <c r="BO109" s="64">
        <f>IF(BL109=0,"",BM109/BL109)</f>
        <v/>
      </c>
      <c r="BP109" s="31" t="n"/>
      <c r="BQ109" s="60" t="n"/>
      <c r="BR109" s="60" t="n"/>
      <c r="BS109" s="60">
        <f>BR109-BQ109</f>
        <v/>
      </c>
      <c r="BT109" s="61">
        <f>IF(BQ109=0,"",BR109/BQ109)</f>
        <v/>
      </c>
      <c r="BU109" s="27" t="n"/>
      <c r="BV109" s="62" t="n"/>
      <c r="BW109" s="62" t="n"/>
      <c r="BX109" s="62">
        <f>BW109-BV109</f>
        <v/>
      </c>
      <c r="BY109" s="64">
        <f>IF(BV109=0,"",BW109/BV109)</f>
        <v/>
      </c>
      <c r="BZ109" s="31" t="n"/>
      <c r="CA109" s="60" t="n"/>
      <c r="CB109" s="60" t="n"/>
      <c r="CC109" s="60">
        <f>CB109-CA109</f>
        <v/>
      </c>
      <c r="CD109" s="61">
        <f>IF(CA109=0,"",CB109/CA109)</f>
        <v/>
      </c>
      <c r="CE109" s="27" t="n"/>
      <c r="CF109" s="62" t="n"/>
      <c r="CG109" s="62" t="n"/>
      <c r="CH109" s="62">
        <f>CG109-CF109</f>
        <v/>
      </c>
      <c r="CI109" s="64">
        <f>IF(CF109=0,"",CG109/CF109)</f>
        <v/>
      </c>
      <c r="CJ109" s="31" t="n"/>
      <c r="CK109" s="60" t="n"/>
      <c r="CL109" s="60" t="n"/>
      <c r="CM109" s="60">
        <f>CL109-CK109</f>
        <v/>
      </c>
      <c r="CN109" s="61">
        <f>IF(CK109=0,"",CL109/CK109)</f>
        <v/>
      </c>
      <c r="CO109" s="27" t="n"/>
      <c r="CP109" s="62" t="n"/>
      <c r="CQ109" s="62" t="n"/>
      <c r="CR109" s="62">
        <f>CQ109-CP109</f>
        <v/>
      </c>
      <c r="CS109" s="64">
        <f>IF(CP109=0,"",CQ109/CP109)</f>
        <v/>
      </c>
      <c r="CT109" s="31" t="n"/>
      <c r="CU109" s="60" t="n"/>
      <c r="CV109" s="60" t="n"/>
      <c r="CW109" s="60">
        <f>CV109-CU109</f>
        <v/>
      </c>
      <c r="CX109" s="61">
        <f>IF(CU109=0,"",CV109/CU109)</f>
        <v/>
      </c>
      <c r="CY109" s="27" t="n"/>
      <c r="CZ109" s="62" t="n"/>
      <c r="DA109" s="62" t="n"/>
      <c r="DB109" s="62">
        <f>DA109-CZ109</f>
        <v/>
      </c>
      <c r="DC109" s="64">
        <f>IF(CZ109=0,"",DA109/CZ109)</f>
        <v/>
      </c>
      <c r="DD109" s="31" t="n"/>
      <c r="DE109" s="60" t="n"/>
      <c r="DF109" s="60" t="n"/>
      <c r="DG109" s="60">
        <f>DF109-DE109</f>
        <v/>
      </c>
      <c r="DH109" s="61">
        <f>IF(DE109=0,"",DF109/DE109)</f>
        <v/>
      </c>
      <c r="DI109" s="27" t="n"/>
      <c r="DJ109" s="62" t="n"/>
      <c r="DK109" s="62" t="n"/>
      <c r="DL109" s="62">
        <f>DK109-DJ109</f>
        <v/>
      </c>
      <c r="DM109" s="64">
        <f>IF(DJ109=0,"",DK109/DJ109)</f>
        <v/>
      </c>
      <c r="DN109" s="31" t="n"/>
      <c r="DO109" s="60" t="n"/>
    </row>
    <row r="110" outlineLevel="1" ht="15" customHeight="1">
      <c r="A110" s="24" t="n"/>
      <c r="B110" s="24" t="n"/>
      <c r="C110" s="24" t="n"/>
      <c r="D110" s="60" t="n"/>
      <c r="E110" s="60" t="n"/>
      <c r="F110" s="60">
        <f>E110-D110</f>
        <v/>
      </c>
      <c r="G110" s="61">
        <f>IF(D110=0,"",E110/D110)</f>
        <v/>
      </c>
      <c r="H110" s="27" t="n"/>
      <c r="I110" s="60" t="n"/>
      <c r="J110" s="60" t="n"/>
      <c r="K110" s="60">
        <f>J110-I110</f>
        <v/>
      </c>
      <c r="L110" s="61">
        <f>IF(I110=0,"",J110/I110)</f>
        <v/>
      </c>
      <c r="M110" s="27" t="n"/>
      <c r="N110" s="62" t="n"/>
      <c r="O110" s="62" t="n"/>
      <c r="P110" s="62">
        <f>O110-N110</f>
        <v/>
      </c>
      <c r="Q110" s="64">
        <f>IF(N110=0,"",O110/N110)</f>
        <v/>
      </c>
      <c r="R110" s="31" t="n"/>
      <c r="S110" s="60" t="n"/>
      <c r="T110" s="60" t="n"/>
      <c r="U110" s="60">
        <f>T110-S110</f>
        <v/>
      </c>
      <c r="V110" s="61">
        <f>IF(S110=0,"",T110/S110)</f>
        <v/>
      </c>
      <c r="W110" s="27" t="n"/>
      <c r="X110" s="62" t="n"/>
      <c r="Y110" s="62" t="n"/>
      <c r="Z110" s="63">
        <f>Y110-X110</f>
        <v/>
      </c>
      <c r="AA110" s="64">
        <f>IF(X110=0,"",Y110/X110)</f>
        <v/>
      </c>
      <c r="AB110" s="31" t="n"/>
      <c r="AC110" s="60" t="n"/>
      <c r="AD110" s="60" t="n"/>
      <c r="AE110" s="60">
        <f>AD110-AC110</f>
        <v/>
      </c>
      <c r="AF110" s="61">
        <f>IF(AC110=0,"",AD110/AC110)</f>
        <v/>
      </c>
      <c r="AG110" s="27" t="n"/>
      <c r="AH110" s="62" t="n"/>
      <c r="AI110" s="62" t="n"/>
      <c r="AJ110" s="62">
        <f>AI110-AH110</f>
        <v/>
      </c>
      <c r="AK110" s="64">
        <f>IF(AH110=0,"",AI110/AH110)</f>
        <v/>
      </c>
      <c r="AL110" s="31" t="n"/>
      <c r="AM110" s="60" t="n"/>
      <c r="AN110" s="60" t="n"/>
      <c r="AO110" s="60">
        <f>AN110-AM110</f>
        <v/>
      </c>
      <c r="AP110" s="61">
        <f>IF(AM110=0,"",AN110/AM110)</f>
        <v/>
      </c>
      <c r="AQ110" s="27" t="n"/>
      <c r="AR110" s="62" t="n"/>
      <c r="AS110" s="62" t="n"/>
      <c r="AT110" s="62">
        <f>AS110-AR110</f>
        <v/>
      </c>
      <c r="AU110" s="64">
        <f>IF(AR110=0,"",AS110/AR110)</f>
        <v/>
      </c>
      <c r="AV110" s="31" t="n"/>
      <c r="AW110" s="60" t="n"/>
      <c r="AX110" s="60" t="n"/>
      <c r="AY110" s="60">
        <f>AX110-AW110</f>
        <v/>
      </c>
      <c r="AZ110" s="61">
        <f>IF(AW110=0,"",AX110/AW110)</f>
        <v/>
      </c>
      <c r="BA110" s="27" t="n"/>
      <c r="BB110" s="62" t="n"/>
      <c r="BC110" s="62" t="n"/>
      <c r="BD110" s="62">
        <f>BC110-BB110</f>
        <v/>
      </c>
      <c r="BE110" s="64">
        <f>IF(BB110=0,"",BC110/BB110)</f>
        <v/>
      </c>
      <c r="BF110" s="31" t="n"/>
      <c r="BG110" s="60" t="n"/>
      <c r="BH110" s="60" t="n"/>
      <c r="BI110" s="60">
        <f>BH110-BG110</f>
        <v/>
      </c>
      <c r="BJ110" s="61">
        <f>IF(BG110=0,"",BH110/BG110)</f>
        <v/>
      </c>
      <c r="BK110" s="27" t="n"/>
      <c r="BL110" s="62" t="n"/>
      <c r="BM110" s="62" t="n"/>
      <c r="BN110" s="62">
        <f>BM110-BL110</f>
        <v/>
      </c>
      <c r="BO110" s="64">
        <f>IF(BL110=0,"",BM110/BL110)</f>
        <v/>
      </c>
      <c r="BP110" s="31" t="n"/>
      <c r="BQ110" s="60" t="n"/>
      <c r="BR110" s="60" t="n"/>
      <c r="BS110" s="60">
        <f>BR110-BQ110</f>
        <v/>
      </c>
      <c r="BT110" s="61">
        <f>IF(BQ110=0,"",BR110/BQ110)</f>
        <v/>
      </c>
      <c r="BU110" s="27" t="n"/>
      <c r="BV110" s="62" t="n"/>
      <c r="BW110" s="62" t="n"/>
      <c r="BX110" s="62">
        <f>BW110-BV110</f>
        <v/>
      </c>
      <c r="BY110" s="64">
        <f>IF(BV110=0,"",BW110/BV110)</f>
        <v/>
      </c>
      <c r="BZ110" s="31" t="n"/>
      <c r="CA110" s="60" t="n"/>
      <c r="CB110" s="60" t="n"/>
      <c r="CC110" s="60">
        <f>CB110-CA110</f>
        <v/>
      </c>
      <c r="CD110" s="61">
        <f>IF(CA110=0,"",CB110/CA110)</f>
        <v/>
      </c>
      <c r="CE110" s="27" t="n"/>
      <c r="CF110" s="62" t="n"/>
      <c r="CG110" s="62" t="n"/>
      <c r="CH110" s="62">
        <f>CG110-CF110</f>
        <v/>
      </c>
      <c r="CI110" s="64">
        <f>IF(CF110=0,"",CG110/CF110)</f>
        <v/>
      </c>
      <c r="CJ110" s="31" t="n"/>
      <c r="CK110" s="60" t="n"/>
      <c r="CL110" s="60" t="n"/>
      <c r="CM110" s="60">
        <f>CL110-CK110</f>
        <v/>
      </c>
      <c r="CN110" s="61">
        <f>IF(CK110=0,"",CL110/CK110)</f>
        <v/>
      </c>
      <c r="CO110" s="27" t="n"/>
      <c r="CP110" s="62" t="n"/>
      <c r="CQ110" s="62" t="n"/>
      <c r="CR110" s="62">
        <f>CQ110-CP110</f>
        <v/>
      </c>
      <c r="CS110" s="64">
        <f>IF(CP110=0,"",CQ110/CP110)</f>
        <v/>
      </c>
      <c r="CT110" s="31" t="n"/>
      <c r="CU110" s="60" t="n"/>
      <c r="CV110" s="60" t="n"/>
      <c r="CW110" s="60">
        <f>CV110-CU110</f>
        <v/>
      </c>
      <c r="CX110" s="61">
        <f>IF(CU110=0,"",CV110/CU110)</f>
        <v/>
      </c>
      <c r="CY110" s="27" t="n"/>
      <c r="CZ110" s="62" t="n"/>
      <c r="DA110" s="62" t="n"/>
      <c r="DB110" s="62">
        <f>DA110-CZ110</f>
        <v/>
      </c>
      <c r="DC110" s="64">
        <f>IF(CZ110=0,"",DA110/CZ110)</f>
        <v/>
      </c>
      <c r="DD110" s="31" t="n"/>
      <c r="DE110" s="60" t="n"/>
      <c r="DF110" s="60" t="n"/>
      <c r="DG110" s="60">
        <f>DF110-DE110</f>
        <v/>
      </c>
      <c r="DH110" s="61">
        <f>IF(DE110=0,"",DF110/DE110)</f>
        <v/>
      </c>
      <c r="DI110" s="27" t="n"/>
      <c r="DJ110" s="62" t="n"/>
      <c r="DK110" s="62" t="n"/>
      <c r="DL110" s="62">
        <f>DK110-DJ110</f>
        <v/>
      </c>
      <c r="DM110" s="64">
        <f>IF(DJ110=0,"",DK110/DJ110)</f>
        <v/>
      </c>
      <c r="DN110" s="31" t="n"/>
      <c r="DO110" s="60" t="n"/>
    </row>
    <row r="111" outlineLevel="1" ht="15" customHeight="1">
      <c r="A111" s="24" t="n"/>
      <c r="B111" s="24" t="n"/>
      <c r="C111" s="24" t="n"/>
      <c r="D111" s="60" t="n"/>
      <c r="E111" s="60" t="n"/>
      <c r="F111" s="60">
        <f>E111-D111</f>
        <v/>
      </c>
      <c r="G111" s="61">
        <f>IF(D111=0,"",E111/D111)</f>
        <v/>
      </c>
      <c r="H111" s="27" t="n"/>
      <c r="I111" s="60" t="n"/>
      <c r="J111" s="60" t="n"/>
      <c r="K111" s="60">
        <f>J111-I111</f>
        <v/>
      </c>
      <c r="L111" s="61">
        <f>IF(I111=0,"",J111/I111)</f>
        <v/>
      </c>
      <c r="M111" s="27" t="n"/>
      <c r="N111" s="62" t="n"/>
      <c r="O111" s="62" t="n"/>
      <c r="P111" s="62">
        <f>O111-N111</f>
        <v/>
      </c>
      <c r="Q111" s="64">
        <f>IF(N111=0,"",O111/N111)</f>
        <v/>
      </c>
      <c r="R111" s="31" t="n"/>
      <c r="S111" s="60" t="n"/>
      <c r="T111" s="60" t="n"/>
      <c r="U111" s="60">
        <f>T111-S111</f>
        <v/>
      </c>
      <c r="V111" s="61">
        <f>IF(S111=0,"",T111/S111)</f>
        <v/>
      </c>
      <c r="W111" s="27" t="n"/>
      <c r="X111" s="62" t="n"/>
      <c r="Y111" s="62" t="n"/>
      <c r="Z111" s="62">
        <f>Y111-X111</f>
        <v/>
      </c>
      <c r="AA111" s="64">
        <f>IF(X111=0,"",Y111/X111)</f>
        <v/>
      </c>
      <c r="AB111" s="31" t="n"/>
      <c r="AC111" s="60" t="n"/>
      <c r="AD111" s="60" t="n"/>
      <c r="AE111" s="60">
        <f>AD111-AC111</f>
        <v/>
      </c>
      <c r="AF111" s="61">
        <f>IF(AC111=0,"",AD111/AC111)</f>
        <v/>
      </c>
      <c r="AG111" s="27" t="n"/>
      <c r="AH111" s="62" t="n"/>
      <c r="AI111" s="62" t="n"/>
      <c r="AJ111" s="62">
        <f>AI111-AH111</f>
        <v/>
      </c>
      <c r="AK111" s="64">
        <f>IF(AH111=0,"",AI111/AH111)</f>
        <v/>
      </c>
      <c r="AL111" s="31" t="n"/>
      <c r="AM111" s="60" t="n"/>
      <c r="AN111" s="60" t="n"/>
      <c r="AO111" s="60">
        <f>AN111-AM111</f>
        <v/>
      </c>
      <c r="AP111" s="61">
        <f>IF(AM111=0,"",AN111/AM111)</f>
        <v/>
      </c>
      <c r="AQ111" s="27" t="n"/>
      <c r="AR111" s="62" t="n"/>
      <c r="AS111" s="62" t="n"/>
      <c r="AT111" s="62">
        <f>AS111-AR111</f>
        <v/>
      </c>
      <c r="AU111" s="64">
        <f>IF(AR111=0,"",AS111/AR111)</f>
        <v/>
      </c>
      <c r="AV111" s="31" t="n"/>
      <c r="AW111" s="60" t="n"/>
      <c r="AX111" s="60" t="n"/>
      <c r="AY111" s="60">
        <f>AX111-AW111</f>
        <v/>
      </c>
      <c r="AZ111" s="61">
        <f>IF(AW111=0,"",AX111/AW111)</f>
        <v/>
      </c>
      <c r="BA111" s="27" t="n"/>
      <c r="BB111" s="62" t="n"/>
      <c r="BC111" s="62" t="n"/>
      <c r="BD111" s="62">
        <f>BC111-BB111</f>
        <v/>
      </c>
      <c r="BE111" s="64">
        <f>IF(BB111=0,"",BC111/BB111)</f>
        <v/>
      </c>
      <c r="BF111" s="31" t="n"/>
      <c r="BG111" s="60" t="n"/>
      <c r="BH111" s="60" t="n"/>
      <c r="BI111" s="60">
        <f>BH111-BG111</f>
        <v/>
      </c>
      <c r="BJ111" s="61">
        <f>IF(BG111=0,"",BH111/BG111)</f>
        <v/>
      </c>
      <c r="BK111" s="27" t="n"/>
      <c r="BL111" s="62" t="n"/>
      <c r="BM111" s="62" t="n"/>
      <c r="BN111" s="62">
        <f>BM111-BL111</f>
        <v/>
      </c>
      <c r="BO111" s="64">
        <f>IF(BL111=0,"",BM111/BL111)</f>
        <v/>
      </c>
      <c r="BP111" s="31" t="n"/>
      <c r="BQ111" s="60" t="n"/>
      <c r="BR111" s="60" t="n"/>
      <c r="BS111" s="60">
        <f>BR111-BQ111</f>
        <v/>
      </c>
      <c r="BT111" s="61">
        <f>IF(BQ111=0,"",BR111/BQ111)</f>
        <v/>
      </c>
      <c r="BU111" s="27" t="n"/>
      <c r="BV111" s="62" t="n"/>
      <c r="BW111" s="62" t="n"/>
      <c r="BX111" s="62">
        <f>BW111-BV111</f>
        <v/>
      </c>
      <c r="BY111" s="64">
        <f>IF(BV111=0,"",BW111/BV111)</f>
        <v/>
      </c>
      <c r="BZ111" s="31" t="n"/>
      <c r="CA111" s="60" t="n"/>
      <c r="CB111" s="60" t="n"/>
      <c r="CC111" s="60">
        <f>CB111-CA111</f>
        <v/>
      </c>
      <c r="CD111" s="61">
        <f>IF(CA111=0,"",CB111/CA111)</f>
        <v/>
      </c>
      <c r="CE111" s="27" t="n"/>
      <c r="CF111" s="62" t="n"/>
      <c r="CG111" s="62" t="n"/>
      <c r="CH111" s="62">
        <f>CG111-CF111</f>
        <v/>
      </c>
      <c r="CI111" s="64">
        <f>IF(CF111=0,"",CG111/CF111)</f>
        <v/>
      </c>
      <c r="CJ111" s="31" t="n"/>
      <c r="CK111" s="60" t="n"/>
      <c r="CL111" s="60" t="n"/>
      <c r="CM111" s="60">
        <f>CL111-CK111</f>
        <v/>
      </c>
      <c r="CN111" s="61">
        <f>IF(CK111=0,"",CL111/CK111)</f>
        <v/>
      </c>
      <c r="CO111" s="27" t="n"/>
      <c r="CP111" s="62" t="n"/>
      <c r="CQ111" s="62" t="n"/>
      <c r="CR111" s="62">
        <f>CQ111-CP111</f>
        <v/>
      </c>
      <c r="CS111" s="64">
        <f>IF(CP111=0,"",CQ111/CP111)</f>
        <v/>
      </c>
      <c r="CT111" s="31" t="n"/>
      <c r="CU111" s="60" t="n"/>
      <c r="CV111" s="60" t="n"/>
      <c r="CW111" s="60">
        <f>CV111-CU111</f>
        <v/>
      </c>
      <c r="CX111" s="61">
        <f>IF(CU111=0,"",CV111/CU111)</f>
        <v/>
      </c>
      <c r="CY111" s="27" t="n"/>
      <c r="CZ111" s="62" t="n"/>
      <c r="DA111" s="62" t="n"/>
      <c r="DB111" s="62">
        <f>DA111-CZ111</f>
        <v/>
      </c>
      <c r="DC111" s="64">
        <f>IF(CZ111=0,"",DA111/CZ111)</f>
        <v/>
      </c>
      <c r="DD111" s="31" t="n"/>
      <c r="DE111" s="60" t="n"/>
      <c r="DF111" s="60" t="n"/>
      <c r="DG111" s="60">
        <f>DF111-DE111</f>
        <v/>
      </c>
      <c r="DH111" s="61">
        <f>IF(DE111=0,"",DF111/DE111)</f>
        <v/>
      </c>
      <c r="DI111" s="27" t="n"/>
      <c r="DJ111" s="62" t="n"/>
      <c r="DK111" s="62" t="n"/>
      <c r="DL111" s="62">
        <f>DK111-DJ111</f>
        <v/>
      </c>
      <c r="DM111" s="64">
        <f>IF(DJ111=0,"",DK111/DJ111)</f>
        <v/>
      </c>
      <c r="DN111" s="31" t="n"/>
      <c r="DO111" s="60" t="n"/>
    </row>
    <row r="112" outlineLevel="1" ht="15" customHeight="1">
      <c r="A112" s="24" t="n"/>
      <c r="B112" s="24" t="n"/>
      <c r="C112" s="24" t="n"/>
      <c r="D112" s="60" t="n"/>
      <c r="E112" s="60" t="n"/>
      <c r="F112" s="60">
        <f>E112-D112</f>
        <v/>
      </c>
      <c r="G112" s="61">
        <f>IF(D112=0,"",E112/D112)</f>
        <v/>
      </c>
      <c r="H112" s="27" t="n"/>
      <c r="I112" s="60" t="n"/>
      <c r="J112" s="60" t="n"/>
      <c r="K112" s="60">
        <f>J112-I112</f>
        <v/>
      </c>
      <c r="L112" s="61">
        <f>IF(I112=0,"",J112/I112)</f>
        <v/>
      </c>
      <c r="M112" s="27" t="n"/>
      <c r="N112" s="62" t="n"/>
      <c r="O112" s="62" t="n"/>
      <c r="P112" s="62">
        <f>O112-N112</f>
        <v/>
      </c>
      <c r="Q112" s="64">
        <f>IF(N112=0,"",O112/N112)</f>
        <v/>
      </c>
      <c r="R112" s="31" t="n"/>
      <c r="S112" s="60" t="n"/>
      <c r="T112" s="60" t="n"/>
      <c r="U112" s="60">
        <f>T112-S112</f>
        <v/>
      </c>
      <c r="V112" s="61">
        <f>IF(S112=0,"",T112/S112)</f>
        <v/>
      </c>
      <c r="W112" s="27" t="n"/>
      <c r="X112" s="62" t="n"/>
      <c r="Y112" s="62" t="n"/>
      <c r="Z112" s="62">
        <f>Y112-X112</f>
        <v/>
      </c>
      <c r="AA112" s="64">
        <f>IF(X112=0,"",Y112/X112)</f>
        <v/>
      </c>
      <c r="AB112" s="31" t="n"/>
      <c r="AC112" s="60" t="n"/>
      <c r="AD112" s="60" t="n"/>
      <c r="AE112" s="60">
        <f>AD112-AC112</f>
        <v/>
      </c>
      <c r="AF112" s="61">
        <f>IF(AC112=0,"",AD112/AC112)</f>
        <v/>
      </c>
      <c r="AG112" s="27" t="n"/>
      <c r="AH112" s="62" t="n"/>
      <c r="AI112" s="62" t="n"/>
      <c r="AJ112" s="62">
        <f>AI112-AH112</f>
        <v/>
      </c>
      <c r="AK112" s="64">
        <f>IF(AH112=0,"",AI112/AH112)</f>
        <v/>
      </c>
      <c r="AL112" s="31" t="n"/>
      <c r="AM112" s="60" t="n"/>
      <c r="AN112" s="60" t="n"/>
      <c r="AO112" s="60">
        <f>AN112-AM112</f>
        <v/>
      </c>
      <c r="AP112" s="61">
        <f>IF(AM112=0,"",AN112/AM112)</f>
        <v/>
      </c>
      <c r="AQ112" s="27" t="n"/>
      <c r="AR112" s="62" t="n"/>
      <c r="AS112" s="62" t="n"/>
      <c r="AT112" s="62">
        <f>AS112-AR112</f>
        <v/>
      </c>
      <c r="AU112" s="64">
        <f>IF(AR112=0,"",AS112/AR112)</f>
        <v/>
      </c>
      <c r="AV112" s="31" t="n"/>
      <c r="AW112" s="60" t="n"/>
      <c r="AX112" s="60" t="n"/>
      <c r="AY112" s="60">
        <f>AX112-AW112</f>
        <v/>
      </c>
      <c r="AZ112" s="61">
        <f>IF(AW112=0,"",AX112/AW112)</f>
        <v/>
      </c>
      <c r="BA112" s="27" t="n"/>
      <c r="BB112" s="62" t="n"/>
      <c r="BC112" s="62" t="n"/>
      <c r="BD112" s="62">
        <f>BC112-BB112</f>
        <v/>
      </c>
      <c r="BE112" s="64">
        <f>IF(BB112=0,"",BC112/BB112)</f>
        <v/>
      </c>
      <c r="BF112" s="31" t="n"/>
      <c r="BG112" s="60" t="n"/>
      <c r="BH112" s="60" t="n"/>
      <c r="BI112" s="60">
        <f>BH112-BG112</f>
        <v/>
      </c>
      <c r="BJ112" s="61">
        <f>IF(BG112=0,"",BH112/BG112)</f>
        <v/>
      </c>
      <c r="BK112" s="27" t="n"/>
      <c r="BL112" s="62" t="n"/>
      <c r="BM112" s="62" t="n"/>
      <c r="BN112" s="62">
        <f>BM112-BL112</f>
        <v/>
      </c>
      <c r="BO112" s="64">
        <f>IF(BL112=0,"",BM112/BL112)</f>
        <v/>
      </c>
      <c r="BP112" s="31" t="n"/>
      <c r="BQ112" s="60" t="n"/>
      <c r="BR112" s="60" t="n"/>
      <c r="BS112" s="60">
        <f>BR112-BQ112</f>
        <v/>
      </c>
      <c r="BT112" s="61">
        <f>IF(BQ112=0,"",BR112/BQ112)</f>
        <v/>
      </c>
      <c r="BU112" s="27" t="n"/>
      <c r="BV112" s="62" t="n"/>
      <c r="BW112" s="62" t="n"/>
      <c r="BX112" s="62">
        <f>BW112-BV112</f>
        <v/>
      </c>
      <c r="BY112" s="64">
        <f>IF(BV112=0,"",BW112/BV112)</f>
        <v/>
      </c>
      <c r="BZ112" s="31" t="n"/>
      <c r="CA112" s="60" t="n"/>
      <c r="CB112" s="60" t="n"/>
      <c r="CC112" s="60">
        <f>CB112-CA112</f>
        <v/>
      </c>
      <c r="CD112" s="61">
        <f>IF(CA112=0,"",CB112/CA112)</f>
        <v/>
      </c>
      <c r="CE112" s="27" t="n"/>
      <c r="CF112" s="62" t="n"/>
      <c r="CG112" s="62" t="n"/>
      <c r="CH112" s="62">
        <f>CG112-CF112</f>
        <v/>
      </c>
      <c r="CI112" s="64">
        <f>IF(CF112=0,"",CG112/CF112)</f>
        <v/>
      </c>
      <c r="CJ112" s="31" t="n"/>
      <c r="CK112" s="60" t="n"/>
      <c r="CL112" s="60" t="n"/>
      <c r="CM112" s="60">
        <f>CL112-CK112</f>
        <v/>
      </c>
      <c r="CN112" s="61">
        <f>IF(CK112=0,"",CL112/CK112)</f>
        <v/>
      </c>
      <c r="CO112" s="27" t="n"/>
      <c r="CP112" s="62" t="n"/>
      <c r="CQ112" s="62" t="n"/>
      <c r="CR112" s="62">
        <f>CQ112-CP112</f>
        <v/>
      </c>
      <c r="CS112" s="64">
        <f>IF(CP112=0,"",CQ112/CP112)</f>
        <v/>
      </c>
      <c r="CT112" s="31" t="n"/>
      <c r="CU112" s="60" t="n"/>
      <c r="CV112" s="60" t="n"/>
      <c r="CW112" s="60">
        <f>CV112-CU112</f>
        <v/>
      </c>
      <c r="CX112" s="61">
        <f>IF(CU112=0,"",CV112/CU112)</f>
        <v/>
      </c>
      <c r="CY112" s="27" t="n"/>
      <c r="CZ112" s="62" t="n"/>
      <c r="DA112" s="62" t="n"/>
      <c r="DB112" s="62">
        <f>DA112-CZ112</f>
        <v/>
      </c>
      <c r="DC112" s="64">
        <f>IF(CZ112=0,"",DA112/CZ112)</f>
        <v/>
      </c>
      <c r="DD112" s="31" t="n"/>
      <c r="DE112" s="60" t="n"/>
      <c r="DF112" s="60" t="n"/>
      <c r="DG112" s="60">
        <f>DF112-DE112</f>
        <v/>
      </c>
      <c r="DH112" s="61">
        <f>IF(DE112=0,"",DF112/DE112)</f>
        <v/>
      </c>
      <c r="DI112" s="27" t="n"/>
      <c r="DJ112" s="62" t="n"/>
      <c r="DK112" s="62" t="n"/>
      <c r="DL112" s="62">
        <f>DK112-DJ112</f>
        <v/>
      </c>
      <c r="DM112" s="64">
        <f>IF(DJ112=0,"",DK112/DJ112)</f>
        <v/>
      </c>
      <c r="DN112" s="31" t="n"/>
      <c r="DO112" s="60" t="n"/>
    </row>
    <row r="113" outlineLevel="1" ht="15" customHeight="1">
      <c r="A113" s="24" t="n"/>
      <c r="B113" s="24" t="n"/>
      <c r="C113" s="24" t="n"/>
      <c r="D113" s="60" t="n"/>
      <c r="E113" s="60" t="n"/>
      <c r="F113" s="60">
        <f>E113-D113</f>
        <v/>
      </c>
      <c r="G113" s="61">
        <f>IF(D113=0,"",E113/D113)</f>
        <v/>
      </c>
      <c r="H113" s="27" t="n"/>
      <c r="I113" s="60" t="n"/>
      <c r="J113" s="60" t="n"/>
      <c r="K113" s="60">
        <f>J113-I113</f>
        <v/>
      </c>
      <c r="L113" s="61">
        <f>IF(I113=0,"",J113/I113)</f>
        <v/>
      </c>
      <c r="M113" s="27" t="n"/>
      <c r="N113" s="62" t="n"/>
      <c r="O113" s="62" t="n"/>
      <c r="P113" s="62">
        <f>O113-N113</f>
        <v/>
      </c>
      <c r="Q113" s="64">
        <f>IF(N113=0,"",O113/N113)</f>
        <v/>
      </c>
      <c r="R113" s="31" t="n"/>
      <c r="S113" s="60" t="n"/>
      <c r="T113" s="60" t="n"/>
      <c r="U113" s="60">
        <f>T113-S113</f>
        <v/>
      </c>
      <c r="V113" s="61">
        <f>IF(S113=0,"",T113/S113)</f>
        <v/>
      </c>
      <c r="W113" s="27" t="n"/>
      <c r="X113" s="62" t="n"/>
      <c r="Y113" s="62" t="n"/>
      <c r="Z113" s="62">
        <f>Y113-X113</f>
        <v/>
      </c>
      <c r="AA113" s="64">
        <f>IF(X113=0,"",Y113/X113)</f>
        <v/>
      </c>
      <c r="AB113" s="31" t="n"/>
      <c r="AC113" s="60" t="n"/>
      <c r="AD113" s="60" t="n"/>
      <c r="AE113" s="60">
        <f>AD113-AC113</f>
        <v/>
      </c>
      <c r="AF113" s="61">
        <f>IF(AC113=0,"",AD113/AC113)</f>
        <v/>
      </c>
      <c r="AG113" s="27" t="n"/>
      <c r="AH113" s="62" t="n"/>
      <c r="AI113" s="62" t="n"/>
      <c r="AJ113" s="62">
        <f>AI113-AH113</f>
        <v/>
      </c>
      <c r="AK113" s="64">
        <f>IF(AH113=0,"",AI113/AH113)</f>
        <v/>
      </c>
      <c r="AL113" s="31" t="n"/>
      <c r="AM113" s="60" t="n"/>
      <c r="AN113" s="60" t="n"/>
      <c r="AO113" s="60">
        <f>AN113-AM113</f>
        <v/>
      </c>
      <c r="AP113" s="61">
        <f>IF(AM113=0,"",AN113/AM113)</f>
        <v/>
      </c>
      <c r="AQ113" s="27" t="n"/>
      <c r="AR113" s="62" t="n"/>
      <c r="AS113" s="62" t="n"/>
      <c r="AT113" s="62">
        <f>AS113-AR113</f>
        <v/>
      </c>
      <c r="AU113" s="64">
        <f>IF(AR113=0,"",AS113/AR113)</f>
        <v/>
      </c>
      <c r="AV113" s="31" t="n"/>
      <c r="AW113" s="60" t="n"/>
      <c r="AX113" s="60" t="n"/>
      <c r="AY113" s="60">
        <f>AX113-AW113</f>
        <v/>
      </c>
      <c r="AZ113" s="61">
        <f>IF(AW113=0,"",AX113/AW113)</f>
        <v/>
      </c>
      <c r="BA113" s="27" t="n"/>
      <c r="BB113" s="62" t="n"/>
      <c r="BC113" s="62" t="n"/>
      <c r="BD113" s="62">
        <f>BC113-BB113</f>
        <v/>
      </c>
      <c r="BE113" s="64">
        <f>IF(BB113=0,"",BC113/BB113)</f>
        <v/>
      </c>
      <c r="BF113" s="31" t="n"/>
      <c r="BG113" s="60" t="n"/>
      <c r="BH113" s="60" t="n"/>
      <c r="BI113" s="60">
        <f>BH113-BG113</f>
        <v/>
      </c>
      <c r="BJ113" s="61">
        <f>IF(BG113=0,"",BH113/BG113)</f>
        <v/>
      </c>
      <c r="BK113" s="27" t="n"/>
      <c r="BL113" s="62" t="n"/>
      <c r="BM113" s="62" t="n"/>
      <c r="BN113" s="62">
        <f>BM113-BL113</f>
        <v/>
      </c>
      <c r="BO113" s="64">
        <f>IF(BL113=0,"",BM113/BL113)</f>
        <v/>
      </c>
      <c r="BP113" s="31" t="n"/>
      <c r="BQ113" s="60" t="n"/>
      <c r="BR113" s="60" t="n"/>
      <c r="BS113" s="60">
        <f>BR113-BQ113</f>
        <v/>
      </c>
      <c r="BT113" s="61">
        <f>IF(BQ113=0,"",BR113/BQ113)</f>
        <v/>
      </c>
      <c r="BU113" s="27" t="n"/>
      <c r="BV113" s="62" t="n"/>
      <c r="BW113" s="62" t="n"/>
      <c r="BX113" s="62">
        <f>BW113-BV113</f>
        <v/>
      </c>
      <c r="BY113" s="64">
        <f>IF(BV113=0,"",BW113/BV113)</f>
        <v/>
      </c>
      <c r="BZ113" s="31" t="n"/>
      <c r="CA113" s="60" t="n"/>
      <c r="CB113" s="60" t="n"/>
      <c r="CC113" s="60">
        <f>CB113-CA113</f>
        <v/>
      </c>
      <c r="CD113" s="61">
        <f>IF(CA113=0,"",CB113/CA113)</f>
        <v/>
      </c>
      <c r="CE113" s="27" t="n"/>
      <c r="CF113" s="62" t="n"/>
      <c r="CG113" s="62" t="n"/>
      <c r="CH113" s="62">
        <f>CG113-CF113</f>
        <v/>
      </c>
      <c r="CI113" s="64">
        <f>IF(CF113=0,"",CG113/CF113)</f>
        <v/>
      </c>
      <c r="CJ113" s="31" t="n"/>
      <c r="CK113" s="60" t="n"/>
      <c r="CL113" s="60" t="n"/>
      <c r="CM113" s="60">
        <f>CL113-CK113</f>
        <v/>
      </c>
      <c r="CN113" s="61">
        <f>IF(CK113=0,"",CL113/CK113)</f>
        <v/>
      </c>
      <c r="CO113" s="27" t="n"/>
      <c r="CP113" s="62" t="n"/>
      <c r="CQ113" s="62" t="n"/>
      <c r="CR113" s="62">
        <f>CQ113-CP113</f>
        <v/>
      </c>
      <c r="CS113" s="64">
        <f>IF(CP113=0,"",CQ113/CP113)</f>
        <v/>
      </c>
      <c r="CT113" s="31" t="n"/>
      <c r="CU113" s="60" t="n"/>
      <c r="CV113" s="60" t="n"/>
      <c r="CW113" s="60">
        <f>CV113-CU113</f>
        <v/>
      </c>
      <c r="CX113" s="61">
        <f>IF(CU113=0,"",CV113/CU113)</f>
        <v/>
      </c>
      <c r="CY113" s="27" t="n"/>
      <c r="CZ113" s="62" t="n"/>
      <c r="DA113" s="62" t="n"/>
      <c r="DB113" s="62">
        <f>DA113-CZ113</f>
        <v/>
      </c>
      <c r="DC113" s="64">
        <f>IF(CZ113=0,"",DA113/CZ113)</f>
        <v/>
      </c>
      <c r="DD113" s="31" t="n"/>
      <c r="DE113" s="60" t="n"/>
      <c r="DF113" s="60" t="n"/>
      <c r="DG113" s="60">
        <f>DF113-DE113</f>
        <v/>
      </c>
      <c r="DH113" s="61">
        <f>IF(DE113=0,"",DF113/DE113)</f>
        <v/>
      </c>
      <c r="DI113" s="27" t="n"/>
      <c r="DJ113" s="62" t="n"/>
      <c r="DK113" s="62" t="n"/>
      <c r="DL113" s="62">
        <f>DK113-DJ113</f>
        <v/>
      </c>
      <c r="DM113" s="64">
        <f>IF(DJ113=0,"",DK113/DJ113)</f>
        <v/>
      </c>
      <c r="DN113" s="31" t="n"/>
      <c r="DO113" s="60" t="n"/>
    </row>
    <row r="114" outlineLevel="1" ht="15" customHeight="1">
      <c r="A114" s="24" t="n"/>
      <c r="B114" s="24" t="n"/>
      <c r="C114" s="24" t="n"/>
      <c r="D114" s="60" t="n"/>
      <c r="E114" s="60" t="n"/>
      <c r="F114" s="60">
        <f>E114-D114</f>
        <v/>
      </c>
      <c r="G114" s="61">
        <f>IF(D114=0,"",E114/D114)</f>
        <v/>
      </c>
      <c r="H114" s="27" t="n"/>
      <c r="I114" s="60" t="n"/>
      <c r="J114" s="60" t="n"/>
      <c r="K114" s="60">
        <f>J114-I114</f>
        <v/>
      </c>
      <c r="L114" s="61">
        <f>IF(I114=0,"",J114/I114)</f>
        <v/>
      </c>
      <c r="M114" s="27" t="n"/>
      <c r="N114" s="62" t="n"/>
      <c r="O114" s="62" t="n"/>
      <c r="P114" s="63">
        <f>O114-N114</f>
        <v/>
      </c>
      <c r="Q114" s="64">
        <f>IF(N114=0,"",O114/N114)</f>
        <v/>
      </c>
      <c r="R114" s="31" t="n"/>
      <c r="S114" s="60" t="n"/>
      <c r="T114" s="60" t="n"/>
      <c r="U114" s="60">
        <f>T114-S114</f>
        <v/>
      </c>
      <c r="V114" s="61">
        <f>IF(S114=0,"",T114/S114)</f>
        <v/>
      </c>
      <c r="W114" s="27" t="n"/>
      <c r="X114" s="62" t="n"/>
      <c r="Y114" s="62" t="n"/>
      <c r="Z114" s="63">
        <f>Y114-X114</f>
        <v/>
      </c>
      <c r="AA114" s="64">
        <f>IF(X114=0,"",Y114/X114)</f>
        <v/>
      </c>
      <c r="AB114" s="31" t="n"/>
      <c r="AC114" s="60" t="n"/>
      <c r="AD114" s="60" t="n"/>
      <c r="AE114" s="60">
        <f>AD114-AC114</f>
        <v/>
      </c>
      <c r="AF114" s="61">
        <f>IF(AC114=0,"",AD114/AC114)</f>
        <v/>
      </c>
      <c r="AG114" s="27" t="n"/>
      <c r="AH114" s="62" t="n"/>
      <c r="AI114" s="62" t="n"/>
      <c r="AJ114" s="62">
        <f>AI114-AH114</f>
        <v/>
      </c>
      <c r="AK114" s="64">
        <f>IF(AH114=0,"",AI114/AH114)</f>
        <v/>
      </c>
      <c r="AL114" s="31" t="n"/>
      <c r="AM114" s="60" t="n"/>
      <c r="AN114" s="60" t="n"/>
      <c r="AO114" s="60">
        <f>AN114-AM114</f>
        <v/>
      </c>
      <c r="AP114" s="61">
        <f>IF(AM114=0,"",AN114/AM114)</f>
        <v/>
      </c>
      <c r="AQ114" s="27" t="n"/>
      <c r="AR114" s="62" t="n"/>
      <c r="AS114" s="62" t="n"/>
      <c r="AT114" s="62">
        <f>AS114-AR114</f>
        <v/>
      </c>
      <c r="AU114" s="64">
        <f>IF(AR114=0,"",AS114/AR114)</f>
        <v/>
      </c>
      <c r="AV114" s="31" t="n"/>
      <c r="AW114" s="60" t="n"/>
      <c r="AX114" s="60" t="n"/>
      <c r="AY114" s="60">
        <f>AX114-AW114</f>
        <v/>
      </c>
      <c r="AZ114" s="61">
        <f>IF(AW114=0,"",AX114/AW114)</f>
        <v/>
      </c>
      <c r="BA114" s="27" t="n"/>
      <c r="BB114" s="62" t="n"/>
      <c r="BC114" s="62" t="n"/>
      <c r="BD114" s="62">
        <f>BC114-BB114</f>
        <v/>
      </c>
      <c r="BE114" s="64">
        <f>IF(BB114=0,"",BC114/BB114)</f>
        <v/>
      </c>
      <c r="BF114" s="31" t="n"/>
      <c r="BG114" s="60" t="n"/>
      <c r="BH114" s="60" t="n"/>
      <c r="BI114" s="60">
        <f>BH114-BG114</f>
        <v/>
      </c>
      <c r="BJ114" s="61">
        <f>IF(BG114=0,"",BH114/BG114)</f>
        <v/>
      </c>
      <c r="BK114" s="27" t="n"/>
      <c r="BL114" s="62" t="n"/>
      <c r="BM114" s="62" t="n"/>
      <c r="BN114" s="62">
        <f>BM114-BL114</f>
        <v/>
      </c>
      <c r="BO114" s="64">
        <f>IF(BL114=0,"",BM114/BL114)</f>
        <v/>
      </c>
      <c r="BP114" s="31" t="n"/>
      <c r="BQ114" s="60" t="n"/>
      <c r="BR114" s="60" t="n"/>
      <c r="BS114" s="60">
        <f>BR114-BQ114</f>
        <v/>
      </c>
      <c r="BT114" s="61">
        <f>IF(BQ114=0,"",BR114/BQ114)</f>
        <v/>
      </c>
      <c r="BU114" s="27" t="n"/>
      <c r="BV114" s="62" t="n"/>
      <c r="BW114" s="62" t="n"/>
      <c r="BX114" s="62">
        <f>BW114-BV114</f>
        <v/>
      </c>
      <c r="BY114" s="64">
        <f>IF(BV114=0,"",BW114/BV114)</f>
        <v/>
      </c>
      <c r="BZ114" s="31" t="n"/>
      <c r="CA114" s="60" t="n"/>
      <c r="CB114" s="60" t="n"/>
      <c r="CC114" s="60">
        <f>CB114-CA114</f>
        <v/>
      </c>
      <c r="CD114" s="61">
        <f>IF(CA114=0,"",CB114/CA114)</f>
        <v/>
      </c>
      <c r="CE114" s="27" t="n"/>
      <c r="CF114" s="62" t="n"/>
      <c r="CG114" s="62" t="n"/>
      <c r="CH114" s="62">
        <f>CG114-CF114</f>
        <v/>
      </c>
      <c r="CI114" s="64">
        <f>IF(CF114=0,"",CG114/CF114)</f>
        <v/>
      </c>
      <c r="CJ114" s="31" t="n"/>
      <c r="CK114" s="60" t="n"/>
      <c r="CL114" s="60" t="n"/>
      <c r="CM114" s="60">
        <f>CL114-CK114</f>
        <v/>
      </c>
      <c r="CN114" s="61">
        <f>IF(CK114=0,"",CL114/CK114)</f>
        <v/>
      </c>
      <c r="CO114" s="27" t="n"/>
      <c r="CP114" s="62" t="n"/>
      <c r="CQ114" s="62" t="n"/>
      <c r="CR114" s="62">
        <f>CQ114-CP114</f>
        <v/>
      </c>
      <c r="CS114" s="64">
        <f>IF(CP114=0,"",CQ114/CP114)</f>
        <v/>
      </c>
      <c r="CT114" s="31" t="n"/>
      <c r="CU114" s="60" t="n"/>
      <c r="CV114" s="60" t="n"/>
      <c r="CW114" s="60">
        <f>CV114-CU114</f>
        <v/>
      </c>
      <c r="CX114" s="61">
        <f>IF(CU114=0,"",CV114/CU114)</f>
        <v/>
      </c>
      <c r="CY114" s="27" t="n"/>
      <c r="CZ114" s="62" t="n"/>
      <c r="DA114" s="62" t="n"/>
      <c r="DB114" s="62">
        <f>DA114-CZ114</f>
        <v/>
      </c>
      <c r="DC114" s="64">
        <f>IF(CZ114=0,"",DA114/CZ114)</f>
        <v/>
      </c>
      <c r="DD114" s="31" t="n"/>
      <c r="DE114" s="60" t="n"/>
      <c r="DF114" s="60" t="n"/>
      <c r="DG114" s="60">
        <f>DF114-DE114</f>
        <v/>
      </c>
      <c r="DH114" s="61">
        <f>IF(DE114=0,"",DF114/DE114)</f>
        <v/>
      </c>
      <c r="DI114" s="27" t="n"/>
      <c r="DJ114" s="62" t="n"/>
      <c r="DK114" s="62" t="n"/>
      <c r="DL114" s="62">
        <f>DK114-DJ114</f>
        <v/>
      </c>
      <c r="DM114" s="64">
        <f>IF(DJ114=0,"",DK114/DJ114)</f>
        <v/>
      </c>
      <c r="DN114" s="31" t="n"/>
      <c r="DO114" s="60" t="n"/>
    </row>
    <row r="115" outlineLevel="1" ht="15" customHeight="1">
      <c r="A115" s="24" t="n"/>
      <c r="B115" s="24" t="n"/>
      <c r="C115" s="24" t="n"/>
      <c r="D115" s="60" t="n"/>
      <c r="E115" s="60" t="n"/>
      <c r="F115" s="60">
        <f>E115-D115</f>
        <v/>
      </c>
      <c r="G115" s="61">
        <f>IF(D115=0,"",E115/D115)</f>
        <v/>
      </c>
      <c r="H115" s="27" t="n"/>
      <c r="I115" s="60" t="n"/>
      <c r="J115" s="60" t="n"/>
      <c r="K115" s="60">
        <f>J115-I115</f>
        <v/>
      </c>
      <c r="L115" s="61">
        <f>IF(I115=0,"",J115/I115)</f>
        <v/>
      </c>
      <c r="M115" s="27" t="n"/>
      <c r="N115" s="62" t="n"/>
      <c r="O115" s="62" t="n"/>
      <c r="P115" s="62">
        <f>O115-N115</f>
        <v/>
      </c>
      <c r="Q115" s="64">
        <f>IF(N115=0,"",O115/N115)</f>
        <v/>
      </c>
      <c r="R115" s="31" t="n"/>
      <c r="S115" s="60" t="n"/>
      <c r="T115" s="60" t="n"/>
      <c r="U115" s="60">
        <f>T115-S115</f>
        <v/>
      </c>
      <c r="V115" s="61">
        <f>IF(S115=0,"",T115/S115)</f>
        <v/>
      </c>
      <c r="W115" s="27" t="n"/>
      <c r="X115" s="62" t="n"/>
      <c r="Y115" s="62" t="n"/>
      <c r="Z115" s="62">
        <f>Y115-X115</f>
        <v/>
      </c>
      <c r="AA115" s="64">
        <f>IF(X115=0,"",Y115/X115)</f>
        <v/>
      </c>
      <c r="AB115" s="31" t="n"/>
      <c r="AC115" s="60" t="n"/>
      <c r="AD115" s="60" t="n"/>
      <c r="AE115" s="60">
        <f>AD115-AC115</f>
        <v/>
      </c>
      <c r="AF115" s="61">
        <f>IF(AC115=0,"",AD115/AC115)</f>
        <v/>
      </c>
      <c r="AG115" s="27" t="n"/>
      <c r="AH115" s="62" t="n"/>
      <c r="AI115" s="62" t="n"/>
      <c r="AJ115" s="62">
        <f>AI115-AH115</f>
        <v/>
      </c>
      <c r="AK115" s="64">
        <f>IF(AH115=0,"",AI115/AH115)</f>
        <v/>
      </c>
      <c r="AL115" s="31" t="n"/>
      <c r="AM115" s="60" t="n"/>
      <c r="AN115" s="60" t="n"/>
      <c r="AO115" s="60">
        <f>AN115-AM115</f>
        <v/>
      </c>
      <c r="AP115" s="61">
        <f>IF(AM115=0,"",AN115/AM115)</f>
        <v/>
      </c>
      <c r="AQ115" s="27" t="n"/>
      <c r="AR115" s="62" t="n"/>
      <c r="AS115" s="62" t="n"/>
      <c r="AT115" s="62">
        <f>AS115-AR115</f>
        <v/>
      </c>
      <c r="AU115" s="64">
        <f>IF(AR115=0,"",AS115/AR115)</f>
        <v/>
      </c>
      <c r="AV115" s="31" t="n"/>
      <c r="AW115" s="60" t="n"/>
      <c r="AX115" s="60" t="n"/>
      <c r="AY115" s="60">
        <f>AX115-AW115</f>
        <v/>
      </c>
      <c r="AZ115" s="61">
        <f>IF(AW115=0,"",AX115/AW115)</f>
        <v/>
      </c>
      <c r="BA115" s="27" t="n"/>
      <c r="BB115" s="62" t="n"/>
      <c r="BC115" s="62" t="n"/>
      <c r="BD115" s="62">
        <f>BC115-BB115</f>
        <v/>
      </c>
      <c r="BE115" s="64">
        <f>IF(BB115=0,"",BC115/BB115)</f>
        <v/>
      </c>
      <c r="BF115" s="31" t="n"/>
      <c r="BG115" s="60" t="n"/>
      <c r="BH115" s="60" t="n"/>
      <c r="BI115" s="60">
        <f>BH115-BG115</f>
        <v/>
      </c>
      <c r="BJ115" s="61">
        <f>IF(BG115=0,"",BH115/BG115)</f>
        <v/>
      </c>
      <c r="BK115" s="27" t="n"/>
      <c r="BL115" s="62" t="n"/>
      <c r="BM115" s="62" t="n"/>
      <c r="BN115" s="62">
        <f>BM115-BL115</f>
        <v/>
      </c>
      <c r="BO115" s="64">
        <f>IF(BL115=0,"",BM115/BL115)</f>
        <v/>
      </c>
      <c r="BP115" s="31" t="n"/>
      <c r="BQ115" s="60" t="n"/>
      <c r="BR115" s="60" t="n"/>
      <c r="BS115" s="60">
        <f>BR115-BQ115</f>
        <v/>
      </c>
      <c r="BT115" s="61">
        <f>IF(BQ115=0,"",BR115/BQ115)</f>
        <v/>
      </c>
      <c r="BU115" s="27" t="n"/>
      <c r="BV115" s="62" t="n"/>
      <c r="BW115" s="62" t="n"/>
      <c r="BX115" s="62">
        <f>BW115-BV115</f>
        <v/>
      </c>
      <c r="BY115" s="64">
        <f>IF(BV115=0,"",BW115/BV115)</f>
        <v/>
      </c>
      <c r="BZ115" s="31" t="n"/>
      <c r="CA115" s="60" t="n"/>
      <c r="CB115" s="60" t="n"/>
      <c r="CC115" s="60">
        <f>CB115-CA115</f>
        <v/>
      </c>
      <c r="CD115" s="61">
        <f>IF(CA115=0,"",CB115/CA115)</f>
        <v/>
      </c>
      <c r="CE115" s="27" t="n"/>
      <c r="CF115" s="62" t="n"/>
      <c r="CG115" s="62" t="n"/>
      <c r="CH115" s="62">
        <f>CG115-CF115</f>
        <v/>
      </c>
      <c r="CI115" s="64">
        <f>IF(CF115=0,"",CG115/CF115)</f>
        <v/>
      </c>
      <c r="CJ115" s="31" t="n"/>
      <c r="CK115" s="60" t="n"/>
      <c r="CL115" s="60" t="n"/>
      <c r="CM115" s="60">
        <f>CL115-CK115</f>
        <v/>
      </c>
      <c r="CN115" s="61">
        <f>IF(CK115=0,"",CL115/CK115)</f>
        <v/>
      </c>
      <c r="CO115" s="27" t="n"/>
      <c r="CP115" s="62" t="n"/>
      <c r="CQ115" s="62" t="n"/>
      <c r="CR115" s="62">
        <f>CQ115-CP115</f>
        <v/>
      </c>
      <c r="CS115" s="64">
        <f>IF(CP115=0,"",CQ115/CP115)</f>
        <v/>
      </c>
      <c r="CT115" s="31" t="n"/>
      <c r="CU115" s="60" t="n"/>
      <c r="CV115" s="60" t="n"/>
      <c r="CW115" s="60">
        <f>CV115-CU115</f>
        <v/>
      </c>
      <c r="CX115" s="61">
        <f>IF(CU115=0,"",CV115/CU115)</f>
        <v/>
      </c>
      <c r="CY115" s="27" t="n"/>
      <c r="CZ115" s="62" t="n"/>
      <c r="DA115" s="62" t="n"/>
      <c r="DB115" s="62">
        <f>DA115-CZ115</f>
        <v/>
      </c>
      <c r="DC115" s="64">
        <f>IF(CZ115=0,"",DA115/CZ115)</f>
        <v/>
      </c>
      <c r="DD115" s="31" t="n"/>
      <c r="DE115" s="60" t="n"/>
      <c r="DF115" s="60" t="n"/>
      <c r="DG115" s="60">
        <f>DF115-DE115</f>
        <v/>
      </c>
      <c r="DH115" s="61">
        <f>IF(DE115=0,"",DF115/DE115)</f>
        <v/>
      </c>
      <c r="DI115" s="27" t="n"/>
      <c r="DJ115" s="62" t="n"/>
      <c r="DK115" s="62" t="n"/>
      <c r="DL115" s="62">
        <f>DK115-DJ115</f>
        <v/>
      </c>
      <c r="DM115" s="64">
        <f>IF(DJ115=0,"",DK115/DJ115)</f>
        <v/>
      </c>
      <c r="DN115" s="31" t="n"/>
      <c r="DO115" s="60" t="n"/>
    </row>
    <row r="116" outlineLevel="1" ht="15" customHeight="1">
      <c r="A116" s="24" t="n"/>
      <c r="B116" s="24" t="n"/>
      <c r="C116" s="24" t="n"/>
      <c r="D116" s="60" t="n"/>
      <c r="E116" s="60" t="n"/>
      <c r="F116" s="60">
        <f>E116-D116</f>
        <v/>
      </c>
      <c r="G116" s="61">
        <f>IF(D116=0,"",E116/D116)</f>
        <v/>
      </c>
      <c r="H116" s="27" t="n"/>
      <c r="I116" s="60" t="n"/>
      <c r="J116" s="60" t="n"/>
      <c r="K116" s="60">
        <f>J116-I116</f>
        <v/>
      </c>
      <c r="L116" s="61">
        <f>IF(I116=0,"",J116/I116)</f>
        <v/>
      </c>
      <c r="M116" s="27" t="n"/>
      <c r="N116" s="62" t="n"/>
      <c r="O116" s="62" t="n"/>
      <c r="P116" s="63">
        <f>O116-N116</f>
        <v/>
      </c>
      <c r="Q116" s="64">
        <f>IF(N116=0,"",O116/N116)</f>
        <v/>
      </c>
      <c r="R116" s="31" t="n"/>
      <c r="S116" s="60" t="n"/>
      <c r="T116" s="60" t="n"/>
      <c r="U116" s="60">
        <f>T116-S116</f>
        <v/>
      </c>
      <c r="V116" s="61">
        <f>IF(S116=0,"",T116/S116)</f>
        <v/>
      </c>
      <c r="W116" s="27" t="n"/>
      <c r="X116" s="62" t="n"/>
      <c r="Y116" s="62" t="n"/>
      <c r="Z116" s="63">
        <f>Y116-X116</f>
        <v/>
      </c>
      <c r="AA116" s="64">
        <f>IF(X116=0,"",Y116/X116)</f>
        <v/>
      </c>
      <c r="AB116" s="31" t="n"/>
      <c r="AC116" s="60" t="n"/>
      <c r="AD116" s="60" t="n"/>
      <c r="AE116" s="60">
        <f>AD116-AC116</f>
        <v/>
      </c>
      <c r="AF116" s="61">
        <f>IF(AC116=0,"",AD116/AC116)</f>
        <v/>
      </c>
      <c r="AG116" s="27" t="n"/>
      <c r="AH116" s="62" t="n"/>
      <c r="AI116" s="62" t="n"/>
      <c r="AJ116" s="62">
        <f>AI116-AH116</f>
        <v/>
      </c>
      <c r="AK116" s="64">
        <f>IF(AH116=0,"",AI116/AH116)</f>
        <v/>
      </c>
      <c r="AL116" s="31" t="n"/>
      <c r="AM116" s="60" t="n"/>
      <c r="AN116" s="60" t="n"/>
      <c r="AO116" s="60">
        <f>AN116-AM116</f>
        <v/>
      </c>
      <c r="AP116" s="61">
        <f>IF(AM116=0,"",AN116/AM116)</f>
        <v/>
      </c>
      <c r="AQ116" s="27" t="n"/>
      <c r="AR116" s="62" t="n"/>
      <c r="AS116" s="62" t="n"/>
      <c r="AT116" s="62">
        <f>AS116-AR116</f>
        <v/>
      </c>
      <c r="AU116" s="64">
        <f>IF(AR116=0,"",AS116/AR116)</f>
        <v/>
      </c>
      <c r="AV116" s="31" t="n"/>
      <c r="AW116" s="60" t="n"/>
      <c r="AX116" s="60" t="n"/>
      <c r="AY116" s="60">
        <f>AX116-AW116</f>
        <v/>
      </c>
      <c r="AZ116" s="61">
        <f>IF(AW116=0,"",AX116/AW116)</f>
        <v/>
      </c>
      <c r="BA116" s="27" t="n"/>
      <c r="BB116" s="62" t="n"/>
      <c r="BC116" s="62" t="n"/>
      <c r="BD116" s="62">
        <f>BC116-BB116</f>
        <v/>
      </c>
      <c r="BE116" s="64">
        <f>IF(BB116=0,"",BC116/BB116)</f>
        <v/>
      </c>
      <c r="BF116" s="31" t="n"/>
      <c r="BG116" s="60" t="n"/>
      <c r="BH116" s="60" t="n"/>
      <c r="BI116" s="60">
        <f>BH116-BG116</f>
        <v/>
      </c>
      <c r="BJ116" s="61">
        <f>IF(BG116=0,"",BH116/BG116)</f>
        <v/>
      </c>
      <c r="BK116" s="27" t="n"/>
      <c r="BL116" s="62" t="n"/>
      <c r="BM116" s="62" t="n"/>
      <c r="BN116" s="62">
        <f>BM116-BL116</f>
        <v/>
      </c>
      <c r="BO116" s="64">
        <f>IF(BL116=0,"",BM116/BL116)</f>
        <v/>
      </c>
      <c r="BP116" s="31" t="n"/>
      <c r="BQ116" s="60" t="n"/>
      <c r="BR116" s="60" t="n"/>
      <c r="BS116" s="60">
        <f>BR116-BQ116</f>
        <v/>
      </c>
      <c r="BT116" s="61">
        <f>IF(BQ116=0,"",BR116/BQ116)</f>
        <v/>
      </c>
      <c r="BU116" s="27" t="n"/>
      <c r="BV116" s="62" t="n"/>
      <c r="BW116" s="62" t="n"/>
      <c r="BX116" s="62">
        <f>BW116-BV116</f>
        <v/>
      </c>
      <c r="BY116" s="64">
        <f>IF(BV116=0,"",BW116/BV116)</f>
        <v/>
      </c>
      <c r="BZ116" s="31" t="n"/>
      <c r="CA116" s="60" t="n"/>
      <c r="CB116" s="60" t="n"/>
      <c r="CC116" s="60">
        <f>CB116-CA116</f>
        <v/>
      </c>
      <c r="CD116" s="61">
        <f>IF(CA116=0,"",CB116/CA116)</f>
        <v/>
      </c>
      <c r="CE116" s="27" t="n"/>
      <c r="CF116" s="62" t="n"/>
      <c r="CG116" s="62" t="n"/>
      <c r="CH116" s="62">
        <f>CG116-CF116</f>
        <v/>
      </c>
      <c r="CI116" s="64">
        <f>IF(CF116=0,"",CG116/CF116)</f>
        <v/>
      </c>
      <c r="CJ116" s="31" t="n"/>
      <c r="CK116" s="60" t="n"/>
      <c r="CL116" s="60" t="n"/>
      <c r="CM116" s="60">
        <f>CL116-CK116</f>
        <v/>
      </c>
      <c r="CN116" s="61">
        <f>IF(CK116=0,"",CL116/CK116)</f>
        <v/>
      </c>
      <c r="CO116" s="27" t="n"/>
      <c r="CP116" s="62" t="n"/>
      <c r="CQ116" s="62" t="n"/>
      <c r="CR116" s="62">
        <f>CQ116-CP116</f>
        <v/>
      </c>
      <c r="CS116" s="64">
        <f>IF(CP116=0,"",CQ116/CP116)</f>
        <v/>
      </c>
      <c r="CT116" s="31" t="n"/>
      <c r="CU116" s="60" t="n"/>
      <c r="CV116" s="60" t="n"/>
      <c r="CW116" s="60">
        <f>CV116-CU116</f>
        <v/>
      </c>
      <c r="CX116" s="61">
        <f>IF(CU116=0,"",CV116/CU116)</f>
        <v/>
      </c>
      <c r="CY116" s="27" t="n"/>
      <c r="CZ116" s="62" t="n"/>
      <c r="DA116" s="62" t="n"/>
      <c r="DB116" s="62">
        <f>DA116-CZ116</f>
        <v/>
      </c>
      <c r="DC116" s="64">
        <f>IF(CZ116=0,"",DA116/CZ116)</f>
        <v/>
      </c>
      <c r="DD116" s="31" t="n"/>
      <c r="DE116" s="60" t="n"/>
      <c r="DF116" s="60" t="n"/>
      <c r="DG116" s="60">
        <f>DF116-DE116</f>
        <v/>
      </c>
      <c r="DH116" s="61">
        <f>IF(DE116=0,"",DF116/DE116)</f>
        <v/>
      </c>
      <c r="DI116" s="27" t="n"/>
      <c r="DJ116" s="62" t="n"/>
      <c r="DK116" s="62" t="n"/>
      <c r="DL116" s="62">
        <f>DK116-DJ116</f>
        <v/>
      </c>
      <c r="DM116" s="64">
        <f>IF(DJ116=0,"",DK116/DJ116)</f>
        <v/>
      </c>
      <c r="DN116" s="31" t="n"/>
      <c r="DO116" s="60" t="n"/>
    </row>
    <row r="117" outlineLevel="1" ht="15" customHeight="1">
      <c r="A117" s="24" t="n"/>
      <c r="B117" s="24" t="n"/>
      <c r="C117" s="24" t="n"/>
      <c r="D117" s="60" t="n"/>
      <c r="E117" s="60" t="n"/>
      <c r="F117" s="60">
        <f>E117-D117</f>
        <v/>
      </c>
      <c r="G117" s="61">
        <f>IF(D117=0,"",E117/D117)</f>
        <v/>
      </c>
      <c r="H117" s="27" t="n"/>
      <c r="I117" s="60" t="n"/>
      <c r="J117" s="60" t="n"/>
      <c r="K117" s="60">
        <f>J117-I117</f>
        <v/>
      </c>
      <c r="L117" s="61">
        <f>IF(I117=0,"",J117/I117)</f>
        <v/>
      </c>
      <c r="M117" s="27" t="n"/>
      <c r="N117" s="62" t="n"/>
      <c r="O117" s="62" t="n"/>
      <c r="P117" s="62">
        <f>O117-N117</f>
        <v/>
      </c>
      <c r="Q117" s="64">
        <f>IF(N117=0,"",O117/N117)</f>
        <v/>
      </c>
      <c r="R117" s="31" t="n"/>
      <c r="S117" s="60" t="n"/>
      <c r="T117" s="60" t="n"/>
      <c r="U117" s="60">
        <f>T117-S117</f>
        <v/>
      </c>
      <c r="V117" s="61">
        <f>IF(S117=0,"",T117/S117)</f>
        <v/>
      </c>
      <c r="W117" s="27" t="n"/>
      <c r="X117" s="62" t="n"/>
      <c r="Y117" s="62" t="n"/>
      <c r="Z117" s="62">
        <f>Y117-X117</f>
        <v/>
      </c>
      <c r="AA117" s="64">
        <f>IF(X117=0,"",Y117/X117)</f>
        <v/>
      </c>
      <c r="AB117" s="31" t="n"/>
      <c r="AC117" s="60" t="n"/>
      <c r="AD117" s="60" t="n"/>
      <c r="AE117" s="60">
        <f>AD117-AC117</f>
        <v/>
      </c>
      <c r="AF117" s="61">
        <f>IF(AC117=0,"",AD117/AC117)</f>
        <v/>
      </c>
      <c r="AG117" s="27" t="n"/>
      <c r="AH117" s="62" t="n"/>
      <c r="AI117" s="62" t="n"/>
      <c r="AJ117" s="62">
        <f>AI117-AH117</f>
        <v/>
      </c>
      <c r="AK117" s="64">
        <f>IF(AH117=0,"",AI117/AH117)</f>
        <v/>
      </c>
      <c r="AL117" s="31" t="n"/>
      <c r="AM117" s="60" t="n"/>
      <c r="AN117" s="60" t="n"/>
      <c r="AO117" s="60">
        <f>AN117-AM117</f>
        <v/>
      </c>
      <c r="AP117" s="61">
        <f>IF(AM117=0,"",AN117/AM117)</f>
        <v/>
      </c>
      <c r="AQ117" s="27" t="n"/>
      <c r="AR117" s="62" t="n"/>
      <c r="AS117" s="62" t="n"/>
      <c r="AT117" s="62">
        <f>AS117-AR117</f>
        <v/>
      </c>
      <c r="AU117" s="64">
        <f>IF(AR117=0,"",AS117/AR117)</f>
        <v/>
      </c>
      <c r="AV117" s="31" t="n"/>
      <c r="AW117" s="60" t="n"/>
      <c r="AX117" s="60" t="n"/>
      <c r="AY117" s="60">
        <f>AX117-AW117</f>
        <v/>
      </c>
      <c r="AZ117" s="61">
        <f>IF(AW117=0,"",AX117/AW117)</f>
        <v/>
      </c>
      <c r="BA117" s="27" t="n"/>
      <c r="BB117" s="62" t="n"/>
      <c r="BC117" s="62" t="n"/>
      <c r="BD117" s="62">
        <f>BC117-BB117</f>
        <v/>
      </c>
      <c r="BE117" s="64">
        <f>IF(BB117=0,"",BC117/BB117)</f>
        <v/>
      </c>
      <c r="BF117" s="31" t="n"/>
      <c r="BG117" s="60" t="n"/>
      <c r="BH117" s="60" t="n"/>
      <c r="BI117" s="60">
        <f>BH117-BG117</f>
        <v/>
      </c>
      <c r="BJ117" s="61">
        <f>IF(BG117=0,"",BH117/BG117)</f>
        <v/>
      </c>
      <c r="BK117" s="27" t="n"/>
      <c r="BL117" s="62" t="n"/>
      <c r="BM117" s="62" t="n"/>
      <c r="BN117" s="62">
        <f>BM117-BL117</f>
        <v/>
      </c>
      <c r="BO117" s="64">
        <f>IF(BL117=0,"",BM117/BL117)</f>
        <v/>
      </c>
      <c r="BP117" s="31" t="n"/>
      <c r="BQ117" s="60" t="n"/>
      <c r="BR117" s="60" t="n"/>
      <c r="BS117" s="60">
        <f>BR117-BQ117</f>
        <v/>
      </c>
      <c r="BT117" s="61">
        <f>IF(BQ117=0,"",BR117/BQ117)</f>
        <v/>
      </c>
      <c r="BU117" s="27" t="n"/>
      <c r="BV117" s="62" t="n"/>
      <c r="BW117" s="62" t="n"/>
      <c r="BX117" s="62">
        <f>BW117-BV117</f>
        <v/>
      </c>
      <c r="BY117" s="64">
        <f>IF(BV117=0,"",BW117/BV117)</f>
        <v/>
      </c>
      <c r="BZ117" s="31" t="n"/>
      <c r="CA117" s="60" t="n"/>
      <c r="CB117" s="60" t="n"/>
      <c r="CC117" s="60">
        <f>CB117-CA117</f>
        <v/>
      </c>
      <c r="CD117" s="61">
        <f>IF(CA117=0,"",CB117/CA117)</f>
        <v/>
      </c>
      <c r="CE117" s="27" t="n"/>
      <c r="CF117" s="62" t="n"/>
      <c r="CG117" s="62" t="n"/>
      <c r="CH117" s="62">
        <f>CG117-CF117</f>
        <v/>
      </c>
      <c r="CI117" s="64">
        <f>IF(CF117=0,"",CG117/CF117)</f>
        <v/>
      </c>
      <c r="CJ117" s="31" t="n"/>
      <c r="CK117" s="60" t="n"/>
      <c r="CL117" s="60" t="n"/>
      <c r="CM117" s="60">
        <f>CL117-CK117</f>
        <v/>
      </c>
      <c r="CN117" s="61">
        <f>IF(CK117=0,"",CL117/CK117)</f>
        <v/>
      </c>
      <c r="CO117" s="27" t="n"/>
      <c r="CP117" s="62" t="n"/>
      <c r="CQ117" s="62" t="n"/>
      <c r="CR117" s="62">
        <f>CQ117-CP117</f>
        <v/>
      </c>
      <c r="CS117" s="64">
        <f>IF(CP117=0,"",CQ117/CP117)</f>
        <v/>
      </c>
      <c r="CT117" s="31" t="n"/>
      <c r="CU117" s="60" t="n"/>
      <c r="CV117" s="60" t="n"/>
      <c r="CW117" s="60">
        <f>CV117-CU117</f>
        <v/>
      </c>
      <c r="CX117" s="61">
        <f>IF(CU117=0,"",CV117/CU117)</f>
        <v/>
      </c>
      <c r="CY117" s="27" t="n"/>
      <c r="CZ117" s="62" t="n"/>
      <c r="DA117" s="62" t="n"/>
      <c r="DB117" s="62">
        <f>DA117-CZ117</f>
        <v/>
      </c>
      <c r="DC117" s="64">
        <f>IF(CZ117=0,"",DA117/CZ117)</f>
        <v/>
      </c>
      <c r="DD117" s="31" t="n"/>
      <c r="DE117" s="60" t="n"/>
      <c r="DF117" s="60" t="n"/>
      <c r="DG117" s="60">
        <f>DF117-DE117</f>
        <v/>
      </c>
      <c r="DH117" s="61">
        <f>IF(DE117=0,"",DF117/DE117)</f>
        <v/>
      </c>
      <c r="DI117" s="27" t="n"/>
      <c r="DJ117" s="62" t="n"/>
      <c r="DK117" s="62" t="n"/>
      <c r="DL117" s="62">
        <f>DK117-DJ117</f>
        <v/>
      </c>
      <c r="DM117" s="64">
        <f>IF(DJ117=0,"",DK117/DJ117)</f>
        <v/>
      </c>
      <c r="DN117" s="31" t="n"/>
      <c r="DO117" s="60" t="n"/>
    </row>
    <row r="118" outlineLevel="1" ht="15" customHeight="1">
      <c r="A118" s="24" t="n"/>
      <c r="B118" s="24" t="n"/>
      <c r="C118" s="24" t="n"/>
      <c r="D118" s="60" t="n"/>
      <c r="E118" s="60" t="n"/>
      <c r="F118" s="60">
        <f>E118-D118</f>
        <v/>
      </c>
      <c r="G118" s="61">
        <f>IF(D118=0,"",E118/D118)</f>
        <v/>
      </c>
      <c r="H118" s="27" t="n"/>
      <c r="I118" s="60" t="n"/>
      <c r="J118" s="60" t="n"/>
      <c r="K118" s="60">
        <f>J118-I118</f>
        <v/>
      </c>
      <c r="L118" s="61">
        <f>IF(I118=0,"",J118/I118)</f>
        <v/>
      </c>
      <c r="M118" s="27" t="n"/>
      <c r="N118" s="62" t="n"/>
      <c r="O118" s="62" t="n"/>
      <c r="P118" s="62">
        <f>O118-N118</f>
        <v/>
      </c>
      <c r="Q118" s="64">
        <f>IF(N118=0,"",O118/N118)</f>
        <v/>
      </c>
      <c r="R118" s="31" t="n"/>
      <c r="S118" s="60" t="n"/>
      <c r="T118" s="60" t="n"/>
      <c r="U118" s="60">
        <f>T118-S118</f>
        <v/>
      </c>
      <c r="V118" s="61">
        <f>IF(S118=0,"",T118/S118)</f>
        <v/>
      </c>
      <c r="W118" s="27" t="n"/>
      <c r="X118" s="62" t="n"/>
      <c r="Y118" s="62" t="n"/>
      <c r="Z118" s="62">
        <f>Y118-X118</f>
        <v/>
      </c>
      <c r="AA118" s="64">
        <f>IF(X118=0,"",Y118/X118)</f>
        <v/>
      </c>
      <c r="AB118" s="31" t="n"/>
      <c r="AC118" s="60" t="n"/>
      <c r="AD118" s="60" t="n"/>
      <c r="AE118" s="60">
        <f>AD118-AC118</f>
        <v/>
      </c>
      <c r="AF118" s="61">
        <f>IF(AC118=0,"",AD118/AC118)</f>
        <v/>
      </c>
      <c r="AG118" s="27" t="n"/>
      <c r="AH118" s="62" t="n"/>
      <c r="AI118" s="62" t="n"/>
      <c r="AJ118" s="62">
        <f>AI118-AH118</f>
        <v/>
      </c>
      <c r="AK118" s="64">
        <f>IF(AH118=0,"",AI118/AH118)</f>
        <v/>
      </c>
      <c r="AL118" s="31" t="n"/>
      <c r="AM118" s="60" t="n"/>
      <c r="AN118" s="60" t="n"/>
      <c r="AO118" s="60">
        <f>AN118-AM118</f>
        <v/>
      </c>
      <c r="AP118" s="61">
        <f>IF(AM118=0,"",AN118/AM118)</f>
        <v/>
      </c>
      <c r="AQ118" s="27" t="n"/>
      <c r="AR118" s="62" t="n"/>
      <c r="AS118" s="62" t="n"/>
      <c r="AT118" s="62">
        <f>AS118-AR118</f>
        <v/>
      </c>
      <c r="AU118" s="64">
        <f>IF(AR118=0,"",AS118/AR118)</f>
        <v/>
      </c>
      <c r="AV118" s="31" t="n"/>
      <c r="AW118" s="60" t="n"/>
      <c r="AX118" s="60" t="n"/>
      <c r="AY118" s="60">
        <f>AX118-AW118</f>
        <v/>
      </c>
      <c r="AZ118" s="61">
        <f>IF(AW118=0,"",AX118/AW118)</f>
        <v/>
      </c>
      <c r="BA118" s="27" t="n"/>
      <c r="BB118" s="62" t="n"/>
      <c r="BC118" s="62" t="n"/>
      <c r="BD118" s="62">
        <f>BC118-BB118</f>
        <v/>
      </c>
      <c r="BE118" s="64">
        <f>IF(BB118=0,"",BC118/BB118)</f>
        <v/>
      </c>
      <c r="BF118" s="31" t="n"/>
      <c r="BG118" s="60" t="n"/>
      <c r="BH118" s="60" t="n"/>
      <c r="BI118" s="60">
        <f>BH118-BG118</f>
        <v/>
      </c>
      <c r="BJ118" s="61">
        <f>IF(BG118=0,"",BH118/BG118)</f>
        <v/>
      </c>
      <c r="BK118" s="27" t="n"/>
      <c r="BL118" s="62" t="n"/>
      <c r="BM118" s="62" t="n"/>
      <c r="BN118" s="62">
        <f>BM118-BL118</f>
        <v/>
      </c>
      <c r="BO118" s="64">
        <f>IF(BL118=0,"",BM118/BL118)</f>
        <v/>
      </c>
      <c r="BP118" s="31" t="n"/>
      <c r="BQ118" s="60" t="n"/>
      <c r="BR118" s="60" t="n"/>
      <c r="BS118" s="60">
        <f>BR118-BQ118</f>
        <v/>
      </c>
      <c r="BT118" s="61">
        <f>IF(BQ118=0,"",BR118/BQ118)</f>
        <v/>
      </c>
      <c r="BU118" s="27" t="n"/>
      <c r="BV118" s="62" t="n"/>
      <c r="BW118" s="62" t="n"/>
      <c r="BX118" s="62">
        <f>BW118-BV118</f>
        <v/>
      </c>
      <c r="BY118" s="64">
        <f>IF(BV118=0,"",BW118/BV118)</f>
        <v/>
      </c>
      <c r="BZ118" s="31" t="n"/>
      <c r="CA118" s="60" t="n"/>
      <c r="CB118" s="60" t="n"/>
      <c r="CC118" s="60">
        <f>CB118-CA118</f>
        <v/>
      </c>
      <c r="CD118" s="61">
        <f>IF(CA118=0,"",CB118/CA118)</f>
        <v/>
      </c>
      <c r="CE118" s="27" t="n"/>
      <c r="CF118" s="62" t="n"/>
      <c r="CG118" s="62" t="n"/>
      <c r="CH118" s="62">
        <f>CG118-CF118</f>
        <v/>
      </c>
      <c r="CI118" s="64">
        <f>IF(CF118=0,"",CG118/CF118)</f>
        <v/>
      </c>
      <c r="CJ118" s="31" t="n"/>
      <c r="CK118" s="60" t="n"/>
      <c r="CL118" s="60" t="n"/>
      <c r="CM118" s="60">
        <f>CL118-CK118</f>
        <v/>
      </c>
      <c r="CN118" s="61">
        <f>IF(CK118=0,"",CL118/CK118)</f>
        <v/>
      </c>
      <c r="CO118" s="27" t="n"/>
      <c r="CP118" s="62" t="n"/>
      <c r="CQ118" s="62" t="n"/>
      <c r="CR118" s="62">
        <f>CQ118-CP118</f>
        <v/>
      </c>
      <c r="CS118" s="64">
        <f>IF(CP118=0,"",CQ118/CP118)</f>
        <v/>
      </c>
      <c r="CT118" s="31" t="n"/>
      <c r="CU118" s="60" t="n"/>
      <c r="CV118" s="60" t="n"/>
      <c r="CW118" s="60">
        <f>CV118-CU118</f>
        <v/>
      </c>
      <c r="CX118" s="61">
        <f>IF(CU118=0,"",CV118/CU118)</f>
        <v/>
      </c>
      <c r="CY118" s="27" t="n"/>
      <c r="CZ118" s="62" t="n"/>
      <c r="DA118" s="62" t="n"/>
      <c r="DB118" s="62">
        <f>DA118-CZ118</f>
        <v/>
      </c>
      <c r="DC118" s="64">
        <f>IF(CZ118=0,"",DA118/CZ118)</f>
        <v/>
      </c>
      <c r="DD118" s="31" t="n"/>
      <c r="DE118" s="60" t="n"/>
      <c r="DF118" s="60" t="n"/>
      <c r="DG118" s="60">
        <f>DF118-DE118</f>
        <v/>
      </c>
      <c r="DH118" s="61">
        <f>IF(DE118=0,"",DF118/DE118)</f>
        <v/>
      </c>
      <c r="DI118" s="27" t="n"/>
      <c r="DJ118" s="62" t="n"/>
      <c r="DK118" s="62" t="n"/>
      <c r="DL118" s="62">
        <f>DK118-DJ118</f>
        <v/>
      </c>
      <c r="DM118" s="64">
        <f>IF(DJ118=0,"",DK118/DJ118)</f>
        <v/>
      </c>
      <c r="DN118" s="31" t="n"/>
      <c r="DO118" s="60" t="n"/>
    </row>
    <row r="119" outlineLevel="1" ht="15" customHeight="1">
      <c r="A119" s="24" t="n"/>
      <c r="B119" s="24" t="n"/>
      <c r="C119" s="24" t="n"/>
      <c r="D119" s="60" t="n"/>
      <c r="E119" s="60" t="n"/>
      <c r="F119" s="60">
        <f>E119-D119</f>
        <v/>
      </c>
      <c r="G119" s="61">
        <f>IF(D119=0,"",E119/D119)</f>
        <v/>
      </c>
      <c r="H119" s="27" t="n"/>
      <c r="I119" s="60" t="n"/>
      <c r="J119" s="60" t="n"/>
      <c r="K119" s="60">
        <f>J119-I119</f>
        <v/>
      </c>
      <c r="L119" s="61">
        <f>IF(I119=0,"",J119/I119)</f>
        <v/>
      </c>
      <c r="M119" s="27" t="n"/>
      <c r="N119" s="62" t="n"/>
      <c r="O119" s="62" t="n"/>
      <c r="P119" s="63">
        <f>O119-N119</f>
        <v/>
      </c>
      <c r="Q119" s="64">
        <f>IF(N119=0,"",O119/N119)</f>
        <v/>
      </c>
      <c r="R119" s="31" t="n"/>
      <c r="S119" s="60" t="n"/>
      <c r="T119" s="60" t="n"/>
      <c r="U119" s="60">
        <f>T119-S119</f>
        <v/>
      </c>
      <c r="V119" s="61">
        <f>IF(S119=0,"",T119/S119)</f>
        <v/>
      </c>
      <c r="W119" s="27" t="n"/>
      <c r="X119" s="62" t="n"/>
      <c r="Y119" s="62" t="n"/>
      <c r="Z119" s="62">
        <f>Y119-X119</f>
        <v/>
      </c>
      <c r="AA119" s="64">
        <f>IF(X119=0,"",Y119/X119)</f>
        <v/>
      </c>
      <c r="AB119" s="31" t="n"/>
      <c r="AC119" s="60" t="n"/>
      <c r="AD119" s="60" t="n"/>
      <c r="AE119" s="60">
        <f>AD119-AC119</f>
        <v/>
      </c>
      <c r="AF119" s="61">
        <f>IF(AC119=0,"",AD119/AC119)</f>
        <v/>
      </c>
      <c r="AG119" s="27" t="n"/>
      <c r="AH119" s="62" t="n"/>
      <c r="AI119" s="62" t="n"/>
      <c r="AJ119" s="62">
        <f>AI119-AH119</f>
        <v/>
      </c>
      <c r="AK119" s="64">
        <f>IF(AH119=0,"",AI119/AH119)</f>
        <v/>
      </c>
      <c r="AL119" s="31" t="n"/>
      <c r="AM119" s="60" t="n"/>
      <c r="AN119" s="60" t="n"/>
      <c r="AO119" s="60">
        <f>AN119-AM119</f>
        <v/>
      </c>
      <c r="AP119" s="61">
        <f>IF(AM119=0,"",AN119/AM119)</f>
        <v/>
      </c>
      <c r="AQ119" s="27" t="n"/>
      <c r="AR119" s="62" t="n"/>
      <c r="AS119" s="62" t="n"/>
      <c r="AT119" s="62">
        <f>AS119-AR119</f>
        <v/>
      </c>
      <c r="AU119" s="64">
        <f>IF(AR119=0,"",AS119/AR119)</f>
        <v/>
      </c>
      <c r="AV119" s="31" t="n"/>
      <c r="AW119" s="60" t="n"/>
      <c r="AX119" s="60" t="n"/>
      <c r="AY119" s="60">
        <f>AX119-AW119</f>
        <v/>
      </c>
      <c r="AZ119" s="61">
        <f>IF(AW119=0,"",AX119/AW119)</f>
        <v/>
      </c>
      <c r="BA119" s="27" t="n"/>
      <c r="BB119" s="62" t="n"/>
      <c r="BC119" s="62" t="n"/>
      <c r="BD119" s="62">
        <f>BC119-BB119</f>
        <v/>
      </c>
      <c r="BE119" s="64">
        <f>IF(BB119=0,"",BC119/BB119)</f>
        <v/>
      </c>
      <c r="BF119" s="31" t="n"/>
      <c r="BG119" s="60" t="n"/>
      <c r="BH119" s="60" t="n"/>
      <c r="BI119" s="60">
        <f>BH119-BG119</f>
        <v/>
      </c>
      <c r="BJ119" s="61">
        <f>IF(BG119=0,"",BH119/BG119)</f>
        <v/>
      </c>
      <c r="BK119" s="27" t="n"/>
      <c r="BL119" s="62" t="n"/>
      <c r="BM119" s="62" t="n"/>
      <c r="BN119" s="62">
        <f>BM119-BL119</f>
        <v/>
      </c>
      <c r="BO119" s="64">
        <f>IF(BL119=0,"",BM119/BL119)</f>
        <v/>
      </c>
      <c r="BP119" s="31" t="n"/>
      <c r="BQ119" s="60" t="n"/>
      <c r="BR119" s="60" t="n"/>
      <c r="BS119" s="60">
        <f>BR119-BQ119</f>
        <v/>
      </c>
      <c r="BT119" s="61">
        <f>IF(BQ119=0,"",BR119/BQ119)</f>
        <v/>
      </c>
      <c r="BU119" s="27" t="n"/>
      <c r="BV119" s="62" t="n"/>
      <c r="BW119" s="62" t="n"/>
      <c r="BX119" s="62">
        <f>BW119-BV119</f>
        <v/>
      </c>
      <c r="BY119" s="64">
        <f>IF(BV119=0,"",BW119/BV119)</f>
        <v/>
      </c>
      <c r="BZ119" s="31" t="n"/>
      <c r="CA119" s="60" t="n"/>
      <c r="CB119" s="60" t="n"/>
      <c r="CC119" s="60">
        <f>CB119-CA119</f>
        <v/>
      </c>
      <c r="CD119" s="61">
        <f>IF(CA119=0,"",CB119/CA119)</f>
        <v/>
      </c>
      <c r="CE119" s="27" t="n"/>
      <c r="CF119" s="62" t="n"/>
      <c r="CG119" s="62" t="n"/>
      <c r="CH119" s="62">
        <f>CG119-CF119</f>
        <v/>
      </c>
      <c r="CI119" s="64">
        <f>IF(CF119=0,"",CG119/CF119)</f>
        <v/>
      </c>
      <c r="CJ119" s="31" t="n"/>
      <c r="CK119" s="60" t="n"/>
      <c r="CL119" s="60" t="n"/>
      <c r="CM119" s="60">
        <f>CL119-CK119</f>
        <v/>
      </c>
      <c r="CN119" s="61">
        <f>IF(CK119=0,"",CL119/CK119)</f>
        <v/>
      </c>
      <c r="CO119" s="27" t="n"/>
      <c r="CP119" s="62" t="n"/>
      <c r="CQ119" s="62" t="n"/>
      <c r="CR119" s="62">
        <f>CQ119-CP119</f>
        <v/>
      </c>
      <c r="CS119" s="64">
        <f>IF(CP119=0,"",CQ119/CP119)</f>
        <v/>
      </c>
      <c r="CT119" s="31" t="n"/>
      <c r="CU119" s="60" t="n"/>
      <c r="CV119" s="60" t="n"/>
      <c r="CW119" s="60">
        <f>CV119-CU119</f>
        <v/>
      </c>
      <c r="CX119" s="61">
        <f>IF(CU119=0,"",CV119/CU119)</f>
        <v/>
      </c>
      <c r="CY119" s="27" t="n"/>
      <c r="CZ119" s="62" t="n"/>
      <c r="DA119" s="62" t="n"/>
      <c r="DB119" s="62">
        <f>DA119-CZ119</f>
        <v/>
      </c>
      <c r="DC119" s="64">
        <f>IF(CZ119=0,"",DA119/CZ119)</f>
        <v/>
      </c>
      <c r="DD119" s="31" t="n"/>
      <c r="DE119" s="60" t="n"/>
      <c r="DF119" s="60" t="n"/>
      <c r="DG119" s="60">
        <f>DF119-DE119</f>
        <v/>
      </c>
      <c r="DH119" s="61">
        <f>IF(DE119=0,"",DF119/DE119)</f>
        <v/>
      </c>
      <c r="DI119" s="27" t="n"/>
      <c r="DJ119" s="62" t="n"/>
      <c r="DK119" s="62" t="n"/>
      <c r="DL119" s="62">
        <f>DK119-DJ119</f>
        <v/>
      </c>
      <c r="DM119" s="64">
        <f>IF(DJ119=0,"",DK119/DJ119)</f>
        <v/>
      </c>
      <c r="DN119" s="31" t="n"/>
      <c r="DO119" s="60" t="n"/>
    </row>
    <row r="120" outlineLevel="1" ht="15" customHeight="1">
      <c r="A120" s="24" t="n"/>
      <c r="B120" s="24" t="n"/>
      <c r="C120" s="24" t="n"/>
      <c r="D120" s="60" t="n"/>
      <c r="E120" s="60" t="n"/>
      <c r="F120" s="60">
        <f>E120-D120</f>
        <v/>
      </c>
      <c r="G120" s="61">
        <f>IF(D120=0,"",E120/D120)</f>
        <v/>
      </c>
      <c r="H120" s="27" t="n"/>
      <c r="I120" s="60" t="n"/>
      <c r="J120" s="60" t="n"/>
      <c r="K120" s="60">
        <f>J120-I120</f>
        <v/>
      </c>
      <c r="L120" s="61">
        <f>IF(I120=0,"",J120/I120)</f>
        <v/>
      </c>
      <c r="M120" s="27" t="n"/>
      <c r="N120" s="62" t="n"/>
      <c r="O120" s="62" t="n"/>
      <c r="P120" s="62">
        <f>O120-N120</f>
        <v/>
      </c>
      <c r="Q120" s="64">
        <f>IF(N120=0,"",O120/N120)</f>
        <v/>
      </c>
      <c r="R120" s="31" t="n"/>
      <c r="S120" s="60" t="n"/>
      <c r="T120" s="60" t="n"/>
      <c r="U120" s="60">
        <f>T120-S120</f>
        <v/>
      </c>
      <c r="V120" s="61">
        <f>IF(S120=0,"",T120/S120)</f>
        <v/>
      </c>
      <c r="W120" s="27" t="n"/>
      <c r="X120" s="62" t="n"/>
      <c r="Y120" s="62" t="n"/>
      <c r="Z120" s="62">
        <f>Y120-X120</f>
        <v/>
      </c>
      <c r="AA120" s="64">
        <f>IF(X120=0,"",Y120/X120)</f>
        <v/>
      </c>
      <c r="AB120" s="31" t="n"/>
      <c r="AC120" s="60" t="n"/>
      <c r="AD120" s="60" t="n"/>
      <c r="AE120" s="60">
        <f>AD120-AC120</f>
        <v/>
      </c>
      <c r="AF120" s="61">
        <f>IF(AC120=0,"",AD120/AC120)</f>
        <v/>
      </c>
      <c r="AG120" s="27" t="n"/>
      <c r="AH120" s="62" t="n"/>
      <c r="AI120" s="62" t="n"/>
      <c r="AJ120" s="62">
        <f>AI120-AH120</f>
        <v/>
      </c>
      <c r="AK120" s="64">
        <f>IF(AH120=0,"",AI120/AH120)</f>
        <v/>
      </c>
      <c r="AL120" s="31" t="n"/>
      <c r="AM120" s="60" t="n"/>
      <c r="AN120" s="60" t="n"/>
      <c r="AO120" s="60">
        <f>AN120-AM120</f>
        <v/>
      </c>
      <c r="AP120" s="61">
        <f>IF(AM120=0,"",AN120/AM120)</f>
        <v/>
      </c>
      <c r="AQ120" s="27" t="n"/>
      <c r="AR120" s="62" t="n"/>
      <c r="AS120" s="62" t="n"/>
      <c r="AT120" s="62">
        <f>AS120-AR120</f>
        <v/>
      </c>
      <c r="AU120" s="64">
        <f>IF(AR120=0,"",AS120/AR120)</f>
        <v/>
      </c>
      <c r="AV120" s="31" t="n"/>
      <c r="AW120" s="60" t="n"/>
      <c r="AX120" s="60" t="n"/>
      <c r="AY120" s="60">
        <f>AX120-AW120</f>
        <v/>
      </c>
      <c r="AZ120" s="61">
        <f>IF(AW120=0,"",AX120/AW120)</f>
        <v/>
      </c>
      <c r="BA120" s="27" t="n"/>
      <c r="BB120" s="62" t="n"/>
      <c r="BC120" s="62" t="n"/>
      <c r="BD120" s="62">
        <f>BC120-BB120</f>
        <v/>
      </c>
      <c r="BE120" s="64">
        <f>IF(BB120=0,"",BC120/BB120)</f>
        <v/>
      </c>
      <c r="BF120" s="31" t="n"/>
      <c r="BG120" s="60" t="n"/>
      <c r="BH120" s="60" t="n"/>
      <c r="BI120" s="60">
        <f>BH120-BG120</f>
        <v/>
      </c>
      <c r="BJ120" s="61">
        <f>IF(BG120=0,"",BH120/BG120)</f>
        <v/>
      </c>
      <c r="BK120" s="27" t="n"/>
      <c r="BL120" s="62" t="n"/>
      <c r="BM120" s="62" t="n"/>
      <c r="BN120" s="62">
        <f>BM120-BL120</f>
        <v/>
      </c>
      <c r="BO120" s="64">
        <f>IF(BL120=0,"",BM120/BL120)</f>
        <v/>
      </c>
      <c r="BP120" s="31" t="n"/>
      <c r="BQ120" s="60" t="n"/>
      <c r="BR120" s="60" t="n"/>
      <c r="BS120" s="60">
        <f>BR120-BQ120</f>
        <v/>
      </c>
      <c r="BT120" s="61">
        <f>IF(BQ120=0,"",BR120/BQ120)</f>
        <v/>
      </c>
      <c r="BU120" s="27" t="n"/>
      <c r="BV120" s="62" t="n"/>
      <c r="BW120" s="62" t="n"/>
      <c r="BX120" s="62">
        <f>BW120-BV120</f>
        <v/>
      </c>
      <c r="BY120" s="64">
        <f>IF(BV120=0,"",BW120/BV120)</f>
        <v/>
      </c>
      <c r="BZ120" s="31" t="n"/>
      <c r="CA120" s="60" t="n"/>
      <c r="CB120" s="60" t="n"/>
      <c r="CC120" s="60">
        <f>CB120-CA120</f>
        <v/>
      </c>
      <c r="CD120" s="61">
        <f>IF(CA120=0,"",CB120/CA120)</f>
        <v/>
      </c>
      <c r="CE120" s="27" t="n"/>
      <c r="CF120" s="62" t="n"/>
      <c r="CG120" s="62" t="n"/>
      <c r="CH120" s="62">
        <f>CG120-CF120</f>
        <v/>
      </c>
      <c r="CI120" s="64">
        <f>IF(CF120=0,"",CG120/CF120)</f>
        <v/>
      </c>
      <c r="CJ120" s="31" t="n"/>
      <c r="CK120" s="60" t="n"/>
      <c r="CL120" s="60" t="n"/>
      <c r="CM120" s="60">
        <f>CL120-CK120</f>
        <v/>
      </c>
      <c r="CN120" s="61">
        <f>IF(CK120=0,"",CL120/CK120)</f>
        <v/>
      </c>
      <c r="CO120" s="27" t="n"/>
      <c r="CP120" s="62" t="n"/>
      <c r="CQ120" s="62" t="n"/>
      <c r="CR120" s="62">
        <f>CQ120-CP120</f>
        <v/>
      </c>
      <c r="CS120" s="64">
        <f>IF(CP120=0,"",CQ120/CP120)</f>
        <v/>
      </c>
      <c r="CT120" s="31" t="n"/>
      <c r="CU120" s="60" t="n"/>
      <c r="CV120" s="60" t="n"/>
      <c r="CW120" s="60">
        <f>CV120-CU120</f>
        <v/>
      </c>
      <c r="CX120" s="61">
        <f>IF(CU120=0,"",CV120/CU120)</f>
        <v/>
      </c>
      <c r="CY120" s="27" t="n"/>
      <c r="CZ120" s="62" t="n"/>
      <c r="DA120" s="62" t="n"/>
      <c r="DB120" s="62">
        <f>DA120-CZ120</f>
        <v/>
      </c>
      <c r="DC120" s="64">
        <f>IF(CZ120=0,"",DA120/CZ120)</f>
        <v/>
      </c>
      <c r="DD120" s="31" t="n"/>
      <c r="DE120" s="60" t="n"/>
      <c r="DF120" s="60" t="n"/>
      <c r="DG120" s="60">
        <f>DF120-DE120</f>
        <v/>
      </c>
      <c r="DH120" s="61">
        <f>IF(DE120=0,"",DF120/DE120)</f>
        <v/>
      </c>
      <c r="DI120" s="27" t="n"/>
      <c r="DJ120" s="62" t="n"/>
      <c r="DK120" s="62" t="n"/>
      <c r="DL120" s="62">
        <f>DK120-DJ120</f>
        <v/>
      </c>
      <c r="DM120" s="64">
        <f>IF(DJ120=0,"",DK120/DJ120)</f>
        <v/>
      </c>
      <c r="DN120" s="31" t="n"/>
      <c r="DO120" s="60" t="n"/>
    </row>
    <row r="121" outlineLevel="1" ht="15" customHeight="1">
      <c r="A121" s="24" t="n"/>
      <c r="B121" s="24" t="n"/>
      <c r="C121" s="24" t="n"/>
      <c r="D121" s="60" t="n"/>
      <c r="E121" s="60" t="n"/>
      <c r="F121" s="60">
        <f>E121-D121</f>
        <v/>
      </c>
      <c r="G121" s="61">
        <f>IF(D121=0,"",E121/D121)</f>
        <v/>
      </c>
      <c r="H121" s="27" t="n"/>
      <c r="I121" s="60" t="n"/>
      <c r="J121" s="60" t="n"/>
      <c r="K121" s="60">
        <f>J121-I121</f>
        <v/>
      </c>
      <c r="L121" s="61">
        <f>IF(I121=0,"",J121/I121)</f>
        <v/>
      </c>
      <c r="M121" s="27" t="n"/>
      <c r="N121" s="62" t="n"/>
      <c r="O121" s="62" t="n"/>
      <c r="P121" s="62">
        <f>O121-N121</f>
        <v/>
      </c>
      <c r="Q121" s="64">
        <f>IF(N121=0,"",O121/N121)</f>
        <v/>
      </c>
      <c r="R121" s="31" t="n"/>
      <c r="S121" s="60" t="n"/>
      <c r="T121" s="60" t="n"/>
      <c r="U121" s="60">
        <f>T121-S121</f>
        <v/>
      </c>
      <c r="V121" s="61">
        <f>IF(S121=0,"",T121/S121)</f>
        <v/>
      </c>
      <c r="W121" s="27" t="n"/>
      <c r="X121" s="62" t="n"/>
      <c r="Y121" s="62" t="n"/>
      <c r="Z121" s="62">
        <f>Y121-X121</f>
        <v/>
      </c>
      <c r="AA121" s="64">
        <f>IF(X121=0,"",Y121/X121)</f>
        <v/>
      </c>
      <c r="AB121" s="31" t="n"/>
      <c r="AC121" s="60" t="n"/>
      <c r="AD121" s="60" t="n"/>
      <c r="AE121" s="60">
        <f>AD121-AC121</f>
        <v/>
      </c>
      <c r="AF121" s="61">
        <f>IF(AC121=0,"",AD121/AC121)</f>
        <v/>
      </c>
      <c r="AG121" s="27" t="n"/>
      <c r="AH121" s="62" t="n"/>
      <c r="AI121" s="62" t="n"/>
      <c r="AJ121" s="62">
        <f>AI121-AH121</f>
        <v/>
      </c>
      <c r="AK121" s="64">
        <f>IF(AH121=0,"",AI121/AH121)</f>
        <v/>
      </c>
      <c r="AL121" s="31" t="n"/>
      <c r="AM121" s="60" t="n"/>
      <c r="AN121" s="60" t="n"/>
      <c r="AO121" s="60">
        <f>AN121-AM121</f>
        <v/>
      </c>
      <c r="AP121" s="61">
        <f>IF(AM121=0,"",AN121/AM121)</f>
        <v/>
      </c>
      <c r="AQ121" s="27" t="n"/>
      <c r="AR121" s="62" t="n"/>
      <c r="AS121" s="62" t="n"/>
      <c r="AT121" s="62">
        <f>AS121-AR121</f>
        <v/>
      </c>
      <c r="AU121" s="64">
        <f>IF(AR121=0,"",AS121/AR121)</f>
        <v/>
      </c>
      <c r="AV121" s="31" t="n"/>
      <c r="AW121" s="60" t="n"/>
      <c r="AX121" s="60" t="n"/>
      <c r="AY121" s="60">
        <f>AX121-AW121</f>
        <v/>
      </c>
      <c r="AZ121" s="61">
        <f>IF(AW121=0,"",AX121/AW121)</f>
        <v/>
      </c>
      <c r="BA121" s="27" t="n"/>
      <c r="BB121" s="62" t="n"/>
      <c r="BC121" s="62" t="n"/>
      <c r="BD121" s="62">
        <f>BC121-BB121</f>
        <v/>
      </c>
      <c r="BE121" s="64">
        <f>IF(BB121=0,"",BC121/BB121)</f>
        <v/>
      </c>
      <c r="BF121" s="31" t="n"/>
      <c r="BG121" s="60" t="n"/>
      <c r="BH121" s="60" t="n"/>
      <c r="BI121" s="60">
        <f>BH121-BG121</f>
        <v/>
      </c>
      <c r="BJ121" s="61">
        <f>IF(BG121=0,"",BH121/BG121)</f>
        <v/>
      </c>
      <c r="BK121" s="27" t="n"/>
      <c r="BL121" s="62" t="n"/>
      <c r="BM121" s="62" t="n"/>
      <c r="BN121" s="62">
        <f>BM121-BL121</f>
        <v/>
      </c>
      <c r="BO121" s="64">
        <f>IF(BL121=0,"",BM121/BL121)</f>
        <v/>
      </c>
      <c r="BP121" s="31" t="n"/>
      <c r="BQ121" s="60" t="n"/>
      <c r="BR121" s="60" t="n"/>
      <c r="BS121" s="60">
        <f>BR121-BQ121</f>
        <v/>
      </c>
      <c r="BT121" s="61">
        <f>IF(BQ121=0,"",BR121/BQ121)</f>
        <v/>
      </c>
      <c r="BU121" s="27" t="n"/>
      <c r="BV121" s="62" t="n"/>
      <c r="BW121" s="62" t="n"/>
      <c r="BX121" s="62">
        <f>BW121-BV121</f>
        <v/>
      </c>
      <c r="BY121" s="64">
        <f>IF(BV121=0,"",BW121/BV121)</f>
        <v/>
      </c>
      <c r="BZ121" s="31" t="n"/>
      <c r="CA121" s="60" t="n"/>
      <c r="CB121" s="60" t="n"/>
      <c r="CC121" s="60">
        <f>CB121-CA121</f>
        <v/>
      </c>
      <c r="CD121" s="61">
        <f>IF(CA121=0,"",CB121/CA121)</f>
        <v/>
      </c>
      <c r="CE121" s="27" t="n"/>
      <c r="CF121" s="62" t="n"/>
      <c r="CG121" s="62" t="n"/>
      <c r="CH121" s="62">
        <f>CG121-CF121</f>
        <v/>
      </c>
      <c r="CI121" s="64">
        <f>IF(CF121=0,"",CG121/CF121)</f>
        <v/>
      </c>
      <c r="CJ121" s="31" t="n"/>
      <c r="CK121" s="60" t="n"/>
      <c r="CL121" s="60" t="n"/>
      <c r="CM121" s="60">
        <f>CL121-CK121</f>
        <v/>
      </c>
      <c r="CN121" s="61">
        <f>IF(CK121=0,"",CL121/CK121)</f>
        <v/>
      </c>
      <c r="CO121" s="27" t="n"/>
      <c r="CP121" s="62" t="n"/>
      <c r="CQ121" s="62" t="n"/>
      <c r="CR121" s="62">
        <f>CQ121-CP121</f>
        <v/>
      </c>
      <c r="CS121" s="64">
        <f>IF(CP121=0,"",CQ121/CP121)</f>
        <v/>
      </c>
      <c r="CT121" s="31" t="n"/>
      <c r="CU121" s="60" t="n"/>
      <c r="CV121" s="60" t="n"/>
      <c r="CW121" s="60">
        <f>CV121-CU121</f>
        <v/>
      </c>
      <c r="CX121" s="61">
        <f>IF(CU121=0,"",CV121/CU121)</f>
        <v/>
      </c>
      <c r="CY121" s="27" t="n"/>
      <c r="CZ121" s="62" t="n"/>
      <c r="DA121" s="62" t="n"/>
      <c r="DB121" s="62">
        <f>DA121-CZ121</f>
        <v/>
      </c>
      <c r="DC121" s="64">
        <f>IF(CZ121=0,"",DA121/CZ121)</f>
        <v/>
      </c>
      <c r="DD121" s="31" t="n"/>
      <c r="DE121" s="60" t="n"/>
      <c r="DF121" s="60" t="n"/>
      <c r="DG121" s="60">
        <f>DF121-DE121</f>
        <v/>
      </c>
      <c r="DH121" s="61">
        <f>IF(DE121=0,"",DF121/DE121)</f>
        <v/>
      </c>
      <c r="DI121" s="27" t="n"/>
      <c r="DJ121" s="62" t="n"/>
      <c r="DK121" s="62" t="n"/>
      <c r="DL121" s="62">
        <f>DK121-DJ121</f>
        <v/>
      </c>
      <c r="DM121" s="64">
        <f>IF(DJ121=0,"",DK121/DJ121)</f>
        <v/>
      </c>
      <c r="DN121" s="31" t="n"/>
      <c r="DO121" s="60" t="n"/>
    </row>
    <row r="122" outlineLevel="1" ht="15" customHeight="1">
      <c r="A122" s="24" t="n"/>
      <c r="B122" s="24" t="n"/>
      <c r="C122" s="24" t="n"/>
      <c r="D122" s="60" t="n"/>
      <c r="E122" s="60" t="n"/>
      <c r="F122" s="60">
        <f>E122-D122</f>
        <v/>
      </c>
      <c r="G122" s="61">
        <f>IF(D122=0,"",E122/D122)</f>
        <v/>
      </c>
      <c r="H122" s="27" t="n"/>
      <c r="I122" s="60" t="n"/>
      <c r="J122" s="60" t="n"/>
      <c r="K122" s="60">
        <f>J122-I122</f>
        <v/>
      </c>
      <c r="L122" s="61">
        <f>IF(I122=0,"",J122/I122)</f>
        <v/>
      </c>
      <c r="M122" s="27" t="n"/>
      <c r="N122" s="62" t="n"/>
      <c r="O122" s="62" t="n"/>
      <c r="P122" s="62">
        <f>O122-N122</f>
        <v/>
      </c>
      <c r="Q122" s="64">
        <f>IF(N122=0,"",O122/N122)</f>
        <v/>
      </c>
      <c r="R122" s="31" t="n"/>
      <c r="S122" s="60" t="n"/>
      <c r="T122" s="60" t="n"/>
      <c r="U122" s="60">
        <f>T122-S122</f>
        <v/>
      </c>
      <c r="V122" s="61">
        <f>IF(S122=0,"",T122/S122)</f>
        <v/>
      </c>
      <c r="W122" s="27" t="n"/>
      <c r="X122" s="62" t="n"/>
      <c r="Y122" s="62" t="n"/>
      <c r="Z122" s="62">
        <f>Y122-X122</f>
        <v/>
      </c>
      <c r="AA122" s="64">
        <f>IF(X122=0,"",Y122/X122)</f>
        <v/>
      </c>
      <c r="AB122" s="31" t="n"/>
      <c r="AC122" s="60" t="n"/>
      <c r="AD122" s="60" t="n"/>
      <c r="AE122" s="60">
        <f>AD122-AC122</f>
        <v/>
      </c>
      <c r="AF122" s="61">
        <f>IF(AC122=0,"",AD122/AC122)</f>
        <v/>
      </c>
      <c r="AG122" s="27" t="n"/>
      <c r="AH122" s="62" t="n"/>
      <c r="AI122" s="62" t="n"/>
      <c r="AJ122" s="62">
        <f>AI122-AH122</f>
        <v/>
      </c>
      <c r="AK122" s="64">
        <f>IF(AH122=0,"",AI122/AH122)</f>
        <v/>
      </c>
      <c r="AL122" s="31" t="n"/>
      <c r="AM122" s="60" t="n"/>
      <c r="AN122" s="60" t="n"/>
      <c r="AO122" s="60">
        <f>AN122-AM122</f>
        <v/>
      </c>
      <c r="AP122" s="61">
        <f>IF(AM122=0,"",AN122/AM122)</f>
        <v/>
      </c>
      <c r="AQ122" s="27" t="n"/>
      <c r="AR122" s="62" t="n"/>
      <c r="AS122" s="62" t="n"/>
      <c r="AT122" s="62">
        <f>AS122-AR122</f>
        <v/>
      </c>
      <c r="AU122" s="64">
        <f>IF(AR122=0,"",AS122/AR122)</f>
        <v/>
      </c>
      <c r="AV122" s="31" t="n"/>
      <c r="AW122" s="60" t="n"/>
      <c r="AX122" s="60" t="n"/>
      <c r="AY122" s="60">
        <f>AX122-AW122</f>
        <v/>
      </c>
      <c r="AZ122" s="61">
        <f>IF(AW122=0,"",AX122/AW122)</f>
        <v/>
      </c>
      <c r="BA122" s="27" t="n"/>
      <c r="BB122" s="62" t="n"/>
      <c r="BC122" s="62" t="n"/>
      <c r="BD122" s="62">
        <f>BC122-BB122</f>
        <v/>
      </c>
      <c r="BE122" s="64">
        <f>IF(BB122=0,"",BC122/BB122)</f>
        <v/>
      </c>
      <c r="BF122" s="31" t="n"/>
      <c r="BG122" s="60" t="n"/>
      <c r="BH122" s="60" t="n"/>
      <c r="BI122" s="60">
        <f>BH122-BG122</f>
        <v/>
      </c>
      <c r="BJ122" s="61">
        <f>IF(BG122=0,"",BH122/BG122)</f>
        <v/>
      </c>
      <c r="BK122" s="27" t="n"/>
      <c r="BL122" s="62" t="n"/>
      <c r="BM122" s="62" t="n"/>
      <c r="BN122" s="62">
        <f>BM122-BL122</f>
        <v/>
      </c>
      <c r="BO122" s="64">
        <f>IF(BL122=0,"",BM122/BL122)</f>
        <v/>
      </c>
      <c r="BP122" s="31" t="n"/>
      <c r="BQ122" s="60" t="n"/>
      <c r="BR122" s="60" t="n"/>
      <c r="BS122" s="60">
        <f>BR122-BQ122</f>
        <v/>
      </c>
      <c r="BT122" s="61">
        <f>IF(BQ122=0,"",BR122/BQ122)</f>
        <v/>
      </c>
      <c r="BU122" s="27" t="n"/>
      <c r="BV122" s="62" t="n"/>
      <c r="BW122" s="62" t="n"/>
      <c r="BX122" s="62">
        <f>BW122-BV122</f>
        <v/>
      </c>
      <c r="BY122" s="64">
        <f>IF(BV122=0,"",BW122/BV122)</f>
        <v/>
      </c>
      <c r="BZ122" s="31" t="n"/>
      <c r="CA122" s="60" t="n"/>
      <c r="CB122" s="60" t="n"/>
      <c r="CC122" s="60">
        <f>CB122-CA122</f>
        <v/>
      </c>
      <c r="CD122" s="61">
        <f>IF(CA122=0,"",CB122/CA122)</f>
        <v/>
      </c>
      <c r="CE122" s="27" t="n"/>
      <c r="CF122" s="62" t="n"/>
      <c r="CG122" s="62" t="n"/>
      <c r="CH122" s="62">
        <f>CG122-CF122</f>
        <v/>
      </c>
      <c r="CI122" s="64">
        <f>IF(CF122=0,"",CG122/CF122)</f>
        <v/>
      </c>
      <c r="CJ122" s="31" t="n"/>
      <c r="CK122" s="60" t="n"/>
      <c r="CL122" s="60" t="n"/>
      <c r="CM122" s="60">
        <f>CL122-CK122</f>
        <v/>
      </c>
      <c r="CN122" s="61">
        <f>IF(CK122=0,"",CL122/CK122)</f>
        <v/>
      </c>
      <c r="CO122" s="27" t="n"/>
      <c r="CP122" s="62" t="n"/>
      <c r="CQ122" s="62" t="n"/>
      <c r="CR122" s="62">
        <f>CQ122-CP122</f>
        <v/>
      </c>
      <c r="CS122" s="64">
        <f>IF(CP122=0,"",CQ122/CP122)</f>
        <v/>
      </c>
      <c r="CT122" s="31" t="n"/>
      <c r="CU122" s="60" t="n"/>
      <c r="CV122" s="60" t="n"/>
      <c r="CW122" s="60">
        <f>CV122-CU122</f>
        <v/>
      </c>
      <c r="CX122" s="61">
        <f>IF(CU122=0,"",CV122/CU122)</f>
        <v/>
      </c>
      <c r="CY122" s="27" t="n"/>
      <c r="CZ122" s="62" t="n"/>
      <c r="DA122" s="62" t="n"/>
      <c r="DB122" s="62">
        <f>DA122-CZ122</f>
        <v/>
      </c>
      <c r="DC122" s="64">
        <f>IF(CZ122=0,"",DA122/CZ122)</f>
        <v/>
      </c>
      <c r="DD122" s="31" t="n"/>
      <c r="DE122" s="60" t="n"/>
      <c r="DF122" s="60" t="n"/>
      <c r="DG122" s="60">
        <f>DF122-DE122</f>
        <v/>
      </c>
      <c r="DH122" s="61">
        <f>IF(DE122=0,"",DF122/DE122)</f>
        <v/>
      </c>
      <c r="DI122" s="27" t="n"/>
      <c r="DJ122" s="62" t="n"/>
      <c r="DK122" s="62" t="n"/>
      <c r="DL122" s="62">
        <f>DK122-DJ122</f>
        <v/>
      </c>
      <c r="DM122" s="64">
        <f>IF(DJ122=0,"",DK122/DJ122)</f>
        <v/>
      </c>
      <c r="DN122" s="31" t="n"/>
      <c r="DO122" s="60" t="n"/>
    </row>
    <row r="123" ht="15" customHeight="1">
      <c r="A123" s="15" t="n"/>
      <c r="B123" s="15" t="n"/>
      <c r="C123" s="15" t="n"/>
      <c r="D123" s="56">
        <f>D124+D127+D144+D162+D184+D207+D215+D235+D244+D259+D284</f>
        <v/>
      </c>
      <c r="E123" s="56">
        <f>E124+E127+E144+E162+E184+E207+E215+E235+E244+E259+E284</f>
        <v/>
      </c>
      <c r="F123" s="56">
        <f>E123-D123</f>
        <v/>
      </c>
      <c r="G123" s="57">
        <f>IF(D123=0,"",E123/D123)</f>
        <v/>
      </c>
      <c r="H123" s="18" t="n"/>
      <c r="I123" s="56">
        <f>I124+I127+I144+I162+I184+I207+I215+I235+I244+I259+I284</f>
        <v/>
      </c>
      <c r="J123" s="56">
        <f>J124+J127+J144+J162+J184+J207+J215+J235+J244+J259+J284</f>
        <v/>
      </c>
      <c r="K123" s="56">
        <f>J123-I123</f>
        <v/>
      </c>
      <c r="L123" s="57">
        <f>IF(I123=0,"",J123/I123)</f>
        <v/>
      </c>
      <c r="M123" s="18" t="n"/>
      <c r="N123" s="56">
        <f>N124+N127+N144+N162+N184+N207+N215+N235+N244+N259+N284</f>
        <v/>
      </c>
      <c r="O123" s="56">
        <f>O124+O127+O144+O162+O184+O207+O215+O235+O244+O259+O284</f>
        <v/>
      </c>
      <c r="P123" s="56">
        <f>O123-N123</f>
        <v/>
      </c>
      <c r="Q123" s="57">
        <f>IF(N123=0,"",O123/N123)</f>
        <v/>
      </c>
      <c r="R123" s="18" t="n"/>
      <c r="S123" s="56">
        <f>S124+S127+S144+S162+S184+S207+S215+S235+S244+S259+S284</f>
        <v/>
      </c>
      <c r="T123" s="56">
        <f>T124+T127+T144+T162+T184+T207+T215+T235+T244+T259+T284</f>
        <v/>
      </c>
      <c r="U123" s="56">
        <f>T123-S123</f>
        <v/>
      </c>
      <c r="V123" s="57">
        <f>IF(S123=0,"",T123/S123)</f>
        <v/>
      </c>
      <c r="W123" s="18" t="n"/>
      <c r="X123" s="56">
        <f>X124+X127+X144+X162+X184+X207+X215+X235+X244+X259+X284</f>
        <v/>
      </c>
      <c r="Y123" s="56">
        <f>Y124+Y127+Y144+Y162+Y184+Y207+Y215+Y235+Y244+Y259+Y284</f>
        <v/>
      </c>
      <c r="Z123" s="56">
        <f>Y123-X123</f>
        <v/>
      </c>
      <c r="AA123" s="57">
        <f>IF(X123=0,"",Y123/X123)</f>
        <v/>
      </c>
      <c r="AB123" s="18" t="n"/>
      <c r="AC123" s="56">
        <f>AC124+AC127+AC144+AC162+AC184+AC207+AC215+AC235+AC244+AC259+AC284</f>
        <v/>
      </c>
      <c r="AD123" s="56">
        <f>AD124+AD127+AD144+AD162+AD184+AD207+AD215+AD235+AD244+AD259+AD284</f>
        <v/>
      </c>
      <c r="AE123" s="56">
        <f>AD123-AC123</f>
        <v/>
      </c>
      <c r="AF123" s="57">
        <f>IF(AC123=0,"",AD123/AC123)</f>
        <v/>
      </c>
      <c r="AG123" s="18" t="n"/>
      <c r="AH123" s="56">
        <f>AH124+AH127+AH144+AH162+AH184+AH207+AH215+AH235+AH244+AH259+AH284</f>
        <v/>
      </c>
      <c r="AI123" s="56">
        <f>AI124+AI127+AI144+AI162+AI184+AI207+AI215+AI235+AI244+AI259+AI284</f>
        <v/>
      </c>
      <c r="AJ123" s="56">
        <f>AI123-AH123</f>
        <v/>
      </c>
      <c r="AK123" s="57">
        <f>IF(AH123=0,"",AI123/AH123)</f>
        <v/>
      </c>
      <c r="AL123" s="18" t="n"/>
      <c r="AM123" s="56">
        <f>AM124+AM127+AM144+AM162+AM184+AM207+AM215+AM235+AM244+AM259+AM284</f>
        <v/>
      </c>
      <c r="AN123" s="56">
        <f>AN124+AN127+AN144+AN162+AN184+AN207+AN215+AN235+AN244+AN259+AN284</f>
        <v/>
      </c>
      <c r="AO123" s="56">
        <f>AN123-AM123</f>
        <v/>
      </c>
      <c r="AP123" s="57">
        <f>IF(AM123=0,"",AN123/AM123)</f>
        <v/>
      </c>
      <c r="AQ123" s="18" t="n"/>
      <c r="AR123" s="56">
        <f>AR124+AR127+AR144+AR162+AR184+AR207+AR215+AR235+AR244+AR259+AR284</f>
        <v/>
      </c>
      <c r="AS123" s="56">
        <f>AS124+AS127+AS144+AS162+AS184+AS207+AS215+AS235+AS244+AS259+AS284</f>
        <v/>
      </c>
      <c r="AT123" s="56">
        <f>AS123-AR123</f>
        <v/>
      </c>
      <c r="AU123" s="57">
        <f>IF(AR123=0,"",AS123/AR123)</f>
        <v/>
      </c>
      <c r="AV123" s="18" t="n"/>
      <c r="AW123" s="56">
        <f>AW124+AW127+AW144+AW162+AW184+AW207+AW215+AW235+AW244+AW259+AW284</f>
        <v/>
      </c>
      <c r="AX123" s="56">
        <f>AX124+AX127+AX144+AX162+AX184+AX207+AX215+AX235+AX244+AX259+AX284</f>
        <v/>
      </c>
      <c r="AY123" s="56">
        <f>AX123-AW123</f>
        <v/>
      </c>
      <c r="AZ123" s="57">
        <f>IF(AW123=0,"",AX123/AW123)</f>
        <v/>
      </c>
      <c r="BA123" s="18" t="n"/>
      <c r="BB123" s="56">
        <f>BB124+BB127+BB144+BB162+BB184+BB207+BB215+BB235+BB244+BB259+BB284</f>
        <v/>
      </c>
      <c r="BC123" s="56">
        <f>BC124+BC127+BC144+BC162+BC184+BC207+BC215+BC235+BC244+BC259+BC284</f>
        <v/>
      </c>
      <c r="BD123" s="56">
        <f>BC123-BB123</f>
        <v/>
      </c>
      <c r="BE123" s="57">
        <f>IF(BB123=0,"",BC123/BB123)</f>
        <v/>
      </c>
      <c r="BF123" s="18" t="n"/>
      <c r="BG123" s="56">
        <f>BG124+BG127+BG144+BG162+BG184+BG207+BG215+BG235+BG244+BG259+BG284</f>
        <v/>
      </c>
      <c r="BH123" s="56">
        <f>BH124+BH127+BH144+BH162+BH184+BH207+BH215+BH235+BH244+BH259+BH284</f>
        <v/>
      </c>
      <c r="BI123" s="56">
        <f>BH123-BG123</f>
        <v/>
      </c>
      <c r="BJ123" s="57">
        <f>IF(BG123=0,"",BH123/BG123)</f>
        <v/>
      </c>
      <c r="BK123" s="18" t="n"/>
      <c r="BL123" s="56">
        <f>BL124+BL127+BL144+BL162+BL184+BL207+BL215+BL235+BL244+BL259+BL284</f>
        <v/>
      </c>
      <c r="BM123" s="56">
        <f>BM124+BM127+BM144+BM162+BM184+BM207+BM215+BM235+BM244+BM259+BM284</f>
        <v/>
      </c>
      <c r="BN123" s="56">
        <f>BM123-BL123</f>
        <v/>
      </c>
      <c r="BO123" s="57">
        <f>IF(BL123=0,"",BM123/BL123)</f>
        <v/>
      </c>
      <c r="BP123" s="18" t="n"/>
      <c r="BQ123" s="56">
        <f>BQ124+BQ127+BQ144+BQ162+BQ184+BQ207+BQ215+BQ235+BQ244+BQ259+BQ284</f>
        <v/>
      </c>
      <c r="BR123" s="56">
        <f>BR124+BR127+BR144+BR162+BR184+BR207+BR215+BR235+BR244+BR259+BR284</f>
        <v/>
      </c>
      <c r="BS123" s="56">
        <f>BR123-BQ123</f>
        <v/>
      </c>
      <c r="BT123" s="57">
        <f>IF(BQ123=0,"",BR123/BQ123)</f>
        <v/>
      </c>
      <c r="BU123" s="18" t="n"/>
      <c r="BV123" s="56">
        <f>BV124+BV127+BV144+BV162+BV184+BV207+BV215+BV235+BV244+BV259+BV284</f>
        <v/>
      </c>
      <c r="BW123" s="56">
        <f>BW124+BW127+BW144+BW162+BW184+BW207+BW215+BW235+BW244+BW259+BW284</f>
        <v/>
      </c>
      <c r="BX123" s="56">
        <f>BW123-BV123</f>
        <v/>
      </c>
      <c r="BY123" s="57">
        <f>IF(BV123=0,"",BW123/BV123)</f>
        <v/>
      </c>
      <c r="BZ123" s="18" t="n"/>
      <c r="CA123" s="56">
        <f>CA124+CA127+CA144+CA162+CA184+CA207+CA215+CA235+CA244+CA259+CA284</f>
        <v/>
      </c>
      <c r="CB123" s="56">
        <f>CB124+CB127+CB144+CB162+CB184+CB207+CB215+CB235+CB244+CB259+CB284</f>
        <v/>
      </c>
      <c r="CC123" s="56">
        <f>CB123-CA123</f>
        <v/>
      </c>
      <c r="CD123" s="57">
        <f>IF(CA123=0,"",CB123/CA123)</f>
        <v/>
      </c>
      <c r="CE123" s="18" t="n"/>
      <c r="CF123" s="56">
        <f>CF124+CF127+CF144+CF162+CF184+CF207+CF215+CF235+CF244+CF259+CF284</f>
        <v/>
      </c>
      <c r="CG123" s="56">
        <f>CG124+CG127+CG144+CG162+CG184+CG207+CG215+CG235+CG244+CG259+CG284</f>
        <v/>
      </c>
      <c r="CH123" s="56">
        <f>CG123-CF123</f>
        <v/>
      </c>
      <c r="CI123" s="57">
        <f>IF(CF123=0,"",CG123/CF123)</f>
        <v/>
      </c>
      <c r="CJ123" s="18" t="n"/>
      <c r="CK123" s="56">
        <f>CK124+CK127+CK144+CK162+CK184+CK207+CK215+CK235+CK244+CK259+CK284</f>
        <v/>
      </c>
      <c r="CL123" s="56">
        <f>CL124+CL127+CL144+CL162+CL184+CL207+CL215+CL235+CL244+CL259+CL284</f>
        <v/>
      </c>
      <c r="CM123" s="56">
        <f>CL123-CK123</f>
        <v/>
      </c>
      <c r="CN123" s="57">
        <f>IF(CK123=0,"",CL123/CK123)</f>
        <v/>
      </c>
      <c r="CO123" s="18" t="n"/>
      <c r="CP123" s="56">
        <f>CP124+CP127+CP144+CP162+CP184+CP207+CP215+CP235+CP244+CP259+CP284</f>
        <v/>
      </c>
      <c r="CQ123" s="56">
        <f>CQ124+CQ127+CQ144+CQ162+CQ184+CQ207+CQ215+CQ235+CQ244+CQ259+CQ284</f>
        <v/>
      </c>
      <c r="CR123" s="56">
        <f>CQ123-CP123</f>
        <v/>
      </c>
      <c r="CS123" s="57">
        <f>IF(CP123=0,"",CQ123/CP123)</f>
        <v/>
      </c>
      <c r="CT123" s="18" t="n"/>
      <c r="CU123" s="56">
        <f>CU124+CU127+CU144+CU162+CU184+CU207+CU215+CU235+CU244+CU259+CU284</f>
        <v/>
      </c>
      <c r="CV123" s="56">
        <f>CV124+CV127+CV144+CV162+CV184+CV207+CV215+CV235+CV244+CV259+CV284</f>
        <v/>
      </c>
      <c r="CW123" s="56">
        <f>CV123-CU123</f>
        <v/>
      </c>
      <c r="CX123" s="57">
        <f>IF(CU123=0,"",CV123/CU123)</f>
        <v/>
      </c>
      <c r="CY123" s="18" t="n"/>
      <c r="CZ123" s="56">
        <f>CZ124+CZ127+CZ144+CZ162+CZ184+CZ207+CZ215+CZ235+CZ244+CZ259+CZ284</f>
        <v/>
      </c>
      <c r="DA123" s="56">
        <f>DA124+DA127+DA144+DA162+DA184+DA207+DA215+DA235+DA244+DA259+DA284</f>
        <v/>
      </c>
      <c r="DB123" s="56">
        <f>DA123-CZ123</f>
        <v/>
      </c>
      <c r="DC123" s="57">
        <f>IF(CZ123=0,"",DA123/CZ123)</f>
        <v/>
      </c>
      <c r="DD123" s="18" t="n"/>
      <c r="DE123" s="56">
        <f>DE124+DE127+DE144+DE162+DE184+DE207+DE215+DE235+DE244+DE259+DE284</f>
        <v/>
      </c>
      <c r="DF123" s="56">
        <f>DF124+DF127+DF144+DF162+DF184+DF207+DF215+DF235+DF244+DF259+DF284</f>
        <v/>
      </c>
      <c r="DG123" s="56">
        <f>DF123-DE123</f>
        <v/>
      </c>
      <c r="DH123" s="57">
        <f>IF(DE123=0,"",DF123/DE123)</f>
        <v/>
      </c>
      <c r="DI123" s="18" t="n"/>
      <c r="DJ123" s="56">
        <f>DJ124+DJ127+DJ144+DJ162+DJ184+DJ207+DJ215+DJ235+DJ244+DJ259+DJ284</f>
        <v/>
      </c>
      <c r="DK123" s="56">
        <f>DK124+DK127+DK144+DK162+DK184+DK207+DK215+DK235+DK244+DK259+DK284</f>
        <v/>
      </c>
      <c r="DL123" s="56">
        <f>DK123-DJ123</f>
        <v/>
      </c>
      <c r="DM123" s="57">
        <f>IF(DJ123=0,"",DK123/DJ123)</f>
        <v/>
      </c>
      <c r="DN123" s="18" t="n"/>
      <c r="DO123" s="56">
        <f>DO124+DO127+DO144+DO162+DO184+DO207+DO215+DO235+DO244+DO259+DO284</f>
        <v/>
      </c>
    </row>
    <row r="124" ht="15" customHeight="1">
      <c r="A124" s="32" t="n"/>
      <c r="B124" s="32" t="n"/>
      <c r="C124" s="32" t="n"/>
      <c r="D124" s="65">
        <f>D126</f>
        <v/>
      </c>
      <c r="E124" s="65">
        <f>E126</f>
        <v/>
      </c>
      <c r="F124" s="65">
        <f>E124-D124</f>
        <v/>
      </c>
      <c r="G124" s="66">
        <f>IF(D124=0,"",E124/D124)</f>
        <v/>
      </c>
      <c r="H124" s="35" t="n"/>
      <c r="I124" s="65">
        <f>I126</f>
        <v/>
      </c>
      <c r="J124" s="65">
        <f>J126</f>
        <v/>
      </c>
      <c r="K124" s="65">
        <f>J124-I124</f>
        <v/>
      </c>
      <c r="L124" s="66">
        <f>IF(I124=0,"",J124/I124)</f>
        <v/>
      </c>
      <c r="M124" s="35" t="n"/>
      <c r="N124" s="65">
        <f>N126</f>
        <v/>
      </c>
      <c r="O124" s="65">
        <f>O126</f>
        <v/>
      </c>
      <c r="P124" s="65">
        <f>O124-N124</f>
        <v/>
      </c>
      <c r="Q124" s="66">
        <f>IF(N124=0,"",O124/N124)</f>
        <v/>
      </c>
      <c r="R124" s="35" t="n"/>
      <c r="S124" s="65">
        <f>S126</f>
        <v/>
      </c>
      <c r="T124" s="65">
        <f>T126</f>
        <v/>
      </c>
      <c r="U124" s="65">
        <f>T124-S124</f>
        <v/>
      </c>
      <c r="V124" s="66">
        <f>IF(S124=0,"",T124/S124)</f>
        <v/>
      </c>
      <c r="W124" s="35" t="n"/>
      <c r="X124" s="65">
        <f>X126</f>
        <v/>
      </c>
      <c r="Y124" s="65">
        <f>Y126</f>
        <v/>
      </c>
      <c r="Z124" s="65">
        <f>Y124-X124</f>
        <v/>
      </c>
      <c r="AA124" s="66">
        <f>IF(X124=0,"",Y124/X124)</f>
        <v/>
      </c>
      <c r="AB124" s="35" t="n"/>
      <c r="AC124" s="65">
        <f>AC126</f>
        <v/>
      </c>
      <c r="AD124" s="65">
        <f>AD126</f>
        <v/>
      </c>
      <c r="AE124" s="65">
        <f>AD124-AC124</f>
        <v/>
      </c>
      <c r="AF124" s="66">
        <f>IF(AC124=0,"",AD124/AC124)</f>
        <v/>
      </c>
      <c r="AG124" s="35" t="n"/>
      <c r="AH124" s="65">
        <f>AH126</f>
        <v/>
      </c>
      <c r="AI124" s="65">
        <f>AI126</f>
        <v/>
      </c>
      <c r="AJ124" s="65">
        <f>AI124-AH124</f>
        <v/>
      </c>
      <c r="AK124" s="66">
        <f>IF(AH124=0,"",AI124/AH124)</f>
        <v/>
      </c>
      <c r="AL124" s="35" t="n"/>
      <c r="AM124" s="65">
        <f>AM126</f>
        <v/>
      </c>
      <c r="AN124" s="65">
        <f>AN126</f>
        <v/>
      </c>
      <c r="AO124" s="65">
        <f>AN124-AM124</f>
        <v/>
      </c>
      <c r="AP124" s="66">
        <f>IF(AM124=0,"",AN124/AM124)</f>
        <v/>
      </c>
      <c r="AQ124" s="35" t="n"/>
      <c r="AR124" s="65">
        <f>AR126</f>
        <v/>
      </c>
      <c r="AS124" s="65">
        <f>AS126</f>
        <v/>
      </c>
      <c r="AT124" s="65">
        <f>AS124-AR124</f>
        <v/>
      </c>
      <c r="AU124" s="66">
        <f>IF(AR124=0,"",AS124/AR124)</f>
        <v/>
      </c>
      <c r="AV124" s="35" t="n"/>
      <c r="AW124" s="65">
        <f>AW126</f>
        <v/>
      </c>
      <c r="AX124" s="65">
        <f>AX126</f>
        <v/>
      </c>
      <c r="AY124" s="65">
        <f>AX124-AW124</f>
        <v/>
      </c>
      <c r="AZ124" s="66">
        <f>IF(AW124=0,"",AX124/AW124)</f>
        <v/>
      </c>
      <c r="BA124" s="35" t="n"/>
      <c r="BB124" s="65">
        <f>BB126</f>
        <v/>
      </c>
      <c r="BC124" s="65">
        <f>BC126</f>
        <v/>
      </c>
      <c r="BD124" s="65">
        <f>BC124-BB124</f>
        <v/>
      </c>
      <c r="BE124" s="66">
        <f>IF(BB124=0,"",BC124/BB124)</f>
        <v/>
      </c>
      <c r="BF124" s="35" t="n"/>
      <c r="BG124" s="65">
        <f>BG126</f>
        <v/>
      </c>
      <c r="BH124" s="65">
        <f>BH126</f>
        <v/>
      </c>
      <c r="BI124" s="65">
        <f>BH124-BG124</f>
        <v/>
      </c>
      <c r="BJ124" s="66">
        <f>IF(BG124=0,"",BH124/BG124)</f>
        <v/>
      </c>
      <c r="BK124" s="35" t="n"/>
      <c r="BL124" s="65">
        <f>BL126</f>
        <v/>
      </c>
      <c r="BM124" s="65">
        <f>BM126</f>
        <v/>
      </c>
      <c r="BN124" s="65">
        <f>BM124-BL124</f>
        <v/>
      </c>
      <c r="BO124" s="66">
        <f>IF(BL124=0,"",BM124/BL124)</f>
        <v/>
      </c>
      <c r="BP124" s="35" t="n"/>
      <c r="BQ124" s="65">
        <f>BQ126</f>
        <v/>
      </c>
      <c r="BR124" s="65">
        <f>BR126</f>
        <v/>
      </c>
      <c r="BS124" s="65">
        <f>BR124-BQ124</f>
        <v/>
      </c>
      <c r="BT124" s="66">
        <f>IF(BQ124=0,"",BR124/BQ124)</f>
        <v/>
      </c>
      <c r="BU124" s="35" t="n"/>
      <c r="BV124" s="65">
        <f>BV126</f>
        <v/>
      </c>
      <c r="BW124" s="65">
        <f>BW126</f>
        <v/>
      </c>
      <c r="BX124" s="65">
        <f>BW124-BV124</f>
        <v/>
      </c>
      <c r="BY124" s="66">
        <f>IF(BV124=0,"",BW124/BV124)</f>
        <v/>
      </c>
      <c r="BZ124" s="35" t="n"/>
      <c r="CA124" s="65">
        <f>CA126</f>
        <v/>
      </c>
      <c r="CB124" s="65">
        <f>CB126</f>
        <v/>
      </c>
      <c r="CC124" s="65">
        <f>CB124-CA124</f>
        <v/>
      </c>
      <c r="CD124" s="66">
        <f>IF(CA124=0,"",CB124/CA124)</f>
        <v/>
      </c>
      <c r="CE124" s="35" t="n"/>
      <c r="CF124" s="65">
        <f>CF126</f>
        <v/>
      </c>
      <c r="CG124" s="65">
        <f>CG126</f>
        <v/>
      </c>
      <c r="CH124" s="65">
        <f>CG124-CF124</f>
        <v/>
      </c>
      <c r="CI124" s="66">
        <f>IF(CF124=0,"",CG124/CF124)</f>
        <v/>
      </c>
      <c r="CJ124" s="35" t="n"/>
      <c r="CK124" s="65">
        <f>CK126</f>
        <v/>
      </c>
      <c r="CL124" s="65">
        <f>CL126</f>
        <v/>
      </c>
      <c r="CM124" s="65">
        <f>CL124-CK124</f>
        <v/>
      </c>
      <c r="CN124" s="66">
        <f>IF(CK124=0,"",CL124/CK124)</f>
        <v/>
      </c>
      <c r="CO124" s="35" t="n"/>
      <c r="CP124" s="65">
        <f>CP126</f>
        <v/>
      </c>
      <c r="CQ124" s="65">
        <f>CQ126</f>
        <v/>
      </c>
      <c r="CR124" s="65">
        <f>CQ124-CP124</f>
        <v/>
      </c>
      <c r="CS124" s="66">
        <f>IF(CP124=0,"",CQ124/CP124)</f>
        <v/>
      </c>
      <c r="CT124" s="35" t="n"/>
      <c r="CU124" s="65">
        <f>CU126</f>
        <v/>
      </c>
      <c r="CV124" s="65">
        <f>CV126</f>
        <v/>
      </c>
      <c r="CW124" s="65">
        <f>CV124-CU124</f>
        <v/>
      </c>
      <c r="CX124" s="66">
        <f>IF(CU124=0,"",CV124/CU124)</f>
        <v/>
      </c>
      <c r="CY124" s="35" t="n"/>
      <c r="CZ124" s="65">
        <f>CZ126</f>
        <v/>
      </c>
      <c r="DA124" s="65">
        <f>DA126</f>
        <v/>
      </c>
      <c r="DB124" s="65">
        <f>DA124-CZ124</f>
        <v/>
      </c>
      <c r="DC124" s="66">
        <f>IF(CZ124=0,"",DA124/CZ124)</f>
        <v/>
      </c>
      <c r="DD124" s="35" t="n"/>
      <c r="DE124" s="65">
        <f>DE126</f>
        <v/>
      </c>
      <c r="DF124" s="65">
        <f>DF126</f>
        <v/>
      </c>
      <c r="DG124" s="65">
        <f>DF124-DE124</f>
        <v/>
      </c>
      <c r="DH124" s="66">
        <f>IF(DE124=0,"",DF124/DE124)</f>
        <v/>
      </c>
      <c r="DI124" s="35" t="n"/>
      <c r="DJ124" s="65">
        <f>DJ126</f>
        <v/>
      </c>
      <c r="DK124" s="65">
        <f>DK126</f>
        <v/>
      </c>
      <c r="DL124" s="65">
        <f>DK124-DJ124</f>
        <v/>
      </c>
      <c r="DM124" s="66">
        <f>IF(DJ124=0,"",DK124/DJ124)</f>
        <v/>
      </c>
      <c r="DN124" s="35" t="n"/>
      <c r="DO124" s="65">
        <f>DO126</f>
        <v/>
      </c>
    </row>
    <row r="125" ht="15" customHeight="1">
      <c r="A125" s="19" t="n"/>
      <c r="B125" s="20" t="n"/>
      <c r="C125" s="19" t="n"/>
      <c r="D125" s="58">
        <f>D126</f>
        <v/>
      </c>
      <c r="E125" s="58">
        <f>E126</f>
        <v/>
      </c>
      <c r="F125" s="58">
        <f>E125-D125</f>
        <v/>
      </c>
      <c r="G125" s="59">
        <f>IF(D125=0,"",E125/D125)</f>
        <v/>
      </c>
      <c r="H125" s="23" t="n"/>
      <c r="I125" s="58">
        <f>I126</f>
        <v/>
      </c>
      <c r="J125" s="58">
        <f>J126</f>
        <v/>
      </c>
      <c r="K125" s="58">
        <f>J125-I125</f>
        <v/>
      </c>
      <c r="L125" s="59">
        <f>IF(I125=0,"",J125/I125)</f>
        <v/>
      </c>
      <c r="M125" s="23" t="n"/>
      <c r="N125" s="58">
        <f>N126</f>
        <v/>
      </c>
      <c r="O125" s="58">
        <f>O126</f>
        <v/>
      </c>
      <c r="P125" s="58">
        <f>O125-N125</f>
        <v/>
      </c>
      <c r="Q125" s="59">
        <f>IF(N125=0,"",O125/N125)</f>
        <v/>
      </c>
      <c r="R125" s="23" t="n"/>
      <c r="S125" s="58">
        <f>S126</f>
        <v/>
      </c>
      <c r="T125" s="58">
        <f>T126</f>
        <v/>
      </c>
      <c r="U125" s="58">
        <f>T125-S125</f>
        <v/>
      </c>
      <c r="V125" s="59">
        <f>IF(S125=0,"",T125/S125)</f>
        <v/>
      </c>
      <c r="W125" s="23" t="n"/>
      <c r="X125" s="58">
        <f>X126</f>
        <v/>
      </c>
      <c r="Y125" s="58">
        <f>Y126</f>
        <v/>
      </c>
      <c r="Z125" s="58">
        <f>Y125-X125</f>
        <v/>
      </c>
      <c r="AA125" s="59">
        <f>IF(X125=0,"",Y125/X125)</f>
        <v/>
      </c>
      <c r="AB125" s="23" t="n"/>
      <c r="AC125" s="58">
        <f>AC126</f>
        <v/>
      </c>
      <c r="AD125" s="58">
        <f>AD126</f>
        <v/>
      </c>
      <c r="AE125" s="58">
        <f>AD125-AC125</f>
        <v/>
      </c>
      <c r="AF125" s="59">
        <f>IF(AC125=0,"",AD125/AC125)</f>
        <v/>
      </c>
      <c r="AG125" s="23" t="n"/>
      <c r="AH125" s="58">
        <f>AH126</f>
        <v/>
      </c>
      <c r="AI125" s="58">
        <f>AI126</f>
        <v/>
      </c>
      <c r="AJ125" s="58">
        <f>AI125-AH125</f>
        <v/>
      </c>
      <c r="AK125" s="59">
        <f>IF(AH125=0,"",AI125/AH125)</f>
        <v/>
      </c>
      <c r="AL125" s="23" t="n"/>
      <c r="AM125" s="58">
        <f>AM126</f>
        <v/>
      </c>
      <c r="AN125" s="58">
        <f>AN126</f>
        <v/>
      </c>
      <c r="AO125" s="58">
        <f>AN125-AM125</f>
        <v/>
      </c>
      <c r="AP125" s="59">
        <f>IF(AM125=0,"",AN125/AM125)</f>
        <v/>
      </c>
      <c r="AQ125" s="23" t="n"/>
      <c r="AR125" s="58">
        <f>AR126</f>
        <v/>
      </c>
      <c r="AS125" s="58">
        <f>AS126</f>
        <v/>
      </c>
      <c r="AT125" s="58">
        <f>AS125-AR125</f>
        <v/>
      </c>
      <c r="AU125" s="59">
        <f>IF(AR125=0,"",AS125/AR125)</f>
        <v/>
      </c>
      <c r="AV125" s="23" t="n"/>
      <c r="AW125" s="58">
        <f>AW126</f>
        <v/>
      </c>
      <c r="AX125" s="58">
        <f>AX126</f>
        <v/>
      </c>
      <c r="AY125" s="58">
        <f>AX125-AW125</f>
        <v/>
      </c>
      <c r="AZ125" s="59">
        <f>IF(AW125=0,"",AX125/AW125)</f>
        <v/>
      </c>
      <c r="BA125" s="23" t="n"/>
      <c r="BB125" s="58">
        <f>BB126</f>
        <v/>
      </c>
      <c r="BC125" s="58">
        <f>BC126</f>
        <v/>
      </c>
      <c r="BD125" s="58">
        <f>BC125-BB125</f>
        <v/>
      </c>
      <c r="BE125" s="59">
        <f>IF(BB125=0,"",BC125/BB125)</f>
        <v/>
      </c>
      <c r="BF125" s="23" t="n"/>
      <c r="BG125" s="58">
        <f>BG126</f>
        <v/>
      </c>
      <c r="BH125" s="58">
        <f>BH126</f>
        <v/>
      </c>
      <c r="BI125" s="58">
        <f>BH125-BG125</f>
        <v/>
      </c>
      <c r="BJ125" s="59">
        <f>IF(BG125=0,"",BH125/BG125)</f>
        <v/>
      </c>
      <c r="BK125" s="23" t="n"/>
      <c r="BL125" s="58">
        <f>BL126</f>
        <v/>
      </c>
      <c r="BM125" s="58">
        <f>BM126</f>
        <v/>
      </c>
      <c r="BN125" s="58">
        <f>BM125-BL125</f>
        <v/>
      </c>
      <c r="BO125" s="59">
        <f>IF(BL125=0,"",BM125/BL125)</f>
        <v/>
      </c>
      <c r="BP125" s="23" t="n"/>
      <c r="BQ125" s="58">
        <f>BQ126</f>
        <v/>
      </c>
      <c r="BR125" s="58">
        <f>BR126</f>
        <v/>
      </c>
      <c r="BS125" s="58">
        <f>BR125-BQ125</f>
        <v/>
      </c>
      <c r="BT125" s="59">
        <f>IF(BQ125=0,"",BR125/BQ125)</f>
        <v/>
      </c>
      <c r="BU125" s="23" t="n"/>
      <c r="BV125" s="58">
        <f>BV126</f>
        <v/>
      </c>
      <c r="BW125" s="58">
        <f>BW126</f>
        <v/>
      </c>
      <c r="BX125" s="58">
        <f>BW125-BV125</f>
        <v/>
      </c>
      <c r="BY125" s="59">
        <f>IF(BV125=0,"",BW125/BV125)</f>
        <v/>
      </c>
      <c r="BZ125" s="23" t="n"/>
      <c r="CA125" s="58">
        <f>CA126</f>
        <v/>
      </c>
      <c r="CB125" s="58">
        <f>CB126</f>
        <v/>
      </c>
      <c r="CC125" s="58">
        <f>CB125-CA125</f>
        <v/>
      </c>
      <c r="CD125" s="59">
        <f>IF(CA125=0,"",CB125/CA125)</f>
        <v/>
      </c>
      <c r="CE125" s="23" t="n"/>
      <c r="CF125" s="58">
        <f>CF126</f>
        <v/>
      </c>
      <c r="CG125" s="58">
        <f>CG126</f>
        <v/>
      </c>
      <c r="CH125" s="58">
        <f>CG125-CF125</f>
        <v/>
      </c>
      <c r="CI125" s="59">
        <f>IF(CF125=0,"",CG125/CF125)</f>
        <v/>
      </c>
      <c r="CJ125" s="23" t="n"/>
      <c r="CK125" s="58">
        <f>CK126</f>
        <v/>
      </c>
      <c r="CL125" s="58">
        <f>CL126</f>
        <v/>
      </c>
      <c r="CM125" s="58">
        <f>CL125-CK125</f>
        <v/>
      </c>
      <c r="CN125" s="59">
        <f>IF(CK125=0,"",CL125/CK125)</f>
        <v/>
      </c>
      <c r="CO125" s="23" t="n"/>
      <c r="CP125" s="58">
        <f>CP126</f>
        <v/>
      </c>
      <c r="CQ125" s="58">
        <f>CQ126</f>
        <v/>
      </c>
      <c r="CR125" s="58">
        <f>CQ125-CP125</f>
        <v/>
      </c>
      <c r="CS125" s="59">
        <f>IF(CP125=0,"",CQ125/CP125)</f>
        <v/>
      </c>
      <c r="CT125" s="23" t="n"/>
      <c r="CU125" s="58">
        <f>CU126</f>
        <v/>
      </c>
      <c r="CV125" s="58">
        <f>CV126</f>
        <v/>
      </c>
      <c r="CW125" s="58">
        <f>CV125-CU125</f>
        <v/>
      </c>
      <c r="CX125" s="59">
        <f>IF(CU125=0,"",CV125/CU125)</f>
        <v/>
      </c>
      <c r="CY125" s="23" t="n"/>
      <c r="CZ125" s="58">
        <f>CZ126</f>
        <v/>
      </c>
      <c r="DA125" s="58">
        <f>DA126</f>
        <v/>
      </c>
      <c r="DB125" s="58">
        <f>DA125-CZ125</f>
        <v/>
      </c>
      <c r="DC125" s="59">
        <f>IF(CZ125=0,"",DA125/CZ125)</f>
        <v/>
      </c>
      <c r="DD125" s="23" t="n"/>
      <c r="DE125" s="58">
        <f>DE126</f>
        <v/>
      </c>
      <c r="DF125" s="58">
        <f>DF126</f>
        <v/>
      </c>
      <c r="DG125" s="58">
        <f>DF125-DE125</f>
        <v/>
      </c>
      <c r="DH125" s="59">
        <f>IF(DE125=0,"",DF125/DE125)</f>
        <v/>
      </c>
      <c r="DI125" s="23" t="n"/>
      <c r="DJ125" s="58">
        <f>DJ126</f>
        <v/>
      </c>
      <c r="DK125" s="58">
        <f>DK126</f>
        <v/>
      </c>
      <c r="DL125" s="58">
        <f>DK125-DJ125</f>
        <v/>
      </c>
      <c r="DM125" s="59">
        <f>IF(DJ125=0,"",DK125/DJ125)</f>
        <v/>
      </c>
      <c r="DN125" s="23" t="n"/>
      <c r="DO125" s="58">
        <f>DO126</f>
        <v/>
      </c>
    </row>
    <row r="126" outlineLevel="1" ht="15" customHeight="1">
      <c r="A126" s="24" t="n"/>
      <c r="B126" s="24" t="n"/>
      <c r="C126" s="24" t="n"/>
      <c r="D126" s="60" t="n"/>
      <c r="E126" s="60" t="n"/>
      <c r="F126" s="60">
        <f>E126-D126</f>
        <v/>
      </c>
      <c r="G126" s="61">
        <f>IF(D126=0,"",E126/D126)</f>
        <v/>
      </c>
      <c r="H126" s="27" t="n"/>
      <c r="I126" s="60" t="n"/>
      <c r="J126" s="60" t="n"/>
      <c r="K126" s="60">
        <f>J126-I126</f>
        <v/>
      </c>
      <c r="L126" s="61">
        <f>IF(I126=0,"",J126/I126)</f>
        <v/>
      </c>
      <c r="M126" s="27" t="n"/>
      <c r="N126" s="62" t="n"/>
      <c r="O126" s="62" t="n"/>
      <c r="P126" s="62">
        <f>O126-N126</f>
        <v/>
      </c>
      <c r="Q126" s="64">
        <f>IF(N126=0,"",O126/N126)</f>
        <v/>
      </c>
      <c r="R126" s="31" t="n"/>
      <c r="S126" s="60" t="n"/>
      <c r="T126" s="60" t="n"/>
      <c r="U126" s="60">
        <f>T126-S126</f>
        <v/>
      </c>
      <c r="V126" s="61">
        <f>IF(S126=0,"",T126/S126)</f>
        <v/>
      </c>
      <c r="W126" s="27" t="n"/>
      <c r="X126" s="62" t="n"/>
      <c r="Y126" s="62" t="n"/>
      <c r="Z126" s="62">
        <f>Y126-X126</f>
        <v/>
      </c>
      <c r="AA126" s="64">
        <f>IF(X126=0,"",Y126/X126)</f>
        <v/>
      </c>
      <c r="AB126" s="31" t="n"/>
      <c r="AC126" s="60" t="n"/>
      <c r="AD126" s="60" t="n"/>
      <c r="AE126" s="60">
        <f>AD126-AC126</f>
        <v/>
      </c>
      <c r="AF126" s="61">
        <f>IF(AC126=0,"",AD126/AC126)</f>
        <v/>
      </c>
      <c r="AG126" s="27" t="n"/>
      <c r="AH126" s="62" t="n"/>
      <c r="AI126" s="62" t="n"/>
      <c r="AJ126" s="62">
        <f>AI126-AH126</f>
        <v/>
      </c>
      <c r="AK126" s="64">
        <f>IF(AH126=0,"",AI126/AH126)</f>
        <v/>
      </c>
      <c r="AL126" s="31" t="n"/>
      <c r="AM126" s="60" t="n"/>
      <c r="AN126" s="60" t="n"/>
      <c r="AO126" s="60">
        <f>AN126-AM126</f>
        <v/>
      </c>
      <c r="AP126" s="61">
        <f>IF(AM126=0,"",AN126/AM126)</f>
        <v/>
      </c>
      <c r="AQ126" s="27" t="n"/>
      <c r="AR126" s="62" t="n"/>
      <c r="AS126" s="62" t="n"/>
      <c r="AT126" s="62">
        <f>AS126-AR126</f>
        <v/>
      </c>
      <c r="AU126" s="64">
        <f>IF(AR126=0,"",AS126/AR126)</f>
        <v/>
      </c>
      <c r="AV126" s="31" t="n"/>
      <c r="AW126" s="60" t="n"/>
      <c r="AX126" s="60" t="n"/>
      <c r="AY126" s="60">
        <f>AX126-AW126</f>
        <v/>
      </c>
      <c r="AZ126" s="61">
        <f>IF(AW126=0,"",AX126/AW126)</f>
        <v/>
      </c>
      <c r="BA126" s="27" t="n"/>
      <c r="BB126" s="62" t="n"/>
      <c r="BC126" s="62" t="n"/>
      <c r="BD126" s="62">
        <f>BC126-BB126</f>
        <v/>
      </c>
      <c r="BE126" s="64">
        <f>IF(BB126=0,"",BC126/BB126)</f>
        <v/>
      </c>
      <c r="BF126" s="31" t="n"/>
      <c r="BG126" s="60" t="n"/>
      <c r="BH126" s="60" t="n"/>
      <c r="BI126" s="60">
        <f>BH126-BG126</f>
        <v/>
      </c>
      <c r="BJ126" s="61">
        <f>IF(BG126=0,"",BH126/BG126)</f>
        <v/>
      </c>
      <c r="BK126" s="27" t="n"/>
      <c r="BL126" s="62" t="n"/>
      <c r="BM126" s="62" t="n"/>
      <c r="BN126" s="62">
        <f>BM126-BL126</f>
        <v/>
      </c>
      <c r="BO126" s="64">
        <f>IF(BL126=0,"",BM126/BL126)</f>
        <v/>
      </c>
      <c r="BP126" s="31" t="n"/>
      <c r="BQ126" s="60" t="n"/>
      <c r="BR126" s="60" t="n"/>
      <c r="BS126" s="60">
        <f>BR126-BQ126</f>
        <v/>
      </c>
      <c r="BT126" s="61">
        <f>IF(BQ126=0,"",BR126/BQ126)</f>
        <v/>
      </c>
      <c r="BU126" s="27" t="n"/>
      <c r="BV126" s="62" t="n"/>
      <c r="BW126" s="62" t="n"/>
      <c r="BX126" s="62">
        <f>BW126-BV126</f>
        <v/>
      </c>
      <c r="BY126" s="64">
        <f>IF(BV126=0,"",BW126/BV126)</f>
        <v/>
      </c>
      <c r="BZ126" s="31" t="n"/>
      <c r="CA126" s="60" t="n"/>
      <c r="CB126" s="60" t="n"/>
      <c r="CC126" s="60">
        <f>CB126-CA126</f>
        <v/>
      </c>
      <c r="CD126" s="61">
        <f>IF(CA126=0,"",CB126/CA126)</f>
        <v/>
      </c>
      <c r="CE126" s="27" t="n"/>
      <c r="CF126" s="62" t="n"/>
      <c r="CG126" s="62" t="n"/>
      <c r="CH126" s="62">
        <f>CG126-CF126</f>
        <v/>
      </c>
      <c r="CI126" s="64">
        <f>IF(CF126=0,"",CG126/CF126)</f>
        <v/>
      </c>
      <c r="CJ126" s="31" t="n"/>
      <c r="CK126" s="60" t="n"/>
      <c r="CL126" s="60" t="n"/>
      <c r="CM126" s="60">
        <f>CL126-CK126</f>
        <v/>
      </c>
      <c r="CN126" s="61">
        <f>IF(CK126=0,"",CL126/CK126)</f>
        <v/>
      </c>
      <c r="CO126" s="27" t="n"/>
      <c r="CP126" s="62" t="n"/>
      <c r="CQ126" s="62" t="n"/>
      <c r="CR126" s="62">
        <f>CQ126-CP126</f>
        <v/>
      </c>
      <c r="CS126" s="64">
        <f>IF(CP126=0,"",CQ126/CP126)</f>
        <v/>
      </c>
      <c r="CT126" s="31" t="n"/>
      <c r="CU126" s="60" t="n"/>
      <c r="CV126" s="60" t="n"/>
      <c r="CW126" s="60">
        <f>CV126-CU126</f>
        <v/>
      </c>
      <c r="CX126" s="61">
        <f>IF(CU126=0,"",CV126/CU126)</f>
        <v/>
      </c>
      <c r="CY126" s="27" t="n"/>
      <c r="CZ126" s="62" t="n"/>
      <c r="DA126" s="62" t="n"/>
      <c r="DB126" s="62">
        <f>DA126-CZ126</f>
        <v/>
      </c>
      <c r="DC126" s="64">
        <f>IF(CZ126=0,"",DA126/CZ126)</f>
        <v/>
      </c>
      <c r="DD126" s="31" t="n"/>
      <c r="DE126" s="60" t="n"/>
      <c r="DF126" s="60" t="n"/>
      <c r="DG126" s="60">
        <f>DF126-DE126</f>
        <v/>
      </c>
      <c r="DH126" s="61">
        <f>IF(DE126=0,"",DF126/DE126)</f>
        <v/>
      </c>
      <c r="DI126" s="27" t="n"/>
      <c r="DJ126" s="62" t="n"/>
      <c r="DK126" s="62" t="n"/>
      <c r="DL126" s="62">
        <f>DK126-DJ126</f>
        <v/>
      </c>
      <c r="DM126" s="64">
        <f>IF(DJ126=0,"",DK126/DJ126)</f>
        <v/>
      </c>
      <c r="DN126" s="31" t="n"/>
      <c r="DO126" s="60" t="n"/>
    </row>
    <row r="127" ht="15" customHeight="1">
      <c r="A127" s="32" t="n"/>
      <c r="B127" s="32" t="n"/>
      <c r="C127" s="32" t="n"/>
      <c r="D127" s="65">
        <f>D129+D130+D131+D133+D135+D137+D138+D139+D140+D141+D142+D143</f>
        <v/>
      </c>
      <c r="E127" s="65">
        <f>E129+E130+E131+E133+E135+E137+E138+E139+E140+E141+E142+E143</f>
        <v/>
      </c>
      <c r="F127" s="65">
        <f>E127-D127</f>
        <v/>
      </c>
      <c r="G127" s="66">
        <f>IF(D127=0,"",E127/D127)</f>
        <v/>
      </c>
      <c r="H127" s="35" t="n"/>
      <c r="I127" s="65">
        <f>I129+I130+I131+I133+I135+I137+I138+I139+I140+I141+I142+I143</f>
        <v/>
      </c>
      <c r="J127" s="65">
        <f>J129+J130+J131+J133+J135+J137+J138+J139+J140+J141+J142+J143</f>
        <v/>
      </c>
      <c r="K127" s="65">
        <f>J127-I127</f>
        <v/>
      </c>
      <c r="L127" s="66">
        <f>IF(I127=0,"",J127/I127)</f>
        <v/>
      </c>
      <c r="M127" s="35" t="n"/>
      <c r="N127" s="65">
        <f>N129+N130+N131+N133+N135+N137+N138+N139+N140+N141+N142+N143</f>
        <v/>
      </c>
      <c r="O127" s="65">
        <f>O129+O130+O131+O133+O135+O137+O138+O139+O140+O141+O142+O143</f>
        <v/>
      </c>
      <c r="P127" s="65">
        <f>O127-N127</f>
        <v/>
      </c>
      <c r="Q127" s="66">
        <f>IF(N127=0,"",O127/N127)</f>
        <v/>
      </c>
      <c r="R127" s="35" t="n"/>
      <c r="S127" s="65">
        <f>S129+S130+S131+S133+S135+S137+S138+S139+S140+S141+S142+S143</f>
        <v/>
      </c>
      <c r="T127" s="65">
        <f>T129+T130+T131+T133+T135+T137+T138+T139+T140+T141+T142+T143</f>
        <v/>
      </c>
      <c r="U127" s="65">
        <f>T127-S127</f>
        <v/>
      </c>
      <c r="V127" s="66">
        <f>IF(S127=0,"",T127/S127)</f>
        <v/>
      </c>
      <c r="W127" s="35" t="n"/>
      <c r="X127" s="65">
        <f>X129+X130+X131+X133+X135+X137+X138+X139+X140+X141+X142+X143</f>
        <v/>
      </c>
      <c r="Y127" s="65">
        <f>Y129+Y130+Y131+Y133+Y135+Y137+Y138+Y139+Y140+Y141+Y142+Y143</f>
        <v/>
      </c>
      <c r="Z127" s="65">
        <f>Y127-X127</f>
        <v/>
      </c>
      <c r="AA127" s="66">
        <f>IF(X127=0,"",Y127/X127)</f>
        <v/>
      </c>
      <c r="AB127" s="35" t="n"/>
      <c r="AC127" s="65">
        <f>AC129+AC130+AC131+AC133+AC135+AC137+AC138+AC139+AC140+AC141+AC142+AC143</f>
        <v/>
      </c>
      <c r="AD127" s="65">
        <f>AD129+AD130+AD131+AD133+AD135+AD137+AD138+AD139+AD140+AD141+AD142+AD143</f>
        <v/>
      </c>
      <c r="AE127" s="65">
        <f>AD127-AC127</f>
        <v/>
      </c>
      <c r="AF127" s="66">
        <f>IF(AC127=0,"",AD127/AC127)</f>
        <v/>
      </c>
      <c r="AG127" s="35" t="n"/>
      <c r="AH127" s="65">
        <f>AH129+AH130+AH131+AH133+AH135+AH137+AH138+AH139+AH140+AH141+AH142+AH143</f>
        <v/>
      </c>
      <c r="AI127" s="65">
        <f>AI129+AI130+AI131+AI133+AI135+AI137+AI138+AI139+AI140+AI141+AI142+AI143</f>
        <v/>
      </c>
      <c r="AJ127" s="65">
        <f>AI127-AH127</f>
        <v/>
      </c>
      <c r="AK127" s="66">
        <f>IF(AH127=0,"",AI127/AH127)</f>
        <v/>
      </c>
      <c r="AL127" s="35" t="n"/>
      <c r="AM127" s="65">
        <f>AM129+AM130+AM131+AM133+AM135+AM137+AM138+AM139+AM140+AM141+AM142+AM143</f>
        <v/>
      </c>
      <c r="AN127" s="65">
        <f>AN129+AN130+AN131+AN133+AN135+AN137+AN138+AN139+AN140+AN141+AN142+AN143</f>
        <v/>
      </c>
      <c r="AO127" s="65">
        <f>AN127-AM127</f>
        <v/>
      </c>
      <c r="AP127" s="66">
        <f>IF(AM127=0,"",AN127/AM127)</f>
        <v/>
      </c>
      <c r="AQ127" s="35" t="n"/>
      <c r="AR127" s="65">
        <f>AR129+AR130+AR131+AR133+AR135+AR137+AR138+AR139+AR140+AR141+AR142+AR143</f>
        <v/>
      </c>
      <c r="AS127" s="65">
        <f>AS129+AS130+AS131+AS133+AS135+AS137+AS138+AS139+AS140+AS141+AS142+AS143</f>
        <v/>
      </c>
      <c r="AT127" s="65">
        <f>AS127-AR127</f>
        <v/>
      </c>
      <c r="AU127" s="66">
        <f>IF(AR127=0,"",AS127/AR127)</f>
        <v/>
      </c>
      <c r="AV127" s="35" t="n"/>
      <c r="AW127" s="65">
        <f>AW129+AW130+AW131+AW133+AW135+AW137+AW138+AW139+AW140+AW141+AW142+AW143</f>
        <v/>
      </c>
      <c r="AX127" s="65">
        <f>AX129+AX130+AX131+AX133+AX135+AX137+AX138+AX139+AX140+AX141+AX142+AX143</f>
        <v/>
      </c>
      <c r="AY127" s="65">
        <f>AX127-AW127</f>
        <v/>
      </c>
      <c r="AZ127" s="66">
        <f>IF(AW127=0,"",AX127/AW127)</f>
        <v/>
      </c>
      <c r="BA127" s="35" t="n"/>
      <c r="BB127" s="65">
        <f>BB129+BB130+BB131+BB133+BB135+BB137+BB138+BB139+BB140+BB141+BB142+BB143</f>
        <v/>
      </c>
      <c r="BC127" s="65">
        <f>BC129+BC130+BC131+BC133+BC135+BC137+BC138+BC139+BC140+BC141+BC142+BC143</f>
        <v/>
      </c>
      <c r="BD127" s="65">
        <f>BC127-BB127</f>
        <v/>
      </c>
      <c r="BE127" s="66">
        <f>IF(BB127=0,"",BC127/BB127)</f>
        <v/>
      </c>
      <c r="BF127" s="35" t="n"/>
      <c r="BG127" s="65">
        <f>BG129+BG130+BG131+BG133+BG135+BG137+BG138+BG139+BG140+BG141+BG142+BG143</f>
        <v/>
      </c>
      <c r="BH127" s="65">
        <f>BH129+BH130+BH131+BH133+BH135+BH137+BH138+BH139+BH140+BH141+BH142+BH143</f>
        <v/>
      </c>
      <c r="BI127" s="65">
        <f>BH127-BG127</f>
        <v/>
      </c>
      <c r="BJ127" s="66">
        <f>IF(BG127=0,"",BH127/BG127)</f>
        <v/>
      </c>
      <c r="BK127" s="35" t="n"/>
      <c r="BL127" s="65">
        <f>BL129+BL130+BL131+BL133+BL135+BL137+BL138+BL139+BL140+BL141+BL142+BL143</f>
        <v/>
      </c>
      <c r="BM127" s="65">
        <f>BM129+BM130+BM131+BM133+BM135+BM137+BM138+BM139+BM140+BM141+BM142+BM143</f>
        <v/>
      </c>
      <c r="BN127" s="65">
        <f>BM127-BL127</f>
        <v/>
      </c>
      <c r="BO127" s="66">
        <f>IF(BL127=0,"",BM127/BL127)</f>
        <v/>
      </c>
      <c r="BP127" s="35" t="n"/>
      <c r="BQ127" s="65">
        <f>BQ129+BQ130+BQ131+BQ133+BQ135+BQ137+BQ138+BQ139+BQ140+BQ141+BQ142+BQ143</f>
        <v/>
      </c>
      <c r="BR127" s="65">
        <f>BR129+BR130+BR131+BR133+BR135+BR137+BR138+BR139+BR140+BR141+BR142+BR143</f>
        <v/>
      </c>
      <c r="BS127" s="65">
        <f>BR127-BQ127</f>
        <v/>
      </c>
      <c r="BT127" s="66">
        <f>IF(BQ127=0,"",BR127/BQ127)</f>
        <v/>
      </c>
      <c r="BU127" s="35" t="n"/>
      <c r="BV127" s="65">
        <f>BV129+BV130+BV131+BV133+BV135+BV137+BV138+BV139+BV140+BV141+BV142+BV143</f>
        <v/>
      </c>
      <c r="BW127" s="65">
        <f>BW129+BW130+BW131+BW133+BW135+BW137+BW138+BW139+BW140+BW141+BW142+BW143</f>
        <v/>
      </c>
      <c r="BX127" s="65">
        <f>BW127-BV127</f>
        <v/>
      </c>
      <c r="BY127" s="66">
        <f>IF(BV127=0,"",BW127/BV127)</f>
        <v/>
      </c>
      <c r="BZ127" s="35" t="n"/>
      <c r="CA127" s="65">
        <f>CA129+CA130+CA131+CA133+CA135+CA137+CA138+CA139+CA140+CA141+CA142+CA143</f>
        <v/>
      </c>
      <c r="CB127" s="65">
        <f>CB129+CB130+CB131+CB133+CB135+CB137+CB138+CB139+CB140+CB141+CB142+CB143</f>
        <v/>
      </c>
      <c r="CC127" s="65">
        <f>CB127-CA127</f>
        <v/>
      </c>
      <c r="CD127" s="66">
        <f>IF(CA127=0,"",CB127/CA127)</f>
        <v/>
      </c>
      <c r="CE127" s="35" t="n"/>
      <c r="CF127" s="65">
        <f>CF129+CF130+CF131+CF133+CF135+CF137+CF138+CF139+CF140+CF141+CF142+CF143</f>
        <v/>
      </c>
      <c r="CG127" s="65">
        <f>CG129+CG130+CG131+CG133+CG135+CG137+CG138+CG139+CG140+CG141+CG142+CG143</f>
        <v/>
      </c>
      <c r="CH127" s="65">
        <f>CG127-CF127</f>
        <v/>
      </c>
      <c r="CI127" s="66">
        <f>IF(CF127=0,"",CG127/CF127)</f>
        <v/>
      </c>
      <c r="CJ127" s="35" t="n"/>
      <c r="CK127" s="65">
        <f>CK129+CK130+CK131+CK133+CK135+CK137+CK138+CK139+CK140+CK141+CK142+CK143</f>
        <v/>
      </c>
      <c r="CL127" s="65">
        <f>CL129+CL130+CL131+CL133+CL135+CL137+CL138+CL139+CL140+CL141+CL142+CL143</f>
        <v/>
      </c>
      <c r="CM127" s="65">
        <f>CL127-CK127</f>
        <v/>
      </c>
      <c r="CN127" s="66">
        <f>IF(CK127=0,"",CL127/CK127)</f>
        <v/>
      </c>
      <c r="CO127" s="35" t="n"/>
      <c r="CP127" s="65">
        <f>CP129+CP130+CP131+CP133+CP135+CP137+CP138+CP139+CP140+CP141+CP142+CP143</f>
        <v/>
      </c>
      <c r="CQ127" s="65">
        <f>CQ129+CQ130+CQ131+CQ133+CQ135+CQ137+CQ138+CQ139+CQ140+CQ141+CQ142+CQ143</f>
        <v/>
      </c>
      <c r="CR127" s="65">
        <f>CQ127-CP127</f>
        <v/>
      </c>
      <c r="CS127" s="66">
        <f>IF(CP127=0,"",CQ127/CP127)</f>
        <v/>
      </c>
      <c r="CT127" s="35" t="n"/>
      <c r="CU127" s="65">
        <f>CU129+CU130+CU131+CU133+CU135+CU137+CU138+CU139+CU140+CU141+CU142+CU143</f>
        <v/>
      </c>
      <c r="CV127" s="65">
        <f>CV129+CV130+CV131+CV133+CV135+CV137+CV138+CV139+CV140+CV141+CV142+CV143</f>
        <v/>
      </c>
      <c r="CW127" s="65">
        <f>CV127-CU127</f>
        <v/>
      </c>
      <c r="CX127" s="66">
        <f>IF(CU127=0,"",CV127/CU127)</f>
        <v/>
      </c>
      <c r="CY127" s="35" t="n"/>
      <c r="CZ127" s="65">
        <f>CZ129+CZ130+CZ131+CZ133+CZ135+CZ137+CZ138+CZ139+CZ140+CZ141+CZ142+CZ143</f>
        <v/>
      </c>
      <c r="DA127" s="65">
        <f>DA129+DA130+DA131+DA133+DA135+DA137+DA138+DA139+DA140+DA141+DA142+DA143</f>
        <v/>
      </c>
      <c r="DB127" s="65">
        <f>DA127-CZ127</f>
        <v/>
      </c>
      <c r="DC127" s="66">
        <f>IF(CZ127=0,"",DA127/CZ127)</f>
        <v/>
      </c>
      <c r="DD127" s="35" t="n"/>
      <c r="DE127" s="65">
        <f>DE129+DE130+DE131+DE133+DE135+DE137+DE138+DE139+DE140+DE141+DE142+DE143</f>
        <v/>
      </c>
      <c r="DF127" s="65">
        <f>DF129+DF130+DF131+DF133+DF135+DF137+DF138+DF139+DF140+DF141+DF142+DF143</f>
        <v/>
      </c>
      <c r="DG127" s="65">
        <f>DF127-DE127</f>
        <v/>
      </c>
      <c r="DH127" s="66">
        <f>IF(DE127=0,"",DF127/DE127)</f>
        <v/>
      </c>
      <c r="DI127" s="35" t="n"/>
      <c r="DJ127" s="65">
        <f>DJ129+DJ130+DJ131+DJ133+DJ135+DJ137+DJ138+DJ139+DJ140+DJ141+DJ142+DJ143</f>
        <v/>
      </c>
      <c r="DK127" s="65">
        <f>DK129+DK130+DK131+DK133+DK135+DK137+DK138+DK139+DK140+DK141+DK142+DK143</f>
        <v/>
      </c>
      <c r="DL127" s="65">
        <f>DK127-DJ127</f>
        <v/>
      </c>
      <c r="DM127" s="66">
        <f>IF(DJ127=0,"",DK127/DJ127)</f>
        <v/>
      </c>
      <c r="DN127" s="35" t="n"/>
      <c r="DO127" s="65">
        <f>DO129+DO130+DO131+DO133+DO135+DO137+DO138+DO139+DO140+DO141+DO142+DO143</f>
        <v/>
      </c>
    </row>
    <row r="128" ht="15" customHeight="1">
      <c r="A128" s="19" t="n"/>
      <c r="B128" s="20" t="n"/>
      <c r="C128" s="19" t="n"/>
      <c r="D128" s="58">
        <f>D129+D130+D131</f>
        <v/>
      </c>
      <c r="E128" s="58">
        <f>E129+E130+E131</f>
        <v/>
      </c>
      <c r="F128" s="58">
        <f>E128-D128</f>
        <v/>
      </c>
      <c r="G128" s="59">
        <f>IF(D128=0,"",E128/D128)</f>
        <v/>
      </c>
      <c r="H128" s="23" t="n"/>
      <c r="I128" s="58">
        <f>I129+I130+I131</f>
        <v/>
      </c>
      <c r="J128" s="58">
        <f>J129+J130+J131</f>
        <v/>
      </c>
      <c r="K128" s="58">
        <f>J128-I128</f>
        <v/>
      </c>
      <c r="L128" s="59">
        <f>IF(I128=0,"",J128/I128)</f>
        <v/>
      </c>
      <c r="M128" s="23" t="n"/>
      <c r="N128" s="58">
        <f>N129+N130+N131</f>
        <v/>
      </c>
      <c r="O128" s="58">
        <f>O129+O130+O131</f>
        <v/>
      </c>
      <c r="P128" s="58">
        <f>O128-N128</f>
        <v/>
      </c>
      <c r="Q128" s="59">
        <f>IF(N128=0,"",O128/N128)</f>
        <v/>
      </c>
      <c r="R128" s="23" t="n"/>
      <c r="S128" s="58">
        <f>S129+S130+S131</f>
        <v/>
      </c>
      <c r="T128" s="58">
        <f>T129+T130+T131</f>
        <v/>
      </c>
      <c r="U128" s="58">
        <f>T128-S128</f>
        <v/>
      </c>
      <c r="V128" s="59">
        <f>IF(S128=0,"",T128/S128)</f>
        <v/>
      </c>
      <c r="W128" s="23" t="n"/>
      <c r="X128" s="58">
        <f>X129+X130+X131</f>
        <v/>
      </c>
      <c r="Y128" s="58">
        <f>Y129+Y130+Y131</f>
        <v/>
      </c>
      <c r="Z128" s="58">
        <f>Y128-X128</f>
        <v/>
      </c>
      <c r="AA128" s="59">
        <f>IF(X128=0,"",Y128/X128)</f>
        <v/>
      </c>
      <c r="AB128" s="23" t="n"/>
      <c r="AC128" s="58">
        <f>AC129+AC130+AC131</f>
        <v/>
      </c>
      <c r="AD128" s="58">
        <f>AD129+AD130+AD131</f>
        <v/>
      </c>
      <c r="AE128" s="58">
        <f>AD128-AC128</f>
        <v/>
      </c>
      <c r="AF128" s="59">
        <f>IF(AC128=0,"",AD128/AC128)</f>
        <v/>
      </c>
      <c r="AG128" s="23" t="n"/>
      <c r="AH128" s="58">
        <f>AH129+AH130+AH131</f>
        <v/>
      </c>
      <c r="AI128" s="58">
        <f>AI129+AI130+AI131</f>
        <v/>
      </c>
      <c r="AJ128" s="58">
        <f>AI128-AH128</f>
        <v/>
      </c>
      <c r="AK128" s="59">
        <f>IF(AH128=0,"",AI128/AH128)</f>
        <v/>
      </c>
      <c r="AL128" s="23" t="n"/>
      <c r="AM128" s="58">
        <f>AM129+AM130+AM131</f>
        <v/>
      </c>
      <c r="AN128" s="58">
        <f>AN129+AN130+AN131</f>
        <v/>
      </c>
      <c r="AO128" s="58">
        <f>AN128-AM128</f>
        <v/>
      </c>
      <c r="AP128" s="59">
        <f>IF(AM128=0,"",AN128/AM128)</f>
        <v/>
      </c>
      <c r="AQ128" s="23" t="n"/>
      <c r="AR128" s="58">
        <f>AR129+AR130+AR131</f>
        <v/>
      </c>
      <c r="AS128" s="58">
        <f>AS129+AS130+AS131</f>
        <v/>
      </c>
      <c r="AT128" s="58">
        <f>AS128-AR128</f>
        <v/>
      </c>
      <c r="AU128" s="59">
        <f>IF(AR128=0,"",AS128/AR128)</f>
        <v/>
      </c>
      <c r="AV128" s="23" t="n"/>
      <c r="AW128" s="58">
        <f>AW129+AW130+AW131</f>
        <v/>
      </c>
      <c r="AX128" s="58">
        <f>AX129+AX130+AX131</f>
        <v/>
      </c>
      <c r="AY128" s="58">
        <f>AX128-AW128</f>
        <v/>
      </c>
      <c r="AZ128" s="59">
        <f>IF(AW128=0,"",AX128/AW128)</f>
        <v/>
      </c>
      <c r="BA128" s="23" t="n"/>
      <c r="BB128" s="58">
        <f>BB129+BB130+BB131</f>
        <v/>
      </c>
      <c r="BC128" s="58">
        <f>BC129+BC130+BC131</f>
        <v/>
      </c>
      <c r="BD128" s="58">
        <f>BC128-BB128</f>
        <v/>
      </c>
      <c r="BE128" s="59">
        <f>IF(BB128=0,"",BC128/BB128)</f>
        <v/>
      </c>
      <c r="BF128" s="23" t="n"/>
      <c r="BG128" s="58">
        <f>BG129+BG130+BG131</f>
        <v/>
      </c>
      <c r="BH128" s="58">
        <f>BH129+BH130+BH131</f>
        <v/>
      </c>
      <c r="BI128" s="58">
        <f>BH128-BG128</f>
        <v/>
      </c>
      <c r="BJ128" s="59">
        <f>IF(BG128=0,"",BH128/BG128)</f>
        <v/>
      </c>
      <c r="BK128" s="23" t="n"/>
      <c r="BL128" s="58">
        <f>BL129+BL130+BL131</f>
        <v/>
      </c>
      <c r="BM128" s="58">
        <f>BM129+BM130+BM131</f>
        <v/>
      </c>
      <c r="BN128" s="58">
        <f>BM128-BL128</f>
        <v/>
      </c>
      <c r="BO128" s="59">
        <f>IF(BL128=0,"",BM128/BL128)</f>
        <v/>
      </c>
      <c r="BP128" s="23" t="n"/>
      <c r="BQ128" s="58">
        <f>BQ129+BQ130+BQ131</f>
        <v/>
      </c>
      <c r="BR128" s="58">
        <f>BR129+BR130+BR131</f>
        <v/>
      </c>
      <c r="BS128" s="58">
        <f>BR128-BQ128</f>
        <v/>
      </c>
      <c r="BT128" s="59">
        <f>IF(BQ128=0,"",BR128/BQ128)</f>
        <v/>
      </c>
      <c r="BU128" s="23" t="n"/>
      <c r="BV128" s="58">
        <f>BV129+BV130+BV131</f>
        <v/>
      </c>
      <c r="BW128" s="58">
        <f>BW129+BW130+BW131</f>
        <v/>
      </c>
      <c r="BX128" s="58">
        <f>BW128-BV128</f>
        <v/>
      </c>
      <c r="BY128" s="59">
        <f>IF(BV128=0,"",BW128/BV128)</f>
        <v/>
      </c>
      <c r="BZ128" s="23" t="n"/>
      <c r="CA128" s="58">
        <f>CA129+CA130+CA131</f>
        <v/>
      </c>
      <c r="CB128" s="58">
        <f>CB129+CB130+CB131</f>
        <v/>
      </c>
      <c r="CC128" s="58">
        <f>CB128-CA128</f>
        <v/>
      </c>
      <c r="CD128" s="59">
        <f>IF(CA128=0,"",CB128/CA128)</f>
        <v/>
      </c>
      <c r="CE128" s="23" t="n"/>
      <c r="CF128" s="58">
        <f>CF129+CF130+CF131</f>
        <v/>
      </c>
      <c r="CG128" s="58">
        <f>CG129+CG130+CG131</f>
        <v/>
      </c>
      <c r="CH128" s="58">
        <f>CG128-CF128</f>
        <v/>
      </c>
      <c r="CI128" s="59">
        <f>IF(CF128=0,"",CG128/CF128)</f>
        <v/>
      </c>
      <c r="CJ128" s="23" t="n"/>
      <c r="CK128" s="58">
        <f>CK129+CK130+CK131</f>
        <v/>
      </c>
      <c r="CL128" s="58">
        <f>CL129+CL130+CL131</f>
        <v/>
      </c>
      <c r="CM128" s="58">
        <f>CL128-CK128</f>
        <v/>
      </c>
      <c r="CN128" s="59">
        <f>IF(CK128=0,"",CL128/CK128)</f>
        <v/>
      </c>
      <c r="CO128" s="23" t="n"/>
      <c r="CP128" s="58">
        <f>CP129+CP130+CP131</f>
        <v/>
      </c>
      <c r="CQ128" s="58">
        <f>CQ129+CQ130+CQ131</f>
        <v/>
      </c>
      <c r="CR128" s="58">
        <f>CQ128-CP128</f>
        <v/>
      </c>
      <c r="CS128" s="59">
        <f>IF(CP128=0,"",CQ128/CP128)</f>
        <v/>
      </c>
      <c r="CT128" s="23" t="n"/>
      <c r="CU128" s="58">
        <f>CU129+CU130+CU131</f>
        <v/>
      </c>
      <c r="CV128" s="58">
        <f>CV129+CV130+CV131</f>
        <v/>
      </c>
      <c r="CW128" s="58">
        <f>CV128-CU128</f>
        <v/>
      </c>
      <c r="CX128" s="59">
        <f>IF(CU128=0,"",CV128/CU128)</f>
        <v/>
      </c>
      <c r="CY128" s="23" t="n"/>
      <c r="CZ128" s="58">
        <f>CZ129+CZ130+CZ131</f>
        <v/>
      </c>
      <c r="DA128" s="58">
        <f>DA129+DA130+DA131</f>
        <v/>
      </c>
      <c r="DB128" s="58">
        <f>DA128-CZ128</f>
        <v/>
      </c>
      <c r="DC128" s="59">
        <f>IF(CZ128=0,"",DA128/CZ128)</f>
        <v/>
      </c>
      <c r="DD128" s="23" t="n"/>
      <c r="DE128" s="58">
        <f>DE129+DE130+DE131</f>
        <v/>
      </c>
      <c r="DF128" s="58">
        <f>DF129+DF130+DF131</f>
        <v/>
      </c>
      <c r="DG128" s="58">
        <f>DF128-DE128</f>
        <v/>
      </c>
      <c r="DH128" s="59">
        <f>IF(DE128=0,"",DF128/DE128)</f>
        <v/>
      </c>
      <c r="DI128" s="23" t="n"/>
      <c r="DJ128" s="58">
        <f>DJ129+DJ130+DJ131</f>
        <v/>
      </c>
      <c r="DK128" s="58">
        <f>DK129+DK130+DK131</f>
        <v/>
      </c>
      <c r="DL128" s="58">
        <f>DK128-DJ128</f>
        <v/>
      </c>
      <c r="DM128" s="59">
        <f>IF(DJ128=0,"",DK128/DJ128)</f>
        <v/>
      </c>
      <c r="DN128" s="23" t="n"/>
      <c r="DO128" s="58">
        <f>DO129+DO130+DO131</f>
        <v/>
      </c>
    </row>
    <row r="129" outlineLevel="1" ht="15" customHeight="1">
      <c r="A129" s="24" t="n"/>
      <c r="B129" s="24" t="n"/>
      <c r="C129" s="24" t="n"/>
      <c r="D129" s="60" t="n"/>
      <c r="E129" s="60" t="n"/>
      <c r="F129" s="60">
        <f>E129-D129</f>
        <v/>
      </c>
      <c r="G129" s="61">
        <f>IF(D129=0,"",E129/D129)</f>
        <v/>
      </c>
      <c r="H129" s="27" t="n"/>
      <c r="I129" s="60" t="n"/>
      <c r="J129" s="60" t="n"/>
      <c r="K129" s="60">
        <f>J129-I129</f>
        <v/>
      </c>
      <c r="L129" s="61">
        <f>IF(I129=0,"",J129/I129)</f>
        <v/>
      </c>
      <c r="M129" s="27" t="n"/>
      <c r="N129" s="62" t="n"/>
      <c r="O129" s="62" t="n"/>
      <c r="P129" s="62">
        <f>O129-N129</f>
        <v/>
      </c>
      <c r="Q129" s="64">
        <f>IF(N129=0,"",O129/N129)</f>
        <v/>
      </c>
      <c r="R129" s="31" t="n"/>
      <c r="S129" s="60" t="n"/>
      <c r="T129" s="60" t="n"/>
      <c r="U129" s="60">
        <f>T129-S129</f>
        <v/>
      </c>
      <c r="V129" s="61">
        <f>IF(S129=0,"",T129/S129)</f>
        <v/>
      </c>
      <c r="W129" s="27" t="n"/>
      <c r="X129" s="62" t="n"/>
      <c r="Y129" s="62" t="n"/>
      <c r="Z129" s="62">
        <f>Y129-X129</f>
        <v/>
      </c>
      <c r="AA129" s="64">
        <f>IF(X129=0,"",Y129/X129)</f>
        <v/>
      </c>
      <c r="AB129" s="31" t="n"/>
      <c r="AC129" s="60" t="n"/>
      <c r="AD129" s="60" t="n"/>
      <c r="AE129" s="60">
        <f>AD129-AC129</f>
        <v/>
      </c>
      <c r="AF129" s="61">
        <f>IF(AC129=0,"",AD129/AC129)</f>
        <v/>
      </c>
      <c r="AG129" s="27" t="n"/>
      <c r="AH129" s="62" t="n"/>
      <c r="AI129" s="62" t="n"/>
      <c r="AJ129" s="62">
        <f>AI129-AH129</f>
        <v/>
      </c>
      <c r="AK129" s="64">
        <f>IF(AH129=0,"",AI129/AH129)</f>
        <v/>
      </c>
      <c r="AL129" s="31" t="n"/>
      <c r="AM129" s="60" t="n"/>
      <c r="AN129" s="60" t="n"/>
      <c r="AO129" s="60">
        <f>AN129-AM129</f>
        <v/>
      </c>
      <c r="AP129" s="61">
        <f>IF(AM129=0,"",AN129/AM129)</f>
        <v/>
      </c>
      <c r="AQ129" s="27" t="n"/>
      <c r="AR129" s="62" t="n"/>
      <c r="AS129" s="62" t="n"/>
      <c r="AT129" s="62">
        <f>AS129-AR129</f>
        <v/>
      </c>
      <c r="AU129" s="64">
        <f>IF(AR129=0,"",AS129/AR129)</f>
        <v/>
      </c>
      <c r="AV129" s="31" t="n"/>
      <c r="AW129" s="60" t="n"/>
      <c r="AX129" s="60" t="n"/>
      <c r="AY129" s="60">
        <f>AX129-AW129</f>
        <v/>
      </c>
      <c r="AZ129" s="61">
        <f>IF(AW129=0,"",AX129/AW129)</f>
        <v/>
      </c>
      <c r="BA129" s="27" t="n"/>
      <c r="BB129" s="62" t="n"/>
      <c r="BC129" s="62" t="n"/>
      <c r="BD129" s="62">
        <f>BC129-BB129</f>
        <v/>
      </c>
      <c r="BE129" s="64">
        <f>IF(BB129=0,"",BC129/BB129)</f>
        <v/>
      </c>
      <c r="BF129" s="31" t="n"/>
      <c r="BG129" s="60" t="n"/>
      <c r="BH129" s="60" t="n"/>
      <c r="BI129" s="60">
        <f>BH129-BG129</f>
        <v/>
      </c>
      <c r="BJ129" s="61">
        <f>IF(BG129=0,"",BH129/BG129)</f>
        <v/>
      </c>
      <c r="BK129" s="27" t="n"/>
      <c r="BL129" s="62" t="n"/>
      <c r="BM129" s="62" t="n"/>
      <c r="BN129" s="62">
        <f>BM129-BL129</f>
        <v/>
      </c>
      <c r="BO129" s="64">
        <f>IF(BL129=0,"",BM129/BL129)</f>
        <v/>
      </c>
      <c r="BP129" s="31" t="n"/>
      <c r="BQ129" s="60" t="n"/>
      <c r="BR129" s="60" t="n"/>
      <c r="BS129" s="60">
        <f>BR129-BQ129</f>
        <v/>
      </c>
      <c r="BT129" s="61">
        <f>IF(BQ129=0,"",BR129/BQ129)</f>
        <v/>
      </c>
      <c r="BU129" s="27" t="n"/>
      <c r="BV129" s="62" t="n"/>
      <c r="BW129" s="62" t="n"/>
      <c r="BX129" s="62">
        <f>BW129-BV129</f>
        <v/>
      </c>
      <c r="BY129" s="64">
        <f>IF(BV129=0,"",BW129/BV129)</f>
        <v/>
      </c>
      <c r="BZ129" s="31" t="n"/>
      <c r="CA129" s="60" t="n"/>
      <c r="CB129" s="60" t="n"/>
      <c r="CC129" s="60">
        <f>CB129-CA129</f>
        <v/>
      </c>
      <c r="CD129" s="61">
        <f>IF(CA129=0,"",CB129/CA129)</f>
        <v/>
      </c>
      <c r="CE129" s="27" t="n"/>
      <c r="CF129" s="62" t="n"/>
      <c r="CG129" s="62" t="n"/>
      <c r="CH129" s="62">
        <f>CG129-CF129</f>
        <v/>
      </c>
      <c r="CI129" s="64">
        <f>IF(CF129=0,"",CG129/CF129)</f>
        <v/>
      </c>
      <c r="CJ129" s="31" t="n"/>
      <c r="CK129" s="60" t="n"/>
      <c r="CL129" s="60" t="n"/>
      <c r="CM129" s="60">
        <f>CL129-CK129</f>
        <v/>
      </c>
      <c r="CN129" s="61">
        <f>IF(CK129=0,"",CL129/CK129)</f>
        <v/>
      </c>
      <c r="CO129" s="27" t="n"/>
      <c r="CP129" s="62" t="n"/>
      <c r="CQ129" s="62" t="n"/>
      <c r="CR129" s="62">
        <f>CQ129-CP129</f>
        <v/>
      </c>
      <c r="CS129" s="64">
        <f>IF(CP129=0,"",CQ129/CP129)</f>
        <v/>
      </c>
      <c r="CT129" s="31" t="n"/>
      <c r="CU129" s="60" t="n"/>
      <c r="CV129" s="60" t="n"/>
      <c r="CW129" s="60">
        <f>CV129-CU129</f>
        <v/>
      </c>
      <c r="CX129" s="61">
        <f>IF(CU129=0,"",CV129/CU129)</f>
        <v/>
      </c>
      <c r="CY129" s="27" t="n"/>
      <c r="CZ129" s="62" t="n"/>
      <c r="DA129" s="62" t="n"/>
      <c r="DB129" s="62">
        <f>DA129-CZ129</f>
        <v/>
      </c>
      <c r="DC129" s="64">
        <f>IF(CZ129=0,"",DA129/CZ129)</f>
        <v/>
      </c>
      <c r="DD129" s="31" t="n"/>
      <c r="DE129" s="60" t="n"/>
      <c r="DF129" s="60" t="n"/>
      <c r="DG129" s="60">
        <f>DF129-DE129</f>
        <v/>
      </c>
      <c r="DH129" s="61">
        <f>IF(DE129=0,"",DF129/DE129)</f>
        <v/>
      </c>
      <c r="DI129" s="27" t="n"/>
      <c r="DJ129" s="62" t="n"/>
      <c r="DK129" s="62" t="n"/>
      <c r="DL129" s="62">
        <f>DK129-DJ129</f>
        <v/>
      </c>
      <c r="DM129" s="64">
        <f>IF(DJ129=0,"",DK129/DJ129)</f>
        <v/>
      </c>
      <c r="DN129" s="31" t="n"/>
      <c r="DO129" s="60" t="n"/>
    </row>
    <row r="130" outlineLevel="1" ht="15" customHeight="1">
      <c r="A130" s="24" t="n"/>
      <c r="B130" s="24" t="n"/>
      <c r="C130" s="24" t="n"/>
      <c r="D130" s="60" t="n"/>
      <c r="E130" s="60" t="n"/>
      <c r="F130" s="60">
        <f>E130-D130</f>
        <v/>
      </c>
      <c r="G130" s="61">
        <f>IF(D130=0,"",E130/D130)</f>
        <v/>
      </c>
      <c r="H130" s="27" t="n"/>
      <c r="I130" s="60" t="n"/>
      <c r="J130" s="60" t="n"/>
      <c r="K130" s="60">
        <f>J130-I130</f>
        <v/>
      </c>
      <c r="L130" s="61">
        <f>IF(I130=0,"",J130/I130)</f>
        <v/>
      </c>
      <c r="M130" s="27" t="n"/>
      <c r="N130" s="62" t="n"/>
      <c r="O130" s="62" t="n"/>
      <c r="P130" s="62">
        <f>O130-N130</f>
        <v/>
      </c>
      <c r="Q130" s="64">
        <f>IF(N130=0,"",O130/N130)</f>
        <v/>
      </c>
      <c r="R130" s="31" t="n"/>
      <c r="S130" s="60" t="n"/>
      <c r="T130" s="60" t="n"/>
      <c r="U130" s="60">
        <f>T130-S130</f>
        <v/>
      </c>
      <c r="V130" s="61">
        <f>IF(S130=0,"",T130/S130)</f>
        <v/>
      </c>
      <c r="W130" s="27" t="n"/>
      <c r="X130" s="62" t="n"/>
      <c r="Y130" s="62" t="n"/>
      <c r="Z130" s="62">
        <f>Y130-X130</f>
        <v/>
      </c>
      <c r="AA130" s="64">
        <f>IF(X130=0,"",Y130/X130)</f>
        <v/>
      </c>
      <c r="AB130" s="31" t="n"/>
      <c r="AC130" s="60" t="n"/>
      <c r="AD130" s="60" t="n"/>
      <c r="AE130" s="60">
        <f>AD130-AC130</f>
        <v/>
      </c>
      <c r="AF130" s="61">
        <f>IF(AC130=0,"",AD130/AC130)</f>
        <v/>
      </c>
      <c r="AG130" s="27" t="n"/>
      <c r="AH130" s="62" t="n"/>
      <c r="AI130" s="62" t="n"/>
      <c r="AJ130" s="62">
        <f>AI130-AH130</f>
        <v/>
      </c>
      <c r="AK130" s="64">
        <f>IF(AH130=0,"",AI130/AH130)</f>
        <v/>
      </c>
      <c r="AL130" s="31" t="n"/>
      <c r="AM130" s="60" t="n"/>
      <c r="AN130" s="60" t="n"/>
      <c r="AO130" s="60">
        <f>AN130-AM130</f>
        <v/>
      </c>
      <c r="AP130" s="61">
        <f>IF(AM130=0,"",AN130/AM130)</f>
        <v/>
      </c>
      <c r="AQ130" s="27" t="n"/>
      <c r="AR130" s="62" t="n"/>
      <c r="AS130" s="62" t="n"/>
      <c r="AT130" s="62">
        <f>AS130-AR130</f>
        <v/>
      </c>
      <c r="AU130" s="64">
        <f>IF(AR130=0,"",AS130/AR130)</f>
        <v/>
      </c>
      <c r="AV130" s="31" t="n"/>
      <c r="AW130" s="60" t="n"/>
      <c r="AX130" s="60" t="n"/>
      <c r="AY130" s="60">
        <f>AX130-AW130</f>
        <v/>
      </c>
      <c r="AZ130" s="61">
        <f>IF(AW130=0,"",AX130/AW130)</f>
        <v/>
      </c>
      <c r="BA130" s="27" t="n"/>
      <c r="BB130" s="62" t="n"/>
      <c r="BC130" s="62" t="n"/>
      <c r="BD130" s="62">
        <f>BC130-BB130</f>
        <v/>
      </c>
      <c r="BE130" s="64">
        <f>IF(BB130=0,"",BC130/BB130)</f>
        <v/>
      </c>
      <c r="BF130" s="31" t="n"/>
      <c r="BG130" s="60" t="n"/>
      <c r="BH130" s="60" t="n"/>
      <c r="BI130" s="60">
        <f>BH130-BG130</f>
        <v/>
      </c>
      <c r="BJ130" s="61">
        <f>IF(BG130=0,"",BH130/BG130)</f>
        <v/>
      </c>
      <c r="BK130" s="27" t="n"/>
      <c r="BL130" s="62" t="n"/>
      <c r="BM130" s="62" t="n"/>
      <c r="BN130" s="62">
        <f>BM130-BL130</f>
        <v/>
      </c>
      <c r="BO130" s="64">
        <f>IF(BL130=0,"",BM130/BL130)</f>
        <v/>
      </c>
      <c r="BP130" s="31" t="n"/>
      <c r="BQ130" s="60" t="n"/>
      <c r="BR130" s="60" t="n"/>
      <c r="BS130" s="60">
        <f>BR130-BQ130</f>
        <v/>
      </c>
      <c r="BT130" s="61">
        <f>IF(BQ130=0,"",BR130/BQ130)</f>
        <v/>
      </c>
      <c r="BU130" s="27" t="n"/>
      <c r="BV130" s="62" t="n"/>
      <c r="BW130" s="62" t="n"/>
      <c r="BX130" s="62">
        <f>BW130-BV130</f>
        <v/>
      </c>
      <c r="BY130" s="64">
        <f>IF(BV130=0,"",BW130/BV130)</f>
        <v/>
      </c>
      <c r="BZ130" s="31" t="n"/>
      <c r="CA130" s="60" t="n"/>
      <c r="CB130" s="60" t="n"/>
      <c r="CC130" s="60">
        <f>CB130-CA130</f>
        <v/>
      </c>
      <c r="CD130" s="61">
        <f>IF(CA130=0,"",CB130/CA130)</f>
        <v/>
      </c>
      <c r="CE130" s="27" t="n"/>
      <c r="CF130" s="62" t="n"/>
      <c r="CG130" s="62" t="n"/>
      <c r="CH130" s="62">
        <f>CG130-CF130</f>
        <v/>
      </c>
      <c r="CI130" s="64">
        <f>IF(CF130=0,"",CG130/CF130)</f>
        <v/>
      </c>
      <c r="CJ130" s="31" t="n"/>
      <c r="CK130" s="60" t="n"/>
      <c r="CL130" s="60" t="n"/>
      <c r="CM130" s="60">
        <f>CL130-CK130</f>
        <v/>
      </c>
      <c r="CN130" s="61">
        <f>IF(CK130=0,"",CL130/CK130)</f>
        <v/>
      </c>
      <c r="CO130" s="27" t="n"/>
      <c r="CP130" s="62" t="n"/>
      <c r="CQ130" s="62" t="n"/>
      <c r="CR130" s="62">
        <f>CQ130-CP130</f>
        <v/>
      </c>
      <c r="CS130" s="64">
        <f>IF(CP130=0,"",CQ130/CP130)</f>
        <v/>
      </c>
      <c r="CT130" s="31" t="n"/>
      <c r="CU130" s="60" t="n"/>
      <c r="CV130" s="60" t="n"/>
      <c r="CW130" s="60">
        <f>CV130-CU130</f>
        <v/>
      </c>
      <c r="CX130" s="61">
        <f>IF(CU130=0,"",CV130/CU130)</f>
        <v/>
      </c>
      <c r="CY130" s="27" t="n"/>
      <c r="CZ130" s="62" t="n"/>
      <c r="DA130" s="62" t="n"/>
      <c r="DB130" s="62">
        <f>DA130-CZ130</f>
        <v/>
      </c>
      <c r="DC130" s="64">
        <f>IF(CZ130=0,"",DA130/CZ130)</f>
        <v/>
      </c>
      <c r="DD130" s="31" t="n"/>
      <c r="DE130" s="60" t="n"/>
      <c r="DF130" s="60" t="n"/>
      <c r="DG130" s="60">
        <f>DF130-DE130</f>
        <v/>
      </c>
      <c r="DH130" s="61">
        <f>IF(DE130=0,"",DF130/DE130)</f>
        <v/>
      </c>
      <c r="DI130" s="27" t="n"/>
      <c r="DJ130" s="62" t="n"/>
      <c r="DK130" s="62" t="n"/>
      <c r="DL130" s="62">
        <f>DK130-DJ130</f>
        <v/>
      </c>
      <c r="DM130" s="64">
        <f>IF(DJ130=0,"",DK130/DJ130)</f>
        <v/>
      </c>
      <c r="DN130" s="31" t="n"/>
      <c r="DO130" s="60" t="n"/>
    </row>
    <row r="131" outlineLevel="1" ht="15" customHeight="1">
      <c r="A131" s="24" t="n"/>
      <c r="B131" s="24" t="n"/>
      <c r="C131" s="24" t="n"/>
      <c r="D131" s="60" t="n"/>
      <c r="E131" s="60" t="n"/>
      <c r="F131" s="60">
        <f>E131-D131</f>
        <v/>
      </c>
      <c r="G131" s="61">
        <f>IF(D131=0,"",E131/D131)</f>
        <v/>
      </c>
      <c r="H131" s="27" t="n"/>
      <c r="I131" s="60" t="n"/>
      <c r="J131" s="60" t="n"/>
      <c r="K131" s="60">
        <f>J131-I131</f>
        <v/>
      </c>
      <c r="L131" s="61">
        <f>IF(I131=0,"",J131/I131)</f>
        <v/>
      </c>
      <c r="M131" s="27" t="n"/>
      <c r="N131" s="62" t="n"/>
      <c r="O131" s="62" t="n"/>
      <c r="P131" s="62">
        <f>O131-N131</f>
        <v/>
      </c>
      <c r="Q131" s="64">
        <f>IF(N131=0,"",O131/N131)</f>
        <v/>
      </c>
      <c r="R131" s="31" t="n"/>
      <c r="S131" s="60" t="n"/>
      <c r="T131" s="60" t="n"/>
      <c r="U131" s="60">
        <f>T131-S131</f>
        <v/>
      </c>
      <c r="V131" s="61">
        <f>IF(S131=0,"",T131/S131)</f>
        <v/>
      </c>
      <c r="W131" s="27" t="n"/>
      <c r="X131" s="62" t="n"/>
      <c r="Y131" s="62" t="n"/>
      <c r="Z131" s="62">
        <f>Y131-X131</f>
        <v/>
      </c>
      <c r="AA131" s="64">
        <f>IF(X131=0,"",Y131/X131)</f>
        <v/>
      </c>
      <c r="AB131" s="31" t="n"/>
      <c r="AC131" s="60" t="n"/>
      <c r="AD131" s="60" t="n"/>
      <c r="AE131" s="60">
        <f>AD131-AC131</f>
        <v/>
      </c>
      <c r="AF131" s="61">
        <f>IF(AC131=0,"",AD131/AC131)</f>
        <v/>
      </c>
      <c r="AG131" s="27" t="n"/>
      <c r="AH131" s="62" t="n"/>
      <c r="AI131" s="62" t="n"/>
      <c r="AJ131" s="62">
        <f>AI131-AH131</f>
        <v/>
      </c>
      <c r="AK131" s="64">
        <f>IF(AH131=0,"",AI131/AH131)</f>
        <v/>
      </c>
      <c r="AL131" s="31" t="n"/>
      <c r="AM131" s="60" t="n"/>
      <c r="AN131" s="60" t="n"/>
      <c r="AO131" s="60">
        <f>AN131-AM131</f>
        <v/>
      </c>
      <c r="AP131" s="61">
        <f>IF(AM131=0,"",AN131/AM131)</f>
        <v/>
      </c>
      <c r="AQ131" s="27" t="n"/>
      <c r="AR131" s="62" t="n"/>
      <c r="AS131" s="62" t="n"/>
      <c r="AT131" s="62">
        <f>AS131-AR131</f>
        <v/>
      </c>
      <c r="AU131" s="64">
        <f>IF(AR131=0,"",AS131/AR131)</f>
        <v/>
      </c>
      <c r="AV131" s="31" t="n"/>
      <c r="AW131" s="60" t="n"/>
      <c r="AX131" s="60" t="n"/>
      <c r="AY131" s="60">
        <f>AX131-AW131</f>
        <v/>
      </c>
      <c r="AZ131" s="61">
        <f>IF(AW131=0,"",AX131/AW131)</f>
        <v/>
      </c>
      <c r="BA131" s="27" t="n"/>
      <c r="BB131" s="62" t="n"/>
      <c r="BC131" s="62" t="n"/>
      <c r="BD131" s="62">
        <f>BC131-BB131</f>
        <v/>
      </c>
      <c r="BE131" s="64">
        <f>IF(BB131=0,"",BC131/BB131)</f>
        <v/>
      </c>
      <c r="BF131" s="31" t="n"/>
      <c r="BG131" s="60" t="n"/>
      <c r="BH131" s="60" t="n"/>
      <c r="BI131" s="60">
        <f>BH131-BG131</f>
        <v/>
      </c>
      <c r="BJ131" s="61">
        <f>IF(BG131=0,"",BH131/BG131)</f>
        <v/>
      </c>
      <c r="BK131" s="27" t="n"/>
      <c r="BL131" s="62" t="n"/>
      <c r="BM131" s="62" t="n"/>
      <c r="BN131" s="62">
        <f>BM131-BL131</f>
        <v/>
      </c>
      <c r="BO131" s="64">
        <f>IF(BL131=0,"",BM131/BL131)</f>
        <v/>
      </c>
      <c r="BP131" s="31" t="n"/>
      <c r="BQ131" s="60" t="n"/>
      <c r="BR131" s="60" t="n"/>
      <c r="BS131" s="60">
        <f>BR131-BQ131</f>
        <v/>
      </c>
      <c r="BT131" s="61">
        <f>IF(BQ131=0,"",BR131/BQ131)</f>
        <v/>
      </c>
      <c r="BU131" s="27" t="n"/>
      <c r="BV131" s="62" t="n"/>
      <c r="BW131" s="62" t="n"/>
      <c r="BX131" s="62">
        <f>BW131-BV131</f>
        <v/>
      </c>
      <c r="BY131" s="64">
        <f>IF(BV131=0,"",BW131/BV131)</f>
        <v/>
      </c>
      <c r="BZ131" s="31" t="n"/>
      <c r="CA131" s="60" t="n"/>
      <c r="CB131" s="60" t="n"/>
      <c r="CC131" s="60">
        <f>CB131-CA131</f>
        <v/>
      </c>
      <c r="CD131" s="61">
        <f>IF(CA131=0,"",CB131/CA131)</f>
        <v/>
      </c>
      <c r="CE131" s="27" t="n"/>
      <c r="CF131" s="62" t="n"/>
      <c r="CG131" s="62" t="n"/>
      <c r="CH131" s="62">
        <f>CG131-CF131</f>
        <v/>
      </c>
      <c r="CI131" s="64">
        <f>IF(CF131=0,"",CG131/CF131)</f>
        <v/>
      </c>
      <c r="CJ131" s="31" t="n"/>
      <c r="CK131" s="60" t="n"/>
      <c r="CL131" s="60" t="n"/>
      <c r="CM131" s="60">
        <f>CL131-CK131</f>
        <v/>
      </c>
      <c r="CN131" s="61">
        <f>IF(CK131=0,"",CL131/CK131)</f>
        <v/>
      </c>
      <c r="CO131" s="27" t="n"/>
      <c r="CP131" s="62" t="n"/>
      <c r="CQ131" s="62" t="n"/>
      <c r="CR131" s="62">
        <f>CQ131-CP131</f>
        <v/>
      </c>
      <c r="CS131" s="64">
        <f>IF(CP131=0,"",CQ131/CP131)</f>
        <v/>
      </c>
      <c r="CT131" s="31" t="n"/>
      <c r="CU131" s="60" t="n"/>
      <c r="CV131" s="60" t="n"/>
      <c r="CW131" s="60">
        <f>CV131-CU131</f>
        <v/>
      </c>
      <c r="CX131" s="61">
        <f>IF(CU131=0,"",CV131/CU131)</f>
        <v/>
      </c>
      <c r="CY131" s="27" t="n"/>
      <c r="CZ131" s="62" t="n"/>
      <c r="DA131" s="62" t="n"/>
      <c r="DB131" s="62">
        <f>DA131-CZ131</f>
        <v/>
      </c>
      <c r="DC131" s="64">
        <f>IF(CZ131=0,"",DA131/CZ131)</f>
        <v/>
      </c>
      <c r="DD131" s="31" t="n"/>
      <c r="DE131" s="60" t="n"/>
      <c r="DF131" s="60" t="n"/>
      <c r="DG131" s="60">
        <f>DF131-DE131</f>
        <v/>
      </c>
      <c r="DH131" s="61">
        <f>IF(DE131=0,"",DF131/DE131)</f>
        <v/>
      </c>
      <c r="DI131" s="27" t="n"/>
      <c r="DJ131" s="62" t="n"/>
      <c r="DK131" s="62" t="n"/>
      <c r="DL131" s="62">
        <f>DK131-DJ131</f>
        <v/>
      </c>
      <c r="DM131" s="64">
        <f>IF(DJ131=0,"",DK131/DJ131)</f>
        <v/>
      </c>
      <c r="DN131" s="31" t="n"/>
      <c r="DO131" s="60" t="n"/>
    </row>
    <row r="132" ht="15" customHeight="1">
      <c r="A132" s="19" t="n"/>
      <c r="B132" s="20" t="n"/>
      <c r="C132" s="19" t="n"/>
      <c r="D132" s="58">
        <f>D133</f>
        <v/>
      </c>
      <c r="E132" s="58">
        <f>E133</f>
        <v/>
      </c>
      <c r="F132" s="58">
        <f>E132-D132</f>
        <v/>
      </c>
      <c r="G132" s="59">
        <f>IF(D132=0,"",E132/D132)</f>
        <v/>
      </c>
      <c r="H132" s="23" t="n"/>
      <c r="I132" s="58">
        <f>I133</f>
        <v/>
      </c>
      <c r="J132" s="58">
        <f>J133</f>
        <v/>
      </c>
      <c r="K132" s="58">
        <f>J132-I132</f>
        <v/>
      </c>
      <c r="L132" s="59">
        <f>IF(I132=0,"",J132/I132)</f>
        <v/>
      </c>
      <c r="M132" s="23" t="n"/>
      <c r="N132" s="58">
        <f>N133</f>
        <v/>
      </c>
      <c r="O132" s="58">
        <f>O133</f>
        <v/>
      </c>
      <c r="P132" s="58">
        <f>O132-N132</f>
        <v/>
      </c>
      <c r="Q132" s="59">
        <f>IF(N132=0,"",O132/N132)</f>
        <v/>
      </c>
      <c r="R132" s="23" t="n"/>
      <c r="S132" s="58">
        <f>S133</f>
        <v/>
      </c>
      <c r="T132" s="58">
        <f>T133</f>
        <v/>
      </c>
      <c r="U132" s="58">
        <f>T132-S132</f>
        <v/>
      </c>
      <c r="V132" s="59">
        <f>IF(S132=0,"",T132/S132)</f>
        <v/>
      </c>
      <c r="W132" s="23" t="n"/>
      <c r="X132" s="58">
        <f>X133</f>
        <v/>
      </c>
      <c r="Y132" s="58">
        <f>Y133</f>
        <v/>
      </c>
      <c r="Z132" s="58">
        <f>Y132-X132</f>
        <v/>
      </c>
      <c r="AA132" s="59">
        <f>IF(X132=0,"",Y132/X132)</f>
        <v/>
      </c>
      <c r="AB132" s="23" t="n"/>
      <c r="AC132" s="58">
        <f>AC133</f>
        <v/>
      </c>
      <c r="AD132" s="58">
        <f>AD133</f>
        <v/>
      </c>
      <c r="AE132" s="58">
        <f>AD132-AC132</f>
        <v/>
      </c>
      <c r="AF132" s="59">
        <f>IF(AC132=0,"",AD132/AC132)</f>
        <v/>
      </c>
      <c r="AG132" s="23" t="n"/>
      <c r="AH132" s="58">
        <f>AH133</f>
        <v/>
      </c>
      <c r="AI132" s="58">
        <f>AI133</f>
        <v/>
      </c>
      <c r="AJ132" s="58">
        <f>AI132-AH132</f>
        <v/>
      </c>
      <c r="AK132" s="59">
        <f>IF(AH132=0,"",AI132/AH132)</f>
        <v/>
      </c>
      <c r="AL132" s="23" t="n"/>
      <c r="AM132" s="58">
        <f>AM133</f>
        <v/>
      </c>
      <c r="AN132" s="58">
        <f>AN133</f>
        <v/>
      </c>
      <c r="AO132" s="58">
        <f>AN132-AM132</f>
        <v/>
      </c>
      <c r="AP132" s="59">
        <f>IF(AM132=0,"",AN132/AM132)</f>
        <v/>
      </c>
      <c r="AQ132" s="23" t="n"/>
      <c r="AR132" s="58">
        <f>AR133</f>
        <v/>
      </c>
      <c r="AS132" s="58">
        <f>AS133</f>
        <v/>
      </c>
      <c r="AT132" s="58">
        <f>AS132-AR132</f>
        <v/>
      </c>
      <c r="AU132" s="59">
        <f>IF(AR132=0,"",AS132/AR132)</f>
        <v/>
      </c>
      <c r="AV132" s="23" t="n"/>
      <c r="AW132" s="58">
        <f>AW133</f>
        <v/>
      </c>
      <c r="AX132" s="58">
        <f>AX133</f>
        <v/>
      </c>
      <c r="AY132" s="58">
        <f>AX132-AW132</f>
        <v/>
      </c>
      <c r="AZ132" s="59">
        <f>IF(AW132=0,"",AX132/AW132)</f>
        <v/>
      </c>
      <c r="BA132" s="23" t="n"/>
      <c r="BB132" s="58">
        <f>BB133</f>
        <v/>
      </c>
      <c r="BC132" s="58">
        <f>BC133</f>
        <v/>
      </c>
      <c r="BD132" s="58">
        <f>BC132-BB132</f>
        <v/>
      </c>
      <c r="BE132" s="59">
        <f>IF(BB132=0,"",BC132/BB132)</f>
        <v/>
      </c>
      <c r="BF132" s="23" t="n"/>
      <c r="BG132" s="58">
        <f>BG133</f>
        <v/>
      </c>
      <c r="BH132" s="58">
        <f>BH133</f>
        <v/>
      </c>
      <c r="BI132" s="58">
        <f>BH132-BG132</f>
        <v/>
      </c>
      <c r="BJ132" s="59">
        <f>IF(BG132=0,"",BH132/BG132)</f>
        <v/>
      </c>
      <c r="BK132" s="23" t="n"/>
      <c r="BL132" s="58">
        <f>BL133</f>
        <v/>
      </c>
      <c r="BM132" s="58">
        <f>BM133</f>
        <v/>
      </c>
      <c r="BN132" s="58">
        <f>BM132-BL132</f>
        <v/>
      </c>
      <c r="BO132" s="59">
        <f>IF(BL132=0,"",BM132/BL132)</f>
        <v/>
      </c>
      <c r="BP132" s="23" t="n"/>
      <c r="BQ132" s="58">
        <f>BQ133</f>
        <v/>
      </c>
      <c r="BR132" s="58">
        <f>BR133</f>
        <v/>
      </c>
      <c r="BS132" s="58">
        <f>BR132-BQ132</f>
        <v/>
      </c>
      <c r="BT132" s="59">
        <f>IF(BQ132=0,"",BR132/BQ132)</f>
        <v/>
      </c>
      <c r="BU132" s="23" t="n"/>
      <c r="BV132" s="58">
        <f>BV133</f>
        <v/>
      </c>
      <c r="BW132" s="58">
        <f>BW133</f>
        <v/>
      </c>
      <c r="BX132" s="58">
        <f>BW132-BV132</f>
        <v/>
      </c>
      <c r="BY132" s="59">
        <f>IF(BV132=0,"",BW132/BV132)</f>
        <v/>
      </c>
      <c r="BZ132" s="23" t="n"/>
      <c r="CA132" s="58">
        <f>CA133</f>
        <v/>
      </c>
      <c r="CB132" s="58">
        <f>CB133</f>
        <v/>
      </c>
      <c r="CC132" s="58">
        <f>CB132-CA132</f>
        <v/>
      </c>
      <c r="CD132" s="59">
        <f>IF(CA132=0,"",CB132/CA132)</f>
        <v/>
      </c>
      <c r="CE132" s="23" t="n"/>
      <c r="CF132" s="58">
        <f>CF133</f>
        <v/>
      </c>
      <c r="CG132" s="58">
        <f>CG133</f>
        <v/>
      </c>
      <c r="CH132" s="58">
        <f>CG132-CF132</f>
        <v/>
      </c>
      <c r="CI132" s="59">
        <f>IF(CF132=0,"",CG132/CF132)</f>
        <v/>
      </c>
      <c r="CJ132" s="23" t="n"/>
      <c r="CK132" s="58">
        <f>CK133</f>
        <v/>
      </c>
      <c r="CL132" s="58">
        <f>CL133</f>
        <v/>
      </c>
      <c r="CM132" s="58">
        <f>CL132-CK132</f>
        <v/>
      </c>
      <c r="CN132" s="59">
        <f>IF(CK132=0,"",CL132/CK132)</f>
        <v/>
      </c>
      <c r="CO132" s="23" t="n"/>
      <c r="CP132" s="58">
        <f>CP133</f>
        <v/>
      </c>
      <c r="CQ132" s="58">
        <f>CQ133</f>
        <v/>
      </c>
      <c r="CR132" s="58">
        <f>CQ132-CP132</f>
        <v/>
      </c>
      <c r="CS132" s="59">
        <f>IF(CP132=0,"",CQ132/CP132)</f>
        <v/>
      </c>
      <c r="CT132" s="23" t="n"/>
      <c r="CU132" s="58">
        <f>CU133</f>
        <v/>
      </c>
      <c r="CV132" s="58">
        <f>CV133</f>
        <v/>
      </c>
      <c r="CW132" s="58">
        <f>CV132-CU132</f>
        <v/>
      </c>
      <c r="CX132" s="59">
        <f>IF(CU132=0,"",CV132/CU132)</f>
        <v/>
      </c>
      <c r="CY132" s="23" t="n"/>
      <c r="CZ132" s="58">
        <f>CZ133</f>
        <v/>
      </c>
      <c r="DA132" s="58">
        <f>DA133</f>
        <v/>
      </c>
      <c r="DB132" s="58">
        <f>DA132-CZ132</f>
        <v/>
      </c>
      <c r="DC132" s="59">
        <f>IF(CZ132=0,"",DA132/CZ132)</f>
        <v/>
      </c>
      <c r="DD132" s="23" t="n"/>
      <c r="DE132" s="58">
        <f>DE133</f>
        <v/>
      </c>
      <c r="DF132" s="58">
        <f>DF133</f>
        <v/>
      </c>
      <c r="DG132" s="58">
        <f>DF132-DE132</f>
        <v/>
      </c>
      <c r="DH132" s="59">
        <f>IF(DE132=0,"",DF132/DE132)</f>
        <v/>
      </c>
      <c r="DI132" s="23" t="n"/>
      <c r="DJ132" s="58">
        <f>DJ133</f>
        <v/>
      </c>
      <c r="DK132" s="58">
        <f>DK133</f>
        <v/>
      </c>
      <c r="DL132" s="58">
        <f>DK132-DJ132</f>
        <v/>
      </c>
      <c r="DM132" s="59">
        <f>IF(DJ132=0,"",DK132/DJ132)</f>
        <v/>
      </c>
      <c r="DN132" s="23" t="n"/>
      <c r="DO132" s="58">
        <f>DO133</f>
        <v/>
      </c>
    </row>
    <row r="133" outlineLevel="1" ht="15" customHeight="1">
      <c r="A133" s="24" t="n"/>
      <c r="B133" s="24" t="n"/>
      <c r="C133" s="24" t="n"/>
      <c r="D133" s="60" t="n"/>
      <c r="E133" s="60" t="n"/>
      <c r="F133" s="60">
        <f>E133-D133</f>
        <v/>
      </c>
      <c r="G133" s="61">
        <f>IF(D133=0,"",E133/D133)</f>
        <v/>
      </c>
      <c r="H133" s="27" t="n"/>
      <c r="I133" s="60" t="n"/>
      <c r="J133" s="60" t="n"/>
      <c r="K133" s="60">
        <f>J133-I133</f>
        <v/>
      </c>
      <c r="L133" s="61">
        <f>IF(I133=0,"",J133/I133)</f>
        <v/>
      </c>
      <c r="M133" s="27" t="n"/>
      <c r="N133" s="62" t="n"/>
      <c r="O133" s="62" t="n"/>
      <c r="P133" s="62">
        <f>O133-N133</f>
        <v/>
      </c>
      <c r="Q133" s="64">
        <f>IF(N133=0,"",O133/N133)</f>
        <v/>
      </c>
      <c r="R133" s="31" t="n"/>
      <c r="S133" s="60" t="n"/>
      <c r="T133" s="60" t="n"/>
      <c r="U133" s="60">
        <f>T133-S133</f>
        <v/>
      </c>
      <c r="V133" s="61">
        <f>IF(S133=0,"",T133/S133)</f>
        <v/>
      </c>
      <c r="W133" s="27" t="n"/>
      <c r="X133" s="62" t="n"/>
      <c r="Y133" s="62" t="n"/>
      <c r="Z133" s="62">
        <f>Y133-X133</f>
        <v/>
      </c>
      <c r="AA133" s="64">
        <f>IF(X133=0,"",Y133/X133)</f>
        <v/>
      </c>
      <c r="AB133" s="31" t="n"/>
      <c r="AC133" s="60" t="n"/>
      <c r="AD133" s="60" t="n"/>
      <c r="AE133" s="60">
        <f>AD133-AC133</f>
        <v/>
      </c>
      <c r="AF133" s="61">
        <f>IF(AC133=0,"",AD133/AC133)</f>
        <v/>
      </c>
      <c r="AG133" s="27" t="n"/>
      <c r="AH133" s="62" t="n"/>
      <c r="AI133" s="62" t="n"/>
      <c r="AJ133" s="62">
        <f>AI133-AH133</f>
        <v/>
      </c>
      <c r="AK133" s="64">
        <f>IF(AH133=0,"",AI133/AH133)</f>
        <v/>
      </c>
      <c r="AL133" s="31" t="n"/>
      <c r="AM133" s="60" t="n"/>
      <c r="AN133" s="60" t="n"/>
      <c r="AO133" s="60">
        <f>AN133-AM133</f>
        <v/>
      </c>
      <c r="AP133" s="61">
        <f>IF(AM133=0,"",AN133/AM133)</f>
        <v/>
      </c>
      <c r="AQ133" s="27" t="n"/>
      <c r="AR133" s="62" t="n"/>
      <c r="AS133" s="62" t="n"/>
      <c r="AT133" s="62">
        <f>AS133-AR133</f>
        <v/>
      </c>
      <c r="AU133" s="64">
        <f>IF(AR133=0,"",AS133/AR133)</f>
        <v/>
      </c>
      <c r="AV133" s="31" t="n"/>
      <c r="AW133" s="60" t="n"/>
      <c r="AX133" s="60" t="n"/>
      <c r="AY133" s="60">
        <f>AX133-AW133</f>
        <v/>
      </c>
      <c r="AZ133" s="61">
        <f>IF(AW133=0,"",AX133/AW133)</f>
        <v/>
      </c>
      <c r="BA133" s="27" t="n"/>
      <c r="BB133" s="62" t="n"/>
      <c r="BC133" s="62" t="n"/>
      <c r="BD133" s="62">
        <f>BC133-BB133</f>
        <v/>
      </c>
      <c r="BE133" s="64">
        <f>IF(BB133=0,"",BC133/BB133)</f>
        <v/>
      </c>
      <c r="BF133" s="31" t="n"/>
      <c r="BG133" s="60" t="n"/>
      <c r="BH133" s="60" t="n"/>
      <c r="BI133" s="60">
        <f>BH133-BG133</f>
        <v/>
      </c>
      <c r="BJ133" s="61">
        <f>IF(BG133=0,"",BH133/BG133)</f>
        <v/>
      </c>
      <c r="BK133" s="27" t="n"/>
      <c r="BL133" s="62" t="n"/>
      <c r="BM133" s="62" t="n"/>
      <c r="BN133" s="62">
        <f>BM133-BL133</f>
        <v/>
      </c>
      <c r="BO133" s="64">
        <f>IF(BL133=0,"",BM133/BL133)</f>
        <v/>
      </c>
      <c r="BP133" s="31" t="n"/>
      <c r="BQ133" s="60" t="n"/>
      <c r="BR133" s="60" t="n"/>
      <c r="BS133" s="60">
        <f>BR133-BQ133</f>
        <v/>
      </c>
      <c r="BT133" s="61">
        <f>IF(BQ133=0,"",BR133/BQ133)</f>
        <v/>
      </c>
      <c r="BU133" s="27" t="n"/>
      <c r="BV133" s="62" t="n"/>
      <c r="BW133" s="62" t="n"/>
      <c r="BX133" s="62">
        <f>BW133-BV133</f>
        <v/>
      </c>
      <c r="BY133" s="64">
        <f>IF(BV133=0,"",BW133/BV133)</f>
        <v/>
      </c>
      <c r="BZ133" s="31" t="n"/>
      <c r="CA133" s="60" t="n"/>
      <c r="CB133" s="60" t="n"/>
      <c r="CC133" s="60">
        <f>CB133-CA133</f>
        <v/>
      </c>
      <c r="CD133" s="61">
        <f>IF(CA133=0,"",CB133/CA133)</f>
        <v/>
      </c>
      <c r="CE133" s="27" t="n"/>
      <c r="CF133" s="62" t="n"/>
      <c r="CG133" s="62" t="n"/>
      <c r="CH133" s="62">
        <f>CG133-CF133</f>
        <v/>
      </c>
      <c r="CI133" s="64">
        <f>IF(CF133=0,"",CG133/CF133)</f>
        <v/>
      </c>
      <c r="CJ133" s="31" t="n"/>
      <c r="CK133" s="60" t="n"/>
      <c r="CL133" s="60" t="n"/>
      <c r="CM133" s="60">
        <f>CL133-CK133</f>
        <v/>
      </c>
      <c r="CN133" s="61">
        <f>IF(CK133=0,"",CL133/CK133)</f>
        <v/>
      </c>
      <c r="CO133" s="27" t="n"/>
      <c r="CP133" s="62" t="n"/>
      <c r="CQ133" s="62" t="n"/>
      <c r="CR133" s="62">
        <f>CQ133-CP133</f>
        <v/>
      </c>
      <c r="CS133" s="64">
        <f>IF(CP133=0,"",CQ133/CP133)</f>
        <v/>
      </c>
      <c r="CT133" s="31" t="n"/>
      <c r="CU133" s="60" t="n"/>
      <c r="CV133" s="60" t="n"/>
      <c r="CW133" s="60">
        <f>CV133-CU133</f>
        <v/>
      </c>
      <c r="CX133" s="61">
        <f>IF(CU133=0,"",CV133/CU133)</f>
        <v/>
      </c>
      <c r="CY133" s="27" t="n"/>
      <c r="CZ133" s="62" t="n"/>
      <c r="DA133" s="62" t="n"/>
      <c r="DB133" s="62">
        <f>DA133-CZ133</f>
        <v/>
      </c>
      <c r="DC133" s="64">
        <f>IF(CZ133=0,"",DA133/CZ133)</f>
        <v/>
      </c>
      <c r="DD133" s="31" t="n"/>
      <c r="DE133" s="60" t="n"/>
      <c r="DF133" s="60" t="n"/>
      <c r="DG133" s="60">
        <f>DF133-DE133</f>
        <v/>
      </c>
      <c r="DH133" s="61">
        <f>IF(DE133=0,"",DF133/DE133)</f>
        <v/>
      </c>
      <c r="DI133" s="27" t="n"/>
      <c r="DJ133" s="62" t="n"/>
      <c r="DK133" s="62" t="n"/>
      <c r="DL133" s="62">
        <f>DK133-DJ133</f>
        <v/>
      </c>
      <c r="DM133" s="64">
        <f>IF(DJ133=0,"",DK133/DJ133)</f>
        <v/>
      </c>
      <c r="DN133" s="31" t="n"/>
      <c r="DO133" s="60" t="n"/>
    </row>
    <row r="134" ht="15" customHeight="1">
      <c r="A134" s="19" t="n"/>
      <c r="B134" s="20" t="n"/>
      <c r="C134" s="19" t="n"/>
      <c r="D134" s="58">
        <f>D135</f>
        <v/>
      </c>
      <c r="E134" s="58">
        <f>E135</f>
        <v/>
      </c>
      <c r="F134" s="58">
        <f>E134-D134</f>
        <v/>
      </c>
      <c r="G134" s="59">
        <f>IF(D134=0,"",E134/D134)</f>
        <v/>
      </c>
      <c r="H134" s="23" t="n"/>
      <c r="I134" s="58">
        <f>I135</f>
        <v/>
      </c>
      <c r="J134" s="58">
        <f>J135</f>
        <v/>
      </c>
      <c r="K134" s="58">
        <f>J134-I134</f>
        <v/>
      </c>
      <c r="L134" s="59">
        <f>IF(I134=0,"",J134/I134)</f>
        <v/>
      </c>
      <c r="M134" s="23" t="n"/>
      <c r="N134" s="58">
        <f>N135</f>
        <v/>
      </c>
      <c r="O134" s="58">
        <f>O135</f>
        <v/>
      </c>
      <c r="P134" s="58">
        <f>O134-N134</f>
        <v/>
      </c>
      <c r="Q134" s="59">
        <f>IF(N134=0,"",O134/N134)</f>
        <v/>
      </c>
      <c r="R134" s="23" t="n"/>
      <c r="S134" s="58">
        <f>S135</f>
        <v/>
      </c>
      <c r="T134" s="58">
        <f>T135</f>
        <v/>
      </c>
      <c r="U134" s="58">
        <f>T134-S134</f>
        <v/>
      </c>
      <c r="V134" s="59">
        <f>IF(S134=0,"",T134/S134)</f>
        <v/>
      </c>
      <c r="W134" s="23" t="n"/>
      <c r="X134" s="58">
        <f>X135</f>
        <v/>
      </c>
      <c r="Y134" s="58">
        <f>Y135</f>
        <v/>
      </c>
      <c r="Z134" s="58">
        <f>Y134-X134</f>
        <v/>
      </c>
      <c r="AA134" s="59">
        <f>IF(X134=0,"",Y134/X134)</f>
        <v/>
      </c>
      <c r="AB134" s="23" t="n"/>
      <c r="AC134" s="58">
        <f>AC135</f>
        <v/>
      </c>
      <c r="AD134" s="58">
        <f>AD135</f>
        <v/>
      </c>
      <c r="AE134" s="58">
        <f>AD134-AC134</f>
        <v/>
      </c>
      <c r="AF134" s="59">
        <f>IF(AC134=0,"",AD134/AC134)</f>
        <v/>
      </c>
      <c r="AG134" s="23" t="n"/>
      <c r="AH134" s="58">
        <f>AH135</f>
        <v/>
      </c>
      <c r="AI134" s="58">
        <f>AI135</f>
        <v/>
      </c>
      <c r="AJ134" s="58">
        <f>AI134-AH134</f>
        <v/>
      </c>
      <c r="AK134" s="59">
        <f>IF(AH134=0,"",AI134/AH134)</f>
        <v/>
      </c>
      <c r="AL134" s="23" t="n"/>
      <c r="AM134" s="58">
        <f>AM135</f>
        <v/>
      </c>
      <c r="AN134" s="58">
        <f>AN135</f>
        <v/>
      </c>
      <c r="AO134" s="58">
        <f>AN134-AM134</f>
        <v/>
      </c>
      <c r="AP134" s="59">
        <f>IF(AM134=0,"",AN134/AM134)</f>
        <v/>
      </c>
      <c r="AQ134" s="23" t="n"/>
      <c r="AR134" s="58">
        <f>AR135</f>
        <v/>
      </c>
      <c r="AS134" s="58">
        <f>AS135</f>
        <v/>
      </c>
      <c r="AT134" s="58">
        <f>AS134-AR134</f>
        <v/>
      </c>
      <c r="AU134" s="59">
        <f>IF(AR134=0,"",AS134/AR134)</f>
        <v/>
      </c>
      <c r="AV134" s="23" t="n"/>
      <c r="AW134" s="58">
        <f>AW135</f>
        <v/>
      </c>
      <c r="AX134" s="58">
        <f>AX135</f>
        <v/>
      </c>
      <c r="AY134" s="58">
        <f>AX134-AW134</f>
        <v/>
      </c>
      <c r="AZ134" s="59">
        <f>IF(AW134=0,"",AX134/AW134)</f>
        <v/>
      </c>
      <c r="BA134" s="23" t="n"/>
      <c r="BB134" s="58">
        <f>BB135</f>
        <v/>
      </c>
      <c r="BC134" s="58">
        <f>BC135</f>
        <v/>
      </c>
      <c r="BD134" s="58">
        <f>BC134-BB134</f>
        <v/>
      </c>
      <c r="BE134" s="59">
        <f>IF(BB134=0,"",BC134/BB134)</f>
        <v/>
      </c>
      <c r="BF134" s="23" t="n"/>
      <c r="BG134" s="58">
        <f>BG135</f>
        <v/>
      </c>
      <c r="BH134" s="58">
        <f>BH135</f>
        <v/>
      </c>
      <c r="BI134" s="58">
        <f>BH134-BG134</f>
        <v/>
      </c>
      <c r="BJ134" s="59">
        <f>IF(BG134=0,"",BH134/BG134)</f>
        <v/>
      </c>
      <c r="BK134" s="23" t="n"/>
      <c r="BL134" s="58">
        <f>BL135</f>
        <v/>
      </c>
      <c r="BM134" s="58">
        <f>BM135</f>
        <v/>
      </c>
      <c r="BN134" s="58">
        <f>BM134-BL134</f>
        <v/>
      </c>
      <c r="BO134" s="59">
        <f>IF(BL134=0,"",BM134/BL134)</f>
        <v/>
      </c>
      <c r="BP134" s="23" t="n"/>
      <c r="BQ134" s="58">
        <f>BQ135</f>
        <v/>
      </c>
      <c r="BR134" s="58">
        <f>BR135</f>
        <v/>
      </c>
      <c r="BS134" s="58">
        <f>BR134-BQ134</f>
        <v/>
      </c>
      <c r="BT134" s="59">
        <f>IF(BQ134=0,"",BR134/BQ134)</f>
        <v/>
      </c>
      <c r="BU134" s="23" t="n"/>
      <c r="BV134" s="58">
        <f>BV135</f>
        <v/>
      </c>
      <c r="BW134" s="58">
        <f>BW135</f>
        <v/>
      </c>
      <c r="BX134" s="58">
        <f>BW134-BV134</f>
        <v/>
      </c>
      <c r="BY134" s="59">
        <f>IF(BV134=0,"",BW134/BV134)</f>
        <v/>
      </c>
      <c r="BZ134" s="23" t="n"/>
      <c r="CA134" s="58">
        <f>CA135</f>
        <v/>
      </c>
      <c r="CB134" s="58">
        <f>CB135</f>
        <v/>
      </c>
      <c r="CC134" s="58">
        <f>CB134-CA134</f>
        <v/>
      </c>
      <c r="CD134" s="59">
        <f>IF(CA134=0,"",CB134/CA134)</f>
        <v/>
      </c>
      <c r="CE134" s="23" t="n"/>
      <c r="CF134" s="58">
        <f>CF135</f>
        <v/>
      </c>
      <c r="CG134" s="58">
        <f>CG135</f>
        <v/>
      </c>
      <c r="CH134" s="58">
        <f>CG134-CF134</f>
        <v/>
      </c>
      <c r="CI134" s="59">
        <f>IF(CF134=0,"",CG134/CF134)</f>
        <v/>
      </c>
      <c r="CJ134" s="23" t="n"/>
      <c r="CK134" s="58">
        <f>CK135</f>
        <v/>
      </c>
      <c r="CL134" s="58">
        <f>CL135</f>
        <v/>
      </c>
      <c r="CM134" s="58">
        <f>CL134-CK134</f>
        <v/>
      </c>
      <c r="CN134" s="59">
        <f>IF(CK134=0,"",CL134/CK134)</f>
        <v/>
      </c>
      <c r="CO134" s="23" t="n"/>
      <c r="CP134" s="58">
        <f>CP135</f>
        <v/>
      </c>
      <c r="CQ134" s="58">
        <f>CQ135</f>
        <v/>
      </c>
      <c r="CR134" s="58">
        <f>CQ134-CP134</f>
        <v/>
      </c>
      <c r="CS134" s="59">
        <f>IF(CP134=0,"",CQ134/CP134)</f>
        <v/>
      </c>
      <c r="CT134" s="23" t="n"/>
      <c r="CU134" s="58">
        <f>CU135</f>
        <v/>
      </c>
      <c r="CV134" s="58">
        <f>CV135</f>
        <v/>
      </c>
      <c r="CW134" s="58">
        <f>CV134-CU134</f>
        <v/>
      </c>
      <c r="CX134" s="59">
        <f>IF(CU134=0,"",CV134/CU134)</f>
        <v/>
      </c>
      <c r="CY134" s="23" t="n"/>
      <c r="CZ134" s="58">
        <f>CZ135</f>
        <v/>
      </c>
      <c r="DA134" s="58">
        <f>DA135</f>
        <v/>
      </c>
      <c r="DB134" s="58">
        <f>DA134-CZ134</f>
        <v/>
      </c>
      <c r="DC134" s="59">
        <f>IF(CZ134=0,"",DA134/CZ134)</f>
        <v/>
      </c>
      <c r="DD134" s="23" t="n"/>
      <c r="DE134" s="58">
        <f>DE135</f>
        <v/>
      </c>
      <c r="DF134" s="58">
        <f>DF135</f>
        <v/>
      </c>
      <c r="DG134" s="58">
        <f>DF134-DE134</f>
        <v/>
      </c>
      <c r="DH134" s="59">
        <f>IF(DE134=0,"",DF134/DE134)</f>
        <v/>
      </c>
      <c r="DI134" s="23" t="n"/>
      <c r="DJ134" s="58">
        <f>DJ135</f>
        <v/>
      </c>
      <c r="DK134" s="58">
        <f>DK135</f>
        <v/>
      </c>
      <c r="DL134" s="58">
        <f>DK134-DJ134</f>
        <v/>
      </c>
      <c r="DM134" s="59">
        <f>IF(DJ134=0,"",DK134/DJ134)</f>
        <v/>
      </c>
      <c r="DN134" s="23" t="n"/>
      <c r="DO134" s="58">
        <f>DO135</f>
        <v/>
      </c>
    </row>
    <row r="135" outlineLevel="1" ht="15" customHeight="1">
      <c r="A135" s="24" t="n"/>
      <c r="B135" s="24" t="n"/>
      <c r="C135" s="24" t="n"/>
      <c r="D135" s="60" t="n"/>
      <c r="E135" s="60" t="n"/>
      <c r="F135" s="60">
        <f>E135-D135</f>
        <v/>
      </c>
      <c r="G135" s="61">
        <f>IF(D135=0,"",E135/D135)</f>
        <v/>
      </c>
      <c r="H135" s="27" t="n"/>
      <c r="I135" s="60" t="n"/>
      <c r="J135" s="60" t="n"/>
      <c r="K135" s="60">
        <f>J135-I135</f>
        <v/>
      </c>
      <c r="L135" s="61">
        <f>IF(I135=0,"",J135/I135)</f>
        <v/>
      </c>
      <c r="M135" s="27" t="n"/>
      <c r="N135" s="62" t="n"/>
      <c r="O135" s="62" t="n"/>
      <c r="P135" s="62">
        <f>O135-N135</f>
        <v/>
      </c>
      <c r="Q135" s="64">
        <f>IF(N135=0,"",O135/N135)</f>
        <v/>
      </c>
      <c r="R135" s="31" t="n"/>
      <c r="S135" s="60" t="n"/>
      <c r="T135" s="60" t="n"/>
      <c r="U135" s="60">
        <f>T135-S135</f>
        <v/>
      </c>
      <c r="V135" s="61">
        <f>IF(S135=0,"",T135/S135)</f>
        <v/>
      </c>
      <c r="W135" s="27" t="n"/>
      <c r="X135" s="62" t="n"/>
      <c r="Y135" s="62" t="n"/>
      <c r="Z135" s="63">
        <f>Y135-X135</f>
        <v/>
      </c>
      <c r="AA135" s="64">
        <f>IF(X135=0,"",Y135/X135)</f>
        <v/>
      </c>
      <c r="AB135" s="31" t="n"/>
      <c r="AC135" s="60" t="n"/>
      <c r="AD135" s="60" t="n"/>
      <c r="AE135" s="60">
        <f>AD135-AC135</f>
        <v/>
      </c>
      <c r="AF135" s="61">
        <f>IF(AC135=0,"",AD135/AC135)</f>
        <v/>
      </c>
      <c r="AG135" s="27" t="n"/>
      <c r="AH135" s="62" t="n"/>
      <c r="AI135" s="62" t="n"/>
      <c r="AJ135" s="62">
        <f>AI135-AH135</f>
        <v/>
      </c>
      <c r="AK135" s="64">
        <f>IF(AH135=0,"",AI135/AH135)</f>
        <v/>
      </c>
      <c r="AL135" s="31" t="n"/>
      <c r="AM135" s="60" t="n"/>
      <c r="AN135" s="60" t="n"/>
      <c r="AO135" s="60">
        <f>AN135-AM135</f>
        <v/>
      </c>
      <c r="AP135" s="61">
        <f>IF(AM135=0,"",AN135/AM135)</f>
        <v/>
      </c>
      <c r="AQ135" s="27" t="n"/>
      <c r="AR135" s="62" t="n"/>
      <c r="AS135" s="62" t="n"/>
      <c r="AT135" s="62">
        <f>AS135-AR135</f>
        <v/>
      </c>
      <c r="AU135" s="64">
        <f>IF(AR135=0,"",AS135/AR135)</f>
        <v/>
      </c>
      <c r="AV135" s="31" t="n"/>
      <c r="AW135" s="60" t="n"/>
      <c r="AX135" s="60" t="n"/>
      <c r="AY135" s="60">
        <f>AX135-AW135</f>
        <v/>
      </c>
      <c r="AZ135" s="61">
        <f>IF(AW135=0,"",AX135/AW135)</f>
        <v/>
      </c>
      <c r="BA135" s="27" t="n"/>
      <c r="BB135" s="62" t="n"/>
      <c r="BC135" s="62" t="n"/>
      <c r="BD135" s="62">
        <f>BC135-BB135</f>
        <v/>
      </c>
      <c r="BE135" s="64">
        <f>IF(BB135=0,"",BC135/BB135)</f>
        <v/>
      </c>
      <c r="BF135" s="31" t="n"/>
      <c r="BG135" s="60" t="n"/>
      <c r="BH135" s="60" t="n"/>
      <c r="BI135" s="60">
        <f>BH135-BG135</f>
        <v/>
      </c>
      <c r="BJ135" s="61">
        <f>IF(BG135=0,"",BH135/BG135)</f>
        <v/>
      </c>
      <c r="BK135" s="27" t="n"/>
      <c r="BL135" s="62" t="n"/>
      <c r="BM135" s="62" t="n"/>
      <c r="BN135" s="62">
        <f>BM135-BL135</f>
        <v/>
      </c>
      <c r="BO135" s="64">
        <f>IF(BL135=0,"",BM135/BL135)</f>
        <v/>
      </c>
      <c r="BP135" s="31" t="n"/>
      <c r="BQ135" s="60" t="n"/>
      <c r="BR135" s="60" t="n"/>
      <c r="BS135" s="60">
        <f>BR135-BQ135</f>
        <v/>
      </c>
      <c r="BT135" s="61">
        <f>IF(BQ135=0,"",BR135/BQ135)</f>
        <v/>
      </c>
      <c r="BU135" s="27" t="n"/>
      <c r="BV135" s="62" t="n"/>
      <c r="BW135" s="62" t="n"/>
      <c r="BX135" s="62">
        <f>BW135-BV135</f>
        <v/>
      </c>
      <c r="BY135" s="64">
        <f>IF(BV135=0,"",BW135/BV135)</f>
        <v/>
      </c>
      <c r="BZ135" s="31" t="n"/>
      <c r="CA135" s="60" t="n"/>
      <c r="CB135" s="60" t="n"/>
      <c r="CC135" s="60">
        <f>CB135-CA135</f>
        <v/>
      </c>
      <c r="CD135" s="61">
        <f>IF(CA135=0,"",CB135/CA135)</f>
        <v/>
      </c>
      <c r="CE135" s="27" t="n"/>
      <c r="CF135" s="62" t="n"/>
      <c r="CG135" s="62" t="n"/>
      <c r="CH135" s="62">
        <f>CG135-CF135</f>
        <v/>
      </c>
      <c r="CI135" s="64">
        <f>IF(CF135=0,"",CG135/CF135)</f>
        <v/>
      </c>
      <c r="CJ135" s="31" t="n"/>
      <c r="CK135" s="60" t="n"/>
      <c r="CL135" s="60" t="n"/>
      <c r="CM135" s="60">
        <f>CL135-CK135</f>
        <v/>
      </c>
      <c r="CN135" s="61">
        <f>IF(CK135=0,"",CL135/CK135)</f>
        <v/>
      </c>
      <c r="CO135" s="27" t="n"/>
      <c r="CP135" s="62" t="n"/>
      <c r="CQ135" s="62" t="n"/>
      <c r="CR135" s="62">
        <f>CQ135-CP135</f>
        <v/>
      </c>
      <c r="CS135" s="64">
        <f>IF(CP135=0,"",CQ135/CP135)</f>
        <v/>
      </c>
      <c r="CT135" s="31" t="n"/>
      <c r="CU135" s="60" t="n"/>
      <c r="CV135" s="60" t="n"/>
      <c r="CW135" s="60">
        <f>CV135-CU135</f>
        <v/>
      </c>
      <c r="CX135" s="61">
        <f>IF(CU135=0,"",CV135/CU135)</f>
        <v/>
      </c>
      <c r="CY135" s="27" t="n"/>
      <c r="CZ135" s="62" t="n"/>
      <c r="DA135" s="62" t="n"/>
      <c r="DB135" s="62">
        <f>DA135-CZ135</f>
        <v/>
      </c>
      <c r="DC135" s="64">
        <f>IF(CZ135=0,"",DA135/CZ135)</f>
        <v/>
      </c>
      <c r="DD135" s="31" t="n"/>
      <c r="DE135" s="60" t="n"/>
      <c r="DF135" s="60" t="n"/>
      <c r="DG135" s="60">
        <f>DF135-DE135</f>
        <v/>
      </c>
      <c r="DH135" s="61">
        <f>IF(DE135=0,"",DF135/DE135)</f>
        <v/>
      </c>
      <c r="DI135" s="27" t="n"/>
      <c r="DJ135" s="62" t="n"/>
      <c r="DK135" s="62" t="n"/>
      <c r="DL135" s="62">
        <f>DK135-DJ135</f>
        <v/>
      </c>
      <c r="DM135" s="64">
        <f>IF(DJ135=0,"",DK135/DJ135)</f>
        <v/>
      </c>
      <c r="DN135" s="31" t="n"/>
      <c r="DO135" s="60" t="n"/>
    </row>
    <row r="136" ht="15" customHeight="1">
      <c r="A136" s="19" t="n"/>
      <c r="B136" s="20" t="n"/>
      <c r="C136" s="19" t="n"/>
      <c r="D136" s="58">
        <f>D137+D138+D139+D140+D141+D142+D143</f>
        <v/>
      </c>
      <c r="E136" s="58">
        <f>E137+E138+E139+E140+E141+E142+E143</f>
        <v/>
      </c>
      <c r="F136" s="58">
        <f>E136-D136</f>
        <v/>
      </c>
      <c r="G136" s="59">
        <f>IF(D136=0,"",E136/D136)</f>
        <v/>
      </c>
      <c r="H136" s="23" t="n"/>
      <c r="I136" s="58">
        <f>I137+I138+I139+I140+I141+I142+I143</f>
        <v/>
      </c>
      <c r="J136" s="58">
        <f>J137+J138+J139+J140+J141+J142+J143</f>
        <v/>
      </c>
      <c r="K136" s="58">
        <f>J136-I136</f>
        <v/>
      </c>
      <c r="L136" s="59">
        <f>IF(I136=0,"",J136/I136)</f>
        <v/>
      </c>
      <c r="M136" s="23" t="n"/>
      <c r="N136" s="58">
        <f>N137+N138+N139+N140+N141+N142+N143</f>
        <v/>
      </c>
      <c r="O136" s="58">
        <f>O137+O138+O139+O140+O141+O142+O143</f>
        <v/>
      </c>
      <c r="P136" s="58">
        <f>O136-N136</f>
        <v/>
      </c>
      <c r="Q136" s="59">
        <f>IF(N136=0,"",O136/N136)</f>
        <v/>
      </c>
      <c r="R136" s="23" t="n"/>
      <c r="S136" s="58">
        <f>S137+S138+S139+S140+S141+S142+S143</f>
        <v/>
      </c>
      <c r="T136" s="58">
        <f>T137+T138+T139+T140+T141+T142+T143</f>
        <v/>
      </c>
      <c r="U136" s="58">
        <f>T136-S136</f>
        <v/>
      </c>
      <c r="V136" s="59">
        <f>IF(S136=0,"",T136/S136)</f>
        <v/>
      </c>
      <c r="W136" s="23" t="n"/>
      <c r="X136" s="58">
        <f>X137+X138+X139+X140+X141+X142+X143</f>
        <v/>
      </c>
      <c r="Y136" s="58">
        <f>Y137+Y138+Y139+Y140+Y141+Y142+Y143</f>
        <v/>
      </c>
      <c r="Z136" s="58">
        <f>Y136-X136</f>
        <v/>
      </c>
      <c r="AA136" s="59">
        <f>IF(X136=0,"",Y136/X136)</f>
        <v/>
      </c>
      <c r="AB136" s="23" t="n"/>
      <c r="AC136" s="58">
        <f>AC137+AC138+AC139+AC140+AC141+AC142+AC143</f>
        <v/>
      </c>
      <c r="AD136" s="58">
        <f>AD137+AD138+AD139+AD140+AD141+AD142+AD143</f>
        <v/>
      </c>
      <c r="AE136" s="58">
        <f>AD136-AC136</f>
        <v/>
      </c>
      <c r="AF136" s="59">
        <f>IF(AC136=0,"",AD136/AC136)</f>
        <v/>
      </c>
      <c r="AG136" s="23" t="n"/>
      <c r="AH136" s="58">
        <f>AH137+AH138+AH139+AH140+AH141+AH142+AH143</f>
        <v/>
      </c>
      <c r="AI136" s="58">
        <f>AI137+AI138+AI139+AI140+AI141+AI142+AI143</f>
        <v/>
      </c>
      <c r="AJ136" s="58">
        <f>AI136-AH136</f>
        <v/>
      </c>
      <c r="AK136" s="59">
        <f>IF(AH136=0,"",AI136/AH136)</f>
        <v/>
      </c>
      <c r="AL136" s="23" t="n"/>
      <c r="AM136" s="58">
        <f>AM137+AM138+AM139+AM140+AM141+AM142+AM143</f>
        <v/>
      </c>
      <c r="AN136" s="58">
        <f>AN137+AN138+AN139+AN140+AN141+AN142+AN143</f>
        <v/>
      </c>
      <c r="AO136" s="58">
        <f>AN136-AM136</f>
        <v/>
      </c>
      <c r="AP136" s="59">
        <f>IF(AM136=0,"",AN136/AM136)</f>
        <v/>
      </c>
      <c r="AQ136" s="23" t="n"/>
      <c r="AR136" s="58">
        <f>AR137+AR138+AR139+AR140+AR141+AR142+AR143</f>
        <v/>
      </c>
      <c r="AS136" s="58">
        <f>AS137+AS138+AS139+AS140+AS141+AS142+AS143</f>
        <v/>
      </c>
      <c r="AT136" s="58">
        <f>AS136-AR136</f>
        <v/>
      </c>
      <c r="AU136" s="59">
        <f>IF(AR136=0,"",AS136/AR136)</f>
        <v/>
      </c>
      <c r="AV136" s="23" t="n"/>
      <c r="AW136" s="58">
        <f>AW137+AW138+AW139+AW140+AW141+AW142+AW143</f>
        <v/>
      </c>
      <c r="AX136" s="58">
        <f>AX137+AX138+AX139+AX140+AX141+AX142+AX143</f>
        <v/>
      </c>
      <c r="AY136" s="58">
        <f>AX136-AW136</f>
        <v/>
      </c>
      <c r="AZ136" s="59">
        <f>IF(AW136=0,"",AX136/AW136)</f>
        <v/>
      </c>
      <c r="BA136" s="23" t="n"/>
      <c r="BB136" s="58">
        <f>BB137+BB138+BB139+BB140+BB141+BB142+BB143</f>
        <v/>
      </c>
      <c r="BC136" s="58">
        <f>BC137+BC138+BC139+BC140+BC141+BC142+BC143</f>
        <v/>
      </c>
      <c r="BD136" s="58">
        <f>BC136-BB136</f>
        <v/>
      </c>
      <c r="BE136" s="59">
        <f>IF(BB136=0,"",BC136/BB136)</f>
        <v/>
      </c>
      <c r="BF136" s="23" t="n"/>
      <c r="BG136" s="58">
        <f>BG137+BG138+BG139+BG140+BG141+BG142+BG143</f>
        <v/>
      </c>
      <c r="BH136" s="58">
        <f>BH137+BH138+BH139+BH140+BH141+BH142+BH143</f>
        <v/>
      </c>
      <c r="BI136" s="58">
        <f>BH136-BG136</f>
        <v/>
      </c>
      <c r="BJ136" s="59">
        <f>IF(BG136=0,"",BH136/BG136)</f>
        <v/>
      </c>
      <c r="BK136" s="23" t="n"/>
      <c r="BL136" s="58">
        <f>BL137+BL138+BL139+BL140+BL141+BL142+BL143</f>
        <v/>
      </c>
      <c r="BM136" s="58">
        <f>BM137+BM138+BM139+BM140+BM141+BM142+BM143</f>
        <v/>
      </c>
      <c r="BN136" s="58">
        <f>BM136-BL136</f>
        <v/>
      </c>
      <c r="BO136" s="59">
        <f>IF(BL136=0,"",BM136/BL136)</f>
        <v/>
      </c>
      <c r="BP136" s="23" t="n"/>
      <c r="BQ136" s="58">
        <f>BQ137+BQ138+BQ139+BQ140+BQ141+BQ142+BQ143</f>
        <v/>
      </c>
      <c r="BR136" s="58">
        <f>BR137+BR138+BR139+BR140+BR141+BR142+BR143</f>
        <v/>
      </c>
      <c r="BS136" s="58">
        <f>BR136-BQ136</f>
        <v/>
      </c>
      <c r="BT136" s="59">
        <f>IF(BQ136=0,"",BR136/BQ136)</f>
        <v/>
      </c>
      <c r="BU136" s="23" t="n"/>
      <c r="BV136" s="58">
        <f>BV137+BV138+BV139+BV140+BV141+BV142+BV143</f>
        <v/>
      </c>
      <c r="BW136" s="58">
        <f>BW137+BW138+BW139+BW140+BW141+BW142+BW143</f>
        <v/>
      </c>
      <c r="BX136" s="58">
        <f>BW136-BV136</f>
        <v/>
      </c>
      <c r="BY136" s="59">
        <f>IF(BV136=0,"",BW136/BV136)</f>
        <v/>
      </c>
      <c r="BZ136" s="23" t="n"/>
      <c r="CA136" s="58">
        <f>CA137+CA138+CA139+CA140+CA141+CA142+CA143</f>
        <v/>
      </c>
      <c r="CB136" s="58">
        <f>CB137+CB138+CB139+CB140+CB141+CB142+CB143</f>
        <v/>
      </c>
      <c r="CC136" s="58">
        <f>CB136-CA136</f>
        <v/>
      </c>
      <c r="CD136" s="59">
        <f>IF(CA136=0,"",CB136/CA136)</f>
        <v/>
      </c>
      <c r="CE136" s="23" t="n"/>
      <c r="CF136" s="58">
        <f>CF137+CF138+CF139+CF140+CF141+CF142+CF143</f>
        <v/>
      </c>
      <c r="CG136" s="58">
        <f>CG137+CG138+CG139+CG140+CG141+CG142+CG143</f>
        <v/>
      </c>
      <c r="CH136" s="58">
        <f>CG136-CF136</f>
        <v/>
      </c>
      <c r="CI136" s="59">
        <f>IF(CF136=0,"",CG136/CF136)</f>
        <v/>
      </c>
      <c r="CJ136" s="23" t="n"/>
      <c r="CK136" s="58">
        <f>CK137+CK138+CK139+CK140+CK141+CK142+CK143</f>
        <v/>
      </c>
      <c r="CL136" s="58">
        <f>CL137+CL138+CL139+CL140+CL141+CL142+CL143</f>
        <v/>
      </c>
      <c r="CM136" s="58">
        <f>CL136-CK136</f>
        <v/>
      </c>
      <c r="CN136" s="59">
        <f>IF(CK136=0,"",CL136/CK136)</f>
        <v/>
      </c>
      <c r="CO136" s="23" t="n"/>
      <c r="CP136" s="58">
        <f>CP137+CP138+CP139+CP140+CP141+CP142+CP143</f>
        <v/>
      </c>
      <c r="CQ136" s="58">
        <f>CQ137+CQ138+CQ139+CQ140+CQ141+CQ142+CQ143</f>
        <v/>
      </c>
      <c r="CR136" s="58">
        <f>CQ136-CP136</f>
        <v/>
      </c>
      <c r="CS136" s="59">
        <f>IF(CP136=0,"",CQ136/CP136)</f>
        <v/>
      </c>
      <c r="CT136" s="23" t="n"/>
      <c r="CU136" s="58">
        <f>CU137+CU138+CU139+CU140+CU141+CU142+CU143</f>
        <v/>
      </c>
      <c r="CV136" s="58">
        <f>CV137+CV138+CV139+CV140+CV141+CV142+CV143</f>
        <v/>
      </c>
      <c r="CW136" s="58">
        <f>CV136-CU136</f>
        <v/>
      </c>
      <c r="CX136" s="59">
        <f>IF(CU136=0,"",CV136/CU136)</f>
        <v/>
      </c>
      <c r="CY136" s="23" t="n"/>
      <c r="CZ136" s="58">
        <f>CZ137+CZ138+CZ139+CZ140+CZ141+CZ142+CZ143</f>
        <v/>
      </c>
      <c r="DA136" s="58">
        <f>DA137+DA138+DA139+DA140+DA141+DA142+DA143</f>
        <v/>
      </c>
      <c r="DB136" s="58">
        <f>DA136-CZ136</f>
        <v/>
      </c>
      <c r="DC136" s="59">
        <f>IF(CZ136=0,"",DA136/CZ136)</f>
        <v/>
      </c>
      <c r="DD136" s="23" t="n"/>
      <c r="DE136" s="58">
        <f>DE137+DE138+DE139+DE140+DE141+DE142+DE143</f>
        <v/>
      </c>
      <c r="DF136" s="58">
        <f>DF137+DF138+DF139+DF140+DF141+DF142+DF143</f>
        <v/>
      </c>
      <c r="DG136" s="58">
        <f>DF136-DE136</f>
        <v/>
      </c>
      <c r="DH136" s="59">
        <f>IF(DE136=0,"",DF136/DE136)</f>
        <v/>
      </c>
      <c r="DI136" s="23" t="n"/>
      <c r="DJ136" s="58">
        <f>DJ137+DJ138+DJ139+DJ140+DJ141+DJ142+DJ143</f>
        <v/>
      </c>
      <c r="DK136" s="58">
        <f>DK137+DK138+DK139+DK140+DK141+DK142+DK143</f>
        <v/>
      </c>
      <c r="DL136" s="58">
        <f>DK136-DJ136</f>
        <v/>
      </c>
      <c r="DM136" s="59">
        <f>IF(DJ136=0,"",DK136/DJ136)</f>
        <v/>
      </c>
      <c r="DN136" s="23" t="n"/>
      <c r="DO136" s="58">
        <f>DO137+DO138+DO139+DO140+DO141+DO142+DO143</f>
        <v/>
      </c>
    </row>
    <row r="137" outlineLevel="1" ht="15" customHeight="1">
      <c r="A137" s="24" t="n"/>
      <c r="B137" s="24" t="n"/>
      <c r="C137" s="24" t="n"/>
      <c r="D137" s="60" t="n"/>
      <c r="E137" s="60" t="n"/>
      <c r="F137" s="60">
        <f>E137-D137</f>
        <v/>
      </c>
      <c r="G137" s="61">
        <f>IF(D137=0,"",E137/D137)</f>
        <v/>
      </c>
      <c r="H137" s="27" t="n"/>
      <c r="I137" s="60" t="n"/>
      <c r="J137" s="60" t="n"/>
      <c r="K137" s="60">
        <f>J137-I137</f>
        <v/>
      </c>
      <c r="L137" s="61">
        <f>IF(I137=0,"",J137/I137)</f>
        <v/>
      </c>
      <c r="M137" s="27" t="n"/>
      <c r="N137" s="62" t="n"/>
      <c r="O137" s="62" t="n"/>
      <c r="P137" s="62">
        <f>O137-N137</f>
        <v/>
      </c>
      <c r="Q137" s="64">
        <f>IF(N137=0,"",O137/N137)</f>
        <v/>
      </c>
      <c r="R137" s="31" t="n"/>
      <c r="S137" s="60" t="n"/>
      <c r="T137" s="60" t="n"/>
      <c r="U137" s="60">
        <f>T137-S137</f>
        <v/>
      </c>
      <c r="V137" s="61">
        <f>IF(S137=0,"",T137/S137)</f>
        <v/>
      </c>
      <c r="W137" s="27" t="n"/>
      <c r="X137" s="62" t="n"/>
      <c r="Y137" s="62" t="n"/>
      <c r="Z137" s="62">
        <f>Y137-X137</f>
        <v/>
      </c>
      <c r="AA137" s="64">
        <f>IF(X137=0,"",Y137/X137)</f>
        <v/>
      </c>
      <c r="AB137" s="31" t="n"/>
      <c r="AC137" s="60" t="n"/>
      <c r="AD137" s="60" t="n"/>
      <c r="AE137" s="60">
        <f>AD137-AC137</f>
        <v/>
      </c>
      <c r="AF137" s="61">
        <f>IF(AC137=0,"",AD137/AC137)</f>
        <v/>
      </c>
      <c r="AG137" s="27" t="n"/>
      <c r="AH137" s="62" t="n"/>
      <c r="AI137" s="62" t="n"/>
      <c r="AJ137" s="62">
        <f>AI137-AH137</f>
        <v/>
      </c>
      <c r="AK137" s="64">
        <f>IF(AH137=0,"",AI137/AH137)</f>
        <v/>
      </c>
      <c r="AL137" s="31" t="n"/>
      <c r="AM137" s="60" t="n"/>
      <c r="AN137" s="60" t="n"/>
      <c r="AO137" s="60">
        <f>AN137-AM137</f>
        <v/>
      </c>
      <c r="AP137" s="61">
        <f>IF(AM137=0,"",AN137/AM137)</f>
        <v/>
      </c>
      <c r="AQ137" s="27" t="n"/>
      <c r="AR137" s="62" t="n"/>
      <c r="AS137" s="62" t="n"/>
      <c r="AT137" s="62">
        <f>AS137-AR137</f>
        <v/>
      </c>
      <c r="AU137" s="64">
        <f>IF(AR137=0,"",AS137/AR137)</f>
        <v/>
      </c>
      <c r="AV137" s="31" t="n"/>
      <c r="AW137" s="60" t="n"/>
      <c r="AX137" s="60" t="n"/>
      <c r="AY137" s="60">
        <f>AX137-AW137</f>
        <v/>
      </c>
      <c r="AZ137" s="61">
        <f>IF(AW137=0,"",AX137/AW137)</f>
        <v/>
      </c>
      <c r="BA137" s="27" t="n"/>
      <c r="BB137" s="62" t="n"/>
      <c r="BC137" s="62" t="n"/>
      <c r="BD137" s="62">
        <f>BC137-BB137</f>
        <v/>
      </c>
      <c r="BE137" s="64">
        <f>IF(BB137=0,"",BC137/BB137)</f>
        <v/>
      </c>
      <c r="BF137" s="31" t="n"/>
      <c r="BG137" s="60" t="n"/>
      <c r="BH137" s="60" t="n"/>
      <c r="BI137" s="60">
        <f>BH137-BG137</f>
        <v/>
      </c>
      <c r="BJ137" s="61">
        <f>IF(BG137=0,"",BH137/BG137)</f>
        <v/>
      </c>
      <c r="BK137" s="27" t="n"/>
      <c r="BL137" s="62" t="n"/>
      <c r="BM137" s="62" t="n"/>
      <c r="BN137" s="62">
        <f>BM137-BL137</f>
        <v/>
      </c>
      <c r="BO137" s="64">
        <f>IF(BL137=0,"",BM137/BL137)</f>
        <v/>
      </c>
      <c r="BP137" s="31" t="n"/>
      <c r="BQ137" s="60" t="n"/>
      <c r="BR137" s="60" t="n"/>
      <c r="BS137" s="60">
        <f>BR137-BQ137</f>
        <v/>
      </c>
      <c r="BT137" s="61">
        <f>IF(BQ137=0,"",BR137/BQ137)</f>
        <v/>
      </c>
      <c r="BU137" s="27" t="n"/>
      <c r="BV137" s="62" t="n"/>
      <c r="BW137" s="62" t="n"/>
      <c r="BX137" s="62">
        <f>BW137-BV137</f>
        <v/>
      </c>
      <c r="BY137" s="64">
        <f>IF(BV137=0,"",BW137/BV137)</f>
        <v/>
      </c>
      <c r="BZ137" s="31" t="n"/>
      <c r="CA137" s="60" t="n"/>
      <c r="CB137" s="60" t="n"/>
      <c r="CC137" s="60">
        <f>CB137-CA137</f>
        <v/>
      </c>
      <c r="CD137" s="61">
        <f>IF(CA137=0,"",CB137/CA137)</f>
        <v/>
      </c>
      <c r="CE137" s="27" t="n"/>
      <c r="CF137" s="62" t="n"/>
      <c r="CG137" s="62" t="n"/>
      <c r="CH137" s="62">
        <f>CG137-CF137</f>
        <v/>
      </c>
      <c r="CI137" s="64">
        <f>IF(CF137=0,"",CG137/CF137)</f>
        <v/>
      </c>
      <c r="CJ137" s="31" t="n"/>
      <c r="CK137" s="60" t="n"/>
      <c r="CL137" s="60" t="n"/>
      <c r="CM137" s="60">
        <f>CL137-CK137</f>
        <v/>
      </c>
      <c r="CN137" s="61">
        <f>IF(CK137=0,"",CL137/CK137)</f>
        <v/>
      </c>
      <c r="CO137" s="27" t="n"/>
      <c r="CP137" s="62" t="n"/>
      <c r="CQ137" s="62" t="n"/>
      <c r="CR137" s="62">
        <f>CQ137-CP137</f>
        <v/>
      </c>
      <c r="CS137" s="64">
        <f>IF(CP137=0,"",CQ137/CP137)</f>
        <v/>
      </c>
      <c r="CT137" s="31" t="n"/>
      <c r="CU137" s="60" t="n"/>
      <c r="CV137" s="60" t="n"/>
      <c r="CW137" s="60">
        <f>CV137-CU137</f>
        <v/>
      </c>
      <c r="CX137" s="61">
        <f>IF(CU137=0,"",CV137/CU137)</f>
        <v/>
      </c>
      <c r="CY137" s="27" t="n"/>
      <c r="CZ137" s="62" t="n"/>
      <c r="DA137" s="62" t="n"/>
      <c r="DB137" s="62">
        <f>DA137-CZ137</f>
        <v/>
      </c>
      <c r="DC137" s="64">
        <f>IF(CZ137=0,"",DA137/CZ137)</f>
        <v/>
      </c>
      <c r="DD137" s="31" t="n"/>
      <c r="DE137" s="60" t="n"/>
      <c r="DF137" s="60" t="n"/>
      <c r="DG137" s="60">
        <f>DF137-DE137</f>
        <v/>
      </c>
      <c r="DH137" s="61">
        <f>IF(DE137=0,"",DF137/DE137)</f>
        <v/>
      </c>
      <c r="DI137" s="27" t="n"/>
      <c r="DJ137" s="62" t="n"/>
      <c r="DK137" s="62" t="n"/>
      <c r="DL137" s="62">
        <f>DK137-DJ137</f>
        <v/>
      </c>
      <c r="DM137" s="64">
        <f>IF(DJ137=0,"",DK137/DJ137)</f>
        <v/>
      </c>
      <c r="DN137" s="31" t="n"/>
      <c r="DO137" s="60" t="n"/>
    </row>
    <row r="138" outlineLevel="1" ht="15" customHeight="1">
      <c r="A138" s="24" t="n"/>
      <c r="B138" s="24" t="n"/>
      <c r="C138" s="24" t="n"/>
      <c r="D138" s="60" t="n"/>
      <c r="E138" s="60" t="n"/>
      <c r="F138" s="60">
        <f>E138-D138</f>
        <v/>
      </c>
      <c r="G138" s="61">
        <f>IF(D138=0,"",E138/D138)</f>
        <v/>
      </c>
      <c r="H138" s="27" t="n"/>
      <c r="I138" s="60" t="n"/>
      <c r="J138" s="60" t="n"/>
      <c r="K138" s="60">
        <f>J138-I138</f>
        <v/>
      </c>
      <c r="L138" s="61">
        <f>IF(I138=0,"",J138/I138)</f>
        <v/>
      </c>
      <c r="M138" s="27" t="n"/>
      <c r="N138" s="62" t="n"/>
      <c r="O138" s="62" t="n"/>
      <c r="P138" s="62">
        <f>O138-N138</f>
        <v/>
      </c>
      <c r="Q138" s="64">
        <f>IF(N138=0,"",O138/N138)</f>
        <v/>
      </c>
      <c r="R138" s="31" t="n"/>
      <c r="S138" s="60" t="n"/>
      <c r="T138" s="60" t="n"/>
      <c r="U138" s="60">
        <f>T138-S138</f>
        <v/>
      </c>
      <c r="V138" s="61">
        <f>IF(S138=0,"",T138/S138)</f>
        <v/>
      </c>
      <c r="W138" s="27" t="n"/>
      <c r="X138" s="62" t="n"/>
      <c r="Y138" s="62" t="n"/>
      <c r="Z138" s="62">
        <f>Y138-X138</f>
        <v/>
      </c>
      <c r="AA138" s="64">
        <f>IF(X138=0,"",Y138/X138)</f>
        <v/>
      </c>
      <c r="AB138" s="31" t="n"/>
      <c r="AC138" s="60" t="n"/>
      <c r="AD138" s="60" t="n"/>
      <c r="AE138" s="60">
        <f>AD138-AC138</f>
        <v/>
      </c>
      <c r="AF138" s="61">
        <f>IF(AC138=0,"",AD138/AC138)</f>
        <v/>
      </c>
      <c r="AG138" s="27" t="n"/>
      <c r="AH138" s="62" t="n"/>
      <c r="AI138" s="62" t="n"/>
      <c r="AJ138" s="62">
        <f>AI138-AH138</f>
        <v/>
      </c>
      <c r="AK138" s="64">
        <f>IF(AH138=0,"",AI138/AH138)</f>
        <v/>
      </c>
      <c r="AL138" s="31" t="n"/>
      <c r="AM138" s="60" t="n"/>
      <c r="AN138" s="60" t="n"/>
      <c r="AO138" s="60">
        <f>AN138-AM138</f>
        <v/>
      </c>
      <c r="AP138" s="61">
        <f>IF(AM138=0,"",AN138/AM138)</f>
        <v/>
      </c>
      <c r="AQ138" s="27" t="n"/>
      <c r="AR138" s="62" t="n"/>
      <c r="AS138" s="62" t="n"/>
      <c r="AT138" s="62">
        <f>AS138-AR138</f>
        <v/>
      </c>
      <c r="AU138" s="64">
        <f>IF(AR138=0,"",AS138/AR138)</f>
        <v/>
      </c>
      <c r="AV138" s="31" t="n"/>
      <c r="AW138" s="60" t="n"/>
      <c r="AX138" s="60" t="n"/>
      <c r="AY138" s="60">
        <f>AX138-AW138</f>
        <v/>
      </c>
      <c r="AZ138" s="61">
        <f>IF(AW138=0,"",AX138/AW138)</f>
        <v/>
      </c>
      <c r="BA138" s="27" t="n"/>
      <c r="BB138" s="62" t="n"/>
      <c r="BC138" s="62" t="n"/>
      <c r="BD138" s="62">
        <f>BC138-BB138</f>
        <v/>
      </c>
      <c r="BE138" s="64">
        <f>IF(BB138=0,"",BC138/BB138)</f>
        <v/>
      </c>
      <c r="BF138" s="31" t="n"/>
      <c r="BG138" s="60" t="n"/>
      <c r="BH138" s="60" t="n"/>
      <c r="BI138" s="60">
        <f>BH138-BG138</f>
        <v/>
      </c>
      <c r="BJ138" s="61">
        <f>IF(BG138=0,"",BH138/BG138)</f>
        <v/>
      </c>
      <c r="BK138" s="27" t="n"/>
      <c r="BL138" s="62" t="n"/>
      <c r="BM138" s="62" t="n"/>
      <c r="BN138" s="62">
        <f>BM138-BL138</f>
        <v/>
      </c>
      <c r="BO138" s="64">
        <f>IF(BL138=0,"",BM138/BL138)</f>
        <v/>
      </c>
      <c r="BP138" s="31" t="n"/>
      <c r="BQ138" s="60" t="n"/>
      <c r="BR138" s="60" t="n"/>
      <c r="BS138" s="60">
        <f>BR138-BQ138</f>
        <v/>
      </c>
      <c r="BT138" s="61">
        <f>IF(BQ138=0,"",BR138/BQ138)</f>
        <v/>
      </c>
      <c r="BU138" s="27" t="n"/>
      <c r="BV138" s="62" t="n"/>
      <c r="BW138" s="62" t="n"/>
      <c r="BX138" s="62">
        <f>BW138-BV138</f>
        <v/>
      </c>
      <c r="BY138" s="64">
        <f>IF(BV138=0,"",BW138/BV138)</f>
        <v/>
      </c>
      <c r="BZ138" s="31" t="n"/>
      <c r="CA138" s="60" t="n"/>
      <c r="CB138" s="60" t="n"/>
      <c r="CC138" s="60">
        <f>CB138-CA138</f>
        <v/>
      </c>
      <c r="CD138" s="61">
        <f>IF(CA138=0,"",CB138/CA138)</f>
        <v/>
      </c>
      <c r="CE138" s="27" t="n"/>
      <c r="CF138" s="62" t="n"/>
      <c r="CG138" s="62" t="n"/>
      <c r="CH138" s="62">
        <f>CG138-CF138</f>
        <v/>
      </c>
      <c r="CI138" s="64">
        <f>IF(CF138=0,"",CG138/CF138)</f>
        <v/>
      </c>
      <c r="CJ138" s="31" t="n"/>
      <c r="CK138" s="60" t="n"/>
      <c r="CL138" s="60" t="n"/>
      <c r="CM138" s="60">
        <f>CL138-CK138</f>
        <v/>
      </c>
      <c r="CN138" s="61">
        <f>IF(CK138=0,"",CL138/CK138)</f>
        <v/>
      </c>
      <c r="CO138" s="27" t="n"/>
      <c r="CP138" s="62" t="n"/>
      <c r="CQ138" s="62" t="n"/>
      <c r="CR138" s="62">
        <f>CQ138-CP138</f>
        <v/>
      </c>
      <c r="CS138" s="64">
        <f>IF(CP138=0,"",CQ138/CP138)</f>
        <v/>
      </c>
      <c r="CT138" s="31" t="n"/>
      <c r="CU138" s="60" t="n"/>
      <c r="CV138" s="60" t="n"/>
      <c r="CW138" s="60">
        <f>CV138-CU138</f>
        <v/>
      </c>
      <c r="CX138" s="61">
        <f>IF(CU138=0,"",CV138/CU138)</f>
        <v/>
      </c>
      <c r="CY138" s="27" t="n"/>
      <c r="CZ138" s="62" t="n"/>
      <c r="DA138" s="62" t="n"/>
      <c r="DB138" s="62">
        <f>DA138-CZ138</f>
        <v/>
      </c>
      <c r="DC138" s="64">
        <f>IF(CZ138=0,"",DA138/CZ138)</f>
        <v/>
      </c>
      <c r="DD138" s="31" t="n"/>
      <c r="DE138" s="60" t="n"/>
      <c r="DF138" s="60" t="n"/>
      <c r="DG138" s="60">
        <f>DF138-DE138</f>
        <v/>
      </c>
      <c r="DH138" s="61">
        <f>IF(DE138=0,"",DF138/DE138)</f>
        <v/>
      </c>
      <c r="DI138" s="27" t="n"/>
      <c r="DJ138" s="62" t="n"/>
      <c r="DK138" s="62" t="n"/>
      <c r="DL138" s="62">
        <f>DK138-DJ138</f>
        <v/>
      </c>
      <c r="DM138" s="64">
        <f>IF(DJ138=0,"",DK138/DJ138)</f>
        <v/>
      </c>
      <c r="DN138" s="31" t="n"/>
      <c r="DO138" s="60" t="n"/>
    </row>
    <row r="139" outlineLevel="1" ht="15" customHeight="1">
      <c r="A139" s="24" t="n"/>
      <c r="B139" s="24" t="n"/>
      <c r="C139" s="24" t="n"/>
      <c r="D139" s="60" t="n"/>
      <c r="E139" s="60" t="n"/>
      <c r="F139" s="60">
        <f>E139-D139</f>
        <v/>
      </c>
      <c r="G139" s="61">
        <f>IF(D139=0,"",E139/D139)</f>
        <v/>
      </c>
      <c r="H139" s="27" t="n"/>
      <c r="I139" s="60" t="n"/>
      <c r="J139" s="60" t="n"/>
      <c r="K139" s="60">
        <f>J139-I139</f>
        <v/>
      </c>
      <c r="L139" s="61">
        <f>IF(I139=0,"",J139/I139)</f>
        <v/>
      </c>
      <c r="M139" s="27" t="n"/>
      <c r="N139" s="62" t="n"/>
      <c r="O139" s="62" t="n"/>
      <c r="P139" s="62">
        <f>O139-N139</f>
        <v/>
      </c>
      <c r="Q139" s="64">
        <f>IF(N139=0,"",O139/N139)</f>
        <v/>
      </c>
      <c r="R139" s="31" t="n"/>
      <c r="S139" s="60" t="n"/>
      <c r="T139" s="60" t="n"/>
      <c r="U139" s="60">
        <f>T139-S139</f>
        <v/>
      </c>
      <c r="V139" s="61">
        <f>IF(S139=0,"",T139/S139)</f>
        <v/>
      </c>
      <c r="W139" s="27" t="n"/>
      <c r="X139" s="62" t="n"/>
      <c r="Y139" s="62" t="n"/>
      <c r="Z139" s="62">
        <f>Y139-X139</f>
        <v/>
      </c>
      <c r="AA139" s="64">
        <f>IF(X139=0,"",Y139/X139)</f>
        <v/>
      </c>
      <c r="AB139" s="31" t="n"/>
      <c r="AC139" s="60" t="n"/>
      <c r="AD139" s="60" t="n"/>
      <c r="AE139" s="60">
        <f>AD139-AC139</f>
        <v/>
      </c>
      <c r="AF139" s="61">
        <f>IF(AC139=0,"",AD139/AC139)</f>
        <v/>
      </c>
      <c r="AG139" s="27" t="n"/>
      <c r="AH139" s="62" t="n"/>
      <c r="AI139" s="62" t="n"/>
      <c r="AJ139" s="62">
        <f>AI139-AH139</f>
        <v/>
      </c>
      <c r="AK139" s="64">
        <f>IF(AH139=0,"",AI139/AH139)</f>
        <v/>
      </c>
      <c r="AL139" s="31" t="n"/>
      <c r="AM139" s="60" t="n"/>
      <c r="AN139" s="60" t="n"/>
      <c r="AO139" s="60">
        <f>AN139-AM139</f>
        <v/>
      </c>
      <c r="AP139" s="61">
        <f>IF(AM139=0,"",AN139/AM139)</f>
        <v/>
      </c>
      <c r="AQ139" s="27" t="n"/>
      <c r="AR139" s="62" t="n"/>
      <c r="AS139" s="62" t="n"/>
      <c r="AT139" s="62">
        <f>AS139-AR139</f>
        <v/>
      </c>
      <c r="AU139" s="64">
        <f>IF(AR139=0,"",AS139/AR139)</f>
        <v/>
      </c>
      <c r="AV139" s="31" t="n"/>
      <c r="AW139" s="60" t="n"/>
      <c r="AX139" s="60" t="n"/>
      <c r="AY139" s="60">
        <f>AX139-AW139</f>
        <v/>
      </c>
      <c r="AZ139" s="61">
        <f>IF(AW139=0,"",AX139/AW139)</f>
        <v/>
      </c>
      <c r="BA139" s="27" t="n"/>
      <c r="BB139" s="62" t="n"/>
      <c r="BC139" s="62" t="n"/>
      <c r="BD139" s="62">
        <f>BC139-BB139</f>
        <v/>
      </c>
      <c r="BE139" s="64">
        <f>IF(BB139=0,"",BC139/BB139)</f>
        <v/>
      </c>
      <c r="BF139" s="31" t="n"/>
      <c r="BG139" s="60" t="n"/>
      <c r="BH139" s="60" t="n"/>
      <c r="BI139" s="60">
        <f>BH139-BG139</f>
        <v/>
      </c>
      <c r="BJ139" s="61">
        <f>IF(BG139=0,"",BH139/BG139)</f>
        <v/>
      </c>
      <c r="BK139" s="27" t="n"/>
      <c r="BL139" s="62" t="n"/>
      <c r="BM139" s="62" t="n"/>
      <c r="BN139" s="62">
        <f>BM139-BL139</f>
        <v/>
      </c>
      <c r="BO139" s="64">
        <f>IF(BL139=0,"",BM139/BL139)</f>
        <v/>
      </c>
      <c r="BP139" s="31" t="n"/>
      <c r="BQ139" s="60" t="n"/>
      <c r="BR139" s="60" t="n"/>
      <c r="BS139" s="60">
        <f>BR139-BQ139</f>
        <v/>
      </c>
      <c r="BT139" s="61">
        <f>IF(BQ139=0,"",BR139/BQ139)</f>
        <v/>
      </c>
      <c r="BU139" s="27" t="n"/>
      <c r="BV139" s="62" t="n"/>
      <c r="BW139" s="62" t="n"/>
      <c r="BX139" s="62">
        <f>BW139-BV139</f>
        <v/>
      </c>
      <c r="BY139" s="64">
        <f>IF(BV139=0,"",BW139/BV139)</f>
        <v/>
      </c>
      <c r="BZ139" s="31" t="n"/>
      <c r="CA139" s="60" t="n"/>
      <c r="CB139" s="60" t="n"/>
      <c r="CC139" s="60">
        <f>CB139-CA139</f>
        <v/>
      </c>
      <c r="CD139" s="61">
        <f>IF(CA139=0,"",CB139/CA139)</f>
        <v/>
      </c>
      <c r="CE139" s="27" t="n"/>
      <c r="CF139" s="62" t="n"/>
      <c r="CG139" s="62" t="n"/>
      <c r="CH139" s="62">
        <f>CG139-CF139</f>
        <v/>
      </c>
      <c r="CI139" s="64">
        <f>IF(CF139=0,"",CG139/CF139)</f>
        <v/>
      </c>
      <c r="CJ139" s="31" t="n"/>
      <c r="CK139" s="60" t="n"/>
      <c r="CL139" s="60" t="n"/>
      <c r="CM139" s="60">
        <f>CL139-CK139</f>
        <v/>
      </c>
      <c r="CN139" s="61">
        <f>IF(CK139=0,"",CL139/CK139)</f>
        <v/>
      </c>
      <c r="CO139" s="27" t="n"/>
      <c r="CP139" s="62" t="n"/>
      <c r="CQ139" s="62" t="n"/>
      <c r="CR139" s="62">
        <f>CQ139-CP139</f>
        <v/>
      </c>
      <c r="CS139" s="64">
        <f>IF(CP139=0,"",CQ139/CP139)</f>
        <v/>
      </c>
      <c r="CT139" s="31" t="n"/>
      <c r="CU139" s="60" t="n"/>
      <c r="CV139" s="60" t="n"/>
      <c r="CW139" s="60">
        <f>CV139-CU139</f>
        <v/>
      </c>
      <c r="CX139" s="61">
        <f>IF(CU139=0,"",CV139/CU139)</f>
        <v/>
      </c>
      <c r="CY139" s="27" t="n"/>
      <c r="CZ139" s="62" t="n"/>
      <c r="DA139" s="62" t="n"/>
      <c r="DB139" s="62">
        <f>DA139-CZ139</f>
        <v/>
      </c>
      <c r="DC139" s="64">
        <f>IF(CZ139=0,"",DA139/CZ139)</f>
        <v/>
      </c>
      <c r="DD139" s="31" t="n"/>
      <c r="DE139" s="60" t="n"/>
      <c r="DF139" s="60" t="n"/>
      <c r="DG139" s="60">
        <f>DF139-DE139</f>
        <v/>
      </c>
      <c r="DH139" s="61">
        <f>IF(DE139=0,"",DF139/DE139)</f>
        <v/>
      </c>
      <c r="DI139" s="27" t="n"/>
      <c r="DJ139" s="62" t="n"/>
      <c r="DK139" s="62" t="n"/>
      <c r="DL139" s="62">
        <f>DK139-DJ139</f>
        <v/>
      </c>
      <c r="DM139" s="64">
        <f>IF(DJ139=0,"",DK139/DJ139)</f>
        <v/>
      </c>
      <c r="DN139" s="31" t="n"/>
      <c r="DO139" s="60" t="n"/>
    </row>
    <row r="140" outlineLevel="1" ht="15" customHeight="1">
      <c r="A140" s="24" t="n"/>
      <c r="B140" s="24" t="n"/>
      <c r="C140" s="24" t="n"/>
      <c r="D140" s="60" t="n"/>
      <c r="E140" s="60" t="n"/>
      <c r="F140" s="60">
        <f>E140-D140</f>
        <v/>
      </c>
      <c r="G140" s="61">
        <f>IF(D140=0,"",E140/D140)</f>
        <v/>
      </c>
      <c r="H140" s="27" t="n"/>
      <c r="I140" s="60" t="n"/>
      <c r="J140" s="60" t="n"/>
      <c r="K140" s="60">
        <f>J140-I140</f>
        <v/>
      </c>
      <c r="L140" s="61">
        <f>IF(I140=0,"",J140/I140)</f>
        <v/>
      </c>
      <c r="M140" s="27" t="n"/>
      <c r="N140" s="62" t="n"/>
      <c r="O140" s="62" t="n"/>
      <c r="P140" s="62">
        <f>O140-N140</f>
        <v/>
      </c>
      <c r="Q140" s="64">
        <f>IF(N140=0,"",O140/N140)</f>
        <v/>
      </c>
      <c r="R140" s="31" t="n"/>
      <c r="S140" s="60" t="n"/>
      <c r="T140" s="60" t="n"/>
      <c r="U140" s="60">
        <f>T140-S140</f>
        <v/>
      </c>
      <c r="V140" s="61">
        <f>IF(S140=0,"",T140/S140)</f>
        <v/>
      </c>
      <c r="W140" s="27" t="n"/>
      <c r="X140" s="62" t="n"/>
      <c r="Y140" s="62" t="n"/>
      <c r="Z140" s="62">
        <f>Y140-X140</f>
        <v/>
      </c>
      <c r="AA140" s="64">
        <f>IF(X140=0,"",Y140/X140)</f>
        <v/>
      </c>
      <c r="AB140" s="31" t="n"/>
      <c r="AC140" s="60" t="n"/>
      <c r="AD140" s="60" t="n"/>
      <c r="AE140" s="60">
        <f>AD140-AC140</f>
        <v/>
      </c>
      <c r="AF140" s="61">
        <f>IF(AC140=0,"",AD140/AC140)</f>
        <v/>
      </c>
      <c r="AG140" s="27" t="n"/>
      <c r="AH140" s="62" t="n"/>
      <c r="AI140" s="62" t="n"/>
      <c r="AJ140" s="62">
        <f>AI140-AH140</f>
        <v/>
      </c>
      <c r="AK140" s="64">
        <f>IF(AH140=0,"",AI140/AH140)</f>
        <v/>
      </c>
      <c r="AL140" s="31" t="n"/>
      <c r="AM140" s="60" t="n"/>
      <c r="AN140" s="60" t="n"/>
      <c r="AO140" s="60">
        <f>AN140-AM140</f>
        <v/>
      </c>
      <c r="AP140" s="61">
        <f>IF(AM140=0,"",AN140/AM140)</f>
        <v/>
      </c>
      <c r="AQ140" s="27" t="n"/>
      <c r="AR140" s="62" t="n"/>
      <c r="AS140" s="62" t="n"/>
      <c r="AT140" s="62">
        <f>AS140-AR140</f>
        <v/>
      </c>
      <c r="AU140" s="64">
        <f>IF(AR140=0,"",AS140/AR140)</f>
        <v/>
      </c>
      <c r="AV140" s="31" t="n"/>
      <c r="AW140" s="60" t="n"/>
      <c r="AX140" s="60" t="n"/>
      <c r="AY140" s="60">
        <f>AX140-AW140</f>
        <v/>
      </c>
      <c r="AZ140" s="61">
        <f>IF(AW140=0,"",AX140/AW140)</f>
        <v/>
      </c>
      <c r="BA140" s="27" t="n"/>
      <c r="BB140" s="62" t="n"/>
      <c r="BC140" s="62" t="n"/>
      <c r="BD140" s="62">
        <f>BC140-BB140</f>
        <v/>
      </c>
      <c r="BE140" s="64">
        <f>IF(BB140=0,"",BC140/BB140)</f>
        <v/>
      </c>
      <c r="BF140" s="31" t="n"/>
      <c r="BG140" s="60" t="n"/>
      <c r="BH140" s="60" t="n"/>
      <c r="BI140" s="60">
        <f>BH140-BG140</f>
        <v/>
      </c>
      <c r="BJ140" s="61">
        <f>IF(BG140=0,"",BH140/BG140)</f>
        <v/>
      </c>
      <c r="BK140" s="27" t="n"/>
      <c r="BL140" s="62" t="n"/>
      <c r="BM140" s="62" t="n"/>
      <c r="BN140" s="62">
        <f>BM140-BL140</f>
        <v/>
      </c>
      <c r="BO140" s="64">
        <f>IF(BL140=0,"",BM140/BL140)</f>
        <v/>
      </c>
      <c r="BP140" s="31" t="n"/>
      <c r="BQ140" s="60" t="n"/>
      <c r="BR140" s="60" t="n"/>
      <c r="BS140" s="60">
        <f>BR140-BQ140</f>
        <v/>
      </c>
      <c r="BT140" s="61">
        <f>IF(BQ140=0,"",BR140/BQ140)</f>
        <v/>
      </c>
      <c r="BU140" s="27" t="n"/>
      <c r="BV140" s="62" t="n"/>
      <c r="BW140" s="62" t="n"/>
      <c r="BX140" s="62">
        <f>BW140-BV140</f>
        <v/>
      </c>
      <c r="BY140" s="64">
        <f>IF(BV140=0,"",BW140/BV140)</f>
        <v/>
      </c>
      <c r="BZ140" s="31" t="n"/>
      <c r="CA140" s="60" t="n"/>
      <c r="CB140" s="60" t="n"/>
      <c r="CC140" s="60">
        <f>CB140-CA140</f>
        <v/>
      </c>
      <c r="CD140" s="61">
        <f>IF(CA140=0,"",CB140/CA140)</f>
        <v/>
      </c>
      <c r="CE140" s="27" t="n"/>
      <c r="CF140" s="62" t="n"/>
      <c r="CG140" s="62" t="n"/>
      <c r="CH140" s="62">
        <f>CG140-CF140</f>
        <v/>
      </c>
      <c r="CI140" s="64">
        <f>IF(CF140=0,"",CG140/CF140)</f>
        <v/>
      </c>
      <c r="CJ140" s="31" t="n"/>
      <c r="CK140" s="60" t="n"/>
      <c r="CL140" s="60" t="n"/>
      <c r="CM140" s="60">
        <f>CL140-CK140</f>
        <v/>
      </c>
      <c r="CN140" s="61">
        <f>IF(CK140=0,"",CL140/CK140)</f>
        <v/>
      </c>
      <c r="CO140" s="27" t="n"/>
      <c r="CP140" s="62" t="n"/>
      <c r="CQ140" s="62" t="n"/>
      <c r="CR140" s="62">
        <f>CQ140-CP140</f>
        <v/>
      </c>
      <c r="CS140" s="64">
        <f>IF(CP140=0,"",CQ140/CP140)</f>
        <v/>
      </c>
      <c r="CT140" s="31" t="n"/>
      <c r="CU140" s="60" t="n"/>
      <c r="CV140" s="60" t="n"/>
      <c r="CW140" s="60">
        <f>CV140-CU140</f>
        <v/>
      </c>
      <c r="CX140" s="61">
        <f>IF(CU140=0,"",CV140/CU140)</f>
        <v/>
      </c>
      <c r="CY140" s="27" t="n"/>
      <c r="CZ140" s="62" t="n"/>
      <c r="DA140" s="62" t="n"/>
      <c r="DB140" s="62">
        <f>DA140-CZ140</f>
        <v/>
      </c>
      <c r="DC140" s="64">
        <f>IF(CZ140=0,"",DA140/CZ140)</f>
        <v/>
      </c>
      <c r="DD140" s="31" t="n"/>
      <c r="DE140" s="60" t="n"/>
      <c r="DF140" s="60" t="n"/>
      <c r="DG140" s="60">
        <f>DF140-DE140</f>
        <v/>
      </c>
      <c r="DH140" s="61">
        <f>IF(DE140=0,"",DF140/DE140)</f>
        <v/>
      </c>
      <c r="DI140" s="27" t="n"/>
      <c r="DJ140" s="62" t="n"/>
      <c r="DK140" s="62" t="n"/>
      <c r="DL140" s="62">
        <f>DK140-DJ140</f>
        <v/>
      </c>
      <c r="DM140" s="64">
        <f>IF(DJ140=0,"",DK140/DJ140)</f>
        <v/>
      </c>
      <c r="DN140" s="31" t="n"/>
      <c r="DO140" s="60" t="n"/>
    </row>
    <row r="141" outlineLevel="1" ht="15" customHeight="1">
      <c r="A141" s="24" t="n"/>
      <c r="B141" s="24" t="n"/>
      <c r="C141" s="24" t="n"/>
      <c r="D141" s="60" t="n"/>
      <c r="E141" s="60" t="n"/>
      <c r="F141" s="60">
        <f>E141-D141</f>
        <v/>
      </c>
      <c r="G141" s="61">
        <f>IF(D141=0,"",E141/D141)</f>
        <v/>
      </c>
      <c r="H141" s="27" t="n"/>
      <c r="I141" s="60" t="n"/>
      <c r="J141" s="60" t="n"/>
      <c r="K141" s="60">
        <f>J141-I141</f>
        <v/>
      </c>
      <c r="L141" s="61">
        <f>IF(I141=0,"",J141/I141)</f>
        <v/>
      </c>
      <c r="M141" s="27" t="n"/>
      <c r="N141" s="62" t="n"/>
      <c r="O141" s="62" t="n"/>
      <c r="P141" s="62">
        <f>O141-N141</f>
        <v/>
      </c>
      <c r="Q141" s="64">
        <f>IF(N141=0,"",O141/N141)</f>
        <v/>
      </c>
      <c r="R141" s="31" t="n"/>
      <c r="S141" s="60" t="n"/>
      <c r="T141" s="60" t="n"/>
      <c r="U141" s="60">
        <f>T141-S141</f>
        <v/>
      </c>
      <c r="V141" s="61">
        <f>IF(S141=0,"",T141/S141)</f>
        <v/>
      </c>
      <c r="W141" s="27" t="n"/>
      <c r="X141" s="62" t="n"/>
      <c r="Y141" s="62" t="n"/>
      <c r="Z141" s="62">
        <f>Y141-X141</f>
        <v/>
      </c>
      <c r="AA141" s="64">
        <f>IF(X141=0,"",Y141/X141)</f>
        <v/>
      </c>
      <c r="AB141" s="31" t="n"/>
      <c r="AC141" s="60" t="n"/>
      <c r="AD141" s="60" t="n"/>
      <c r="AE141" s="60">
        <f>AD141-AC141</f>
        <v/>
      </c>
      <c r="AF141" s="61">
        <f>IF(AC141=0,"",AD141/AC141)</f>
        <v/>
      </c>
      <c r="AG141" s="27" t="n"/>
      <c r="AH141" s="62" t="n"/>
      <c r="AI141" s="62" t="n"/>
      <c r="AJ141" s="62">
        <f>AI141-AH141</f>
        <v/>
      </c>
      <c r="AK141" s="64">
        <f>IF(AH141=0,"",AI141/AH141)</f>
        <v/>
      </c>
      <c r="AL141" s="31" t="n"/>
      <c r="AM141" s="60" t="n"/>
      <c r="AN141" s="60" t="n"/>
      <c r="AO141" s="60">
        <f>AN141-AM141</f>
        <v/>
      </c>
      <c r="AP141" s="61">
        <f>IF(AM141=0,"",AN141/AM141)</f>
        <v/>
      </c>
      <c r="AQ141" s="27" t="n"/>
      <c r="AR141" s="62" t="n"/>
      <c r="AS141" s="62" t="n"/>
      <c r="AT141" s="62">
        <f>AS141-AR141</f>
        <v/>
      </c>
      <c r="AU141" s="64">
        <f>IF(AR141=0,"",AS141/AR141)</f>
        <v/>
      </c>
      <c r="AV141" s="31" t="n"/>
      <c r="AW141" s="60" t="n"/>
      <c r="AX141" s="60" t="n"/>
      <c r="AY141" s="60">
        <f>AX141-AW141</f>
        <v/>
      </c>
      <c r="AZ141" s="61">
        <f>IF(AW141=0,"",AX141/AW141)</f>
        <v/>
      </c>
      <c r="BA141" s="27" t="n"/>
      <c r="BB141" s="62" t="n"/>
      <c r="BC141" s="62" t="n"/>
      <c r="BD141" s="62">
        <f>BC141-BB141</f>
        <v/>
      </c>
      <c r="BE141" s="64">
        <f>IF(BB141=0,"",BC141/BB141)</f>
        <v/>
      </c>
      <c r="BF141" s="31" t="n"/>
      <c r="BG141" s="60" t="n"/>
      <c r="BH141" s="60" t="n"/>
      <c r="BI141" s="60">
        <f>BH141-BG141</f>
        <v/>
      </c>
      <c r="BJ141" s="61">
        <f>IF(BG141=0,"",BH141/BG141)</f>
        <v/>
      </c>
      <c r="BK141" s="27" t="n"/>
      <c r="BL141" s="62" t="n"/>
      <c r="BM141" s="62" t="n"/>
      <c r="BN141" s="62">
        <f>BM141-BL141</f>
        <v/>
      </c>
      <c r="BO141" s="64">
        <f>IF(BL141=0,"",BM141/BL141)</f>
        <v/>
      </c>
      <c r="BP141" s="31" t="n"/>
      <c r="BQ141" s="60" t="n"/>
      <c r="BR141" s="60" t="n"/>
      <c r="BS141" s="60">
        <f>BR141-BQ141</f>
        <v/>
      </c>
      <c r="BT141" s="61">
        <f>IF(BQ141=0,"",BR141/BQ141)</f>
        <v/>
      </c>
      <c r="BU141" s="27" t="n"/>
      <c r="BV141" s="62" t="n"/>
      <c r="BW141" s="62" t="n"/>
      <c r="BX141" s="62">
        <f>BW141-BV141</f>
        <v/>
      </c>
      <c r="BY141" s="64">
        <f>IF(BV141=0,"",BW141/BV141)</f>
        <v/>
      </c>
      <c r="BZ141" s="31" t="n"/>
      <c r="CA141" s="60" t="n"/>
      <c r="CB141" s="60" t="n"/>
      <c r="CC141" s="60">
        <f>CB141-CA141</f>
        <v/>
      </c>
      <c r="CD141" s="61">
        <f>IF(CA141=0,"",CB141/CA141)</f>
        <v/>
      </c>
      <c r="CE141" s="27" t="n"/>
      <c r="CF141" s="62" t="n"/>
      <c r="CG141" s="62" t="n"/>
      <c r="CH141" s="62">
        <f>CG141-CF141</f>
        <v/>
      </c>
      <c r="CI141" s="64">
        <f>IF(CF141=0,"",CG141/CF141)</f>
        <v/>
      </c>
      <c r="CJ141" s="31" t="n"/>
      <c r="CK141" s="60" t="n"/>
      <c r="CL141" s="60" t="n"/>
      <c r="CM141" s="60">
        <f>CL141-CK141</f>
        <v/>
      </c>
      <c r="CN141" s="61">
        <f>IF(CK141=0,"",CL141/CK141)</f>
        <v/>
      </c>
      <c r="CO141" s="27" t="n"/>
      <c r="CP141" s="62" t="n"/>
      <c r="CQ141" s="62" t="n"/>
      <c r="CR141" s="62">
        <f>CQ141-CP141</f>
        <v/>
      </c>
      <c r="CS141" s="64">
        <f>IF(CP141=0,"",CQ141/CP141)</f>
        <v/>
      </c>
      <c r="CT141" s="31" t="n"/>
      <c r="CU141" s="60" t="n"/>
      <c r="CV141" s="60" t="n"/>
      <c r="CW141" s="60">
        <f>CV141-CU141</f>
        <v/>
      </c>
      <c r="CX141" s="61">
        <f>IF(CU141=0,"",CV141/CU141)</f>
        <v/>
      </c>
      <c r="CY141" s="27" t="n"/>
      <c r="CZ141" s="62" t="n"/>
      <c r="DA141" s="62" t="n"/>
      <c r="DB141" s="62">
        <f>DA141-CZ141</f>
        <v/>
      </c>
      <c r="DC141" s="64">
        <f>IF(CZ141=0,"",DA141/CZ141)</f>
        <v/>
      </c>
      <c r="DD141" s="31" t="n"/>
      <c r="DE141" s="60" t="n"/>
      <c r="DF141" s="60" t="n"/>
      <c r="DG141" s="60">
        <f>DF141-DE141</f>
        <v/>
      </c>
      <c r="DH141" s="61">
        <f>IF(DE141=0,"",DF141/DE141)</f>
        <v/>
      </c>
      <c r="DI141" s="27" t="n"/>
      <c r="DJ141" s="62" t="n"/>
      <c r="DK141" s="62" t="n"/>
      <c r="DL141" s="62">
        <f>DK141-DJ141</f>
        <v/>
      </c>
      <c r="DM141" s="64">
        <f>IF(DJ141=0,"",DK141/DJ141)</f>
        <v/>
      </c>
      <c r="DN141" s="31" t="n"/>
      <c r="DO141" s="60" t="n"/>
    </row>
    <row r="142" outlineLevel="1" ht="15" customHeight="1">
      <c r="A142" s="24" t="n"/>
      <c r="B142" s="24" t="n"/>
      <c r="C142" s="24" t="n"/>
      <c r="D142" s="60" t="n"/>
      <c r="E142" s="60" t="n"/>
      <c r="F142" s="60">
        <f>E142-D142</f>
        <v/>
      </c>
      <c r="G142" s="61">
        <f>IF(D142=0,"",E142/D142)</f>
        <v/>
      </c>
      <c r="H142" s="27" t="n"/>
      <c r="I142" s="60" t="n"/>
      <c r="J142" s="60" t="n"/>
      <c r="K142" s="60">
        <f>J142-I142</f>
        <v/>
      </c>
      <c r="L142" s="61">
        <f>IF(I142=0,"",J142/I142)</f>
        <v/>
      </c>
      <c r="M142" s="27" t="n"/>
      <c r="N142" s="62" t="n"/>
      <c r="O142" s="62" t="n"/>
      <c r="P142" s="62">
        <f>O142-N142</f>
        <v/>
      </c>
      <c r="Q142" s="64">
        <f>IF(N142=0,"",O142/N142)</f>
        <v/>
      </c>
      <c r="R142" s="31" t="n"/>
      <c r="S142" s="60" t="n"/>
      <c r="T142" s="60" t="n"/>
      <c r="U142" s="60">
        <f>T142-S142</f>
        <v/>
      </c>
      <c r="V142" s="61">
        <f>IF(S142=0,"",T142/S142)</f>
        <v/>
      </c>
      <c r="W142" s="27" t="n"/>
      <c r="X142" s="62" t="n"/>
      <c r="Y142" s="62" t="n"/>
      <c r="Z142" s="62">
        <f>Y142-X142</f>
        <v/>
      </c>
      <c r="AA142" s="64">
        <f>IF(X142=0,"",Y142/X142)</f>
        <v/>
      </c>
      <c r="AB142" s="31" t="n"/>
      <c r="AC142" s="60" t="n"/>
      <c r="AD142" s="60" t="n"/>
      <c r="AE142" s="60">
        <f>AD142-AC142</f>
        <v/>
      </c>
      <c r="AF142" s="61">
        <f>IF(AC142=0,"",AD142/AC142)</f>
        <v/>
      </c>
      <c r="AG142" s="27" t="n"/>
      <c r="AH142" s="62" t="n"/>
      <c r="AI142" s="62" t="n"/>
      <c r="AJ142" s="62">
        <f>AI142-AH142</f>
        <v/>
      </c>
      <c r="AK142" s="64">
        <f>IF(AH142=0,"",AI142/AH142)</f>
        <v/>
      </c>
      <c r="AL142" s="31" t="n"/>
      <c r="AM142" s="60" t="n"/>
      <c r="AN142" s="60" t="n"/>
      <c r="AO142" s="60">
        <f>AN142-AM142</f>
        <v/>
      </c>
      <c r="AP142" s="61">
        <f>IF(AM142=0,"",AN142/AM142)</f>
        <v/>
      </c>
      <c r="AQ142" s="27" t="n"/>
      <c r="AR142" s="62" t="n"/>
      <c r="AS142" s="62" t="n"/>
      <c r="AT142" s="62">
        <f>AS142-AR142</f>
        <v/>
      </c>
      <c r="AU142" s="64">
        <f>IF(AR142=0,"",AS142/AR142)</f>
        <v/>
      </c>
      <c r="AV142" s="31" t="n"/>
      <c r="AW142" s="60" t="n"/>
      <c r="AX142" s="60" t="n"/>
      <c r="AY142" s="60">
        <f>AX142-AW142</f>
        <v/>
      </c>
      <c r="AZ142" s="61">
        <f>IF(AW142=0,"",AX142/AW142)</f>
        <v/>
      </c>
      <c r="BA142" s="27" t="n"/>
      <c r="BB142" s="62" t="n"/>
      <c r="BC142" s="62" t="n"/>
      <c r="BD142" s="62">
        <f>BC142-BB142</f>
        <v/>
      </c>
      <c r="BE142" s="64">
        <f>IF(BB142=0,"",BC142/BB142)</f>
        <v/>
      </c>
      <c r="BF142" s="31" t="n"/>
      <c r="BG142" s="60" t="n"/>
      <c r="BH142" s="60" t="n"/>
      <c r="BI142" s="60">
        <f>BH142-BG142</f>
        <v/>
      </c>
      <c r="BJ142" s="61">
        <f>IF(BG142=0,"",BH142/BG142)</f>
        <v/>
      </c>
      <c r="BK142" s="27" t="n"/>
      <c r="BL142" s="62" t="n"/>
      <c r="BM142" s="62" t="n"/>
      <c r="BN142" s="62">
        <f>BM142-BL142</f>
        <v/>
      </c>
      <c r="BO142" s="64">
        <f>IF(BL142=0,"",BM142/BL142)</f>
        <v/>
      </c>
      <c r="BP142" s="31" t="n"/>
      <c r="BQ142" s="60" t="n"/>
      <c r="BR142" s="60" t="n"/>
      <c r="BS142" s="60">
        <f>BR142-BQ142</f>
        <v/>
      </c>
      <c r="BT142" s="61">
        <f>IF(BQ142=0,"",BR142/BQ142)</f>
        <v/>
      </c>
      <c r="BU142" s="27" t="n"/>
      <c r="BV142" s="62" t="n"/>
      <c r="BW142" s="62" t="n"/>
      <c r="BX142" s="62">
        <f>BW142-BV142</f>
        <v/>
      </c>
      <c r="BY142" s="64">
        <f>IF(BV142=0,"",BW142/BV142)</f>
        <v/>
      </c>
      <c r="BZ142" s="31" t="n"/>
      <c r="CA142" s="60" t="n"/>
      <c r="CB142" s="60" t="n"/>
      <c r="CC142" s="60">
        <f>CB142-CA142</f>
        <v/>
      </c>
      <c r="CD142" s="61">
        <f>IF(CA142=0,"",CB142/CA142)</f>
        <v/>
      </c>
      <c r="CE142" s="27" t="n"/>
      <c r="CF142" s="62" t="n"/>
      <c r="CG142" s="62" t="n"/>
      <c r="CH142" s="62">
        <f>CG142-CF142</f>
        <v/>
      </c>
      <c r="CI142" s="64">
        <f>IF(CF142=0,"",CG142/CF142)</f>
        <v/>
      </c>
      <c r="CJ142" s="31" t="n"/>
      <c r="CK142" s="60" t="n"/>
      <c r="CL142" s="60" t="n"/>
      <c r="CM142" s="60">
        <f>CL142-CK142</f>
        <v/>
      </c>
      <c r="CN142" s="61">
        <f>IF(CK142=0,"",CL142/CK142)</f>
        <v/>
      </c>
      <c r="CO142" s="27" t="n"/>
      <c r="CP142" s="62" t="n"/>
      <c r="CQ142" s="62" t="n"/>
      <c r="CR142" s="62">
        <f>CQ142-CP142</f>
        <v/>
      </c>
      <c r="CS142" s="64">
        <f>IF(CP142=0,"",CQ142/CP142)</f>
        <v/>
      </c>
      <c r="CT142" s="31" t="n"/>
      <c r="CU142" s="60" t="n"/>
      <c r="CV142" s="60" t="n"/>
      <c r="CW142" s="60">
        <f>CV142-CU142</f>
        <v/>
      </c>
      <c r="CX142" s="61">
        <f>IF(CU142=0,"",CV142/CU142)</f>
        <v/>
      </c>
      <c r="CY142" s="27" t="n"/>
      <c r="CZ142" s="62" t="n"/>
      <c r="DA142" s="62" t="n"/>
      <c r="DB142" s="62">
        <f>DA142-CZ142</f>
        <v/>
      </c>
      <c r="DC142" s="64">
        <f>IF(CZ142=0,"",DA142/CZ142)</f>
        <v/>
      </c>
      <c r="DD142" s="31" t="n"/>
      <c r="DE142" s="60" t="n"/>
      <c r="DF142" s="60" t="n"/>
      <c r="DG142" s="60">
        <f>DF142-DE142</f>
        <v/>
      </c>
      <c r="DH142" s="61">
        <f>IF(DE142=0,"",DF142/DE142)</f>
        <v/>
      </c>
      <c r="DI142" s="27" t="n"/>
      <c r="DJ142" s="62" t="n"/>
      <c r="DK142" s="62" t="n"/>
      <c r="DL142" s="62">
        <f>DK142-DJ142</f>
        <v/>
      </c>
      <c r="DM142" s="64">
        <f>IF(DJ142=0,"",DK142/DJ142)</f>
        <v/>
      </c>
      <c r="DN142" s="31" t="n"/>
      <c r="DO142" s="60" t="n"/>
    </row>
    <row r="143" outlineLevel="1" ht="15" customHeight="1">
      <c r="A143" s="24" t="n"/>
      <c r="B143" s="24" t="n"/>
      <c r="C143" s="24" t="n"/>
      <c r="D143" s="60" t="n"/>
      <c r="E143" s="60" t="n"/>
      <c r="F143" s="60">
        <f>E143-D143</f>
        <v/>
      </c>
      <c r="G143" s="61">
        <f>IF(D143=0,"",E143/D143)</f>
        <v/>
      </c>
      <c r="H143" s="27" t="n"/>
      <c r="I143" s="60" t="n"/>
      <c r="J143" s="60" t="n"/>
      <c r="K143" s="60">
        <f>J143-I143</f>
        <v/>
      </c>
      <c r="L143" s="61">
        <f>IF(I143=0,"",J143/I143)</f>
        <v/>
      </c>
      <c r="M143" s="27" t="n"/>
      <c r="N143" s="62" t="n"/>
      <c r="O143" s="62" t="n"/>
      <c r="P143" s="62">
        <f>O143-N143</f>
        <v/>
      </c>
      <c r="Q143" s="64">
        <f>IF(N143=0,"",O143/N143)</f>
        <v/>
      </c>
      <c r="R143" s="31" t="n"/>
      <c r="S143" s="60" t="n"/>
      <c r="T143" s="60" t="n"/>
      <c r="U143" s="60">
        <f>T143-S143</f>
        <v/>
      </c>
      <c r="V143" s="61">
        <f>IF(S143=0,"",T143/S143)</f>
        <v/>
      </c>
      <c r="W143" s="27" t="n"/>
      <c r="X143" s="62" t="n"/>
      <c r="Y143" s="62" t="n"/>
      <c r="Z143" s="62">
        <f>Y143-X143</f>
        <v/>
      </c>
      <c r="AA143" s="64">
        <f>IF(X143=0,"",Y143/X143)</f>
        <v/>
      </c>
      <c r="AB143" s="31" t="n"/>
      <c r="AC143" s="60" t="n"/>
      <c r="AD143" s="60" t="n"/>
      <c r="AE143" s="60">
        <f>AD143-AC143</f>
        <v/>
      </c>
      <c r="AF143" s="61">
        <f>IF(AC143=0,"",AD143/AC143)</f>
        <v/>
      </c>
      <c r="AG143" s="27" t="n"/>
      <c r="AH143" s="62" t="n"/>
      <c r="AI143" s="62" t="n"/>
      <c r="AJ143" s="62">
        <f>AI143-AH143</f>
        <v/>
      </c>
      <c r="AK143" s="64">
        <f>IF(AH143=0,"",AI143/AH143)</f>
        <v/>
      </c>
      <c r="AL143" s="31" t="n"/>
      <c r="AM143" s="60" t="n"/>
      <c r="AN143" s="60" t="n"/>
      <c r="AO143" s="60">
        <f>AN143-AM143</f>
        <v/>
      </c>
      <c r="AP143" s="61">
        <f>IF(AM143=0,"",AN143/AM143)</f>
        <v/>
      </c>
      <c r="AQ143" s="27" t="n"/>
      <c r="AR143" s="62" t="n"/>
      <c r="AS143" s="62" t="n"/>
      <c r="AT143" s="62">
        <f>AS143-AR143</f>
        <v/>
      </c>
      <c r="AU143" s="64">
        <f>IF(AR143=0,"",AS143/AR143)</f>
        <v/>
      </c>
      <c r="AV143" s="31" t="n"/>
      <c r="AW143" s="60" t="n"/>
      <c r="AX143" s="60" t="n"/>
      <c r="AY143" s="60">
        <f>AX143-AW143</f>
        <v/>
      </c>
      <c r="AZ143" s="61">
        <f>IF(AW143=0,"",AX143/AW143)</f>
        <v/>
      </c>
      <c r="BA143" s="27" t="n"/>
      <c r="BB143" s="62" t="n"/>
      <c r="BC143" s="62" t="n"/>
      <c r="BD143" s="62">
        <f>BC143-BB143</f>
        <v/>
      </c>
      <c r="BE143" s="64">
        <f>IF(BB143=0,"",BC143/BB143)</f>
        <v/>
      </c>
      <c r="BF143" s="31" t="n"/>
      <c r="BG143" s="60" t="n"/>
      <c r="BH143" s="60" t="n"/>
      <c r="BI143" s="60">
        <f>BH143-BG143</f>
        <v/>
      </c>
      <c r="BJ143" s="61">
        <f>IF(BG143=0,"",BH143/BG143)</f>
        <v/>
      </c>
      <c r="BK143" s="27" t="n"/>
      <c r="BL143" s="62" t="n"/>
      <c r="BM143" s="62" t="n"/>
      <c r="BN143" s="62">
        <f>BM143-BL143</f>
        <v/>
      </c>
      <c r="BO143" s="64">
        <f>IF(BL143=0,"",BM143/BL143)</f>
        <v/>
      </c>
      <c r="BP143" s="31" t="n"/>
      <c r="BQ143" s="60" t="n"/>
      <c r="BR143" s="60" t="n"/>
      <c r="BS143" s="60">
        <f>BR143-BQ143</f>
        <v/>
      </c>
      <c r="BT143" s="61">
        <f>IF(BQ143=0,"",BR143/BQ143)</f>
        <v/>
      </c>
      <c r="BU143" s="27" t="n"/>
      <c r="BV143" s="62" t="n"/>
      <c r="BW143" s="62" t="n"/>
      <c r="BX143" s="62">
        <f>BW143-BV143</f>
        <v/>
      </c>
      <c r="BY143" s="64">
        <f>IF(BV143=0,"",BW143/BV143)</f>
        <v/>
      </c>
      <c r="BZ143" s="31" t="n"/>
      <c r="CA143" s="60" t="n"/>
      <c r="CB143" s="60" t="n"/>
      <c r="CC143" s="60">
        <f>CB143-CA143</f>
        <v/>
      </c>
      <c r="CD143" s="61">
        <f>IF(CA143=0,"",CB143/CA143)</f>
        <v/>
      </c>
      <c r="CE143" s="27" t="n"/>
      <c r="CF143" s="62" t="n"/>
      <c r="CG143" s="62" t="n"/>
      <c r="CH143" s="62">
        <f>CG143-CF143</f>
        <v/>
      </c>
      <c r="CI143" s="64">
        <f>IF(CF143=0,"",CG143/CF143)</f>
        <v/>
      </c>
      <c r="CJ143" s="31" t="n"/>
      <c r="CK143" s="60" t="n"/>
      <c r="CL143" s="60" t="n"/>
      <c r="CM143" s="60">
        <f>CL143-CK143</f>
        <v/>
      </c>
      <c r="CN143" s="61">
        <f>IF(CK143=0,"",CL143/CK143)</f>
        <v/>
      </c>
      <c r="CO143" s="27" t="n"/>
      <c r="CP143" s="62" t="n"/>
      <c r="CQ143" s="62" t="n"/>
      <c r="CR143" s="62">
        <f>CQ143-CP143</f>
        <v/>
      </c>
      <c r="CS143" s="64">
        <f>IF(CP143=0,"",CQ143/CP143)</f>
        <v/>
      </c>
      <c r="CT143" s="31" t="n"/>
      <c r="CU143" s="60" t="n"/>
      <c r="CV143" s="60" t="n"/>
      <c r="CW143" s="60">
        <f>CV143-CU143</f>
        <v/>
      </c>
      <c r="CX143" s="61">
        <f>IF(CU143=0,"",CV143/CU143)</f>
        <v/>
      </c>
      <c r="CY143" s="27" t="n"/>
      <c r="CZ143" s="62" t="n"/>
      <c r="DA143" s="62" t="n"/>
      <c r="DB143" s="62">
        <f>DA143-CZ143</f>
        <v/>
      </c>
      <c r="DC143" s="64">
        <f>IF(CZ143=0,"",DA143/CZ143)</f>
        <v/>
      </c>
      <c r="DD143" s="31" t="n"/>
      <c r="DE143" s="60" t="n"/>
      <c r="DF143" s="60" t="n"/>
      <c r="DG143" s="60">
        <f>DF143-DE143</f>
        <v/>
      </c>
      <c r="DH143" s="61">
        <f>IF(DE143=0,"",DF143/DE143)</f>
        <v/>
      </c>
      <c r="DI143" s="27" t="n"/>
      <c r="DJ143" s="62" t="n"/>
      <c r="DK143" s="62" t="n"/>
      <c r="DL143" s="62">
        <f>DK143-DJ143</f>
        <v/>
      </c>
      <c r="DM143" s="64">
        <f>IF(DJ143=0,"",DK143/DJ143)</f>
        <v/>
      </c>
      <c r="DN143" s="31" t="n"/>
      <c r="DO143" s="60" t="n"/>
    </row>
    <row r="144" ht="15" customHeight="1">
      <c r="A144" s="32" t="n"/>
      <c r="B144" s="32" t="n"/>
      <c r="C144" s="32" t="n"/>
      <c r="D144" s="65">
        <f>D146+D147+D148+D150+D152+D154+D156+D157+D158+D159+D160+D161</f>
        <v/>
      </c>
      <c r="E144" s="65">
        <f>E146+E147+E148+E150+E152+E154+E156+E157+E158+E159+E160+E161</f>
        <v/>
      </c>
      <c r="F144" s="65">
        <f>E144-D144</f>
        <v/>
      </c>
      <c r="G144" s="66">
        <f>IF(D144=0,"",E144/D144)</f>
        <v/>
      </c>
      <c r="H144" s="35" t="n"/>
      <c r="I144" s="65">
        <f>I146+I147+I148+I150+I152+I154+I156+I157+I158+I159+I160+I161</f>
        <v/>
      </c>
      <c r="J144" s="65">
        <f>J146+J147+J148+J150+J152+J154+J156+J157+J158+J159+J160+J161</f>
        <v/>
      </c>
      <c r="K144" s="65">
        <f>J144-I144</f>
        <v/>
      </c>
      <c r="L144" s="66">
        <f>IF(I144=0,"",J144/I144)</f>
        <v/>
      </c>
      <c r="M144" s="35" t="n"/>
      <c r="N144" s="65">
        <f>N146+N147+N148+N150+N152+N154+N156+N157+N158+N159+N160+N161</f>
        <v/>
      </c>
      <c r="O144" s="65">
        <f>O146+O147+O148+O150+O152+O154+O156+O157+O158+O159+O160+O161</f>
        <v/>
      </c>
      <c r="P144" s="65">
        <f>O144-N144</f>
        <v/>
      </c>
      <c r="Q144" s="66">
        <f>IF(N144=0,"",O144/N144)</f>
        <v/>
      </c>
      <c r="R144" s="35" t="n"/>
      <c r="S144" s="65">
        <f>S146+S147+S148+S150+S152+S154+S156+S157+S158+S159+S160+S161</f>
        <v/>
      </c>
      <c r="T144" s="65">
        <f>T146+T147+T148+T150+T152+T154+T156+T157+T158+T159+T160+T161</f>
        <v/>
      </c>
      <c r="U144" s="65">
        <f>T144-S144</f>
        <v/>
      </c>
      <c r="V144" s="66">
        <f>IF(S144=0,"",T144/S144)</f>
        <v/>
      </c>
      <c r="W144" s="35" t="n"/>
      <c r="X144" s="65">
        <f>X146+X147+X148+X150+X152+X154+X156+X157+X158+X159+X160+X161</f>
        <v/>
      </c>
      <c r="Y144" s="65">
        <f>Y146+Y147+Y148+Y150+Y152+Y154+Y156+Y157+Y158+Y159+Y160+Y161</f>
        <v/>
      </c>
      <c r="Z144" s="65">
        <f>Y144-X144</f>
        <v/>
      </c>
      <c r="AA144" s="66">
        <f>IF(X144=0,"",Y144/X144)</f>
        <v/>
      </c>
      <c r="AB144" s="35" t="n"/>
      <c r="AC144" s="65">
        <f>AC146+AC147+AC148+AC150+AC152+AC154+AC156+AC157+AC158+AC159+AC160+AC161</f>
        <v/>
      </c>
      <c r="AD144" s="65">
        <f>AD146+AD147+AD148+AD150+AD152+AD154+AD156+AD157+AD158+AD159+AD160+AD161</f>
        <v/>
      </c>
      <c r="AE144" s="65">
        <f>AD144-AC144</f>
        <v/>
      </c>
      <c r="AF144" s="66">
        <f>IF(AC144=0,"",AD144/AC144)</f>
        <v/>
      </c>
      <c r="AG144" s="35" t="n"/>
      <c r="AH144" s="65">
        <f>AH146+AH147+AH148+AH150+AH152+AH154+AH156+AH157+AH158+AH159+AH160+AH161</f>
        <v/>
      </c>
      <c r="AI144" s="65">
        <f>AI146+AI147+AI148+AI150+AI152+AI154+AI156+AI157+AI158+AI159+AI160+AI161</f>
        <v/>
      </c>
      <c r="AJ144" s="65">
        <f>AI144-AH144</f>
        <v/>
      </c>
      <c r="AK144" s="66">
        <f>IF(AH144=0,"",AI144/AH144)</f>
        <v/>
      </c>
      <c r="AL144" s="35" t="n"/>
      <c r="AM144" s="65">
        <f>AM146+AM147+AM148+AM150+AM152+AM154+AM156+AM157+AM158+AM159+AM160+AM161</f>
        <v/>
      </c>
      <c r="AN144" s="65">
        <f>AN146+AN147+AN148+AN150+AN152+AN154+AN156+AN157+AN158+AN159+AN160+AN161</f>
        <v/>
      </c>
      <c r="AO144" s="65">
        <f>AN144-AM144</f>
        <v/>
      </c>
      <c r="AP144" s="66">
        <f>IF(AM144=0,"",AN144/AM144)</f>
        <v/>
      </c>
      <c r="AQ144" s="35" t="n"/>
      <c r="AR144" s="65">
        <f>AR146+AR147+AR148+AR150+AR152+AR154+AR156+AR157+AR158+AR159+AR160+AR161</f>
        <v/>
      </c>
      <c r="AS144" s="65">
        <f>AS146+AS147+AS148+AS150+AS152+AS154+AS156+AS157+AS158+AS159+AS160+AS161</f>
        <v/>
      </c>
      <c r="AT144" s="65">
        <f>AS144-AR144</f>
        <v/>
      </c>
      <c r="AU144" s="66">
        <f>IF(AR144=0,"",AS144/AR144)</f>
        <v/>
      </c>
      <c r="AV144" s="35" t="n"/>
      <c r="AW144" s="65">
        <f>AW146+AW147+AW148+AW150+AW152+AW154+AW156+AW157+AW158+AW159+AW160+AW161</f>
        <v/>
      </c>
      <c r="AX144" s="65">
        <f>AX146+AX147+AX148+AX150+AX152+AX154+AX156+AX157+AX158+AX159+AX160+AX161</f>
        <v/>
      </c>
      <c r="AY144" s="65">
        <f>AX144-AW144</f>
        <v/>
      </c>
      <c r="AZ144" s="66">
        <f>IF(AW144=0,"",AX144/AW144)</f>
        <v/>
      </c>
      <c r="BA144" s="35" t="n"/>
      <c r="BB144" s="65">
        <f>BB146+BB147+BB148+BB150+BB152+BB154+BB156+BB157+BB158+BB159+BB160+BB161</f>
        <v/>
      </c>
      <c r="BC144" s="65">
        <f>BC146+BC147+BC148+BC150+BC152+BC154+BC156+BC157+BC158+BC159+BC160+BC161</f>
        <v/>
      </c>
      <c r="BD144" s="65">
        <f>BC144-BB144</f>
        <v/>
      </c>
      <c r="BE144" s="66">
        <f>IF(BB144=0,"",BC144/BB144)</f>
        <v/>
      </c>
      <c r="BF144" s="35" t="n"/>
      <c r="BG144" s="65">
        <f>BG146+BG147+BG148+BG150+BG152+BG154+BG156+BG157+BG158+BG159+BG160+BG161</f>
        <v/>
      </c>
      <c r="BH144" s="65">
        <f>BH146+BH147+BH148+BH150+BH152+BH154+BH156+BH157+BH158+BH159+BH160+BH161</f>
        <v/>
      </c>
      <c r="BI144" s="65">
        <f>BH144-BG144</f>
        <v/>
      </c>
      <c r="BJ144" s="66">
        <f>IF(BG144=0,"",BH144/BG144)</f>
        <v/>
      </c>
      <c r="BK144" s="35" t="n"/>
      <c r="BL144" s="65">
        <f>BL146+BL147+BL148+BL150+BL152+BL154+BL156+BL157+BL158+BL159+BL160+BL161</f>
        <v/>
      </c>
      <c r="BM144" s="65">
        <f>BM146+BM147+BM148+BM150+BM152+BM154+BM156+BM157+BM158+BM159+BM160+BM161</f>
        <v/>
      </c>
      <c r="BN144" s="65">
        <f>BM144-BL144</f>
        <v/>
      </c>
      <c r="BO144" s="66">
        <f>IF(BL144=0,"",BM144/BL144)</f>
        <v/>
      </c>
      <c r="BP144" s="35" t="n"/>
      <c r="BQ144" s="65">
        <f>BQ146+BQ147+BQ148+BQ150+BQ152+BQ154+BQ156+BQ157+BQ158+BQ159+BQ160+BQ161</f>
        <v/>
      </c>
      <c r="BR144" s="65">
        <f>BR146+BR147+BR148+BR150+BR152+BR154+BR156+BR157+BR158+BR159+BR160+BR161</f>
        <v/>
      </c>
      <c r="BS144" s="65">
        <f>BR144-BQ144</f>
        <v/>
      </c>
      <c r="BT144" s="66">
        <f>IF(BQ144=0,"",BR144/BQ144)</f>
        <v/>
      </c>
      <c r="BU144" s="35" t="n"/>
      <c r="BV144" s="65">
        <f>BV146+BV147+BV148+BV150+BV152+BV154+BV156+BV157+BV158+BV159+BV160+BV161</f>
        <v/>
      </c>
      <c r="BW144" s="65">
        <f>BW146+BW147+BW148+BW150+BW152+BW154+BW156+BW157+BW158+BW159+BW160+BW161</f>
        <v/>
      </c>
      <c r="BX144" s="65">
        <f>BW144-BV144</f>
        <v/>
      </c>
      <c r="BY144" s="66">
        <f>IF(BV144=0,"",BW144/BV144)</f>
        <v/>
      </c>
      <c r="BZ144" s="35" t="n"/>
      <c r="CA144" s="65">
        <f>CA146+CA147+CA148+CA150+CA152+CA154+CA156+CA157+CA158+CA159+CA160+CA161</f>
        <v/>
      </c>
      <c r="CB144" s="65">
        <f>CB146+CB147+CB148+CB150+CB152+CB154+CB156+CB157+CB158+CB159+CB160+CB161</f>
        <v/>
      </c>
      <c r="CC144" s="65">
        <f>CB144-CA144</f>
        <v/>
      </c>
      <c r="CD144" s="66">
        <f>IF(CA144=0,"",CB144/CA144)</f>
        <v/>
      </c>
      <c r="CE144" s="35" t="n"/>
      <c r="CF144" s="65">
        <f>CF146+CF147+CF148+CF150+CF152+CF154+CF156+CF157+CF158+CF159+CF160+CF161</f>
        <v/>
      </c>
      <c r="CG144" s="65">
        <f>CG146+CG147+CG148+CG150+CG152+CG154+CG156+CG157+CG158+CG159+CG160+CG161</f>
        <v/>
      </c>
      <c r="CH144" s="65">
        <f>CG144-CF144</f>
        <v/>
      </c>
      <c r="CI144" s="66">
        <f>IF(CF144=0,"",CG144/CF144)</f>
        <v/>
      </c>
      <c r="CJ144" s="35" t="n"/>
      <c r="CK144" s="65">
        <f>CK146+CK147+CK148+CK150+CK152+CK154+CK156+CK157+CK158+CK159+CK160+CK161</f>
        <v/>
      </c>
      <c r="CL144" s="65">
        <f>CL146+CL147+CL148+CL150+CL152+CL154+CL156+CL157+CL158+CL159+CL160+CL161</f>
        <v/>
      </c>
      <c r="CM144" s="65">
        <f>CL144-CK144</f>
        <v/>
      </c>
      <c r="CN144" s="66">
        <f>IF(CK144=0,"",CL144/CK144)</f>
        <v/>
      </c>
      <c r="CO144" s="35" t="n"/>
      <c r="CP144" s="65">
        <f>CP146+CP147+CP148+CP150+CP152+CP154+CP156+CP157+CP158+CP159+CP160+CP161</f>
        <v/>
      </c>
      <c r="CQ144" s="65">
        <f>CQ146+CQ147+CQ148+CQ150+CQ152+CQ154+CQ156+CQ157+CQ158+CQ159+CQ160+CQ161</f>
        <v/>
      </c>
      <c r="CR144" s="65">
        <f>CQ144-CP144</f>
        <v/>
      </c>
      <c r="CS144" s="66">
        <f>IF(CP144=0,"",CQ144/CP144)</f>
        <v/>
      </c>
      <c r="CT144" s="35" t="n"/>
      <c r="CU144" s="65">
        <f>CU146+CU147+CU148+CU150+CU152+CU154+CU156+CU157+CU158+CU159+CU160+CU161</f>
        <v/>
      </c>
      <c r="CV144" s="65">
        <f>CV146+CV147+CV148+CV150+CV152+CV154+CV156+CV157+CV158+CV159+CV160+CV161</f>
        <v/>
      </c>
      <c r="CW144" s="65">
        <f>CV144-CU144</f>
        <v/>
      </c>
      <c r="CX144" s="66">
        <f>IF(CU144=0,"",CV144/CU144)</f>
        <v/>
      </c>
      <c r="CY144" s="35" t="n"/>
      <c r="CZ144" s="65">
        <f>CZ146+CZ147+CZ148+CZ150+CZ152+CZ154+CZ156+CZ157+CZ158+CZ159+CZ160+CZ161</f>
        <v/>
      </c>
      <c r="DA144" s="65">
        <f>DA146+DA147+DA148+DA150+DA152+DA154+DA156+DA157+DA158+DA159+DA160+DA161</f>
        <v/>
      </c>
      <c r="DB144" s="65">
        <f>DA144-CZ144</f>
        <v/>
      </c>
      <c r="DC144" s="66">
        <f>IF(CZ144=0,"",DA144/CZ144)</f>
        <v/>
      </c>
      <c r="DD144" s="35" t="n"/>
      <c r="DE144" s="65">
        <f>DE146+DE147+DE148+DE150+DE152+DE154+DE156+DE157+DE158+DE159+DE160+DE161</f>
        <v/>
      </c>
      <c r="DF144" s="65">
        <f>DF146+DF147+DF148+DF150+DF152+DF154+DF156+DF157+DF158+DF159+DF160+DF161</f>
        <v/>
      </c>
      <c r="DG144" s="65">
        <f>DF144-DE144</f>
        <v/>
      </c>
      <c r="DH144" s="66">
        <f>IF(DE144=0,"",DF144/DE144)</f>
        <v/>
      </c>
      <c r="DI144" s="35" t="n"/>
      <c r="DJ144" s="65">
        <f>DJ146+DJ147+DJ148+DJ150+DJ152+DJ154+DJ156+DJ157+DJ158+DJ159+DJ160+DJ161</f>
        <v/>
      </c>
      <c r="DK144" s="65">
        <f>DK146+DK147+DK148+DK150+DK152+DK154+DK156+DK157+DK158+DK159+DK160+DK161</f>
        <v/>
      </c>
      <c r="DL144" s="65">
        <f>DK144-DJ144</f>
        <v/>
      </c>
      <c r="DM144" s="66">
        <f>IF(DJ144=0,"",DK144/DJ144)</f>
        <v/>
      </c>
      <c r="DN144" s="35" t="n"/>
      <c r="DO144" s="65">
        <f>DO146+DO147+DO148+DO150+DO152+DO154+DO156+DO157+DO158+DO159+DO160+DO161</f>
        <v/>
      </c>
    </row>
    <row r="145" ht="15" customHeight="1">
      <c r="A145" s="19" t="n"/>
      <c r="B145" s="20" t="n"/>
      <c r="C145" s="19" t="n"/>
      <c r="D145" s="58">
        <f>D146+D147+D148</f>
        <v/>
      </c>
      <c r="E145" s="58">
        <f>E146+E147+E148</f>
        <v/>
      </c>
      <c r="F145" s="58">
        <f>E145-D145</f>
        <v/>
      </c>
      <c r="G145" s="59">
        <f>IF(D145=0,"",E145/D145)</f>
        <v/>
      </c>
      <c r="H145" s="23" t="n"/>
      <c r="I145" s="58">
        <f>I146+I147+I148</f>
        <v/>
      </c>
      <c r="J145" s="58">
        <f>J146+J147+J148</f>
        <v/>
      </c>
      <c r="K145" s="58">
        <f>J145-I145</f>
        <v/>
      </c>
      <c r="L145" s="59">
        <f>IF(I145=0,"",J145/I145)</f>
        <v/>
      </c>
      <c r="M145" s="23" t="n"/>
      <c r="N145" s="58">
        <f>N146+N147+N148</f>
        <v/>
      </c>
      <c r="O145" s="58">
        <f>O146+O147+O148</f>
        <v/>
      </c>
      <c r="P145" s="58">
        <f>O145-N145</f>
        <v/>
      </c>
      <c r="Q145" s="59">
        <f>IF(N145=0,"",O145/N145)</f>
        <v/>
      </c>
      <c r="R145" s="23" t="n"/>
      <c r="S145" s="58">
        <f>S146+S147+S148</f>
        <v/>
      </c>
      <c r="T145" s="58">
        <f>T146+T147+T148</f>
        <v/>
      </c>
      <c r="U145" s="58">
        <f>T145-S145</f>
        <v/>
      </c>
      <c r="V145" s="59">
        <f>IF(S145=0,"",T145/S145)</f>
        <v/>
      </c>
      <c r="W145" s="23" t="n"/>
      <c r="X145" s="58">
        <f>X146+X147+X148</f>
        <v/>
      </c>
      <c r="Y145" s="58">
        <f>Y146+Y147+Y148</f>
        <v/>
      </c>
      <c r="Z145" s="58">
        <f>Y145-X145</f>
        <v/>
      </c>
      <c r="AA145" s="59">
        <f>IF(X145=0,"",Y145/X145)</f>
        <v/>
      </c>
      <c r="AB145" s="23" t="n"/>
      <c r="AC145" s="58">
        <f>AC146+AC147+AC148</f>
        <v/>
      </c>
      <c r="AD145" s="58">
        <f>AD146+AD147+AD148</f>
        <v/>
      </c>
      <c r="AE145" s="58">
        <f>AD145-AC145</f>
        <v/>
      </c>
      <c r="AF145" s="59">
        <f>IF(AC145=0,"",AD145/AC145)</f>
        <v/>
      </c>
      <c r="AG145" s="23" t="n"/>
      <c r="AH145" s="58">
        <f>AH146+AH147+AH148</f>
        <v/>
      </c>
      <c r="AI145" s="58">
        <f>AI146+AI147+AI148</f>
        <v/>
      </c>
      <c r="AJ145" s="58">
        <f>AI145-AH145</f>
        <v/>
      </c>
      <c r="AK145" s="59">
        <f>IF(AH145=0,"",AI145/AH145)</f>
        <v/>
      </c>
      <c r="AL145" s="23" t="n"/>
      <c r="AM145" s="58">
        <f>AM146+AM147+AM148</f>
        <v/>
      </c>
      <c r="AN145" s="58">
        <f>AN146+AN147+AN148</f>
        <v/>
      </c>
      <c r="AO145" s="58">
        <f>AN145-AM145</f>
        <v/>
      </c>
      <c r="AP145" s="59">
        <f>IF(AM145=0,"",AN145/AM145)</f>
        <v/>
      </c>
      <c r="AQ145" s="23" t="n"/>
      <c r="AR145" s="58">
        <f>AR146+AR147+AR148</f>
        <v/>
      </c>
      <c r="AS145" s="58">
        <f>AS146+AS147+AS148</f>
        <v/>
      </c>
      <c r="AT145" s="58">
        <f>AS145-AR145</f>
        <v/>
      </c>
      <c r="AU145" s="59">
        <f>IF(AR145=0,"",AS145/AR145)</f>
        <v/>
      </c>
      <c r="AV145" s="23" t="n"/>
      <c r="AW145" s="58">
        <f>AW146+AW147+AW148</f>
        <v/>
      </c>
      <c r="AX145" s="58">
        <f>AX146+AX147+AX148</f>
        <v/>
      </c>
      <c r="AY145" s="58">
        <f>AX145-AW145</f>
        <v/>
      </c>
      <c r="AZ145" s="59">
        <f>IF(AW145=0,"",AX145/AW145)</f>
        <v/>
      </c>
      <c r="BA145" s="23" t="n"/>
      <c r="BB145" s="58">
        <f>BB146+BB147+BB148</f>
        <v/>
      </c>
      <c r="BC145" s="58">
        <f>BC146+BC147+BC148</f>
        <v/>
      </c>
      <c r="BD145" s="58">
        <f>BC145-BB145</f>
        <v/>
      </c>
      <c r="BE145" s="59">
        <f>IF(BB145=0,"",BC145/BB145)</f>
        <v/>
      </c>
      <c r="BF145" s="23" t="n"/>
      <c r="BG145" s="58">
        <f>BG146+BG147+BG148</f>
        <v/>
      </c>
      <c r="BH145" s="58">
        <f>BH146+BH147+BH148</f>
        <v/>
      </c>
      <c r="BI145" s="58">
        <f>BH145-BG145</f>
        <v/>
      </c>
      <c r="BJ145" s="59">
        <f>IF(BG145=0,"",BH145/BG145)</f>
        <v/>
      </c>
      <c r="BK145" s="23" t="n"/>
      <c r="BL145" s="58">
        <f>BL146+BL147+BL148</f>
        <v/>
      </c>
      <c r="BM145" s="58">
        <f>BM146+BM147+BM148</f>
        <v/>
      </c>
      <c r="BN145" s="58">
        <f>BM145-BL145</f>
        <v/>
      </c>
      <c r="BO145" s="59">
        <f>IF(BL145=0,"",BM145/BL145)</f>
        <v/>
      </c>
      <c r="BP145" s="23" t="n"/>
      <c r="BQ145" s="58">
        <f>BQ146+BQ147+BQ148</f>
        <v/>
      </c>
      <c r="BR145" s="58">
        <f>BR146+BR147+BR148</f>
        <v/>
      </c>
      <c r="BS145" s="58">
        <f>BR145-BQ145</f>
        <v/>
      </c>
      <c r="BT145" s="59">
        <f>IF(BQ145=0,"",BR145/BQ145)</f>
        <v/>
      </c>
      <c r="BU145" s="23" t="n"/>
      <c r="BV145" s="58">
        <f>BV146+BV147+BV148</f>
        <v/>
      </c>
      <c r="BW145" s="58">
        <f>BW146+BW147+BW148</f>
        <v/>
      </c>
      <c r="BX145" s="58">
        <f>BW145-BV145</f>
        <v/>
      </c>
      <c r="BY145" s="59">
        <f>IF(BV145=0,"",BW145/BV145)</f>
        <v/>
      </c>
      <c r="BZ145" s="23" t="n"/>
      <c r="CA145" s="58">
        <f>CA146+CA147+CA148</f>
        <v/>
      </c>
      <c r="CB145" s="58">
        <f>CB146+CB147+CB148</f>
        <v/>
      </c>
      <c r="CC145" s="58">
        <f>CB145-CA145</f>
        <v/>
      </c>
      <c r="CD145" s="59">
        <f>IF(CA145=0,"",CB145/CA145)</f>
        <v/>
      </c>
      <c r="CE145" s="23" t="n"/>
      <c r="CF145" s="58">
        <f>CF146+CF147+CF148</f>
        <v/>
      </c>
      <c r="CG145" s="58">
        <f>CG146+CG147+CG148</f>
        <v/>
      </c>
      <c r="CH145" s="58">
        <f>CG145-CF145</f>
        <v/>
      </c>
      <c r="CI145" s="59">
        <f>IF(CF145=0,"",CG145/CF145)</f>
        <v/>
      </c>
      <c r="CJ145" s="23" t="n"/>
      <c r="CK145" s="58">
        <f>CK146+CK147+CK148</f>
        <v/>
      </c>
      <c r="CL145" s="58">
        <f>CL146+CL147+CL148</f>
        <v/>
      </c>
      <c r="CM145" s="58">
        <f>CL145-CK145</f>
        <v/>
      </c>
      <c r="CN145" s="59">
        <f>IF(CK145=0,"",CL145/CK145)</f>
        <v/>
      </c>
      <c r="CO145" s="23" t="n"/>
      <c r="CP145" s="58">
        <f>CP146+CP147+CP148</f>
        <v/>
      </c>
      <c r="CQ145" s="58">
        <f>CQ146+CQ147+CQ148</f>
        <v/>
      </c>
      <c r="CR145" s="58">
        <f>CQ145-CP145</f>
        <v/>
      </c>
      <c r="CS145" s="59">
        <f>IF(CP145=0,"",CQ145/CP145)</f>
        <v/>
      </c>
      <c r="CT145" s="23" t="n"/>
      <c r="CU145" s="58">
        <f>CU146+CU147+CU148</f>
        <v/>
      </c>
      <c r="CV145" s="58">
        <f>CV146+CV147+CV148</f>
        <v/>
      </c>
      <c r="CW145" s="58">
        <f>CV145-CU145</f>
        <v/>
      </c>
      <c r="CX145" s="59">
        <f>IF(CU145=0,"",CV145/CU145)</f>
        <v/>
      </c>
      <c r="CY145" s="23" t="n"/>
      <c r="CZ145" s="58">
        <f>CZ146+CZ147+CZ148</f>
        <v/>
      </c>
      <c r="DA145" s="58">
        <f>DA146+DA147+DA148</f>
        <v/>
      </c>
      <c r="DB145" s="58">
        <f>DA145-CZ145</f>
        <v/>
      </c>
      <c r="DC145" s="59">
        <f>IF(CZ145=0,"",DA145/CZ145)</f>
        <v/>
      </c>
      <c r="DD145" s="23" t="n"/>
      <c r="DE145" s="58">
        <f>DE146+DE147+DE148</f>
        <v/>
      </c>
      <c r="DF145" s="58">
        <f>DF146+DF147+DF148</f>
        <v/>
      </c>
      <c r="DG145" s="58">
        <f>DF145-DE145</f>
        <v/>
      </c>
      <c r="DH145" s="59">
        <f>IF(DE145=0,"",DF145/DE145)</f>
        <v/>
      </c>
      <c r="DI145" s="23" t="n"/>
      <c r="DJ145" s="58">
        <f>DJ146+DJ147+DJ148</f>
        <v/>
      </c>
      <c r="DK145" s="58">
        <f>DK146+DK147+DK148</f>
        <v/>
      </c>
      <c r="DL145" s="58">
        <f>DK145-DJ145</f>
        <v/>
      </c>
      <c r="DM145" s="59">
        <f>IF(DJ145=0,"",DK145/DJ145)</f>
        <v/>
      </c>
      <c r="DN145" s="23" t="n"/>
      <c r="DO145" s="58">
        <f>DO146+DO147+DO148</f>
        <v/>
      </c>
    </row>
    <row r="146" outlineLevel="1" ht="15" customHeight="1">
      <c r="A146" s="24" t="n"/>
      <c r="B146" s="24" t="n"/>
      <c r="C146" s="24" t="n"/>
      <c r="D146" s="60" t="n"/>
      <c r="E146" s="60" t="n"/>
      <c r="F146" s="60">
        <f>E146-D146</f>
        <v/>
      </c>
      <c r="G146" s="61">
        <f>IF(D146=0,"",E146/D146)</f>
        <v/>
      </c>
      <c r="H146" s="27" t="n"/>
      <c r="I146" s="60" t="n"/>
      <c r="J146" s="60" t="n"/>
      <c r="K146" s="60">
        <f>J146-I146</f>
        <v/>
      </c>
      <c r="L146" s="61">
        <f>IF(I146=0,"",J146/I146)</f>
        <v/>
      </c>
      <c r="M146" s="27" t="n"/>
      <c r="N146" s="62" t="n"/>
      <c r="O146" s="62" t="n"/>
      <c r="P146" s="63">
        <f>O146-N146</f>
        <v/>
      </c>
      <c r="Q146" s="64">
        <f>IF(N146=0,"",O146/N146)</f>
        <v/>
      </c>
      <c r="R146" s="31" t="n"/>
      <c r="S146" s="60" t="n"/>
      <c r="T146" s="60" t="n"/>
      <c r="U146" s="60">
        <f>T146-S146</f>
        <v/>
      </c>
      <c r="V146" s="61">
        <f>IF(S146=0,"",T146/S146)</f>
        <v/>
      </c>
      <c r="W146" s="27" t="n"/>
      <c r="X146" s="62" t="n"/>
      <c r="Y146" s="62" t="n"/>
      <c r="Z146" s="63">
        <f>Y146-X146</f>
        <v/>
      </c>
      <c r="AA146" s="64">
        <f>IF(X146=0,"",Y146/X146)</f>
        <v/>
      </c>
      <c r="AB146" s="31" t="n"/>
      <c r="AC146" s="60" t="n"/>
      <c r="AD146" s="60" t="n"/>
      <c r="AE146" s="60">
        <f>AD146-AC146</f>
        <v/>
      </c>
      <c r="AF146" s="61">
        <f>IF(AC146=0,"",AD146/AC146)</f>
        <v/>
      </c>
      <c r="AG146" s="27" t="n"/>
      <c r="AH146" s="62" t="n"/>
      <c r="AI146" s="62" t="n"/>
      <c r="AJ146" s="62">
        <f>AI146-AH146</f>
        <v/>
      </c>
      <c r="AK146" s="64">
        <f>IF(AH146=0,"",AI146/AH146)</f>
        <v/>
      </c>
      <c r="AL146" s="31" t="n"/>
      <c r="AM146" s="60" t="n"/>
      <c r="AN146" s="60" t="n"/>
      <c r="AO146" s="60">
        <f>AN146-AM146</f>
        <v/>
      </c>
      <c r="AP146" s="61">
        <f>IF(AM146=0,"",AN146/AM146)</f>
        <v/>
      </c>
      <c r="AQ146" s="27" t="n"/>
      <c r="AR146" s="62" t="n"/>
      <c r="AS146" s="62" t="n"/>
      <c r="AT146" s="62">
        <f>AS146-AR146</f>
        <v/>
      </c>
      <c r="AU146" s="64">
        <f>IF(AR146=0,"",AS146/AR146)</f>
        <v/>
      </c>
      <c r="AV146" s="31" t="n"/>
      <c r="AW146" s="60" t="n"/>
      <c r="AX146" s="60" t="n"/>
      <c r="AY146" s="60">
        <f>AX146-AW146</f>
        <v/>
      </c>
      <c r="AZ146" s="61">
        <f>IF(AW146=0,"",AX146/AW146)</f>
        <v/>
      </c>
      <c r="BA146" s="27" t="n"/>
      <c r="BB146" s="62" t="n"/>
      <c r="BC146" s="62" t="n"/>
      <c r="BD146" s="62">
        <f>BC146-BB146</f>
        <v/>
      </c>
      <c r="BE146" s="64">
        <f>IF(BB146=0,"",BC146/BB146)</f>
        <v/>
      </c>
      <c r="BF146" s="31" t="n"/>
      <c r="BG146" s="60" t="n"/>
      <c r="BH146" s="60" t="n"/>
      <c r="BI146" s="60">
        <f>BH146-BG146</f>
        <v/>
      </c>
      <c r="BJ146" s="61">
        <f>IF(BG146=0,"",BH146/BG146)</f>
        <v/>
      </c>
      <c r="BK146" s="27" t="n"/>
      <c r="BL146" s="62" t="n"/>
      <c r="BM146" s="62" t="n"/>
      <c r="BN146" s="62">
        <f>BM146-BL146</f>
        <v/>
      </c>
      <c r="BO146" s="64">
        <f>IF(BL146=0,"",BM146/BL146)</f>
        <v/>
      </c>
      <c r="BP146" s="31" t="n"/>
      <c r="BQ146" s="60" t="n"/>
      <c r="BR146" s="60" t="n"/>
      <c r="BS146" s="60">
        <f>BR146-BQ146</f>
        <v/>
      </c>
      <c r="BT146" s="61">
        <f>IF(BQ146=0,"",BR146/BQ146)</f>
        <v/>
      </c>
      <c r="BU146" s="27" t="n"/>
      <c r="BV146" s="62" t="n"/>
      <c r="BW146" s="62" t="n"/>
      <c r="BX146" s="62">
        <f>BW146-BV146</f>
        <v/>
      </c>
      <c r="BY146" s="64">
        <f>IF(BV146=0,"",BW146/BV146)</f>
        <v/>
      </c>
      <c r="BZ146" s="31" t="n"/>
      <c r="CA146" s="60" t="n"/>
      <c r="CB146" s="60" t="n"/>
      <c r="CC146" s="60">
        <f>CB146-CA146</f>
        <v/>
      </c>
      <c r="CD146" s="61">
        <f>IF(CA146=0,"",CB146/CA146)</f>
        <v/>
      </c>
      <c r="CE146" s="27" t="n"/>
      <c r="CF146" s="62" t="n"/>
      <c r="CG146" s="62" t="n"/>
      <c r="CH146" s="62">
        <f>CG146-CF146</f>
        <v/>
      </c>
      <c r="CI146" s="64">
        <f>IF(CF146=0,"",CG146/CF146)</f>
        <v/>
      </c>
      <c r="CJ146" s="31" t="n"/>
      <c r="CK146" s="60" t="n"/>
      <c r="CL146" s="60" t="n"/>
      <c r="CM146" s="60">
        <f>CL146-CK146</f>
        <v/>
      </c>
      <c r="CN146" s="61">
        <f>IF(CK146=0,"",CL146/CK146)</f>
        <v/>
      </c>
      <c r="CO146" s="27" t="n"/>
      <c r="CP146" s="62" t="n"/>
      <c r="CQ146" s="62" t="n"/>
      <c r="CR146" s="62">
        <f>CQ146-CP146</f>
        <v/>
      </c>
      <c r="CS146" s="64">
        <f>IF(CP146=0,"",CQ146/CP146)</f>
        <v/>
      </c>
      <c r="CT146" s="31" t="n"/>
      <c r="CU146" s="60" t="n"/>
      <c r="CV146" s="60" t="n"/>
      <c r="CW146" s="60">
        <f>CV146-CU146</f>
        <v/>
      </c>
      <c r="CX146" s="61">
        <f>IF(CU146=0,"",CV146/CU146)</f>
        <v/>
      </c>
      <c r="CY146" s="27" t="n"/>
      <c r="CZ146" s="62" t="n"/>
      <c r="DA146" s="62" t="n"/>
      <c r="DB146" s="62">
        <f>DA146-CZ146</f>
        <v/>
      </c>
      <c r="DC146" s="64">
        <f>IF(CZ146=0,"",DA146/CZ146)</f>
        <v/>
      </c>
      <c r="DD146" s="31" t="n"/>
      <c r="DE146" s="60" t="n"/>
      <c r="DF146" s="60" t="n"/>
      <c r="DG146" s="60">
        <f>DF146-DE146</f>
        <v/>
      </c>
      <c r="DH146" s="61">
        <f>IF(DE146=0,"",DF146/DE146)</f>
        <v/>
      </c>
      <c r="DI146" s="27" t="n"/>
      <c r="DJ146" s="62" t="n"/>
      <c r="DK146" s="62" t="n"/>
      <c r="DL146" s="62">
        <f>DK146-DJ146</f>
        <v/>
      </c>
      <c r="DM146" s="64">
        <f>IF(DJ146=0,"",DK146/DJ146)</f>
        <v/>
      </c>
      <c r="DN146" s="31" t="n"/>
      <c r="DO146" s="60" t="n"/>
    </row>
    <row r="147" outlineLevel="1" ht="15" customHeight="1">
      <c r="A147" s="24" t="n"/>
      <c r="B147" s="24" t="n"/>
      <c r="C147" s="24" t="n"/>
      <c r="D147" s="60" t="n"/>
      <c r="E147" s="60" t="n"/>
      <c r="F147" s="60">
        <f>E147-D147</f>
        <v/>
      </c>
      <c r="G147" s="61">
        <f>IF(D147=0,"",E147/D147)</f>
        <v/>
      </c>
      <c r="H147" s="27" t="n"/>
      <c r="I147" s="60" t="n"/>
      <c r="J147" s="60" t="n"/>
      <c r="K147" s="60">
        <f>J147-I147</f>
        <v/>
      </c>
      <c r="L147" s="61">
        <f>IF(I147=0,"",J147/I147)</f>
        <v/>
      </c>
      <c r="M147" s="27" t="n"/>
      <c r="N147" s="62" t="n"/>
      <c r="O147" s="62" t="n"/>
      <c r="P147" s="62">
        <f>O147-N147</f>
        <v/>
      </c>
      <c r="Q147" s="64">
        <f>IF(N147=0,"",O147/N147)</f>
        <v/>
      </c>
      <c r="R147" s="31" t="n"/>
      <c r="S147" s="60" t="n"/>
      <c r="T147" s="60" t="n"/>
      <c r="U147" s="60">
        <f>T147-S147</f>
        <v/>
      </c>
      <c r="V147" s="61">
        <f>IF(S147=0,"",T147/S147)</f>
        <v/>
      </c>
      <c r="W147" s="27" t="n"/>
      <c r="X147" s="62" t="n"/>
      <c r="Y147" s="62" t="n"/>
      <c r="Z147" s="62">
        <f>Y147-X147</f>
        <v/>
      </c>
      <c r="AA147" s="64">
        <f>IF(X147=0,"",Y147/X147)</f>
        <v/>
      </c>
      <c r="AB147" s="31" t="n"/>
      <c r="AC147" s="60" t="n"/>
      <c r="AD147" s="60" t="n"/>
      <c r="AE147" s="60">
        <f>AD147-AC147</f>
        <v/>
      </c>
      <c r="AF147" s="61">
        <f>IF(AC147=0,"",AD147/AC147)</f>
        <v/>
      </c>
      <c r="AG147" s="27" t="n"/>
      <c r="AH147" s="62" t="n"/>
      <c r="AI147" s="62" t="n"/>
      <c r="AJ147" s="62">
        <f>AI147-AH147</f>
        <v/>
      </c>
      <c r="AK147" s="64">
        <f>IF(AH147=0,"",AI147/AH147)</f>
        <v/>
      </c>
      <c r="AL147" s="31" t="n"/>
      <c r="AM147" s="60" t="n"/>
      <c r="AN147" s="60" t="n"/>
      <c r="AO147" s="60">
        <f>AN147-AM147</f>
        <v/>
      </c>
      <c r="AP147" s="61">
        <f>IF(AM147=0,"",AN147/AM147)</f>
        <v/>
      </c>
      <c r="AQ147" s="27" t="n"/>
      <c r="AR147" s="62" t="n"/>
      <c r="AS147" s="62" t="n"/>
      <c r="AT147" s="62">
        <f>AS147-AR147</f>
        <v/>
      </c>
      <c r="AU147" s="64">
        <f>IF(AR147=0,"",AS147/AR147)</f>
        <v/>
      </c>
      <c r="AV147" s="31" t="n"/>
      <c r="AW147" s="60" t="n"/>
      <c r="AX147" s="60" t="n"/>
      <c r="AY147" s="60">
        <f>AX147-AW147</f>
        <v/>
      </c>
      <c r="AZ147" s="61">
        <f>IF(AW147=0,"",AX147/AW147)</f>
        <v/>
      </c>
      <c r="BA147" s="27" t="n"/>
      <c r="BB147" s="62" t="n"/>
      <c r="BC147" s="62" t="n"/>
      <c r="BD147" s="62">
        <f>BC147-BB147</f>
        <v/>
      </c>
      <c r="BE147" s="64">
        <f>IF(BB147=0,"",BC147/BB147)</f>
        <v/>
      </c>
      <c r="BF147" s="31" t="n"/>
      <c r="BG147" s="60" t="n"/>
      <c r="BH147" s="60" t="n"/>
      <c r="BI147" s="60">
        <f>BH147-BG147</f>
        <v/>
      </c>
      <c r="BJ147" s="61">
        <f>IF(BG147=0,"",BH147/BG147)</f>
        <v/>
      </c>
      <c r="BK147" s="27" t="n"/>
      <c r="BL147" s="62" t="n"/>
      <c r="BM147" s="62" t="n"/>
      <c r="BN147" s="62">
        <f>BM147-BL147</f>
        <v/>
      </c>
      <c r="BO147" s="64">
        <f>IF(BL147=0,"",BM147/BL147)</f>
        <v/>
      </c>
      <c r="BP147" s="31" t="n"/>
      <c r="BQ147" s="60" t="n"/>
      <c r="BR147" s="60" t="n"/>
      <c r="BS147" s="60">
        <f>BR147-BQ147</f>
        <v/>
      </c>
      <c r="BT147" s="61">
        <f>IF(BQ147=0,"",BR147/BQ147)</f>
        <v/>
      </c>
      <c r="BU147" s="27" t="n"/>
      <c r="BV147" s="62" t="n"/>
      <c r="BW147" s="62" t="n"/>
      <c r="BX147" s="62">
        <f>BW147-BV147</f>
        <v/>
      </c>
      <c r="BY147" s="64">
        <f>IF(BV147=0,"",BW147/BV147)</f>
        <v/>
      </c>
      <c r="BZ147" s="31" t="n"/>
      <c r="CA147" s="60" t="n"/>
      <c r="CB147" s="60" t="n"/>
      <c r="CC147" s="60">
        <f>CB147-CA147</f>
        <v/>
      </c>
      <c r="CD147" s="61">
        <f>IF(CA147=0,"",CB147/CA147)</f>
        <v/>
      </c>
      <c r="CE147" s="27" t="n"/>
      <c r="CF147" s="62" t="n"/>
      <c r="CG147" s="62" t="n"/>
      <c r="CH147" s="62">
        <f>CG147-CF147</f>
        <v/>
      </c>
      <c r="CI147" s="64">
        <f>IF(CF147=0,"",CG147/CF147)</f>
        <v/>
      </c>
      <c r="CJ147" s="31" t="n"/>
      <c r="CK147" s="60" t="n"/>
      <c r="CL147" s="60" t="n"/>
      <c r="CM147" s="60">
        <f>CL147-CK147</f>
        <v/>
      </c>
      <c r="CN147" s="61">
        <f>IF(CK147=0,"",CL147/CK147)</f>
        <v/>
      </c>
      <c r="CO147" s="27" t="n"/>
      <c r="CP147" s="62" t="n"/>
      <c r="CQ147" s="62" t="n"/>
      <c r="CR147" s="62">
        <f>CQ147-CP147</f>
        <v/>
      </c>
      <c r="CS147" s="64">
        <f>IF(CP147=0,"",CQ147/CP147)</f>
        <v/>
      </c>
      <c r="CT147" s="31" t="n"/>
      <c r="CU147" s="60" t="n"/>
      <c r="CV147" s="60" t="n"/>
      <c r="CW147" s="60">
        <f>CV147-CU147</f>
        <v/>
      </c>
      <c r="CX147" s="61">
        <f>IF(CU147=0,"",CV147/CU147)</f>
        <v/>
      </c>
      <c r="CY147" s="27" t="n"/>
      <c r="CZ147" s="62" t="n"/>
      <c r="DA147" s="62" t="n"/>
      <c r="DB147" s="62">
        <f>DA147-CZ147</f>
        <v/>
      </c>
      <c r="DC147" s="64">
        <f>IF(CZ147=0,"",DA147/CZ147)</f>
        <v/>
      </c>
      <c r="DD147" s="31" t="n"/>
      <c r="DE147" s="60" t="n"/>
      <c r="DF147" s="60" t="n"/>
      <c r="DG147" s="60">
        <f>DF147-DE147</f>
        <v/>
      </c>
      <c r="DH147" s="61">
        <f>IF(DE147=0,"",DF147/DE147)</f>
        <v/>
      </c>
      <c r="DI147" s="27" t="n"/>
      <c r="DJ147" s="62" t="n"/>
      <c r="DK147" s="62" t="n"/>
      <c r="DL147" s="62">
        <f>DK147-DJ147</f>
        <v/>
      </c>
      <c r="DM147" s="64">
        <f>IF(DJ147=0,"",DK147/DJ147)</f>
        <v/>
      </c>
      <c r="DN147" s="31" t="n"/>
      <c r="DO147" s="60" t="n"/>
    </row>
    <row r="148" outlineLevel="1" ht="15" customHeight="1">
      <c r="A148" s="24" t="n"/>
      <c r="B148" s="24" t="n"/>
      <c r="C148" s="24" t="n"/>
      <c r="D148" s="60" t="n"/>
      <c r="E148" s="60" t="n"/>
      <c r="F148" s="60">
        <f>E148-D148</f>
        <v/>
      </c>
      <c r="G148" s="61">
        <f>IF(D148=0,"",E148/D148)</f>
        <v/>
      </c>
      <c r="H148" s="27" t="n"/>
      <c r="I148" s="60" t="n"/>
      <c r="J148" s="60" t="n"/>
      <c r="K148" s="60">
        <f>J148-I148</f>
        <v/>
      </c>
      <c r="L148" s="61">
        <f>IF(I148=0,"",J148/I148)</f>
        <v/>
      </c>
      <c r="M148" s="27" t="n"/>
      <c r="N148" s="62" t="n"/>
      <c r="O148" s="62" t="n"/>
      <c r="P148" s="62">
        <f>O148-N148</f>
        <v/>
      </c>
      <c r="Q148" s="64">
        <f>IF(N148=0,"",O148/N148)</f>
        <v/>
      </c>
      <c r="R148" s="31" t="n"/>
      <c r="S148" s="60" t="n"/>
      <c r="T148" s="60" t="n"/>
      <c r="U148" s="60">
        <f>T148-S148</f>
        <v/>
      </c>
      <c r="V148" s="61">
        <f>IF(S148=0,"",T148/S148)</f>
        <v/>
      </c>
      <c r="W148" s="27" t="n"/>
      <c r="X148" s="62" t="n"/>
      <c r="Y148" s="62" t="n"/>
      <c r="Z148" s="62">
        <f>Y148-X148</f>
        <v/>
      </c>
      <c r="AA148" s="64">
        <f>IF(X148=0,"",Y148/X148)</f>
        <v/>
      </c>
      <c r="AB148" s="31" t="n"/>
      <c r="AC148" s="60" t="n"/>
      <c r="AD148" s="60" t="n"/>
      <c r="AE148" s="60">
        <f>AD148-AC148</f>
        <v/>
      </c>
      <c r="AF148" s="61">
        <f>IF(AC148=0,"",AD148/AC148)</f>
        <v/>
      </c>
      <c r="AG148" s="27" t="n"/>
      <c r="AH148" s="62" t="n"/>
      <c r="AI148" s="62" t="n"/>
      <c r="AJ148" s="62">
        <f>AI148-AH148</f>
        <v/>
      </c>
      <c r="AK148" s="64">
        <f>IF(AH148=0,"",AI148/AH148)</f>
        <v/>
      </c>
      <c r="AL148" s="31" t="n"/>
      <c r="AM148" s="60" t="n"/>
      <c r="AN148" s="60" t="n"/>
      <c r="AO148" s="60">
        <f>AN148-AM148</f>
        <v/>
      </c>
      <c r="AP148" s="61">
        <f>IF(AM148=0,"",AN148/AM148)</f>
        <v/>
      </c>
      <c r="AQ148" s="27" t="n"/>
      <c r="AR148" s="62" t="n"/>
      <c r="AS148" s="62" t="n"/>
      <c r="AT148" s="62">
        <f>AS148-AR148</f>
        <v/>
      </c>
      <c r="AU148" s="64">
        <f>IF(AR148=0,"",AS148/AR148)</f>
        <v/>
      </c>
      <c r="AV148" s="31" t="n"/>
      <c r="AW148" s="60" t="n"/>
      <c r="AX148" s="60" t="n"/>
      <c r="AY148" s="60">
        <f>AX148-AW148</f>
        <v/>
      </c>
      <c r="AZ148" s="61">
        <f>IF(AW148=0,"",AX148/AW148)</f>
        <v/>
      </c>
      <c r="BA148" s="27" t="n"/>
      <c r="BB148" s="62" t="n"/>
      <c r="BC148" s="62" t="n"/>
      <c r="BD148" s="62">
        <f>BC148-BB148</f>
        <v/>
      </c>
      <c r="BE148" s="64">
        <f>IF(BB148=0,"",BC148/BB148)</f>
        <v/>
      </c>
      <c r="BF148" s="31" t="n"/>
      <c r="BG148" s="60" t="n"/>
      <c r="BH148" s="60" t="n"/>
      <c r="BI148" s="60">
        <f>BH148-BG148</f>
        <v/>
      </c>
      <c r="BJ148" s="61">
        <f>IF(BG148=0,"",BH148/BG148)</f>
        <v/>
      </c>
      <c r="BK148" s="27" t="n"/>
      <c r="BL148" s="62" t="n"/>
      <c r="BM148" s="62" t="n"/>
      <c r="BN148" s="62">
        <f>BM148-BL148</f>
        <v/>
      </c>
      <c r="BO148" s="64">
        <f>IF(BL148=0,"",BM148/BL148)</f>
        <v/>
      </c>
      <c r="BP148" s="31" t="n"/>
      <c r="BQ148" s="60" t="n"/>
      <c r="BR148" s="60" t="n"/>
      <c r="BS148" s="60">
        <f>BR148-BQ148</f>
        <v/>
      </c>
      <c r="BT148" s="61">
        <f>IF(BQ148=0,"",BR148/BQ148)</f>
        <v/>
      </c>
      <c r="BU148" s="27" t="n"/>
      <c r="BV148" s="62" t="n"/>
      <c r="BW148" s="62" t="n"/>
      <c r="BX148" s="62">
        <f>BW148-BV148</f>
        <v/>
      </c>
      <c r="BY148" s="64">
        <f>IF(BV148=0,"",BW148/BV148)</f>
        <v/>
      </c>
      <c r="BZ148" s="31" t="n"/>
      <c r="CA148" s="60" t="n"/>
      <c r="CB148" s="60" t="n"/>
      <c r="CC148" s="60">
        <f>CB148-CA148</f>
        <v/>
      </c>
      <c r="CD148" s="61">
        <f>IF(CA148=0,"",CB148/CA148)</f>
        <v/>
      </c>
      <c r="CE148" s="27" t="n"/>
      <c r="CF148" s="62" t="n"/>
      <c r="CG148" s="62" t="n"/>
      <c r="CH148" s="62">
        <f>CG148-CF148</f>
        <v/>
      </c>
      <c r="CI148" s="64">
        <f>IF(CF148=0,"",CG148/CF148)</f>
        <v/>
      </c>
      <c r="CJ148" s="31" t="n"/>
      <c r="CK148" s="60" t="n"/>
      <c r="CL148" s="60" t="n"/>
      <c r="CM148" s="60">
        <f>CL148-CK148</f>
        <v/>
      </c>
      <c r="CN148" s="61">
        <f>IF(CK148=0,"",CL148/CK148)</f>
        <v/>
      </c>
      <c r="CO148" s="27" t="n"/>
      <c r="CP148" s="62" t="n"/>
      <c r="CQ148" s="62" t="n"/>
      <c r="CR148" s="62">
        <f>CQ148-CP148</f>
        <v/>
      </c>
      <c r="CS148" s="64">
        <f>IF(CP148=0,"",CQ148/CP148)</f>
        <v/>
      </c>
      <c r="CT148" s="31" t="n"/>
      <c r="CU148" s="60" t="n"/>
      <c r="CV148" s="60" t="n"/>
      <c r="CW148" s="60">
        <f>CV148-CU148</f>
        <v/>
      </c>
      <c r="CX148" s="61">
        <f>IF(CU148=0,"",CV148/CU148)</f>
        <v/>
      </c>
      <c r="CY148" s="27" t="n"/>
      <c r="CZ148" s="62" t="n"/>
      <c r="DA148" s="62" t="n"/>
      <c r="DB148" s="62">
        <f>DA148-CZ148</f>
        <v/>
      </c>
      <c r="DC148" s="64">
        <f>IF(CZ148=0,"",DA148/CZ148)</f>
        <v/>
      </c>
      <c r="DD148" s="31" t="n"/>
      <c r="DE148" s="60" t="n"/>
      <c r="DF148" s="60" t="n"/>
      <c r="DG148" s="60">
        <f>DF148-DE148</f>
        <v/>
      </c>
      <c r="DH148" s="61">
        <f>IF(DE148=0,"",DF148/DE148)</f>
        <v/>
      </c>
      <c r="DI148" s="27" t="n"/>
      <c r="DJ148" s="62" t="n"/>
      <c r="DK148" s="62" t="n"/>
      <c r="DL148" s="62">
        <f>DK148-DJ148</f>
        <v/>
      </c>
      <c r="DM148" s="64">
        <f>IF(DJ148=0,"",DK148/DJ148)</f>
        <v/>
      </c>
      <c r="DN148" s="31" t="n"/>
      <c r="DO148" s="60" t="n"/>
    </row>
    <row r="149" ht="15" customHeight="1">
      <c r="A149" s="19" t="n"/>
      <c r="B149" s="20" t="n"/>
      <c r="C149" s="19" t="n"/>
      <c r="D149" s="58">
        <f>D150</f>
        <v/>
      </c>
      <c r="E149" s="58">
        <f>E150</f>
        <v/>
      </c>
      <c r="F149" s="58">
        <f>E149-D149</f>
        <v/>
      </c>
      <c r="G149" s="59">
        <f>IF(D149=0,"",E149/D149)</f>
        <v/>
      </c>
      <c r="H149" s="23" t="n"/>
      <c r="I149" s="58">
        <f>I150</f>
        <v/>
      </c>
      <c r="J149" s="58">
        <f>J150</f>
        <v/>
      </c>
      <c r="K149" s="58">
        <f>J149-I149</f>
        <v/>
      </c>
      <c r="L149" s="59">
        <f>IF(I149=0,"",J149/I149)</f>
        <v/>
      </c>
      <c r="M149" s="23" t="n"/>
      <c r="N149" s="58">
        <f>N150</f>
        <v/>
      </c>
      <c r="O149" s="58">
        <f>O150</f>
        <v/>
      </c>
      <c r="P149" s="58">
        <f>O149-N149</f>
        <v/>
      </c>
      <c r="Q149" s="59">
        <f>IF(N149=0,"",O149/N149)</f>
        <v/>
      </c>
      <c r="R149" s="23" t="n"/>
      <c r="S149" s="58">
        <f>S150</f>
        <v/>
      </c>
      <c r="T149" s="58">
        <f>T150</f>
        <v/>
      </c>
      <c r="U149" s="58">
        <f>T149-S149</f>
        <v/>
      </c>
      <c r="V149" s="59">
        <f>IF(S149=0,"",T149/S149)</f>
        <v/>
      </c>
      <c r="W149" s="23" t="n"/>
      <c r="X149" s="58">
        <f>X150</f>
        <v/>
      </c>
      <c r="Y149" s="58">
        <f>Y150</f>
        <v/>
      </c>
      <c r="Z149" s="58">
        <f>Y149-X149</f>
        <v/>
      </c>
      <c r="AA149" s="59">
        <f>IF(X149=0,"",Y149/X149)</f>
        <v/>
      </c>
      <c r="AB149" s="23" t="n"/>
      <c r="AC149" s="58">
        <f>AC150</f>
        <v/>
      </c>
      <c r="AD149" s="58">
        <f>AD150</f>
        <v/>
      </c>
      <c r="AE149" s="58">
        <f>AD149-AC149</f>
        <v/>
      </c>
      <c r="AF149" s="59">
        <f>IF(AC149=0,"",AD149/AC149)</f>
        <v/>
      </c>
      <c r="AG149" s="23" t="n"/>
      <c r="AH149" s="58">
        <f>AH150</f>
        <v/>
      </c>
      <c r="AI149" s="58">
        <f>AI150</f>
        <v/>
      </c>
      <c r="AJ149" s="58">
        <f>AI149-AH149</f>
        <v/>
      </c>
      <c r="AK149" s="59">
        <f>IF(AH149=0,"",AI149/AH149)</f>
        <v/>
      </c>
      <c r="AL149" s="23" t="n"/>
      <c r="AM149" s="58">
        <f>AM150</f>
        <v/>
      </c>
      <c r="AN149" s="58">
        <f>AN150</f>
        <v/>
      </c>
      <c r="AO149" s="58">
        <f>AN149-AM149</f>
        <v/>
      </c>
      <c r="AP149" s="59">
        <f>IF(AM149=0,"",AN149/AM149)</f>
        <v/>
      </c>
      <c r="AQ149" s="23" t="n"/>
      <c r="AR149" s="58">
        <f>AR150</f>
        <v/>
      </c>
      <c r="AS149" s="58">
        <f>AS150</f>
        <v/>
      </c>
      <c r="AT149" s="58">
        <f>AS149-AR149</f>
        <v/>
      </c>
      <c r="AU149" s="59">
        <f>IF(AR149=0,"",AS149/AR149)</f>
        <v/>
      </c>
      <c r="AV149" s="23" t="n"/>
      <c r="AW149" s="58">
        <f>AW150</f>
        <v/>
      </c>
      <c r="AX149" s="58">
        <f>AX150</f>
        <v/>
      </c>
      <c r="AY149" s="58">
        <f>AX149-AW149</f>
        <v/>
      </c>
      <c r="AZ149" s="59">
        <f>IF(AW149=0,"",AX149/AW149)</f>
        <v/>
      </c>
      <c r="BA149" s="23" t="n"/>
      <c r="BB149" s="58">
        <f>BB150</f>
        <v/>
      </c>
      <c r="BC149" s="58">
        <f>BC150</f>
        <v/>
      </c>
      <c r="BD149" s="58">
        <f>BC149-BB149</f>
        <v/>
      </c>
      <c r="BE149" s="59">
        <f>IF(BB149=0,"",BC149/BB149)</f>
        <v/>
      </c>
      <c r="BF149" s="23" t="n"/>
      <c r="BG149" s="58">
        <f>BG150</f>
        <v/>
      </c>
      <c r="BH149" s="58">
        <f>BH150</f>
        <v/>
      </c>
      <c r="BI149" s="58">
        <f>BH149-BG149</f>
        <v/>
      </c>
      <c r="BJ149" s="59">
        <f>IF(BG149=0,"",BH149/BG149)</f>
        <v/>
      </c>
      <c r="BK149" s="23" t="n"/>
      <c r="BL149" s="58">
        <f>BL150</f>
        <v/>
      </c>
      <c r="BM149" s="58">
        <f>BM150</f>
        <v/>
      </c>
      <c r="BN149" s="58">
        <f>BM149-BL149</f>
        <v/>
      </c>
      <c r="BO149" s="59">
        <f>IF(BL149=0,"",BM149/BL149)</f>
        <v/>
      </c>
      <c r="BP149" s="23" t="n"/>
      <c r="BQ149" s="58">
        <f>BQ150</f>
        <v/>
      </c>
      <c r="BR149" s="58">
        <f>BR150</f>
        <v/>
      </c>
      <c r="BS149" s="58">
        <f>BR149-BQ149</f>
        <v/>
      </c>
      <c r="BT149" s="59">
        <f>IF(BQ149=0,"",BR149/BQ149)</f>
        <v/>
      </c>
      <c r="BU149" s="23" t="n"/>
      <c r="BV149" s="58">
        <f>BV150</f>
        <v/>
      </c>
      <c r="BW149" s="58">
        <f>BW150</f>
        <v/>
      </c>
      <c r="BX149" s="58">
        <f>BW149-BV149</f>
        <v/>
      </c>
      <c r="BY149" s="59">
        <f>IF(BV149=0,"",BW149/BV149)</f>
        <v/>
      </c>
      <c r="BZ149" s="23" t="n"/>
      <c r="CA149" s="58">
        <f>CA150</f>
        <v/>
      </c>
      <c r="CB149" s="58">
        <f>CB150</f>
        <v/>
      </c>
      <c r="CC149" s="58">
        <f>CB149-CA149</f>
        <v/>
      </c>
      <c r="CD149" s="59">
        <f>IF(CA149=0,"",CB149/CA149)</f>
        <v/>
      </c>
      <c r="CE149" s="23" t="n"/>
      <c r="CF149" s="58">
        <f>CF150</f>
        <v/>
      </c>
      <c r="CG149" s="58">
        <f>CG150</f>
        <v/>
      </c>
      <c r="CH149" s="58">
        <f>CG149-CF149</f>
        <v/>
      </c>
      <c r="CI149" s="59">
        <f>IF(CF149=0,"",CG149/CF149)</f>
        <v/>
      </c>
      <c r="CJ149" s="23" t="n"/>
      <c r="CK149" s="58">
        <f>CK150</f>
        <v/>
      </c>
      <c r="CL149" s="58">
        <f>CL150</f>
        <v/>
      </c>
      <c r="CM149" s="58">
        <f>CL149-CK149</f>
        <v/>
      </c>
      <c r="CN149" s="59">
        <f>IF(CK149=0,"",CL149/CK149)</f>
        <v/>
      </c>
      <c r="CO149" s="23" t="n"/>
      <c r="CP149" s="58">
        <f>CP150</f>
        <v/>
      </c>
      <c r="CQ149" s="58">
        <f>CQ150</f>
        <v/>
      </c>
      <c r="CR149" s="58">
        <f>CQ149-CP149</f>
        <v/>
      </c>
      <c r="CS149" s="59">
        <f>IF(CP149=0,"",CQ149/CP149)</f>
        <v/>
      </c>
      <c r="CT149" s="23" t="n"/>
      <c r="CU149" s="58">
        <f>CU150</f>
        <v/>
      </c>
      <c r="CV149" s="58">
        <f>CV150</f>
        <v/>
      </c>
      <c r="CW149" s="58">
        <f>CV149-CU149</f>
        <v/>
      </c>
      <c r="CX149" s="59">
        <f>IF(CU149=0,"",CV149/CU149)</f>
        <v/>
      </c>
      <c r="CY149" s="23" t="n"/>
      <c r="CZ149" s="58">
        <f>CZ150</f>
        <v/>
      </c>
      <c r="DA149" s="58">
        <f>DA150</f>
        <v/>
      </c>
      <c r="DB149" s="58">
        <f>DA149-CZ149</f>
        <v/>
      </c>
      <c r="DC149" s="59">
        <f>IF(CZ149=0,"",DA149/CZ149)</f>
        <v/>
      </c>
      <c r="DD149" s="23" t="n"/>
      <c r="DE149" s="58">
        <f>DE150</f>
        <v/>
      </c>
      <c r="DF149" s="58">
        <f>DF150</f>
        <v/>
      </c>
      <c r="DG149" s="58">
        <f>DF149-DE149</f>
        <v/>
      </c>
      <c r="DH149" s="59">
        <f>IF(DE149=0,"",DF149/DE149)</f>
        <v/>
      </c>
      <c r="DI149" s="23" t="n"/>
      <c r="DJ149" s="58">
        <f>DJ150</f>
        <v/>
      </c>
      <c r="DK149" s="58">
        <f>DK150</f>
        <v/>
      </c>
      <c r="DL149" s="58">
        <f>DK149-DJ149</f>
        <v/>
      </c>
      <c r="DM149" s="59">
        <f>IF(DJ149=0,"",DK149/DJ149)</f>
        <v/>
      </c>
      <c r="DN149" s="23" t="n"/>
      <c r="DO149" s="58">
        <f>DO150</f>
        <v/>
      </c>
    </row>
    <row r="150" outlineLevel="1" ht="15" customHeight="1">
      <c r="A150" s="24" t="n"/>
      <c r="B150" s="24" t="n"/>
      <c r="C150" s="24" t="n"/>
      <c r="D150" s="60" t="n"/>
      <c r="E150" s="60" t="n"/>
      <c r="F150" s="60">
        <f>E150-D150</f>
        <v/>
      </c>
      <c r="G150" s="61">
        <f>IF(D150=0,"",E150/D150)</f>
        <v/>
      </c>
      <c r="H150" s="27" t="n"/>
      <c r="I150" s="60" t="n"/>
      <c r="J150" s="60" t="n"/>
      <c r="K150" s="60">
        <f>J150-I150</f>
        <v/>
      </c>
      <c r="L150" s="61">
        <f>IF(I150=0,"",J150/I150)</f>
        <v/>
      </c>
      <c r="M150" s="27" t="n"/>
      <c r="N150" s="62" t="n"/>
      <c r="O150" s="62" t="n"/>
      <c r="P150" s="62">
        <f>O150-N150</f>
        <v/>
      </c>
      <c r="Q150" s="64">
        <f>IF(N150=0,"",O150/N150)</f>
        <v/>
      </c>
      <c r="R150" s="31" t="n"/>
      <c r="S150" s="60" t="n"/>
      <c r="T150" s="60" t="n"/>
      <c r="U150" s="60">
        <f>T150-S150</f>
        <v/>
      </c>
      <c r="V150" s="61">
        <f>IF(S150=0,"",T150/S150)</f>
        <v/>
      </c>
      <c r="W150" s="27" t="n"/>
      <c r="X150" s="62" t="n"/>
      <c r="Y150" s="62" t="n"/>
      <c r="Z150" s="62">
        <f>Y150-X150</f>
        <v/>
      </c>
      <c r="AA150" s="64">
        <f>IF(X150=0,"",Y150/X150)</f>
        <v/>
      </c>
      <c r="AB150" s="31" t="n"/>
      <c r="AC150" s="60" t="n"/>
      <c r="AD150" s="60" t="n"/>
      <c r="AE150" s="60">
        <f>AD150-AC150</f>
        <v/>
      </c>
      <c r="AF150" s="61">
        <f>IF(AC150=0,"",AD150/AC150)</f>
        <v/>
      </c>
      <c r="AG150" s="27" t="n"/>
      <c r="AH150" s="62" t="n"/>
      <c r="AI150" s="62" t="n"/>
      <c r="AJ150" s="62">
        <f>AI150-AH150</f>
        <v/>
      </c>
      <c r="AK150" s="64">
        <f>IF(AH150=0,"",AI150/AH150)</f>
        <v/>
      </c>
      <c r="AL150" s="31" t="n"/>
      <c r="AM150" s="60" t="n"/>
      <c r="AN150" s="60" t="n"/>
      <c r="AO150" s="60">
        <f>AN150-AM150</f>
        <v/>
      </c>
      <c r="AP150" s="61">
        <f>IF(AM150=0,"",AN150/AM150)</f>
        <v/>
      </c>
      <c r="AQ150" s="27" t="n"/>
      <c r="AR150" s="62" t="n"/>
      <c r="AS150" s="62" t="n"/>
      <c r="AT150" s="62">
        <f>AS150-AR150</f>
        <v/>
      </c>
      <c r="AU150" s="64">
        <f>IF(AR150=0,"",AS150/AR150)</f>
        <v/>
      </c>
      <c r="AV150" s="31" t="n"/>
      <c r="AW150" s="60" t="n"/>
      <c r="AX150" s="60" t="n"/>
      <c r="AY150" s="60">
        <f>AX150-AW150</f>
        <v/>
      </c>
      <c r="AZ150" s="61">
        <f>IF(AW150=0,"",AX150/AW150)</f>
        <v/>
      </c>
      <c r="BA150" s="27" t="n"/>
      <c r="BB150" s="62" t="n"/>
      <c r="BC150" s="62" t="n"/>
      <c r="BD150" s="62">
        <f>BC150-BB150</f>
        <v/>
      </c>
      <c r="BE150" s="64">
        <f>IF(BB150=0,"",BC150/BB150)</f>
        <v/>
      </c>
      <c r="BF150" s="31" t="n"/>
      <c r="BG150" s="60" t="n"/>
      <c r="BH150" s="60" t="n"/>
      <c r="BI150" s="60">
        <f>BH150-BG150</f>
        <v/>
      </c>
      <c r="BJ150" s="61">
        <f>IF(BG150=0,"",BH150/BG150)</f>
        <v/>
      </c>
      <c r="BK150" s="27" t="n"/>
      <c r="BL150" s="62" t="n"/>
      <c r="BM150" s="62" t="n"/>
      <c r="BN150" s="62">
        <f>BM150-BL150</f>
        <v/>
      </c>
      <c r="BO150" s="64">
        <f>IF(BL150=0,"",BM150/BL150)</f>
        <v/>
      </c>
      <c r="BP150" s="31" t="n"/>
      <c r="BQ150" s="60" t="n"/>
      <c r="BR150" s="60" t="n"/>
      <c r="BS150" s="60">
        <f>BR150-BQ150</f>
        <v/>
      </c>
      <c r="BT150" s="61">
        <f>IF(BQ150=0,"",BR150/BQ150)</f>
        <v/>
      </c>
      <c r="BU150" s="27" t="n"/>
      <c r="BV150" s="62" t="n"/>
      <c r="BW150" s="62" t="n"/>
      <c r="BX150" s="62">
        <f>BW150-BV150</f>
        <v/>
      </c>
      <c r="BY150" s="64">
        <f>IF(BV150=0,"",BW150/BV150)</f>
        <v/>
      </c>
      <c r="BZ150" s="31" t="n"/>
      <c r="CA150" s="60" t="n"/>
      <c r="CB150" s="60" t="n"/>
      <c r="CC150" s="60">
        <f>CB150-CA150</f>
        <v/>
      </c>
      <c r="CD150" s="61">
        <f>IF(CA150=0,"",CB150/CA150)</f>
        <v/>
      </c>
      <c r="CE150" s="27" t="n"/>
      <c r="CF150" s="62" t="n"/>
      <c r="CG150" s="62" t="n"/>
      <c r="CH150" s="62">
        <f>CG150-CF150</f>
        <v/>
      </c>
      <c r="CI150" s="64">
        <f>IF(CF150=0,"",CG150/CF150)</f>
        <v/>
      </c>
      <c r="CJ150" s="31" t="n"/>
      <c r="CK150" s="60" t="n"/>
      <c r="CL150" s="60" t="n"/>
      <c r="CM150" s="60">
        <f>CL150-CK150</f>
        <v/>
      </c>
      <c r="CN150" s="61">
        <f>IF(CK150=0,"",CL150/CK150)</f>
        <v/>
      </c>
      <c r="CO150" s="27" t="n"/>
      <c r="CP150" s="62" t="n"/>
      <c r="CQ150" s="62" t="n"/>
      <c r="CR150" s="62">
        <f>CQ150-CP150</f>
        <v/>
      </c>
      <c r="CS150" s="64">
        <f>IF(CP150=0,"",CQ150/CP150)</f>
        <v/>
      </c>
      <c r="CT150" s="31" t="n"/>
      <c r="CU150" s="60" t="n"/>
      <c r="CV150" s="60" t="n"/>
      <c r="CW150" s="60">
        <f>CV150-CU150</f>
        <v/>
      </c>
      <c r="CX150" s="61">
        <f>IF(CU150=0,"",CV150/CU150)</f>
        <v/>
      </c>
      <c r="CY150" s="27" t="n"/>
      <c r="CZ150" s="62" t="n"/>
      <c r="DA150" s="62" t="n"/>
      <c r="DB150" s="62">
        <f>DA150-CZ150</f>
        <v/>
      </c>
      <c r="DC150" s="64">
        <f>IF(CZ150=0,"",DA150/CZ150)</f>
        <v/>
      </c>
      <c r="DD150" s="31" t="n"/>
      <c r="DE150" s="60" t="n"/>
      <c r="DF150" s="60" t="n"/>
      <c r="DG150" s="60">
        <f>DF150-DE150</f>
        <v/>
      </c>
      <c r="DH150" s="61">
        <f>IF(DE150=0,"",DF150/DE150)</f>
        <v/>
      </c>
      <c r="DI150" s="27" t="n"/>
      <c r="DJ150" s="62" t="n"/>
      <c r="DK150" s="62" t="n"/>
      <c r="DL150" s="62">
        <f>DK150-DJ150</f>
        <v/>
      </c>
      <c r="DM150" s="64">
        <f>IF(DJ150=0,"",DK150/DJ150)</f>
        <v/>
      </c>
      <c r="DN150" s="31" t="n"/>
      <c r="DO150" s="60" t="n"/>
    </row>
    <row r="151" ht="15" customHeight="1">
      <c r="A151" s="19" t="n"/>
      <c r="B151" s="20" t="n"/>
      <c r="C151" s="19" t="n"/>
      <c r="D151" s="58">
        <f>D152</f>
        <v/>
      </c>
      <c r="E151" s="58">
        <f>E152</f>
        <v/>
      </c>
      <c r="F151" s="58">
        <f>E151-D151</f>
        <v/>
      </c>
      <c r="G151" s="59">
        <f>IF(D151=0,"",E151/D151)</f>
        <v/>
      </c>
      <c r="H151" s="23" t="n"/>
      <c r="I151" s="58">
        <f>I152</f>
        <v/>
      </c>
      <c r="J151" s="58">
        <f>J152</f>
        <v/>
      </c>
      <c r="K151" s="58">
        <f>J151-I151</f>
        <v/>
      </c>
      <c r="L151" s="59">
        <f>IF(I151=0,"",J151/I151)</f>
        <v/>
      </c>
      <c r="M151" s="23" t="n"/>
      <c r="N151" s="58">
        <f>N152</f>
        <v/>
      </c>
      <c r="O151" s="58">
        <f>O152</f>
        <v/>
      </c>
      <c r="P151" s="58">
        <f>O151-N151</f>
        <v/>
      </c>
      <c r="Q151" s="59">
        <f>IF(N151=0,"",O151/N151)</f>
        <v/>
      </c>
      <c r="R151" s="23" t="n"/>
      <c r="S151" s="58">
        <f>S152</f>
        <v/>
      </c>
      <c r="T151" s="58">
        <f>T152</f>
        <v/>
      </c>
      <c r="U151" s="58">
        <f>T151-S151</f>
        <v/>
      </c>
      <c r="V151" s="59">
        <f>IF(S151=0,"",T151/S151)</f>
        <v/>
      </c>
      <c r="W151" s="23" t="n"/>
      <c r="X151" s="58">
        <f>X152</f>
        <v/>
      </c>
      <c r="Y151" s="58">
        <f>Y152</f>
        <v/>
      </c>
      <c r="Z151" s="58">
        <f>Y151-X151</f>
        <v/>
      </c>
      <c r="AA151" s="59">
        <f>IF(X151=0,"",Y151/X151)</f>
        <v/>
      </c>
      <c r="AB151" s="23" t="n"/>
      <c r="AC151" s="58">
        <f>AC152</f>
        <v/>
      </c>
      <c r="AD151" s="58">
        <f>AD152</f>
        <v/>
      </c>
      <c r="AE151" s="58">
        <f>AD151-AC151</f>
        <v/>
      </c>
      <c r="AF151" s="59">
        <f>IF(AC151=0,"",AD151/AC151)</f>
        <v/>
      </c>
      <c r="AG151" s="23" t="n"/>
      <c r="AH151" s="58">
        <f>AH152</f>
        <v/>
      </c>
      <c r="AI151" s="58">
        <f>AI152</f>
        <v/>
      </c>
      <c r="AJ151" s="58">
        <f>AI151-AH151</f>
        <v/>
      </c>
      <c r="AK151" s="59">
        <f>IF(AH151=0,"",AI151/AH151)</f>
        <v/>
      </c>
      <c r="AL151" s="23" t="n"/>
      <c r="AM151" s="58">
        <f>AM152</f>
        <v/>
      </c>
      <c r="AN151" s="58">
        <f>AN152</f>
        <v/>
      </c>
      <c r="AO151" s="58">
        <f>AN151-AM151</f>
        <v/>
      </c>
      <c r="AP151" s="59">
        <f>IF(AM151=0,"",AN151/AM151)</f>
        <v/>
      </c>
      <c r="AQ151" s="23" t="n"/>
      <c r="AR151" s="58">
        <f>AR152</f>
        <v/>
      </c>
      <c r="AS151" s="58">
        <f>AS152</f>
        <v/>
      </c>
      <c r="AT151" s="58">
        <f>AS151-AR151</f>
        <v/>
      </c>
      <c r="AU151" s="59">
        <f>IF(AR151=0,"",AS151/AR151)</f>
        <v/>
      </c>
      <c r="AV151" s="23" t="n"/>
      <c r="AW151" s="58">
        <f>AW152</f>
        <v/>
      </c>
      <c r="AX151" s="58">
        <f>AX152</f>
        <v/>
      </c>
      <c r="AY151" s="58">
        <f>AX151-AW151</f>
        <v/>
      </c>
      <c r="AZ151" s="59">
        <f>IF(AW151=0,"",AX151/AW151)</f>
        <v/>
      </c>
      <c r="BA151" s="23" t="n"/>
      <c r="BB151" s="58">
        <f>BB152</f>
        <v/>
      </c>
      <c r="BC151" s="58">
        <f>BC152</f>
        <v/>
      </c>
      <c r="BD151" s="58">
        <f>BC151-BB151</f>
        <v/>
      </c>
      <c r="BE151" s="59">
        <f>IF(BB151=0,"",BC151/BB151)</f>
        <v/>
      </c>
      <c r="BF151" s="23" t="n"/>
      <c r="BG151" s="58">
        <f>BG152</f>
        <v/>
      </c>
      <c r="BH151" s="58">
        <f>BH152</f>
        <v/>
      </c>
      <c r="BI151" s="58">
        <f>BH151-BG151</f>
        <v/>
      </c>
      <c r="BJ151" s="59">
        <f>IF(BG151=0,"",BH151/BG151)</f>
        <v/>
      </c>
      <c r="BK151" s="23" t="n"/>
      <c r="BL151" s="58">
        <f>BL152</f>
        <v/>
      </c>
      <c r="BM151" s="58">
        <f>BM152</f>
        <v/>
      </c>
      <c r="BN151" s="58">
        <f>BM151-BL151</f>
        <v/>
      </c>
      <c r="BO151" s="59">
        <f>IF(BL151=0,"",BM151/BL151)</f>
        <v/>
      </c>
      <c r="BP151" s="23" t="n"/>
      <c r="BQ151" s="58">
        <f>BQ152</f>
        <v/>
      </c>
      <c r="BR151" s="58">
        <f>BR152</f>
        <v/>
      </c>
      <c r="BS151" s="58">
        <f>BR151-BQ151</f>
        <v/>
      </c>
      <c r="BT151" s="59">
        <f>IF(BQ151=0,"",BR151/BQ151)</f>
        <v/>
      </c>
      <c r="BU151" s="23" t="n"/>
      <c r="BV151" s="58">
        <f>BV152</f>
        <v/>
      </c>
      <c r="BW151" s="58">
        <f>BW152</f>
        <v/>
      </c>
      <c r="BX151" s="58">
        <f>BW151-BV151</f>
        <v/>
      </c>
      <c r="BY151" s="59">
        <f>IF(BV151=0,"",BW151/BV151)</f>
        <v/>
      </c>
      <c r="BZ151" s="23" t="n"/>
      <c r="CA151" s="58">
        <f>CA152</f>
        <v/>
      </c>
      <c r="CB151" s="58">
        <f>CB152</f>
        <v/>
      </c>
      <c r="CC151" s="58">
        <f>CB151-CA151</f>
        <v/>
      </c>
      <c r="CD151" s="59">
        <f>IF(CA151=0,"",CB151/CA151)</f>
        <v/>
      </c>
      <c r="CE151" s="23" t="n"/>
      <c r="CF151" s="58">
        <f>CF152</f>
        <v/>
      </c>
      <c r="CG151" s="58">
        <f>CG152</f>
        <v/>
      </c>
      <c r="CH151" s="58">
        <f>CG151-CF151</f>
        <v/>
      </c>
      <c r="CI151" s="59">
        <f>IF(CF151=0,"",CG151/CF151)</f>
        <v/>
      </c>
      <c r="CJ151" s="23" t="n"/>
      <c r="CK151" s="58">
        <f>CK152</f>
        <v/>
      </c>
      <c r="CL151" s="58">
        <f>CL152</f>
        <v/>
      </c>
      <c r="CM151" s="58">
        <f>CL151-CK151</f>
        <v/>
      </c>
      <c r="CN151" s="59">
        <f>IF(CK151=0,"",CL151/CK151)</f>
        <v/>
      </c>
      <c r="CO151" s="23" t="n"/>
      <c r="CP151" s="58">
        <f>CP152</f>
        <v/>
      </c>
      <c r="CQ151" s="58">
        <f>CQ152</f>
        <v/>
      </c>
      <c r="CR151" s="58">
        <f>CQ151-CP151</f>
        <v/>
      </c>
      <c r="CS151" s="59">
        <f>IF(CP151=0,"",CQ151/CP151)</f>
        <v/>
      </c>
      <c r="CT151" s="23" t="n"/>
      <c r="CU151" s="58">
        <f>CU152</f>
        <v/>
      </c>
      <c r="CV151" s="58">
        <f>CV152</f>
        <v/>
      </c>
      <c r="CW151" s="58">
        <f>CV151-CU151</f>
        <v/>
      </c>
      <c r="CX151" s="59">
        <f>IF(CU151=0,"",CV151/CU151)</f>
        <v/>
      </c>
      <c r="CY151" s="23" t="n"/>
      <c r="CZ151" s="58">
        <f>CZ152</f>
        <v/>
      </c>
      <c r="DA151" s="58">
        <f>DA152</f>
        <v/>
      </c>
      <c r="DB151" s="58">
        <f>DA151-CZ151</f>
        <v/>
      </c>
      <c r="DC151" s="59">
        <f>IF(CZ151=0,"",DA151/CZ151)</f>
        <v/>
      </c>
      <c r="DD151" s="23" t="n"/>
      <c r="DE151" s="58">
        <f>DE152</f>
        <v/>
      </c>
      <c r="DF151" s="58">
        <f>DF152</f>
        <v/>
      </c>
      <c r="DG151" s="58">
        <f>DF151-DE151</f>
        <v/>
      </c>
      <c r="DH151" s="59">
        <f>IF(DE151=0,"",DF151/DE151)</f>
        <v/>
      </c>
      <c r="DI151" s="23" t="n"/>
      <c r="DJ151" s="58">
        <f>DJ152</f>
        <v/>
      </c>
      <c r="DK151" s="58">
        <f>DK152</f>
        <v/>
      </c>
      <c r="DL151" s="58">
        <f>DK151-DJ151</f>
        <v/>
      </c>
      <c r="DM151" s="59">
        <f>IF(DJ151=0,"",DK151/DJ151)</f>
        <v/>
      </c>
      <c r="DN151" s="23" t="n"/>
      <c r="DO151" s="58">
        <f>DO152</f>
        <v/>
      </c>
    </row>
    <row r="152" outlineLevel="1" ht="15" customHeight="1">
      <c r="A152" s="24" t="n"/>
      <c r="B152" s="24" t="n"/>
      <c r="C152" s="24" t="n"/>
      <c r="D152" s="60" t="n"/>
      <c r="E152" s="60" t="n"/>
      <c r="F152" s="60">
        <f>E152-D152</f>
        <v/>
      </c>
      <c r="G152" s="61">
        <f>IF(D152=0,"",E152/D152)</f>
        <v/>
      </c>
      <c r="H152" s="27" t="n"/>
      <c r="I152" s="60" t="n"/>
      <c r="J152" s="60" t="n"/>
      <c r="K152" s="60">
        <f>J152-I152</f>
        <v/>
      </c>
      <c r="L152" s="61">
        <f>IF(I152=0,"",J152/I152)</f>
        <v/>
      </c>
      <c r="M152" s="27" t="n"/>
      <c r="N152" s="62" t="n"/>
      <c r="O152" s="62" t="n"/>
      <c r="P152" s="62">
        <f>O152-N152</f>
        <v/>
      </c>
      <c r="Q152" s="64">
        <f>IF(N152=0,"",O152/N152)</f>
        <v/>
      </c>
      <c r="R152" s="31" t="n"/>
      <c r="S152" s="60" t="n"/>
      <c r="T152" s="60" t="n"/>
      <c r="U152" s="60">
        <f>T152-S152</f>
        <v/>
      </c>
      <c r="V152" s="61">
        <f>IF(S152=0,"",T152/S152)</f>
        <v/>
      </c>
      <c r="W152" s="27" t="n"/>
      <c r="X152" s="62" t="n"/>
      <c r="Y152" s="62" t="n"/>
      <c r="Z152" s="62">
        <f>Y152-X152</f>
        <v/>
      </c>
      <c r="AA152" s="64">
        <f>IF(X152=0,"",Y152/X152)</f>
        <v/>
      </c>
      <c r="AB152" s="31" t="n"/>
      <c r="AC152" s="60" t="n"/>
      <c r="AD152" s="60" t="n"/>
      <c r="AE152" s="60">
        <f>AD152-AC152</f>
        <v/>
      </c>
      <c r="AF152" s="61">
        <f>IF(AC152=0,"",AD152/AC152)</f>
        <v/>
      </c>
      <c r="AG152" s="27" t="n"/>
      <c r="AH152" s="62" t="n"/>
      <c r="AI152" s="62" t="n"/>
      <c r="AJ152" s="62">
        <f>AI152-AH152</f>
        <v/>
      </c>
      <c r="AK152" s="64">
        <f>IF(AH152=0,"",AI152/AH152)</f>
        <v/>
      </c>
      <c r="AL152" s="31" t="n"/>
      <c r="AM152" s="60" t="n"/>
      <c r="AN152" s="60" t="n"/>
      <c r="AO152" s="60">
        <f>AN152-AM152</f>
        <v/>
      </c>
      <c r="AP152" s="61">
        <f>IF(AM152=0,"",AN152/AM152)</f>
        <v/>
      </c>
      <c r="AQ152" s="27" t="n"/>
      <c r="AR152" s="62" t="n"/>
      <c r="AS152" s="62" t="n"/>
      <c r="AT152" s="62">
        <f>AS152-AR152</f>
        <v/>
      </c>
      <c r="AU152" s="64">
        <f>IF(AR152=0,"",AS152/AR152)</f>
        <v/>
      </c>
      <c r="AV152" s="31" t="n"/>
      <c r="AW152" s="60" t="n"/>
      <c r="AX152" s="60" t="n"/>
      <c r="AY152" s="60">
        <f>AX152-AW152</f>
        <v/>
      </c>
      <c r="AZ152" s="61">
        <f>IF(AW152=0,"",AX152/AW152)</f>
        <v/>
      </c>
      <c r="BA152" s="27" t="n"/>
      <c r="BB152" s="62" t="n"/>
      <c r="BC152" s="62" t="n"/>
      <c r="BD152" s="62">
        <f>BC152-BB152</f>
        <v/>
      </c>
      <c r="BE152" s="64">
        <f>IF(BB152=0,"",BC152/BB152)</f>
        <v/>
      </c>
      <c r="BF152" s="31" t="n"/>
      <c r="BG152" s="60" t="n"/>
      <c r="BH152" s="60" t="n"/>
      <c r="BI152" s="60">
        <f>BH152-BG152</f>
        <v/>
      </c>
      <c r="BJ152" s="61">
        <f>IF(BG152=0,"",BH152/BG152)</f>
        <v/>
      </c>
      <c r="BK152" s="27" t="n"/>
      <c r="BL152" s="62" t="n"/>
      <c r="BM152" s="62" t="n"/>
      <c r="BN152" s="62">
        <f>BM152-BL152</f>
        <v/>
      </c>
      <c r="BO152" s="64">
        <f>IF(BL152=0,"",BM152/BL152)</f>
        <v/>
      </c>
      <c r="BP152" s="31" t="n"/>
      <c r="BQ152" s="60" t="n"/>
      <c r="BR152" s="60" t="n"/>
      <c r="BS152" s="60">
        <f>BR152-BQ152</f>
        <v/>
      </c>
      <c r="BT152" s="61">
        <f>IF(BQ152=0,"",BR152/BQ152)</f>
        <v/>
      </c>
      <c r="BU152" s="27" t="n"/>
      <c r="BV152" s="62" t="n"/>
      <c r="BW152" s="62" t="n"/>
      <c r="BX152" s="62">
        <f>BW152-BV152</f>
        <v/>
      </c>
      <c r="BY152" s="64">
        <f>IF(BV152=0,"",BW152/BV152)</f>
        <v/>
      </c>
      <c r="BZ152" s="31" t="n"/>
      <c r="CA152" s="60" t="n"/>
      <c r="CB152" s="60" t="n"/>
      <c r="CC152" s="60">
        <f>CB152-CA152</f>
        <v/>
      </c>
      <c r="CD152" s="61">
        <f>IF(CA152=0,"",CB152/CA152)</f>
        <v/>
      </c>
      <c r="CE152" s="27" t="n"/>
      <c r="CF152" s="62" t="n"/>
      <c r="CG152" s="62" t="n"/>
      <c r="CH152" s="62">
        <f>CG152-CF152</f>
        <v/>
      </c>
      <c r="CI152" s="64">
        <f>IF(CF152=0,"",CG152/CF152)</f>
        <v/>
      </c>
      <c r="CJ152" s="31" t="n"/>
      <c r="CK152" s="60" t="n"/>
      <c r="CL152" s="60" t="n"/>
      <c r="CM152" s="60">
        <f>CL152-CK152</f>
        <v/>
      </c>
      <c r="CN152" s="61">
        <f>IF(CK152=0,"",CL152/CK152)</f>
        <v/>
      </c>
      <c r="CO152" s="27" t="n"/>
      <c r="CP152" s="62" t="n"/>
      <c r="CQ152" s="62" t="n"/>
      <c r="CR152" s="62">
        <f>CQ152-CP152</f>
        <v/>
      </c>
      <c r="CS152" s="64">
        <f>IF(CP152=0,"",CQ152/CP152)</f>
        <v/>
      </c>
      <c r="CT152" s="31" t="n"/>
      <c r="CU152" s="60" t="n"/>
      <c r="CV152" s="60" t="n"/>
      <c r="CW152" s="60">
        <f>CV152-CU152</f>
        <v/>
      </c>
      <c r="CX152" s="61">
        <f>IF(CU152=0,"",CV152/CU152)</f>
        <v/>
      </c>
      <c r="CY152" s="27" t="n"/>
      <c r="CZ152" s="62" t="n"/>
      <c r="DA152" s="62" t="n"/>
      <c r="DB152" s="62">
        <f>DA152-CZ152</f>
        <v/>
      </c>
      <c r="DC152" s="64">
        <f>IF(CZ152=0,"",DA152/CZ152)</f>
        <v/>
      </c>
      <c r="DD152" s="31" t="n"/>
      <c r="DE152" s="60" t="n"/>
      <c r="DF152" s="60" t="n"/>
      <c r="DG152" s="60">
        <f>DF152-DE152</f>
        <v/>
      </c>
      <c r="DH152" s="61">
        <f>IF(DE152=0,"",DF152/DE152)</f>
        <v/>
      </c>
      <c r="DI152" s="27" t="n"/>
      <c r="DJ152" s="62" t="n"/>
      <c r="DK152" s="62" t="n"/>
      <c r="DL152" s="62">
        <f>DK152-DJ152</f>
        <v/>
      </c>
      <c r="DM152" s="64">
        <f>IF(DJ152=0,"",DK152/DJ152)</f>
        <v/>
      </c>
      <c r="DN152" s="31" t="n"/>
      <c r="DO152" s="60" t="n"/>
    </row>
    <row r="153" ht="15" customHeight="1">
      <c r="A153" s="19" t="n"/>
      <c r="B153" s="20" t="n"/>
      <c r="C153" s="19" t="n"/>
      <c r="D153" s="58">
        <f>D154</f>
        <v/>
      </c>
      <c r="E153" s="58">
        <f>E154</f>
        <v/>
      </c>
      <c r="F153" s="58">
        <f>E153-D153</f>
        <v/>
      </c>
      <c r="G153" s="59">
        <f>IF(D153=0,"",E153/D153)</f>
        <v/>
      </c>
      <c r="H153" s="23" t="n"/>
      <c r="I153" s="58">
        <f>I154</f>
        <v/>
      </c>
      <c r="J153" s="58">
        <f>J154</f>
        <v/>
      </c>
      <c r="K153" s="58">
        <f>J153-I153</f>
        <v/>
      </c>
      <c r="L153" s="59">
        <f>IF(I153=0,"",J153/I153)</f>
        <v/>
      </c>
      <c r="M153" s="23" t="n"/>
      <c r="N153" s="58">
        <f>N154</f>
        <v/>
      </c>
      <c r="O153" s="58">
        <f>O154</f>
        <v/>
      </c>
      <c r="P153" s="58">
        <f>O153-N153</f>
        <v/>
      </c>
      <c r="Q153" s="59">
        <f>IF(N153=0,"",O153/N153)</f>
        <v/>
      </c>
      <c r="R153" s="23" t="n"/>
      <c r="S153" s="58">
        <f>S154</f>
        <v/>
      </c>
      <c r="T153" s="58">
        <f>T154</f>
        <v/>
      </c>
      <c r="U153" s="58">
        <f>T153-S153</f>
        <v/>
      </c>
      <c r="V153" s="59">
        <f>IF(S153=0,"",T153/S153)</f>
        <v/>
      </c>
      <c r="W153" s="23" t="n"/>
      <c r="X153" s="58">
        <f>X154</f>
        <v/>
      </c>
      <c r="Y153" s="58">
        <f>Y154</f>
        <v/>
      </c>
      <c r="Z153" s="58">
        <f>Y153-X153</f>
        <v/>
      </c>
      <c r="AA153" s="59">
        <f>IF(X153=0,"",Y153/X153)</f>
        <v/>
      </c>
      <c r="AB153" s="23" t="n"/>
      <c r="AC153" s="58">
        <f>AC154</f>
        <v/>
      </c>
      <c r="AD153" s="58">
        <f>AD154</f>
        <v/>
      </c>
      <c r="AE153" s="58">
        <f>AD153-AC153</f>
        <v/>
      </c>
      <c r="AF153" s="59">
        <f>IF(AC153=0,"",AD153/AC153)</f>
        <v/>
      </c>
      <c r="AG153" s="23" t="n"/>
      <c r="AH153" s="58">
        <f>AH154</f>
        <v/>
      </c>
      <c r="AI153" s="58">
        <f>AI154</f>
        <v/>
      </c>
      <c r="AJ153" s="58">
        <f>AI153-AH153</f>
        <v/>
      </c>
      <c r="AK153" s="59">
        <f>IF(AH153=0,"",AI153/AH153)</f>
        <v/>
      </c>
      <c r="AL153" s="23" t="n"/>
      <c r="AM153" s="58">
        <f>AM154</f>
        <v/>
      </c>
      <c r="AN153" s="58">
        <f>AN154</f>
        <v/>
      </c>
      <c r="AO153" s="58">
        <f>AN153-AM153</f>
        <v/>
      </c>
      <c r="AP153" s="59">
        <f>IF(AM153=0,"",AN153/AM153)</f>
        <v/>
      </c>
      <c r="AQ153" s="23" t="n"/>
      <c r="AR153" s="58">
        <f>AR154</f>
        <v/>
      </c>
      <c r="AS153" s="58">
        <f>AS154</f>
        <v/>
      </c>
      <c r="AT153" s="58">
        <f>AS153-AR153</f>
        <v/>
      </c>
      <c r="AU153" s="59">
        <f>IF(AR153=0,"",AS153/AR153)</f>
        <v/>
      </c>
      <c r="AV153" s="23" t="n"/>
      <c r="AW153" s="58">
        <f>AW154</f>
        <v/>
      </c>
      <c r="AX153" s="58">
        <f>AX154</f>
        <v/>
      </c>
      <c r="AY153" s="58">
        <f>AX153-AW153</f>
        <v/>
      </c>
      <c r="AZ153" s="59">
        <f>IF(AW153=0,"",AX153/AW153)</f>
        <v/>
      </c>
      <c r="BA153" s="23" t="n"/>
      <c r="BB153" s="58">
        <f>BB154</f>
        <v/>
      </c>
      <c r="BC153" s="58">
        <f>BC154</f>
        <v/>
      </c>
      <c r="BD153" s="58">
        <f>BC153-BB153</f>
        <v/>
      </c>
      <c r="BE153" s="59">
        <f>IF(BB153=0,"",BC153/BB153)</f>
        <v/>
      </c>
      <c r="BF153" s="23" t="n"/>
      <c r="BG153" s="58">
        <f>BG154</f>
        <v/>
      </c>
      <c r="BH153" s="58">
        <f>BH154</f>
        <v/>
      </c>
      <c r="BI153" s="58">
        <f>BH153-BG153</f>
        <v/>
      </c>
      <c r="BJ153" s="59">
        <f>IF(BG153=0,"",BH153/BG153)</f>
        <v/>
      </c>
      <c r="BK153" s="23" t="n"/>
      <c r="BL153" s="58">
        <f>BL154</f>
        <v/>
      </c>
      <c r="BM153" s="58">
        <f>BM154</f>
        <v/>
      </c>
      <c r="BN153" s="58">
        <f>BM153-BL153</f>
        <v/>
      </c>
      <c r="BO153" s="59">
        <f>IF(BL153=0,"",BM153/BL153)</f>
        <v/>
      </c>
      <c r="BP153" s="23" t="n"/>
      <c r="BQ153" s="58">
        <f>BQ154</f>
        <v/>
      </c>
      <c r="BR153" s="58">
        <f>BR154</f>
        <v/>
      </c>
      <c r="BS153" s="58">
        <f>BR153-BQ153</f>
        <v/>
      </c>
      <c r="BT153" s="59">
        <f>IF(BQ153=0,"",BR153/BQ153)</f>
        <v/>
      </c>
      <c r="BU153" s="23" t="n"/>
      <c r="BV153" s="58">
        <f>BV154</f>
        <v/>
      </c>
      <c r="BW153" s="58">
        <f>BW154</f>
        <v/>
      </c>
      <c r="BX153" s="58">
        <f>BW153-BV153</f>
        <v/>
      </c>
      <c r="BY153" s="59">
        <f>IF(BV153=0,"",BW153/BV153)</f>
        <v/>
      </c>
      <c r="BZ153" s="23" t="n"/>
      <c r="CA153" s="58">
        <f>CA154</f>
        <v/>
      </c>
      <c r="CB153" s="58">
        <f>CB154</f>
        <v/>
      </c>
      <c r="CC153" s="58">
        <f>CB153-CA153</f>
        <v/>
      </c>
      <c r="CD153" s="59">
        <f>IF(CA153=0,"",CB153/CA153)</f>
        <v/>
      </c>
      <c r="CE153" s="23" t="n"/>
      <c r="CF153" s="58">
        <f>CF154</f>
        <v/>
      </c>
      <c r="CG153" s="58">
        <f>CG154</f>
        <v/>
      </c>
      <c r="CH153" s="58">
        <f>CG153-CF153</f>
        <v/>
      </c>
      <c r="CI153" s="59">
        <f>IF(CF153=0,"",CG153/CF153)</f>
        <v/>
      </c>
      <c r="CJ153" s="23" t="n"/>
      <c r="CK153" s="58">
        <f>CK154</f>
        <v/>
      </c>
      <c r="CL153" s="58">
        <f>CL154</f>
        <v/>
      </c>
      <c r="CM153" s="58">
        <f>CL153-CK153</f>
        <v/>
      </c>
      <c r="CN153" s="59">
        <f>IF(CK153=0,"",CL153/CK153)</f>
        <v/>
      </c>
      <c r="CO153" s="23" t="n"/>
      <c r="CP153" s="58">
        <f>CP154</f>
        <v/>
      </c>
      <c r="CQ153" s="58">
        <f>CQ154</f>
        <v/>
      </c>
      <c r="CR153" s="58">
        <f>CQ153-CP153</f>
        <v/>
      </c>
      <c r="CS153" s="59">
        <f>IF(CP153=0,"",CQ153/CP153)</f>
        <v/>
      </c>
      <c r="CT153" s="23" t="n"/>
      <c r="CU153" s="58">
        <f>CU154</f>
        <v/>
      </c>
      <c r="CV153" s="58">
        <f>CV154</f>
        <v/>
      </c>
      <c r="CW153" s="58">
        <f>CV153-CU153</f>
        <v/>
      </c>
      <c r="CX153" s="59">
        <f>IF(CU153=0,"",CV153/CU153)</f>
        <v/>
      </c>
      <c r="CY153" s="23" t="n"/>
      <c r="CZ153" s="58">
        <f>CZ154</f>
        <v/>
      </c>
      <c r="DA153" s="58">
        <f>DA154</f>
        <v/>
      </c>
      <c r="DB153" s="58">
        <f>DA153-CZ153</f>
        <v/>
      </c>
      <c r="DC153" s="59">
        <f>IF(CZ153=0,"",DA153/CZ153)</f>
        <v/>
      </c>
      <c r="DD153" s="23" t="n"/>
      <c r="DE153" s="58">
        <f>DE154</f>
        <v/>
      </c>
      <c r="DF153" s="58">
        <f>DF154</f>
        <v/>
      </c>
      <c r="DG153" s="58">
        <f>DF153-DE153</f>
        <v/>
      </c>
      <c r="DH153" s="59">
        <f>IF(DE153=0,"",DF153/DE153)</f>
        <v/>
      </c>
      <c r="DI153" s="23" t="n"/>
      <c r="DJ153" s="58">
        <f>DJ154</f>
        <v/>
      </c>
      <c r="DK153" s="58">
        <f>DK154</f>
        <v/>
      </c>
      <c r="DL153" s="58">
        <f>DK153-DJ153</f>
        <v/>
      </c>
      <c r="DM153" s="59">
        <f>IF(DJ153=0,"",DK153/DJ153)</f>
        <v/>
      </c>
      <c r="DN153" s="23" t="n"/>
      <c r="DO153" s="58">
        <f>DO154</f>
        <v/>
      </c>
    </row>
    <row r="154" outlineLevel="1" ht="15" customHeight="1">
      <c r="A154" s="24" t="n"/>
      <c r="B154" s="24" t="n"/>
      <c r="C154" s="24" t="n"/>
      <c r="D154" s="60" t="n"/>
      <c r="E154" s="60" t="n"/>
      <c r="F154" s="60">
        <f>E154-D154</f>
        <v/>
      </c>
      <c r="G154" s="61">
        <f>IF(D154=0,"",E154/D154)</f>
        <v/>
      </c>
      <c r="H154" s="27" t="n"/>
      <c r="I154" s="60" t="n"/>
      <c r="J154" s="60" t="n"/>
      <c r="K154" s="60">
        <f>J154-I154</f>
        <v/>
      </c>
      <c r="L154" s="61">
        <f>IF(I154=0,"",J154/I154)</f>
        <v/>
      </c>
      <c r="M154" s="27" t="n"/>
      <c r="N154" s="62" t="n"/>
      <c r="O154" s="62" t="n"/>
      <c r="P154" s="62">
        <f>O154-N154</f>
        <v/>
      </c>
      <c r="Q154" s="64">
        <f>IF(N154=0,"",O154/N154)</f>
        <v/>
      </c>
      <c r="R154" s="31" t="n"/>
      <c r="S154" s="60" t="n"/>
      <c r="T154" s="60" t="n"/>
      <c r="U154" s="60">
        <f>T154-S154</f>
        <v/>
      </c>
      <c r="V154" s="61">
        <f>IF(S154=0,"",T154/S154)</f>
        <v/>
      </c>
      <c r="W154" s="27" t="n"/>
      <c r="X154" s="62" t="n"/>
      <c r="Y154" s="62" t="n"/>
      <c r="Z154" s="62">
        <f>Y154-X154</f>
        <v/>
      </c>
      <c r="AA154" s="64">
        <f>IF(X154=0,"",Y154/X154)</f>
        <v/>
      </c>
      <c r="AB154" s="31" t="n"/>
      <c r="AC154" s="60" t="n"/>
      <c r="AD154" s="60" t="n"/>
      <c r="AE154" s="60">
        <f>AD154-AC154</f>
        <v/>
      </c>
      <c r="AF154" s="61">
        <f>IF(AC154=0,"",AD154/AC154)</f>
        <v/>
      </c>
      <c r="AG154" s="27" t="n"/>
      <c r="AH154" s="62" t="n"/>
      <c r="AI154" s="62" t="n"/>
      <c r="AJ154" s="62">
        <f>AI154-AH154</f>
        <v/>
      </c>
      <c r="AK154" s="64">
        <f>IF(AH154=0,"",AI154/AH154)</f>
        <v/>
      </c>
      <c r="AL154" s="31" t="n"/>
      <c r="AM154" s="60" t="n"/>
      <c r="AN154" s="60" t="n"/>
      <c r="AO154" s="60">
        <f>AN154-AM154</f>
        <v/>
      </c>
      <c r="AP154" s="61">
        <f>IF(AM154=0,"",AN154/AM154)</f>
        <v/>
      </c>
      <c r="AQ154" s="27" t="n"/>
      <c r="AR154" s="62" t="n"/>
      <c r="AS154" s="62" t="n"/>
      <c r="AT154" s="62">
        <f>AS154-AR154</f>
        <v/>
      </c>
      <c r="AU154" s="64">
        <f>IF(AR154=0,"",AS154/AR154)</f>
        <v/>
      </c>
      <c r="AV154" s="31" t="n"/>
      <c r="AW154" s="60" t="n"/>
      <c r="AX154" s="60" t="n"/>
      <c r="AY154" s="60">
        <f>AX154-AW154</f>
        <v/>
      </c>
      <c r="AZ154" s="61">
        <f>IF(AW154=0,"",AX154/AW154)</f>
        <v/>
      </c>
      <c r="BA154" s="27" t="n"/>
      <c r="BB154" s="62" t="n"/>
      <c r="BC154" s="62" t="n"/>
      <c r="BD154" s="62">
        <f>BC154-BB154</f>
        <v/>
      </c>
      <c r="BE154" s="64">
        <f>IF(BB154=0,"",BC154/BB154)</f>
        <v/>
      </c>
      <c r="BF154" s="31" t="n"/>
      <c r="BG154" s="60" t="n"/>
      <c r="BH154" s="60" t="n"/>
      <c r="BI154" s="60">
        <f>BH154-BG154</f>
        <v/>
      </c>
      <c r="BJ154" s="61">
        <f>IF(BG154=0,"",BH154/BG154)</f>
        <v/>
      </c>
      <c r="BK154" s="27" t="n"/>
      <c r="BL154" s="62" t="n"/>
      <c r="BM154" s="62" t="n"/>
      <c r="BN154" s="62">
        <f>BM154-BL154</f>
        <v/>
      </c>
      <c r="BO154" s="64">
        <f>IF(BL154=0,"",BM154/BL154)</f>
        <v/>
      </c>
      <c r="BP154" s="31" t="n"/>
      <c r="BQ154" s="60" t="n"/>
      <c r="BR154" s="60" t="n"/>
      <c r="BS154" s="60">
        <f>BR154-BQ154</f>
        <v/>
      </c>
      <c r="BT154" s="61">
        <f>IF(BQ154=0,"",BR154/BQ154)</f>
        <v/>
      </c>
      <c r="BU154" s="27" t="n"/>
      <c r="BV154" s="62" t="n"/>
      <c r="BW154" s="62" t="n"/>
      <c r="BX154" s="62">
        <f>BW154-BV154</f>
        <v/>
      </c>
      <c r="BY154" s="64">
        <f>IF(BV154=0,"",BW154/BV154)</f>
        <v/>
      </c>
      <c r="BZ154" s="31" t="n"/>
      <c r="CA154" s="60" t="n"/>
      <c r="CB154" s="60" t="n"/>
      <c r="CC154" s="60">
        <f>CB154-CA154</f>
        <v/>
      </c>
      <c r="CD154" s="61">
        <f>IF(CA154=0,"",CB154/CA154)</f>
        <v/>
      </c>
      <c r="CE154" s="27" t="n"/>
      <c r="CF154" s="62" t="n"/>
      <c r="CG154" s="62" t="n"/>
      <c r="CH154" s="62">
        <f>CG154-CF154</f>
        <v/>
      </c>
      <c r="CI154" s="64">
        <f>IF(CF154=0,"",CG154/CF154)</f>
        <v/>
      </c>
      <c r="CJ154" s="31" t="n"/>
      <c r="CK154" s="60" t="n"/>
      <c r="CL154" s="60" t="n"/>
      <c r="CM154" s="60">
        <f>CL154-CK154</f>
        <v/>
      </c>
      <c r="CN154" s="61">
        <f>IF(CK154=0,"",CL154/CK154)</f>
        <v/>
      </c>
      <c r="CO154" s="27" t="n"/>
      <c r="CP154" s="62" t="n"/>
      <c r="CQ154" s="62" t="n"/>
      <c r="CR154" s="62">
        <f>CQ154-CP154</f>
        <v/>
      </c>
      <c r="CS154" s="64">
        <f>IF(CP154=0,"",CQ154/CP154)</f>
        <v/>
      </c>
      <c r="CT154" s="31" t="n"/>
      <c r="CU154" s="60" t="n"/>
      <c r="CV154" s="60" t="n"/>
      <c r="CW154" s="60">
        <f>CV154-CU154</f>
        <v/>
      </c>
      <c r="CX154" s="61">
        <f>IF(CU154=0,"",CV154/CU154)</f>
        <v/>
      </c>
      <c r="CY154" s="27" t="n"/>
      <c r="CZ154" s="62" t="n"/>
      <c r="DA154" s="62" t="n"/>
      <c r="DB154" s="62">
        <f>DA154-CZ154</f>
        <v/>
      </c>
      <c r="DC154" s="64">
        <f>IF(CZ154=0,"",DA154/CZ154)</f>
        <v/>
      </c>
      <c r="DD154" s="31" t="n"/>
      <c r="DE154" s="60" t="n"/>
      <c r="DF154" s="60" t="n"/>
      <c r="DG154" s="60">
        <f>DF154-DE154</f>
        <v/>
      </c>
      <c r="DH154" s="61">
        <f>IF(DE154=0,"",DF154/DE154)</f>
        <v/>
      </c>
      <c r="DI154" s="27" t="n"/>
      <c r="DJ154" s="62" t="n"/>
      <c r="DK154" s="62" t="n"/>
      <c r="DL154" s="62">
        <f>DK154-DJ154</f>
        <v/>
      </c>
      <c r="DM154" s="64">
        <f>IF(DJ154=0,"",DK154/DJ154)</f>
        <v/>
      </c>
      <c r="DN154" s="31" t="n"/>
      <c r="DO154" s="60" t="n"/>
    </row>
    <row r="155" ht="15" customHeight="1">
      <c r="A155" s="19" t="n"/>
      <c r="B155" s="20" t="n"/>
      <c r="C155" s="19" t="n"/>
      <c r="D155" s="58">
        <f>D156+D157+D158+D159+D160+D161</f>
        <v/>
      </c>
      <c r="E155" s="58">
        <f>E156+E157+E158+E159+E160+E161</f>
        <v/>
      </c>
      <c r="F155" s="58">
        <f>E155-D155</f>
        <v/>
      </c>
      <c r="G155" s="59">
        <f>IF(D155=0,"",E155/D155)</f>
        <v/>
      </c>
      <c r="H155" s="23" t="n"/>
      <c r="I155" s="58">
        <f>I156+I157+I158+I159+I160+I161</f>
        <v/>
      </c>
      <c r="J155" s="58">
        <f>J156+J157+J158+J159+J160+J161</f>
        <v/>
      </c>
      <c r="K155" s="58">
        <f>J155-I155</f>
        <v/>
      </c>
      <c r="L155" s="59">
        <f>IF(I155=0,"",J155/I155)</f>
        <v/>
      </c>
      <c r="M155" s="23" t="n"/>
      <c r="N155" s="58">
        <f>N156+N157+N158+N159+N160+N161</f>
        <v/>
      </c>
      <c r="O155" s="58">
        <f>O156+O157+O158+O159+O160+O161</f>
        <v/>
      </c>
      <c r="P155" s="58">
        <f>O155-N155</f>
        <v/>
      </c>
      <c r="Q155" s="59">
        <f>IF(N155=0,"",O155/N155)</f>
        <v/>
      </c>
      <c r="R155" s="23" t="n"/>
      <c r="S155" s="58">
        <f>S156+S157+S158+S159+S160+S161</f>
        <v/>
      </c>
      <c r="T155" s="58">
        <f>T156+T157+T158+T159+T160+T161</f>
        <v/>
      </c>
      <c r="U155" s="58">
        <f>T155-S155</f>
        <v/>
      </c>
      <c r="V155" s="59">
        <f>IF(S155=0,"",T155/S155)</f>
        <v/>
      </c>
      <c r="W155" s="23" t="n"/>
      <c r="X155" s="58">
        <f>X156+X157+X158+X159+X160+X161</f>
        <v/>
      </c>
      <c r="Y155" s="58">
        <f>Y156+Y157+Y158+Y159+Y160+Y161</f>
        <v/>
      </c>
      <c r="Z155" s="58">
        <f>Y155-X155</f>
        <v/>
      </c>
      <c r="AA155" s="59">
        <f>IF(X155=0,"",Y155/X155)</f>
        <v/>
      </c>
      <c r="AB155" s="23" t="n"/>
      <c r="AC155" s="58">
        <f>AC156+AC157+AC158+AC159+AC160+AC161</f>
        <v/>
      </c>
      <c r="AD155" s="58">
        <f>AD156+AD157+AD158+AD159+AD160+AD161</f>
        <v/>
      </c>
      <c r="AE155" s="58">
        <f>AD155-AC155</f>
        <v/>
      </c>
      <c r="AF155" s="59">
        <f>IF(AC155=0,"",AD155/AC155)</f>
        <v/>
      </c>
      <c r="AG155" s="23" t="n"/>
      <c r="AH155" s="58">
        <f>AH156+AH157+AH158+AH159+AH160+AH161</f>
        <v/>
      </c>
      <c r="AI155" s="58">
        <f>AI156+AI157+AI158+AI159+AI160+AI161</f>
        <v/>
      </c>
      <c r="AJ155" s="58">
        <f>AI155-AH155</f>
        <v/>
      </c>
      <c r="AK155" s="59">
        <f>IF(AH155=0,"",AI155/AH155)</f>
        <v/>
      </c>
      <c r="AL155" s="23" t="n"/>
      <c r="AM155" s="58">
        <f>AM156+AM157+AM158+AM159+AM160+AM161</f>
        <v/>
      </c>
      <c r="AN155" s="58">
        <f>AN156+AN157+AN158+AN159+AN160+AN161</f>
        <v/>
      </c>
      <c r="AO155" s="58">
        <f>AN155-AM155</f>
        <v/>
      </c>
      <c r="AP155" s="59">
        <f>IF(AM155=0,"",AN155/AM155)</f>
        <v/>
      </c>
      <c r="AQ155" s="23" t="n"/>
      <c r="AR155" s="58">
        <f>AR156+AR157+AR158+AR159+AR160+AR161</f>
        <v/>
      </c>
      <c r="AS155" s="58">
        <f>AS156+AS157+AS158+AS159+AS160+AS161</f>
        <v/>
      </c>
      <c r="AT155" s="58">
        <f>AS155-AR155</f>
        <v/>
      </c>
      <c r="AU155" s="59">
        <f>IF(AR155=0,"",AS155/AR155)</f>
        <v/>
      </c>
      <c r="AV155" s="23" t="n"/>
      <c r="AW155" s="58">
        <f>AW156+AW157+AW158+AW159+AW160+AW161</f>
        <v/>
      </c>
      <c r="AX155" s="58">
        <f>AX156+AX157+AX158+AX159+AX160+AX161</f>
        <v/>
      </c>
      <c r="AY155" s="58">
        <f>AX155-AW155</f>
        <v/>
      </c>
      <c r="AZ155" s="59">
        <f>IF(AW155=0,"",AX155/AW155)</f>
        <v/>
      </c>
      <c r="BA155" s="23" t="n"/>
      <c r="BB155" s="58">
        <f>BB156+BB157+BB158+BB159+BB160+BB161</f>
        <v/>
      </c>
      <c r="BC155" s="58">
        <f>BC156+BC157+BC158+BC159+BC160+BC161</f>
        <v/>
      </c>
      <c r="BD155" s="58">
        <f>BC155-BB155</f>
        <v/>
      </c>
      <c r="BE155" s="59">
        <f>IF(BB155=0,"",BC155/BB155)</f>
        <v/>
      </c>
      <c r="BF155" s="23" t="n"/>
      <c r="BG155" s="58">
        <f>BG156+BG157+BG158+BG159+BG160+BG161</f>
        <v/>
      </c>
      <c r="BH155" s="58">
        <f>BH156+BH157+BH158+BH159+BH160+BH161</f>
        <v/>
      </c>
      <c r="BI155" s="58">
        <f>BH155-BG155</f>
        <v/>
      </c>
      <c r="BJ155" s="59">
        <f>IF(BG155=0,"",BH155/BG155)</f>
        <v/>
      </c>
      <c r="BK155" s="23" t="n"/>
      <c r="BL155" s="58">
        <f>BL156+BL157+BL158+BL159+BL160+BL161</f>
        <v/>
      </c>
      <c r="BM155" s="58">
        <f>BM156+BM157+BM158+BM159+BM160+BM161</f>
        <v/>
      </c>
      <c r="BN155" s="58">
        <f>BM155-BL155</f>
        <v/>
      </c>
      <c r="BO155" s="59">
        <f>IF(BL155=0,"",BM155/BL155)</f>
        <v/>
      </c>
      <c r="BP155" s="23" t="n"/>
      <c r="BQ155" s="58">
        <f>BQ156+BQ157+BQ158+BQ159+BQ160+BQ161</f>
        <v/>
      </c>
      <c r="BR155" s="58">
        <f>BR156+BR157+BR158+BR159+BR160+BR161</f>
        <v/>
      </c>
      <c r="BS155" s="58">
        <f>BR155-BQ155</f>
        <v/>
      </c>
      <c r="BT155" s="59">
        <f>IF(BQ155=0,"",BR155/BQ155)</f>
        <v/>
      </c>
      <c r="BU155" s="23" t="n"/>
      <c r="BV155" s="58">
        <f>BV156+BV157+BV158+BV159+BV160+BV161</f>
        <v/>
      </c>
      <c r="BW155" s="58">
        <f>BW156+BW157+BW158+BW159+BW160+BW161</f>
        <v/>
      </c>
      <c r="BX155" s="58">
        <f>BW155-BV155</f>
        <v/>
      </c>
      <c r="BY155" s="59">
        <f>IF(BV155=0,"",BW155/BV155)</f>
        <v/>
      </c>
      <c r="BZ155" s="23" t="n"/>
      <c r="CA155" s="58">
        <f>CA156+CA157+CA158+CA159+CA160+CA161</f>
        <v/>
      </c>
      <c r="CB155" s="58">
        <f>CB156+CB157+CB158+CB159+CB160+CB161</f>
        <v/>
      </c>
      <c r="CC155" s="58">
        <f>CB155-CA155</f>
        <v/>
      </c>
      <c r="CD155" s="59">
        <f>IF(CA155=0,"",CB155/CA155)</f>
        <v/>
      </c>
      <c r="CE155" s="23" t="n"/>
      <c r="CF155" s="58">
        <f>CF156+CF157+CF158+CF159+CF160+CF161</f>
        <v/>
      </c>
      <c r="CG155" s="58">
        <f>CG156+CG157+CG158+CG159+CG160+CG161</f>
        <v/>
      </c>
      <c r="CH155" s="58">
        <f>CG155-CF155</f>
        <v/>
      </c>
      <c r="CI155" s="59">
        <f>IF(CF155=0,"",CG155/CF155)</f>
        <v/>
      </c>
      <c r="CJ155" s="23" t="n"/>
      <c r="CK155" s="58">
        <f>CK156+CK157+CK158+CK159+CK160+CK161</f>
        <v/>
      </c>
      <c r="CL155" s="58">
        <f>CL156+CL157+CL158+CL159+CL160+CL161</f>
        <v/>
      </c>
      <c r="CM155" s="58">
        <f>CL155-CK155</f>
        <v/>
      </c>
      <c r="CN155" s="59">
        <f>IF(CK155=0,"",CL155/CK155)</f>
        <v/>
      </c>
      <c r="CO155" s="23" t="n"/>
      <c r="CP155" s="58">
        <f>CP156+CP157+CP158+CP159+CP160+CP161</f>
        <v/>
      </c>
      <c r="CQ155" s="58">
        <f>CQ156+CQ157+CQ158+CQ159+CQ160+CQ161</f>
        <v/>
      </c>
      <c r="CR155" s="58">
        <f>CQ155-CP155</f>
        <v/>
      </c>
      <c r="CS155" s="59">
        <f>IF(CP155=0,"",CQ155/CP155)</f>
        <v/>
      </c>
      <c r="CT155" s="23" t="n"/>
      <c r="CU155" s="58">
        <f>CU156+CU157+CU158+CU159+CU160+CU161</f>
        <v/>
      </c>
      <c r="CV155" s="58">
        <f>CV156+CV157+CV158+CV159+CV160+CV161</f>
        <v/>
      </c>
      <c r="CW155" s="58">
        <f>CV155-CU155</f>
        <v/>
      </c>
      <c r="CX155" s="59">
        <f>IF(CU155=0,"",CV155/CU155)</f>
        <v/>
      </c>
      <c r="CY155" s="23" t="n"/>
      <c r="CZ155" s="58">
        <f>CZ156+CZ157+CZ158+CZ159+CZ160+CZ161</f>
        <v/>
      </c>
      <c r="DA155" s="58">
        <f>DA156+DA157+DA158+DA159+DA160+DA161</f>
        <v/>
      </c>
      <c r="DB155" s="58">
        <f>DA155-CZ155</f>
        <v/>
      </c>
      <c r="DC155" s="59">
        <f>IF(CZ155=0,"",DA155/CZ155)</f>
        <v/>
      </c>
      <c r="DD155" s="23" t="n"/>
      <c r="DE155" s="58">
        <f>DE156+DE157+DE158+DE159+DE160+DE161</f>
        <v/>
      </c>
      <c r="DF155" s="58">
        <f>DF156+DF157+DF158+DF159+DF160+DF161</f>
        <v/>
      </c>
      <c r="DG155" s="58">
        <f>DF155-DE155</f>
        <v/>
      </c>
      <c r="DH155" s="59">
        <f>IF(DE155=0,"",DF155/DE155)</f>
        <v/>
      </c>
      <c r="DI155" s="23" t="n"/>
      <c r="DJ155" s="58">
        <f>DJ156+DJ157+DJ158+DJ159+DJ160+DJ161</f>
        <v/>
      </c>
      <c r="DK155" s="58">
        <f>DK156+DK157+DK158+DK159+DK160+DK161</f>
        <v/>
      </c>
      <c r="DL155" s="58">
        <f>DK155-DJ155</f>
        <v/>
      </c>
      <c r="DM155" s="59">
        <f>IF(DJ155=0,"",DK155/DJ155)</f>
        <v/>
      </c>
      <c r="DN155" s="23" t="n"/>
      <c r="DO155" s="58">
        <f>DO156+DO157+DO158+DO159+DO160+DO161</f>
        <v/>
      </c>
    </row>
    <row r="156" outlineLevel="1" ht="15" customHeight="1">
      <c r="A156" s="24" t="n"/>
      <c r="B156" s="24" t="n"/>
      <c r="C156" s="24" t="n"/>
      <c r="D156" s="60" t="n"/>
      <c r="E156" s="60" t="n"/>
      <c r="F156" s="60">
        <f>E156-D156</f>
        <v/>
      </c>
      <c r="G156" s="61">
        <f>IF(D156=0,"",E156/D156)</f>
        <v/>
      </c>
      <c r="H156" s="27" t="n"/>
      <c r="I156" s="60" t="n"/>
      <c r="J156" s="60" t="n"/>
      <c r="K156" s="60">
        <f>J156-I156</f>
        <v/>
      </c>
      <c r="L156" s="61">
        <f>IF(I156=0,"",J156/I156)</f>
        <v/>
      </c>
      <c r="M156" s="27" t="n"/>
      <c r="N156" s="62" t="n"/>
      <c r="O156" s="62" t="n"/>
      <c r="P156" s="62">
        <f>O156-N156</f>
        <v/>
      </c>
      <c r="Q156" s="64">
        <f>IF(N156=0,"",O156/N156)</f>
        <v/>
      </c>
      <c r="R156" s="31" t="n"/>
      <c r="S156" s="60" t="n"/>
      <c r="T156" s="60" t="n"/>
      <c r="U156" s="60">
        <f>T156-S156</f>
        <v/>
      </c>
      <c r="V156" s="61">
        <f>IF(S156=0,"",T156/S156)</f>
        <v/>
      </c>
      <c r="W156" s="27" t="n"/>
      <c r="X156" s="62" t="n"/>
      <c r="Y156" s="62" t="n"/>
      <c r="Z156" s="62">
        <f>Y156-X156</f>
        <v/>
      </c>
      <c r="AA156" s="64">
        <f>IF(X156=0,"",Y156/X156)</f>
        <v/>
      </c>
      <c r="AB156" s="31" t="n"/>
      <c r="AC156" s="60" t="n"/>
      <c r="AD156" s="60" t="n"/>
      <c r="AE156" s="60">
        <f>AD156-AC156</f>
        <v/>
      </c>
      <c r="AF156" s="61">
        <f>IF(AC156=0,"",AD156/AC156)</f>
        <v/>
      </c>
      <c r="AG156" s="27" t="n"/>
      <c r="AH156" s="62" t="n"/>
      <c r="AI156" s="62" t="n"/>
      <c r="AJ156" s="62">
        <f>AI156-AH156</f>
        <v/>
      </c>
      <c r="AK156" s="64">
        <f>IF(AH156=0,"",AI156/AH156)</f>
        <v/>
      </c>
      <c r="AL156" s="31" t="n"/>
      <c r="AM156" s="60" t="n"/>
      <c r="AN156" s="60" t="n"/>
      <c r="AO156" s="60">
        <f>AN156-AM156</f>
        <v/>
      </c>
      <c r="AP156" s="61">
        <f>IF(AM156=0,"",AN156/AM156)</f>
        <v/>
      </c>
      <c r="AQ156" s="27" t="n"/>
      <c r="AR156" s="62" t="n"/>
      <c r="AS156" s="62" t="n"/>
      <c r="AT156" s="62">
        <f>AS156-AR156</f>
        <v/>
      </c>
      <c r="AU156" s="64">
        <f>IF(AR156=0,"",AS156/AR156)</f>
        <v/>
      </c>
      <c r="AV156" s="31" t="n"/>
      <c r="AW156" s="60" t="n"/>
      <c r="AX156" s="60" t="n"/>
      <c r="AY156" s="60">
        <f>AX156-AW156</f>
        <v/>
      </c>
      <c r="AZ156" s="61">
        <f>IF(AW156=0,"",AX156/AW156)</f>
        <v/>
      </c>
      <c r="BA156" s="27" t="n"/>
      <c r="BB156" s="62" t="n"/>
      <c r="BC156" s="62" t="n"/>
      <c r="BD156" s="62">
        <f>BC156-BB156</f>
        <v/>
      </c>
      <c r="BE156" s="64">
        <f>IF(BB156=0,"",BC156/BB156)</f>
        <v/>
      </c>
      <c r="BF156" s="31" t="n"/>
      <c r="BG156" s="60" t="n"/>
      <c r="BH156" s="60" t="n"/>
      <c r="BI156" s="60">
        <f>BH156-BG156</f>
        <v/>
      </c>
      <c r="BJ156" s="61">
        <f>IF(BG156=0,"",BH156/BG156)</f>
        <v/>
      </c>
      <c r="BK156" s="27" t="n"/>
      <c r="BL156" s="62" t="n"/>
      <c r="BM156" s="62" t="n"/>
      <c r="BN156" s="62">
        <f>BM156-BL156</f>
        <v/>
      </c>
      <c r="BO156" s="64">
        <f>IF(BL156=0,"",BM156/BL156)</f>
        <v/>
      </c>
      <c r="BP156" s="31" t="n"/>
      <c r="BQ156" s="60" t="n"/>
      <c r="BR156" s="60" t="n"/>
      <c r="BS156" s="60">
        <f>BR156-BQ156</f>
        <v/>
      </c>
      <c r="BT156" s="61">
        <f>IF(BQ156=0,"",BR156/BQ156)</f>
        <v/>
      </c>
      <c r="BU156" s="27" t="n"/>
      <c r="BV156" s="62" t="n"/>
      <c r="BW156" s="62" t="n"/>
      <c r="BX156" s="62">
        <f>BW156-BV156</f>
        <v/>
      </c>
      <c r="BY156" s="64">
        <f>IF(BV156=0,"",BW156/BV156)</f>
        <v/>
      </c>
      <c r="BZ156" s="31" t="n"/>
      <c r="CA156" s="60" t="n"/>
      <c r="CB156" s="60" t="n"/>
      <c r="CC156" s="60">
        <f>CB156-CA156</f>
        <v/>
      </c>
      <c r="CD156" s="61">
        <f>IF(CA156=0,"",CB156/CA156)</f>
        <v/>
      </c>
      <c r="CE156" s="27" t="n"/>
      <c r="CF156" s="62" t="n"/>
      <c r="CG156" s="62" t="n"/>
      <c r="CH156" s="62">
        <f>CG156-CF156</f>
        <v/>
      </c>
      <c r="CI156" s="64">
        <f>IF(CF156=0,"",CG156/CF156)</f>
        <v/>
      </c>
      <c r="CJ156" s="31" t="n"/>
      <c r="CK156" s="60" t="n"/>
      <c r="CL156" s="60" t="n"/>
      <c r="CM156" s="60">
        <f>CL156-CK156</f>
        <v/>
      </c>
      <c r="CN156" s="61">
        <f>IF(CK156=0,"",CL156/CK156)</f>
        <v/>
      </c>
      <c r="CO156" s="27" t="n"/>
      <c r="CP156" s="62" t="n"/>
      <c r="CQ156" s="62" t="n"/>
      <c r="CR156" s="62">
        <f>CQ156-CP156</f>
        <v/>
      </c>
      <c r="CS156" s="64">
        <f>IF(CP156=0,"",CQ156/CP156)</f>
        <v/>
      </c>
      <c r="CT156" s="31" t="n"/>
      <c r="CU156" s="60" t="n"/>
      <c r="CV156" s="60" t="n"/>
      <c r="CW156" s="60">
        <f>CV156-CU156</f>
        <v/>
      </c>
      <c r="CX156" s="61">
        <f>IF(CU156=0,"",CV156/CU156)</f>
        <v/>
      </c>
      <c r="CY156" s="27" t="n"/>
      <c r="CZ156" s="62" t="n"/>
      <c r="DA156" s="62" t="n"/>
      <c r="DB156" s="62">
        <f>DA156-CZ156</f>
        <v/>
      </c>
      <c r="DC156" s="64">
        <f>IF(CZ156=0,"",DA156/CZ156)</f>
        <v/>
      </c>
      <c r="DD156" s="31" t="n"/>
      <c r="DE156" s="60" t="n"/>
      <c r="DF156" s="60" t="n"/>
      <c r="DG156" s="60">
        <f>DF156-DE156</f>
        <v/>
      </c>
      <c r="DH156" s="61">
        <f>IF(DE156=0,"",DF156/DE156)</f>
        <v/>
      </c>
      <c r="DI156" s="27" t="n"/>
      <c r="DJ156" s="62" t="n"/>
      <c r="DK156" s="62" t="n"/>
      <c r="DL156" s="62">
        <f>DK156-DJ156</f>
        <v/>
      </c>
      <c r="DM156" s="64">
        <f>IF(DJ156=0,"",DK156/DJ156)</f>
        <v/>
      </c>
      <c r="DN156" s="31" t="n"/>
      <c r="DO156" s="60" t="n"/>
    </row>
    <row r="157" outlineLevel="1" ht="15" customHeight="1">
      <c r="A157" s="24" t="n"/>
      <c r="B157" s="24" t="n"/>
      <c r="C157" s="24" t="n"/>
      <c r="D157" s="60" t="n"/>
      <c r="E157" s="60" t="n"/>
      <c r="F157" s="60">
        <f>E157-D157</f>
        <v/>
      </c>
      <c r="G157" s="61">
        <f>IF(D157=0,"",E157/D157)</f>
        <v/>
      </c>
      <c r="H157" s="27" t="n"/>
      <c r="I157" s="60" t="n"/>
      <c r="J157" s="60" t="n"/>
      <c r="K157" s="60">
        <f>J157-I157</f>
        <v/>
      </c>
      <c r="L157" s="61">
        <f>IF(I157=0,"",J157/I157)</f>
        <v/>
      </c>
      <c r="M157" s="27" t="n"/>
      <c r="N157" s="62" t="n"/>
      <c r="O157" s="62" t="n"/>
      <c r="P157" s="62">
        <f>O157-N157</f>
        <v/>
      </c>
      <c r="Q157" s="64">
        <f>IF(N157=0,"",O157/N157)</f>
        <v/>
      </c>
      <c r="R157" s="31" t="n"/>
      <c r="S157" s="60" t="n"/>
      <c r="T157" s="60" t="n"/>
      <c r="U157" s="60">
        <f>T157-S157</f>
        <v/>
      </c>
      <c r="V157" s="61">
        <f>IF(S157=0,"",T157/S157)</f>
        <v/>
      </c>
      <c r="W157" s="27" t="n"/>
      <c r="X157" s="62" t="n"/>
      <c r="Y157" s="62" t="n"/>
      <c r="Z157" s="62">
        <f>Y157-X157</f>
        <v/>
      </c>
      <c r="AA157" s="64">
        <f>IF(X157=0,"",Y157/X157)</f>
        <v/>
      </c>
      <c r="AB157" s="31" t="n"/>
      <c r="AC157" s="60" t="n"/>
      <c r="AD157" s="60" t="n"/>
      <c r="AE157" s="60">
        <f>AD157-AC157</f>
        <v/>
      </c>
      <c r="AF157" s="61">
        <f>IF(AC157=0,"",AD157/AC157)</f>
        <v/>
      </c>
      <c r="AG157" s="27" t="n"/>
      <c r="AH157" s="62" t="n"/>
      <c r="AI157" s="62" t="n"/>
      <c r="AJ157" s="62">
        <f>AI157-AH157</f>
        <v/>
      </c>
      <c r="AK157" s="64">
        <f>IF(AH157=0,"",AI157/AH157)</f>
        <v/>
      </c>
      <c r="AL157" s="31" t="n"/>
      <c r="AM157" s="60" t="n"/>
      <c r="AN157" s="60" t="n"/>
      <c r="AO157" s="60">
        <f>AN157-AM157</f>
        <v/>
      </c>
      <c r="AP157" s="61">
        <f>IF(AM157=0,"",AN157/AM157)</f>
        <v/>
      </c>
      <c r="AQ157" s="27" t="n"/>
      <c r="AR157" s="62" t="n"/>
      <c r="AS157" s="62" t="n"/>
      <c r="AT157" s="62">
        <f>AS157-AR157</f>
        <v/>
      </c>
      <c r="AU157" s="64">
        <f>IF(AR157=0,"",AS157/AR157)</f>
        <v/>
      </c>
      <c r="AV157" s="31" t="n"/>
      <c r="AW157" s="60" t="n"/>
      <c r="AX157" s="60" t="n"/>
      <c r="AY157" s="60">
        <f>AX157-AW157</f>
        <v/>
      </c>
      <c r="AZ157" s="61">
        <f>IF(AW157=0,"",AX157/AW157)</f>
        <v/>
      </c>
      <c r="BA157" s="27" t="n"/>
      <c r="BB157" s="62" t="n"/>
      <c r="BC157" s="62" t="n"/>
      <c r="BD157" s="62">
        <f>BC157-BB157</f>
        <v/>
      </c>
      <c r="BE157" s="64">
        <f>IF(BB157=0,"",BC157/BB157)</f>
        <v/>
      </c>
      <c r="BF157" s="31" t="n"/>
      <c r="BG157" s="60" t="n"/>
      <c r="BH157" s="60" t="n"/>
      <c r="BI157" s="60">
        <f>BH157-BG157</f>
        <v/>
      </c>
      <c r="BJ157" s="61">
        <f>IF(BG157=0,"",BH157/BG157)</f>
        <v/>
      </c>
      <c r="BK157" s="27" t="n"/>
      <c r="BL157" s="62" t="n"/>
      <c r="BM157" s="62" t="n"/>
      <c r="BN157" s="62">
        <f>BM157-BL157</f>
        <v/>
      </c>
      <c r="BO157" s="64">
        <f>IF(BL157=0,"",BM157/BL157)</f>
        <v/>
      </c>
      <c r="BP157" s="31" t="n"/>
      <c r="BQ157" s="60" t="n"/>
      <c r="BR157" s="60" t="n"/>
      <c r="BS157" s="60">
        <f>BR157-BQ157</f>
        <v/>
      </c>
      <c r="BT157" s="61">
        <f>IF(BQ157=0,"",BR157/BQ157)</f>
        <v/>
      </c>
      <c r="BU157" s="27" t="n"/>
      <c r="BV157" s="62" t="n"/>
      <c r="BW157" s="62" t="n"/>
      <c r="BX157" s="62">
        <f>BW157-BV157</f>
        <v/>
      </c>
      <c r="BY157" s="64">
        <f>IF(BV157=0,"",BW157/BV157)</f>
        <v/>
      </c>
      <c r="BZ157" s="31" t="n"/>
      <c r="CA157" s="60" t="n"/>
      <c r="CB157" s="60" t="n"/>
      <c r="CC157" s="60">
        <f>CB157-CA157</f>
        <v/>
      </c>
      <c r="CD157" s="61">
        <f>IF(CA157=0,"",CB157/CA157)</f>
        <v/>
      </c>
      <c r="CE157" s="27" t="n"/>
      <c r="CF157" s="62" t="n"/>
      <c r="CG157" s="62" t="n"/>
      <c r="CH157" s="62">
        <f>CG157-CF157</f>
        <v/>
      </c>
      <c r="CI157" s="64">
        <f>IF(CF157=0,"",CG157/CF157)</f>
        <v/>
      </c>
      <c r="CJ157" s="31" t="n"/>
      <c r="CK157" s="60" t="n"/>
      <c r="CL157" s="60" t="n"/>
      <c r="CM157" s="60">
        <f>CL157-CK157</f>
        <v/>
      </c>
      <c r="CN157" s="61">
        <f>IF(CK157=0,"",CL157/CK157)</f>
        <v/>
      </c>
      <c r="CO157" s="27" t="n"/>
      <c r="CP157" s="62" t="n"/>
      <c r="CQ157" s="62" t="n"/>
      <c r="CR157" s="62">
        <f>CQ157-CP157</f>
        <v/>
      </c>
      <c r="CS157" s="64">
        <f>IF(CP157=0,"",CQ157/CP157)</f>
        <v/>
      </c>
      <c r="CT157" s="31" t="n"/>
      <c r="CU157" s="60" t="n"/>
      <c r="CV157" s="60" t="n"/>
      <c r="CW157" s="60">
        <f>CV157-CU157</f>
        <v/>
      </c>
      <c r="CX157" s="61">
        <f>IF(CU157=0,"",CV157/CU157)</f>
        <v/>
      </c>
      <c r="CY157" s="27" t="n"/>
      <c r="CZ157" s="62" t="n"/>
      <c r="DA157" s="62" t="n"/>
      <c r="DB157" s="62">
        <f>DA157-CZ157</f>
        <v/>
      </c>
      <c r="DC157" s="64">
        <f>IF(CZ157=0,"",DA157/CZ157)</f>
        <v/>
      </c>
      <c r="DD157" s="31" t="n"/>
      <c r="DE157" s="60" t="n"/>
      <c r="DF157" s="60" t="n"/>
      <c r="DG157" s="60">
        <f>DF157-DE157</f>
        <v/>
      </c>
      <c r="DH157" s="61">
        <f>IF(DE157=0,"",DF157/DE157)</f>
        <v/>
      </c>
      <c r="DI157" s="27" t="n"/>
      <c r="DJ157" s="62" t="n"/>
      <c r="DK157" s="62" t="n"/>
      <c r="DL157" s="62">
        <f>DK157-DJ157</f>
        <v/>
      </c>
      <c r="DM157" s="64">
        <f>IF(DJ157=0,"",DK157/DJ157)</f>
        <v/>
      </c>
      <c r="DN157" s="31" t="n"/>
      <c r="DO157" s="60" t="n"/>
    </row>
    <row r="158" outlineLevel="1" ht="15" customHeight="1">
      <c r="A158" s="24" t="n"/>
      <c r="B158" s="24" t="n"/>
      <c r="C158" s="24" t="n"/>
      <c r="D158" s="60" t="n"/>
      <c r="E158" s="60" t="n"/>
      <c r="F158" s="60">
        <f>E158-D158</f>
        <v/>
      </c>
      <c r="G158" s="61">
        <f>IF(D158=0,"",E158/D158)</f>
        <v/>
      </c>
      <c r="H158" s="27" t="n"/>
      <c r="I158" s="60" t="n"/>
      <c r="J158" s="60" t="n"/>
      <c r="K158" s="60">
        <f>J158-I158</f>
        <v/>
      </c>
      <c r="L158" s="61">
        <f>IF(I158=0,"",J158/I158)</f>
        <v/>
      </c>
      <c r="M158" s="27" t="n"/>
      <c r="N158" s="62" t="n"/>
      <c r="O158" s="62" t="n"/>
      <c r="P158" s="62">
        <f>O158-N158</f>
        <v/>
      </c>
      <c r="Q158" s="64">
        <f>IF(N158=0,"",O158/N158)</f>
        <v/>
      </c>
      <c r="R158" s="31" t="n"/>
      <c r="S158" s="60" t="n"/>
      <c r="T158" s="60" t="n"/>
      <c r="U158" s="60">
        <f>T158-S158</f>
        <v/>
      </c>
      <c r="V158" s="61">
        <f>IF(S158=0,"",T158/S158)</f>
        <v/>
      </c>
      <c r="W158" s="27" t="n"/>
      <c r="X158" s="62" t="n"/>
      <c r="Y158" s="62" t="n"/>
      <c r="Z158" s="62">
        <f>Y158-X158</f>
        <v/>
      </c>
      <c r="AA158" s="64">
        <f>IF(X158=0,"",Y158/X158)</f>
        <v/>
      </c>
      <c r="AB158" s="31" t="n"/>
      <c r="AC158" s="60" t="n"/>
      <c r="AD158" s="60" t="n"/>
      <c r="AE158" s="60">
        <f>AD158-AC158</f>
        <v/>
      </c>
      <c r="AF158" s="61">
        <f>IF(AC158=0,"",AD158/AC158)</f>
        <v/>
      </c>
      <c r="AG158" s="27" t="n"/>
      <c r="AH158" s="62" t="n"/>
      <c r="AI158" s="62" t="n"/>
      <c r="AJ158" s="62">
        <f>AI158-AH158</f>
        <v/>
      </c>
      <c r="AK158" s="64">
        <f>IF(AH158=0,"",AI158/AH158)</f>
        <v/>
      </c>
      <c r="AL158" s="31" t="n"/>
      <c r="AM158" s="60" t="n"/>
      <c r="AN158" s="60" t="n"/>
      <c r="AO158" s="60">
        <f>AN158-AM158</f>
        <v/>
      </c>
      <c r="AP158" s="61">
        <f>IF(AM158=0,"",AN158/AM158)</f>
        <v/>
      </c>
      <c r="AQ158" s="27" t="n"/>
      <c r="AR158" s="62" t="n"/>
      <c r="AS158" s="62" t="n"/>
      <c r="AT158" s="62">
        <f>AS158-AR158</f>
        <v/>
      </c>
      <c r="AU158" s="64">
        <f>IF(AR158=0,"",AS158/AR158)</f>
        <v/>
      </c>
      <c r="AV158" s="31" t="n"/>
      <c r="AW158" s="60" t="n"/>
      <c r="AX158" s="60" t="n"/>
      <c r="AY158" s="60">
        <f>AX158-AW158</f>
        <v/>
      </c>
      <c r="AZ158" s="61">
        <f>IF(AW158=0,"",AX158/AW158)</f>
        <v/>
      </c>
      <c r="BA158" s="27" t="n"/>
      <c r="BB158" s="62" t="n"/>
      <c r="BC158" s="62" t="n"/>
      <c r="BD158" s="62">
        <f>BC158-BB158</f>
        <v/>
      </c>
      <c r="BE158" s="64">
        <f>IF(BB158=0,"",BC158/BB158)</f>
        <v/>
      </c>
      <c r="BF158" s="31" t="n"/>
      <c r="BG158" s="60" t="n"/>
      <c r="BH158" s="60" t="n"/>
      <c r="BI158" s="60">
        <f>BH158-BG158</f>
        <v/>
      </c>
      <c r="BJ158" s="61">
        <f>IF(BG158=0,"",BH158/BG158)</f>
        <v/>
      </c>
      <c r="BK158" s="27" t="n"/>
      <c r="BL158" s="62" t="n"/>
      <c r="BM158" s="62" t="n"/>
      <c r="BN158" s="62">
        <f>BM158-BL158</f>
        <v/>
      </c>
      <c r="BO158" s="64">
        <f>IF(BL158=0,"",BM158/BL158)</f>
        <v/>
      </c>
      <c r="BP158" s="31" t="n"/>
      <c r="BQ158" s="60" t="n"/>
      <c r="BR158" s="60" t="n"/>
      <c r="BS158" s="60">
        <f>BR158-BQ158</f>
        <v/>
      </c>
      <c r="BT158" s="61">
        <f>IF(BQ158=0,"",BR158/BQ158)</f>
        <v/>
      </c>
      <c r="BU158" s="27" t="n"/>
      <c r="BV158" s="62" t="n"/>
      <c r="BW158" s="62" t="n"/>
      <c r="BX158" s="62">
        <f>BW158-BV158</f>
        <v/>
      </c>
      <c r="BY158" s="64">
        <f>IF(BV158=0,"",BW158/BV158)</f>
        <v/>
      </c>
      <c r="BZ158" s="31" t="n"/>
      <c r="CA158" s="60" t="n"/>
      <c r="CB158" s="60" t="n"/>
      <c r="CC158" s="60">
        <f>CB158-CA158</f>
        <v/>
      </c>
      <c r="CD158" s="61">
        <f>IF(CA158=0,"",CB158/CA158)</f>
        <v/>
      </c>
      <c r="CE158" s="27" t="n"/>
      <c r="CF158" s="62" t="n"/>
      <c r="CG158" s="62" t="n"/>
      <c r="CH158" s="62">
        <f>CG158-CF158</f>
        <v/>
      </c>
      <c r="CI158" s="64">
        <f>IF(CF158=0,"",CG158/CF158)</f>
        <v/>
      </c>
      <c r="CJ158" s="31" t="n"/>
      <c r="CK158" s="60" t="n"/>
      <c r="CL158" s="60" t="n"/>
      <c r="CM158" s="60">
        <f>CL158-CK158</f>
        <v/>
      </c>
      <c r="CN158" s="61">
        <f>IF(CK158=0,"",CL158/CK158)</f>
        <v/>
      </c>
      <c r="CO158" s="27" t="n"/>
      <c r="CP158" s="62" t="n"/>
      <c r="CQ158" s="62" t="n"/>
      <c r="CR158" s="62">
        <f>CQ158-CP158</f>
        <v/>
      </c>
      <c r="CS158" s="64">
        <f>IF(CP158=0,"",CQ158/CP158)</f>
        <v/>
      </c>
      <c r="CT158" s="31" t="n"/>
      <c r="CU158" s="60" t="n"/>
      <c r="CV158" s="60" t="n"/>
      <c r="CW158" s="60">
        <f>CV158-CU158</f>
        <v/>
      </c>
      <c r="CX158" s="61">
        <f>IF(CU158=0,"",CV158/CU158)</f>
        <v/>
      </c>
      <c r="CY158" s="27" t="n"/>
      <c r="CZ158" s="62" t="n"/>
      <c r="DA158" s="62" t="n"/>
      <c r="DB158" s="62">
        <f>DA158-CZ158</f>
        <v/>
      </c>
      <c r="DC158" s="64">
        <f>IF(CZ158=0,"",DA158/CZ158)</f>
        <v/>
      </c>
      <c r="DD158" s="31" t="n"/>
      <c r="DE158" s="60" t="n"/>
      <c r="DF158" s="60" t="n"/>
      <c r="DG158" s="60">
        <f>DF158-DE158</f>
        <v/>
      </c>
      <c r="DH158" s="61">
        <f>IF(DE158=0,"",DF158/DE158)</f>
        <v/>
      </c>
      <c r="DI158" s="27" t="n"/>
      <c r="DJ158" s="62" t="n"/>
      <c r="DK158" s="62" t="n"/>
      <c r="DL158" s="62">
        <f>DK158-DJ158</f>
        <v/>
      </c>
      <c r="DM158" s="64">
        <f>IF(DJ158=0,"",DK158/DJ158)</f>
        <v/>
      </c>
      <c r="DN158" s="31" t="n"/>
      <c r="DO158" s="60" t="n"/>
    </row>
    <row r="159" outlineLevel="1" ht="15" customHeight="1">
      <c r="A159" s="24" t="n"/>
      <c r="B159" s="24" t="n"/>
      <c r="C159" s="24" t="n"/>
      <c r="D159" s="60" t="n"/>
      <c r="E159" s="60" t="n"/>
      <c r="F159" s="60">
        <f>E159-D159</f>
        <v/>
      </c>
      <c r="G159" s="61">
        <f>IF(D159=0,"",E159/D159)</f>
        <v/>
      </c>
      <c r="H159" s="27" t="n"/>
      <c r="I159" s="60" t="n"/>
      <c r="J159" s="60" t="n"/>
      <c r="K159" s="60">
        <f>J159-I159</f>
        <v/>
      </c>
      <c r="L159" s="61">
        <f>IF(I159=0,"",J159/I159)</f>
        <v/>
      </c>
      <c r="M159" s="27" t="n"/>
      <c r="N159" s="62" t="n"/>
      <c r="O159" s="62" t="n"/>
      <c r="P159" s="62">
        <f>O159-N159</f>
        <v/>
      </c>
      <c r="Q159" s="64">
        <f>IF(N159=0,"",O159/N159)</f>
        <v/>
      </c>
      <c r="R159" s="31" t="n"/>
      <c r="S159" s="60" t="n"/>
      <c r="T159" s="60" t="n"/>
      <c r="U159" s="60">
        <f>T159-S159</f>
        <v/>
      </c>
      <c r="V159" s="61">
        <f>IF(S159=0,"",T159/S159)</f>
        <v/>
      </c>
      <c r="W159" s="27" t="n"/>
      <c r="X159" s="62" t="n"/>
      <c r="Y159" s="62" t="n"/>
      <c r="Z159" s="62">
        <f>Y159-X159</f>
        <v/>
      </c>
      <c r="AA159" s="64">
        <f>IF(X159=0,"",Y159/X159)</f>
        <v/>
      </c>
      <c r="AB159" s="31" t="n"/>
      <c r="AC159" s="60" t="n"/>
      <c r="AD159" s="60" t="n"/>
      <c r="AE159" s="60">
        <f>AD159-AC159</f>
        <v/>
      </c>
      <c r="AF159" s="61">
        <f>IF(AC159=0,"",AD159/AC159)</f>
        <v/>
      </c>
      <c r="AG159" s="27" t="n"/>
      <c r="AH159" s="62" t="n"/>
      <c r="AI159" s="62" t="n"/>
      <c r="AJ159" s="62">
        <f>AI159-AH159</f>
        <v/>
      </c>
      <c r="AK159" s="64">
        <f>IF(AH159=0,"",AI159/AH159)</f>
        <v/>
      </c>
      <c r="AL159" s="31" t="n"/>
      <c r="AM159" s="60" t="n"/>
      <c r="AN159" s="60" t="n"/>
      <c r="AO159" s="60">
        <f>AN159-AM159</f>
        <v/>
      </c>
      <c r="AP159" s="61">
        <f>IF(AM159=0,"",AN159/AM159)</f>
        <v/>
      </c>
      <c r="AQ159" s="27" t="n"/>
      <c r="AR159" s="62" t="n"/>
      <c r="AS159" s="62" t="n"/>
      <c r="AT159" s="62">
        <f>AS159-AR159</f>
        <v/>
      </c>
      <c r="AU159" s="64">
        <f>IF(AR159=0,"",AS159/AR159)</f>
        <v/>
      </c>
      <c r="AV159" s="31" t="n"/>
      <c r="AW159" s="60" t="n"/>
      <c r="AX159" s="60" t="n"/>
      <c r="AY159" s="60">
        <f>AX159-AW159</f>
        <v/>
      </c>
      <c r="AZ159" s="61">
        <f>IF(AW159=0,"",AX159/AW159)</f>
        <v/>
      </c>
      <c r="BA159" s="27" t="n"/>
      <c r="BB159" s="62" t="n"/>
      <c r="BC159" s="62" t="n"/>
      <c r="BD159" s="62">
        <f>BC159-BB159</f>
        <v/>
      </c>
      <c r="BE159" s="64">
        <f>IF(BB159=0,"",BC159/BB159)</f>
        <v/>
      </c>
      <c r="BF159" s="31" t="n"/>
      <c r="BG159" s="60" t="n"/>
      <c r="BH159" s="60" t="n"/>
      <c r="BI159" s="60">
        <f>BH159-BG159</f>
        <v/>
      </c>
      <c r="BJ159" s="61">
        <f>IF(BG159=0,"",BH159/BG159)</f>
        <v/>
      </c>
      <c r="BK159" s="27" t="n"/>
      <c r="BL159" s="62" t="n"/>
      <c r="BM159" s="62" t="n"/>
      <c r="BN159" s="62">
        <f>BM159-BL159</f>
        <v/>
      </c>
      <c r="BO159" s="64">
        <f>IF(BL159=0,"",BM159/BL159)</f>
        <v/>
      </c>
      <c r="BP159" s="31" t="n"/>
      <c r="BQ159" s="60" t="n"/>
      <c r="BR159" s="60" t="n"/>
      <c r="BS159" s="60">
        <f>BR159-BQ159</f>
        <v/>
      </c>
      <c r="BT159" s="61">
        <f>IF(BQ159=0,"",BR159/BQ159)</f>
        <v/>
      </c>
      <c r="BU159" s="27" t="n"/>
      <c r="BV159" s="62" t="n"/>
      <c r="BW159" s="62" t="n"/>
      <c r="BX159" s="62">
        <f>BW159-BV159</f>
        <v/>
      </c>
      <c r="BY159" s="64">
        <f>IF(BV159=0,"",BW159/BV159)</f>
        <v/>
      </c>
      <c r="BZ159" s="31" t="n"/>
      <c r="CA159" s="60" t="n"/>
      <c r="CB159" s="60" t="n"/>
      <c r="CC159" s="60">
        <f>CB159-CA159</f>
        <v/>
      </c>
      <c r="CD159" s="61">
        <f>IF(CA159=0,"",CB159/CA159)</f>
        <v/>
      </c>
      <c r="CE159" s="27" t="n"/>
      <c r="CF159" s="62" t="n"/>
      <c r="CG159" s="62" t="n"/>
      <c r="CH159" s="62">
        <f>CG159-CF159</f>
        <v/>
      </c>
      <c r="CI159" s="64">
        <f>IF(CF159=0,"",CG159/CF159)</f>
        <v/>
      </c>
      <c r="CJ159" s="31" t="n"/>
      <c r="CK159" s="60" t="n"/>
      <c r="CL159" s="60" t="n"/>
      <c r="CM159" s="60">
        <f>CL159-CK159</f>
        <v/>
      </c>
      <c r="CN159" s="61">
        <f>IF(CK159=0,"",CL159/CK159)</f>
        <v/>
      </c>
      <c r="CO159" s="27" t="n"/>
      <c r="CP159" s="62" t="n"/>
      <c r="CQ159" s="62" t="n"/>
      <c r="CR159" s="62">
        <f>CQ159-CP159</f>
        <v/>
      </c>
      <c r="CS159" s="64">
        <f>IF(CP159=0,"",CQ159/CP159)</f>
        <v/>
      </c>
      <c r="CT159" s="31" t="n"/>
      <c r="CU159" s="60" t="n"/>
      <c r="CV159" s="60" t="n"/>
      <c r="CW159" s="60">
        <f>CV159-CU159</f>
        <v/>
      </c>
      <c r="CX159" s="61">
        <f>IF(CU159=0,"",CV159/CU159)</f>
        <v/>
      </c>
      <c r="CY159" s="27" t="n"/>
      <c r="CZ159" s="62" t="n"/>
      <c r="DA159" s="62" t="n"/>
      <c r="DB159" s="62">
        <f>DA159-CZ159</f>
        <v/>
      </c>
      <c r="DC159" s="64">
        <f>IF(CZ159=0,"",DA159/CZ159)</f>
        <v/>
      </c>
      <c r="DD159" s="31" t="n"/>
      <c r="DE159" s="60" t="n"/>
      <c r="DF159" s="60" t="n"/>
      <c r="DG159" s="60">
        <f>DF159-DE159</f>
        <v/>
      </c>
      <c r="DH159" s="61">
        <f>IF(DE159=0,"",DF159/DE159)</f>
        <v/>
      </c>
      <c r="DI159" s="27" t="n"/>
      <c r="DJ159" s="62" t="n"/>
      <c r="DK159" s="62" t="n"/>
      <c r="DL159" s="62">
        <f>DK159-DJ159</f>
        <v/>
      </c>
      <c r="DM159" s="64">
        <f>IF(DJ159=0,"",DK159/DJ159)</f>
        <v/>
      </c>
      <c r="DN159" s="31" t="n"/>
      <c r="DO159" s="60" t="n"/>
    </row>
    <row r="160" outlineLevel="1" ht="15" customHeight="1">
      <c r="A160" s="24" t="n"/>
      <c r="B160" s="24" t="n"/>
      <c r="C160" s="24" t="n"/>
      <c r="D160" s="60" t="n"/>
      <c r="E160" s="60" t="n"/>
      <c r="F160" s="60">
        <f>E160-D160</f>
        <v/>
      </c>
      <c r="G160" s="61">
        <f>IF(D160=0,"",E160/D160)</f>
        <v/>
      </c>
      <c r="H160" s="27" t="n"/>
      <c r="I160" s="60" t="n"/>
      <c r="J160" s="60" t="n"/>
      <c r="K160" s="60">
        <f>J160-I160</f>
        <v/>
      </c>
      <c r="L160" s="61">
        <f>IF(I160=0,"",J160/I160)</f>
        <v/>
      </c>
      <c r="M160" s="27" t="n"/>
      <c r="N160" s="62" t="n"/>
      <c r="O160" s="62" t="n"/>
      <c r="P160" s="62">
        <f>O160-N160</f>
        <v/>
      </c>
      <c r="Q160" s="64">
        <f>IF(N160=0,"",O160/N160)</f>
        <v/>
      </c>
      <c r="R160" s="31" t="n"/>
      <c r="S160" s="60" t="n"/>
      <c r="T160" s="60" t="n"/>
      <c r="U160" s="60">
        <f>T160-S160</f>
        <v/>
      </c>
      <c r="V160" s="61">
        <f>IF(S160=0,"",T160/S160)</f>
        <v/>
      </c>
      <c r="W160" s="27" t="n"/>
      <c r="X160" s="62" t="n"/>
      <c r="Y160" s="62" t="n"/>
      <c r="Z160" s="62">
        <f>Y160-X160</f>
        <v/>
      </c>
      <c r="AA160" s="64">
        <f>IF(X160=0,"",Y160/X160)</f>
        <v/>
      </c>
      <c r="AB160" s="31" t="n"/>
      <c r="AC160" s="60" t="n"/>
      <c r="AD160" s="60" t="n"/>
      <c r="AE160" s="60">
        <f>AD160-AC160</f>
        <v/>
      </c>
      <c r="AF160" s="61">
        <f>IF(AC160=0,"",AD160/AC160)</f>
        <v/>
      </c>
      <c r="AG160" s="27" t="n"/>
      <c r="AH160" s="62" t="n"/>
      <c r="AI160" s="62" t="n"/>
      <c r="AJ160" s="62">
        <f>AI160-AH160</f>
        <v/>
      </c>
      <c r="AK160" s="64">
        <f>IF(AH160=0,"",AI160/AH160)</f>
        <v/>
      </c>
      <c r="AL160" s="31" t="n"/>
      <c r="AM160" s="60" t="n"/>
      <c r="AN160" s="60" t="n"/>
      <c r="AO160" s="60">
        <f>AN160-AM160</f>
        <v/>
      </c>
      <c r="AP160" s="61">
        <f>IF(AM160=0,"",AN160/AM160)</f>
        <v/>
      </c>
      <c r="AQ160" s="27" t="n"/>
      <c r="AR160" s="62" t="n"/>
      <c r="AS160" s="62" t="n"/>
      <c r="AT160" s="62">
        <f>AS160-AR160</f>
        <v/>
      </c>
      <c r="AU160" s="64">
        <f>IF(AR160=0,"",AS160/AR160)</f>
        <v/>
      </c>
      <c r="AV160" s="31" t="n"/>
      <c r="AW160" s="60" t="n"/>
      <c r="AX160" s="60" t="n"/>
      <c r="AY160" s="60">
        <f>AX160-AW160</f>
        <v/>
      </c>
      <c r="AZ160" s="61">
        <f>IF(AW160=0,"",AX160/AW160)</f>
        <v/>
      </c>
      <c r="BA160" s="27" t="n"/>
      <c r="BB160" s="62" t="n"/>
      <c r="BC160" s="62" t="n"/>
      <c r="BD160" s="62">
        <f>BC160-BB160</f>
        <v/>
      </c>
      <c r="BE160" s="64">
        <f>IF(BB160=0,"",BC160/BB160)</f>
        <v/>
      </c>
      <c r="BF160" s="31" t="n"/>
      <c r="BG160" s="60" t="n"/>
      <c r="BH160" s="60" t="n"/>
      <c r="BI160" s="60">
        <f>BH160-BG160</f>
        <v/>
      </c>
      <c r="BJ160" s="61">
        <f>IF(BG160=0,"",BH160/BG160)</f>
        <v/>
      </c>
      <c r="BK160" s="27" t="n"/>
      <c r="BL160" s="62" t="n"/>
      <c r="BM160" s="62" t="n"/>
      <c r="BN160" s="62">
        <f>BM160-BL160</f>
        <v/>
      </c>
      <c r="BO160" s="64">
        <f>IF(BL160=0,"",BM160/BL160)</f>
        <v/>
      </c>
      <c r="BP160" s="31" t="n"/>
      <c r="BQ160" s="60" t="n"/>
      <c r="BR160" s="60" t="n"/>
      <c r="BS160" s="60">
        <f>BR160-BQ160</f>
        <v/>
      </c>
      <c r="BT160" s="61">
        <f>IF(BQ160=0,"",BR160/BQ160)</f>
        <v/>
      </c>
      <c r="BU160" s="27" t="n"/>
      <c r="BV160" s="62" t="n"/>
      <c r="BW160" s="62" t="n"/>
      <c r="BX160" s="62">
        <f>BW160-BV160</f>
        <v/>
      </c>
      <c r="BY160" s="64">
        <f>IF(BV160=0,"",BW160/BV160)</f>
        <v/>
      </c>
      <c r="BZ160" s="31" t="n"/>
      <c r="CA160" s="60" t="n"/>
      <c r="CB160" s="60" t="n"/>
      <c r="CC160" s="60">
        <f>CB160-CA160</f>
        <v/>
      </c>
      <c r="CD160" s="61">
        <f>IF(CA160=0,"",CB160/CA160)</f>
        <v/>
      </c>
      <c r="CE160" s="27" t="n"/>
      <c r="CF160" s="62" t="n"/>
      <c r="CG160" s="62" t="n"/>
      <c r="CH160" s="62">
        <f>CG160-CF160</f>
        <v/>
      </c>
      <c r="CI160" s="64">
        <f>IF(CF160=0,"",CG160/CF160)</f>
        <v/>
      </c>
      <c r="CJ160" s="31" t="n"/>
      <c r="CK160" s="60" t="n"/>
      <c r="CL160" s="60" t="n"/>
      <c r="CM160" s="60">
        <f>CL160-CK160</f>
        <v/>
      </c>
      <c r="CN160" s="61">
        <f>IF(CK160=0,"",CL160/CK160)</f>
        <v/>
      </c>
      <c r="CO160" s="27" t="n"/>
      <c r="CP160" s="62" t="n"/>
      <c r="CQ160" s="62" t="n"/>
      <c r="CR160" s="62">
        <f>CQ160-CP160</f>
        <v/>
      </c>
      <c r="CS160" s="64">
        <f>IF(CP160=0,"",CQ160/CP160)</f>
        <v/>
      </c>
      <c r="CT160" s="31" t="n"/>
      <c r="CU160" s="60" t="n"/>
      <c r="CV160" s="60" t="n"/>
      <c r="CW160" s="60">
        <f>CV160-CU160</f>
        <v/>
      </c>
      <c r="CX160" s="61">
        <f>IF(CU160=0,"",CV160/CU160)</f>
        <v/>
      </c>
      <c r="CY160" s="27" t="n"/>
      <c r="CZ160" s="62" t="n"/>
      <c r="DA160" s="62" t="n"/>
      <c r="DB160" s="62">
        <f>DA160-CZ160</f>
        <v/>
      </c>
      <c r="DC160" s="64">
        <f>IF(CZ160=0,"",DA160/CZ160)</f>
        <v/>
      </c>
      <c r="DD160" s="31" t="n"/>
      <c r="DE160" s="60" t="n"/>
      <c r="DF160" s="60" t="n"/>
      <c r="DG160" s="60">
        <f>DF160-DE160</f>
        <v/>
      </c>
      <c r="DH160" s="61">
        <f>IF(DE160=0,"",DF160/DE160)</f>
        <v/>
      </c>
      <c r="DI160" s="27" t="n"/>
      <c r="DJ160" s="62" t="n"/>
      <c r="DK160" s="62" t="n"/>
      <c r="DL160" s="62">
        <f>DK160-DJ160</f>
        <v/>
      </c>
      <c r="DM160" s="64">
        <f>IF(DJ160=0,"",DK160/DJ160)</f>
        <v/>
      </c>
      <c r="DN160" s="31" t="n"/>
      <c r="DO160" s="60" t="n"/>
    </row>
    <row r="161" outlineLevel="1" ht="15" customHeight="1">
      <c r="A161" s="24" t="n"/>
      <c r="B161" s="24" t="n"/>
      <c r="C161" s="24" t="n"/>
      <c r="D161" s="60" t="n"/>
      <c r="E161" s="60" t="n"/>
      <c r="F161" s="60">
        <f>E161-D161</f>
        <v/>
      </c>
      <c r="G161" s="61">
        <f>IF(D161=0,"",E161/D161)</f>
        <v/>
      </c>
      <c r="H161" s="27" t="n"/>
      <c r="I161" s="60" t="n"/>
      <c r="J161" s="60" t="n"/>
      <c r="K161" s="60">
        <f>J161-I161</f>
        <v/>
      </c>
      <c r="L161" s="61">
        <f>IF(I161=0,"",J161/I161)</f>
        <v/>
      </c>
      <c r="M161" s="27" t="n"/>
      <c r="N161" s="62" t="n"/>
      <c r="O161" s="62" t="n"/>
      <c r="P161" s="62">
        <f>O161-N161</f>
        <v/>
      </c>
      <c r="Q161" s="64">
        <f>IF(N161=0,"",O161/N161)</f>
        <v/>
      </c>
      <c r="R161" s="31" t="n"/>
      <c r="S161" s="60" t="n"/>
      <c r="T161" s="60" t="n"/>
      <c r="U161" s="60">
        <f>T161-S161</f>
        <v/>
      </c>
      <c r="V161" s="61">
        <f>IF(S161=0,"",T161/S161)</f>
        <v/>
      </c>
      <c r="W161" s="27" t="n"/>
      <c r="X161" s="62" t="n"/>
      <c r="Y161" s="62" t="n"/>
      <c r="Z161" s="62">
        <f>Y161-X161</f>
        <v/>
      </c>
      <c r="AA161" s="64">
        <f>IF(X161=0,"",Y161/X161)</f>
        <v/>
      </c>
      <c r="AB161" s="31" t="n"/>
      <c r="AC161" s="60" t="n"/>
      <c r="AD161" s="60" t="n"/>
      <c r="AE161" s="60">
        <f>AD161-AC161</f>
        <v/>
      </c>
      <c r="AF161" s="61">
        <f>IF(AC161=0,"",AD161/AC161)</f>
        <v/>
      </c>
      <c r="AG161" s="27" t="n"/>
      <c r="AH161" s="62" t="n"/>
      <c r="AI161" s="62" t="n"/>
      <c r="AJ161" s="62">
        <f>AI161-AH161</f>
        <v/>
      </c>
      <c r="AK161" s="64">
        <f>IF(AH161=0,"",AI161/AH161)</f>
        <v/>
      </c>
      <c r="AL161" s="31" t="n"/>
      <c r="AM161" s="60" t="n"/>
      <c r="AN161" s="60" t="n"/>
      <c r="AO161" s="60">
        <f>AN161-AM161</f>
        <v/>
      </c>
      <c r="AP161" s="61">
        <f>IF(AM161=0,"",AN161/AM161)</f>
        <v/>
      </c>
      <c r="AQ161" s="27" t="n"/>
      <c r="AR161" s="62" t="n"/>
      <c r="AS161" s="62" t="n"/>
      <c r="AT161" s="62">
        <f>AS161-AR161</f>
        <v/>
      </c>
      <c r="AU161" s="64">
        <f>IF(AR161=0,"",AS161/AR161)</f>
        <v/>
      </c>
      <c r="AV161" s="31" t="n"/>
      <c r="AW161" s="60" t="n"/>
      <c r="AX161" s="60" t="n"/>
      <c r="AY161" s="60">
        <f>AX161-AW161</f>
        <v/>
      </c>
      <c r="AZ161" s="61">
        <f>IF(AW161=0,"",AX161/AW161)</f>
        <v/>
      </c>
      <c r="BA161" s="27" t="n"/>
      <c r="BB161" s="62" t="n"/>
      <c r="BC161" s="62" t="n"/>
      <c r="BD161" s="62">
        <f>BC161-BB161</f>
        <v/>
      </c>
      <c r="BE161" s="64">
        <f>IF(BB161=0,"",BC161/BB161)</f>
        <v/>
      </c>
      <c r="BF161" s="31" t="n"/>
      <c r="BG161" s="60" t="n"/>
      <c r="BH161" s="60" t="n"/>
      <c r="BI161" s="60">
        <f>BH161-BG161</f>
        <v/>
      </c>
      <c r="BJ161" s="61">
        <f>IF(BG161=0,"",BH161/BG161)</f>
        <v/>
      </c>
      <c r="BK161" s="27" t="n"/>
      <c r="BL161" s="62" t="n"/>
      <c r="BM161" s="62" t="n"/>
      <c r="BN161" s="62">
        <f>BM161-BL161</f>
        <v/>
      </c>
      <c r="BO161" s="64">
        <f>IF(BL161=0,"",BM161/BL161)</f>
        <v/>
      </c>
      <c r="BP161" s="31" t="n"/>
      <c r="BQ161" s="60" t="n"/>
      <c r="BR161" s="60" t="n"/>
      <c r="BS161" s="60">
        <f>BR161-BQ161</f>
        <v/>
      </c>
      <c r="BT161" s="61">
        <f>IF(BQ161=0,"",BR161/BQ161)</f>
        <v/>
      </c>
      <c r="BU161" s="27" t="n"/>
      <c r="BV161" s="62" t="n"/>
      <c r="BW161" s="62" t="n"/>
      <c r="BX161" s="62">
        <f>BW161-BV161</f>
        <v/>
      </c>
      <c r="BY161" s="64">
        <f>IF(BV161=0,"",BW161/BV161)</f>
        <v/>
      </c>
      <c r="BZ161" s="31" t="n"/>
      <c r="CA161" s="60" t="n"/>
      <c r="CB161" s="60" t="n"/>
      <c r="CC161" s="60">
        <f>CB161-CA161</f>
        <v/>
      </c>
      <c r="CD161" s="61">
        <f>IF(CA161=0,"",CB161/CA161)</f>
        <v/>
      </c>
      <c r="CE161" s="27" t="n"/>
      <c r="CF161" s="62" t="n"/>
      <c r="CG161" s="62" t="n"/>
      <c r="CH161" s="62">
        <f>CG161-CF161</f>
        <v/>
      </c>
      <c r="CI161" s="64">
        <f>IF(CF161=0,"",CG161/CF161)</f>
        <v/>
      </c>
      <c r="CJ161" s="31" t="n"/>
      <c r="CK161" s="60" t="n"/>
      <c r="CL161" s="60" t="n"/>
      <c r="CM161" s="60">
        <f>CL161-CK161</f>
        <v/>
      </c>
      <c r="CN161" s="61">
        <f>IF(CK161=0,"",CL161/CK161)</f>
        <v/>
      </c>
      <c r="CO161" s="27" t="n"/>
      <c r="CP161" s="62" t="n"/>
      <c r="CQ161" s="62" t="n"/>
      <c r="CR161" s="62">
        <f>CQ161-CP161</f>
        <v/>
      </c>
      <c r="CS161" s="64">
        <f>IF(CP161=0,"",CQ161/CP161)</f>
        <v/>
      </c>
      <c r="CT161" s="31" t="n"/>
      <c r="CU161" s="60" t="n"/>
      <c r="CV161" s="60" t="n"/>
      <c r="CW161" s="60">
        <f>CV161-CU161</f>
        <v/>
      </c>
      <c r="CX161" s="61">
        <f>IF(CU161=0,"",CV161/CU161)</f>
        <v/>
      </c>
      <c r="CY161" s="27" t="n"/>
      <c r="CZ161" s="62" t="n"/>
      <c r="DA161" s="62" t="n"/>
      <c r="DB161" s="62">
        <f>DA161-CZ161</f>
        <v/>
      </c>
      <c r="DC161" s="64">
        <f>IF(CZ161=0,"",DA161/CZ161)</f>
        <v/>
      </c>
      <c r="DD161" s="31" t="n"/>
      <c r="DE161" s="60" t="n"/>
      <c r="DF161" s="60" t="n"/>
      <c r="DG161" s="60">
        <f>DF161-DE161</f>
        <v/>
      </c>
      <c r="DH161" s="61">
        <f>IF(DE161=0,"",DF161/DE161)</f>
        <v/>
      </c>
      <c r="DI161" s="27" t="n"/>
      <c r="DJ161" s="62" t="n"/>
      <c r="DK161" s="62" t="n"/>
      <c r="DL161" s="62">
        <f>DK161-DJ161</f>
        <v/>
      </c>
      <c r="DM161" s="64">
        <f>IF(DJ161=0,"",DK161/DJ161)</f>
        <v/>
      </c>
      <c r="DN161" s="31" t="n"/>
      <c r="DO161" s="60" t="n"/>
    </row>
    <row r="162" ht="15" customHeight="1">
      <c r="A162" s="32" t="n"/>
      <c r="B162" s="32" t="n"/>
      <c r="C162" s="32" t="n"/>
      <c r="D162" s="65">
        <f>D164+D166+D168+D170+D172+D173+D174+D175+D176+D177+D178+D179+D180+D181+D182+D183</f>
        <v/>
      </c>
      <c r="E162" s="65">
        <f>E164+E166+E168+E170+E172+E173+E174+E175+E176+E177+E178+E179+E180+E181+E182+E183</f>
        <v/>
      </c>
      <c r="F162" s="65">
        <f>E162-D162</f>
        <v/>
      </c>
      <c r="G162" s="66">
        <f>IF(D162=0,"",E162/D162)</f>
        <v/>
      </c>
      <c r="H162" s="35" t="n"/>
      <c r="I162" s="65">
        <f>I164+I166+I168+I170+I172+I173+I174+I175+I176+I177+I178+I179+I180+I181+I182+I183</f>
        <v/>
      </c>
      <c r="J162" s="65">
        <f>J164+J166+J168+J170+J172+J173+J174+J175+J176+J177+J178+J179+J180+J181+J182+J183</f>
        <v/>
      </c>
      <c r="K162" s="65">
        <f>J162-I162</f>
        <v/>
      </c>
      <c r="L162" s="66">
        <f>IF(I162=0,"",J162/I162)</f>
        <v/>
      </c>
      <c r="M162" s="35" t="n"/>
      <c r="N162" s="65">
        <f>N164+N166+N168+N170+N172+N173+N174+N175+N176+N177+N178+N179+N180+N181+N182+N183</f>
        <v/>
      </c>
      <c r="O162" s="65">
        <f>O164+O166+O168+O170+O172+O173+O174+O175+O176+O177+O178+O179+O180+O181+O182+O183</f>
        <v/>
      </c>
      <c r="P162" s="65">
        <f>O162-N162</f>
        <v/>
      </c>
      <c r="Q162" s="66">
        <f>IF(N162=0,"",O162/N162)</f>
        <v/>
      </c>
      <c r="R162" s="35" t="n"/>
      <c r="S162" s="65">
        <f>S164+S166+S168+S170+S172+S173+S174+S175+S176+S177+S178+S179+S180+S181+S182+S183</f>
        <v/>
      </c>
      <c r="T162" s="65">
        <f>T164+T166+T168+T170+T172+T173+T174+T175+T176+T177+T178+T179+T180+T181+T182+T183</f>
        <v/>
      </c>
      <c r="U162" s="65">
        <f>T162-S162</f>
        <v/>
      </c>
      <c r="V162" s="66">
        <f>IF(S162=0,"",T162/S162)</f>
        <v/>
      </c>
      <c r="W162" s="35" t="n"/>
      <c r="X162" s="65">
        <f>X164+X166+X168+X170+X172+X173+X174+X175+X176+X177+X178+X179+X180+X181+X182+X183</f>
        <v/>
      </c>
      <c r="Y162" s="65">
        <f>Y164+Y166+Y168+Y170+Y172+Y173+Y174+Y175+Y176+Y177+Y178+Y179+Y180+Y181+Y182+Y183</f>
        <v/>
      </c>
      <c r="Z162" s="65">
        <f>Y162-X162</f>
        <v/>
      </c>
      <c r="AA162" s="66">
        <f>IF(X162=0,"",Y162/X162)</f>
        <v/>
      </c>
      <c r="AB162" s="35" t="n"/>
      <c r="AC162" s="65">
        <f>AC164+AC166+AC168+AC170+AC172+AC173+AC174+AC175+AC176+AC177+AC178+AC179+AC180+AC181+AC182+AC183</f>
        <v/>
      </c>
      <c r="AD162" s="65">
        <f>AD164+AD166+AD168+AD170+AD172+AD173+AD174+AD175+AD176+AD177+AD178+AD179+AD180+AD181+AD182+AD183</f>
        <v/>
      </c>
      <c r="AE162" s="65">
        <f>AD162-AC162</f>
        <v/>
      </c>
      <c r="AF162" s="66">
        <f>IF(AC162=0,"",AD162/AC162)</f>
        <v/>
      </c>
      <c r="AG162" s="35" t="n"/>
      <c r="AH162" s="65">
        <f>AH164+AH166+AH168+AH170+AH172+AH173+AH174+AH175+AH176+AH177+AH178+AH179+AH180+AH181+AH182+AH183</f>
        <v/>
      </c>
      <c r="AI162" s="65">
        <f>AI164+AI166+AI168+AI170+AI172+AI173+AI174+AI175+AI176+AI177+AI178+AI179+AI180+AI181+AI182+AI183</f>
        <v/>
      </c>
      <c r="AJ162" s="65">
        <f>AI162-AH162</f>
        <v/>
      </c>
      <c r="AK162" s="66">
        <f>IF(AH162=0,"",AI162/AH162)</f>
        <v/>
      </c>
      <c r="AL162" s="35" t="n"/>
      <c r="AM162" s="65">
        <f>AM164+AM166+AM168+AM170+AM172+AM173+AM174+AM175+AM176+AM177+AM178+AM179+AM180+AM181+AM182+AM183</f>
        <v/>
      </c>
      <c r="AN162" s="65">
        <f>AN164+AN166+AN168+AN170+AN172+AN173+AN174+AN175+AN176+AN177+AN178+AN179+AN180+AN181+AN182+AN183</f>
        <v/>
      </c>
      <c r="AO162" s="65">
        <f>AN162-AM162</f>
        <v/>
      </c>
      <c r="AP162" s="66">
        <f>IF(AM162=0,"",AN162/AM162)</f>
        <v/>
      </c>
      <c r="AQ162" s="35" t="n"/>
      <c r="AR162" s="65">
        <f>AR164+AR166+AR168+AR170+AR172+AR173+AR174+AR175+AR176+AR177+AR178+AR179+AR180+AR181+AR182+AR183</f>
        <v/>
      </c>
      <c r="AS162" s="65">
        <f>AS164+AS166+AS168+AS170+AS172+AS173+AS174+AS175+AS176+AS177+AS178+AS179+AS180+AS181+AS182+AS183</f>
        <v/>
      </c>
      <c r="AT162" s="65">
        <f>AS162-AR162</f>
        <v/>
      </c>
      <c r="AU162" s="66">
        <f>IF(AR162=0,"",AS162/AR162)</f>
        <v/>
      </c>
      <c r="AV162" s="35" t="n"/>
      <c r="AW162" s="65">
        <f>AW164+AW166+AW168+AW170+AW172+AW173+AW174+AW175+AW176+AW177+AW178+AW179+AW180+AW181+AW182+AW183</f>
        <v/>
      </c>
      <c r="AX162" s="65">
        <f>AX164+AX166+AX168+AX170+AX172+AX173+AX174+AX175+AX176+AX177+AX178+AX179+AX180+AX181+AX182+AX183</f>
        <v/>
      </c>
      <c r="AY162" s="65">
        <f>AX162-AW162</f>
        <v/>
      </c>
      <c r="AZ162" s="66">
        <f>IF(AW162=0,"",AX162/AW162)</f>
        <v/>
      </c>
      <c r="BA162" s="35" t="n"/>
      <c r="BB162" s="65">
        <f>BB164+BB166+BB168+BB170+BB172+BB173+BB174+BB175+BB176+BB177+BB178+BB179+BB180+BB181+BB182+BB183</f>
        <v/>
      </c>
      <c r="BC162" s="65">
        <f>BC164+BC166+BC168+BC170+BC172+BC173+BC174+BC175+BC176+BC177+BC178+BC179+BC180+BC181+BC182+BC183</f>
        <v/>
      </c>
      <c r="BD162" s="65">
        <f>BC162-BB162</f>
        <v/>
      </c>
      <c r="BE162" s="66">
        <f>IF(BB162=0,"",BC162/BB162)</f>
        <v/>
      </c>
      <c r="BF162" s="35" t="n"/>
      <c r="BG162" s="65">
        <f>BG164+BG166+BG168+BG170+BG172+BG173+BG174+BG175+BG176+BG177+BG178+BG179+BG180+BG181+BG182+BG183</f>
        <v/>
      </c>
      <c r="BH162" s="65">
        <f>BH164+BH166+BH168+BH170+BH172+BH173+BH174+BH175+BH176+BH177+BH178+BH179+BH180+BH181+BH182+BH183</f>
        <v/>
      </c>
      <c r="BI162" s="65">
        <f>BH162-BG162</f>
        <v/>
      </c>
      <c r="BJ162" s="66">
        <f>IF(BG162=0,"",BH162/BG162)</f>
        <v/>
      </c>
      <c r="BK162" s="35" t="n"/>
      <c r="BL162" s="65">
        <f>BL164+BL166+BL168+BL170+BL172+BL173+BL174+BL175+BL176+BL177+BL178+BL179+BL180+BL181+BL182+BL183</f>
        <v/>
      </c>
      <c r="BM162" s="65">
        <f>BM164+BM166+BM168+BM170+BM172+BM173+BM174+BM175+BM176+BM177+BM178+BM179+BM180+BM181+BM182+BM183</f>
        <v/>
      </c>
      <c r="BN162" s="65">
        <f>BM162-BL162</f>
        <v/>
      </c>
      <c r="BO162" s="66">
        <f>IF(BL162=0,"",BM162/BL162)</f>
        <v/>
      </c>
      <c r="BP162" s="35" t="n"/>
      <c r="BQ162" s="65">
        <f>BQ164+BQ166+BQ168+BQ170+BQ172+BQ173+BQ174+BQ175+BQ176+BQ177+BQ178+BQ179+BQ180+BQ181+BQ182+BQ183</f>
        <v/>
      </c>
      <c r="BR162" s="65">
        <f>BR164+BR166+BR168+BR170+BR172+BR173+BR174+BR175+BR176+BR177+BR178+BR179+BR180+BR181+BR182+BR183</f>
        <v/>
      </c>
      <c r="BS162" s="65">
        <f>BR162-BQ162</f>
        <v/>
      </c>
      <c r="BT162" s="66">
        <f>IF(BQ162=0,"",BR162/BQ162)</f>
        <v/>
      </c>
      <c r="BU162" s="35" t="n"/>
      <c r="BV162" s="65">
        <f>BV164+BV166+BV168+BV170+BV172+BV173+BV174+BV175+BV176+BV177+BV178+BV179+BV180+BV181+BV182+BV183</f>
        <v/>
      </c>
      <c r="BW162" s="65">
        <f>BW164+BW166+BW168+BW170+BW172+BW173+BW174+BW175+BW176+BW177+BW178+BW179+BW180+BW181+BW182+BW183</f>
        <v/>
      </c>
      <c r="BX162" s="65">
        <f>BW162-BV162</f>
        <v/>
      </c>
      <c r="BY162" s="66">
        <f>IF(BV162=0,"",BW162/BV162)</f>
        <v/>
      </c>
      <c r="BZ162" s="35" t="n"/>
      <c r="CA162" s="65">
        <f>CA164+CA166+CA168+CA170+CA172+CA173+CA174+CA175+CA176+CA177+CA178+CA179+CA180+CA181+CA182+CA183</f>
        <v/>
      </c>
      <c r="CB162" s="65">
        <f>CB164+CB166+CB168+CB170+CB172+CB173+CB174+CB175+CB176+CB177+CB178+CB179+CB180+CB181+CB182+CB183</f>
        <v/>
      </c>
      <c r="CC162" s="65">
        <f>CB162-CA162</f>
        <v/>
      </c>
      <c r="CD162" s="66">
        <f>IF(CA162=0,"",CB162/CA162)</f>
        <v/>
      </c>
      <c r="CE162" s="35" t="n"/>
      <c r="CF162" s="65">
        <f>CF164+CF166+CF168+CF170+CF172+CF173+CF174+CF175+CF176+CF177+CF178+CF179+CF180+CF181+CF182+CF183</f>
        <v/>
      </c>
      <c r="CG162" s="65">
        <f>CG164+CG166+CG168+CG170+CG172+CG173+CG174+CG175+CG176+CG177+CG178+CG179+CG180+CG181+CG182+CG183</f>
        <v/>
      </c>
      <c r="CH162" s="65">
        <f>CG162-CF162</f>
        <v/>
      </c>
      <c r="CI162" s="66">
        <f>IF(CF162=0,"",CG162/CF162)</f>
        <v/>
      </c>
      <c r="CJ162" s="35" t="n"/>
      <c r="CK162" s="65">
        <f>CK164+CK166+CK168+CK170+CK172+CK173+CK174+CK175+CK176+CK177+CK178+CK179+CK180+CK181+CK182+CK183</f>
        <v/>
      </c>
      <c r="CL162" s="65">
        <f>CL164+CL166+CL168+CL170+CL172+CL173+CL174+CL175+CL176+CL177+CL178+CL179+CL180+CL181+CL182+CL183</f>
        <v/>
      </c>
      <c r="CM162" s="65">
        <f>CL162-CK162</f>
        <v/>
      </c>
      <c r="CN162" s="66">
        <f>IF(CK162=0,"",CL162/CK162)</f>
        <v/>
      </c>
      <c r="CO162" s="35" t="n"/>
      <c r="CP162" s="65">
        <f>CP164+CP166+CP168+CP170+CP172+CP173+CP174+CP175+CP176+CP177+CP178+CP179+CP180+CP181+CP182+CP183</f>
        <v/>
      </c>
      <c r="CQ162" s="65">
        <f>CQ164+CQ166+CQ168+CQ170+CQ172+CQ173+CQ174+CQ175+CQ176+CQ177+CQ178+CQ179+CQ180+CQ181+CQ182+CQ183</f>
        <v/>
      </c>
      <c r="CR162" s="65">
        <f>CQ162-CP162</f>
        <v/>
      </c>
      <c r="CS162" s="66">
        <f>IF(CP162=0,"",CQ162/CP162)</f>
        <v/>
      </c>
      <c r="CT162" s="35" t="n"/>
      <c r="CU162" s="65">
        <f>CU164+CU166+CU168+CU170+CU172+CU173+CU174+CU175+CU176+CU177+CU178+CU179+CU180+CU181+CU182+CU183</f>
        <v/>
      </c>
      <c r="CV162" s="65">
        <f>CV164+CV166+CV168+CV170+CV172+CV173+CV174+CV175+CV176+CV177+CV178+CV179+CV180+CV181+CV182+CV183</f>
        <v/>
      </c>
      <c r="CW162" s="65">
        <f>CV162-CU162</f>
        <v/>
      </c>
      <c r="CX162" s="66">
        <f>IF(CU162=0,"",CV162/CU162)</f>
        <v/>
      </c>
      <c r="CY162" s="35" t="n"/>
      <c r="CZ162" s="65">
        <f>CZ164+CZ166+CZ168+CZ170+CZ172+CZ173+CZ174+CZ175+CZ176+CZ177+CZ178+CZ179+CZ180+CZ181+CZ182+CZ183</f>
        <v/>
      </c>
      <c r="DA162" s="65">
        <f>DA164+DA166+DA168+DA170+DA172+DA173+DA174+DA175+DA176+DA177+DA178+DA179+DA180+DA181+DA182+DA183</f>
        <v/>
      </c>
      <c r="DB162" s="65">
        <f>DA162-CZ162</f>
        <v/>
      </c>
      <c r="DC162" s="66">
        <f>IF(CZ162=0,"",DA162/CZ162)</f>
        <v/>
      </c>
      <c r="DD162" s="35" t="n"/>
      <c r="DE162" s="65">
        <f>DE164+DE166+DE168+DE170+DE172+DE173+DE174+DE175+DE176+DE177+DE178+DE179+DE180+DE181+DE182+DE183</f>
        <v/>
      </c>
      <c r="DF162" s="65">
        <f>DF164+DF166+DF168+DF170+DF172+DF173+DF174+DF175+DF176+DF177+DF178+DF179+DF180+DF181+DF182+DF183</f>
        <v/>
      </c>
      <c r="DG162" s="65">
        <f>DF162-DE162</f>
        <v/>
      </c>
      <c r="DH162" s="66">
        <f>IF(DE162=0,"",DF162/DE162)</f>
        <v/>
      </c>
      <c r="DI162" s="35" t="n"/>
      <c r="DJ162" s="65">
        <f>DJ164+DJ166+DJ168+DJ170+DJ172+DJ173+DJ174+DJ175+DJ176+DJ177+DJ178+DJ179+DJ180+DJ181+DJ182+DJ183</f>
        <v/>
      </c>
      <c r="DK162" s="65">
        <f>DK164+DK166+DK168+DK170+DK172+DK173+DK174+DK175+DK176+DK177+DK178+DK179+DK180+DK181+DK182+DK183</f>
        <v/>
      </c>
      <c r="DL162" s="65">
        <f>DK162-DJ162</f>
        <v/>
      </c>
      <c r="DM162" s="66">
        <f>IF(DJ162=0,"",DK162/DJ162)</f>
        <v/>
      </c>
      <c r="DN162" s="35" t="n"/>
      <c r="DO162" s="65">
        <f>DO164+DO166+DO168+DO170+DO172+DO173+DO174+DO175+DO176+DO177+DO178+DO179+DO180+DO181+DO182+DO183</f>
        <v/>
      </c>
    </row>
    <row r="163" ht="15" customHeight="1">
      <c r="A163" s="19" t="n"/>
      <c r="B163" s="20" t="n"/>
      <c r="C163" s="19" t="n"/>
      <c r="D163" s="58">
        <f>D164</f>
        <v/>
      </c>
      <c r="E163" s="58">
        <f>E164</f>
        <v/>
      </c>
      <c r="F163" s="58">
        <f>E163-D163</f>
        <v/>
      </c>
      <c r="G163" s="59">
        <f>IF(D163=0,"",E163/D163)</f>
        <v/>
      </c>
      <c r="H163" s="23" t="n"/>
      <c r="I163" s="58">
        <f>I164</f>
        <v/>
      </c>
      <c r="J163" s="58">
        <f>J164</f>
        <v/>
      </c>
      <c r="K163" s="58">
        <f>J163-I163</f>
        <v/>
      </c>
      <c r="L163" s="59">
        <f>IF(I163=0,"",J163/I163)</f>
        <v/>
      </c>
      <c r="M163" s="23" t="n"/>
      <c r="N163" s="58">
        <f>N164</f>
        <v/>
      </c>
      <c r="O163" s="58">
        <f>O164</f>
        <v/>
      </c>
      <c r="P163" s="58">
        <f>O163-N163</f>
        <v/>
      </c>
      <c r="Q163" s="59">
        <f>IF(N163=0,"",O163/N163)</f>
        <v/>
      </c>
      <c r="R163" s="23" t="n"/>
      <c r="S163" s="58">
        <f>S164</f>
        <v/>
      </c>
      <c r="T163" s="58">
        <f>T164</f>
        <v/>
      </c>
      <c r="U163" s="58">
        <f>T163-S163</f>
        <v/>
      </c>
      <c r="V163" s="59">
        <f>IF(S163=0,"",T163/S163)</f>
        <v/>
      </c>
      <c r="W163" s="23" t="n"/>
      <c r="X163" s="58">
        <f>X164</f>
        <v/>
      </c>
      <c r="Y163" s="58">
        <f>Y164</f>
        <v/>
      </c>
      <c r="Z163" s="58">
        <f>Y163-X163</f>
        <v/>
      </c>
      <c r="AA163" s="59">
        <f>IF(X163=0,"",Y163/X163)</f>
        <v/>
      </c>
      <c r="AB163" s="23" t="n"/>
      <c r="AC163" s="58">
        <f>AC164</f>
        <v/>
      </c>
      <c r="AD163" s="58">
        <f>AD164</f>
        <v/>
      </c>
      <c r="AE163" s="58">
        <f>AD163-AC163</f>
        <v/>
      </c>
      <c r="AF163" s="59">
        <f>IF(AC163=0,"",AD163/AC163)</f>
        <v/>
      </c>
      <c r="AG163" s="23" t="n"/>
      <c r="AH163" s="58">
        <f>AH164</f>
        <v/>
      </c>
      <c r="AI163" s="58">
        <f>AI164</f>
        <v/>
      </c>
      <c r="AJ163" s="58">
        <f>AI163-AH163</f>
        <v/>
      </c>
      <c r="AK163" s="59">
        <f>IF(AH163=0,"",AI163/AH163)</f>
        <v/>
      </c>
      <c r="AL163" s="23" t="n"/>
      <c r="AM163" s="58">
        <f>AM164</f>
        <v/>
      </c>
      <c r="AN163" s="58">
        <f>AN164</f>
        <v/>
      </c>
      <c r="AO163" s="58">
        <f>AN163-AM163</f>
        <v/>
      </c>
      <c r="AP163" s="59">
        <f>IF(AM163=0,"",AN163/AM163)</f>
        <v/>
      </c>
      <c r="AQ163" s="23" t="n"/>
      <c r="AR163" s="58">
        <f>AR164</f>
        <v/>
      </c>
      <c r="AS163" s="58">
        <f>AS164</f>
        <v/>
      </c>
      <c r="AT163" s="58">
        <f>AS163-AR163</f>
        <v/>
      </c>
      <c r="AU163" s="59">
        <f>IF(AR163=0,"",AS163/AR163)</f>
        <v/>
      </c>
      <c r="AV163" s="23" t="n"/>
      <c r="AW163" s="58">
        <f>AW164</f>
        <v/>
      </c>
      <c r="AX163" s="58">
        <f>AX164</f>
        <v/>
      </c>
      <c r="AY163" s="58">
        <f>AX163-AW163</f>
        <v/>
      </c>
      <c r="AZ163" s="59">
        <f>IF(AW163=0,"",AX163/AW163)</f>
        <v/>
      </c>
      <c r="BA163" s="23" t="n"/>
      <c r="BB163" s="58">
        <f>BB164</f>
        <v/>
      </c>
      <c r="BC163" s="58">
        <f>BC164</f>
        <v/>
      </c>
      <c r="BD163" s="58">
        <f>BC163-BB163</f>
        <v/>
      </c>
      <c r="BE163" s="59">
        <f>IF(BB163=0,"",BC163/BB163)</f>
        <v/>
      </c>
      <c r="BF163" s="23" t="n"/>
      <c r="BG163" s="58">
        <f>BG164</f>
        <v/>
      </c>
      <c r="BH163" s="58">
        <f>BH164</f>
        <v/>
      </c>
      <c r="BI163" s="58">
        <f>BH163-BG163</f>
        <v/>
      </c>
      <c r="BJ163" s="59">
        <f>IF(BG163=0,"",BH163/BG163)</f>
        <v/>
      </c>
      <c r="BK163" s="23" t="n"/>
      <c r="BL163" s="58">
        <f>BL164</f>
        <v/>
      </c>
      <c r="BM163" s="58">
        <f>BM164</f>
        <v/>
      </c>
      <c r="BN163" s="58">
        <f>BM163-BL163</f>
        <v/>
      </c>
      <c r="BO163" s="59">
        <f>IF(BL163=0,"",BM163/BL163)</f>
        <v/>
      </c>
      <c r="BP163" s="23" t="n"/>
      <c r="BQ163" s="58">
        <f>BQ164</f>
        <v/>
      </c>
      <c r="BR163" s="58">
        <f>BR164</f>
        <v/>
      </c>
      <c r="BS163" s="58">
        <f>BR163-BQ163</f>
        <v/>
      </c>
      <c r="BT163" s="59">
        <f>IF(BQ163=0,"",BR163/BQ163)</f>
        <v/>
      </c>
      <c r="BU163" s="23" t="n"/>
      <c r="BV163" s="58">
        <f>BV164</f>
        <v/>
      </c>
      <c r="BW163" s="58">
        <f>BW164</f>
        <v/>
      </c>
      <c r="BX163" s="58">
        <f>BW163-BV163</f>
        <v/>
      </c>
      <c r="BY163" s="59">
        <f>IF(BV163=0,"",BW163/BV163)</f>
        <v/>
      </c>
      <c r="BZ163" s="23" t="n"/>
      <c r="CA163" s="58">
        <f>CA164</f>
        <v/>
      </c>
      <c r="CB163" s="58">
        <f>CB164</f>
        <v/>
      </c>
      <c r="CC163" s="58">
        <f>CB163-CA163</f>
        <v/>
      </c>
      <c r="CD163" s="59">
        <f>IF(CA163=0,"",CB163/CA163)</f>
        <v/>
      </c>
      <c r="CE163" s="23" t="n"/>
      <c r="CF163" s="58">
        <f>CF164</f>
        <v/>
      </c>
      <c r="CG163" s="58">
        <f>CG164</f>
        <v/>
      </c>
      <c r="CH163" s="58">
        <f>CG163-CF163</f>
        <v/>
      </c>
      <c r="CI163" s="59">
        <f>IF(CF163=0,"",CG163/CF163)</f>
        <v/>
      </c>
      <c r="CJ163" s="23" t="n"/>
      <c r="CK163" s="58">
        <f>CK164</f>
        <v/>
      </c>
      <c r="CL163" s="58">
        <f>CL164</f>
        <v/>
      </c>
      <c r="CM163" s="58">
        <f>CL163-CK163</f>
        <v/>
      </c>
      <c r="CN163" s="59">
        <f>IF(CK163=0,"",CL163/CK163)</f>
        <v/>
      </c>
      <c r="CO163" s="23" t="n"/>
      <c r="CP163" s="58">
        <f>CP164</f>
        <v/>
      </c>
      <c r="CQ163" s="58">
        <f>CQ164</f>
        <v/>
      </c>
      <c r="CR163" s="58">
        <f>CQ163-CP163</f>
        <v/>
      </c>
      <c r="CS163" s="59">
        <f>IF(CP163=0,"",CQ163/CP163)</f>
        <v/>
      </c>
      <c r="CT163" s="23" t="n"/>
      <c r="CU163" s="58">
        <f>CU164</f>
        <v/>
      </c>
      <c r="CV163" s="58">
        <f>CV164</f>
        <v/>
      </c>
      <c r="CW163" s="58">
        <f>CV163-CU163</f>
        <v/>
      </c>
      <c r="CX163" s="59">
        <f>IF(CU163=0,"",CV163/CU163)</f>
        <v/>
      </c>
      <c r="CY163" s="23" t="n"/>
      <c r="CZ163" s="58">
        <f>CZ164</f>
        <v/>
      </c>
      <c r="DA163" s="58">
        <f>DA164</f>
        <v/>
      </c>
      <c r="DB163" s="58">
        <f>DA163-CZ163</f>
        <v/>
      </c>
      <c r="DC163" s="59">
        <f>IF(CZ163=0,"",DA163/CZ163)</f>
        <v/>
      </c>
      <c r="DD163" s="23" t="n"/>
      <c r="DE163" s="58">
        <f>DE164</f>
        <v/>
      </c>
      <c r="DF163" s="58">
        <f>DF164</f>
        <v/>
      </c>
      <c r="DG163" s="58">
        <f>DF163-DE163</f>
        <v/>
      </c>
      <c r="DH163" s="59">
        <f>IF(DE163=0,"",DF163/DE163)</f>
        <v/>
      </c>
      <c r="DI163" s="23" t="n"/>
      <c r="DJ163" s="58">
        <f>DJ164</f>
        <v/>
      </c>
      <c r="DK163" s="58">
        <f>DK164</f>
        <v/>
      </c>
      <c r="DL163" s="58">
        <f>DK163-DJ163</f>
        <v/>
      </c>
      <c r="DM163" s="59">
        <f>IF(DJ163=0,"",DK163/DJ163)</f>
        <v/>
      </c>
      <c r="DN163" s="23" t="n"/>
      <c r="DO163" s="58">
        <f>DO164</f>
        <v/>
      </c>
    </row>
    <row r="164" outlineLevel="1" ht="15" customHeight="1">
      <c r="A164" s="24" t="n"/>
      <c r="B164" s="24" t="n"/>
      <c r="C164" s="24" t="n"/>
      <c r="D164" s="60" t="n"/>
      <c r="E164" s="60" t="n"/>
      <c r="F164" s="60">
        <f>E164-D164</f>
        <v/>
      </c>
      <c r="G164" s="61">
        <f>IF(D164=0,"",E164/D164)</f>
        <v/>
      </c>
      <c r="H164" s="27" t="n"/>
      <c r="I164" s="60" t="n"/>
      <c r="J164" s="60" t="n"/>
      <c r="K164" s="60">
        <f>J164-I164</f>
        <v/>
      </c>
      <c r="L164" s="61">
        <f>IF(I164=0,"",J164/I164)</f>
        <v/>
      </c>
      <c r="M164" s="27" t="n"/>
      <c r="N164" s="62" t="n"/>
      <c r="O164" s="62" t="n"/>
      <c r="P164" s="62">
        <f>O164-N164</f>
        <v/>
      </c>
      <c r="Q164" s="64">
        <f>IF(N164=0,"",O164/N164)</f>
        <v/>
      </c>
      <c r="R164" s="31" t="n"/>
      <c r="S164" s="60" t="n"/>
      <c r="T164" s="60" t="n"/>
      <c r="U164" s="60">
        <f>T164-S164</f>
        <v/>
      </c>
      <c r="V164" s="61">
        <f>IF(S164=0,"",T164/S164)</f>
        <v/>
      </c>
      <c r="W164" s="27" t="n"/>
      <c r="X164" s="62" t="n"/>
      <c r="Y164" s="62" t="n"/>
      <c r="Z164" s="62">
        <f>Y164-X164</f>
        <v/>
      </c>
      <c r="AA164" s="64">
        <f>IF(X164=0,"",Y164/X164)</f>
        <v/>
      </c>
      <c r="AB164" s="31" t="n"/>
      <c r="AC164" s="60" t="n"/>
      <c r="AD164" s="60" t="n"/>
      <c r="AE164" s="60">
        <f>AD164-AC164</f>
        <v/>
      </c>
      <c r="AF164" s="61">
        <f>IF(AC164=0,"",AD164/AC164)</f>
        <v/>
      </c>
      <c r="AG164" s="27" t="n"/>
      <c r="AH164" s="62" t="n"/>
      <c r="AI164" s="62" t="n"/>
      <c r="AJ164" s="62">
        <f>AI164-AH164</f>
        <v/>
      </c>
      <c r="AK164" s="64">
        <f>IF(AH164=0,"",AI164/AH164)</f>
        <v/>
      </c>
      <c r="AL164" s="31" t="n"/>
      <c r="AM164" s="60" t="n"/>
      <c r="AN164" s="60" t="n"/>
      <c r="AO164" s="60">
        <f>AN164-AM164</f>
        <v/>
      </c>
      <c r="AP164" s="61">
        <f>IF(AM164=0,"",AN164/AM164)</f>
        <v/>
      </c>
      <c r="AQ164" s="27" t="n"/>
      <c r="AR164" s="62" t="n"/>
      <c r="AS164" s="62" t="n"/>
      <c r="AT164" s="62">
        <f>AS164-AR164</f>
        <v/>
      </c>
      <c r="AU164" s="64">
        <f>IF(AR164=0,"",AS164/AR164)</f>
        <v/>
      </c>
      <c r="AV164" s="31" t="n"/>
      <c r="AW164" s="60" t="n"/>
      <c r="AX164" s="60" t="n"/>
      <c r="AY164" s="60">
        <f>AX164-AW164</f>
        <v/>
      </c>
      <c r="AZ164" s="61">
        <f>IF(AW164=0,"",AX164/AW164)</f>
        <v/>
      </c>
      <c r="BA164" s="27" t="n"/>
      <c r="BB164" s="62" t="n"/>
      <c r="BC164" s="62" t="n"/>
      <c r="BD164" s="62">
        <f>BC164-BB164</f>
        <v/>
      </c>
      <c r="BE164" s="64">
        <f>IF(BB164=0,"",BC164/BB164)</f>
        <v/>
      </c>
      <c r="BF164" s="31" t="n"/>
      <c r="BG164" s="60" t="n"/>
      <c r="BH164" s="60" t="n"/>
      <c r="BI164" s="60">
        <f>BH164-BG164</f>
        <v/>
      </c>
      <c r="BJ164" s="61">
        <f>IF(BG164=0,"",BH164/BG164)</f>
        <v/>
      </c>
      <c r="BK164" s="27" t="n"/>
      <c r="BL164" s="62" t="n"/>
      <c r="BM164" s="62" t="n"/>
      <c r="BN164" s="62">
        <f>BM164-BL164</f>
        <v/>
      </c>
      <c r="BO164" s="64">
        <f>IF(BL164=0,"",BM164/BL164)</f>
        <v/>
      </c>
      <c r="BP164" s="31" t="n"/>
      <c r="BQ164" s="60" t="n"/>
      <c r="BR164" s="60" t="n"/>
      <c r="BS164" s="60">
        <f>BR164-BQ164</f>
        <v/>
      </c>
      <c r="BT164" s="61">
        <f>IF(BQ164=0,"",BR164/BQ164)</f>
        <v/>
      </c>
      <c r="BU164" s="27" t="n"/>
      <c r="BV164" s="62" t="n"/>
      <c r="BW164" s="62" t="n"/>
      <c r="BX164" s="62">
        <f>BW164-BV164</f>
        <v/>
      </c>
      <c r="BY164" s="64">
        <f>IF(BV164=0,"",BW164/BV164)</f>
        <v/>
      </c>
      <c r="BZ164" s="31" t="n"/>
      <c r="CA164" s="60" t="n"/>
      <c r="CB164" s="60" t="n"/>
      <c r="CC164" s="60">
        <f>CB164-CA164</f>
        <v/>
      </c>
      <c r="CD164" s="61">
        <f>IF(CA164=0,"",CB164/CA164)</f>
        <v/>
      </c>
      <c r="CE164" s="27" t="n"/>
      <c r="CF164" s="62" t="n"/>
      <c r="CG164" s="62" t="n"/>
      <c r="CH164" s="62">
        <f>CG164-CF164</f>
        <v/>
      </c>
      <c r="CI164" s="64">
        <f>IF(CF164=0,"",CG164/CF164)</f>
        <v/>
      </c>
      <c r="CJ164" s="31" t="n"/>
      <c r="CK164" s="60" t="n"/>
      <c r="CL164" s="60" t="n"/>
      <c r="CM164" s="60">
        <f>CL164-CK164</f>
        <v/>
      </c>
      <c r="CN164" s="61">
        <f>IF(CK164=0,"",CL164/CK164)</f>
        <v/>
      </c>
      <c r="CO164" s="27" t="n"/>
      <c r="CP164" s="62" t="n"/>
      <c r="CQ164" s="62" t="n"/>
      <c r="CR164" s="62">
        <f>CQ164-CP164</f>
        <v/>
      </c>
      <c r="CS164" s="64">
        <f>IF(CP164=0,"",CQ164/CP164)</f>
        <v/>
      </c>
      <c r="CT164" s="31" t="n"/>
      <c r="CU164" s="60" t="n"/>
      <c r="CV164" s="60" t="n"/>
      <c r="CW164" s="60">
        <f>CV164-CU164</f>
        <v/>
      </c>
      <c r="CX164" s="61">
        <f>IF(CU164=0,"",CV164/CU164)</f>
        <v/>
      </c>
      <c r="CY164" s="27" t="n"/>
      <c r="CZ164" s="62" t="n"/>
      <c r="DA164" s="62" t="n"/>
      <c r="DB164" s="62">
        <f>DA164-CZ164</f>
        <v/>
      </c>
      <c r="DC164" s="64">
        <f>IF(CZ164=0,"",DA164/CZ164)</f>
        <v/>
      </c>
      <c r="DD164" s="31" t="n"/>
      <c r="DE164" s="60" t="n"/>
      <c r="DF164" s="60" t="n"/>
      <c r="DG164" s="60">
        <f>DF164-DE164</f>
        <v/>
      </c>
      <c r="DH164" s="61">
        <f>IF(DE164=0,"",DF164/DE164)</f>
        <v/>
      </c>
      <c r="DI164" s="27" t="n"/>
      <c r="DJ164" s="62" t="n"/>
      <c r="DK164" s="62" t="n"/>
      <c r="DL164" s="62">
        <f>DK164-DJ164</f>
        <v/>
      </c>
      <c r="DM164" s="64">
        <f>IF(DJ164=0,"",DK164/DJ164)</f>
        <v/>
      </c>
      <c r="DN164" s="31" t="n"/>
      <c r="DO164" s="60" t="n"/>
    </row>
    <row r="165" ht="15" customHeight="1">
      <c r="A165" s="19" t="n"/>
      <c r="B165" s="20" t="n"/>
      <c r="C165" s="19" t="n"/>
      <c r="D165" s="58">
        <f>D166</f>
        <v/>
      </c>
      <c r="E165" s="58">
        <f>E166</f>
        <v/>
      </c>
      <c r="F165" s="58">
        <f>E165-D165</f>
        <v/>
      </c>
      <c r="G165" s="59">
        <f>IF(D165=0,"",E165/D165)</f>
        <v/>
      </c>
      <c r="H165" s="23" t="n"/>
      <c r="I165" s="58">
        <f>I166</f>
        <v/>
      </c>
      <c r="J165" s="58">
        <f>J166</f>
        <v/>
      </c>
      <c r="K165" s="58">
        <f>J165-I165</f>
        <v/>
      </c>
      <c r="L165" s="59">
        <f>IF(I165=0,"",J165/I165)</f>
        <v/>
      </c>
      <c r="M165" s="23" t="n"/>
      <c r="N165" s="58">
        <f>N166</f>
        <v/>
      </c>
      <c r="O165" s="58">
        <f>O166</f>
        <v/>
      </c>
      <c r="P165" s="58">
        <f>O165-N165</f>
        <v/>
      </c>
      <c r="Q165" s="59">
        <f>IF(N165=0,"",O165/N165)</f>
        <v/>
      </c>
      <c r="R165" s="23" t="n"/>
      <c r="S165" s="58">
        <f>S166</f>
        <v/>
      </c>
      <c r="T165" s="58">
        <f>T166</f>
        <v/>
      </c>
      <c r="U165" s="58">
        <f>T165-S165</f>
        <v/>
      </c>
      <c r="V165" s="59">
        <f>IF(S165=0,"",T165/S165)</f>
        <v/>
      </c>
      <c r="W165" s="23" t="n"/>
      <c r="X165" s="58">
        <f>X166</f>
        <v/>
      </c>
      <c r="Y165" s="58">
        <f>Y166</f>
        <v/>
      </c>
      <c r="Z165" s="58">
        <f>Y165-X165</f>
        <v/>
      </c>
      <c r="AA165" s="59">
        <f>IF(X165=0,"",Y165/X165)</f>
        <v/>
      </c>
      <c r="AB165" s="23" t="n"/>
      <c r="AC165" s="58">
        <f>AC166</f>
        <v/>
      </c>
      <c r="AD165" s="58">
        <f>AD166</f>
        <v/>
      </c>
      <c r="AE165" s="58">
        <f>AD165-AC165</f>
        <v/>
      </c>
      <c r="AF165" s="59">
        <f>IF(AC165=0,"",AD165/AC165)</f>
        <v/>
      </c>
      <c r="AG165" s="23" t="n"/>
      <c r="AH165" s="58">
        <f>AH166</f>
        <v/>
      </c>
      <c r="AI165" s="58">
        <f>AI166</f>
        <v/>
      </c>
      <c r="AJ165" s="58">
        <f>AI165-AH165</f>
        <v/>
      </c>
      <c r="AK165" s="59">
        <f>IF(AH165=0,"",AI165/AH165)</f>
        <v/>
      </c>
      <c r="AL165" s="23" t="n"/>
      <c r="AM165" s="58">
        <f>AM166</f>
        <v/>
      </c>
      <c r="AN165" s="58">
        <f>AN166</f>
        <v/>
      </c>
      <c r="AO165" s="58">
        <f>AN165-AM165</f>
        <v/>
      </c>
      <c r="AP165" s="59">
        <f>IF(AM165=0,"",AN165/AM165)</f>
        <v/>
      </c>
      <c r="AQ165" s="23" t="n"/>
      <c r="AR165" s="58">
        <f>AR166</f>
        <v/>
      </c>
      <c r="AS165" s="58">
        <f>AS166</f>
        <v/>
      </c>
      <c r="AT165" s="58">
        <f>AS165-AR165</f>
        <v/>
      </c>
      <c r="AU165" s="59">
        <f>IF(AR165=0,"",AS165/AR165)</f>
        <v/>
      </c>
      <c r="AV165" s="23" t="n"/>
      <c r="AW165" s="58">
        <f>AW166</f>
        <v/>
      </c>
      <c r="AX165" s="58">
        <f>AX166</f>
        <v/>
      </c>
      <c r="AY165" s="58">
        <f>AX165-AW165</f>
        <v/>
      </c>
      <c r="AZ165" s="59">
        <f>IF(AW165=0,"",AX165/AW165)</f>
        <v/>
      </c>
      <c r="BA165" s="23" t="n"/>
      <c r="BB165" s="58">
        <f>BB166</f>
        <v/>
      </c>
      <c r="BC165" s="58">
        <f>BC166</f>
        <v/>
      </c>
      <c r="BD165" s="58">
        <f>BC165-BB165</f>
        <v/>
      </c>
      <c r="BE165" s="59">
        <f>IF(BB165=0,"",BC165/BB165)</f>
        <v/>
      </c>
      <c r="BF165" s="23" t="n"/>
      <c r="BG165" s="58">
        <f>BG166</f>
        <v/>
      </c>
      <c r="BH165" s="58">
        <f>BH166</f>
        <v/>
      </c>
      <c r="BI165" s="58">
        <f>BH165-BG165</f>
        <v/>
      </c>
      <c r="BJ165" s="59">
        <f>IF(BG165=0,"",BH165/BG165)</f>
        <v/>
      </c>
      <c r="BK165" s="23" t="n"/>
      <c r="BL165" s="58">
        <f>BL166</f>
        <v/>
      </c>
      <c r="BM165" s="58">
        <f>BM166</f>
        <v/>
      </c>
      <c r="BN165" s="58">
        <f>BM165-BL165</f>
        <v/>
      </c>
      <c r="BO165" s="59">
        <f>IF(BL165=0,"",BM165/BL165)</f>
        <v/>
      </c>
      <c r="BP165" s="23" t="n"/>
      <c r="BQ165" s="58">
        <f>BQ166</f>
        <v/>
      </c>
      <c r="BR165" s="58">
        <f>BR166</f>
        <v/>
      </c>
      <c r="BS165" s="58">
        <f>BR165-BQ165</f>
        <v/>
      </c>
      <c r="BT165" s="59">
        <f>IF(BQ165=0,"",BR165/BQ165)</f>
        <v/>
      </c>
      <c r="BU165" s="23" t="n"/>
      <c r="BV165" s="58">
        <f>BV166</f>
        <v/>
      </c>
      <c r="BW165" s="58">
        <f>BW166</f>
        <v/>
      </c>
      <c r="BX165" s="58">
        <f>BW165-BV165</f>
        <v/>
      </c>
      <c r="BY165" s="59">
        <f>IF(BV165=0,"",BW165/BV165)</f>
        <v/>
      </c>
      <c r="BZ165" s="23" t="n"/>
      <c r="CA165" s="58">
        <f>CA166</f>
        <v/>
      </c>
      <c r="CB165" s="58">
        <f>CB166</f>
        <v/>
      </c>
      <c r="CC165" s="58">
        <f>CB165-CA165</f>
        <v/>
      </c>
      <c r="CD165" s="59">
        <f>IF(CA165=0,"",CB165/CA165)</f>
        <v/>
      </c>
      <c r="CE165" s="23" t="n"/>
      <c r="CF165" s="58">
        <f>CF166</f>
        <v/>
      </c>
      <c r="CG165" s="58">
        <f>CG166</f>
        <v/>
      </c>
      <c r="CH165" s="58">
        <f>CG165-CF165</f>
        <v/>
      </c>
      <c r="CI165" s="59">
        <f>IF(CF165=0,"",CG165/CF165)</f>
        <v/>
      </c>
      <c r="CJ165" s="23" t="n"/>
      <c r="CK165" s="58">
        <f>CK166</f>
        <v/>
      </c>
      <c r="CL165" s="58">
        <f>CL166</f>
        <v/>
      </c>
      <c r="CM165" s="58">
        <f>CL165-CK165</f>
        <v/>
      </c>
      <c r="CN165" s="59">
        <f>IF(CK165=0,"",CL165/CK165)</f>
        <v/>
      </c>
      <c r="CO165" s="23" t="n"/>
      <c r="CP165" s="58">
        <f>CP166</f>
        <v/>
      </c>
      <c r="CQ165" s="58">
        <f>CQ166</f>
        <v/>
      </c>
      <c r="CR165" s="58">
        <f>CQ165-CP165</f>
        <v/>
      </c>
      <c r="CS165" s="59">
        <f>IF(CP165=0,"",CQ165/CP165)</f>
        <v/>
      </c>
      <c r="CT165" s="23" t="n"/>
      <c r="CU165" s="58">
        <f>CU166</f>
        <v/>
      </c>
      <c r="CV165" s="58">
        <f>CV166</f>
        <v/>
      </c>
      <c r="CW165" s="58">
        <f>CV165-CU165</f>
        <v/>
      </c>
      <c r="CX165" s="59">
        <f>IF(CU165=0,"",CV165/CU165)</f>
        <v/>
      </c>
      <c r="CY165" s="23" t="n"/>
      <c r="CZ165" s="58">
        <f>CZ166</f>
        <v/>
      </c>
      <c r="DA165" s="58">
        <f>DA166</f>
        <v/>
      </c>
      <c r="DB165" s="58">
        <f>DA165-CZ165</f>
        <v/>
      </c>
      <c r="DC165" s="59">
        <f>IF(CZ165=0,"",DA165/CZ165)</f>
        <v/>
      </c>
      <c r="DD165" s="23" t="n"/>
      <c r="DE165" s="58">
        <f>DE166</f>
        <v/>
      </c>
      <c r="DF165" s="58">
        <f>DF166</f>
        <v/>
      </c>
      <c r="DG165" s="58">
        <f>DF165-DE165</f>
        <v/>
      </c>
      <c r="DH165" s="59">
        <f>IF(DE165=0,"",DF165/DE165)</f>
        <v/>
      </c>
      <c r="DI165" s="23" t="n"/>
      <c r="DJ165" s="58">
        <f>DJ166</f>
        <v/>
      </c>
      <c r="DK165" s="58">
        <f>DK166</f>
        <v/>
      </c>
      <c r="DL165" s="58">
        <f>DK165-DJ165</f>
        <v/>
      </c>
      <c r="DM165" s="59">
        <f>IF(DJ165=0,"",DK165/DJ165)</f>
        <v/>
      </c>
      <c r="DN165" s="23" t="n"/>
      <c r="DO165" s="58">
        <f>DO166</f>
        <v/>
      </c>
    </row>
    <row r="166" outlineLevel="1" ht="15" customHeight="1">
      <c r="A166" s="24" t="n"/>
      <c r="B166" s="24" t="n"/>
      <c r="C166" s="24" t="n"/>
      <c r="D166" s="60" t="n"/>
      <c r="E166" s="60" t="n"/>
      <c r="F166" s="60">
        <f>E166-D166</f>
        <v/>
      </c>
      <c r="G166" s="61">
        <f>IF(D166=0,"",E166/D166)</f>
        <v/>
      </c>
      <c r="H166" s="27" t="n"/>
      <c r="I166" s="60" t="n"/>
      <c r="J166" s="60" t="n"/>
      <c r="K166" s="60">
        <f>J166-I166</f>
        <v/>
      </c>
      <c r="L166" s="61">
        <f>IF(I166=0,"",J166/I166)</f>
        <v/>
      </c>
      <c r="M166" s="27" t="n"/>
      <c r="N166" s="62" t="n"/>
      <c r="O166" s="62" t="n"/>
      <c r="P166" s="62">
        <f>O166-N166</f>
        <v/>
      </c>
      <c r="Q166" s="64">
        <f>IF(N166=0,"",O166/N166)</f>
        <v/>
      </c>
      <c r="R166" s="31" t="n"/>
      <c r="S166" s="60" t="n"/>
      <c r="T166" s="60" t="n"/>
      <c r="U166" s="60">
        <f>T166-S166</f>
        <v/>
      </c>
      <c r="V166" s="61">
        <f>IF(S166=0,"",T166/S166)</f>
        <v/>
      </c>
      <c r="W166" s="27" t="n"/>
      <c r="X166" s="62" t="n"/>
      <c r="Y166" s="62" t="n"/>
      <c r="Z166" s="62">
        <f>Y166-X166</f>
        <v/>
      </c>
      <c r="AA166" s="64">
        <f>IF(X166=0,"",Y166/X166)</f>
        <v/>
      </c>
      <c r="AB166" s="31" t="n"/>
      <c r="AC166" s="60" t="n"/>
      <c r="AD166" s="60" t="n"/>
      <c r="AE166" s="60">
        <f>AD166-AC166</f>
        <v/>
      </c>
      <c r="AF166" s="61">
        <f>IF(AC166=0,"",AD166/AC166)</f>
        <v/>
      </c>
      <c r="AG166" s="27" t="n"/>
      <c r="AH166" s="62" t="n"/>
      <c r="AI166" s="62" t="n"/>
      <c r="AJ166" s="62">
        <f>AI166-AH166</f>
        <v/>
      </c>
      <c r="AK166" s="64">
        <f>IF(AH166=0,"",AI166/AH166)</f>
        <v/>
      </c>
      <c r="AL166" s="31" t="n"/>
      <c r="AM166" s="60" t="n"/>
      <c r="AN166" s="60" t="n"/>
      <c r="AO166" s="60">
        <f>AN166-AM166</f>
        <v/>
      </c>
      <c r="AP166" s="61">
        <f>IF(AM166=0,"",AN166/AM166)</f>
        <v/>
      </c>
      <c r="AQ166" s="27" t="n"/>
      <c r="AR166" s="62" t="n"/>
      <c r="AS166" s="62" t="n"/>
      <c r="AT166" s="62">
        <f>AS166-AR166</f>
        <v/>
      </c>
      <c r="AU166" s="64">
        <f>IF(AR166=0,"",AS166/AR166)</f>
        <v/>
      </c>
      <c r="AV166" s="31" t="n"/>
      <c r="AW166" s="60" t="n"/>
      <c r="AX166" s="60" t="n"/>
      <c r="AY166" s="60">
        <f>AX166-AW166</f>
        <v/>
      </c>
      <c r="AZ166" s="61">
        <f>IF(AW166=0,"",AX166/AW166)</f>
        <v/>
      </c>
      <c r="BA166" s="27" t="n"/>
      <c r="BB166" s="62" t="n"/>
      <c r="BC166" s="62" t="n"/>
      <c r="BD166" s="62">
        <f>BC166-BB166</f>
        <v/>
      </c>
      <c r="BE166" s="64">
        <f>IF(BB166=0,"",BC166/BB166)</f>
        <v/>
      </c>
      <c r="BF166" s="31" t="n"/>
      <c r="BG166" s="60" t="n"/>
      <c r="BH166" s="60" t="n"/>
      <c r="BI166" s="60">
        <f>BH166-BG166</f>
        <v/>
      </c>
      <c r="BJ166" s="61">
        <f>IF(BG166=0,"",BH166/BG166)</f>
        <v/>
      </c>
      <c r="BK166" s="27" t="n"/>
      <c r="BL166" s="62" t="n"/>
      <c r="BM166" s="62" t="n"/>
      <c r="BN166" s="62">
        <f>BM166-BL166</f>
        <v/>
      </c>
      <c r="BO166" s="64">
        <f>IF(BL166=0,"",BM166/BL166)</f>
        <v/>
      </c>
      <c r="BP166" s="31" t="n"/>
      <c r="BQ166" s="60" t="n"/>
      <c r="BR166" s="60" t="n"/>
      <c r="BS166" s="60">
        <f>BR166-BQ166</f>
        <v/>
      </c>
      <c r="BT166" s="61">
        <f>IF(BQ166=0,"",BR166/BQ166)</f>
        <v/>
      </c>
      <c r="BU166" s="27" t="n"/>
      <c r="BV166" s="62" t="n"/>
      <c r="BW166" s="62" t="n"/>
      <c r="BX166" s="62">
        <f>BW166-BV166</f>
        <v/>
      </c>
      <c r="BY166" s="64">
        <f>IF(BV166=0,"",BW166/BV166)</f>
        <v/>
      </c>
      <c r="BZ166" s="31" t="n"/>
      <c r="CA166" s="60" t="n"/>
      <c r="CB166" s="60" t="n"/>
      <c r="CC166" s="60">
        <f>CB166-CA166</f>
        <v/>
      </c>
      <c r="CD166" s="61">
        <f>IF(CA166=0,"",CB166/CA166)</f>
        <v/>
      </c>
      <c r="CE166" s="27" t="n"/>
      <c r="CF166" s="62" t="n"/>
      <c r="CG166" s="62" t="n"/>
      <c r="CH166" s="62">
        <f>CG166-CF166</f>
        <v/>
      </c>
      <c r="CI166" s="64">
        <f>IF(CF166=0,"",CG166/CF166)</f>
        <v/>
      </c>
      <c r="CJ166" s="31" t="n"/>
      <c r="CK166" s="60" t="n"/>
      <c r="CL166" s="60" t="n"/>
      <c r="CM166" s="60">
        <f>CL166-CK166</f>
        <v/>
      </c>
      <c r="CN166" s="61">
        <f>IF(CK166=0,"",CL166/CK166)</f>
        <v/>
      </c>
      <c r="CO166" s="27" t="n"/>
      <c r="CP166" s="62" t="n"/>
      <c r="CQ166" s="62" t="n"/>
      <c r="CR166" s="62">
        <f>CQ166-CP166</f>
        <v/>
      </c>
      <c r="CS166" s="64">
        <f>IF(CP166=0,"",CQ166/CP166)</f>
        <v/>
      </c>
      <c r="CT166" s="31" t="n"/>
      <c r="CU166" s="60" t="n"/>
      <c r="CV166" s="60" t="n"/>
      <c r="CW166" s="60">
        <f>CV166-CU166</f>
        <v/>
      </c>
      <c r="CX166" s="61">
        <f>IF(CU166=0,"",CV166/CU166)</f>
        <v/>
      </c>
      <c r="CY166" s="27" t="n"/>
      <c r="CZ166" s="62" t="n"/>
      <c r="DA166" s="62" t="n"/>
      <c r="DB166" s="62">
        <f>DA166-CZ166</f>
        <v/>
      </c>
      <c r="DC166" s="64">
        <f>IF(CZ166=0,"",DA166/CZ166)</f>
        <v/>
      </c>
      <c r="DD166" s="31" t="n"/>
      <c r="DE166" s="60" t="n"/>
      <c r="DF166" s="60" t="n"/>
      <c r="DG166" s="60">
        <f>DF166-DE166</f>
        <v/>
      </c>
      <c r="DH166" s="61">
        <f>IF(DE166=0,"",DF166/DE166)</f>
        <v/>
      </c>
      <c r="DI166" s="27" t="n"/>
      <c r="DJ166" s="62" t="n"/>
      <c r="DK166" s="62" t="n"/>
      <c r="DL166" s="62">
        <f>DK166-DJ166</f>
        <v/>
      </c>
      <c r="DM166" s="64">
        <f>IF(DJ166=0,"",DK166/DJ166)</f>
        <v/>
      </c>
      <c r="DN166" s="31" t="n"/>
      <c r="DO166" s="60" t="n"/>
    </row>
    <row r="167" ht="15" customHeight="1">
      <c r="A167" s="19" t="n"/>
      <c r="B167" s="20" t="n"/>
      <c r="C167" s="19" t="n"/>
      <c r="D167" s="58">
        <f>D168</f>
        <v/>
      </c>
      <c r="E167" s="58">
        <f>E168</f>
        <v/>
      </c>
      <c r="F167" s="58">
        <f>E167-D167</f>
        <v/>
      </c>
      <c r="G167" s="59">
        <f>IF(D167=0,"",E167/D167)</f>
        <v/>
      </c>
      <c r="H167" s="23" t="n"/>
      <c r="I167" s="58">
        <f>I168</f>
        <v/>
      </c>
      <c r="J167" s="58">
        <f>J168</f>
        <v/>
      </c>
      <c r="K167" s="58">
        <f>J167-I167</f>
        <v/>
      </c>
      <c r="L167" s="59">
        <f>IF(I167=0,"",J167/I167)</f>
        <v/>
      </c>
      <c r="M167" s="23" t="n"/>
      <c r="N167" s="58">
        <f>N168</f>
        <v/>
      </c>
      <c r="O167" s="58">
        <f>O168</f>
        <v/>
      </c>
      <c r="P167" s="58">
        <f>O167-N167</f>
        <v/>
      </c>
      <c r="Q167" s="59">
        <f>IF(N167=0,"",O167/N167)</f>
        <v/>
      </c>
      <c r="R167" s="23" t="n"/>
      <c r="S167" s="58">
        <f>S168</f>
        <v/>
      </c>
      <c r="T167" s="58">
        <f>T168</f>
        <v/>
      </c>
      <c r="U167" s="58">
        <f>T167-S167</f>
        <v/>
      </c>
      <c r="V167" s="59">
        <f>IF(S167=0,"",T167/S167)</f>
        <v/>
      </c>
      <c r="W167" s="23" t="n"/>
      <c r="X167" s="58">
        <f>X168</f>
        <v/>
      </c>
      <c r="Y167" s="58">
        <f>Y168</f>
        <v/>
      </c>
      <c r="Z167" s="58">
        <f>Y167-X167</f>
        <v/>
      </c>
      <c r="AA167" s="59">
        <f>IF(X167=0,"",Y167/X167)</f>
        <v/>
      </c>
      <c r="AB167" s="23" t="n"/>
      <c r="AC167" s="58">
        <f>AC168</f>
        <v/>
      </c>
      <c r="AD167" s="58">
        <f>AD168</f>
        <v/>
      </c>
      <c r="AE167" s="58">
        <f>AD167-AC167</f>
        <v/>
      </c>
      <c r="AF167" s="59">
        <f>IF(AC167=0,"",AD167/AC167)</f>
        <v/>
      </c>
      <c r="AG167" s="23" t="n"/>
      <c r="AH167" s="58">
        <f>AH168</f>
        <v/>
      </c>
      <c r="AI167" s="58">
        <f>AI168</f>
        <v/>
      </c>
      <c r="AJ167" s="58">
        <f>AI167-AH167</f>
        <v/>
      </c>
      <c r="AK167" s="59">
        <f>IF(AH167=0,"",AI167/AH167)</f>
        <v/>
      </c>
      <c r="AL167" s="23" t="n"/>
      <c r="AM167" s="58">
        <f>AM168</f>
        <v/>
      </c>
      <c r="AN167" s="58">
        <f>AN168</f>
        <v/>
      </c>
      <c r="AO167" s="58">
        <f>AN167-AM167</f>
        <v/>
      </c>
      <c r="AP167" s="59">
        <f>IF(AM167=0,"",AN167/AM167)</f>
        <v/>
      </c>
      <c r="AQ167" s="23" t="n"/>
      <c r="AR167" s="58">
        <f>AR168</f>
        <v/>
      </c>
      <c r="AS167" s="58">
        <f>AS168</f>
        <v/>
      </c>
      <c r="AT167" s="58">
        <f>AS167-AR167</f>
        <v/>
      </c>
      <c r="AU167" s="59">
        <f>IF(AR167=0,"",AS167/AR167)</f>
        <v/>
      </c>
      <c r="AV167" s="23" t="n"/>
      <c r="AW167" s="58">
        <f>AW168</f>
        <v/>
      </c>
      <c r="AX167" s="58">
        <f>AX168</f>
        <v/>
      </c>
      <c r="AY167" s="58">
        <f>AX167-AW167</f>
        <v/>
      </c>
      <c r="AZ167" s="59">
        <f>IF(AW167=0,"",AX167/AW167)</f>
        <v/>
      </c>
      <c r="BA167" s="23" t="n"/>
      <c r="BB167" s="58">
        <f>BB168</f>
        <v/>
      </c>
      <c r="BC167" s="58">
        <f>BC168</f>
        <v/>
      </c>
      <c r="BD167" s="58">
        <f>BC167-BB167</f>
        <v/>
      </c>
      <c r="BE167" s="59">
        <f>IF(BB167=0,"",BC167/BB167)</f>
        <v/>
      </c>
      <c r="BF167" s="23" t="n"/>
      <c r="BG167" s="58">
        <f>BG168</f>
        <v/>
      </c>
      <c r="BH167" s="58">
        <f>BH168</f>
        <v/>
      </c>
      <c r="BI167" s="58">
        <f>BH167-BG167</f>
        <v/>
      </c>
      <c r="BJ167" s="59">
        <f>IF(BG167=0,"",BH167/BG167)</f>
        <v/>
      </c>
      <c r="BK167" s="23" t="n"/>
      <c r="BL167" s="58">
        <f>BL168</f>
        <v/>
      </c>
      <c r="BM167" s="58">
        <f>BM168</f>
        <v/>
      </c>
      <c r="BN167" s="58">
        <f>BM167-BL167</f>
        <v/>
      </c>
      <c r="BO167" s="59">
        <f>IF(BL167=0,"",BM167/BL167)</f>
        <v/>
      </c>
      <c r="BP167" s="23" t="n"/>
      <c r="BQ167" s="58">
        <f>BQ168</f>
        <v/>
      </c>
      <c r="BR167" s="58">
        <f>BR168</f>
        <v/>
      </c>
      <c r="BS167" s="58">
        <f>BR167-BQ167</f>
        <v/>
      </c>
      <c r="BT167" s="59">
        <f>IF(BQ167=0,"",BR167/BQ167)</f>
        <v/>
      </c>
      <c r="BU167" s="23" t="n"/>
      <c r="BV167" s="58">
        <f>BV168</f>
        <v/>
      </c>
      <c r="BW167" s="58">
        <f>BW168</f>
        <v/>
      </c>
      <c r="BX167" s="58">
        <f>BW167-BV167</f>
        <v/>
      </c>
      <c r="BY167" s="59">
        <f>IF(BV167=0,"",BW167/BV167)</f>
        <v/>
      </c>
      <c r="BZ167" s="23" t="n"/>
      <c r="CA167" s="58">
        <f>CA168</f>
        <v/>
      </c>
      <c r="CB167" s="58">
        <f>CB168</f>
        <v/>
      </c>
      <c r="CC167" s="58">
        <f>CB167-CA167</f>
        <v/>
      </c>
      <c r="CD167" s="59">
        <f>IF(CA167=0,"",CB167/CA167)</f>
        <v/>
      </c>
      <c r="CE167" s="23" t="n"/>
      <c r="CF167" s="58">
        <f>CF168</f>
        <v/>
      </c>
      <c r="CG167" s="58">
        <f>CG168</f>
        <v/>
      </c>
      <c r="CH167" s="58">
        <f>CG167-CF167</f>
        <v/>
      </c>
      <c r="CI167" s="59">
        <f>IF(CF167=0,"",CG167/CF167)</f>
        <v/>
      </c>
      <c r="CJ167" s="23" t="n"/>
      <c r="CK167" s="58">
        <f>CK168</f>
        <v/>
      </c>
      <c r="CL167" s="58">
        <f>CL168</f>
        <v/>
      </c>
      <c r="CM167" s="58">
        <f>CL167-CK167</f>
        <v/>
      </c>
      <c r="CN167" s="59">
        <f>IF(CK167=0,"",CL167/CK167)</f>
        <v/>
      </c>
      <c r="CO167" s="23" t="n"/>
      <c r="CP167" s="58">
        <f>CP168</f>
        <v/>
      </c>
      <c r="CQ167" s="58">
        <f>CQ168</f>
        <v/>
      </c>
      <c r="CR167" s="58">
        <f>CQ167-CP167</f>
        <v/>
      </c>
      <c r="CS167" s="59">
        <f>IF(CP167=0,"",CQ167/CP167)</f>
        <v/>
      </c>
      <c r="CT167" s="23" t="n"/>
      <c r="CU167" s="58">
        <f>CU168</f>
        <v/>
      </c>
      <c r="CV167" s="58">
        <f>CV168</f>
        <v/>
      </c>
      <c r="CW167" s="58">
        <f>CV167-CU167</f>
        <v/>
      </c>
      <c r="CX167" s="59">
        <f>IF(CU167=0,"",CV167/CU167)</f>
        <v/>
      </c>
      <c r="CY167" s="23" t="n"/>
      <c r="CZ167" s="58">
        <f>CZ168</f>
        <v/>
      </c>
      <c r="DA167" s="58">
        <f>DA168</f>
        <v/>
      </c>
      <c r="DB167" s="58">
        <f>DA167-CZ167</f>
        <v/>
      </c>
      <c r="DC167" s="59">
        <f>IF(CZ167=0,"",DA167/CZ167)</f>
        <v/>
      </c>
      <c r="DD167" s="23" t="n"/>
      <c r="DE167" s="58">
        <f>DE168</f>
        <v/>
      </c>
      <c r="DF167" s="58">
        <f>DF168</f>
        <v/>
      </c>
      <c r="DG167" s="58">
        <f>DF167-DE167</f>
        <v/>
      </c>
      <c r="DH167" s="59">
        <f>IF(DE167=0,"",DF167/DE167)</f>
        <v/>
      </c>
      <c r="DI167" s="23" t="n"/>
      <c r="DJ167" s="58">
        <f>DJ168</f>
        <v/>
      </c>
      <c r="DK167" s="58">
        <f>DK168</f>
        <v/>
      </c>
      <c r="DL167" s="58">
        <f>DK167-DJ167</f>
        <v/>
      </c>
      <c r="DM167" s="59">
        <f>IF(DJ167=0,"",DK167/DJ167)</f>
        <v/>
      </c>
      <c r="DN167" s="23" t="n"/>
      <c r="DO167" s="58">
        <f>DO168</f>
        <v/>
      </c>
    </row>
    <row r="168" outlineLevel="1" ht="15" customHeight="1">
      <c r="A168" s="24" t="n"/>
      <c r="B168" s="24" t="n"/>
      <c r="C168" s="24" t="n"/>
      <c r="D168" s="60" t="n"/>
      <c r="E168" s="60" t="n"/>
      <c r="F168" s="60">
        <f>E168-D168</f>
        <v/>
      </c>
      <c r="G168" s="61">
        <f>IF(D168=0,"",E168/D168)</f>
        <v/>
      </c>
      <c r="H168" s="27" t="n"/>
      <c r="I168" s="60" t="n"/>
      <c r="J168" s="60" t="n"/>
      <c r="K168" s="60">
        <f>J168-I168</f>
        <v/>
      </c>
      <c r="L168" s="61">
        <f>IF(I168=0,"",J168/I168)</f>
        <v/>
      </c>
      <c r="M168" s="27" t="n"/>
      <c r="N168" s="62" t="n"/>
      <c r="O168" s="62" t="n"/>
      <c r="P168" s="62">
        <f>O168-N168</f>
        <v/>
      </c>
      <c r="Q168" s="64">
        <f>IF(N168=0,"",O168/N168)</f>
        <v/>
      </c>
      <c r="R168" s="31" t="n"/>
      <c r="S168" s="60" t="n"/>
      <c r="T168" s="60" t="n"/>
      <c r="U168" s="60">
        <f>T168-S168</f>
        <v/>
      </c>
      <c r="V168" s="61">
        <f>IF(S168=0,"",T168/S168)</f>
        <v/>
      </c>
      <c r="W168" s="27" t="n"/>
      <c r="X168" s="62" t="n"/>
      <c r="Y168" s="62" t="n"/>
      <c r="Z168" s="62">
        <f>Y168-X168</f>
        <v/>
      </c>
      <c r="AA168" s="64">
        <f>IF(X168=0,"",Y168/X168)</f>
        <v/>
      </c>
      <c r="AB168" s="31" t="n"/>
      <c r="AC168" s="60" t="n"/>
      <c r="AD168" s="60" t="n"/>
      <c r="AE168" s="60">
        <f>AD168-AC168</f>
        <v/>
      </c>
      <c r="AF168" s="61">
        <f>IF(AC168=0,"",AD168/AC168)</f>
        <v/>
      </c>
      <c r="AG168" s="27" t="n"/>
      <c r="AH168" s="62" t="n"/>
      <c r="AI168" s="62" t="n"/>
      <c r="AJ168" s="62">
        <f>AI168-AH168</f>
        <v/>
      </c>
      <c r="AK168" s="64">
        <f>IF(AH168=0,"",AI168/AH168)</f>
        <v/>
      </c>
      <c r="AL168" s="31" t="n"/>
      <c r="AM168" s="60" t="n"/>
      <c r="AN168" s="60" t="n"/>
      <c r="AO168" s="60">
        <f>AN168-AM168</f>
        <v/>
      </c>
      <c r="AP168" s="61">
        <f>IF(AM168=0,"",AN168/AM168)</f>
        <v/>
      </c>
      <c r="AQ168" s="27" t="n"/>
      <c r="AR168" s="62" t="n"/>
      <c r="AS168" s="62" t="n"/>
      <c r="AT168" s="62">
        <f>AS168-AR168</f>
        <v/>
      </c>
      <c r="AU168" s="64">
        <f>IF(AR168=0,"",AS168/AR168)</f>
        <v/>
      </c>
      <c r="AV168" s="31" t="n"/>
      <c r="AW168" s="60" t="n"/>
      <c r="AX168" s="60" t="n"/>
      <c r="AY168" s="60">
        <f>AX168-AW168</f>
        <v/>
      </c>
      <c r="AZ168" s="61">
        <f>IF(AW168=0,"",AX168/AW168)</f>
        <v/>
      </c>
      <c r="BA168" s="27" t="n"/>
      <c r="BB168" s="62" t="n"/>
      <c r="BC168" s="62" t="n"/>
      <c r="BD168" s="62">
        <f>BC168-BB168</f>
        <v/>
      </c>
      <c r="BE168" s="64">
        <f>IF(BB168=0,"",BC168/BB168)</f>
        <v/>
      </c>
      <c r="BF168" s="31" t="n"/>
      <c r="BG168" s="60" t="n"/>
      <c r="BH168" s="60" t="n"/>
      <c r="BI168" s="60">
        <f>BH168-BG168</f>
        <v/>
      </c>
      <c r="BJ168" s="61">
        <f>IF(BG168=0,"",BH168/BG168)</f>
        <v/>
      </c>
      <c r="BK168" s="27" t="n"/>
      <c r="BL168" s="62" t="n"/>
      <c r="BM168" s="62" t="n"/>
      <c r="BN168" s="62">
        <f>BM168-BL168</f>
        <v/>
      </c>
      <c r="BO168" s="64">
        <f>IF(BL168=0,"",BM168/BL168)</f>
        <v/>
      </c>
      <c r="BP168" s="31" t="n"/>
      <c r="BQ168" s="60" t="n"/>
      <c r="BR168" s="60" t="n"/>
      <c r="BS168" s="60">
        <f>BR168-BQ168</f>
        <v/>
      </c>
      <c r="BT168" s="61">
        <f>IF(BQ168=0,"",BR168/BQ168)</f>
        <v/>
      </c>
      <c r="BU168" s="27" t="n"/>
      <c r="BV168" s="62" t="n"/>
      <c r="BW168" s="62" t="n"/>
      <c r="BX168" s="62">
        <f>BW168-BV168</f>
        <v/>
      </c>
      <c r="BY168" s="64">
        <f>IF(BV168=0,"",BW168/BV168)</f>
        <v/>
      </c>
      <c r="BZ168" s="31" t="n"/>
      <c r="CA168" s="60" t="n"/>
      <c r="CB168" s="60" t="n"/>
      <c r="CC168" s="60">
        <f>CB168-CA168</f>
        <v/>
      </c>
      <c r="CD168" s="61">
        <f>IF(CA168=0,"",CB168/CA168)</f>
        <v/>
      </c>
      <c r="CE168" s="27" t="n"/>
      <c r="CF168" s="62" t="n"/>
      <c r="CG168" s="62" t="n"/>
      <c r="CH168" s="62">
        <f>CG168-CF168</f>
        <v/>
      </c>
      <c r="CI168" s="64">
        <f>IF(CF168=0,"",CG168/CF168)</f>
        <v/>
      </c>
      <c r="CJ168" s="31" t="n"/>
      <c r="CK168" s="60" t="n"/>
      <c r="CL168" s="60" t="n"/>
      <c r="CM168" s="60">
        <f>CL168-CK168</f>
        <v/>
      </c>
      <c r="CN168" s="61">
        <f>IF(CK168=0,"",CL168/CK168)</f>
        <v/>
      </c>
      <c r="CO168" s="27" t="n"/>
      <c r="CP168" s="62" t="n"/>
      <c r="CQ168" s="62" t="n"/>
      <c r="CR168" s="62">
        <f>CQ168-CP168</f>
        <v/>
      </c>
      <c r="CS168" s="64">
        <f>IF(CP168=0,"",CQ168/CP168)</f>
        <v/>
      </c>
      <c r="CT168" s="31" t="n"/>
      <c r="CU168" s="60" t="n"/>
      <c r="CV168" s="60" t="n"/>
      <c r="CW168" s="60">
        <f>CV168-CU168</f>
        <v/>
      </c>
      <c r="CX168" s="61">
        <f>IF(CU168=0,"",CV168/CU168)</f>
        <v/>
      </c>
      <c r="CY168" s="27" t="n"/>
      <c r="CZ168" s="62" t="n"/>
      <c r="DA168" s="62" t="n"/>
      <c r="DB168" s="62">
        <f>DA168-CZ168</f>
        <v/>
      </c>
      <c r="DC168" s="64">
        <f>IF(CZ168=0,"",DA168/CZ168)</f>
        <v/>
      </c>
      <c r="DD168" s="31" t="n"/>
      <c r="DE168" s="60" t="n"/>
      <c r="DF168" s="60" t="n"/>
      <c r="DG168" s="60">
        <f>DF168-DE168</f>
        <v/>
      </c>
      <c r="DH168" s="61">
        <f>IF(DE168=0,"",DF168/DE168)</f>
        <v/>
      </c>
      <c r="DI168" s="27" t="n"/>
      <c r="DJ168" s="62" t="n"/>
      <c r="DK168" s="62" t="n"/>
      <c r="DL168" s="62">
        <f>DK168-DJ168</f>
        <v/>
      </c>
      <c r="DM168" s="64">
        <f>IF(DJ168=0,"",DK168/DJ168)</f>
        <v/>
      </c>
      <c r="DN168" s="31" t="n"/>
      <c r="DO168" s="60" t="n"/>
    </row>
    <row r="169" ht="15" customHeight="1">
      <c r="A169" s="19" t="n"/>
      <c r="B169" s="20" t="n"/>
      <c r="C169" s="19" t="n"/>
      <c r="D169" s="58">
        <f>D170</f>
        <v/>
      </c>
      <c r="E169" s="58">
        <f>E170</f>
        <v/>
      </c>
      <c r="F169" s="58">
        <f>E169-D169</f>
        <v/>
      </c>
      <c r="G169" s="59">
        <f>IF(D169=0,"",E169/D169)</f>
        <v/>
      </c>
      <c r="H169" s="23" t="n"/>
      <c r="I169" s="58">
        <f>I170</f>
        <v/>
      </c>
      <c r="J169" s="58">
        <f>J170</f>
        <v/>
      </c>
      <c r="K169" s="58">
        <f>J169-I169</f>
        <v/>
      </c>
      <c r="L169" s="59">
        <f>IF(I169=0,"",J169/I169)</f>
        <v/>
      </c>
      <c r="M169" s="23" t="n"/>
      <c r="N169" s="58">
        <f>N170</f>
        <v/>
      </c>
      <c r="O169" s="58">
        <f>O170</f>
        <v/>
      </c>
      <c r="P169" s="58">
        <f>O169-N169</f>
        <v/>
      </c>
      <c r="Q169" s="59">
        <f>IF(N169=0,"",O169/N169)</f>
        <v/>
      </c>
      <c r="R169" s="23" t="n"/>
      <c r="S169" s="58">
        <f>S170</f>
        <v/>
      </c>
      <c r="T169" s="58">
        <f>T170</f>
        <v/>
      </c>
      <c r="U169" s="58">
        <f>T169-S169</f>
        <v/>
      </c>
      <c r="V169" s="59">
        <f>IF(S169=0,"",T169/S169)</f>
        <v/>
      </c>
      <c r="W169" s="23" t="n"/>
      <c r="X169" s="58">
        <f>X170</f>
        <v/>
      </c>
      <c r="Y169" s="58">
        <f>Y170</f>
        <v/>
      </c>
      <c r="Z169" s="58">
        <f>Y169-X169</f>
        <v/>
      </c>
      <c r="AA169" s="59">
        <f>IF(X169=0,"",Y169/X169)</f>
        <v/>
      </c>
      <c r="AB169" s="23" t="n"/>
      <c r="AC169" s="58">
        <f>AC170</f>
        <v/>
      </c>
      <c r="AD169" s="58">
        <f>AD170</f>
        <v/>
      </c>
      <c r="AE169" s="58">
        <f>AD169-AC169</f>
        <v/>
      </c>
      <c r="AF169" s="59">
        <f>IF(AC169=0,"",AD169/AC169)</f>
        <v/>
      </c>
      <c r="AG169" s="23" t="n"/>
      <c r="AH169" s="58">
        <f>AH170</f>
        <v/>
      </c>
      <c r="AI169" s="58">
        <f>AI170</f>
        <v/>
      </c>
      <c r="AJ169" s="58">
        <f>AI169-AH169</f>
        <v/>
      </c>
      <c r="AK169" s="59">
        <f>IF(AH169=0,"",AI169/AH169)</f>
        <v/>
      </c>
      <c r="AL169" s="23" t="n"/>
      <c r="AM169" s="58">
        <f>AM170</f>
        <v/>
      </c>
      <c r="AN169" s="58">
        <f>AN170</f>
        <v/>
      </c>
      <c r="AO169" s="58">
        <f>AN169-AM169</f>
        <v/>
      </c>
      <c r="AP169" s="59">
        <f>IF(AM169=0,"",AN169/AM169)</f>
        <v/>
      </c>
      <c r="AQ169" s="23" t="n"/>
      <c r="AR169" s="58">
        <f>AR170</f>
        <v/>
      </c>
      <c r="AS169" s="58">
        <f>AS170</f>
        <v/>
      </c>
      <c r="AT169" s="58">
        <f>AS169-AR169</f>
        <v/>
      </c>
      <c r="AU169" s="59">
        <f>IF(AR169=0,"",AS169/AR169)</f>
        <v/>
      </c>
      <c r="AV169" s="23" t="n"/>
      <c r="AW169" s="58">
        <f>AW170</f>
        <v/>
      </c>
      <c r="AX169" s="58">
        <f>AX170</f>
        <v/>
      </c>
      <c r="AY169" s="58">
        <f>AX169-AW169</f>
        <v/>
      </c>
      <c r="AZ169" s="59">
        <f>IF(AW169=0,"",AX169/AW169)</f>
        <v/>
      </c>
      <c r="BA169" s="23" t="n"/>
      <c r="BB169" s="58">
        <f>BB170</f>
        <v/>
      </c>
      <c r="BC169" s="58">
        <f>BC170</f>
        <v/>
      </c>
      <c r="BD169" s="58">
        <f>BC169-BB169</f>
        <v/>
      </c>
      <c r="BE169" s="59">
        <f>IF(BB169=0,"",BC169/BB169)</f>
        <v/>
      </c>
      <c r="BF169" s="23" t="n"/>
      <c r="BG169" s="58">
        <f>BG170</f>
        <v/>
      </c>
      <c r="BH169" s="58">
        <f>BH170</f>
        <v/>
      </c>
      <c r="BI169" s="58">
        <f>BH169-BG169</f>
        <v/>
      </c>
      <c r="BJ169" s="59">
        <f>IF(BG169=0,"",BH169/BG169)</f>
        <v/>
      </c>
      <c r="BK169" s="23" t="n"/>
      <c r="BL169" s="58">
        <f>BL170</f>
        <v/>
      </c>
      <c r="BM169" s="58">
        <f>BM170</f>
        <v/>
      </c>
      <c r="BN169" s="58">
        <f>BM169-BL169</f>
        <v/>
      </c>
      <c r="BO169" s="59">
        <f>IF(BL169=0,"",BM169/BL169)</f>
        <v/>
      </c>
      <c r="BP169" s="23" t="n"/>
      <c r="BQ169" s="58">
        <f>BQ170</f>
        <v/>
      </c>
      <c r="BR169" s="58">
        <f>BR170</f>
        <v/>
      </c>
      <c r="BS169" s="58">
        <f>BR169-BQ169</f>
        <v/>
      </c>
      <c r="BT169" s="59">
        <f>IF(BQ169=0,"",BR169/BQ169)</f>
        <v/>
      </c>
      <c r="BU169" s="23" t="n"/>
      <c r="BV169" s="58">
        <f>BV170</f>
        <v/>
      </c>
      <c r="BW169" s="58">
        <f>BW170</f>
        <v/>
      </c>
      <c r="BX169" s="58">
        <f>BW169-BV169</f>
        <v/>
      </c>
      <c r="BY169" s="59">
        <f>IF(BV169=0,"",BW169/BV169)</f>
        <v/>
      </c>
      <c r="BZ169" s="23" t="n"/>
      <c r="CA169" s="58">
        <f>CA170</f>
        <v/>
      </c>
      <c r="CB169" s="58">
        <f>CB170</f>
        <v/>
      </c>
      <c r="CC169" s="58">
        <f>CB169-CA169</f>
        <v/>
      </c>
      <c r="CD169" s="59">
        <f>IF(CA169=0,"",CB169/CA169)</f>
        <v/>
      </c>
      <c r="CE169" s="23" t="n"/>
      <c r="CF169" s="58">
        <f>CF170</f>
        <v/>
      </c>
      <c r="CG169" s="58">
        <f>CG170</f>
        <v/>
      </c>
      <c r="CH169" s="58">
        <f>CG169-CF169</f>
        <v/>
      </c>
      <c r="CI169" s="59">
        <f>IF(CF169=0,"",CG169/CF169)</f>
        <v/>
      </c>
      <c r="CJ169" s="23" t="n"/>
      <c r="CK169" s="58">
        <f>CK170</f>
        <v/>
      </c>
      <c r="CL169" s="58">
        <f>CL170</f>
        <v/>
      </c>
      <c r="CM169" s="58">
        <f>CL169-CK169</f>
        <v/>
      </c>
      <c r="CN169" s="59">
        <f>IF(CK169=0,"",CL169/CK169)</f>
        <v/>
      </c>
      <c r="CO169" s="23" t="n"/>
      <c r="CP169" s="58">
        <f>CP170</f>
        <v/>
      </c>
      <c r="CQ169" s="58">
        <f>CQ170</f>
        <v/>
      </c>
      <c r="CR169" s="58">
        <f>CQ169-CP169</f>
        <v/>
      </c>
      <c r="CS169" s="59">
        <f>IF(CP169=0,"",CQ169/CP169)</f>
        <v/>
      </c>
      <c r="CT169" s="23" t="n"/>
      <c r="CU169" s="58">
        <f>CU170</f>
        <v/>
      </c>
      <c r="CV169" s="58">
        <f>CV170</f>
        <v/>
      </c>
      <c r="CW169" s="58">
        <f>CV169-CU169</f>
        <v/>
      </c>
      <c r="CX169" s="59">
        <f>IF(CU169=0,"",CV169/CU169)</f>
        <v/>
      </c>
      <c r="CY169" s="23" t="n"/>
      <c r="CZ169" s="58">
        <f>CZ170</f>
        <v/>
      </c>
      <c r="DA169" s="58">
        <f>DA170</f>
        <v/>
      </c>
      <c r="DB169" s="58">
        <f>DA169-CZ169</f>
        <v/>
      </c>
      <c r="DC169" s="59">
        <f>IF(CZ169=0,"",DA169/CZ169)</f>
        <v/>
      </c>
      <c r="DD169" s="23" t="n"/>
      <c r="DE169" s="58">
        <f>DE170</f>
        <v/>
      </c>
      <c r="DF169" s="58">
        <f>DF170</f>
        <v/>
      </c>
      <c r="DG169" s="58">
        <f>DF169-DE169</f>
        <v/>
      </c>
      <c r="DH169" s="59">
        <f>IF(DE169=0,"",DF169/DE169)</f>
        <v/>
      </c>
      <c r="DI169" s="23" t="n"/>
      <c r="DJ169" s="58">
        <f>DJ170</f>
        <v/>
      </c>
      <c r="DK169" s="58">
        <f>DK170</f>
        <v/>
      </c>
      <c r="DL169" s="58">
        <f>DK169-DJ169</f>
        <v/>
      </c>
      <c r="DM169" s="59">
        <f>IF(DJ169=0,"",DK169/DJ169)</f>
        <v/>
      </c>
      <c r="DN169" s="23" t="n"/>
      <c r="DO169" s="58">
        <f>DO170</f>
        <v/>
      </c>
    </row>
    <row r="170" outlineLevel="1" ht="15" customHeight="1">
      <c r="A170" s="24" t="n"/>
      <c r="B170" s="24" t="n"/>
      <c r="C170" s="24" t="n"/>
      <c r="D170" s="60" t="n"/>
      <c r="E170" s="60" t="n"/>
      <c r="F170" s="60">
        <f>E170-D170</f>
        <v/>
      </c>
      <c r="G170" s="61">
        <f>IF(D170=0,"",E170/D170)</f>
        <v/>
      </c>
      <c r="H170" s="27" t="n"/>
      <c r="I170" s="60" t="n"/>
      <c r="J170" s="60" t="n"/>
      <c r="K170" s="60">
        <f>J170-I170</f>
        <v/>
      </c>
      <c r="L170" s="61">
        <f>IF(I170=0,"",J170/I170)</f>
        <v/>
      </c>
      <c r="M170" s="27" t="n"/>
      <c r="N170" s="62" t="n"/>
      <c r="O170" s="62" t="n"/>
      <c r="P170" s="62">
        <f>O170-N170</f>
        <v/>
      </c>
      <c r="Q170" s="64">
        <f>IF(N170=0,"",O170/N170)</f>
        <v/>
      </c>
      <c r="R170" s="31" t="n"/>
      <c r="S170" s="60" t="n"/>
      <c r="T170" s="60" t="n"/>
      <c r="U170" s="60">
        <f>T170-S170</f>
        <v/>
      </c>
      <c r="V170" s="61">
        <f>IF(S170=0,"",T170/S170)</f>
        <v/>
      </c>
      <c r="W170" s="27" t="n"/>
      <c r="X170" s="62" t="n"/>
      <c r="Y170" s="62" t="n"/>
      <c r="Z170" s="62">
        <f>Y170-X170</f>
        <v/>
      </c>
      <c r="AA170" s="64">
        <f>IF(X170=0,"",Y170/X170)</f>
        <v/>
      </c>
      <c r="AB170" s="31" t="n"/>
      <c r="AC170" s="60" t="n"/>
      <c r="AD170" s="60" t="n"/>
      <c r="AE170" s="60">
        <f>AD170-AC170</f>
        <v/>
      </c>
      <c r="AF170" s="61">
        <f>IF(AC170=0,"",AD170/AC170)</f>
        <v/>
      </c>
      <c r="AG170" s="27" t="n"/>
      <c r="AH170" s="62" t="n"/>
      <c r="AI170" s="62" t="n"/>
      <c r="AJ170" s="62">
        <f>AI170-AH170</f>
        <v/>
      </c>
      <c r="AK170" s="64">
        <f>IF(AH170=0,"",AI170/AH170)</f>
        <v/>
      </c>
      <c r="AL170" s="31" t="n"/>
      <c r="AM170" s="60" t="n"/>
      <c r="AN170" s="60" t="n"/>
      <c r="AO170" s="60">
        <f>AN170-AM170</f>
        <v/>
      </c>
      <c r="AP170" s="61">
        <f>IF(AM170=0,"",AN170/AM170)</f>
        <v/>
      </c>
      <c r="AQ170" s="27" t="n"/>
      <c r="AR170" s="62" t="n"/>
      <c r="AS170" s="62" t="n"/>
      <c r="AT170" s="62">
        <f>AS170-AR170</f>
        <v/>
      </c>
      <c r="AU170" s="64">
        <f>IF(AR170=0,"",AS170/AR170)</f>
        <v/>
      </c>
      <c r="AV170" s="31" t="n"/>
      <c r="AW170" s="60" t="n"/>
      <c r="AX170" s="60" t="n"/>
      <c r="AY170" s="60">
        <f>AX170-AW170</f>
        <v/>
      </c>
      <c r="AZ170" s="61">
        <f>IF(AW170=0,"",AX170/AW170)</f>
        <v/>
      </c>
      <c r="BA170" s="27" t="n"/>
      <c r="BB170" s="62" t="n"/>
      <c r="BC170" s="62" t="n"/>
      <c r="BD170" s="62">
        <f>BC170-BB170</f>
        <v/>
      </c>
      <c r="BE170" s="64">
        <f>IF(BB170=0,"",BC170/BB170)</f>
        <v/>
      </c>
      <c r="BF170" s="31" t="n"/>
      <c r="BG170" s="60" t="n"/>
      <c r="BH170" s="60" t="n"/>
      <c r="BI170" s="60">
        <f>BH170-BG170</f>
        <v/>
      </c>
      <c r="BJ170" s="61">
        <f>IF(BG170=0,"",BH170/BG170)</f>
        <v/>
      </c>
      <c r="BK170" s="27" t="n"/>
      <c r="BL170" s="62" t="n"/>
      <c r="BM170" s="62" t="n"/>
      <c r="BN170" s="62">
        <f>BM170-BL170</f>
        <v/>
      </c>
      <c r="BO170" s="64">
        <f>IF(BL170=0,"",BM170/BL170)</f>
        <v/>
      </c>
      <c r="BP170" s="31" t="n"/>
      <c r="BQ170" s="60" t="n"/>
      <c r="BR170" s="60" t="n"/>
      <c r="BS170" s="60">
        <f>BR170-BQ170</f>
        <v/>
      </c>
      <c r="BT170" s="61">
        <f>IF(BQ170=0,"",BR170/BQ170)</f>
        <v/>
      </c>
      <c r="BU170" s="27" t="n"/>
      <c r="BV170" s="62" t="n"/>
      <c r="BW170" s="62" t="n"/>
      <c r="BX170" s="62">
        <f>BW170-BV170</f>
        <v/>
      </c>
      <c r="BY170" s="64">
        <f>IF(BV170=0,"",BW170/BV170)</f>
        <v/>
      </c>
      <c r="BZ170" s="31" t="n"/>
      <c r="CA170" s="60" t="n"/>
      <c r="CB170" s="60" t="n"/>
      <c r="CC170" s="60">
        <f>CB170-CA170</f>
        <v/>
      </c>
      <c r="CD170" s="61">
        <f>IF(CA170=0,"",CB170/CA170)</f>
        <v/>
      </c>
      <c r="CE170" s="27" t="n"/>
      <c r="CF170" s="62" t="n"/>
      <c r="CG170" s="62" t="n"/>
      <c r="CH170" s="62">
        <f>CG170-CF170</f>
        <v/>
      </c>
      <c r="CI170" s="64">
        <f>IF(CF170=0,"",CG170/CF170)</f>
        <v/>
      </c>
      <c r="CJ170" s="31" t="n"/>
      <c r="CK170" s="60" t="n"/>
      <c r="CL170" s="60" t="n"/>
      <c r="CM170" s="60">
        <f>CL170-CK170</f>
        <v/>
      </c>
      <c r="CN170" s="61">
        <f>IF(CK170=0,"",CL170/CK170)</f>
        <v/>
      </c>
      <c r="CO170" s="27" t="n"/>
      <c r="CP170" s="62" t="n"/>
      <c r="CQ170" s="62" t="n"/>
      <c r="CR170" s="62">
        <f>CQ170-CP170</f>
        <v/>
      </c>
      <c r="CS170" s="64">
        <f>IF(CP170=0,"",CQ170/CP170)</f>
        <v/>
      </c>
      <c r="CT170" s="31" t="n"/>
      <c r="CU170" s="60" t="n"/>
      <c r="CV170" s="60" t="n"/>
      <c r="CW170" s="60">
        <f>CV170-CU170</f>
        <v/>
      </c>
      <c r="CX170" s="61">
        <f>IF(CU170=0,"",CV170/CU170)</f>
        <v/>
      </c>
      <c r="CY170" s="27" t="n"/>
      <c r="CZ170" s="62" t="n"/>
      <c r="DA170" s="62" t="n"/>
      <c r="DB170" s="62">
        <f>DA170-CZ170</f>
        <v/>
      </c>
      <c r="DC170" s="64">
        <f>IF(CZ170=0,"",DA170/CZ170)</f>
        <v/>
      </c>
      <c r="DD170" s="31" t="n"/>
      <c r="DE170" s="60" t="n"/>
      <c r="DF170" s="60" t="n"/>
      <c r="DG170" s="60">
        <f>DF170-DE170</f>
        <v/>
      </c>
      <c r="DH170" s="61">
        <f>IF(DE170=0,"",DF170/DE170)</f>
        <v/>
      </c>
      <c r="DI170" s="27" t="n"/>
      <c r="DJ170" s="62" t="n"/>
      <c r="DK170" s="62" t="n"/>
      <c r="DL170" s="62">
        <f>DK170-DJ170</f>
        <v/>
      </c>
      <c r="DM170" s="64">
        <f>IF(DJ170=0,"",DK170/DJ170)</f>
        <v/>
      </c>
      <c r="DN170" s="31" t="n"/>
      <c r="DO170" s="60" t="n"/>
    </row>
    <row r="171" ht="15" customHeight="1">
      <c r="A171" s="19" t="n"/>
      <c r="B171" s="20" t="n"/>
      <c r="C171" s="19" t="n"/>
      <c r="D171" s="58">
        <f>D172+D173+D174+D175+D176+D177+D178+D179+D180+D181+D182+D183</f>
        <v/>
      </c>
      <c r="E171" s="58">
        <f>E172+E173+E174+E175+E176+E177+E178+E179+E180+E181+E182+E183</f>
        <v/>
      </c>
      <c r="F171" s="58">
        <f>E171-D171</f>
        <v/>
      </c>
      <c r="G171" s="59">
        <f>IF(D171=0,"",E171/D171)</f>
        <v/>
      </c>
      <c r="H171" s="23" t="n"/>
      <c r="I171" s="58">
        <f>I172+I173+I174+I175+I176+I177+I178+I179+I180+I181+I182+I183</f>
        <v/>
      </c>
      <c r="J171" s="58">
        <f>J172+J173+J174+J175+J176+J177+J178+J179+J180+J181+J182+J183</f>
        <v/>
      </c>
      <c r="K171" s="58">
        <f>J171-I171</f>
        <v/>
      </c>
      <c r="L171" s="59">
        <f>IF(I171=0,"",J171/I171)</f>
        <v/>
      </c>
      <c r="M171" s="23" t="n"/>
      <c r="N171" s="58">
        <f>N172+N173+N174+N175+N176+N177+N178+N179+N180+N181+N182+N183</f>
        <v/>
      </c>
      <c r="O171" s="58">
        <f>O172+O173+O174+O175+O176+O177+O178+O179+O180+O181+O182+O183</f>
        <v/>
      </c>
      <c r="P171" s="58">
        <f>O171-N171</f>
        <v/>
      </c>
      <c r="Q171" s="59">
        <f>IF(N171=0,"",O171/N171)</f>
        <v/>
      </c>
      <c r="R171" s="23" t="n"/>
      <c r="S171" s="58">
        <f>S172+S173+S174+S175+S176+S177+S178+S179+S180+S181+S182+S183</f>
        <v/>
      </c>
      <c r="T171" s="58">
        <f>T172+T173+T174+T175+T176+T177+T178+T179+T180+T181+T182+T183</f>
        <v/>
      </c>
      <c r="U171" s="58">
        <f>T171-S171</f>
        <v/>
      </c>
      <c r="V171" s="59">
        <f>IF(S171=0,"",T171/S171)</f>
        <v/>
      </c>
      <c r="W171" s="23" t="n"/>
      <c r="X171" s="58">
        <f>X172+X173+X174+X175+X176+X177+X178+X179+X180+X181+X182+X183</f>
        <v/>
      </c>
      <c r="Y171" s="58">
        <f>Y172+Y173+Y174+Y175+Y176+Y177+Y178+Y179+Y180+Y181+Y182+Y183</f>
        <v/>
      </c>
      <c r="Z171" s="58">
        <f>Y171-X171</f>
        <v/>
      </c>
      <c r="AA171" s="59">
        <f>IF(X171=0,"",Y171/X171)</f>
        <v/>
      </c>
      <c r="AB171" s="23" t="n"/>
      <c r="AC171" s="58">
        <f>AC172+AC173+AC174+AC175+AC176+AC177+AC178+AC179+AC180+AC181+AC182+AC183</f>
        <v/>
      </c>
      <c r="AD171" s="58">
        <f>AD172+AD173+AD174+AD175+AD176+AD177+AD178+AD179+AD180+AD181+AD182+AD183</f>
        <v/>
      </c>
      <c r="AE171" s="58">
        <f>AD171-AC171</f>
        <v/>
      </c>
      <c r="AF171" s="59">
        <f>IF(AC171=0,"",AD171/AC171)</f>
        <v/>
      </c>
      <c r="AG171" s="23" t="n"/>
      <c r="AH171" s="58">
        <f>AH172+AH173+AH174+AH175+AH176+AH177+AH178+AH179+AH180+AH181+AH182+AH183</f>
        <v/>
      </c>
      <c r="AI171" s="58">
        <f>AI172+AI173+AI174+AI175+AI176+AI177+AI178+AI179+AI180+AI181+AI182+AI183</f>
        <v/>
      </c>
      <c r="AJ171" s="58">
        <f>AI171-AH171</f>
        <v/>
      </c>
      <c r="AK171" s="59">
        <f>IF(AH171=0,"",AI171/AH171)</f>
        <v/>
      </c>
      <c r="AL171" s="23" t="n"/>
      <c r="AM171" s="58">
        <f>AM172+AM173+AM174+AM175+AM176+AM177+AM178+AM179+AM180+AM181+AM182+AM183</f>
        <v/>
      </c>
      <c r="AN171" s="58">
        <f>AN172+AN173+AN174+AN175+AN176+AN177+AN178+AN179+AN180+AN181+AN182+AN183</f>
        <v/>
      </c>
      <c r="AO171" s="58">
        <f>AN171-AM171</f>
        <v/>
      </c>
      <c r="AP171" s="59">
        <f>IF(AM171=0,"",AN171/AM171)</f>
        <v/>
      </c>
      <c r="AQ171" s="23" t="n"/>
      <c r="AR171" s="58">
        <f>AR172+AR173+AR174+AR175+AR176+AR177+AR178+AR179+AR180+AR181+AR182+AR183</f>
        <v/>
      </c>
      <c r="AS171" s="58">
        <f>AS172+AS173+AS174+AS175+AS176+AS177+AS178+AS179+AS180+AS181+AS182+AS183</f>
        <v/>
      </c>
      <c r="AT171" s="58">
        <f>AS171-AR171</f>
        <v/>
      </c>
      <c r="AU171" s="59">
        <f>IF(AR171=0,"",AS171/AR171)</f>
        <v/>
      </c>
      <c r="AV171" s="23" t="n"/>
      <c r="AW171" s="58">
        <f>AW172+AW173+AW174+AW175+AW176+AW177+AW178+AW179+AW180+AW181+AW182+AW183</f>
        <v/>
      </c>
      <c r="AX171" s="58">
        <f>AX172+AX173+AX174+AX175+AX176+AX177+AX178+AX179+AX180+AX181+AX182+AX183</f>
        <v/>
      </c>
      <c r="AY171" s="58">
        <f>AX171-AW171</f>
        <v/>
      </c>
      <c r="AZ171" s="59">
        <f>IF(AW171=0,"",AX171/AW171)</f>
        <v/>
      </c>
      <c r="BA171" s="23" t="n"/>
      <c r="BB171" s="58">
        <f>BB172+BB173+BB174+BB175+BB176+BB177+BB178+BB179+BB180+BB181+BB182+BB183</f>
        <v/>
      </c>
      <c r="BC171" s="58">
        <f>BC172+BC173+BC174+BC175+BC176+BC177+BC178+BC179+BC180+BC181+BC182+BC183</f>
        <v/>
      </c>
      <c r="BD171" s="58">
        <f>BC171-BB171</f>
        <v/>
      </c>
      <c r="BE171" s="59">
        <f>IF(BB171=0,"",BC171/BB171)</f>
        <v/>
      </c>
      <c r="BF171" s="23" t="n"/>
      <c r="BG171" s="58">
        <f>BG172+BG173+BG174+BG175+BG176+BG177+BG178+BG179+BG180+BG181+BG182+BG183</f>
        <v/>
      </c>
      <c r="BH171" s="58">
        <f>BH172+BH173+BH174+BH175+BH176+BH177+BH178+BH179+BH180+BH181+BH182+BH183</f>
        <v/>
      </c>
      <c r="BI171" s="58">
        <f>BH171-BG171</f>
        <v/>
      </c>
      <c r="BJ171" s="59">
        <f>IF(BG171=0,"",BH171/BG171)</f>
        <v/>
      </c>
      <c r="BK171" s="23" t="n"/>
      <c r="BL171" s="58">
        <f>BL172+BL173+BL174+BL175+BL176+BL177+BL178+BL179+BL180+BL181+BL182+BL183</f>
        <v/>
      </c>
      <c r="BM171" s="58">
        <f>BM172+BM173+BM174+BM175+BM176+BM177+BM178+BM179+BM180+BM181+BM182+BM183</f>
        <v/>
      </c>
      <c r="BN171" s="58">
        <f>BM171-BL171</f>
        <v/>
      </c>
      <c r="BO171" s="59">
        <f>IF(BL171=0,"",BM171/BL171)</f>
        <v/>
      </c>
      <c r="BP171" s="23" t="n"/>
      <c r="BQ171" s="58">
        <f>BQ172+BQ173+BQ174+BQ175+BQ176+BQ177+BQ178+BQ179+BQ180+BQ181+BQ182+BQ183</f>
        <v/>
      </c>
      <c r="BR171" s="58">
        <f>BR172+BR173+BR174+BR175+BR176+BR177+BR178+BR179+BR180+BR181+BR182+BR183</f>
        <v/>
      </c>
      <c r="BS171" s="58">
        <f>BR171-BQ171</f>
        <v/>
      </c>
      <c r="BT171" s="59">
        <f>IF(BQ171=0,"",BR171/BQ171)</f>
        <v/>
      </c>
      <c r="BU171" s="23" t="n"/>
      <c r="BV171" s="58">
        <f>BV172+BV173+BV174+BV175+BV176+BV177+BV178+BV179+BV180+BV181+BV182+BV183</f>
        <v/>
      </c>
      <c r="BW171" s="58">
        <f>BW172+BW173+BW174+BW175+BW176+BW177+BW178+BW179+BW180+BW181+BW182+BW183</f>
        <v/>
      </c>
      <c r="BX171" s="58">
        <f>BW171-BV171</f>
        <v/>
      </c>
      <c r="BY171" s="59">
        <f>IF(BV171=0,"",BW171/BV171)</f>
        <v/>
      </c>
      <c r="BZ171" s="23" t="n"/>
      <c r="CA171" s="58">
        <f>CA172+CA173+CA174+CA175+CA176+CA177+CA178+CA179+CA180+CA181+CA182+CA183</f>
        <v/>
      </c>
      <c r="CB171" s="58">
        <f>CB172+CB173+CB174+CB175+CB176+CB177+CB178+CB179+CB180+CB181+CB182+CB183</f>
        <v/>
      </c>
      <c r="CC171" s="58">
        <f>CB171-CA171</f>
        <v/>
      </c>
      <c r="CD171" s="59">
        <f>IF(CA171=0,"",CB171/CA171)</f>
        <v/>
      </c>
      <c r="CE171" s="23" t="n"/>
      <c r="CF171" s="58">
        <f>CF172+CF173+CF174+CF175+CF176+CF177+CF178+CF179+CF180+CF181+CF182+CF183</f>
        <v/>
      </c>
      <c r="CG171" s="58">
        <f>CG172+CG173+CG174+CG175+CG176+CG177+CG178+CG179+CG180+CG181+CG182+CG183</f>
        <v/>
      </c>
      <c r="CH171" s="58">
        <f>CG171-CF171</f>
        <v/>
      </c>
      <c r="CI171" s="59">
        <f>IF(CF171=0,"",CG171/CF171)</f>
        <v/>
      </c>
      <c r="CJ171" s="23" t="n"/>
      <c r="CK171" s="58">
        <f>CK172+CK173+CK174+CK175+CK176+CK177+CK178+CK179+CK180+CK181+CK182+CK183</f>
        <v/>
      </c>
      <c r="CL171" s="58">
        <f>CL172+CL173+CL174+CL175+CL176+CL177+CL178+CL179+CL180+CL181+CL182+CL183</f>
        <v/>
      </c>
      <c r="CM171" s="58">
        <f>CL171-CK171</f>
        <v/>
      </c>
      <c r="CN171" s="59">
        <f>IF(CK171=0,"",CL171/CK171)</f>
        <v/>
      </c>
      <c r="CO171" s="23" t="n"/>
      <c r="CP171" s="58">
        <f>CP172+CP173+CP174+CP175+CP176+CP177+CP178+CP179+CP180+CP181+CP182+CP183</f>
        <v/>
      </c>
      <c r="CQ171" s="58">
        <f>CQ172+CQ173+CQ174+CQ175+CQ176+CQ177+CQ178+CQ179+CQ180+CQ181+CQ182+CQ183</f>
        <v/>
      </c>
      <c r="CR171" s="58">
        <f>CQ171-CP171</f>
        <v/>
      </c>
      <c r="CS171" s="59">
        <f>IF(CP171=0,"",CQ171/CP171)</f>
        <v/>
      </c>
      <c r="CT171" s="23" t="n"/>
      <c r="CU171" s="58">
        <f>CU172+CU173+CU174+CU175+CU176+CU177+CU178+CU179+CU180+CU181+CU182+CU183</f>
        <v/>
      </c>
      <c r="CV171" s="58">
        <f>CV172+CV173+CV174+CV175+CV176+CV177+CV178+CV179+CV180+CV181+CV182+CV183</f>
        <v/>
      </c>
      <c r="CW171" s="58">
        <f>CV171-CU171</f>
        <v/>
      </c>
      <c r="CX171" s="59">
        <f>IF(CU171=0,"",CV171/CU171)</f>
        <v/>
      </c>
      <c r="CY171" s="23" t="n"/>
      <c r="CZ171" s="58">
        <f>CZ172+CZ173+CZ174+CZ175+CZ176+CZ177+CZ178+CZ179+CZ180+CZ181+CZ182+CZ183</f>
        <v/>
      </c>
      <c r="DA171" s="58">
        <f>DA172+DA173+DA174+DA175+DA176+DA177+DA178+DA179+DA180+DA181+DA182+DA183</f>
        <v/>
      </c>
      <c r="DB171" s="58">
        <f>DA171-CZ171</f>
        <v/>
      </c>
      <c r="DC171" s="59">
        <f>IF(CZ171=0,"",DA171/CZ171)</f>
        <v/>
      </c>
      <c r="DD171" s="23" t="n"/>
      <c r="DE171" s="58">
        <f>DE172+DE173+DE174+DE175+DE176+DE177+DE178+DE179+DE180+DE181+DE182+DE183</f>
        <v/>
      </c>
      <c r="DF171" s="58">
        <f>DF172+DF173+DF174+DF175+DF176+DF177+DF178+DF179+DF180+DF181+DF182+DF183</f>
        <v/>
      </c>
      <c r="DG171" s="58">
        <f>DF171-DE171</f>
        <v/>
      </c>
      <c r="DH171" s="59">
        <f>IF(DE171=0,"",DF171/DE171)</f>
        <v/>
      </c>
      <c r="DI171" s="23" t="n"/>
      <c r="DJ171" s="58">
        <f>DJ172+DJ173+DJ174+DJ175+DJ176+DJ177+DJ178+DJ179+DJ180+DJ181+DJ182+DJ183</f>
        <v/>
      </c>
      <c r="DK171" s="58">
        <f>DK172+DK173+DK174+DK175+DK176+DK177+DK178+DK179+DK180+DK181+DK182+DK183</f>
        <v/>
      </c>
      <c r="DL171" s="58">
        <f>DK171-DJ171</f>
        <v/>
      </c>
      <c r="DM171" s="59">
        <f>IF(DJ171=0,"",DK171/DJ171)</f>
        <v/>
      </c>
      <c r="DN171" s="23" t="n"/>
      <c r="DO171" s="58">
        <f>DO172+DO173+DO174+DO175+DO176+DO177+DO178+DO179+DO180+DO181+DO182+DO183</f>
        <v/>
      </c>
    </row>
    <row r="172" outlineLevel="1" ht="15" customHeight="1">
      <c r="A172" s="24" t="n"/>
      <c r="B172" s="24" t="n"/>
      <c r="C172" s="24" t="n"/>
      <c r="D172" s="60" t="n"/>
      <c r="E172" s="60" t="n"/>
      <c r="F172" s="60">
        <f>E172-D172</f>
        <v/>
      </c>
      <c r="G172" s="61">
        <f>IF(D172=0,"",E172/D172)</f>
        <v/>
      </c>
      <c r="H172" s="27" t="n"/>
      <c r="I172" s="60" t="n"/>
      <c r="J172" s="60" t="n"/>
      <c r="K172" s="60">
        <f>J172-I172</f>
        <v/>
      </c>
      <c r="L172" s="61">
        <f>IF(I172=0,"",J172/I172)</f>
        <v/>
      </c>
      <c r="M172" s="27" t="n"/>
      <c r="N172" s="62" t="n"/>
      <c r="O172" s="62" t="n"/>
      <c r="P172" s="62">
        <f>O172-N172</f>
        <v/>
      </c>
      <c r="Q172" s="64">
        <f>IF(N172=0,"",O172/N172)</f>
        <v/>
      </c>
      <c r="R172" s="31" t="n"/>
      <c r="S172" s="60" t="n"/>
      <c r="T172" s="60" t="n"/>
      <c r="U172" s="60">
        <f>T172-S172</f>
        <v/>
      </c>
      <c r="V172" s="61">
        <f>IF(S172=0,"",T172/S172)</f>
        <v/>
      </c>
      <c r="W172" s="27" t="n"/>
      <c r="X172" s="62" t="n"/>
      <c r="Y172" s="62" t="n"/>
      <c r="Z172" s="62">
        <f>Y172-X172</f>
        <v/>
      </c>
      <c r="AA172" s="64">
        <f>IF(X172=0,"",Y172/X172)</f>
        <v/>
      </c>
      <c r="AB172" s="31" t="n"/>
      <c r="AC172" s="60" t="n"/>
      <c r="AD172" s="60" t="n"/>
      <c r="AE172" s="60">
        <f>AD172-AC172</f>
        <v/>
      </c>
      <c r="AF172" s="61">
        <f>IF(AC172=0,"",AD172/AC172)</f>
        <v/>
      </c>
      <c r="AG172" s="27" t="n"/>
      <c r="AH172" s="62" t="n"/>
      <c r="AI172" s="62" t="n"/>
      <c r="AJ172" s="62">
        <f>AI172-AH172</f>
        <v/>
      </c>
      <c r="AK172" s="64">
        <f>IF(AH172=0,"",AI172/AH172)</f>
        <v/>
      </c>
      <c r="AL172" s="31" t="n"/>
      <c r="AM172" s="60" t="n"/>
      <c r="AN172" s="60" t="n"/>
      <c r="AO172" s="60">
        <f>AN172-AM172</f>
        <v/>
      </c>
      <c r="AP172" s="61">
        <f>IF(AM172=0,"",AN172/AM172)</f>
        <v/>
      </c>
      <c r="AQ172" s="27" t="n"/>
      <c r="AR172" s="62" t="n"/>
      <c r="AS172" s="62" t="n"/>
      <c r="AT172" s="62">
        <f>AS172-AR172</f>
        <v/>
      </c>
      <c r="AU172" s="64">
        <f>IF(AR172=0,"",AS172/AR172)</f>
        <v/>
      </c>
      <c r="AV172" s="31" t="n"/>
      <c r="AW172" s="60" t="n"/>
      <c r="AX172" s="60" t="n"/>
      <c r="AY172" s="60">
        <f>AX172-AW172</f>
        <v/>
      </c>
      <c r="AZ172" s="61">
        <f>IF(AW172=0,"",AX172/AW172)</f>
        <v/>
      </c>
      <c r="BA172" s="27" t="n"/>
      <c r="BB172" s="62" t="n"/>
      <c r="BC172" s="62" t="n"/>
      <c r="BD172" s="62">
        <f>BC172-BB172</f>
        <v/>
      </c>
      <c r="BE172" s="64">
        <f>IF(BB172=0,"",BC172/BB172)</f>
        <v/>
      </c>
      <c r="BF172" s="31" t="n"/>
      <c r="BG172" s="60" t="n"/>
      <c r="BH172" s="60" t="n"/>
      <c r="BI172" s="60">
        <f>BH172-BG172</f>
        <v/>
      </c>
      <c r="BJ172" s="61">
        <f>IF(BG172=0,"",BH172/BG172)</f>
        <v/>
      </c>
      <c r="BK172" s="27" t="n"/>
      <c r="BL172" s="62" t="n"/>
      <c r="BM172" s="62" t="n"/>
      <c r="BN172" s="62">
        <f>BM172-BL172</f>
        <v/>
      </c>
      <c r="BO172" s="64">
        <f>IF(BL172=0,"",BM172/BL172)</f>
        <v/>
      </c>
      <c r="BP172" s="31" t="n"/>
      <c r="BQ172" s="60" t="n"/>
      <c r="BR172" s="60" t="n"/>
      <c r="BS172" s="60">
        <f>BR172-BQ172</f>
        <v/>
      </c>
      <c r="BT172" s="61">
        <f>IF(BQ172=0,"",BR172/BQ172)</f>
        <v/>
      </c>
      <c r="BU172" s="27" t="n"/>
      <c r="BV172" s="62" t="n"/>
      <c r="BW172" s="62" t="n"/>
      <c r="BX172" s="62">
        <f>BW172-BV172</f>
        <v/>
      </c>
      <c r="BY172" s="64">
        <f>IF(BV172=0,"",BW172/BV172)</f>
        <v/>
      </c>
      <c r="BZ172" s="31" t="n"/>
      <c r="CA172" s="60" t="n"/>
      <c r="CB172" s="60" t="n"/>
      <c r="CC172" s="60">
        <f>CB172-CA172</f>
        <v/>
      </c>
      <c r="CD172" s="61">
        <f>IF(CA172=0,"",CB172/CA172)</f>
        <v/>
      </c>
      <c r="CE172" s="27" t="n"/>
      <c r="CF172" s="62" t="n"/>
      <c r="CG172" s="62" t="n"/>
      <c r="CH172" s="62">
        <f>CG172-CF172</f>
        <v/>
      </c>
      <c r="CI172" s="64">
        <f>IF(CF172=0,"",CG172/CF172)</f>
        <v/>
      </c>
      <c r="CJ172" s="31" t="n"/>
      <c r="CK172" s="60" t="n"/>
      <c r="CL172" s="60" t="n"/>
      <c r="CM172" s="60">
        <f>CL172-CK172</f>
        <v/>
      </c>
      <c r="CN172" s="61">
        <f>IF(CK172=0,"",CL172/CK172)</f>
        <v/>
      </c>
      <c r="CO172" s="27" t="n"/>
      <c r="CP172" s="62" t="n"/>
      <c r="CQ172" s="62" t="n"/>
      <c r="CR172" s="62">
        <f>CQ172-CP172</f>
        <v/>
      </c>
      <c r="CS172" s="64">
        <f>IF(CP172=0,"",CQ172/CP172)</f>
        <v/>
      </c>
      <c r="CT172" s="31" t="n"/>
      <c r="CU172" s="60" t="n"/>
      <c r="CV172" s="60" t="n"/>
      <c r="CW172" s="60">
        <f>CV172-CU172</f>
        <v/>
      </c>
      <c r="CX172" s="61">
        <f>IF(CU172=0,"",CV172/CU172)</f>
        <v/>
      </c>
      <c r="CY172" s="27" t="n"/>
      <c r="CZ172" s="62" t="n"/>
      <c r="DA172" s="62" t="n"/>
      <c r="DB172" s="62">
        <f>DA172-CZ172</f>
        <v/>
      </c>
      <c r="DC172" s="64">
        <f>IF(CZ172=0,"",DA172/CZ172)</f>
        <v/>
      </c>
      <c r="DD172" s="31" t="n"/>
      <c r="DE172" s="60" t="n"/>
      <c r="DF172" s="60" t="n"/>
      <c r="DG172" s="60">
        <f>DF172-DE172</f>
        <v/>
      </c>
      <c r="DH172" s="61">
        <f>IF(DE172=0,"",DF172/DE172)</f>
        <v/>
      </c>
      <c r="DI172" s="27" t="n"/>
      <c r="DJ172" s="62" t="n"/>
      <c r="DK172" s="62" t="n"/>
      <c r="DL172" s="62">
        <f>DK172-DJ172</f>
        <v/>
      </c>
      <c r="DM172" s="64">
        <f>IF(DJ172=0,"",DK172/DJ172)</f>
        <v/>
      </c>
      <c r="DN172" s="31" t="n"/>
      <c r="DO172" s="60" t="n"/>
    </row>
    <row r="173" outlineLevel="1" ht="15" customHeight="1">
      <c r="A173" s="24" t="n"/>
      <c r="B173" s="24" t="n"/>
      <c r="C173" s="24" t="n"/>
      <c r="D173" s="60" t="n"/>
      <c r="E173" s="60" t="n"/>
      <c r="F173" s="60">
        <f>E173-D173</f>
        <v/>
      </c>
      <c r="G173" s="61">
        <f>IF(D173=0,"",E173/D173)</f>
        <v/>
      </c>
      <c r="H173" s="27" t="n"/>
      <c r="I173" s="60" t="n"/>
      <c r="J173" s="60" t="n"/>
      <c r="K173" s="60">
        <f>J173-I173</f>
        <v/>
      </c>
      <c r="L173" s="61">
        <f>IF(I173=0,"",J173/I173)</f>
        <v/>
      </c>
      <c r="M173" s="27" t="n"/>
      <c r="N173" s="62" t="n"/>
      <c r="O173" s="62" t="n"/>
      <c r="P173" s="62">
        <f>O173-N173</f>
        <v/>
      </c>
      <c r="Q173" s="64">
        <f>IF(N173=0,"",O173/N173)</f>
        <v/>
      </c>
      <c r="R173" s="31" t="n"/>
      <c r="S173" s="60" t="n"/>
      <c r="T173" s="60" t="n"/>
      <c r="U173" s="60">
        <f>T173-S173</f>
        <v/>
      </c>
      <c r="V173" s="61">
        <f>IF(S173=0,"",T173/S173)</f>
        <v/>
      </c>
      <c r="W173" s="27" t="n"/>
      <c r="X173" s="62" t="n"/>
      <c r="Y173" s="62" t="n"/>
      <c r="Z173" s="62">
        <f>Y173-X173</f>
        <v/>
      </c>
      <c r="AA173" s="64">
        <f>IF(X173=0,"",Y173/X173)</f>
        <v/>
      </c>
      <c r="AB173" s="31" t="n"/>
      <c r="AC173" s="60" t="n"/>
      <c r="AD173" s="60" t="n"/>
      <c r="AE173" s="60">
        <f>AD173-AC173</f>
        <v/>
      </c>
      <c r="AF173" s="61">
        <f>IF(AC173=0,"",AD173/AC173)</f>
        <v/>
      </c>
      <c r="AG173" s="27" t="n"/>
      <c r="AH173" s="62" t="n"/>
      <c r="AI173" s="62" t="n"/>
      <c r="AJ173" s="62">
        <f>AI173-AH173</f>
        <v/>
      </c>
      <c r="AK173" s="64">
        <f>IF(AH173=0,"",AI173/AH173)</f>
        <v/>
      </c>
      <c r="AL173" s="31" t="n"/>
      <c r="AM173" s="60" t="n"/>
      <c r="AN173" s="60" t="n"/>
      <c r="AO173" s="60">
        <f>AN173-AM173</f>
        <v/>
      </c>
      <c r="AP173" s="61">
        <f>IF(AM173=0,"",AN173/AM173)</f>
        <v/>
      </c>
      <c r="AQ173" s="27" t="n"/>
      <c r="AR173" s="62" t="n"/>
      <c r="AS173" s="62" t="n"/>
      <c r="AT173" s="62">
        <f>AS173-AR173</f>
        <v/>
      </c>
      <c r="AU173" s="64">
        <f>IF(AR173=0,"",AS173/AR173)</f>
        <v/>
      </c>
      <c r="AV173" s="31" t="n"/>
      <c r="AW173" s="60" t="n"/>
      <c r="AX173" s="60" t="n"/>
      <c r="AY173" s="60">
        <f>AX173-AW173</f>
        <v/>
      </c>
      <c r="AZ173" s="61">
        <f>IF(AW173=0,"",AX173/AW173)</f>
        <v/>
      </c>
      <c r="BA173" s="27" t="n"/>
      <c r="BB173" s="62" t="n"/>
      <c r="BC173" s="62" t="n"/>
      <c r="BD173" s="62">
        <f>BC173-BB173</f>
        <v/>
      </c>
      <c r="BE173" s="64">
        <f>IF(BB173=0,"",BC173/BB173)</f>
        <v/>
      </c>
      <c r="BF173" s="31" t="n"/>
      <c r="BG173" s="60" t="n"/>
      <c r="BH173" s="60" t="n"/>
      <c r="BI173" s="60">
        <f>BH173-BG173</f>
        <v/>
      </c>
      <c r="BJ173" s="61">
        <f>IF(BG173=0,"",BH173/BG173)</f>
        <v/>
      </c>
      <c r="BK173" s="27" t="n"/>
      <c r="BL173" s="62" t="n"/>
      <c r="BM173" s="62" t="n"/>
      <c r="BN173" s="62">
        <f>BM173-BL173</f>
        <v/>
      </c>
      <c r="BO173" s="64">
        <f>IF(BL173=0,"",BM173/BL173)</f>
        <v/>
      </c>
      <c r="BP173" s="31" t="n"/>
      <c r="BQ173" s="60" t="n"/>
      <c r="BR173" s="60" t="n"/>
      <c r="BS173" s="60">
        <f>BR173-BQ173</f>
        <v/>
      </c>
      <c r="BT173" s="61">
        <f>IF(BQ173=0,"",BR173/BQ173)</f>
        <v/>
      </c>
      <c r="BU173" s="27" t="n"/>
      <c r="BV173" s="62" t="n"/>
      <c r="BW173" s="62" t="n"/>
      <c r="BX173" s="62">
        <f>BW173-BV173</f>
        <v/>
      </c>
      <c r="BY173" s="64">
        <f>IF(BV173=0,"",BW173/BV173)</f>
        <v/>
      </c>
      <c r="BZ173" s="31" t="n"/>
      <c r="CA173" s="60" t="n"/>
      <c r="CB173" s="60" t="n"/>
      <c r="CC173" s="60">
        <f>CB173-CA173</f>
        <v/>
      </c>
      <c r="CD173" s="61">
        <f>IF(CA173=0,"",CB173/CA173)</f>
        <v/>
      </c>
      <c r="CE173" s="27" t="n"/>
      <c r="CF173" s="62" t="n"/>
      <c r="CG173" s="62" t="n"/>
      <c r="CH173" s="62">
        <f>CG173-CF173</f>
        <v/>
      </c>
      <c r="CI173" s="64">
        <f>IF(CF173=0,"",CG173/CF173)</f>
        <v/>
      </c>
      <c r="CJ173" s="31" t="n"/>
      <c r="CK173" s="60" t="n"/>
      <c r="CL173" s="60" t="n"/>
      <c r="CM173" s="60">
        <f>CL173-CK173</f>
        <v/>
      </c>
      <c r="CN173" s="61">
        <f>IF(CK173=0,"",CL173/CK173)</f>
        <v/>
      </c>
      <c r="CO173" s="27" t="n"/>
      <c r="CP173" s="62" t="n"/>
      <c r="CQ173" s="62" t="n"/>
      <c r="CR173" s="62">
        <f>CQ173-CP173</f>
        <v/>
      </c>
      <c r="CS173" s="64">
        <f>IF(CP173=0,"",CQ173/CP173)</f>
        <v/>
      </c>
      <c r="CT173" s="31" t="n"/>
      <c r="CU173" s="60" t="n"/>
      <c r="CV173" s="60" t="n"/>
      <c r="CW173" s="60">
        <f>CV173-CU173</f>
        <v/>
      </c>
      <c r="CX173" s="61">
        <f>IF(CU173=0,"",CV173/CU173)</f>
        <v/>
      </c>
      <c r="CY173" s="27" t="n"/>
      <c r="CZ173" s="62" t="n"/>
      <c r="DA173" s="62" t="n"/>
      <c r="DB173" s="62">
        <f>DA173-CZ173</f>
        <v/>
      </c>
      <c r="DC173" s="64">
        <f>IF(CZ173=0,"",DA173/CZ173)</f>
        <v/>
      </c>
      <c r="DD173" s="31" t="n"/>
      <c r="DE173" s="60" t="n"/>
      <c r="DF173" s="60" t="n"/>
      <c r="DG173" s="60">
        <f>DF173-DE173</f>
        <v/>
      </c>
      <c r="DH173" s="61">
        <f>IF(DE173=0,"",DF173/DE173)</f>
        <v/>
      </c>
      <c r="DI173" s="27" t="n"/>
      <c r="DJ173" s="62" t="n"/>
      <c r="DK173" s="62" t="n"/>
      <c r="DL173" s="62">
        <f>DK173-DJ173</f>
        <v/>
      </c>
      <c r="DM173" s="64">
        <f>IF(DJ173=0,"",DK173/DJ173)</f>
        <v/>
      </c>
      <c r="DN173" s="31" t="n"/>
      <c r="DO173" s="60" t="n"/>
    </row>
    <row r="174" outlineLevel="1" ht="15" customHeight="1">
      <c r="A174" s="24" t="n"/>
      <c r="B174" s="24" t="n"/>
      <c r="C174" s="24" t="n"/>
      <c r="D174" s="60" t="n"/>
      <c r="E174" s="60" t="n"/>
      <c r="F174" s="60">
        <f>E174-D174</f>
        <v/>
      </c>
      <c r="G174" s="61">
        <f>IF(D174=0,"",E174/D174)</f>
        <v/>
      </c>
      <c r="H174" s="27" t="n"/>
      <c r="I174" s="60" t="n"/>
      <c r="J174" s="60" t="n"/>
      <c r="K174" s="60">
        <f>J174-I174</f>
        <v/>
      </c>
      <c r="L174" s="61">
        <f>IF(I174=0,"",J174/I174)</f>
        <v/>
      </c>
      <c r="M174" s="27" t="n"/>
      <c r="N174" s="62" t="n"/>
      <c r="O174" s="62" t="n"/>
      <c r="P174" s="62">
        <f>O174-N174</f>
        <v/>
      </c>
      <c r="Q174" s="64">
        <f>IF(N174=0,"",O174/N174)</f>
        <v/>
      </c>
      <c r="R174" s="31" t="n"/>
      <c r="S174" s="60" t="n"/>
      <c r="T174" s="60" t="n"/>
      <c r="U174" s="60">
        <f>T174-S174</f>
        <v/>
      </c>
      <c r="V174" s="61">
        <f>IF(S174=0,"",T174/S174)</f>
        <v/>
      </c>
      <c r="W174" s="27" t="n"/>
      <c r="X174" s="62" t="n"/>
      <c r="Y174" s="62" t="n"/>
      <c r="Z174" s="62">
        <f>Y174-X174</f>
        <v/>
      </c>
      <c r="AA174" s="64">
        <f>IF(X174=0,"",Y174/X174)</f>
        <v/>
      </c>
      <c r="AB174" s="31" t="n"/>
      <c r="AC174" s="60" t="n"/>
      <c r="AD174" s="60" t="n"/>
      <c r="AE174" s="60">
        <f>AD174-AC174</f>
        <v/>
      </c>
      <c r="AF174" s="61">
        <f>IF(AC174=0,"",AD174/AC174)</f>
        <v/>
      </c>
      <c r="AG174" s="27" t="n"/>
      <c r="AH174" s="62" t="n"/>
      <c r="AI174" s="62" t="n"/>
      <c r="AJ174" s="62">
        <f>AI174-AH174</f>
        <v/>
      </c>
      <c r="AK174" s="64">
        <f>IF(AH174=0,"",AI174/AH174)</f>
        <v/>
      </c>
      <c r="AL174" s="31" t="n"/>
      <c r="AM174" s="60" t="n"/>
      <c r="AN174" s="60" t="n"/>
      <c r="AO174" s="60">
        <f>AN174-AM174</f>
        <v/>
      </c>
      <c r="AP174" s="61">
        <f>IF(AM174=0,"",AN174/AM174)</f>
        <v/>
      </c>
      <c r="AQ174" s="27" t="n"/>
      <c r="AR174" s="62" t="n"/>
      <c r="AS174" s="62" t="n"/>
      <c r="AT174" s="62">
        <f>AS174-AR174</f>
        <v/>
      </c>
      <c r="AU174" s="64">
        <f>IF(AR174=0,"",AS174/AR174)</f>
        <v/>
      </c>
      <c r="AV174" s="31" t="n"/>
      <c r="AW174" s="60" t="n"/>
      <c r="AX174" s="60" t="n"/>
      <c r="AY174" s="60">
        <f>AX174-AW174</f>
        <v/>
      </c>
      <c r="AZ174" s="61">
        <f>IF(AW174=0,"",AX174/AW174)</f>
        <v/>
      </c>
      <c r="BA174" s="27" t="n"/>
      <c r="BB174" s="62" t="n"/>
      <c r="BC174" s="62" t="n"/>
      <c r="BD174" s="62">
        <f>BC174-BB174</f>
        <v/>
      </c>
      <c r="BE174" s="64">
        <f>IF(BB174=0,"",BC174/BB174)</f>
        <v/>
      </c>
      <c r="BF174" s="31" t="n"/>
      <c r="BG174" s="60" t="n"/>
      <c r="BH174" s="60" t="n"/>
      <c r="BI174" s="60">
        <f>BH174-BG174</f>
        <v/>
      </c>
      <c r="BJ174" s="61">
        <f>IF(BG174=0,"",BH174/BG174)</f>
        <v/>
      </c>
      <c r="BK174" s="27" t="n"/>
      <c r="BL174" s="62" t="n"/>
      <c r="BM174" s="62" t="n"/>
      <c r="BN174" s="62">
        <f>BM174-BL174</f>
        <v/>
      </c>
      <c r="BO174" s="64">
        <f>IF(BL174=0,"",BM174/BL174)</f>
        <v/>
      </c>
      <c r="BP174" s="31" t="n"/>
      <c r="BQ174" s="60" t="n"/>
      <c r="BR174" s="60" t="n"/>
      <c r="BS174" s="60">
        <f>BR174-BQ174</f>
        <v/>
      </c>
      <c r="BT174" s="61">
        <f>IF(BQ174=0,"",BR174/BQ174)</f>
        <v/>
      </c>
      <c r="BU174" s="27" t="n"/>
      <c r="BV174" s="62" t="n"/>
      <c r="BW174" s="62" t="n"/>
      <c r="BX174" s="62">
        <f>BW174-BV174</f>
        <v/>
      </c>
      <c r="BY174" s="64">
        <f>IF(BV174=0,"",BW174/BV174)</f>
        <v/>
      </c>
      <c r="BZ174" s="31" t="n"/>
      <c r="CA174" s="60" t="n"/>
      <c r="CB174" s="60" t="n"/>
      <c r="CC174" s="60">
        <f>CB174-CA174</f>
        <v/>
      </c>
      <c r="CD174" s="61">
        <f>IF(CA174=0,"",CB174/CA174)</f>
        <v/>
      </c>
      <c r="CE174" s="27" t="n"/>
      <c r="CF174" s="62" t="n"/>
      <c r="CG174" s="62" t="n"/>
      <c r="CH174" s="62">
        <f>CG174-CF174</f>
        <v/>
      </c>
      <c r="CI174" s="64">
        <f>IF(CF174=0,"",CG174/CF174)</f>
        <v/>
      </c>
      <c r="CJ174" s="31" t="n"/>
      <c r="CK174" s="60" t="n"/>
      <c r="CL174" s="60" t="n"/>
      <c r="CM174" s="60">
        <f>CL174-CK174</f>
        <v/>
      </c>
      <c r="CN174" s="61">
        <f>IF(CK174=0,"",CL174/CK174)</f>
        <v/>
      </c>
      <c r="CO174" s="27" t="n"/>
      <c r="CP174" s="62" t="n"/>
      <c r="CQ174" s="62" t="n"/>
      <c r="CR174" s="62">
        <f>CQ174-CP174</f>
        <v/>
      </c>
      <c r="CS174" s="64">
        <f>IF(CP174=0,"",CQ174/CP174)</f>
        <v/>
      </c>
      <c r="CT174" s="31" t="n"/>
      <c r="CU174" s="60" t="n"/>
      <c r="CV174" s="60" t="n"/>
      <c r="CW174" s="60">
        <f>CV174-CU174</f>
        <v/>
      </c>
      <c r="CX174" s="61">
        <f>IF(CU174=0,"",CV174/CU174)</f>
        <v/>
      </c>
      <c r="CY174" s="27" t="n"/>
      <c r="CZ174" s="62" t="n"/>
      <c r="DA174" s="62" t="n"/>
      <c r="DB174" s="62">
        <f>DA174-CZ174</f>
        <v/>
      </c>
      <c r="DC174" s="64">
        <f>IF(CZ174=0,"",DA174/CZ174)</f>
        <v/>
      </c>
      <c r="DD174" s="31" t="n"/>
      <c r="DE174" s="60" t="n"/>
      <c r="DF174" s="60" t="n"/>
      <c r="DG174" s="60">
        <f>DF174-DE174</f>
        <v/>
      </c>
      <c r="DH174" s="61">
        <f>IF(DE174=0,"",DF174/DE174)</f>
        <v/>
      </c>
      <c r="DI174" s="27" t="n"/>
      <c r="DJ174" s="62" t="n"/>
      <c r="DK174" s="62" t="n"/>
      <c r="DL174" s="62">
        <f>DK174-DJ174</f>
        <v/>
      </c>
      <c r="DM174" s="64">
        <f>IF(DJ174=0,"",DK174/DJ174)</f>
        <v/>
      </c>
      <c r="DN174" s="31" t="n"/>
      <c r="DO174" s="60" t="n"/>
    </row>
    <row r="175" outlineLevel="1" ht="15" customHeight="1">
      <c r="A175" s="24" t="n"/>
      <c r="B175" s="24" t="n"/>
      <c r="C175" s="24" t="n"/>
      <c r="D175" s="60" t="n"/>
      <c r="E175" s="60" t="n"/>
      <c r="F175" s="60">
        <f>E175-D175</f>
        <v/>
      </c>
      <c r="G175" s="61">
        <f>IF(D175=0,"",E175/D175)</f>
        <v/>
      </c>
      <c r="H175" s="27" t="n"/>
      <c r="I175" s="60" t="n"/>
      <c r="J175" s="60" t="n"/>
      <c r="K175" s="60">
        <f>J175-I175</f>
        <v/>
      </c>
      <c r="L175" s="61">
        <f>IF(I175=0,"",J175/I175)</f>
        <v/>
      </c>
      <c r="M175" s="27" t="n"/>
      <c r="N175" s="62" t="n"/>
      <c r="O175" s="62" t="n"/>
      <c r="P175" s="62">
        <f>O175-N175</f>
        <v/>
      </c>
      <c r="Q175" s="64">
        <f>IF(N175=0,"",O175/N175)</f>
        <v/>
      </c>
      <c r="R175" s="31" t="n"/>
      <c r="S175" s="60" t="n"/>
      <c r="T175" s="60" t="n"/>
      <c r="U175" s="60">
        <f>T175-S175</f>
        <v/>
      </c>
      <c r="V175" s="61">
        <f>IF(S175=0,"",T175/S175)</f>
        <v/>
      </c>
      <c r="W175" s="27" t="n"/>
      <c r="X175" s="62" t="n"/>
      <c r="Y175" s="62" t="n"/>
      <c r="Z175" s="62">
        <f>Y175-X175</f>
        <v/>
      </c>
      <c r="AA175" s="64">
        <f>IF(X175=0,"",Y175/X175)</f>
        <v/>
      </c>
      <c r="AB175" s="31" t="n"/>
      <c r="AC175" s="60" t="n"/>
      <c r="AD175" s="60" t="n"/>
      <c r="AE175" s="60">
        <f>AD175-AC175</f>
        <v/>
      </c>
      <c r="AF175" s="61">
        <f>IF(AC175=0,"",AD175/AC175)</f>
        <v/>
      </c>
      <c r="AG175" s="27" t="n"/>
      <c r="AH175" s="62" t="n"/>
      <c r="AI175" s="62" t="n"/>
      <c r="AJ175" s="62">
        <f>AI175-AH175</f>
        <v/>
      </c>
      <c r="AK175" s="64">
        <f>IF(AH175=0,"",AI175/AH175)</f>
        <v/>
      </c>
      <c r="AL175" s="31" t="n"/>
      <c r="AM175" s="60" t="n"/>
      <c r="AN175" s="60" t="n"/>
      <c r="AO175" s="60">
        <f>AN175-AM175</f>
        <v/>
      </c>
      <c r="AP175" s="61">
        <f>IF(AM175=0,"",AN175/AM175)</f>
        <v/>
      </c>
      <c r="AQ175" s="27" t="n"/>
      <c r="AR175" s="62" t="n"/>
      <c r="AS175" s="62" t="n"/>
      <c r="AT175" s="62">
        <f>AS175-AR175</f>
        <v/>
      </c>
      <c r="AU175" s="64">
        <f>IF(AR175=0,"",AS175/AR175)</f>
        <v/>
      </c>
      <c r="AV175" s="31" t="n"/>
      <c r="AW175" s="60" t="n"/>
      <c r="AX175" s="60" t="n"/>
      <c r="AY175" s="60">
        <f>AX175-AW175</f>
        <v/>
      </c>
      <c r="AZ175" s="61">
        <f>IF(AW175=0,"",AX175/AW175)</f>
        <v/>
      </c>
      <c r="BA175" s="27" t="n"/>
      <c r="BB175" s="62" t="n"/>
      <c r="BC175" s="62" t="n"/>
      <c r="BD175" s="62">
        <f>BC175-BB175</f>
        <v/>
      </c>
      <c r="BE175" s="64">
        <f>IF(BB175=0,"",BC175/BB175)</f>
        <v/>
      </c>
      <c r="BF175" s="31" t="n"/>
      <c r="BG175" s="60" t="n"/>
      <c r="BH175" s="60" t="n"/>
      <c r="BI175" s="60">
        <f>BH175-BG175</f>
        <v/>
      </c>
      <c r="BJ175" s="61">
        <f>IF(BG175=0,"",BH175/BG175)</f>
        <v/>
      </c>
      <c r="BK175" s="27" t="n"/>
      <c r="BL175" s="62" t="n"/>
      <c r="BM175" s="62" t="n"/>
      <c r="BN175" s="62">
        <f>BM175-BL175</f>
        <v/>
      </c>
      <c r="BO175" s="64">
        <f>IF(BL175=0,"",BM175/BL175)</f>
        <v/>
      </c>
      <c r="BP175" s="31" t="n"/>
      <c r="BQ175" s="60" t="n"/>
      <c r="BR175" s="60" t="n"/>
      <c r="BS175" s="60">
        <f>BR175-BQ175</f>
        <v/>
      </c>
      <c r="BT175" s="61">
        <f>IF(BQ175=0,"",BR175/BQ175)</f>
        <v/>
      </c>
      <c r="BU175" s="27" t="n"/>
      <c r="BV175" s="62" t="n"/>
      <c r="BW175" s="62" t="n"/>
      <c r="BX175" s="62">
        <f>BW175-BV175</f>
        <v/>
      </c>
      <c r="BY175" s="64">
        <f>IF(BV175=0,"",BW175/BV175)</f>
        <v/>
      </c>
      <c r="BZ175" s="31" t="n"/>
      <c r="CA175" s="60" t="n"/>
      <c r="CB175" s="60" t="n"/>
      <c r="CC175" s="60">
        <f>CB175-CA175</f>
        <v/>
      </c>
      <c r="CD175" s="61">
        <f>IF(CA175=0,"",CB175/CA175)</f>
        <v/>
      </c>
      <c r="CE175" s="27" t="n"/>
      <c r="CF175" s="62" t="n"/>
      <c r="CG175" s="62" t="n"/>
      <c r="CH175" s="62">
        <f>CG175-CF175</f>
        <v/>
      </c>
      <c r="CI175" s="64">
        <f>IF(CF175=0,"",CG175/CF175)</f>
        <v/>
      </c>
      <c r="CJ175" s="31" t="n"/>
      <c r="CK175" s="60" t="n"/>
      <c r="CL175" s="60" t="n"/>
      <c r="CM175" s="60">
        <f>CL175-CK175</f>
        <v/>
      </c>
      <c r="CN175" s="61">
        <f>IF(CK175=0,"",CL175/CK175)</f>
        <v/>
      </c>
      <c r="CO175" s="27" t="n"/>
      <c r="CP175" s="62" t="n"/>
      <c r="CQ175" s="62" t="n"/>
      <c r="CR175" s="62">
        <f>CQ175-CP175</f>
        <v/>
      </c>
      <c r="CS175" s="64">
        <f>IF(CP175=0,"",CQ175/CP175)</f>
        <v/>
      </c>
      <c r="CT175" s="31" t="n"/>
      <c r="CU175" s="60" t="n"/>
      <c r="CV175" s="60" t="n"/>
      <c r="CW175" s="60">
        <f>CV175-CU175</f>
        <v/>
      </c>
      <c r="CX175" s="61">
        <f>IF(CU175=0,"",CV175/CU175)</f>
        <v/>
      </c>
      <c r="CY175" s="27" t="n"/>
      <c r="CZ175" s="62" t="n"/>
      <c r="DA175" s="62" t="n"/>
      <c r="DB175" s="62">
        <f>DA175-CZ175</f>
        <v/>
      </c>
      <c r="DC175" s="64">
        <f>IF(CZ175=0,"",DA175/CZ175)</f>
        <v/>
      </c>
      <c r="DD175" s="31" t="n"/>
      <c r="DE175" s="60" t="n"/>
      <c r="DF175" s="60" t="n"/>
      <c r="DG175" s="60">
        <f>DF175-DE175</f>
        <v/>
      </c>
      <c r="DH175" s="61">
        <f>IF(DE175=0,"",DF175/DE175)</f>
        <v/>
      </c>
      <c r="DI175" s="27" t="n"/>
      <c r="DJ175" s="62" t="n"/>
      <c r="DK175" s="62" t="n"/>
      <c r="DL175" s="62">
        <f>DK175-DJ175</f>
        <v/>
      </c>
      <c r="DM175" s="64">
        <f>IF(DJ175=0,"",DK175/DJ175)</f>
        <v/>
      </c>
      <c r="DN175" s="31" t="n"/>
      <c r="DO175" s="60" t="n"/>
    </row>
    <row r="176" outlineLevel="1" ht="15" customHeight="1">
      <c r="A176" s="24" t="n"/>
      <c r="B176" s="24" t="n"/>
      <c r="C176" s="24" t="n"/>
      <c r="D176" s="60" t="n"/>
      <c r="E176" s="60" t="n"/>
      <c r="F176" s="60">
        <f>E176-D176</f>
        <v/>
      </c>
      <c r="G176" s="61">
        <f>IF(D176=0,"",E176/D176)</f>
        <v/>
      </c>
      <c r="H176" s="27" t="n"/>
      <c r="I176" s="60" t="n"/>
      <c r="J176" s="60" t="n"/>
      <c r="K176" s="60">
        <f>J176-I176</f>
        <v/>
      </c>
      <c r="L176" s="61">
        <f>IF(I176=0,"",J176/I176)</f>
        <v/>
      </c>
      <c r="M176" s="27" t="n"/>
      <c r="N176" s="62" t="n"/>
      <c r="O176" s="62" t="n"/>
      <c r="P176" s="62">
        <f>O176-N176</f>
        <v/>
      </c>
      <c r="Q176" s="64">
        <f>IF(N176=0,"",O176/N176)</f>
        <v/>
      </c>
      <c r="R176" s="31" t="n"/>
      <c r="S176" s="60" t="n"/>
      <c r="T176" s="60" t="n"/>
      <c r="U176" s="60">
        <f>T176-S176</f>
        <v/>
      </c>
      <c r="V176" s="61">
        <f>IF(S176=0,"",T176/S176)</f>
        <v/>
      </c>
      <c r="W176" s="27" t="n"/>
      <c r="X176" s="62" t="n"/>
      <c r="Y176" s="62" t="n"/>
      <c r="Z176" s="62">
        <f>Y176-X176</f>
        <v/>
      </c>
      <c r="AA176" s="64">
        <f>IF(X176=0,"",Y176/X176)</f>
        <v/>
      </c>
      <c r="AB176" s="31" t="n"/>
      <c r="AC176" s="60" t="n"/>
      <c r="AD176" s="60" t="n"/>
      <c r="AE176" s="60">
        <f>AD176-AC176</f>
        <v/>
      </c>
      <c r="AF176" s="61">
        <f>IF(AC176=0,"",AD176/AC176)</f>
        <v/>
      </c>
      <c r="AG176" s="27" t="n"/>
      <c r="AH176" s="62" t="n"/>
      <c r="AI176" s="62" t="n"/>
      <c r="AJ176" s="62">
        <f>AI176-AH176</f>
        <v/>
      </c>
      <c r="AK176" s="64">
        <f>IF(AH176=0,"",AI176/AH176)</f>
        <v/>
      </c>
      <c r="AL176" s="31" t="n"/>
      <c r="AM176" s="60" t="n"/>
      <c r="AN176" s="60" t="n"/>
      <c r="AO176" s="60">
        <f>AN176-AM176</f>
        <v/>
      </c>
      <c r="AP176" s="61">
        <f>IF(AM176=0,"",AN176/AM176)</f>
        <v/>
      </c>
      <c r="AQ176" s="27" t="n"/>
      <c r="AR176" s="62" t="n"/>
      <c r="AS176" s="62" t="n"/>
      <c r="AT176" s="62">
        <f>AS176-AR176</f>
        <v/>
      </c>
      <c r="AU176" s="64">
        <f>IF(AR176=0,"",AS176/AR176)</f>
        <v/>
      </c>
      <c r="AV176" s="31" t="n"/>
      <c r="AW176" s="60" t="n"/>
      <c r="AX176" s="60" t="n"/>
      <c r="AY176" s="60">
        <f>AX176-AW176</f>
        <v/>
      </c>
      <c r="AZ176" s="61">
        <f>IF(AW176=0,"",AX176/AW176)</f>
        <v/>
      </c>
      <c r="BA176" s="27" t="n"/>
      <c r="BB176" s="62" t="n"/>
      <c r="BC176" s="62" t="n"/>
      <c r="BD176" s="62">
        <f>BC176-BB176</f>
        <v/>
      </c>
      <c r="BE176" s="64">
        <f>IF(BB176=0,"",BC176/BB176)</f>
        <v/>
      </c>
      <c r="BF176" s="31" t="n"/>
      <c r="BG176" s="60" t="n"/>
      <c r="BH176" s="60" t="n"/>
      <c r="BI176" s="60">
        <f>BH176-BG176</f>
        <v/>
      </c>
      <c r="BJ176" s="61">
        <f>IF(BG176=0,"",BH176/BG176)</f>
        <v/>
      </c>
      <c r="BK176" s="27" t="n"/>
      <c r="BL176" s="62" t="n"/>
      <c r="BM176" s="62" t="n"/>
      <c r="BN176" s="62">
        <f>BM176-BL176</f>
        <v/>
      </c>
      <c r="BO176" s="64">
        <f>IF(BL176=0,"",BM176/BL176)</f>
        <v/>
      </c>
      <c r="BP176" s="31" t="n"/>
      <c r="BQ176" s="60" t="n"/>
      <c r="BR176" s="60" t="n"/>
      <c r="BS176" s="60">
        <f>BR176-BQ176</f>
        <v/>
      </c>
      <c r="BT176" s="61">
        <f>IF(BQ176=0,"",BR176/BQ176)</f>
        <v/>
      </c>
      <c r="BU176" s="27" t="n"/>
      <c r="BV176" s="62" t="n"/>
      <c r="BW176" s="62" t="n"/>
      <c r="BX176" s="62">
        <f>BW176-BV176</f>
        <v/>
      </c>
      <c r="BY176" s="64">
        <f>IF(BV176=0,"",BW176/BV176)</f>
        <v/>
      </c>
      <c r="BZ176" s="31" t="n"/>
      <c r="CA176" s="60" t="n"/>
      <c r="CB176" s="60" t="n"/>
      <c r="CC176" s="60">
        <f>CB176-CA176</f>
        <v/>
      </c>
      <c r="CD176" s="61">
        <f>IF(CA176=0,"",CB176/CA176)</f>
        <v/>
      </c>
      <c r="CE176" s="27" t="n"/>
      <c r="CF176" s="62" t="n"/>
      <c r="CG176" s="62" t="n"/>
      <c r="CH176" s="62">
        <f>CG176-CF176</f>
        <v/>
      </c>
      <c r="CI176" s="64">
        <f>IF(CF176=0,"",CG176/CF176)</f>
        <v/>
      </c>
      <c r="CJ176" s="31" t="n"/>
      <c r="CK176" s="60" t="n"/>
      <c r="CL176" s="60" t="n"/>
      <c r="CM176" s="60">
        <f>CL176-CK176</f>
        <v/>
      </c>
      <c r="CN176" s="61">
        <f>IF(CK176=0,"",CL176/CK176)</f>
        <v/>
      </c>
      <c r="CO176" s="27" t="n"/>
      <c r="CP176" s="62" t="n"/>
      <c r="CQ176" s="62" t="n"/>
      <c r="CR176" s="62">
        <f>CQ176-CP176</f>
        <v/>
      </c>
      <c r="CS176" s="64">
        <f>IF(CP176=0,"",CQ176/CP176)</f>
        <v/>
      </c>
      <c r="CT176" s="31" t="n"/>
      <c r="CU176" s="60" t="n"/>
      <c r="CV176" s="60" t="n"/>
      <c r="CW176" s="60">
        <f>CV176-CU176</f>
        <v/>
      </c>
      <c r="CX176" s="61">
        <f>IF(CU176=0,"",CV176/CU176)</f>
        <v/>
      </c>
      <c r="CY176" s="27" t="n"/>
      <c r="CZ176" s="62" t="n"/>
      <c r="DA176" s="62" t="n"/>
      <c r="DB176" s="62">
        <f>DA176-CZ176</f>
        <v/>
      </c>
      <c r="DC176" s="64">
        <f>IF(CZ176=0,"",DA176/CZ176)</f>
        <v/>
      </c>
      <c r="DD176" s="31" t="n"/>
      <c r="DE176" s="60" t="n"/>
      <c r="DF176" s="60" t="n"/>
      <c r="DG176" s="60">
        <f>DF176-DE176</f>
        <v/>
      </c>
      <c r="DH176" s="61">
        <f>IF(DE176=0,"",DF176/DE176)</f>
        <v/>
      </c>
      <c r="DI176" s="27" t="n"/>
      <c r="DJ176" s="62" t="n"/>
      <c r="DK176" s="62" t="n"/>
      <c r="DL176" s="62">
        <f>DK176-DJ176</f>
        <v/>
      </c>
      <c r="DM176" s="64">
        <f>IF(DJ176=0,"",DK176/DJ176)</f>
        <v/>
      </c>
      <c r="DN176" s="31" t="n"/>
      <c r="DO176" s="60" t="n"/>
    </row>
    <row r="177" outlineLevel="1" ht="15" customHeight="1">
      <c r="A177" s="24" t="n"/>
      <c r="B177" s="24" t="n"/>
      <c r="C177" s="24" t="n"/>
      <c r="D177" s="60" t="n"/>
      <c r="E177" s="60" t="n"/>
      <c r="F177" s="60">
        <f>E177-D177</f>
        <v/>
      </c>
      <c r="G177" s="61">
        <f>IF(D177=0,"",E177/D177)</f>
        <v/>
      </c>
      <c r="H177" s="27" t="n"/>
      <c r="I177" s="60" t="n"/>
      <c r="J177" s="60" t="n"/>
      <c r="K177" s="60">
        <f>J177-I177</f>
        <v/>
      </c>
      <c r="L177" s="61">
        <f>IF(I177=0,"",J177/I177)</f>
        <v/>
      </c>
      <c r="M177" s="27" t="n"/>
      <c r="N177" s="62" t="n"/>
      <c r="O177" s="62" t="n"/>
      <c r="P177" s="62">
        <f>O177-N177</f>
        <v/>
      </c>
      <c r="Q177" s="64">
        <f>IF(N177=0,"",O177/N177)</f>
        <v/>
      </c>
      <c r="R177" s="31" t="n"/>
      <c r="S177" s="60" t="n"/>
      <c r="T177" s="60" t="n"/>
      <c r="U177" s="60">
        <f>T177-S177</f>
        <v/>
      </c>
      <c r="V177" s="61">
        <f>IF(S177=0,"",T177/S177)</f>
        <v/>
      </c>
      <c r="W177" s="27" t="n"/>
      <c r="X177" s="62" t="n"/>
      <c r="Y177" s="62" t="n"/>
      <c r="Z177" s="62">
        <f>Y177-X177</f>
        <v/>
      </c>
      <c r="AA177" s="64">
        <f>IF(X177=0,"",Y177/X177)</f>
        <v/>
      </c>
      <c r="AB177" s="31" t="n"/>
      <c r="AC177" s="60" t="n"/>
      <c r="AD177" s="60" t="n"/>
      <c r="AE177" s="60">
        <f>AD177-AC177</f>
        <v/>
      </c>
      <c r="AF177" s="61">
        <f>IF(AC177=0,"",AD177/AC177)</f>
        <v/>
      </c>
      <c r="AG177" s="27" t="n"/>
      <c r="AH177" s="62" t="n"/>
      <c r="AI177" s="62" t="n"/>
      <c r="AJ177" s="62">
        <f>AI177-AH177</f>
        <v/>
      </c>
      <c r="AK177" s="64">
        <f>IF(AH177=0,"",AI177/AH177)</f>
        <v/>
      </c>
      <c r="AL177" s="31" t="n"/>
      <c r="AM177" s="60" t="n"/>
      <c r="AN177" s="60" t="n"/>
      <c r="AO177" s="60">
        <f>AN177-AM177</f>
        <v/>
      </c>
      <c r="AP177" s="61">
        <f>IF(AM177=0,"",AN177/AM177)</f>
        <v/>
      </c>
      <c r="AQ177" s="27" t="n"/>
      <c r="AR177" s="62" t="n"/>
      <c r="AS177" s="62" t="n"/>
      <c r="AT177" s="62">
        <f>AS177-AR177</f>
        <v/>
      </c>
      <c r="AU177" s="64">
        <f>IF(AR177=0,"",AS177/AR177)</f>
        <v/>
      </c>
      <c r="AV177" s="31" t="n"/>
      <c r="AW177" s="60" t="n"/>
      <c r="AX177" s="60" t="n"/>
      <c r="AY177" s="60">
        <f>AX177-AW177</f>
        <v/>
      </c>
      <c r="AZ177" s="61">
        <f>IF(AW177=0,"",AX177/AW177)</f>
        <v/>
      </c>
      <c r="BA177" s="27" t="n"/>
      <c r="BB177" s="62" t="n"/>
      <c r="BC177" s="62" t="n"/>
      <c r="BD177" s="62">
        <f>BC177-BB177</f>
        <v/>
      </c>
      <c r="BE177" s="64">
        <f>IF(BB177=0,"",BC177/BB177)</f>
        <v/>
      </c>
      <c r="BF177" s="31" t="n"/>
      <c r="BG177" s="60" t="n"/>
      <c r="BH177" s="60" t="n"/>
      <c r="BI177" s="60">
        <f>BH177-BG177</f>
        <v/>
      </c>
      <c r="BJ177" s="61">
        <f>IF(BG177=0,"",BH177/BG177)</f>
        <v/>
      </c>
      <c r="BK177" s="27" t="n"/>
      <c r="BL177" s="62" t="n"/>
      <c r="BM177" s="62" t="n"/>
      <c r="BN177" s="62">
        <f>BM177-BL177</f>
        <v/>
      </c>
      <c r="BO177" s="64">
        <f>IF(BL177=0,"",BM177/BL177)</f>
        <v/>
      </c>
      <c r="BP177" s="31" t="n"/>
      <c r="BQ177" s="60" t="n"/>
      <c r="BR177" s="60" t="n"/>
      <c r="BS177" s="60">
        <f>BR177-BQ177</f>
        <v/>
      </c>
      <c r="BT177" s="61">
        <f>IF(BQ177=0,"",BR177/BQ177)</f>
        <v/>
      </c>
      <c r="BU177" s="27" t="n"/>
      <c r="BV177" s="62" t="n"/>
      <c r="BW177" s="62" t="n"/>
      <c r="BX177" s="62">
        <f>BW177-BV177</f>
        <v/>
      </c>
      <c r="BY177" s="64">
        <f>IF(BV177=0,"",BW177/BV177)</f>
        <v/>
      </c>
      <c r="BZ177" s="31" t="n"/>
      <c r="CA177" s="60" t="n"/>
      <c r="CB177" s="60" t="n"/>
      <c r="CC177" s="60">
        <f>CB177-CA177</f>
        <v/>
      </c>
      <c r="CD177" s="61">
        <f>IF(CA177=0,"",CB177/CA177)</f>
        <v/>
      </c>
      <c r="CE177" s="27" t="n"/>
      <c r="CF177" s="62" t="n"/>
      <c r="CG177" s="62" t="n"/>
      <c r="CH177" s="62">
        <f>CG177-CF177</f>
        <v/>
      </c>
      <c r="CI177" s="64">
        <f>IF(CF177=0,"",CG177/CF177)</f>
        <v/>
      </c>
      <c r="CJ177" s="31" t="n"/>
      <c r="CK177" s="60" t="n"/>
      <c r="CL177" s="60" t="n"/>
      <c r="CM177" s="60">
        <f>CL177-CK177</f>
        <v/>
      </c>
      <c r="CN177" s="61">
        <f>IF(CK177=0,"",CL177/CK177)</f>
        <v/>
      </c>
      <c r="CO177" s="27" t="n"/>
      <c r="CP177" s="62" t="n"/>
      <c r="CQ177" s="62" t="n"/>
      <c r="CR177" s="62">
        <f>CQ177-CP177</f>
        <v/>
      </c>
      <c r="CS177" s="64">
        <f>IF(CP177=0,"",CQ177/CP177)</f>
        <v/>
      </c>
      <c r="CT177" s="31" t="n"/>
      <c r="CU177" s="60" t="n"/>
      <c r="CV177" s="60" t="n"/>
      <c r="CW177" s="60">
        <f>CV177-CU177</f>
        <v/>
      </c>
      <c r="CX177" s="61">
        <f>IF(CU177=0,"",CV177/CU177)</f>
        <v/>
      </c>
      <c r="CY177" s="27" t="n"/>
      <c r="CZ177" s="62" t="n"/>
      <c r="DA177" s="62" t="n"/>
      <c r="DB177" s="62">
        <f>DA177-CZ177</f>
        <v/>
      </c>
      <c r="DC177" s="64">
        <f>IF(CZ177=0,"",DA177/CZ177)</f>
        <v/>
      </c>
      <c r="DD177" s="31" t="n"/>
      <c r="DE177" s="60" t="n"/>
      <c r="DF177" s="60" t="n"/>
      <c r="DG177" s="60">
        <f>DF177-DE177</f>
        <v/>
      </c>
      <c r="DH177" s="61">
        <f>IF(DE177=0,"",DF177/DE177)</f>
        <v/>
      </c>
      <c r="DI177" s="27" t="n"/>
      <c r="DJ177" s="62" t="n"/>
      <c r="DK177" s="62" t="n"/>
      <c r="DL177" s="62">
        <f>DK177-DJ177</f>
        <v/>
      </c>
      <c r="DM177" s="64">
        <f>IF(DJ177=0,"",DK177/DJ177)</f>
        <v/>
      </c>
      <c r="DN177" s="31" t="n"/>
      <c r="DO177" s="60" t="n"/>
    </row>
    <row r="178" outlineLevel="1" ht="15" customHeight="1">
      <c r="A178" s="24" t="n"/>
      <c r="B178" s="24" t="n"/>
      <c r="C178" s="24" t="n"/>
      <c r="D178" s="60" t="n"/>
      <c r="E178" s="60" t="n"/>
      <c r="F178" s="60">
        <f>E178-D178</f>
        <v/>
      </c>
      <c r="G178" s="61">
        <f>IF(D178=0,"",E178/D178)</f>
        <v/>
      </c>
      <c r="H178" s="27" t="n"/>
      <c r="I178" s="60" t="n"/>
      <c r="J178" s="60" t="n"/>
      <c r="K178" s="60">
        <f>J178-I178</f>
        <v/>
      </c>
      <c r="L178" s="61">
        <f>IF(I178=0,"",J178/I178)</f>
        <v/>
      </c>
      <c r="M178" s="27" t="n"/>
      <c r="N178" s="62" t="n"/>
      <c r="O178" s="62" t="n"/>
      <c r="P178" s="62">
        <f>O178-N178</f>
        <v/>
      </c>
      <c r="Q178" s="64">
        <f>IF(N178=0,"",O178/N178)</f>
        <v/>
      </c>
      <c r="R178" s="31" t="n"/>
      <c r="S178" s="60" t="n"/>
      <c r="T178" s="60" t="n"/>
      <c r="U178" s="60">
        <f>T178-S178</f>
        <v/>
      </c>
      <c r="V178" s="61">
        <f>IF(S178=0,"",T178/S178)</f>
        <v/>
      </c>
      <c r="W178" s="27" t="n"/>
      <c r="X178" s="62" t="n"/>
      <c r="Y178" s="62" t="n"/>
      <c r="Z178" s="62">
        <f>Y178-X178</f>
        <v/>
      </c>
      <c r="AA178" s="64">
        <f>IF(X178=0,"",Y178/X178)</f>
        <v/>
      </c>
      <c r="AB178" s="31" t="n"/>
      <c r="AC178" s="60" t="n"/>
      <c r="AD178" s="60" t="n"/>
      <c r="AE178" s="60">
        <f>AD178-AC178</f>
        <v/>
      </c>
      <c r="AF178" s="61">
        <f>IF(AC178=0,"",AD178/AC178)</f>
        <v/>
      </c>
      <c r="AG178" s="27" t="n"/>
      <c r="AH178" s="62" t="n"/>
      <c r="AI178" s="62" t="n"/>
      <c r="AJ178" s="62">
        <f>AI178-AH178</f>
        <v/>
      </c>
      <c r="AK178" s="64">
        <f>IF(AH178=0,"",AI178/AH178)</f>
        <v/>
      </c>
      <c r="AL178" s="31" t="n"/>
      <c r="AM178" s="60" t="n"/>
      <c r="AN178" s="60" t="n"/>
      <c r="AO178" s="60">
        <f>AN178-AM178</f>
        <v/>
      </c>
      <c r="AP178" s="61">
        <f>IF(AM178=0,"",AN178/AM178)</f>
        <v/>
      </c>
      <c r="AQ178" s="27" t="n"/>
      <c r="AR178" s="62" t="n"/>
      <c r="AS178" s="62" t="n"/>
      <c r="AT178" s="62">
        <f>AS178-AR178</f>
        <v/>
      </c>
      <c r="AU178" s="64">
        <f>IF(AR178=0,"",AS178/AR178)</f>
        <v/>
      </c>
      <c r="AV178" s="31" t="n"/>
      <c r="AW178" s="60" t="n"/>
      <c r="AX178" s="60" t="n"/>
      <c r="AY178" s="60">
        <f>AX178-AW178</f>
        <v/>
      </c>
      <c r="AZ178" s="61">
        <f>IF(AW178=0,"",AX178/AW178)</f>
        <v/>
      </c>
      <c r="BA178" s="27" t="n"/>
      <c r="BB178" s="62" t="n"/>
      <c r="BC178" s="62" t="n"/>
      <c r="BD178" s="62">
        <f>BC178-BB178</f>
        <v/>
      </c>
      <c r="BE178" s="64">
        <f>IF(BB178=0,"",BC178/BB178)</f>
        <v/>
      </c>
      <c r="BF178" s="31" t="n"/>
      <c r="BG178" s="60" t="n"/>
      <c r="BH178" s="60" t="n"/>
      <c r="BI178" s="60">
        <f>BH178-BG178</f>
        <v/>
      </c>
      <c r="BJ178" s="61">
        <f>IF(BG178=0,"",BH178/BG178)</f>
        <v/>
      </c>
      <c r="BK178" s="27" t="n"/>
      <c r="BL178" s="62" t="n"/>
      <c r="BM178" s="62" t="n"/>
      <c r="BN178" s="62">
        <f>BM178-BL178</f>
        <v/>
      </c>
      <c r="BO178" s="64">
        <f>IF(BL178=0,"",BM178/BL178)</f>
        <v/>
      </c>
      <c r="BP178" s="31" t="n"/>
      <c r="BQ178" s="60" t="n"/>
      <c r="BR178" s="60" t="n"/>
      <c r="BS178" s="60">
        <f>BR178-BQ178</f>
        <v/>
      </c>
      <c r="BT178" s="61">
        <f>IF(BQ178=0,"",BR178/BQ178)</f>
        <v/>
      </c>
      <c r="BU178" s="27" t="n"/>
      <c r="BV178" s="62" t="n"/>
      <c r="BW178" s="62" t="n"/>
      <c r="BX178" s="62">
        <f>BW178-BV178</f>
        <v/>
      </c>
      <c r="BY178" s="64">
        <f>IF(BV178=0,"",BW178/BV178)</f>
        <v/>
      </c>
      <c r="BZ178" s="31" t="n"/>
      <c r="CA178" s="60" t="n"/>
      <c r="CB178" s="60" t="n"/>
      <c r="CC178" s="60">
        <f>CB178-CA178</f>
        <v/>
      </c>
      <c r="CD178" s="61">
        <f>IF(CA178=0,"",CB178/CA178)</f>
        <v/>
      </c>
      <c r="CE178" s="27" t="n"/>
      <c r="CF178" s="62" t="n"/>
      <c r="CG178" s="62" t="n"/>
      <c r="CH178" s="62">
        <f>CG178-CF178</f>
        <v/>
      </c>
      <c r="CI178" s="64">
        <f>IF(CF178=0,"",CG178/CF178)</f>
        <v/>
      </c>
      <c r="CJ178" s="31" t="n"/>
      <c r="CK178" s="60" t="n"/>
      <c r="CL178" s="60" t="n"/>
      <c r="CM178" s="60">
        <f>CL178-CK178</f>
        <v/>
      </c>
      <c r="CN178" s="61">
        <f>IF(CK178=0,"",CL178/CK178)</f>
        <v/>
      </c>
      <c r="CO178" s="27" t="n"/>
      <c r="CP178" s="62" t="n"/>
      <c r="CQ178" s="62" t="n"/>
      <c r="CR178" s="62">
        <f>CQ178-CP178</f>
        <v/>
      </c>
      <c r="CS178" s="64">
        <f>IF(CP178=0,"",CQ178/CP178)</f>
        <v/>
      </c>
      <c r="CT178" s="31" t="n"/>
      <c r="CU178" s="60" t="n"/>
      <c r="CV178" s="60" t="n"/>
      <c r="CW178" s="60">
        <f>CV178-CU178</f>
        <v/>
      </c>
      <c r="CX178" s="61">
        <f>IF(CU178=0,"",CV178/CU178)</f>
        <v/>
      </c>
      <c r="CY178" s="27" t="n"/>
      <c r="CZ178" s="62" t="n"/>
      <c r="DA178" s="62" t="n"/>
      <c r="DB178" s="62">
        <f>DA178-CZ178</f>
        <v/>
      </c>
      <c r="DC178" s="64">
        <f>IF(CZ178=0,"",DA178/CZ178)</f>
        <v/>
      </c>
      <c r="DD178" s="31" t="n"/>
      <c r="DE178" s="60" t="n"/>
      <c r="DF178" s="60" t="n"/>
      <c r="DG178" s="60">
        <f>DF178-DE178</f>
        <v/>
      </c>
      <c r="DH178" s="61">
        <f>IF(DE178=0,"",DF178/DE178)</f>
        <v/>
      </c>
      <c r="DI178" s="27" t="n"/>
      <c r="DJ178" s="62" t="n"/>
      <c r="DK178" s="62" t="n"/>
      <c r="DL178" s="62">
        <f>DK178-DJ178</f>
        <v/>
      </c>
      <c r="DM178" s="64">
        <f>IF(DJ178=0,"",DK178/DJ178)</f>
        <v/>
      </c>
      <c r="DN178" s="31" t="n"/>
      <c r="DO178" s="60" t="n"/>
    </row>
    <row r="179" outlineLevel="1" ht="15" customHeight="1">
      <c r="A179" s="24" t="n"/>
      <c r="B179" s="24" t="n"/>
      <c r="C179" s="24" t="n"/>
      <c r="D179" s="60" t="n"/>
      <c r="E179" s="60" t="n"/>
      <c r="F179" s="60">
        <f>E179-D179</f>
        <v/>
      </c>
      <c r="G179" s="61">
        <f>IF(D179=0,"",E179/D179)</f>
        <v/>
      </c>
      <c r="H179" s="27" t="n"/>
      <c r="I179" s="60" t="n"/>
      <c r="J179" s="60" t="n"/>
      <c r="K179" s="60">
        <f>J179-I179</f>
        <v/>
      </c>
      <c r="L179" s="61">
        <f>IF(I179=0,"",J179/I179)</f>
        <v/>
      </c>
      <c r="M179" s="27" t="n"/>
      <c r="N179" s="62" t="n"/>
      <c r="O179" s="62" t="n"/>
      <c r="P179" s="62">
        <f>O179-N179</f>
        <v/>
      </c>
      <c r="Q179" s="64">
        <f>IF(N179=0,"",O179/N179)</f>
        <v/>
      </c>
      <c r="R179" s="31" t="n"/>
      <c r="S179" s="60" t="n"/>
      <c r="T179" s="60" t="n"/>
      <c r="U179" s="60">
        <f>T179-S179</f>
        <v/>
      </c>
      <c r="V179" s="61">
        <f>IF(S179=0,"",T179/S179)</f>
        <v/>
      </c>
      <c r="W179" s="27" t="n"/>
      <c r="X179" s="62" t="n"/>
      <c r="Y179" s="62" t="n"/>
      <c r="Z179" s="62">
        <f>Y179-X179</f>
        <v/>
      </c>
      <c r="AA179" s="64">
        <f>IF(X179=0,"",Y179/X179)</f>
        <v/>
      </c>
      <c r="AB179" s="31" t="n"/>
      <c r="AC179" s="60" t="n"/>
      <c r="AD179" s="60" t="n"/>
      <c r="AE179" s="60">
        <f>AD179-AC179</f>
        <v/>
      </c>
      <c r="AF179" s="61">
        <f>IF(AC179=0,"",AD179/AC179)</f>
        <v/>
      </c>
      <c r="AG179" s="27" t="n"/>
      <c r="AH179" s="62" t="n"/>
      <c r="AI179" s="62" t="n"/>
      <c r="AJ179" s="62">
        <f>AI179-AH179</f>
        <v/>
      </c>
      <c r="AK179" s="64">
        <f>IF(AH179=0,"",AI179/AH179)</f>
        <v/>
      </c>
      <c r="AL179" s="31" t="n"/>
      <c r="AM179" s="60" t="n"/>
      <c r="AN179" s="60" t="n"/>
      <c r="AO179" s="60">
        <f>AN179-AM179</f>
        <v/>
      </c>
      <c r="AP179" s="61">
        <f>IF(AM179=0,"",AN179/AM179)</f>
        <v/>
      </c>
      <c r="AQ179" s="27" t="n"/>
      <c r="AR179" s="62" t="n"/>
      <c r="AS179" s="62" t="n"/>
      <c r="AT179" s="62">
        <f>AS179-AR179</f>
        <v/>
      </c>
      <c r="AU179" s="64">
        <f>IF(AR179=0,"",AS179/AR179)</f>
        <v/>
      </c>
      <c r="AV179" s="31" t="n"/>
      <c r="AW179" s="60" t="n"/>
      <c r="AX179" s="60" t="n"/>
      <c r="AY179" s="60">
        <f>AX179-AW179</f>
        <v/>
      </c>
      <c r="AZ179" s="61">
        <f>IF(AW179=0,"",AX179/AW179)</f>
        <v/>
      </c>
      <c r="BA179" s="27" t="n"/>
      <c r="BB179" s="62" t="n"/>
      <c r="BC179" s="62" t="n"/>
      <c r="BD179" s="62">
        <f>BC179-BB179</f>
        <v/>
      </c>
      <c r="BE179" s="64">
        <f>IF(BB179=0,"",BC179/BB179)</f>
        <v/>
      </c>
      <c r="BF179" s="31" t="n"/>
      <c r="BG179" s="60" t="n"/>
      <c r="BH179" s="60" t="n"/>
      <c r="BI179" s="60">
        <f>BH179-BG179</f>
        <v/>
      </c>
      <c r="BJ179" s="61">
        <f>IF(BG179=0,"",BH179/BG179)</f>
        <v/>
      </c>
      <c r="BK179" s="27" t="n"/>
      <c r="BL179" s="62" t="n"/>
      <c r="BM179" s="62" t="n"/>
      <c r="BN179" s="62">
        <f>BM179-BL179</f>
        <v/>
      </c>
      <c r="BO179" s="64">
        <f>IF(BL179=0,"",BM179/BL179)</f>
        <v/>
      </c>
      <c r="BP179" s="31" t="n"/>
      <c r="BQ179" s="60" t="n"/>
      <c r="BR179" s="60" t="n"/>
      <c r="BS179" s="60">
        <f>BR179-BQ179</f>
        <v/>
      </c>
      <c r="BT179" s="61">
        <f>IF(BQ179=0,"",BR179/BQ179)</f>
        <v/>
      </c>
      <c r="BU179" s="27" t="n"/>
      <c r="BV179" s="62" t="n"/>
      <c r="BW179" s="62" t="n"/>
      <c r="BX179" s="62">
        <f>BW179-BV179</f>
        <v/>
      </c>
      <c r="BY179" s="64">
        <f>IF(BV179=0,"",BW179/BV179)</f>
        <v/>
      </c>
      <c r="BZ179" s="31" t="n"/>
      <c r="CA179" s="60" t="n"/>
      <c r="CB179" s="60" t="n"/>
      <c r="CC179" s="60">
        <f>CB179-CA179</f>
        <v/>
      </c>
      <c r="CD179" s="61">
        <f>IF(CA179=0,"",CB179/CA179)</f>
        <v/>
      </c>
      <c r="CE179" s="27" t="n"/>
      <c r="CF179" s="62" t="n"/>
      <c r="CG179" s="62" t="n"/>
      <c r="CH179" s="62">
        <f>CG179-CF179</f>
        <v/>
      </c>
      <c r="CI179" s="64">
        <f>IF(CF179=0,"",CG179/CF179)</f>
        <v/>
      </c>
      <c r="CJ179" s="31" t="n"/>
      <c r="CK179" s="60" t="n"/>
      <c r="CL179" s="60" t="n"/>
      <c r="CM179" s="60">
        <f>CL179-CK179</f>
        <v/>
      </c>
      <c r="CN179" s="61">
        <f>IF(CK179=0,"",CL179/CK179)</f>
        <v/>
      </c>
      <c r="CO179" s="27" t="n"/>
      <c r="CP179" s="62" t="n"/>
      <c r="CQ179" s="62" t="n"/>
      <c r="CR179" s="62">
        <f>CQ179-CP179</f>
        <v/>
      </c>
      <c r="CS179" s="64">
        <f>IF(CP179=0,"",CQ179/CP179)</f>
        <v/>
      </c>
      <c r="CT179" s="31" t="n"/>
      <c r="CU179" s="60" t="n"/>
      <c r="CV179" s="60" t="n"/>
      <c r="CW179" s="60">
        <f>CV179-CU179</f>
        <v/>
      </c>
      <c r="CX179" s="61">
        <f>IF(CU179=0,"",CV179/CU179)</f>
        <v/>
      </c>
      <c r="CY179" s="27" t="n"/>
      <c r="CZ179" s="62" t="n"/>
      <c r="DA179" s="62" t="n"/>
      <c r="DB179" s="62">
        <f>DA179-CZ179</f>
        <v/>
      </c>
      <c r="DC179" s="64">
        <f>IF(CZ179=0,"",DA179/CZ179)</f>
        <v/>
      </c>
      <c r="DD179" s="31" t="n"/>
      <c r="DE179" s="60" t="n"/>
      <c r="DF179" s="60" t="n"/>
      <c r="DG179" s="60">
        <f>DF179-DE179</f>
        <v/>
      </c>
      <c r="DH179" s="61">
        <f>IF(DE179=0,"",DF179/DE179)</f>
        <v/>
      </c>
      <c r="DI179" s="27" t="n"/>
      <c r="DJ179" s="62" t="n"/>
      <c r="DK179" s="62" t="n"/>
      <c r="DL179" s="62">
        <f>DK179-DJ179</f>
        <v/>
      </c>
      <c r="DM179" s="64">
        <f>IF(DJ179=0,"",DK179/DJ179)</f>
        <v/>
      </c>
      <c r="DN179" s="31" t="n"/>
      <c r="DO179" s="60" t="n"/>
    </row>
    <row r="180" outlineLevel="1" ht="15" customHeight="1">
      <c r="A180" s="24" t="n"/>
      <c r="B180" s="24" t="n"/>
      <c r="C180" s="24" t="n"/>
      <c r="D180" s="60" t="n"/>
      <c r="E180" s="60" t="n"/>
      <c r="F180" s="60">
        <f>E180-D180</f>
        <v/>
      </c>
      <c r="G180" s="61">
        <f>IF(D180=0,"",E180/D180)</f>
        <v/>
      </c>
      <c r="H180" s="27" t="n"/>
      <c r="I180" s="60" t="n"/>
      <c r="J180" s="60" t="n"/>
      <c r="K180" s="60">
        <f>J180-I180</f>
        <v/>
      </c>
      <c r="L180" s="61">
        <f>IF(I180=0,"",J180/I180)</f>
        <v/>
      </c>
      <c r="M180" s="27" t="n"/>
      <c r="N180" s="62" t="n"/>
      <c r="O180" s="62" t="n"/>
      <c r="P180" s="62">
        <f>O180-N180</f>
        <v/>
      </c>
      <c r="Q180" s="64">
        <f>IF(N180=0,"",O180/N180)</f>
        <v/>
      </c>
      <c r="R180" s="31" t="n"/>
      <c r="S180" s="60" t="n"/>
      <c r="T180" s="60" t="n"/>
      <c r="U180" s="60">
        <f>T180-S180</f>
        <v/>
      </c>
      <c r="V180" s="61">
        <f>IF(S180=0,"",T180/S180)</f>
        <v/>
      </c>
      <c r="W180" s="27" t="n"/>
      <c r="X180" s="62" t="n"/>
      <c r="Y180" s="62" t="n"/>
      <c r="Z180" s="62">
        <f>Y180-X180</f>
        <v/>
      </c>
      <c r="AA180" s="64">
        <f>IF(X180=0,"",Y180/X180)</f>
        <v/>
      </c>
      <c r="AB180" s="31" t="n"/>
      <c r="AC180" s="60" t="n"/>
      <c r="AD180" s="60" t="n"/>
      <c r="AE180" s="60">
        <f>AD180-AC180</f>
        <v/>
      </c>
      <c r="AF180" s="61">
        <f>IF(AC180=0,"",AD180/AC180)</f>
        <v/>
      </c>
      <c r="AG180" s="27" t="n"/>
      <c r="AH180" s="62" t="n"/>
      <c r="AI180" s="62" t="n"/>
      <c r="AJ180" s="62">
        <f>AI180-AH180</f>
        <v/>
      </c>
      <c r="AK180" s="64">
        <f>IF(AH180=0,"",AI180/AH180)</f>
        <v/>
      </c>
      <c r="AL180" s="31" t="n"/>
      <c r="AM180" s="60" t="n"/>
      <c r="AN180" s="60" t="n"/>
      <c r="AO180" s="60">
        <f>AN180-AM180</f>
        <v/>
      </c>
      <c r="AP180" s="61">
        <f>IF(AM180=0,"",AN180/AM180)</f>
        <v/>
      </c>
      <c r="AQ180" s="27" t="n"/>
      <c r="AR180" s="62" t="n"/>
      <c r="AS180" s="62" t="n"/>
      <c r="AT180" s="62">
        <f>AS180-AR180</f>
        <v/>
      </c>
      <c r="AU180" s="64">
        <f>IF(AR180=0,"",AS180/AR180)</f>
        <v/>
      </c>
      <c r="AV180" s="31" t="n"/>
      <c r="AW180" s="60" t="n"/>
      <c r="AX180" s="60" t="n"/>
      <c r="AY180" s="60">
        <f>AX180-AW180</f>
        <v/>
      </c>
      <c r="AZ180" s="61">
        <f>IF(AW180=0,"",AX180/AW180)</f>
        <v/>
      </c>
      <c r="BA180" s="27" t="n"/>
      <c r="BB180" s="62" t="n"/>
      <c r="BC180" s="62" t="n"/>
      <c r="BD180" s="62">
        <f>BC180-BB180</f>
        <v/>
      </c>
      <c r="BE180" s="64">
        <f>IF(BB180=0,"",BC180/BB180)</f>
        <v/>
      </c>
      <c r="BF180" s="31" t="n"/>
      <c r="BG180" s="60" t="n"/>
      <c r="BH180" s="60" t="n"/>
      <c r="BI180" s="60">
        <f>BH180-BG180</f>
        <v/>
      </c>
      <c r="BJ180" s="61">
        <f>IF(BG180=0,"",BH180/BG180)</f>
        <v/>
      </c>
      <c r="BK180" s="27" t="n"/>
      <c r="BL180" s="62" t="n"/>
      <c r="BM180" s="62" t="n"/>
      <c r="BN180" s="62">
        <f>BM180-BL180</f>
        <v/>
      </c>
      <c r="BO180" s="64">
        <f>IF(BL180=0,"",BM180/BL180)</f>
        <v/>
      </c>
      <c r="BP180" s="31" t="n"/>
      <c r="BQ180" s="60" t="n"/>
      <c r="BR180" s="60" t="n"/>
      <c r="BS180" s="60">
        <f>BR180-BQ180</f>
        <v/>
      </c>
      <c r="BT180" s="61">
        <f>IF(BQ180=0,"",BR180/BQ180)</f>
        <v/>
      </c>
      <c r="BU180" s="27" t="n"/>
      <c r="BV180" s="62" t="n"/>
      <c r="BW180" s="62" t="n"/>
      <c r="BX180" s="62">
        <f>BW180-BV180</f>
        <v/>
      </c>
      <c r="BY180" s="64">
        <f>IF(BV180=0,"",BW180/BV180)</f>
        <v/>
      </c>
      <c r="BZ180" s="31" t="n"/>
      <c r="CA180" s="60" t="n"/>
      <c r="CB180" s="60" t="n"/>
      <c r="CC180" s="60">
        <f>CB180-CA180</f>
        <v/>
      </c>
      <c r="CD180" s="61">
        <f>IF(CA180=0,"",CB180/CA180)</f>
        <v/>
      </c>
      <c r="CE180" s="27" t="n"/>
      <c r="CF180" s="62" t="n"/>
      <c r="CG180" s="62" t="n"/>
      <c r="CH180" s="62">
        <f>CG180-CF180</f>
        <v/>
      </c>
      <c r="CI180" s="64">
        <f>IF(CF180=0,"",CG180/CF180)</f>
        <v/>
      </c>
      <c r="CJ180" s="31" t="n"/>
      <c r="CK180" s="60" t="n"/>
      <c r="CL180" s="60" t="n"/>
      <c r="CM180" s="60">
        <f>CL180-CK180</f>
        <v/>
      </c>
      <c r="CN180" s="61">
        <f>IF(CK180=0,"",CL180/CK180)</f>
        <v/>
      </c>
      <c r="CO180" s="27" t="n"/>
      <c r="CP180" s="62" t="n"/>
      <c r="CQ180" s="62" t="n"/>
      <c r="CR180" s="62">
        <f>CQ180-CP180</f>
        <v/>
      </c>
      <c r="CS180" s="64">
        <f>IF(CP180=0,"",CQ180/CP180)</f>
        <v/>
      </c>
      <c r="CT180" s="31" t="n"/>
      <c r="CU180" s="60" t="n"/>
      <c r="CV180" s="60" t="n"/>
      <c r="CW180" s="60">
        <f>CV180-CU180</f>
        <v/>
      </c>
      <c r="CX180" s="61">
        <f>IF(CU180=0,"",CV180/CU180)</f>
        <v/>
      </c>
      <c r="CY180" s="27" t="n"/>
      <c r="CZ180" s="62" t="n"/>
      <c r="DA180" s="62" t="n"/>
      <c r="DB180" s="62">
        <f>DA180-CZ180</f>
        <v/>
      </c>
      <c r="DC180" s="64">
        <f>IF(CZ180=0,"",DA180/CZ180)</f>
        <v/>
      </c>
      <c r="DD180" s="31" t="n"/>
      <c r="DE180" s="60" t="n"/>
      <c r="DF180" s="60" t="n"/>
      <c r="DG180" s="60">
        <f>DF180-DE180</f>
        <v/>
      </c>
      <c r="DH180" s="61">
        <f>IF(DE180=0,"",DF180/DE180)</f>
        <v/>
      </c>
      <c r="DI180" s="27" t="n"/>
      <c r="DJ180" s="62" t="n"/>
      <c r="DK180" s="62" t="n"/>
      <c r="DL180" s="62">
        <f>DK180-DJ180</f>
        <v/>
      </c>
      <c r="DM180" s="64">
        <f>IF(DJ180=0,"",DK180/DJ180)</f>
        <v/>
      </c>
      <c r="DN180" s="31" t="n"/>
      <c r="DO180" s="60" t="n"/>
    </row>
    <row r="181" outlineLevel="1" ht="15" customHeight="1">
      <c r="A181" s="24" t="n"/>
      <c r="B181" s="24" t="n"/>
      <c r="C181" s="24" t="n"/>
      <c r="D181" s="60" t="n"/>
      <c r="E181" s="60" t="n"/>
      <c r="F181" s="60">
        <f>E181-D181</f>
        <v/>
      </c>
      <c r="G181" s="61">
        <f>IF(D181=0,"",E181/D181)</f>
        <v/>
      </c>
      <c r="H181" s="27" t="n"/>
      <c r="I181" s="60" t="n"/>
      <c r="J181" s="60" t="n"/>
      <c r="K181" s="60">
        <f>J181-I181</f>
        <v/>
      </c>
      <c r="L181" s="61">
        <f>IF(I181=0,"",J181/I181)</f>
        <v/>
      </c>
      <c r="M181" s="27" t="n"/>
      <c r="N181" s="62" t="n"/>
      <c r="O181" s="62" t="n"/>
      <c r="P181" s="62">
        <f>O181-N181</f>
        <v/>
      </c>
      <c r="Q181" s="64">
        <f>IF(N181=0,"",O181/N181)</f>
        <v/>
      </c>
      <c r="R181" s="31" t="n"/>
      <c r="S181" s="60" t="n"/>
      <c r="T181" s="60" t="n"/>
      <c r="U181" s="60">
        <f>T181-S181</f>
        <v/>
      </c>
      <c r="V181" s="61">
        <f>IF(S181=0,"",T181/S181)</f>
        <v/>
      </c>
      <c r="W181" s="27" t="n"/>
      <c r="X181" s="62" t="n"/>
      <c r="Y181" s="62" t="n"/>
      <c r="Z181" s="62">
        <f>Y181-X181</f>
        <v/>
      </c>
      <c r="AA181" s="64">
        <f>IF(X181=0,"",Y181/X181)</f>
        <v/>
      </c>
      <c r="AB181" s="31" t="n"/>
      <c r="AC181" s="60" t="n"/>
      <c r="AD181" s="60" t="n"/>
      <c r="AE181" s="60">
        <f>AD181-AC181</f>
        <v/>
      </c>
      <c r="AF181" s="61">
        <f>IF(AC181=0,"",AD181/AC181)</f>
        <v/>
      </c>
      <c r="AG181" s="27" t="n"/>
      <c r="AH181" s="62" t="n"/>
      <c r="AI181" s="62" t="n"/>
      <c r="AJ181" s="62">
        <f>AI181-AH181</f>
        <v/>
      </c>
      <c r="AK181" s="64">
        <f>IF(AH181=0,"",AI181/AH181)</f>
        <v/>
      </c>
      <c r="AL181" s="31" t="n"/>
      <c r="AM181" s="60" t="n"/>
      <c r="AN181" s="60" t="n"/>
      <c r="AO181" s="60">
        <f>AN181-AM181</f>
        <v/>
      </c>
      <c r="AP181" s="61">
        <f>IF(AM181=0,"",AN181/AM181)</f>
        <v/>
      </c>
      <c r="AQ181" s="27" t="n"/>
      <c r="AR181" s="62" t="n"/>
      <c r="AS181" s="62" t="n"/>
      <c r="AT181" s="62">
        <f>AS181-AR181</f>
        <v/>
      </c>
      <c r="AU181" s="64">
        <f>IF(AR181=0,"",AS181/AR181)</f>
        <v/>
      </c>
      <c r="AV181" s="31" t="n"/>
      <c r="AW181" s="60" t="n"/>
      <c r="AX181" s="60" t="n"/>
      <c r="AY181" s="60">
        <f>AX181-AW181</f>
        <v/>
      </c>
      <c r="AZ181" s="61">
        <f>IF(AW181=0,"",AX181/AW181)</f>
        <v/>
      </c>
      <c r="BA181" s="27" t="n"/>
      <c r="BB181" s="62" t="n"/>
      <c r="BC181" s="62" t="n"/>
      <c r="BD181" s="62">
        <f>BC181-BB181</f>
        <v/>
      </c>
      <c r="BE181" s="64">
        <f>IF(BB181=0,"",BC181/BB181)</f>
        <v/>
      </c>
      <c r="BF181" s="31" t="n"/>
      <c r="BG181" s="60" t="n"/>
      <c r="BH181" s="60" t="n"/>
      <c r="BI181" s="60">
        <f>BH181-BG181</f>
        <v/>
      </c>
      <c r="BJ181" s="61">
        <f>IF(BG181=0,"",BH181/BG181)</f>
        <v/>
      </c>
      <c r="BK181" s="27" t="n"/>
      <c r="BL181" s="62" t="n"/>
      <c r="BM181" s="62" t="n"/>
      <c r="BN181" s="62">
        <f>BM181-BL181</f>
        <v/>
      </c>
      <c r="BO181" s="64">
        <f>IF(BL181=0,"",BM181/BL181)</f>
        <v/>
      </c>
      <c r="BP181" s="31" t="n"/>
      <c r="BQ181" s="60" t="n"/>
      <c r="BR181" s="60" t="n"/>
      <c r="BS181" s="60">
        <f>BR181-BQ181</f>
        <v/>
      </c>
      <c r="BT181" s="61">
        <f>IF(BQ181=0,"",BR181/BQ181)</f>
        <v/>
      </c>
      <c r="BU181" s="27" t="n"/>
      <c r="BV181" s="62" t="n"/>
      <c r="BW181" s="62" t="n"/>
      <c r="BX181" s="62">
        <f>BW181-BV181</f>
        <v/>
      </c>
      <c r="BY181" s="64">
        <f>IF(BV181=0,"",BW181/BV181)</f>
        <v/>
      </c>
      <c r="BZ181" s="31" t="n"/>
      <c r="CA181" s="60" t="n"/>
      <c r="CB181" s="60" t="n"/>
      <c r="CC181" s="60">
        <f>CB181-CA181</f>
        <v/>
      </c>
      <c r="CD181" s="61">
        <f>IF(CA181=0,"",CB181/CA181)</f>
        <v/>
      </c>
      <c r="CE181" s="27" t="n"/>
      <c r="CF181" s="62" t="n"/>
      <c r="CG181" s="62" t="n"/>
      <c r="CH181" s="62">
        <f>CG181-CF181</f>
        <v/>
      </c>
      <c r="CI181" s="64">
        <f>IF(CF181=0,"",CG181/CF181)</f>
        <v/>
      </c>
      <c r="CJ181" s="31" t="n"/>
      <c r="CK181" s="60" t="n"/>
      <c r="CL181" s="60" t="n"/>
      <c r="CM181" s="60">
        <f>CL181-CK181</f>
        <v/>
      </c>
      <c r="CN181" s="61">
        <f>IF(CK181=0,"",CL181/CK181)</f>
        <v/>
      </c>
      <c r="CO181" s="27" t="n"/>
      <c r="CP181" s="62" t="n"/>
      <c r="CQ181" s="62" t="n"/>
      <c r="CR181" s="62">
        <f>CQ181-CP181</f>
        <v/>
      </c>
      <c r="CS181" s="64">
        <f>IF(CP181=0,"",CQ181/CP181)</f>
        <v/>
      </c>
      <c r="CT181" s="31" t="n"/>
      <c r="CU181" s="60" t="n"/>
      <c r="CV181" s="60" t="n"/>
      <c r="CW181" s="60">
        <f>CV181-CU181</f>
        <v/>
      </c>
      <c r="CX181" s="61">
        <f>IF(CU181=0,"",CV181/CU181)</f>
        <v/>
      </c>
      <c r="CY181" s="27" t="n"/>
      <c r="CZ181" s="62" t="n"/>
      <c r="DA181" s="62" t="n"/>
      <c r="DB181" s="62">
        <f>DA181-CZ181</f>
        <v/>
      </c>
      <c r="DC181" s="64">
        <f>IF(CZ181=0,"",DA181/CZ181)</f>
        <v/>
      </c>
      <c r="DD181" s="31" t="n"/>
      <c r="DE181" s="60" t="n"/>
      <c r="DF181" s="60" t="n"/>
      <c r="DG181" s="60">
        <f>DF181-DE181</f>
        <v/>
      </c>
      <c r="DH181" s="61">
        <f>IF(DE181=0,"",DF181/DE181)</f>
        <v/>
      </c>
      <c r="DI181" s="27" t="n"/>
      <c r="DJ181" s="62" t="n"/>
      <c r="DK181" s="62" t="n"/>
      <c r="DL181" s="62">
        <f>DK181-DJ181</f>
        <v/>
      </c>
      <c r="DM181" s="64">
        <f>IF(DJ181=0,"",DK181/DJ181)</f>
        <v/>
      </c>
      <c r="DN181" s="31" t="n"/>
      <c r="DO181" s="60" t="n"/>
    </row>
    <row r="182" outlineLevel="1" ht="15" customHeight="1">
      <c r="A182" s="24" t="n"/>
      <c r="B182" s="24" t="n"/>
      <c r="C182" s="24" t="n"/>
      <c r="D182" s="60" t="n"/>
      <c r="E182" s="60" t="n"/>
      <c r="F182" s="60">
        <f>E182-D182</f>
        <v/>
      </c>
      <c r="G182" s="61">
        <f>IF(D182=0,"",E182/D182)</f>
        <v/>
      </c>
      <c r="H182" s="27" t="n"/>
      <c r="I182" s="60" t="n"/>
      <c r="J182" s="60" t="n"/>
      <c r="K182" s="60">
        <f>J182-I182</f>
        <v/>
      </c>
      <c r="L182" s="61">
        <f>IF(I182=0,"",J182/I182)</f>
        <v/>
      </c>
      <c r="M182" s="27" t="n"/>
      <c r="N182" s="62" t="n"/>
      <c r="O182" s="62" t="n"/>
      <c r="P182" s="62">
        <f>O182-N182</f>
        <v/>
      </c>
      <c r="Q182" s="64">
        <f>IF(N182=0,"",O182/N182)</f>
        <v/>
      </c>
      <c r="R182" s="31" t="n"/>
      <c r="S182" s="60" t="n"/>
      <c r="T182" s="60" t="n"/>
      <c r="U182" s="60">
        <f>T182-S182</f>
        <v/>
      </c>
      <c r="V182" s="61">
        <f>IF(S182=0,"",T182/S182)</f>
        <v/>
      </c>
      <c r="W182" s="27" t="n"/>
      <c r="X182" s="62" t="n"/>
      <c r="Y182" s="62" t="n"/>
      <c r="Z182" s="62">
        <f>Y182-X182</f>
        <v/>
      </c>
      <c r="AA182" s="64">
        <f>IF(X182=0,"",Y182/X182)</f>
        <v/>
      </c>
      <c r="AB182" s="31" t="n"/>
      <c r="AC182" s="60" t="n"/>
      <c r="AD182" s="60" t="n"/>
      <c r="AE182" s="60">
        <f>AD182-AC182</f>
        <v/>
      </c>
      <c r="AF182" s="61">
        <f>IF(AC182=0,"",AD182/AC182)</f>
        <v/>
      </c>
      <c r="AG182" s="27" t="n"/>
      <c r="AH182" s="62" t="n"/>
      <c r="AI182" s="62" t="n"/>
      <c r="AJ182" s="62">
        <f>AI182-AH182</f>
        <v/>
      </c>
      <c r="AK182" s="64">
        <f>IF(AH182=0,"",AI182/AH182)</f>
        <v/>
      </c>
      <c r="AL182" s="31" t="n"/>
      <c r="AM182" s="60" t="n"/>
      <c r="AN182" s="60" t="n"/>
      <c r="AO182" s="60">
        <f>AN182-AM182</f>
        <v/>
      </c>
      <c r="AP182" s="61">
        <f>IF(AM182=0,"",AN182/AM182)</f>
        <v/>
      </c>
      <c r="AQ182" s="27" t="n"/>
      <c r="AR182" s="62" t="n"/>
      <c r="AS182" s="62" t="n"/>
      <c r="AT182" s="62">
        <f>AS182-AR182</f>
        <v/>
      </c>
      <c r="AU182" s="64">
        <f>IF(AR182=0,"",AS182/AR182)</f>
        <v/>
      </c>
      <c r="AV182" s="31" t="n"/>
      <c r="AW182" s="60" t="n"/>
      <c r="AX182" s="60" t="n"/>
      <c r="AY182" s="60">
        <f>AX182-AW182</f>
        <v/>
      </c>
      <c r="AZ182" s="61">
        <f>IF(AW182=0,"",AX182/AW182)</f>
        <v/>
      </c>
      <c r="BA182" s="27" t="n"/>
      <c r="BB182" s="62" t="n"/>
      <c r="BC182" s="62" t="n"/>
      <c r="BD182" s="62">
        <f>BC182-BB182</f>
        <v/>
      </c>
      <c r="BE182" s="64">
        <f>IF(BB182=0,"",BC182/BB182)</f>
        <v/>
      </c>
      <c r="BF182" s="31" t="n"/>
      <c r="BG182" s="60" t="n"/>
      <c r="BH182" s="60" t="n"/>
      <c r="BI182" s="60">
        <f>BH182-BG182</f>
        <v/>
      </c>
      <c r="BJ182" s="61">
        <f>IF(BG182=0,"",BH182/BG182)</f>
        <v/>
      </c>
      <c r="BK182" s="27" t="n"/>
      <c r="BL182" s="62" t="n"/>
      <c r="BM182" s="62" t="n"/>
      <c r="BN182" s="62">
        <f>BM182-BL182</f>
        <v/>
      </c>
      <c r="BO182" s="64">
        <f>IF(BL182=0,"",BM182/BL182)</f>
        <v/>
      </c>
      <c r="BP182" s="31" t="n"/>
      <c r="BQ182" s="60" t="n"/>
      <c r="BR182" s="60" t="n"/>
      <c r="BS182" s="60">
        <f>BR182-BQ182</f>
        <v/>
      </c>
      <c r="BT182" s="61">
        <f>IF(BQ182=0,"",BR182/BQ182)</f>
        <v/>
      </c>
      <c r="BU182" s="27" t="n"/>
      <c r="BV182" s="62" t="n"/>
      <c r="BW182" s="62" t="n"/>
      <c r="BX182" s="62">
        <f>BW182-BV182</f>
        <v/>
      </c>
      <c r="BY182" s="64">
        <f>IF(BV182=0,"",BW182/BV182)</f>
        <v/>
      </c>
      <c r="BZ182" s="31" t="n"/>
      <c r="CA182" s="60" t="n"/>
      <c r="CB182" s="60" t="n"/>
      <c r="CC182" s="60">
        <f>CB182-CA182</f>
        <v/>
      </c>
      <c r="CD182" s="61">
        <f>IF(CA182=0,"",CB182/CA182)</f>
        <v/>
      </c>
      <c r="CE182" s="27" t="n"/>
      <c r="CF182" s="62" t="n"/>
      <c r="CG182" s="62" t="n"/>
      <c r="CH182" s="62">
        <f>CG182-CF182</f>
        <v/>
      </c>
      <c r="CI182" s="64">
        <f>IF(CF182=0,"",CG182/CF182)</f>
        <v/>
      </c>
      <c r="CJ182" s="31" t="n"/>
      <c r="CK182" s="60" t="n"/>
      <c r="CL182" s="60" t="n"/>
      <c r="CM182" s="60">
        <f>CL182-CK182</f>
        <v/>
      </c>
      <c r="CN182" s="61">
        <f>IF(CK182=0,"",CL182/CK182)</f>
        <v/>
      </c>
      <c r="CO182" s="27" t="n"/>
      <c r="CP182" s="62" t="n"/>
      <c r="CQ182" s="62" t="n"/>
      <c r="CR182" s="62">
        <f>CQ182-CP182</f>
        <v/>
      </c>
      <c r="CS182" s="64">
        <f>IF(CP182=0,"",CQ182/CP182)</f>
        <v/>
      </c>
      <c r="CT182" s="31" t="n"/>
      <c r="CU182" s="60" t="n"/>
      <c r="CV182" s="60" t="n"/>
      <c r="CW182" s="60">
        <f>CV182-CU182</f>
        <v/>
      </c>
      <c r="CX182" s="61">
        <f>IF(CU182=0,"",CV182/CU182)</f>
        <v/>
      </c>
      <c r="CY182" s="27" t="n"/>
      <c r="CZ182" s="62" t="n"/>
      <c r="DA182" s="62" t="n"/>
      <c r="DB182" s="62">
        <f>DA182-CZ182</f>
        <v/>
      </c>
      <c r="DC182" s="64">
        <f>IF(CZ182=0,"",DA182/CZ182)</f>
        <v/>
      </c>
      <c r="DD182" s="31" t="n"/>
      <c r="DE182" s="60" t="n"/>
      <c r="DF182" s="60" t="n"/>
      <c r="DG182" s="60">
        <f>DF182-DE182</f>
        <v/>
      </c>
      <c r="DH182" s="61">
        <f>IF(DE182=0,"",DF182/DE182)</f>
        <v/>
      </c>
      <c r="DI182" s="27" t="n"/>
      <c r="DJ182" s="62" t="n"/>
      <c r="DK182" s="62" t="n"/>
      <c r="DL182" s="62">
        <f>DK182-DJ182</f>
        <v/>
      </c>
      <c r="DM182" s="64">
        <f>IF(DJ182=0,"",DK182/DJ182)</f>
        <v/>
      </c>
      <c r="DN182" s="31" t="n"/>
      <c r="DO182" s="60" t="n"/>
    </row>
    <row r="183" outlineLevel="1" ht="15" customHeight="1">
      <c r="A183" s="24" t="n"/>
      <c r="B183" s="24" t="n"/>
      <c r="C183" s="24" t="n"/>
      <c r="D183" s="60" t="n"/>
      <c r="E183" s="60" t="n"/>
      <c r="F183" s="60">
        <f>E183-D183</f>
        <v/>
      </c>
      <c r="G183" s="61">
        <f>IF(D183=0,"",E183/D183)</f>
        <v/>
      </c>
      <c r="H183" s="27" t="n"/>
      <c r="I183" s="60" t="n"/>
      <c r="J183" s="60" t="n"/>
      <c r="K183" s="60">
        <f>J183-I183</f>
        <v/>
      </c>
      <c r="L183" s="61">
        <f>IF(I183=0,"",J183/I183)</f>
        <v/>
      </c>
      <c r="M183" s="27" t="n"/>
      <c r="N183" s="62" t="n"/>
      <c r="O183" s="62" t="n"/>
      <c r="P183" s="62">
        <f>O183-N183</f>
        <v/>
      </c>
      <c r="Q183" s="64">
        <f>IF(N183=0,"",O183/N183)</f>
        <v/>
      </c>
      <c r="R183" s="31" t="n"/>
      <c r="S183" s="60" t="n"/>
      <c r="T183" s="60" t="n"/>
      <c r="U183" s="60">
        <f>T183-S183</f>
        <v/>
      </c>
      <c r="V183" s="61">
        <f>IF(S183=0,"",T183/S183)</f>
        <v/>
      </c>
      <c r="W183" s="27" t="n"/>
      <c r="X183" s="62" t="n"/>
      <c r="Y183" s="62" t="n"/>
      <c r="Z183" s="62">
        <f>Y183-X183</f>
        <v/>
      </c>
      <c r="AA183" s="64">
        <f>IF(X183=0,"",Y183/X183)</f>
        <v/>
      </c>
      <c r="AB183" s="31" t="n"/>
      <c r="AC183" s="60" t="n"/>
      <c r="AD183" s="60" t="n"/>
      <c r="AE183" s="60">
        <f>AD183-AC183</f>
        <v/>
      </c>
      <c r="AF183" s="61">
        <f>IF(AC183=0,"",AD183/AC183)</f>
        <v/>
      </c>
      <c r="AG183" s="27" t="n"/>
      <c r="AH183" s="62" t="n"/>
      <c r="AI183" s="62" t="n"/>
      <c r="AJ183" s="62">
        <f>AI183-AH183</f>
        <v/>
      </c>
      <c r="AK183" s="64">
        <f>IF(AH183=0,"",AI183/AH183)</f>
        <v/>
      </c>
      <c r="AL183" s="31" t="n"/>
      <c r="AM183" s="60" t="n"/>
      <c r="AN183" s="60" t="n"/>
      <c r="AO183" s="60">
        <f>AN183-AM183</f>
        <v/>
      </c>
      <c r="AP183" s="61">
        <f>IF(AM183=0,"",AN183/AM183)</f>
        <v/>
      </c>
      <c r="AQ183" s="27" t="n"/>
      <c r="AR183" s="62" t="n"/>
      <c r="AS183" s="62" t="n"/>
      <c r="AT183" s="62">
        <f>AS183-AR183</f>
        <v/>
      </c>
      <c r="AU183" s="64">
        <f>IF(AR183=0,"",AS183/AR183)</f>
        <v/>
      </c>
      <c r="AV183" s="31" t="n"/>
      <c r="AW183" s="60" t="n"/>
      <c r="AX183" s="60" t="n"/>
      <c r="AY183" s="60">
        <f>AX183-AW183</f>
        <v/>
      </c>
      <c r="AZ183" s="61">
        <f>IF(AW183=0,"",AX183/AW183)</f>
        <v/>
      </c>
      <c r="BA183" s="27" t="n"/>
      <c r="BB183" s="62" t="n"/>
      <c r="BC183" s="62" t="n"/>
      <c r="BD183" s="62">
        <f>BC183-BB183</f>
        <v/>
      </c>
      <c r="BE183" s="64">
        <f>IF(BB183=0,"",BC183/BB183)</f>
        <v/>
      </c>
      <c r="BF183" s="31" t="n"/>
      <c r="BG183" s="60" t="n"/>
      <c r="BH183" s="60" t="n"/>
      <c r="BI183" s="60">
        <f>BH183-BG183</f>
        <v/>
      </c>
      <c r="BJ183" s="61">
        <f>IF(BG183=0,"",BH183/BG183)</f>
        <v/>
      </c>
      <c r="BK183" s="27" t="n"/>
      <c r="BL183" s="62" t="n"/>
      <c r="BM183" s="62" t="n"/>
      <c r="BN183" s="62">
        <f>BM183-BL183</f>
        <v/>
      </c>
      <c r="BO183" s="64">
        <f>IF(BL183=0,"",BM183/BL183)</f>
        <v/>
      </c>
      <c r="BP183" s="31" t="n"/>
      <c r="BQ183" s="60" t="n"/>
      <c r="BR183" s="60" t="n"/>
      <c r="BS183" s="60">
        <f>BR183-BQ183</f>
        <v/>
      </c>
      <c r="BT183" s="61">
        <f>IF(BQ183=0,"",BR183/BQ183)</f>
        <v/>
      </c>
      <c r="BU183" s="27" t="n"/>
      <c r="BV183" s="62" t="n"/>
      <c r="BW183" s="62" t="n"/>
      <c r="BX183" s="62">
        <f>BW183-BV183</f>
        <v/>
      </c>
      <c r="BY183" s="64">
        <f>IF(BV183=0,"",BW183/BV183)</f>
        <v/>
      </c>
      <c r="BZ183" s="31" t="n"/>
      <c r="CA183" s="60" t="n"/>
      <c r="CB183" s="60" t="n"/>
      <c r="CC183" s="60">
        <f>CB183-CA183</f>
        <v/>
      </c>
      <c r="CD183" s="61">
        <f>IF(CA183=0,"",CB183/CA183)</f>
        <v/>
      </c>
      <c r="CE183" s="27" t="n"/>
      <c r="CF183" s="62" t="n"/>
      <c r="CG183" s="62" t="n"/>
      <c r="CH183" s="62">
        <f>CG183-CF183</f>
        <v/>
      </c>
      <c r="CI183" s="64">
        <f>IF(CF183=0,"",CG183/CF183)</f>
        <v/>
      </c>
      <c r="CJ183" s="31" t="n"/>
      <c r="CK183" s="60" t="n"/>
      <c r="CL183" s="60" t="n"/>
      <c r="CM183" s="60">
        <f>CL183-CK183</f>
        <v/>
      </c>
      <c r="CN183" s="61">
        <f>IF(CK183=0,"",CL183/CK183)</f>
        <v/>
      </c>
      <c r="CO183" s="27" t="n"/>
      <c r="CP183" s="62" t="n"/>
      <c r="CQ183" s="62" t="n"/>
      <c r="CR183" s="62">
        <f>CQ183-CP183</f>
        <v/>
      </c>
      <c r="CS183" s="64">
        <f>IF(CP183=0,"",CQ183/CP183)</f>
        <v/>
      </c>
      <c r="CT183" s="31" t="n"/>
      <c r="CU183" s="60" t="n"/>
      <c r="CV183" s="60" t="n"/>
      <c r="CW183" s="60">
        <f>CV183-CU183</f>
        <v/>
      </c>
      <c r="CX183" s="61">
        <f>IF(CU183=0,"",CV183/CU183)</f>
        <v/>
      </c>
      <c r="CY183" s="27" t="n"/>
      <c r="CZ183" s="62" t="n"/>
      <c r="DA183" s="62" t="n"/>
      <c r="DB183" s="62">
        <f>DA183-CZ183</f>
        <v/>
      </c>
      <c r="DC183" s="64">
        <f>IF(CZ183=0,"",DA183/CZ183)</f>
        <v/>
      </c>
      <c r="DD183" s="31" t="n"/>
      <c r="DE183" s="60" t="n"/>
      <c r="DF183" s="60" t="n"/>
      <c r="DG183" s="60">
        <f>DF183-DE183</f>
        <v/>
      </c>
      <c r="DH183" s="61">
        <f>IF(DE183=0,"",DF183/DE183)</f>
        <v/>
      </c>
      <c r="DI183" s="27" t="n"/>
      <c r="DJ183" s="62" t="n"/>
      <c r="DK183" s="62" t="n"/>
      <c r="DL183" s="62">
        <f>DK183-DJ183</f>
        <v/>
      </c>
      <c r="DM183" s="64">
        <f>IF(DJ183=0,"",DK183/DJ183)</f>
        <v/>
      </c>
      <c r="DN183" s="31" t="n"/>
      <c r="DO183" s="60" t="n"/>
    </row>
    <row r="184" ht="15" customHeight="1">
      <c r="A184" s="32" t="n"/>
      <c r="B184" s="32" t="n"/>
      <c r="C184" s="32" t="n"/>
      <c r="D184" s="65">
        <f>D186+D187+D189+D191+D193+D195+D197+D198+D199+D200+D201+D202+D203+D204+D205+D206</f>
        <v/>
      </c>
      <c r="E184" s="65">
        <f>E186+E187+E189+E191+E193+E195+E197+E198+E199+E200+E201+E202+E203+E204+E205+E206</f>
        <v/>
      </c>
      <c r="F184" s="65">
        <f>E184-D184</f>
        <v/>
      </c>
      <c r="G184" s="66">
        <f>IF(D184=0,"",E184/D184)</f>
        <v/>
      </c>
      <c r="H184" s="35" t="n"/>
      <c r="I184" s="65">
        <f>I186+I187+I189+I191+I193+I195+I197+I198+I199+I200+I201+I202+I203+I204+I205+I206</f>
        <v/>
      </c>
      <c r="J184" s="65">
        <f>J186+J187+J189+J191+J193+J195+J197+J198+J199+J200+J201+J202+J203+J204+J205+J206</f>
        <v/>
      </c>
      <c r="K184" s="65">
        <f>J184-I184</f>
        <v/>
      </c>
      <c r="L184" s="66">
        <f>IF(I184=0,"",J184/I184)</f>
        <v/>
      </c>
      <c r="M184" s="35" t="n"/>
      <c r="N184" s="65">
        <f>N186+N187+N189+N191+N193+N195+N197+N198+N199+N200+N201+N202+N203+N204+N205+N206</f>
        <v/>
      </c>
      <c r="O184" s="65">
        <f>O186+O187+O189+O191+O193+O195+O197+O198+O199+O200+O201+O202+O203+O204+O205+O206</f>
        <v/>
      </c>
      <c r="P184" s="65">
        <f>O184-N184</f>
        <v/>
      </c>
      <c r="Q184" s="66">
        <f>IF(N184=0,"",O184/N184)</f>
        <v/>
      </c>
      <c r="R184" s="35" t="n"/>
      <c r="S184" s="65">
        <f>S186+S187+S189+S191+S193+S195+S197+S198+S199+S200+S201+S202+S203+S204+S205+S206</f>
        <v/>
      </c>
      <c r="T184" s="65">
        <f>T186+T187+T189+T191+T193+T195+T197+T198+T199+T200+T201+T202+T203+T204+T205+T206</f>
        <v/>
      </c>
      <c r="U184" s="65">
        <f>T184-S184</f>
        <v/>
      </c>
      <c r="V184" s="66">
        <f>IF(S184=0,"",T184/S184)</f>
        <v/>
      </c>
      <c r="W184" s="35" t="n"/>
      <c r="X184" s="65">
        <f>X186+X187+X189+X191+X193+X195+X197+X198+X199+X200+X201+X202+X203+X204+X205+X206</f>
        <v/>
      </c>
      <c r="Y184" s="65">
        <f>Y186+Y187+Y189+Y191+Y193+Y195+Y197+Y198+Y199+Y200+Y201+Y202+Y203+Y204+Y205+Y206</f>
        <v/>
      </c>
      <c r="Z184" s="65">
        <f>Y184-X184</f>
        <v/>
      </c>
      <c r="AA184" s="66">
        <f>IF(X184=0,"",Y184/X184)</f>
        <v/>
      </c>
      <c r="AB184" s="35" t="n"/>
      <c r="AC184" s="65">
        <f>AC186+AC187+AC189+AC191+AC193+AC195+AC197+AC198+AC199+AC200+AC201+AC202+AC203+AC204+AC205+AC206</f>
        <v/>
      </c>
      <c r="AD184" s="65">
        <f>AD186+AD187+AD189+AD191+AD193+AD195+AD197+AD198+AD199+AD200+AD201+AD202+AD203+AD204+AD205+AD206</f>
        <v/>
      </c>
      <c r="AE184" s="65">
        <f>AD184-AC184</f>
        <v/>
      </c>
      <c r="AF184" s="66">
        <f>IF(AC184=0,"",AD184/AC184)</f>
        <v/>
      </c>
      <c r="AG184" s="35" t="n"/>
      <c r="AH184" s="65">
        <f>AH186+AH187+AH189+AH191+AH193+AH195+AH197+AH198+AH199+AH200+AH201+AH202+AH203+AH204+AH205+AH206</f>
        <v/>
      </c>
      <c r="AI184" s="65">
        <f>AI186+AI187+AI189+AI191+AI193+AI195+AI197+AI198+AI199+AI200+AI201+AI202+AI203+AI204+AI205+AI206</f>
        <v/>
      </c>
      <c r="AJ184" s="65">
        <f>AI184-AH184</f>
        <v/>
      </c>
      <c r="AK184" s="66">
        <f>IF(AH184=0,"",AI184/AH184)</f>
        <v/>
      </c>
      <c r="AL184" s="35" t="n"/>
      <c r="AM184" s="65">
        <f>AM186+AM187+AM189+AM191+AM193+AM195+AM197+AM198+AM199+AM200+AM201+AM202+AM203+AM204+AM205+AM206</f>
        <v/>
      </c>
      <c r="AN184" s="65">
        <f>AN186+AN187+AN189+AN191+AN193+AN195+AN197+AN198+AN199+AN200+AN201+AN202+AN203+AN204+AN205+AN206</f>
        <v/>
      </c>
      <c r="AO184" s="65">
        <f>AN184-AM184</f>
        <v/>
      </c>
      <c r="AP184" s="66">
        <f>IF(AM184=0,"",AN184/AM184)</f>
        <v/>
      </c>
      <c r="AQ184" s="35" t="n"/>
      <c r="AR184" s="65">
        <f>AR186+AR187+AR189+AR191+AR193+AR195+AR197+AR198+AR199+AR200+AR201+AR202+AR203+AR204+AR205+AR206</f>
        <v/>
      </c>
      <c r="AS184" s="65">
        <f>AS186+AS187+AS189+AS191+AS193+AS195+AS197+AS198+AS199+AS200+AS201+AS202+AS203+AS204+AS205+AS206</f>
        <v/>
      </c>
      <c r="AT184" s="65">
        <f>AS184-AR184</f>
        <v/>
      </c>
      <c r="AU184" s="66">
        <f>IF(AR184=0,"",AS184/AR184)</f>
        <v/>
      </c>
      <c r="AV184" s="35" t="n"/>
      <c r="AW184" s="65">
        <f>AW186+AW187+AW189+AW191+AW193+AW195+AW197+AW198+AW199+AW200+AW201+AW202+AW203+AW204+AW205+AW206</f>
        <v/>
      </c>
      <c r="AX184" s="65">
        <f>AX186+AX187+AX189+AX191+AX193+AX195+AX197+AX198+AX199+AX200+AX201+AX202+AX203+AX204+AX205+AX206</f>
        <v/>
      </c>
      <c r="AY184" s="65">
        <f>AX184-AW184</f>
        <v/>
      </c>
      <c r="AZ184" s="66">
        <f>IF(AW184=0,"",AX184/AW184)</f>
        <v/>
      </c>
      <c r="BA184" s="35" t="n"/>
      <c r="BB184" s="65">
        <f>BB186+BB187+BB189+BB191+BB193+BB195+BB197+BB198+BB199+BB200+BB201+BB202+BB203+BB204+BB205+BB206</f>
        <v/>
      </c>
      <c r="BC184" s="65">
        <f>BC186+BC187+BC189+BC191+BC193+BC195+BC197+BC198+BC199+BC200+BC201+BC202+BC203+BC204+BC205+BC206</f>
        <v/>
      </c>
      <c r="BD184" s="65">
        <f>BC184-BB184</f>
        <v/>
      </c>
      <c r="BE184" s="66">
        <f>IF(BB184=0,"",BC184/BB184)</f>
        <v/>
      </c>
      <c r="BF184" s="35" t="n"/>
      <c r="BG184" s="65">
        <f>BG186+BG187+BG189+BG191+BG193+BG195+BG197+BG198+BG199+BG200+BG201+BG202+BG203+BG204+BG205+BG206</f>
        <v/>
      </c>
      <c r="BH184" s="65">
        <f>BH186+BH187+BH189+BH191+BH193+BH195+BH197+BH198+BH199+BH200+BH201+BH202+BH203+BH204+BH205+BH206</f>
        <v/>
      </c>
      <c r="BI184" s="65">
        <f>BH184-BG184</f>
        <v/>
      </c>
      <c r="BJ184" s="66">
        <f>IF(BG184=0,"",BH184/BG184)</f>
        <v/>
      </c>
      <c r="BK184" s="35" t="n"/>
      <c r="BL184" s="65">
        <f>BL186+BL187+BL189+BL191+BL193+BL195+BL197+BL198+BL199+BL200+BL201+BL202+BL203+BL204+BL205+BL206</f>
        <v/>
      </c>
      <c r="BM184" s="65">
        <f>BM186+BM187+BM189+BM191+BM193+BM195+BM197+BM198+BM199+BM200+BM201+BM202+BM203+BM204+BM205+BM206</f>
        <v/>
      </c>
      <c r="BN184" s="65">
        <f>BM184-BL184</f>
        <v/>
      </c>
      <c r="BO184" s="66">
        <f>IF(BL184=0,"",BM184/BL184)</f>
        <v/>
      </c>
      <c r="BP184" s="35" t="n"/>
      <c r="BQ184" s="65">
        <f>BQ186+BQ187+BQ189+BQ191+BQ193+BQ195+BQ197+BQ198+BQ199+BQ200+BQ201+BQ202+BQ203+BQ204+BQ205+BQ206</f>
        <v/>
      </c>
      <c r="BR184" s="65">
        <f>BR186+BR187+BR189+BR191+BR193+BR195+BR197+BR198+BR199+BR200+BR201+BR202+BR203+BR204+BR205+BR206</f>
        <v/>
      </c>
      <c r="BS184" s="65">
        <f>BR184-BQ184</f>
        <v/>
      </c>
      <c r="BT184" s="66">
        <f>IF(BQ184=0,"",BR184/BQ184)</f>
        <v/>
      </c>
      <c r="BU184" s="35" t="n"/>
      <c r="BV184" s="65">
        <f>BV186+BV187+BV189+BV191+BV193+BV195+BV197+BV198+BV199+BV200+BV201+BV202+BV203+BV204+BV205+BV206</f>
        <v/>
      </c>
      <c r="BW184" s="65">
        <f>BW186+BW187+BW189+BW191+BW193+BW195+BW197+BW198+BW199+BW200+BW201+BW202+BW203+BW204+BW205+BW206</f>
        <v/>
      </c>
      <c r="BX184" s="65">
        <f>BW184-BV184</f>
        <v/>
      </c>
      <c r="BY184" s="66">
        <f>IF(BV184=0,"",BW184/BV184)</f>
        <v/>
      </c>
      <c r="BZ184" s="35" t="n"/>
      <c r="CA184" s="65">
        <f>CA186+CA187+CA189+CA191+CA193+CA195+CA197+CA198+CA199+CA200+CA201+CA202+CA203+CA204+CA205+CA206</f>
        <v/>
      </c>
      <c r="CB184" s="65">
        <f>CB186+CB187+CB189+CB191+CB193+CB195+CB197+CB198+CB199+CB200+CB201+CB202+CB203+CB204+CB205+CB206</f>
        <v/>
      </c>
      <c r="CC184" s="65">
        <f>CB184-CA184</f>
        <v/>
      </c>
      <c r="CD184" s="66">
        <f>IF(CA184=0,"",CB184/CA184)</f>
        <v/>
      </c>
      <c r="CE184" s="35" t="n"/>
      <c r="CF184" s="65">
        <f>CF186+CF187+CF189+CF191+CF193+CF195+CF197+CF198+CF199+CF200+CF201+CF202+CF203+CF204+CF205+CF206</f>
        <v/>
      </c>
      <c r="CG184" s="65">
        <f>CG186+CG187+CG189+CG191+CG193+CG195+CG197+CG198+CG199+CG200+CG201+CG202+CG203+CG204+CG205+CG206</f>
        <v/>
      </c>
      <c r="CH184" s="65">
        <f>CG184-CF184</f>
        <v/>
      </c>
      <c r="CI184" s="66">
        <f>IF(CF184=0,"",CG184/CF184)</f>
        <v/>
      </c>
      <c r="CJ184" s="35" t="n"/>
      <c r="CK184" s="65">
        <f>CK186+CK187+CK189+CK191+CK193+CK195+CK197+CK198+CK199+CK200+CK201+CK202+CK203+CK204+CK205+CK206</f>
        <v/>
      </c>
      <c r="CL184" s="65">
        <f>CL186+CL187+CL189+CL191+CL193+CL195+CL197+CL198+CL199+CL200+CL201+CL202+CL203+CL204+CL205+CL206</f>
        <v/>
      </c>
      <c r="CM184" s="65">
        <f>CL184-CK184</f>
        <v/>
      </c>
      <c r="CN184" s="66">
        <f>IF(CK184=0,"",CL184/CK184)</f>
        <v/>
      </c>
      <c r="CO184" s="35" t="n"/>
      <c r="CP184" s="65">
        <f>CP186+CP187+CP189+CP191+CP193+CP195+CP197+CP198+CP199+CP200+CP201+CP202+CP203+CP204+CP205+CP206</f>
        <v/>
      </c>
      <c r="CQ184" s="65">
        <f>CQ186+CQ187+CQ189+CQ191+CQ193+CQ195+CQ197+CQ198+CQ199+CQ200+CQ201+CQ202+CQ203+CQ204+CQ205+CQ206</f>
        <v/>
      </c>
      <c r="CR184" s="65">
        <f>CQ184-CP184</f>
        <v/>
      </c>
      <c r="CS184" s="66">
        <f>IF(CP184=0,"",CQ184/CP184)</f>
        <v/>
      </c>
      <c r="CT184" s="35" t="n"/>
      <c r="CU184" s="65">
        <f>CU186+CU187+CU189+CU191+CU193+CU195+CU197+CU198+CU199+CU200+CU201+CU202+CU203+CU204+CU205+CU206</f>
        <v/>
      </c>
      <c r="CV184" s="65">
        <f>CV186+CV187+CV189+CV191+CV193+CV195+CV197+CV198+CV199+CV200+CV201+CV202+CV203+CV204+CV205+CV206</f>
        <v/>
      </c>
      <c r="CW184" s="65">
        <f>CV184-CU184</f>
        <v/>
      </c>
      <c r="CX184" s="66">
        <f>IF(CU184=0,"",CV184/CU184)</f>
        <v/>
      </c>
      <c r="CY184" s="35" t="n"/>
      <c r="CZ184" s="65">
        <f>CZ186+CZ187+CZ189+CZ191+CZ193+CZ195+CZ197+CZ198+CZ199+CZ200+CZ201+CZ202+CZ203+CZ204+CZ205+CZ206</f>
        <v/>
      </c>
      <c r="DA184" s="65">
        <f>DA186+DA187+DA189+DA191+DA193+DA195+DA197+DA198+DA199+DA200+DA201+DA202+DA203+DA204+DA205+DA206</f>
        <v/>
      </c>
      <c r="DB184" s="65">
        <f>DA184-CZ184</f>
        <v/>
      </c>
      <c r="DC184" s="66">
        <f>IF(CZ184=0,"",DA184/CZ184)</f>
        <v/>
      </c>
      <c r="DD184" s="35" t="n"/>
      <c r="DE184" s="65">
        <f>DE186+DE187+DE189+DE191+DE193+DE195+DE197+DE198+DE199+DE200+DE201+DE202+DE203+DE204+DE205+DE206</f>
        <v/>
      </c>
      <c r="DF184" s="65">
        <f>DF186+DF187+DF189+DF191+DF193+DF195+DF197+DF198+DF199+DF200+DF201+DF202+DF203+DF204+DF205+DF206</f>
        <v/>
      </c>
      <c r="DG184" s="65">
        <f>DF184-DE184</f>
        <v/>
      </c>
      <c r="DH184" s="66">
        <f>IF(DE184=0,"",DF184/DE184)</f>
        <v/>
      </c>
      <c r="DI184" s="35" t="n"/>
      <c r="DJ184" s="65">
        <f>DJ186+DJ187+DJ189+DJ191+DJ193+DJ195+DJ197+DJ198+DJ199+DJ200+DJ201+DJ202+DJ203+DJ204+DJ205+DJ206</f>
        <v/>
      </c>
      <c r="DK184" s="65">
        <f>DK186+DK187+DK189+DK191+DK193+DK195+DK197+DK198+DK199+DK200+DK201+DK202+DK203+DK204+DK205+DK206</f>
        <v/>
      </c>
      <c r="DL184" s="65">
        <f>DK184-DJ184</f>
        <v/>
      </c>
      <c r="DM184" s="66">
        <f>IF(DJ184=0,"",DK184/DJ184)</f>
        <v/>
      </c>
      <c r="DN184" s="35" t="n"/>
      <c r="DO184" s="65">
        <f>DO186+DO187+DO189+DO191+DO193+DO195+DO197+DO198+DO199+DO200+DO201+DO202+DO203+DO204+DO205+DO206</f>
        <v/>
      </c>
    </row>
    <row r="185" ht="15" customHeight="1">
      <c r="A185" s="19" t="n"/>
      <c r="B185" s="20" t="n"/>
      <c r="C185" s="19" t="n"/>
      <c r="D185" s="58">
        <f>D186+D187</f>
        <v/>
      </c>
      <c r="E185" s="58">
        <f>E186+E187</f>
        <v/>
      </c>
      <c r="F185" s="58">
        <f>E185-D185</f>
        <v/>
      </c>
      <c r="G185" s="59">
        <f>IF(D185=0,"",E185/D185)</f>
        <v/>
      </c>
      <c r="H185" s="23" t="n"/>
      <c r="I185" s="58">
        <f>I186+I187</f>
        <v/>
      </c>
      <c r="J185" s="58">
        <f>J186+J187</f>
        <v/>
      </c>
      <c r="K185" s="58">
        <f>J185-I185</f>
        <v/>
      </c>
      <c r="L185" s="59">
        <f>IF(I185=0,"",J185/I185)</f>
        <v/>
      </c>
      <c r="M185" s="23" t="n"/>
      <c r="N185" s="58">
        <f>N186+N187</f>
        <v/>
      </c>
      <c r="O185" s="58">
        <f>O186+O187</f>
        <v/>
      </c>
      <c r="P185" s="58">
        <f>O185-N185</f>
        <v/>
      </c>
      <c r="Q185" s="59">
        <f>IF(N185=0,"",O185/N185)</f>
        <v/>
      </c>
      <c r="R185" s="23" t="n"/>
      <c r="S185" s="58">
        <f>S186+S187</f>
        <v/>
      </c>
      <c r="T185" s="58">
        <f>T186+T187</f>
        <v/>
      </c>
      <c r="U185" s="58">
        <f>T185-S185</f>
        <v/>
      </c>
      <c r="V185" s="59">
        <f>IF(S185=0,"",T185/S185)</f>
        <v/>
      </c>
      <c r="W185" s="23" t="n"/>
      <c r="X185" s="58">
        <f>X186+X187</f>
        <v/>
      </c>
      <c r="Y185" s="58">
        <f>Y186+Y187</f>
        <v/>
      </c>
      <c r="Z185" s="58">
        <f>Y185-X185</f>
        <v/>
      </c>
      <c r="AA185" s="59">
        <f>IF(X185=0,"",Y185/X185)</f>
        <v/>
      </c>
      <c r="AB185" s="23" t="n"/>
      <c r="AC185" s="58">
        <f>AC186+AC187</f>
        <v/>
      </c>
      <c r="AD185" s="58">
        <f>AD186+AD187</f>
        <v/>
      </c>
      <c r="AE185" s="58">
        <f>AD185-AC185</f>
        <v/>
      </c>
      <c r="AF185" s="59">
        <f>IF(AC185=0,"",AD185/AC185)</f>
        <v/>
      </c>
      <c r="AG185" s="23" t="n"/>
      <c r="AH185" s="58">
        <f>AH186+AH187</f>
        <v/>
      </c>
      <c r="AI185" s="58">
        <f>AI186+AI187</f>
        <v/>
      </c>
      <c r="AJ185" s="58">
        <f>AI185-AH185</f>
        <v/>
      </c>
      <c r="AK185" s="59">
        <f>IF(AH185=0,"",AI185/AH185)</f>
        <v/>
      </c>
      <c r="AL185" s="23" t="n"/>
      <c r="AM185" s="58">
        <f>AM186+AM187</f>
        <v/>
      </c>
      <c r="AN185" s="58">
        <f>AN186+AN187</f>
        <v/>
      </c>
      <c r="AO185" s="58">
        <f>AN185-AM185</f>
        <v/>
      </c>
      <c r="AP185" s="59">
        <f>IF(AM185=0,"",AN185/AM185)</f>
        <v/>
      </c>
      <c r="AQ185" s="23" t="n"/>
      <c r="AR185" s="58">
        <f>AR186+AR187</f>
        <v/>
      </c>
      <c r="AS185" s="58">
        <f>AS186+AS187</f>
        <v/>
      </c>
      <c r="AT185" s="58">
        <f>AS185-AR185</f>
        <v/>
      </c>
      <c r="AU185" s="59">
        <f>IF(AR185=0,"",AS185/AR185)</f>
        <v/>
      </c>
      <c r="AV185" s="23" t="n"/>
      <c r="AW185" s="58">
        <f>AW186+AW187</f>
        <v/>
      </c>
      <c r="AX185" s="58">
        <f>AX186+AX187</f>
        <v/>
      </c>
      <c r="AY185" s="58">
        <f>AX185-AW185</f>
        <v/>
      </c>
      <c r="AZ185" s="59">
        <f>IF(AW185=0,"",AX185/AW185)</f>
        <v/>
      </c>
      <c r="BA185" s="23" t="n"/>
      <c r="BB185" s="58">
        <f>BB186+BB187</f>
        <v/>
      </c>
      <c r="BC185" s="58">
        <f>BC186+BC187</f>
        <v/>
      </c>
      <c r="BD185" s="58">
        <f>BC185-BB185</f>
        <v/>
      </c>
      <c r="BE185" s="59">
        <f>IF(BB185=0,"",BC185/BB185)</f>
        <v/>
      </c>
      <c r="BF185" s="23" t="n"/>
      <c r="BG185" s="58">
        <f>BG186+BG187</f>
        <v/>
      </c>
      <c r="BH185" s="58">
        <f>BH186+BH187</f>
        <v/>
      </c>
      <c r="BI185" s="58">
        <f>BH185-BG185</f>
        <v/>
      </c>
      <c r="BJ185" s="59">
        <f>IF(BG185=0,"",BH185/BG185)</f>
        <v/>
      </c>
      <c r="BK185" s="23" t="n"/>
      <c r="BL185" s="58">
        <f>BL186+BL187</f>
        <v/>
      </c>
      <c r="BM185" s="58">
        <f>BM186+BM187</f>
        <v/>
      </c>
      <c r="BN185" s="58">
        <f>BM185-BL185</f>
        <v/>
      </c>
      <c r="BO185" s="59">
        <f>IF(BL185=0,"",BM185/BL185)</f>
        <v/>
      </c>
      <c r="BP185" s="23" t="n"/>
      <c r="BQ185" s="58">
        <f>BQ186+BQ187</f>
        <v/>
      </c>
      <c r="BR185" s="58">
        <f>BR186+BR187</f>
        <v/>
      </c>
      <c r="BS185" s="58">
        <f>BR185-BQ185</f>
        <v/>
      </c>
      <c r="BT185" s="59">
        <f>IF(BQ185=0,"",BR185/BQ185)</f>
        <v/>
      </c>
      <c r="BU185" s="23" t="n"/>
      <c r="BV185" s="58">
        <f>BV186+BV187</f>
        <v/>
      </c>
      <c r="BW185" s="58">
        <f>BW186+BW187</f>
        <v/>
      </c>
      <c r="BX185" s="58">
        <f>BW185-BV185</f>
        <v/>
      </c>
      <c r="BY185" s="59">
        <f>IF(BV185=0,"",BW185/BV185)</f>
        <v/>
      </c>
      <c r="BZ185" s="23" t="n"/>
      <c r="CA185" s="58">
        <f>CA186+CA187</f>
        <v/>
      </c>
      <c r="CB185" s="58">
        <f>CB186+CB187</f>
        <v/>
      </c>
      <c r="CC185" s="58">
        <f>CB185-CA185</f>
        <v/>
      </c>
      <c r="CD185" s="59">
        <f>IF(CA185=0,"",CB185/CA185)</f>
        <v/>
      </c>
      <c r="CE185" s="23" t="n"/>
      <c r="CF185" s="58">
        <f>CF186+CF187</f>
        <v/>
      </c>
      <c r="CG185" s="58">
        <f>CG186+CG187</f>
        <v/>
      </c>
      <c r="CH185" s="58">
        <f>CG185-CF185</f>
        <v/>
      </c>
      <c r="CI185" s="59">
        <f>IF(CF185=0,"",CG185/CF185)</f>
        <v/>
      </c>
      <c r="CJ185" s="23" t="n"/>
      <c r="CK185" s="58">
        <f>CK186+CK187</f>
        <v/>
      </c>
      <c r="CL185" s="58">
        <f>CL186+CL187</f>
        <v/>
      </c>
      <c r="CM185" s="58">
        <f>CL185-CK185</f>
        <v/>
      </c>
      <c r="CN185" s="59">
        <f>IF(CK185=0,"",CL185/CK185)</f>
        <v/>
      </c>
      <c r="CO185" s="23" t="n"/>
      <c r="CP185" s="58">
        <f>CP186+CP187</f>
        <v/>
      </c>
      <c r="CQ185" s="58">
        <f>CQ186+CQ187</f>
        <v/>
      </c>
      <c r="CR185" s="58">
        <f>CQ185-CP185</f>
        <v/>
      </c>
      <c r="CS185" s="59">
        <f>IF(CP185=0,"",CQ185/CP185)</f>
        <v/>
      </c>
      <c r="CT185" s="23" t="n"/>
      <c r="CU185" s="58">
        <f>CU186+CU187</f>
        <v/>
      </c>
      <c r="CV185" s="58">
        <f>CV186+CV187</f>
        <v/>
      </c>
      <c r="CW185" s="58">
        <f>CV185-CU185</f>
        <v/>
      </c>
      <c r="CX185" s="59">
        <f>IF(CU185=0,"",CV185/CU185)</f>
        <v/>
      </c>
      <c r="CY185" s="23" t="n"/>
      <c r="CZ185" s="58">
        <f>CZ186+CZ187</f>
        <v/>
      </c>
      <c r="DA185" s="58">
        <f>DA186+DA187</f>
        <v/>
      </c>
      <c r="DB185" s="58">
        <f>DA185-CZ185</f>
        <v/>
      </c>
      <c r="DC185" s="59">
        <f>IF(CZ185=0,"",DA185/CZ185)</f>
        <v/>
      </c>
      <c r="DD185" s="23" t="n"/>
      <c r="DE185" s="58">
        <f>DE186+DE187</f>
        <v/>
      </c>
      <c r="DF185" s="58">
        <f>DF186+DF187</f>
        <v/>
      </c>
      <c r="DG185" s="58">
        <f>DF185-DE185</f>
        <v/>
      </c>
      <c r="DH185" s="59">
        <f>IF(DE185=0,"",DF185/DE185)</f>
        <v/>
      </c>
      <c r="DI185" s="23" t="n"/>
      <c r="DJ185" s="58">
        <f>DJ186+DJ187</f>
        <v/>
      </c>
      <c r="DK185" s="58">
        <f>DK186+DK187</f>
        <v/>
      </c>
      <c r="DL185" s="58">
        <f>DK185-DJ185</f>
        <v/>
      </c>
      <c r="DM185" s="59">
        <f>IF(DJ185=0,"",DK185/DJ185)</f>
        <v/>
      </c>
      <c r="DN185" s="23" t="n"/>
      <c r="DO185" s="58">
        <f>DO186+DO187</f>
        <v/>
      </c>
    </row>
    <row r="186" outlineLevel="1" ht="15" customHeight="1">
      <c r="A186" s="24" t="n"/>
      <c r="B186" s="24" t="n"/>
      <c r="C186" s="24" t="n"/>
      <c r="D186" s="60" t="n"/>
      <c r="E186" s="60" t="n"/>
      <c r="F186" s="60">
        <f>E186-D186</f>
        <v/>
      </c>
      <c r="G186" s="61">
        <f>IF(D186=0,"",E186/D186)</f>
        <v/>
      </c>
      <c r="H186" s="27" t="n"/>
      <c r="I186" s="60" t="n"/>
      <c r="J186" s="60" t="n"/>
      <c r="K186" s="60">
        <f>J186-I186</f>
        <v/>
      </c>
      <c r="L186" s="61">
        <f>IF(I186=0,"",J186/I186)</f>
        <v/>
      </c>
      <c r="M186" s="27" t="n"/>
      <c r="N186" s="62" t="n"/>
      <c r="O186" s="62" t="n"/>
      <c r="P186" s="62">
        <f>O186-N186</f>
        <v/>
      </c>
      <c r="Q186" s="64">
        <f>IF(N186=0,"",O186/N186)</f>
        <v/>
      </c>
      <c r="R186" s="31" t="n"/>
      <c r="S186" s="60" t="n"/>
      <c r="T186" s="60" t="n"/>
      <c r="U186" s="60">
        <f>T186-S186</f>
        <v/>
      </c>
      <c r="V186" s="61">
        <f>IF(S186=0,"",T186/S186)</f>
        <v/>
      </c>
      <c r="W186" s="27" t="n"/>
      <c r="X186" s="62" t="n"/>
      <c r="Y186" s="62" t="n"/>
      <c r="Z186" s="62">
        <f>Y186-X186</f>
        <v/>
      </c>
      <c r="AA186" s="64">
        <f>IF(X186=0,"",Y186/X186)</f>
        <v/>
      </c>
      <c r="AB186" s="31" t="n"/>
      <c r="AC186" s="60" t="n"/>
      <c r="AD186" s="60" t="n"/>
      <c r="AE186" s="60">
        <f>AD186-AC186</f>
        <v/>
      </c>
      <c r="AF186" s="61">
        <f>IF(AC186=0,"",AD186/AC186)</f>
        <v/>
      </c>
      <c r="AG186" s="27" t="n"/>
      <c r="AH186" s="62" t="n"/>
      <c r="AI186" s="62" t="n"/>
      <c r="AJ186" s="62">
        <f>AI186-AH186</f>
        <v/>
      </c>
      <c r="AK186" s="64">
        <f>IF(AH186=0,"",AI186/AH186)</f>
        <v/>
      </c>
      <c r="AL186" s="31" t="n"/>
      <c r="AM186" s="60" t="n"/>
      <c r="AN186" s="60" t="n"/>
      <c r="AO186" s="60">
        <f>AN186-AM186</f>
        <v/>
      </c>
      <c r="AP186" s="61">
        <f>IF(AM186=0,"",AN186/AM186)</f>
        <v/>
      </c>
      <c r="AQ186" s="27" t="n"/>
      <c r="AR186" s="62" t="n"/>
      <c r="AS186" s="62" t="n"/>
      <c r="AT186" s="62">
        <f>AS186-AR186</f>
        <v/>
      </c>
      <c r="AU186" s="64">
        <f>IF(AR186=0,"",AS186/AR186)</f>
        <v/>
      </c>
      <c r="AV186" s="31" t="n"/>
      <c r="AW186" s="60" t="n"/>
      <c r="AX186" s="60" t="n"/>
      <c r="AY186" s="60">
        <f>AX186-AW186</f>
        <v/>
      </c>
      <c r="AZ186" s="61">
        <f>IF(AW186=0,"",AX186/AW186)</f>
        <v/>
      </c>
      <c r="BA186" s="27" t="n"/>
      <c r="BB186" s="62" t="n"/>
      <c r="BC186" s="62" t="n"/>
      <c r="BD186" s="62">
        <f>BC186-BB186</f>
        <v/>
      </c>
      <c r="BE186" s="64">
        <f>IF(BB186=0,"",BC186/BB186)</f>
        <v/>
      </c>
      <c r="BF186" s="31" t="n"/>
      <c r="BG186" s="60" t="n"/>
      <c r="BH186" s="60" t="n"/>
      <c r="BI186" s="60">
        <f>BH186-BG186</f>
        <v/>
      </c>
      <c r="BJ186" s="61">
        <f>IF(BG186=0,"",BH186/BG186)</f>
        <v/>
      </c>
      <c r="BK186" s="27" t="n"/>
      <c r="BL186" s="62" t="n"/>
      <c r="BM186" s="62" t="n"/>
      <c r="BN186" s="62">
        <f>BM186-BL186</f>
        <v/>
      </c>
      <c r="BO186" s="64">
        <f>IF(BL186=0,"",BM186/BL186)</f>
        <v/>
      </c>
      <c r="BP186" s="31" t="n"/>
      <c r="BQ186" s="60" t="n"/>
      <c r="BR186" s="60" t="n"/>
      <c r="BS186" s="60">
        <f>BR186-BQ186</f>
        <v/>
      </c>
      <c r="BT186" s="61">
        <f>IF(BQ186=0,"",BR186/BQ186)</f>
        <v/>
      </c>
      <c r="BU186" s="27" t="n"/>
      <c r="BV186" s="62" t="n"/>
      <c r="BW186" s="62" t="n"/>
      <c r="BX186" s="62">
        <f>BW186-BV186</f>
        <v/>
      </c>
      <c r="BY186" s="64">
        <f>IF(BV186=0,"",BW186/BV186)</f>
        <v/>
      </c>
      <c r="BZ186" s="31" t="n"/>
      <c r="CA186" s="60" t="n"/>
      <c r="CB186" s="60" t="n"/>
      <c r="CC186" s="60">
        <f>CB186-CA186</f>
        <v/>
      </c>
      <c r="CD186" s="61">
        <f>IF(CA186=0,"",CB186/CA186)</f>
        <v/>
      </c>
      <c r="CE186" s="27" t="n"/>
      <c r="CF186" s="62" t="n"/>
      <c r="CG186" s="62" t="n"/>
      <c r="CH186" s="62">
        <f>CG186-CF186</f>
        <v/>
      </c>
      <c r="CI186" s="64">
        <f>IF(CF186=0,"",CG186/CF186)</f>
        <v/>
      </c>
      <c r="CJ186" s="31" t="n"/>
      <c r="CK186" s="60" t="n"/>
      <c r="CL186" s="60" t="n"/>
      <c r="CM186" s="60">
        <f>CL186-CK186</f>
        <v/>
      </c>
      <c r="CN186" s="61">
        <f>IF(CK186=0,"",CL186/CK186)</f>
        <v/>
      </c>
      <c r="CO186" s="27" t="n"/>
      <c r="CP186" s="62" t="n"/>
      <c r="CQ186" s="62" t="n"/>
      <c r="CR186" s="62">
        <f>CQ186-CP186</f>
        <v/>
      </c>
      <c r="CS186" s="64">
        <f>IF(CP186=0,"",CQ186/CP186)</f>
        <v/>
      </c>
      <c r="CT186" s="31" t="n"/>
      <c r="CU186" s="60" t="n"/>
      <c r="CV186" s="60" t="n"/>
      <c r="CW186" s="60">
        <f>CV186-CU186</f>
        <v/>
      </c>
      <c r="CX186" s="61">
        <f>IF(CU186=0,"",CV186/CU186)</f>
        <v/>
      </c>
      <c r="CY186" s="27" t="n"/>
      <c r="CZ186" s="62" t="n"/>
      <c r="DA186" s="62" t="n"/>
      <c r="DB186" s="62">
        <f>DA186-CZ186</f>
        <v/>
      </c>
      <c r="DC186" s="64">
        <f>IF(CZ186=0,"",DA186/CZ186)</f>
        <v/>
      </c>
      <c r="DD186" s="31" t="n"/>
      <c r="DE186" s="60" t="n"/>
      <c r="DF186" s="60" t="n"/>
      <c r="DG186" s="60">
        <f>DF186-DE186</f>
        <v/>
      </c>
      <c r="DH186" s="61">
        <f>IF(DE186=0,"",DF186/DE186)</f>
        <v/>
      </c>
      <c r="DI186" s="27" t="n"/>
      <c r="DJ186" s="62" t="n"/>
      <c r="DK186" s="62" t="n"/>
      <c r="DL186" s="62">
        <f>DK186-DJ186</f>
        <v/>
      </c>
      <c r="DM186" s="64">
        <f>IF(DJ186=0,"",DK186/DJ186)</f>
        <v/>
      </c>
      <c r="DN186" s="31" t="n"/>
      <c r="DO186" s="60" t="n"/>
    </row>
    <row r="187" outlineLevel="1" ht="15" customHeight="1">
      <c r="A187" s="24" t="n"/>
      <c r="B187" s="24" t="n"/>
      <c r="C187" s="24" t="n"/>
      <c r="D187" s="60" t="n"/>
      <c r="E187" s="60" t="n"/>
      <c r="F187" s="60">
        <f>E187-D187</f>
        <v/>
      </c>
      <c r="G187" s="61">
        <f>IF(D187=0,"",E187/D187)</f>
        <v/>
      </c>
      <c r="H187" s="27" t="n"/>
      <c r="I187" s="60" t="n"/>
      <c r="J187" s="60" t="n"/>
      <c r="K187" s="60">
        <f>J187-I187</f>
        <v/>
      </c>
      <c r="L187" s="61">
        <f>IF(I187=0,"",J187/I187)</f>
        <v/>
      </c>
      <c r="M187" s="27" t="n"/>
      <c r="N187" s="62" t="n"/>
      <c r="O187" s="62" t="n"/>
      <c r="P187" s="62">
        <f>O187-N187</f>
        <v/>
      </c>
      <c r="Q187" s="64">
        <f>IF(N187=0,"",O187/N187)</f>
        <v/>
      </c>
      <c r="R187" s="31" t="n"/>
      <c r="S187" s="60" t="n"/>
      <c r="T187" s="60" t="n"/>
      <c r="U187" s="60">
        <f>T187-S187</f>
        <v/>
      </c>
      <c r="V187" s="61">
        <f>IF(S187=0,"",T187/S187)</f>
        <v/>
      </c>
      <c r="W187" s="27" t="n"/>
      <c r="X187" s="62" t="n"/>
      <c r="Y187" s="62" t="n"/>
      <c r="Z187" s="62">
        <f>Y187-X187</f>
        <v/>
      </c>
      <c r="AA187" s="64">
        <f>IF(X187=0,"",Y187/X187)</f>
        <v/>
      </c>
      <c r="AB187" s="31" t="n"/>
      <c r="AC187" s="60" t="n"/>
      <c r="AD187" s="60" t="n"/>
      <c r="AE187" s="60">
        <f>AD187-AC187</f>
        <v/>
      </c>
      <c r="AF187" s="61">
        <f>IF(AC187=0,"",AD187/AC187)</f>
        <v/>
      </c>
      <c r="AG187" s="27" t="n"/>
      <c r="AH187" s="62" t="n"/>
      <c r="AI187" s="62" t="n"/>
      <c r="AJ187" s="62">
        <f>AI187-AH187</f>
        <v/>
      </c>
      <c r="AK187" s="64">
        <f>IF(AH187=0,"",AI187/AH187)</f>
        <v/>
      </c>
      <c r="AL187" s="31" t="n"/>
      <c r="AM187" s="60" t="n"/>
      <c r="AN187" s="60" t="n"/>
      <c r="AO187" s="60">
        <f>AN187-AM187</f>
        <v/>
      </c>
      <c r="AP187" s="61">
        <f>IF(AM187=0,"",AN187/AM187)</f>
        <v/>
      </c>
      <c r="AQ187" s="27" t="n"/>
      <c r="AR187" s="62" t="n"/>
      <c r="AS187" s="62" t="n"/>
      <c r="AT187" s="62">
        <f>AS187-AR187</f>
        <v/>
      </c>
      <c r="AU187" s="64">
        <f>IF(AR187=0,"",AS187/AR187)</f>
        <v/>
      </c>
      <c r="AV187" s="31" t="n"/>
      <c r="AW187" s="60" t="n"/>
      <c r="AX187" s="60" t="n"/>
      <c r="AY187" s="60">
        <f>AX187-AW187</f>
        <v/>
      </c>
      <c r="AZ187" s="61">
        <f>IF(AW187=0,"",AX187/AW187)</f>
        <v/>
      </c>
      <c r="BA187" s="27" t="n"/>
      <c r="BB187" s="62" t="n"/>
      <c r="BC187" s="62" t="n"/>
      <c r="BD187" s="62">
        <f>BC187-BB187</f>
        <v/>
      </c>
      <c r="BE187" s="64">
        <f>IF(BB187=0,"",BC187/BB187)</f>
        <v/>
      </c>
      <c r="BF187" s="31" t="n"/>
      <c r="BG187" s="60" t="n"/>
      <c r="BH187" s="60" t="n"/>
      <c r="BI187" s="60">
        <f>BH187-BG187</f>
        <v/>
      </c>
      <c r="BJ187" s="61">
        <f>IF(BG187=0,"",BH187/BG187)</f>
        <v/>
      </c>
      <c r="BK187" s="27" t="n"/>
      <c r="BL187" s="62" t="n"/>
      <c r="BM187" s="62" t="n"/>
      <c r="BN187" s="62">
        <f>BM187-BL187</f>
        <v/>
      </c>
      <c r="BO187" s="64">
        <f>IF(BL187=0,"",BM187/BL187)</f>
        <v/>
      </c>
      <c r="BP187" s="31" t="n"/>
      <c r="BQ187" s="60" t="n"/>
      <c r="BR187" s="60" t="n"/>
      <c r="BS187" s="60">
        <f>BR187-BQ187</f>
        <v/>
      </c>
      <c r="BT187" s="61">
        <f>IF(BQ187=0,"",BR187/BQ187)</f>
        <v/>
      </c>
      <c r="BU187" s="27" t="n"/>
      <c r="BV187" s="62" t="n"/>
      <c r="BW187" s="62" t="n"/>
      <c r="BX187" s="62">
        <f>BW187-BV187</f>
        <v/>
      </c>
      <c r="BY187" s="64">
        <f>IF(BV187=0,"",BW187/BV187)</f>
        <v/>
      </c>
      <c r="BZ187" s="31" t="n"/>
      <c r="CA187" s="60" t="n"/>
      <c r="CB187" s="60" t="n"/>
      <c r="CC187" s="60">
        <f>CB187-CA187</f>
        <v/>
      </c>
      <c r="CD187" s="61">
        <f>IF(CA187=0,"",CB187/CA187)</f>
        <v/>
      </c>
      <c r="CE187" s="27" t="n"/>
      <c r="CF187" s="62" t="n"/>
      <c r="CG187" s="62" t="n"/>
      <c r="CH187" s="62">
        <f>CG187-CF187</f>
        <v/>
      </c>
      <c r="CI187" s="64">
        <f>IF(CF187=0,"",CG187/CF187)</f>
        <v/>
      </c>
      <c r="CJ187" s="31" t="n"/>
      <c r="CK187" s="60" t="n"/>
      <c r="CL187" s="60" t="n"/>
      <c r="CM187" s="60">
        <f>CL187-CK187</f>
        <v/>
      </c>
      <c r="CN187" s="61">
        <f>IF(CK187=0,"",CL187/CK187)</f>
        <v/>
      </c>
      <c r="CO187" s="27" t="n"/>
      <c r="CP187" s="62" t="n"/>
      <c r="CQ187" s="62" t="n"/>
      <c r="CR187" s="62">
        <f>CQ187-CP187</f>
        <v/>
      </c>
      <c r="CS187" s="64">
        <f>IF(CP187=0,"",CQ187/CP187)</f>
        <v/>
      </c>
      <c r="CT187" s="31" t="n"/>
      <c r="CU187" s="60" t="n"/>
      <c r="CV187" s="60" t="n"/>
      <c r="CW187" s="60">
        <f>CV187-CU187</f>
        <v/>
      </c>
      <c r="CX187" s="61">
        <f>IF(CU187=0,"",CV187/CU187)</f>
        <v/>
      </c>
      <c r="CY187" s="27" t="n"/>
      <c r="CZ187" s="62" t="n"/>
      <c r="DA187" s="62" t="n"/>
      <c r="DB187" s="62">
        <f>DA187-CZ187</f>
        <v/>
      </c>
      <c r="DC187" s="64">
        <f>IF(CZ187=0,"",DA187/CZ187)</f>
        <v/>
      </c>
      <c r="DD187" s="31" t="n"/>
      <c r="DE187" s="60" t="n"/>
      <c r="DF187" s="60" t="n"/>
      <c r="DG187" s="60">
        <f>DF187-DE187</f>
        <v/>
      </c>
      <c r="DH187" s="61">
        <f>IF(DE187=0,"",DF187/DE187)</f>
        <v/>
      </c>
      <c r="DI187" s="27" t="n"/>
      <c r="DJ187" s="62" t="n"/>
      <c r="DK187" s="62" t="n"/>
      <c r="DL187" s="62">
        <f>DK187-DJ187</f>
        <v/>
      </c>
      <c r="DM187" s="64">
        <f>IF(DJ187=0,"",DK187/DJ187)</f>
        <v/>
      </c>
      <c r="DN187" s="31" t="n"/>
      <c r="DO187" s="60" t="n"/>
    </row>
    <row r="188" ht="15" customHeight="1">
      <c r="A188" s="19" t="n"/>
      <c r="B188" s="20" t="n"/>
      <c r="C188" s="19" t="n"/>
      <c r="D188" s="58">
        <f>D189</f>
        <v/>
      </c>
      <c r="E188" s="58">
        <f>E189</f>
        <v/>
      </c>
      <c r="F188" s="58">
        <f>E188-D188</f>
        <v/>
      </c>
      <c r="G188" s="59">
        <f>IF(D188=0,"",E188/D188)</f>
        <v/>
      </c>
      <c r="H188" s="23" t="n"/>
      <c r="I188" s="58">
        <f>I189</f>
        <v/>
      </c>
      <c r="J188" s="58">
        <f>J189</f>
        <v/>
      </c>
      <c r="K188" s="58">
        <f>J188-I188</f>
        <v/>
      </c>
      <c r="L188" s="59">
        <f>IF(I188=0,"",J188/I188)</f>
        <v/>
      </c>
      <c r="M188" s="23" t="n"/>
      <c r="N188" s="58">
        <f>N189</f>
        <v/>
      </c>
      <c r="O188" s="58">
        <f>O189</f>
        <v/>
      </c>
      <c r="P188" s="58">
        <f>O188-N188</f>
        <v/>
      </c>
      <c r="Q188" s="59">
        <f>IF(N188=0,"",O188/N188)</f>
        <v/>
      </c>
      <c r="R188" s="23" t="n"/>
      <c r="S188" s="58">
        <f>S189</f>
        <v/>
      </c>
      <c r="T188" s="58">
        <f>T189</f>
        <v/>
      </c>
      <c r="U188" s="58">
        <f>T188-S188</f>
        <v/>
      </c>
      <c r="V188" s="59">
        <f>IF(S188=0,"",T188/S188)</f>
        <v/>
      </c>
      <c r="W188" s="23" t="n"/>
      <c r="X188" s="58">
        <f>X189</f>
        <v/>
      </c>
      <c r="Y188" s="58">
        <f>Y189</f>
        <v/>
      </c>
      <c r="Z188" s="58">
        <f>Y188-X188</f>
        <v/>
      </c>
      <c r="AA188" s="59">
        <f>IF(X188=0,"",Y188/X188)</f>
        <v/>
      </c>
      <c r="AB188" s="23" t="n"/>
      <c r="AC188" s="58">
        <f>AC189</f>
        <v/>
      </c>
      <c r="AD188" s="58">
        <f>AD189</f>
        <v/>
      </c>
      <c r="AE188" s="58">
        <f>AD188-AC188</f>
        <v/>
      </c>
      <c r="AF188" s="59">
        <f>IF(AC188=0,"",AD188/AC188)</f>
        <v/>
      </c>
      <c r="AG188" s="23" t="n"/>
      <c r="AH188" s="58">
        <f>AH189</f>
        <v/>
      </c>
      <c r="AI188" s="58">
        <f>AI189</f>
        <v/>
      </c>
      <c r="AJ188" s="58">
        <f>AI188-AH188</f>
        <v/>
      </c>
      <c r="AK188" s="59">
        <f>IF(AH188=0,"",AI188/AH188)</f>
        <v/>
      </c>
      <c r="AL188" s="23" t="n"/>
      <c r="AM188" s="58">
        <f>AM189</f>
        <v/>
      </c>
      <c r="AN188" s="58">
        <f>AN189</f>
        <v/>
      </c>
      <c r="AO188" s="58">
        <f>AN188-AM188</f>
        <v/>
      </c>
      <c r="AP188" s="59">
        <f>IF(AM188=0,"",AN188/AM188)</f>
        <v/>
      </c>
      <c r="AQ188" s="23" t="n"/>
      <c r="AR188" s="58">
        <f>AR189</f>
        <v/>
      </c>
      <c r="AS188" s="58">
        <f>AS189</f>
        <v/>
      </c>
      <c r="AT188" s="58">
        <f>AS188-AR188</f>
        <v/>
      </c>
      <c r="AU188" s="59">
        <f>IF(AR188=0,"",AS188/AR188)</f>
        <v/>
      </c>
      <c r="AV188" s="23" t="n"/>
      <c r="AW188" s="58">
        <f>AW189</f>
        <v/>
      </c>
      <c r="AX188" s="58">
        <f>AX189</f>
        <v/>
      </c>
      <c r="AY188" s="58">
        <f>AX188-AW188</f>
        <v/>
      </c>
      <c r="AZ188" s="59">
        <f>IF(AW188=0,"",AX188/AW188)</f>
        <v/>
      </c>
      <c r="BA188" s="23" t="n"/>
      <c r="BB188" s="58">
        <f>BB189</f>
        <v/>
      </c>
      <c r="BC188" s="58">
        <f>BC189</f>
        <v/>
      </c>
      <c r="BD188" s="58">
        <f>BC188-BB188</f>
        <v/>
      </c>
      <c r="BE188" s="59">
        <f>IF(BB188=0,"",BC188/BB188)</f>
        <v/>
      </c>
      <c r="BF188" s="23" t="n"/>
      <c r="BG188" s="58">
        <f>BG189</f>
        <v/>
      </c>
      <c r="BH188" s="58">
        <f>BH189</f>
        <v/>
      </c>
      <c r="BI188" s="58">
        <f>BH188-BG188</f>
        <v/>
      </c>
      <c r="BJ188" s="59">
        <f>IF(BG188=0,"",BH188/BG188)</f>
        <v/>
      </c>
      <c r="BK188" s="23" t="n"/>
      <c r="BL188" s="58">
        <f>BL189</f>
        <v/>
      </c>
      <c r="BM188" s="58">
        <f>BM189</f>
        <v/>
      </c>
      <c r="BN188" s="58">
        <f>BM188-BL188</f>
        <v/>
      </c>
      <c r="BO188" s="59">
        <f>IF(BL188=0,"",BM188/BL188)</f>
        <v/>
      </c>
      <c r="BP188" s="23" t="n"/>
      <c r="BQ188" s="58">
        <f>BQ189</f>
        <v/>
      </c>
      <c r="BR188" s="58">
        <f>BR189</f>
        <v/>
      </c>
      <c r="BS188" s="58">
        <f>BR188-BQ188</f>
        <v/>
      </c>
      <c r="BT188" s="59">
        <f>IF(BQ188=0,"",BR188/BQ188)</f>
        <v/>
      </c>
      <c r="BU188" s="23" t="n"/>
      <c r="BV188" s="58">
        <f>BV189</f>
        <v/>
      </c>
      <c r="BW188" s="58">
        <f>BW189</f>
        <v/>
      </c>
      <c r="BX188" s="58">
        <f>BW188-BV188</f>
        <v/>
      </c>
      <c r="BY188" s="59">
        <f>IF(BV188=0,"",BW188/BV188)</f>
        <v/>
      </c>
      <c r="BZ188" s="23" t="n"/>
      <c r="CA188" s="58">
        <f>CA189</f>
        <v/>
      </c>
      <c r="CB188" s="58">
        <f>CB189</f>
        <v/>
      </c>
      <c r="CC188" s="58">
        <f>CB188-CA188</f>
        <v/>
      </c>
      <c r="CD188" s="59">
        <f>IF(CA188=0,"",CB188/CA188)</f>
        <v/>
      </c>
      <c r="CE188" s="23" t="n"/>
      <c r="CF188" s="58">
        <f>CF189</f>
        <v/>
      </c>
      <c r="CG188" s="58">
        <f>CG189</f>
        <v/>
      </c>
      <c r="CH188" s="58">
        <f>CG188-CF188</f>
        <v/>
      </c>
      <c r="CI188" s="59">
        <f>IF(CF188=0,"",CG188/CF188)</f>
        <v/>
      </c>
      <c r="CJ188" s="23" t="n"/>
      <c r="CK188" s="58">
        <f>CK189</f>
        <v/>
      </c>
      <c r="CL188" s="58">
        <f>CL189</f>
        <v/>
      </c>
      <c r="CM188" s="58">
        <f>CL188-CK188</f>
        <v/>
      </c>
      <c r="CN188" s="59">
        <f>IF(CK188=0,"",CL188/CK188)</f>
        <v/>
      </c>
      <c r="CO188" s="23" t="n"/>
      <c r="CP188" s="58">
        <f>CP189</f>
        <v/>
      </c>
      <c r="CQ188" s="58">
        <f>CQ189</f>
        <v/>
      </c>
      <c r="CR188" s="58">
        <f>CQ188-CP188</f>
        <v/>
      </c>
      <c r="CS188" s="59">
        <f>IF(CP188=0,"",CQ188/CP188)</f>
        <v/>
      </c>
      <c r="CT188" s="23" t="n"/>
      <c r="CU188" s="58">
        <f>CU189</f>
        <v/>
      </c>
      <c r="CV188" s="58">
        <f>CV189</f>
        <v/>
      </c>
      <c r="CW188" s="58">
        <f>CV188-CU188</f>
        <v/>
      </c>
      <c r="CX188" s="59">
        <f>IF(CU188=0,"",CV188/CU188)</f>
        <v/>
      </c>
      <c r="CY188" s="23" t="n"/>
      <c r="CZ188" s="58">
        <f>CZ189</f>
        <v/>
      </c>
      <c r="DA188" s="58">
        <f>DA189</f>
        <v/>
      </c>
      <c r="DB188" s="58">
        <f>DA188-CZ188</f>
        <v/>
      </c>
      <c r="DC188" s="59">
        <f>IF(CZ188=0,"",DA188/CZ188)</f>
        <v/>
      </c>
      <c r="DD188" s="23" t="n"/>
      <c r="DE188" s="58">
        <f>DE189</f>
        <v/>
      </c>
      <c r="DF188" s="58">
        <f>DF189</f>
        <v/>
      </c>
      <c r="DG188" s="58">
        <f>DF188-DE188</f>
        <v/>
      </c>
      <c r="DH188" s="59">
        <f>IF(DE188=0,"",DF188/DE188)</f>
        <v/>
      </c>
      <c r="DI188" s="23" t="n"/>
      <c r="DJ188" s="58">
        <f>DJ189</f>
        <v/>
      </c>
      <c r="DK188" s="58">
        <f>DK189</f>
        <v/>
      </c>
      <c r="DL188" s="58">
        <f>DK188-DJ188</f>
        <v/>
      </c>
      <c r="DM188" s="59">
        <f>IF(DJ188=0,"",DK188/DJ188)</f>
        <v/>
      </c>
      <c r="DN188" s="23" t="n"/>
      <c r="DO188" s="58">
        <f>DO189</f>
        <v/>
      </c>
    </row>
    <row r="189" outlineLevel="1" ht="15" customHeight="1">
      <c r="A189" s="24" t="n"/>
      <c r="B189" s="24" t="n"/>
      <c r="C189" s="24" t="n"/>
      <c r="D189" s="60" t="n"/>
      <c r="E189" s="60" t="n"/>
      <c r="F189" s="60">
        <f>E189-D189</f>
        <v/>
      </c>
      <c r="G189" s="61">
        <f>IF(D189=0,"",E189/D189)</f>
        <v/>
      </c>
      <c r="H189" s="27" t="n"/>
      <c r="I189" s="60" t="n"/>
      <c r="J189" s="60" t="n"/>
      <c r="K189" s="60">
        <f>J189-I189</f>
        <v/>
      </c>
      <c r="L189" s="61">
        <f>IF(I189=0,"",J189/I189)</f>
        <v/>
      </c>
      <c r="M189" s="27" t="n"/>
      <c r="N189" s="62" t="n"/>
      <c r="O189" s="62" t="n"/>
      <c r="P189" s="62">
        <f>O189-N189</f>
        <v/>
      </c>
      <c r="Q189" s="64">
        <f>IF(N189=0,"",O189/N189)</f>
        <v/>
      </c>
      <c r="R189" s="31" t="n"/>
      <c r="S189" s="60" t="n"/>
      <c r="T189" s="60" t="n"/>
      <c r="U189" s="60">
        <f>T189-S189</f>
        <v/>
      </c>
      <c r="V189" s="61">
        <f>IF(S189=0,"",T189/S189)</f>
        <v/>
      </c>
      <c r="W189" s="27" t="n"/>
      <c r="X189" s="62" t="n"/>
      <c r="Y189" s="62" t="n"/>
      <c r="Z189" s="62">
        <f>Y189-X189</f>
        <v/>
      </c>
      <c r="AA189" s="64">
        <f>IF(X189=0,"",Y189/X189)</f>
        <v/>
      </c>
      <c r="AB189" s="31" t="n"/>
      <c r="AC189" s="60" t="n"/>
      <c r="AD189" s="60" t="n"/>
      <c r="AE189" s="60">
        <f>AD189-AC189</f>
        <v/>
      </c>
      <c r="AF189" s="61">
        <f>IF(AC189=0,"",AD189/AC189)</f>
        <v/>
      </c>
      <c r="AG189" s="27" t="n"/>
      <c r="AH189" s="62" t="n"/>
      <c r="AI189" s="62" t="n"/>
      <c r="AJ189" s="62">
        <f>AI189-AH189</f>
        <v/>
      </c>
      <c r="AK189" s="64">
        <f>IF(AH189=0,"",AI189/AH189)</f>
        <v/>
      </c>
      <c r="AL189" s="31" t="n"/>
      <c r="AM189" s="60" t="n"/>
      <c r="AN189" s="60" t="n"/>
      <c r="AO189" s="60">
        <f>AN189-AM189</f>
        <v/>
      </c>
      <c r="AP189" s="61">
        <f>IF(AM189=0,"",AN189/AM189)</f>
        <v/>
      </c>
      <c r="AQ189" s="27" t="n"/>
      <c r="AR189" s="62" t="n"/>
      <c r="AS189" s="62" t="n"/>
      <c r="AT189" s="62">
        <f>AS189-AR189</f>
        <v/>
      </c>
      <c r="AU189" s="64">
        <f>IF(AR189=0,"",AS189/AR189)</f>
        <v/>
      </c>
      <c r="AV189" s="31" t="n"/>
      <c r="AW189" s="60" t="n"/>
      <c r="AX189" s="60" t="n"/>
      <c r="AY189" s="60">
        <f>AX189-AW189</f>
        <v/>
      </c>
      <c r="AZ189" s="61">
        <f>IF(AW189=0,"",AX189/AW189)</f>
        <v/>
      </c>
      <c r="BA189" s="27" t="n"/>
      <c r="BB189" s="62" t="n"/>
      <c r="BC189" s="62" t="n"/>
      <c r="BD189" s="62">
        <f>BC189-BB189</f>
        <v/>
      </c>
      <c r="BE189" s="64">
        <f>IF(BB189=0,"",BC189/BB189)</f>
        <v/>
      </c>
      <c r="BF189" s="31" t="n"/>
      <c r="BG189" s="60" t="n"/>
      <c r="BH189" s="60" t="n"/>
      <c r="BI189" s="60">
        <f>BH189-BG189</f>
        <v/>
      </c>
      <c r="BJ189" s="61">
        <f>IF(BG189=0,"",BH189/BG189)</f>
        <v/>
      </c>
      <c r="BK189" s="27" t="n"/>
      <c r="BL189" s="62" t="n"/>
      <c r="BM189" s="62" t="n"/>
      <c r="BN189" s="62">
        <f>BM189-BL189</f>
        <v/>
      </c>
      <c r="BO189" s="64">
        <f>IF(BL189=0,"",BM189/BL189)</f>
        <v/>
      </c>
      <c r="BP189" s="31" t="n"/>
      <c r="BQ189" s="60" t="n"/>
      <c r="BR189" s="60" t="n"/>
      <c r="BS189" s="60">
        <f>BR189-BQ189</f>
        <v/>
      </c>
      <c r="BT189" s="61">
        <f>IF(BQ189=0,"",BR189/BQ189)</f>
        <v/>
      </c>
      <c r="BU189" s="27" t="n"/>
      <c r="BV189" s="62" t="n"/>
      <c r="BW189" s="62" t="n"/>
      <c r="BX189" s="62">
        <f>BW189-BV189</f>
        <v/>
      </c>
      <c r="BY189" s="64">
        <f>IF(BV189=0,"",BW189/BV189)</f>
        <v/>
      </c>
      <c r="BZ189" s="31" t="n"/>
      <c r="CA189" s="60" t="n"/>
      <c r="CB189" s="60" t="n"/>
      <c r="CC189" s="60">
        <f>CB189-CA189</f>
        <v/>
      </c>
      <c r="CD189" s="61">
        <f>IF(CA189=0,"",CB189/CA189)</f>
        <v/>
      </c>
      <c r="CE189" s="27" t="n"/>
      <c r="CF189" s="62" t="n"/>
      <c r="CG189" s="62" t="n"/>
      <c r="CH189" s="62">
        <f>CG189-CF189</f>
        <v/>
      </c>
      <c r="CI189" s="64">
        <f>IF(CF189=0,"",CG189/CF189)</f>
        <v/>
      </c>
      <c r="CJ189" s="31" t="n"/>
      <c r="CK189" s="60" t="n"/>
      <c r="CL189" s="60" t="n"/>
      <c r="CM189" s="60">
        <f>CL189-CK189</f>
        <v/>
      </c>
      <c r="CN189" s="61">
        <f>IF(CK189=0,"",CL189/CK189)</f>
        <v/>
      </c>
      <c r="CO189" s="27" t="n"/>
      <c r="CP189" s="62" t="n"/>
      <c r="CQ189" s="62" t="n"/>
      <c r="CR189" s="62">
        <f>CQ189-CP189</f>
        <v/>
      </c>
      <c r="CS189" s="64">
        <f>IF(CP189=0,"",CQ189/CP189)</f>
        <v/>
      </c>
      <c r="CT189" s="31" t="n"/>
      <c r="CU189" s="60" t="n"/>
      <c r="CV189" s="60" t="n"/>
      <c r="CW189" s="60">
        <f>CV189-CU189</f>
        <v/>
      </c>
      <c r="CX189" s="61">
        <f>IF(CU189=0,"",CV189/CU189)</f>
        <v/>
      </c>
      <c r="CY189" s="27" t="n"/>
      <c r="CZ189" s="62" t="n"/>
      <c r="DA189" s="62" t="n"/>
      <c r="DB189" s="62">
        <f>DA189-CZ189</f>
        <v/>
      </c>
      <c r="DC189" s="64">
        <f>IF(CZ189=0,"",DA189/CZ189)</f>
        <v/>
      </c>
      <c r="DD189" s="31" t="n"/>
      <c r="DE189" s="60" t="n"/>
      <c r="DF189" s="60" t="n"/>
      <c r="DG189" s="60">
        <f>DF189-DE189</f>
        <v/>
      </c>
      <c r="DH189" s="61">
        <f>IF(DE189=0,"",DF189/DE189)</f>
        <v/>
      </c>
      <c r="DI189" s="27" t="n"/>
      <c r="DJ189" s="62" t="n"/>
      <c r="DK189" s="62" t="n"/>
      <c r="DL189" s="62">
        <f>DK189-DJ189</f>
        <v/>
      </c>
      <c r="DM189" s="64">
        <f>IF(DJ189=0,"",DK189/DJ189)</f>
        <v/>
      </c>
      <c r="DN189" s="31" t="n"/>
      <c r="DO189" s="60" t="n"/>
    </row>
    <row r="190" ht="15" customHeight="1">
      <c r="A190" s="19" t="n"/>
      <c r="B190" s="20" t="n"/>
      <c r="C190" s="19" t="n"/>
      <c r="D190" s="58">
        <f>D191</f>
        <v/>
      </c>
      <c r="E190" s="58">
        <f>E191</f>
        <v/>
      </c>
      <c r="F190" s="58">
        <f>E190-D190</f>
        <v/>
      </c>
      <c r="G190" s="59">
        <f>IF(D190=0,"",E190/D190)</f>
        <v/>
      </c>
      <c r="H190" s="23" t="n"/>
      <c r="I190" s="58">
        <f>I191</f>
        <v/>
      </c>
      <c r="J190" s="58">
        <f>J191</f>
        <v/>
      </c>
      <c r="K190" s="58">
        <f>J190-I190</f>
        <v/>
      </c>
      <c r="L190" s="59">
        <f>IF(I190=0,"",J190/I190)</f>
        <v/>
      </c>
      <c r="M190" s="23" t="n"/>
      <c r="N190" s="58">
        <f>N191</f>
        <v/>
      </c>
      <c r="O190" s="58">
        <f>O191</f>
        <v/>
      </c>
      <c r="P190" s="58">
        <f>O190-N190</f>
        <v/>
      </c>
      <c r="Q190" s="59">
        <f>IF(N190=0,"",O190/N190)</f>
        <v/>
      </c>
      <c r="R190" s="23" t="n"/>
      <c r="S190" s="58">
        <f>S191</f>
        <v/>
      </c>
      <c r="T190" s="58">
        <f>T191</f>
        <v/>
      </c>
      <c r="U190" s="58">
        <f>T190-S190</f>
        <v/>
      </c>
      <c r="V190" s="59">
        <f>IF(S190=0,"",T190/S190)</f>
        <v/>
      </c>
      <c r="W190" s="23" t="n"/>
      <c r="X190" s="58">
        <f>X191</f>
        <v/>
      </c>
      <c r="Y190" s="58">
        <f>Y191</f>
        <v/>
      </c>
      <c r="Z190" s="58">
        <f>Y190-X190</f>
        <v/>
      </c>
      <c r="AA190" s="59">
        <f>IF(X190=0,"",Y190/X190)</f>
        <v/>
      </c>
      <c r="AB190" s="23" t="n"/>
      <c r="AC190" s="58">
        <f>AC191</f>
        <v/>
      </c>
      <c r="AD190" s="58">
        <f>AD191</f>
        <v/>
      </c>
      <c r="AE190" s="58">
        <f>AD190-AC190</f>
        <v/>
      </c>
      <c r="AF190" s="59">
        <f>IF(AC190=0,"",AD190/AC190)</f>
        <v/>
      </c>
      <c r="AG190" s="23" t="n"/>
      <c r="AH190" s="58">
        <f>AH191</f>
        <v/>
      </c>
      <c r="AI190" s="58">
        <f>AI191</f>
        <v/>
      </c>
      <c r="AJ190" s="58">
        <f>AI190-AH190</f>
        <v/>
      </c>
      <c r="AK190" s="59">
        <f>IF(AH190=0,"",AI190/AH190)</f>
        <v/>
      </c>
      <c r="AL190" s="23" t="n"/>
      <c r="AM190" s="58">
        <f>AM191</f>
        <v/>
      </c>
      <c r="AN190" s="58">
        <f>AN191</f>
        <v/>
      </c>
      <c r="AO190" s="58">
        <f>AN190-AM190</f>
        <v/>
      </c>
      <c r="AP190" s="59">
        <f>IF(AM190=0,"",AN190/AM190)</f>
        <v/>
      </c>
      <c r="AQ190" s="23" t="n"/>
      <c r="AR190" s="58">
        <f>AR191</f>
        <v/>
      </c>
      <c r="AS190" s="58">
        <f>AS191</f>
        <v/>
      </c>
      <c r="AT190" s="58">
        <f>AS190-AR190</f>
        <v/>
      </c>
      <c r="AU190" s="59">
        <f>IF(AR190=0,"",AS190/AR190)</f>
        <v/>
      </c>
      <c r="AV190" s="23" t="n"/>
      <c r="AW190" s="58">
        <f>AW191</f>
        <v/>
      </c>
      <c r="AX190" s="58">
        <f>AX191</f>
        <v/>
      </c>
      <c r="AY190" s="58">
        <f>AX190-AW190</f>
        <v/>
      </c>
      <c r="AZ190" s="59">
        <f>IF(AW190=0,"",AX190/AW190)</f>
        <v/>
      </c>
      <c r="BA190" s="23" t="n"/>
      <c r="BB190" s="58">
        <f>BB191</f>
        <v/>
      </c>
      <c r="BC190" s="58">
        <f>BC191</f>
        <v/>
      </c>
      <c r="BD190" s="58">
        <f>BC190-BB190</f>
        <v/>
      </c>
      <c r="BE190" s="59">
        <f>IF(BB190=0,"",BC190/BB190)</f>
        <v/>
      </c>
      <c r="BF190" s="23" t="n"/>
      <c r="BG190" s="58">
        <f>BG191</f>
        <v/>
      </c>
      <c r="BH190" s="58">
        <f>BH191</f>
        <v/>
      </c>
      <c r="BI190" s="58">
        <f>BH190-BG190</f>
        <v/>
      </c>
      <c r="BJ190" s="59">
        <f>IF(BG190=0,"",BH190/BG190)</f>
        <v/>
      </c>
      <c r="BK190" s="23" t="n"/>
      <c r="BL190" s="58">
        <f>BL191</f>
        <v/>
      </c>
      <c r="BM190" s="58">
        <f>BM191</f>
        <v/>
      </c>
      <c r="BN190" s="58">
        <f>BM190-BL190</f>
        <v/>
      </c>
      <c r="BO190" s="59">
        <f>IF(BL190=0,"",BM190/BL190)</f>
        <v/>
      </c>
      <c r="BP190" s="23" t="n"/>
      <c r="BQ190" s="58">
        <f>BQ191</f>
        <v/>
      </c>
      <c r="BR190" s="58">
        <f>BR191</f>
        <v/>
      </c>
      <c r="BS190" s="58">
        <f>BR190-BQ190</f>
        <v/>
      </c>
      <c r="BT190" s="59">
        <f>IF(BQ190=0,"",BR190/BQ190)</f>
        <v/>
      </c>
      <c r="BU190" s="23" t="n"/>
      <c r="BV190" s="58">
        <f>BV191</f>
        <v/>
      </c>
      <c r="BW190" s="58">
        <f>BW191</f>
        <v/>
      </c>
      <c r="BX190" s="58">
        <f>BW190-BV190</f>
        <v/>
      </c>
      <c r="BY190" s="59">
        <f>IF(BV190=0,"",BW190/BV190)</f>
        <v/>
      </c>
      <c r="BZ190" s="23" t="n"/>
      <c r="CA190" s="58">
        <f>CA191</f>
        <v/>
      </c>
      <c r="CB190" s="58">
        <f>CB191</f>
        <v/>
      </c>
      <c r="CC190" s="58">
        <f>CB190-CA190</f>
        <v/>
      </c>
      <c r="CD190" s="59">
        <f>IF(CA190=0,"",CB190/CA190)</f>
        <v/>
      </c>
      <c r="CE190" s="23" t="n"/>
      <c r="CF190" s="58">
        <f>CF191</f>
        <v/>
      </c>
      <c r="CG190" s="58">
        <f>CG191</f>
        <v/>
      </c>
      <c r="CH190" s="58">
        <f>CG190-CF190</f>
        <v/>
      </c>
      <c r="CI190" s="59">
        <f>IF(CF190=0,"",CG190/CF190)</f>
        <v/>
      </c>
      <c r="CJ190" s="23" t="n"/>
      <c r="CK190" s="58">
        <f>CK191</f>
        <v/>
      </c>
      <c r="CL190" s="58">
        <f>CL191</f>
        <v/>
      </c>
      <c r="CM190" s="58">
        <f>CL190-CK190</f>
        <v/>
      </c>
      <c r="CN190" s="59">
        <f>IF(CK190=0,"",CL190/CK190)</f>
        <v/>
      </c>
      <c r="CO190" s="23" t="n"/>
      <c r="CP190" s="58">
        <f>CP191</f>
        <v/>
      </c>
      <c r="CQ190" s="58">
        <f>CQ191</f>
        <v/>
      </c>
      <c r="CR190" s="58">
        <f>CQ190-CP190</f>
        <v/>
      </c>
      <c r="CS190" s="59">
        <f>IF(CP190=0,"",CQ190/CP190)</f>
        <v/>
      </c>
      <c r="CT190" s="23" t="n"/>
      <c r="CU190" s="58">
        <f>CU191</f>
        <v/>
      </c>
      <c r="CV190" s="58">
        <f>CV191</f>
        <v/>
      </c>
      <c r="CW190" s="58">
        <f>CV190-CU190</f>
        <v/>
      </c>
      <c r="CX190" s="59">
        <f>IF(CU190=0,"",CV190/CU190)</f>
        <v/>
      </c>
      <c r="CY190" s="23" t="n"/>
      <c r="CZ190" s="58">
        <f>CZ191</f>
        <v/>
      </c>
      <c r="DA190" s="58">
        <f>DA191</f>
        <v/>
      </c>
      <c r="DB190" s="58">
        <f>DA190-CZ190</f>
        <v/>
      </c>
      <c r="DC190" s="59">
        <f>IF(CZ190=0,"",DA190/CZ190)</f>
        <v/>
      </c>
      <c r="DD190" s="23" t="n"/>
      <c r="DE190" s="58">
        <f>DE191</f>
        <v/>
      </c>
      <c r="DF190" s="58">
        <f>DF191</f>
        <v/>
      </c>
      <c r="DG190" s="58">
        <f>DF190-DE190</f>
        <v/>
      </c>
      <c r="DH190" s="59">
        <f>IF(DE190=0,"",DF190/DE190)</f>
        <v/>
      </c>
      <c r="DI190" s="23" t="n"/>
      <c r="DJ190" s="58">
        <f>DJ191</f>
        <v/>
      </c>
      <c r="DK190" s="58">
        <f>DK191</f>
        <v/>
      </c>
      <c r="DL190" s="58">
        <f>DK190-DJ190</f>
        <v/>
      </c>
      <c r="DM190" s="59">
        <f>IF(DJ190=0,"",DK190/DJ190)</f>
        <v/>
      </c>
      <c r="DN190" s="23" t="n"/>
      <c r="DO190" s="58">
        <f>DO191</f>
        <v/>
      </c>
    </row>
    <row r="191" outlineLevel="1" ht="15" customHeight="1">
      <c r="A191" s="24" t="n"/>
      <c r="B191" s="24" t="n"/>
      <c r="C191" s="24" t="n"/>
      <c r="D191" s="60" t="n"/>
      <c r="E191" s="60" t="n"/>
      <c r="F191" s="60">
        <f>E191-D191</f>
        <v/>
      </c>
      <c r="G191" s="61">
        <f>IF(D191=0,"",E191/D191)</f>
        <v/>
      </c>
      <c r="H191" s="27" t="n"/>
      <c r="I191" s="60" t="n"/>
      <c r="J191" s="60" t="n"/>
      <c r="K191" s="60">
        <f>J191-I191</f>
        <v/>
      </c>
      <c r="L191" s="61">
        <f>IF(I191=0,"",J191/I191)</f>
        <v/>
      </c>
      <c r="M191" s="27" t="n"/>
      <c r="N191" s="62" t="n"/>
      <c r="O191" s="62" t="n"/>
      <c r="P191" s="62">
        <f>O191-N191</f>
        <v/>
      </c>
      <c r="Q191" s="64">
        <f>IF(N191=0,"",O191/N191)</f>
        <v/>
      </c>
      <c r="R191" s="31" t="n"/>
      <c r="S191" s="60" t="n"/>
      <c r="T191" s="60" t="n"/>
      <c r="U191" s="60">
        <f>T191-S191</f>
        <v/>
      </c>
      <c r="V191" s="61">
        <f>IF(S191=0,"",T191/S191)</f>
        <v/>
      </c>
      <c r="W191" s="27" t="n"/>
      <c r="X191" s="62" t="n"/>
      <c r="Y191" s="62" t="n"/>
      <c r="Z191" s="62">
        <f>Y191-X191</f>
        <v/>
      </c>
      <c r="AA191" s="64">
        <f>IF(X191=0,"",Y191/X191)</f>
        <v/>
      </c>
      <c r="AB191" s="31" t="n"/>
      <c r="AC191" s="60" t="n"/>
      <c r="AD191" s="60" t="n"/>
      <c r="AE191" s="60">
        <f>AD191-AC191</f>
        <v/>
      </c>
      <c r="AF191" s="61">
        <f>IF(AC191=0,"",AD191/AC191)</f>
        <v/>
      </c>
      <c r="AG191" s="27" t="n"/>
      <c r="AH191" s="62" t="n"/>
      <c r="AI191" s="62" t="n"/>
      <c r="AJ191" s="62">
        <f>AI191-AH191</f>
        <v/>
      </c>
      <c r="AK191" s="64">
        <f>IF(AH191=0,"",AI191/AH191)</f>
        <v/>
      </c>
      <c r="AL191" s="31" t="n"/>
      <c r="AM191" s="60" t="n"/>
      <c r="AN191" s="60" t="n"/>
      <c r="AO191" s="60">
        <f>AN191-AM191</f>
        <v/>
      </c>
      <c r="AP191" s="61">
        <f>IF(AM191=0,"",AN191/AM191)</f>
        <v/>
      </c>
      <c r="AQ191" s="27" t="n"/>
      <c r="AR191" s="62" t="n"/>
      <c r="AS191" s="62" t="n"/>
      <c r="AT191" s="62">
        <f>AS191-AR191</f>
        <v/>
      </c>
      <c r="AU191" s="64">
        <f>IF(AR191=0,"",AS191/AR191)</f>
        <v/>
      </c>
      <c r="AV191" s="31" t="n"/>
      <c r="AW191" s="60" t="n"/>
      <c r="AX191" s="60" t="n"/>
      <c r="AY191" s="60">
        <f>AX191-AW191</f>
        <v/>
      </c>
      <c r="AZ191" s="61">
        <f>IF(AW191=0,"",AX191/AW191)</f>
        <v/>
      </c>
      <c r="BA191" s="27" t="n"/>
      <c r="BB191" s="62" t="n"/>
      <c r="BC191" s="62" t="n"/>
      <c r="BD191" s="62">
        <f>BC191-BB191</f>
        <v/>
      </c>
      <c r="BE191" s="64">
        <f>IF(BB191=0,"",BC191/BB191)</f>
        <v/>
      </c>
      <c r="BF191" s="31" t="n"/>
      <c r="BG191" s="60" t="n"/>
      <c r="BH191" s="60" t="n"/>
      <c r="BI191" s="60">
        <f>BH191-BG191</f>
        <v/>
      </c>
      <c r="BJ191" s="61">
        <f>IF(BG191=0,"",BH191/BG191)</f>
        <v/>
      </c>
      <c r="BK191" s="27" t="n"/>
      <c r="BL191" s="62" t="n"/>
      <c r="BM191" s="62" t="n"/>
      <c r="BN191" s="62">
        <f>BM191-BL191</f>
        <v/>
      </c>
      <c r="BO191" s="64">
        <f>IF(BL191=0,"",BM191/BL191)</f>
        <v/>
      </c>
      <c r="BP191" s="31" t="n"/>
      <c r="BQ191" s="60" t="n"/>
      <c r="BR191" s="60" t="n"/>
      <c r="BS191" s="60">
        <f>BR191-BQ191</f>
        <v/>
      </c>
      <c r="BT191" s="61">
        <f>IF(BQ191=0,"",BR191/BQ191)</f>
        <v/>
      </c>
      <c r="BU191" s="27" t="n"/>
      <c r="BV191" s="62" t="n"/>
      <c r="BW191" s="62" t="n"/>
      <c r="BX191" s="62">
        <f>BW191-BV191</f>
        <v/>
      </c>
      <c r="BY191" s="64">
        <f>IF(BV191=0,"",BW191/BV191)</f>
        <v/>
      </c>
      <c r="BZ191" s="31" t="n"/>
      <c r="CA191" s="60" t="n"/>
      <c r="CB191" s="60" t="n"/>
      <c r="CC191" s="60">
        <f>CB191-CA191</f>
        <v/>
      </c>
      <c r="CD191" s="61">
        <f>IF(CA191=0,"",CB191/CA191)</f>
        <v/>
      </c>
      <c r="CE191" s="27" t="n"/>
      <c r="CF191" s="62" t="n"/>
      <c r="CG191" s="62" t="n"/>
      <c r="CH191" s="62">
        <f>CG191-CF191</f>
        <v/>
      </c>
      <c r="CI191" s="64">
        <f>IF(CF191=0,"",CG191/CF191)</f>
        <v/>
      </c>
      <c r="CJ191" s="31" t="n"/>
      <c r="CK191" s="60" t="n"/>
      <c r="CL191" s="60" t="n"/>
      <c r="CM191" s="60">
        <f>CL191-CK191</f>
        <v/>
      </c>
      <c r="CN191" s="61">
        <f>IF(CK191=0,"",CL191/CK191)</f>
        <v/>
      </c>
      <c r="CO191" s="27" t="n"/>
      <c r="CP191" s="62" t="n"/>
      <c r="CQ191" s="62" t="n"/>
      <c r="CR191" s="62">
        <f>CQ191-CP191</f>
        <v/>
      </c>
      <c r="CS191" s="64">
        <f>IF(CP191=0,"",CQ191/CP191)</f>
        <v/>
      </c>
      <c r="CT191" s="31" t="n"/>
      <c r="CU191" s="60" t="n"/>
      <c r="CV191" s="60" t="n"/>
      <c r="CW191" s="60">
        <f>CV191-CU191</f>
        <v/>
      </c>
      <c r="CX191" s="61">
        <f>IF(CU191=0,"",CV191/CU191)</f>
        <v/>
      </c>
      <c r="CY191" s="27" t="n"/>
      <c r="CZ191" s="62" t="n"/>
      <c r="DA191" s="62" t="n"/>
      <c r="DB191" s="62">
        <f>DA191-CZ191</f>
        <v/>
      </c>
      <c r="DC191" s="64">
        <f>IF(CZ191=0,"",DA191/CZ191)</f>
        <v/>
      </c>
      <c r="DD191" s="31" t="n"/>
      <c r="DE191" s="60" t="n"/>
      <c r="DF191" s="60" t="n"/>
      <c r="DG191" s="60">
        <f>DF191-DE191</f>
        <v/>
      </c>
      <c r="DH191" s="61">
        <f>IF(DE191=0,"",DF191/DE191)</f>
        <v/>
      </c>
      <c r="DI191" s="27" t="n"/>
      <c r="DJ191" s="62" t="n"/>
      <c r="DK191" s="62" t="n"/>
      <c r="DL191" s="62">
        <f>DK191-DJ191</f>
        <v/>
      </c>
      <c r="DM191" s="64">
        <f>IF(DJ191=0,"",DK191/DJ191)</f>
        <v/>
      </c>
      <c r="DN191" s="31" t="n"/>
      <c r="DO191" s="60" t="n"/>
    </row>
    <row r="192" ht="15" customHeight="1">
      <c r="A192" s="19" t="n"/>
      <c r="B192" s="20" t="n"/>
      <c r="C192" s="19" t="n"/>
      <c r="D192" s="58">
        <f>D193</f>
        <v/>
      </c>
      <c r="E192" s="58">
        <f>E193</f>
        <v/>
      </c>
      <c r="F192" s="58">
        <f>E192-D192</f>
        <v/>
      </c>
      <c r="G192" s="59">
        <f>IF(D192=0,"",E192/D192)</f>
        <v/>
      </c>
      <c r="H192" s="23" t="n"/>
      <c r="I192" s="58">
        <f>I193</f>
        <v/>
      </c>
      <c r="J192" s="58">
        <f>J193</f>
        <v/>
      </c>
      <c r="K192" s="58">
        <f>J192-I192</f>
        <v/>
      </c>
      <c r="L192" s="59">
        <f>IF(I192=0,"",J192/I192)</f>
        <v/>
      </c>
      <c r="M192" s="23" t="n"/>
      <c r="N192" s="58">
        <f>N193</f>
        <v/>
      </c>
      <c r="O192" s="58">
        <f>O193</f>
        <v/>
      </c>
      <c r="P192" s="58">
        <f>O192-N192</f>
        <v/>
      </c>
      <c r="Q192" s="59">
        <f>IF(N192=0,"",O192/N192)</f>
        <v/>
      </c>
      <c r="R192" s="23" t="n"/>
      <c r="S192" s="58">
        <f>S193</f>
        <v/>
      </c>
      <c r="T192" s="58">
        <f>T193</f>
        <v/>
      </c>
      <c r="U192" s="58">
        <f>T192-S192</f>
        <v/>
      </c>
      <c r="V192" s="59">
        <f>IF(S192=0,"",T192/S192)</f>
        <v/>
      </c>
      <c r="W192" s="23" t="n"/>
      <c r="X192" s="58">
        <f>X193</f>
        <v/>
      </c>
      <c r="Y192" s="58">
        <f>Y193</f>
        <v/>
      </c>
      <c r="Z192" s="58">
        <f>Y192-X192</f>
        <v/>
      </c>
      <c r="AA192" s="59">
        <f>IF(X192=0,"",Y192/X192)</f>
        <v/>
      </c>
      <c r="AB192" s="23" t="n"/>
      <c r="AC192" s="58">
        <f>AC193</f>
        <v/>
      </c>
      <c r="AD192" s="58">
        <f>AD193</f>
        <v/>
      </c>
      <c r="AE192" s="58">
        <f>AD192-AC192</f>
        <v/>
      </c>
      <c r="AF192" s="59">
        <f>IF(AC192=0,"",AD192/AC192)</f>
        <v/>
      </c>
      <c r="AG192" s="23" t="n"/>
      <c r="AH192" s="58">
        <f>AH193</f>
        <v/>
      </c>
      <c r="AI192" s="58">
        <f>AI193</f>
        <v/>
      </c>
      <c r="AJ192" s="58">
        <f>AI192-AH192</f>
        <v/>
      </c>
      <c r="AK192" s="59">
        <f>IF(AH192=0,"",AI192/AH192)</f>
        <v/>
      </c>
      <c r="AL192" s="23" t="n"/>
      <c r="AM192" s="58">
        <f>AM193</f>
        <v/>
      </c>
      <c r="AN192" s="58">
        <f>AN193</f>
        <v/>
      </c>
      <c r="AO192" s="58">
        <f>AN192-AM192</f>
        <v/>
      </c>
      <c r="AP192" s="59">
        <f>IF(AM192=0,"",AN192/AM192)</f>
        <v/>
      </c>
      <c r="AQ192" s="23" t="n"/>
      <c r="AR192" s="58">
        <f>AR193</f>
        <v/>
      </c>
      <c r="AS192" s="58">
        <f>AS193</f>
        <v/>
      </c>
      <c r="AT192" s="58">
        <f>AS192-AR192</f>
        <v/>
      </c>
      <c r="AU192" s="59">
        <f>IF(AR192=0,"",AS192/AR192)</f>
        <v/>
      </c>
      <c r="AV192" s="23" t="n"/>
      <c r="AW192" s="58">
        <f>AW193</f>
        <v/>
      </c>
      <c r="AX192" s="58">
        <f>AX193</f>
        <v/>
      </c>
      <c r="AY192" s="58">
        <f>AX192-AW192</f>
        <v/>
      </c>
      <c r="AZ192" s="59">
        <f>IF(AW192=0,"",AX192/AW192)</f>
        <v/>
      </c>
      <c r="BA192" s="23" t="n"/>
      <c r="BB192" s="58">
        <f>BB193</f>
        <v/>
      </c>
      <c r="BC192" s="58">
        <f>BC193</f>
        <v/>
      </c>
      <c r="BD192" s="58">
        <f>BC192-BB192</f>
        <v/>
      </c>
      <c r="BE192" s="59">
        <f>IF(BB192=0,"",BC192/BB192)</f>
        <v/>
      </c>
      <c r="BF192" s="23" t="n"/>
      <c r="BG192" s="58">
        <f>BG193</f>
        <v/>
      </c>
      <c r="BH192" s="58">
        <f>BH193</f>
        <v/>
      </c>
      <c r="BI192" s="58">
        <f>BH192-BG192</f>
        <v/>
      </c>
      <c r="BJ192" s="59">
        <f>IF(BG192=0,"",BH192/BG192)</f>
        <v/>
      </c>
      <c r="BK192" s="23" t="n"/>
      <c r="BL192" s="58">
        <f>BL193</f>
        <v/>
      </c>
      <c r="BM192" s="58">
        <f>BM193</f>
        <v/>
      </c>
      <c r="BN192" s="58">
        <f>BM192-BL192</f>
        <v/>
      </c>
      <c r="BO192" s="59">
        <f>IF(BL192=0,"",BM192/BL192)</f>
        <v/>
      </c>
      <c r="BP192" s="23" t="n"/>
      <c r="BQ192" s="58">
        <f>BQ193</f>
        <v/>
      </c>
      <c r="BR192" s="58">
        <f>BR193</f>
        <v/>
      </c>
      <c r="BS192" s="58">
        <f>BR192-BQ192</f>
        <v/>
      </c>
      <c r="BT192" s="59">
        <f>IF(BQ192=0,"",BR192/BQ192)</f>
        <v/>
      </c>
      <c r="BU192" s="23" t="n"/>
      <c r="BV192" s="58">
        <f>BV193</f>
        <v/>
      </c>
      <c r="BW192" s="58">
        <f>BW193</f>
        <v/>
      </c>
      <c r="BX192" s="58">
        <f>BW192-BV192</f>
        <v/>
      </c>
      <c r="BY192" s="59">
        <f>IF(BV192=0,"",BW192/BV192)</f>
        <v/>
      </c>
      <c r="BZ192" s="23" t="n"/>
      <c r="CA192" s="58">
        <f>CA193</f>
        <v/>
      </c>
      <c r="CB192" s="58">
        <f>CB193</f>
        <v/>
      </c>
      <c r="CC192" s="58">
        <f>CB192-CA192</f>
        <v/>
      </c>
      <c r="CD192" s="59">
        <f>IF(CA192=0,"",CB192/CA192)</f>
        <v/>
      </c>
      <c r="CE192" s="23" t="n"/>
      <c r="CF192" s="58">
        <f>CF193</f>
        <v/>
      </c>
      <c r="CG192" s="58">
        <f>CG193</f>
        <v/>
      </c>
      <c r="CH192" s="58">
        <f>CG192-CF192</f>
        <v/>
      </c>
      <c r="CI192" s="59">
        <f>IF(CF192=0,"",CG192/CF192)</f>
        <v/>
      </c>
      <c r="CJ192" s="23" t="n"/>
      <c r="CK192" s="58">
        <f>CK193</f>
        <v/>
      </c>
      <c r="CL192" s="58">
        <f>CL193</f>
        <v/>
      </c>
      <c r="CM192" s="58">
        <f>CL192-CK192</f>
        <v/>
      </c>
      <c r="CN192" s="59">
        <f>IF(CK192=0,"",CL192/CK192)</f>
        <v/>
      </c>
      <c r="CO192" s="23" t="n"/>
      <c r="CP192" s="58">
        <f>CP193</f>
        <v/>
      </c>
      <c r="CQ192" s="58">
        <f>CQ193</f>
        <v/>
      </c>
      <c r="CR192" s="58">
        <f>CQ192-CP192</f>
        <v/>
      </c>
      <c r="CS192" s="59">
        <f>IF(CP192=0,"",CQ192/CP192)</f>
        <v/>
      </c>
      <c r="CT192" s="23" t="n"/>
      <c r="CU192" s="58">
        <f>CU193</f>
        <v/>
      </c>
      <c r="CV192" s="58">
        <f>CV193</f>
        <v/>
      </c>
      <c r="CW192" s="58">
        <f>CV192-CU192</f>
        <v/>
      </c>
      <c r="CX192" s="59">
        <f>IF(CU192=0,"",CV192/CU192)</f>
        <v/>
      </c>
      <c r="CY192" s="23" t="n"/>
      <c r="CZ192" s="58">
        <f>CZ193</f>
        <v/>
      </c>
      <c r="DA192" s="58">
        <f>DA193</f>
        <v/>
      </c>
      <c r="DB192" s="58">
        <f>DA192-CZ192</f>
        <v/>
      </c>
      <c r="DC192" s="59">
        <f>IF(CZ192=0,"",DA192/CZ192)</f>
        <v/>
      </c>
      <c r="DD192" s="23" t="n"/>
      <c r="DE192" s="58">
        <f>DE193</f>
        <v/>
      </c>
      <c r="DF192" s="58">
        <f>DF193</f>
        <v/>
      </c>
      <c r="DG192" s="58">
        <f>DF192-DE192</f>
        <v/>
      </c>
      <c r="DH192" s="59">
        <f>IF(DE192=0,"",DF192/DE192)</f>
        <v/>
      </c>
      <c r="DI192" s="23" t="n"/>
      <c r="DJ192" s="58">
        <f>DJ193</f>
        <v/>
      </c>
      <c r="DK192" s="58">
        <f>DK193</f>
        <v/>
      </c>
      <c r="DL192" s="58">
        <f>DK192-DJ192</f>
        <v/>
      </c>
      <c r="DM192" s="59">
        <f>IF(DJ192=0,"",DK192/DJ192)</f>
        <v/>
      </c>
      <c r="DN192" s="23" t="n"/>
      <c r="DO192" s="58">
        <f>DO193</f>
        <v/>
      </c>
    </row>
    <row r="193" outlineLevel="1" ht="15" customHeight="1">
      <c r="A193" s="24" t="n"/>
      <c r="B193" s="24" t="n"/>
      <c r="C193" s="24" t="n"/>
      <c r="D193" s="60" t="n"/>
      <c r="E193" s="60" t="n"/>
      <c r="F193" s="60">
        <f>E193-D193</f>
        <v/>
      </c>
      <c r="G193" s="61">
        <f>IF(D193=0,"",E193/D193)</f>
        <v/>
      </c>
      <c r="H193" s="27" t="n"/>
      <c r="I193" s="60" t="n"/>
      <c r="J193" s="60" t="n"/>
      <c r="K193" s="60">
        <f>J193-I193</f>
        <v/>
      </c>
      <c r="L193" s="61">
        <f>IF(I193=0,"",J193/I193)</f>
        <v/>
      </c>
      <c r="M193" s="27" t="n"/>
      <c r="N193" s="62" t="n"/>
      <c r="O193" s="62" t="n"/>
      <c r="P193" s="62">
        <f>O193-N193</f>
        <v/>
      </c>
      <c r="Q193" s="64">
        <f>IF(N193=0,"",O193/N193)</f>
        <v/>
      </c>
      <c r="R193" s="31" t="n"/>
      <c r="S193" s="60" t="n"/>
      <c r="T193" s="60" t="n"/>
      <c r="U193" s="60">
        <f>T193-S193</f>
        <v/>
      </c>
      <c r="V193" s="61">
        <f>IF(S193=0,"",T193/S193)</f>
        <v/>
      </c>
      <c r="W193" s="27" t="n"/>
      <c r="X193" s="62" t="n"/>
      <c r="Y193" s="62" t="n"/>
      <c r="Z193" s="62">
        <f>Y193-X193</f>
        <v/>
      </c>
      <c r="AA193" s="64">
        <f>IF(X193=0,"",Y193/X193)</f>
        <v/>
      </c>
      <c r="AB193" s="31" t="n"/>
      <c r="AC193" s="60" t="n"/>
      <c r="AD193" s="60" t="n"/>
      <c r="AE193" s="60">
        <f>AD193-AC193</f>
        <v/>
      </c>
      <c r="AF193" s="61">
        <f>IF(AC193=0,"",AD193/AC193)</f>
        <v/>
      </c>
      <c r="AG193" s="27" t="n"/>
      <c r="AH193" s="62" t="n"/>
      <c r="AI193" s="62" t="n"/>
      <c r="AJ193" s="62">
        <f>AI193-AH193</f>
        <v/>
      </c>
      <c r="AK193" s="64">
        <f>IF(AH193=0,"",AI193/AH193)</f>
        <v/>
      </c>
      <c r="AL193" s="31" t="n"/>
      <c r="AM193" s="60" t="n"/>
      <c r="AN193" s="60" t="n"/>
      <c r="AO193" s="60">
        <f>AN193-AM193</f>
        <v/>
      </c>
      <c r="AP193" s="61">
        <f>IF(AM193=0,"",AN193/AM193)</f>
        <v/>
      </c>
      <c r="AQ193" s="27" t="n"/>
      <c r="AR193" s="62" t="n"/>
      <c r="AS193" s="62" t="n"/>
      <c r="AT193" s="62">
        <f>AS193-AR193</f>
        <v/>
      </c>
      <c r="AU193" s="64">
        <f>IF(AR193=0,"",AS193/AR193)</f>
        <v/>
      </c>
      <c r="AV193" s="31" t="n"/>
      <c r="AW193" s="60" t="n"/>
      <c r="AX193" s="60" t="n"/>
      <c r="AY193" s="60">
        <f>AX193-AW193</f>
        <v/>
      </c>
      <c r="AZ193" s="61">
        <f>IF(AW193=0,"",AX193/AW193)</f>
        <v/>
      </c>
      <c r="BA193" s="27" t="n"/>
      <c r="BB193" s="62" t="n"/>
      <c r="BC193" s="62" t="n"/>
      <c r="BD193" s="62">
        <f>BC193-BB193</f>
        <v/>
      </c>
      <c r="BE193" s="64">
        <f>IF(BB193=0,"",BC193/BB193)</f>
        <v/>
      </c>
      <c r="BF193" s="31" t="n"/>
      <c r="BG193" s="60" t="n"/>
      <c r="BH193" s="60" t="n"/>
      <c r="BI193" s="60">
        <f>BH193-BG193</f>
        <v/>
      </c>
      <c r="BJ193" s="61">
        <f>IF(BG193=0,"",BH193/BG193)</f>
        <v/>
      </c>
      <c r="BK193" s="27" t="n"/>
      <c r="BL193" s="62" t="n"/>
      <c r="BM193" s="62" t="n"/>
      <c r="BN193" s="62">
        <f>BM193-BL193</f>
        <v/>
      </c>
      <c r="BO193" s="64">
        <f>IF(BL193=0,"",BM193/BL193)</f>
        <v/>
      </c>
      <c r="BP193" s="31" t="n"/>
      <c r="BQ193" s="60" t="n"/>
      <c r="BR193" s="60" t="n"/>
      <c r="BS193" s="60">
        <f>BR193-BQ193</f>
        <v/>
      </c>
      <c r="BT193" s="61">
        <f>IF(BQ193=0,"",BR193/BQ193)</f>
        <v/>
      </c>
      <c r="BU193" s="27" t="n"/>
      <c r="BV193" s="62" t="n"/>
      <c r="BW193" s="62" t="n"/>
      <c r="BX193" s="62">
        <f>BW193-BV193</f>
        <v/>
      </c>
      <c r="BY193" s="64">
        <f>IF(BV193=0,"",BW193/BV193)</f>
        <v/>
      </c>
      <c r="BZ193" s="31" t="n"/>
      <c r="CA193" s="60" t="n"/>
      <c r="CB193" s="60" t="n"/>
      <c r="CC193" s="60">
        <f>CB193-CA193</f>
        <v/>
      </c>
      <c r="CD193" s="61">
        <f>IF(CA193=0,"",CB193/CA193)</f>
        <v/>
      </c>
      <c r="CE193" s="27" t="n"/>
      <c r="CF193" s="62" t="n"/>
      <c r="CG193" s="62" t="n"/>
      <c r="CH193" s="62">
        <f>CG193-CF193</f>
        <v/>
      </c>
      <c r="CI193" s="64">
        <f>IF(CF193=0,"",CG193/CF193)</f>
        <v/>
      </c>
      <c r="CJ193" s="31" t="n"/>
      <c r="CK193" s="60" t="n"/>
      <c r="CL193" s="60" t="n"/>
      <c r="CM193" s="60">
        <f>CL193-CK193</f>
        <v/>
      </c>
      <c r="CN193" s="61">
        <f>IF(CK193=0,"",CL193/CK193)</f>
        <v/>
      </c>
      <c r="CO193" s="27" t="n"/>
      <c r="CP193" s="62" t="n"/>
      <c r="CQ193" s="62" t="n"/>
      <c r="CR193" s="62">
        <f>CQ193-CP193</f>
        <v/>
      </c>
      <c r="CS193" s="64">
        <f>IF(CP193=0,"",CQ193/CP193)</f>
        <v/>
      </c>
      <c r="CT193" s="31" t="n"/>
      <c r="CU193" s="60" t="n"/>
      <c r="CV193" s="60" t="n"/>
      <c r="CW193" s="60">
        <f>CV193-CU193</f>
        <v/>
      </c>
      <c r="CX193" s="61">
        <f>IF(CU193=0,"",CV193/CU193)</f>
        <v/>
      </c>
      <c r="CY193" s="27" t="n"/>
      <c r="CZ193" s="62" t="n"/>
      <c r="DA193" s="62" t="n"/>
      <c r="DB193" s="62">
        <f>DA193-CZ193</f>
        <v/>
      </c>
      <c r="DC193" s="64">
        <f>IF(CZ193=0,"",DA193/CZ193)</f>
        <v/>
      </c>
      <c r="DD193" s="31" t="n"/>
      <c r="DE193" s="60" t="n"/>
      <c r="DF193" s="60" t="n"/>
      <c r="DG193" s="60">
        <f>DF193-DE193</f>
        <v/>
      </c>
      <c r="DH193" s="61">
        <f>IF(DE193=0,"",DF193/DE193)</f>
        <v/>
      </c>
      <c r="DI193" s="27" t="n"/>
      <c r="DJ193" s="62" t="n"/>
      <c r="DK193" s="62" t="n"/>
      <c r="DL193" s="62">
        <f>DK193-DJ193</f>
        <v/>
      </c>
      <c r="DM193" s="64">
        <f>IF(DJ193=0,"",DK193/DJ193)</f>
        <v/>
      </c>
      <c r="DN193" s="31" t="n"/>
      <c r="DO193" s="60" t="n"/>
    </row>
    <row r="194" ht="15" customHeight="1">
      <c r="A194" s="19" t="n"/>
      <c r="B194" s="20" t="n"/>
      <c r="C194" s="19" t="n"/>
      <c r="D194" s="58">
        <f>D195</f>
        <v/>
      </c>
      <c r="E194" s="58">
        <f>E195</f>
        <v/>
      </c>
      <c r="F194" s="58">
        <f>E194-D194</f>
        <v/>
      </c>
      <c r="G194" s="59">
        <f>IF(D194=0,"",E194/D194)</f>
        <v/>
      </c>
      <c r="H194" s="23" t="n"/>
      <c r="I194" s="58">
        <f>I195</f>
        <v/>
      </c>
      <c r="J194" s="58">
        <f>J195</f>
        <v/>
      </c>
      <c r="K194" s="58">
        <f>J194-I194</f>
        <v/>
      </c>
      <c r="L194" s="59">
        <f>IF(I194=0,"",J194/I194)</f>
        <v/>
      </c>
      <c r="M194" s="23" t="n"/>
      <c r="N194" s="58">
        <f>N195</f>
        <v/>
      </c>
      <c r="O194" s="58">
        <f>O195</f>
        <v/>
      </c>
      <c r="P194" s="58">
        <f>O194-N194</f>
        <v/>
      </c>
      <c r="Q194" s="59">
        <f>IF(N194=0,"",O194/N194)</f>
        <v/>
      </c>
      <c r="R194" s="23" t="n"/>
      <c r="S194" s="58">
        <f>S195</f>
        <v/>
      </c>
      <c r="T194" s="58">
        <f>T195</f>
        <v/>
      </c>
      <c r="U194" s="58">
        <f>T194-S194</f>
        <v/>
      </c>
      <c r="V194" s="59">
        <f>IF(S194=0,"",T194/S194)</f>
        <v/>
      </c>
      <c r="W194" s="23" t="n"/>
      <c r="X194" s="58">
        <f>X195</f>
        <v/>
      </c>
      <c r="Y194" s="58">
        <f>Y195</f>
        <v/>
      </c>
      <c r="Z194" s="58">
        <f>Y194-X194</f>
        <v/>
      </c>
      <c r="AA194" s="59">
        <f>IF(X194=0,"",Y194/X194)</f>
        <v/>
      </c>
      <c r="AB194" s="23" t="n"/>
      <c r="AC194" s="58">
        <f>AC195</f>
        <v/>
      </c>
      <c r="AD194" s="58">
        <f>AD195</f>
        <v/>
      </c>
      <c r="AE194" s="58">
        <f>AD194-AC194</f>
        <v/>
      </c>
      <c r="AF194" s="59">
        <f>IF(AC194=0,"",AD194/AC194)</f>
        <v/>
      </c>
      <c r="AG194" s="23" t="n"/>
      <c r="AH194" s="58">
        <f>AH195</f>
        <v/>
      </c>
      <c r="AI194" s="58">
        <f>AI195</f>
        <v/>
      </c>
      <c r="AJ194" s="58">
        <f>AI194-AH194</f>
        <v/>
      </c>
      <c r="AK194" s="59">
        <f>IF(AH194=0,"",AI194/AH194)</f>
        <v/>
      </c>
      <c r="AL194" s="23" t="n"/>
      <c r="AM194" s="58">
        <f>AM195</f>
        <v/>
      </c>
      <c r="AN194" s="58">
        <f>AN195</f>
        <v/>
      </c>
      <c r="AO194" s="58">
        <f>AN194-AM194</f>
        <v/>
      </c>
      <c r="AP194" s="59">
        <f>IF(AM194=0,"",AN194/AM194)</f>
        <v/>
      </c>
      <c r="AQ194" s="23" t="n"/>
      <c r="AR194" s="58">
        <f>AR195</f>
        <v/>
      </c>
      <c r="AS194" s="58">
        <f>AS195</f>
        <v/>
      </c>
      <c r="AT194" s="58">
        <f>AS194-AR194</f>
        <v/>
      </c>
      <c r="AU194" s="59">
        <f>IF(AR194=0,"",AS194/AR194)</f>
        <v/>
      </c>
      <c r="AV194" s="23" t="n"/>
      <c r="AW194" s="58">
        <f>AW195</f>
        <v/>
      </c>
      <c r="AX194" s="58">
        <f>AX195</f>
        <v/>
      </c>
      <c r="AY194" s="58">
        <f>AX194-AW194</f>
        <v/>
      </c>
      <c r="AZ194" s="59">
        <f>IF(AW194=0,"",AX194/AW194)</f>
        <v/>
      </c>
      <c r="BA194" s="23" t="n"/>
      <c r="BB194" s="58">
        <f>BB195</f>
        <v/>
      </c>
      <c r="BC194" s="58">
        <f>BC195</f>
        <v/>
      </c>
      <c r="BD194" s="58">
        <f>BC194-BB194</f>
        <v/>
      </c>
      <c r="BE194" s="59">
        <f>IF(BB194=0,"",BC194/BB194)</f>
        <v/>
      </c>
      <c r="BF194" s="23" t="n"/>
      <c r="BG194" s="58">
        <f>BG195</f>
        <v/>
      </c>
      <c r="BH194" s="58">
        <f>BH195</f>
        <v/>
      </c>
      <c r="BI194" s="58">
        <f>BH194-BG194</f>
        <v/>
      </c>
      <c r="BJ194" s="59">
        <f>IF(BG194=0,"",BH194/BG194)</f>
        <v/>
      </c>
      <c r="BK194" s="23" t="n"/>
      <c r="BL194" s="58">
        <f>BL195</f>
        <v/>
      </c>
      <c r="BM194" s="58">
        <f>BM195</f>
        <v/>
      </c>
      <c r="BN194" s="58">
        <f>BM194-BL194</f>
        <v/>
      </c>
      <c r="BO194" s="59">
        <f>IF(BL194=0,"",BM194/BL194)</f>
        <v/>
      </c>
      <c r="BP194" s="23" t="n"/>
      <c r="BQ194" s="58">
        <f>BQ195</f>
        <v/>
      </c>
      <c r="BR194" s="58">
        <f>BR195</f>
        <v/>
      </c>
      <c r="BS194" s="58">
        <f>BR194-BQ194</f>
        <v/>
      </c>
      <c r="BT194" s="59">
        <f>IF(BQ194=0,"",BR194/BQ194)</f>
        <v/>
      </c>
      <c r="BU194" s="23" t="n"/>
      <c r="BV194" s="58">
        <f>BV195</f>
        <v/>
      </c>
      <c r="BW194" s="58">
        <f>BW195</f>
        <v/>
      </c>
      <c r="BX194" s="58">
        <f>BW194-BV194</f>
        <v/>
      </c>
      <c r="BY194" s="59">
        <f>IF(BV194=0,"",BW194/BV194)</f>
        <v/>
      </c>
      <c r="BZ194" s="23" t="n"/>
      <c r="CA194" s="58">
        <f>CA195</f>
        <v/>
      </c>
      <c r="CB194" s="58">
        <f>CB195</f>
        <v/>
      </c>
      <c r="CC194" s="58">
        <f>CB194-CA194</f>
        <v/>
      </c>
      <c r="CD194" s="59">
        <f>IF(CA194=0,"",CB194/CA194)</f>
        <v/>
      </c>
      <c r="CE194" s="23" t="n"/>
      <c r="CF194" s="58">
        <f>CF195</f>
        <v/>
      </c>
      <c r="CG194" s="58">
        <f>CG195</f>
        <v/>
      </c>
      <c r="CH194" s="58">
        <f>CG194-CF194</f>
        <v/>
      </c>
      <c r="CI194" s="59">
        <f>IF(CF194=0,"",CG194/CF194)</f>
        <v/>
      </c>
      <c r="CJ194" s="23" t="n"/>
      <c r="CK194" s="58">
        <f>CK195</f>
        <v/>
      </c>
      <c r="CL194" s="58">
        <f>CL195</f>
        <v/>
      </c>
      <c r="CM194" s="58">
        <f>CL194-CK194</f>
        <v/>
      </c>
      <c r="CN194" s="59">
        <f>IF(CK194=0,"",CL194/CK194)</f>
        <v/>
      </c>
      <c r="CO194" s="23" t="n"/>
      <c r="CP194" s="58">
        <f>CP195</f>
        <v/>
      </c>
      <c r="CQ194" s="58">
        <f>CQ195</f>
        <v/>
      </c>
      <c r="CR194" s="58">
        <f>CQ194-CP194</f>
        <v/>
      </c>
      <c r="CS194" s="59">
        <f>IF(CP194=0,"",CQ194/CP194)</f>
        <v/>
      </c>
      <c r="CT194" s="23" t="n"/>
      <c r="CU194" s="58">
        <f>CU195</f>
        <v/>
      </c>
      <c r="CV194" s="58">
        <f>CV195</f>
        <v/>
      </c>
      <c r="CW194" s="58">
        <f>CV194-CU194</f>
        <v/>
      </c>
      <c r="CX194" s="59">
        <f>IF(CU194=0,"",CV194/CU194)</f>
        <v/>
      </c>
      <c r="CY194" s="23" t="n"/>
      <c r="CZ194" s="58">
        <f>CZ195</f>
        <v/>
      </c>
      <c r="DA194" s="58">
        <f>DA195</f>
        <v/>
      </c>
      <c r="DB194" s="58">
        <f>DA194-CZ194</f>
        <v/>
      </c>
      <c r="DC194" s="59">
        <f>IF(CZ194=0,"",DA194/CZ194)</f>
        <v/>
      </c>
      <c r="DD194" s="23" t="n"/>
      <c r="DE194" s="58">
        <f>DE195</f>
        <v/>
      </c>
      <c r="DF194" s="58">
        <f>DF195</f>
        <v/>
      </c>
      <c r="DG194" s="58">
        <f>DF194-DE194</f>
        <v/>
      </c>
      <c r="DH194" s="59">
        <f>IF(DE194=0,"",DF194/DE194)</f>
        <v/>
      </c>
      <c r="DI194" s="23" t="n"/>
      <c r="DJ194" s="58">
        <f>DJ195</f>
        <v/>
      </c>
      <c r="DK194" s="58">
        <f>DK195</f>
        <v/>
      </c>
      <c r="DL194" s="58">
        <f>DK194-DJ194</f>
        <v/>
      </c>
      <c r="DM194" s="59">
        <f>IF(DJ194=0,"",DK194/DJ194)</f>
        <v/>
      </c>
      <c r="DN194" s="23" t="n"/>
      <c r="DO194" s="58">
        <f>DO195</f>
        <v/>
      </c>
    </row>
    <row r="195" outlineLevel="1" ht="15" customHeight="1">
      <c r="A195" s="24" t="n"/>
      <c r="B195" s="24" t="n"/>
      <c r="C195" s="24" t="n"/>
      <c r="D195" s="60" t="n"/>
      <c r="E195" s="60" t="n"/>
      <c r="F195" s="60">
        <f>E195-D195</f>
        <v/>
      </c>
      <c r="G195" s="61">
        <f>IF(D195=0,"",E195/D195)</f>
        <v/>
      </c>
      <c r="H195" s="27" t="n"/>
      <c r="I195" s="60" t="n"/>
      <c r="J195" s="60" t="n"/>
      <c r="K195" s="60">
        <f>J195-I195</f>
        <v/>
      </c>
      <c r="L195" s="61">
        <f>IF(I195=0,"",J195/I195)</f>
        <v/>
      </c>
      <c r="M195" s="27" t="n"/>
      <c r="N195" s="62" t="n"/>
      <c r="O195" s="62" t="n"/>
      <c r="P195" s="62">
        <f>O195-N195</f>
        <v/>
      </c>
      <c r="Q195" s="64">
        <f>IF(N195=0,"",O195/N195)</f>
        <v/>
      </c>
      <c r="R195" s="31" t="n"/>
      <c r="S195" s="60" t="n"/>
      <c r="T195" s="60" t="n"/>
      <c r="U195" s="60">
        <f>T195-S195</f>
        <v/>
      </c>
      <c r="V195" s="61">
        <f>IF(S195=0,"",T195/S195)</f>
        <v/>
      </c>
      <c r="W195" s="27" t="n"/>
      <c r="X195" s="62" t="n"/>
      <c r="Y195" s="62" t="n"/>
      <c r="Z195" s="62">
        <f>Y195-X195</f>
        <v/>
      </c>
      <c r="AA195" s="64">
        <f>IF(X195=0,"",Y195/X195)</f>
        <v/>
      </c>
      <c r="AB195" s="31" t="n"/>
      <c r="AC195" s="60" t="n"/>
      <c r="AD195" s="60" t="n"/>
      <c r="AE195" s="60">
        <f>AD195-AC195</f>
        <v/>
      </c>
      <c r="AF195" s="61">
        <f>IF(AC195=0,"",AD195/AC195)</f>
        <v/>
      </c>
      <c r="AG195" s="27" t="n"/>
      <c r="AH195" s="62" t="n"/>
      <c r="AI195" s="62" t="n"/>
      <c r="AJ195" s="62">
        <f>AI195-AH195</f>
        <v/>
      </c>
      <c r="AK195" s="64">
        <f>IF(AH195=0,"",AI195/AH195)</f>
        <v/>
      </c>
      <c r="AL195" s="31" t="n"/>
      <c r="AM195" s="60" t="n"/>
      <c r="AN195" s="60" t="n"/>
      <c r="AO195" s="60">
        <f>AN195-AM195</f>
        <v/>
      </c>
      <c r="AP195" s="61">
        <f>IF(AM195=0,"",AN195/AM195)</f>
        <v/>
      </c>
      <c r="AQ195" s="27" t="n"/>
      <c r="AR195" s="62" t="n"/>
      <c r="AS195" s="62" t="n"/>
      <c r="AT195" s="62">
        <f>AS195-AR195</f>
        <v/>
      </c>
      <c r="AU195" s="64">
        <f>IF(AR195=0,"",AS195/AR195)</f>
        <v/>
      </c>
      <c r="AV195" s="31" t="n"/>
      <c r="AW195" s="60" t="n"/>
      <c r="AX195" s="60" t="n"/>
      <c r="AY195" s="60">
        <f>AX195-AW195</f>
        <v/>
      </c>
      <c r="AZ195" s="61">
        <f>IF(AW195=0,"",AX195/AW195)</f>
        <v/>
      </c>
      <c r="BA195" s="27" t="n"/>
      <c r="BB195" s="62" t="n"/>
      <c r="BC195" s="62" t="n"/>
      <c r="BD195" s="62">
        <f>BC195-BB195</f>
        <v/>
      </c>
      <c r="BE195" s="64">
        <f>IF(BB195=0,"",BC195/BB195)</f>
        <v/>
      </c>
      <c r="BF195" s="31" t="n"/>
      <c r="BG195" s="60" t="n"/>
      <c r="BH195" s="60" t="n"/>
      <c r="BI195" s="60">
        <f>BH195-BG195</f>
        <v/>
      </c>
      <c r="BJ195" s="61">
        <f>IF(BG195=0,"",BH195/BG195)</f>
        <v/>
      </c>
      <c r="BK195" s="27" t="n"/>
      <c r="BL195" s="62" t="n"/>
      <c r="BM195" s="62" t="n"/>
      <c r="BN195" s="62">
        <f>BM195-BL195</f>
        <v/>
      </c>
      <c r="BO195" s="64">
        <f>IF(BL195=0,"",BM195/BL195)</f>
        <v/>
      </c>
      <c r="BP195" s="31" t="n"/>
      <c r="BQ195" s="60" t="n"/>
      <c r="BR195" s="60" t="n"/>
      <c r="BS195" s="60">
        <f>BR195-BQ195</f>
        <v/>
      </c>
      <c r="BT195" s="61">
        <f>IF(BQ195=0,"",BR195/BQ195)</f>
        <v/>
      </c>
      <c r="BU195" s="27" t="n"/>
      <c r="BV195" s="62" t="n"/>
      <c r="BW195" s="62" t="n"/>
      <c r="BX195" s="62">
        <f>BW195-BV195</f>
        <v/>
      </c>
      <c r="BY195" s="64">
        <f>IF(BV195=0,"",BW195/BV195)</f>
        <v/>
      </c>
      <c r="BZ195" s="31" t="n"/>
      <c r="CA195" s="60" t="n"/>
      <c r="CB195" s="60" t="n"/>
      <c r="CC195" s="60">
        <f>CB195-CA195</f>
        <v/>
      </c>
      <c r="CD195" s="61">
        <f>IF(CA195=0,"",CB195/CA195)</f>
        <v/>
      </c>
      <c r="CE195" s="27" t="n"/>
      <c r="CF195" s="62" t="n"/>
      <c r="CG195" s="62" t="n"/>
      <c r="CH195" s="62">
        <f>CG195-CF195</f>
        <v/>
      </c>
      <c r="CI195" s="64">
        <f>IF(CF195=0,"",CG195/CF195)</f>
        <v/>
      </c>
      <c r="CJ195" s="31" t="n"/>
      <c r="CK195" s="60" t="n"/>
      <c r="CL195" s="60" t="n"/>
      <c r="CM195" s="60">
        <f>CL195-CK195</f>
        <v/>
      </c>
      <c r="CN195" s="61">
        <f>IF(CK195=0,"",CL195/CK195)</f>
        <v/>
      </c>
      <c r="CO195" s="27" t="n"/>
      <c r="CP195" s="62" t="n"/>
      <c r="CQ195" s="62" t="n"/>
      <c r="CR195" s="62">
        <f>CQ195-CP195</f>
        <v/>
      </c>
      <c r="CS195" s="64">
        <f>IF(CP195=0,"",CQ195/CP195)</f>
        <v/>
      </c>
      <c r="CT195" s="31" t="n"/>
      <c r="CU195" s="60" t="n"/>
      <c r="CV195" s="60" t="n"/>
      <c r="CW195" s="60">
        <f>CV195-CU195</f>
        <v/>
      </c>
      <c r="CX195" s="61">
        <f>IF(CU195=0,"",CV195/CU195)</f>
        <v/>
      </c>
      <c r="CY195" s="27" t="n"/>
      <c r="CZ195" s="62" t="n"/>
      <c r="DA195" s="62" t="n"/>
      <c r="DB195" s="62">
        <f>DA195-CZ195</f>
        <v/>
      </c>
      <c r="DC195" s="64">
        <f>IF(CZ195=0,"",DA195/CZ195)</f>
        <v/>
      </c>
      <c r="DD195" s="31" t="n"/>
      <c r="DE195" s="60" t="n"/>
      <c r="DF195" s="60" t="n"/>
      <c r="DG195" s="60">
        <f>DF195-DE195</f>
        <v/>
      </c>
      <c r="DH195" s="61">
        <f>IF(DE195=0,"",DF195/DE195)</f>
        <v/>
      </c>
      <c r="DI195" s="27" t="n"/>
      <c r="DJ195" s="62" t="n"/>
      <c r="DK195" s="62" t="n"/>
      <c r="DL195" s="62">
        <f>DK195-DJ195</f>
        <v/>
      </c>
      <c r="DM195" s="64">
        <f>IF(DJ195=0,"",DK195/DJ195)</f>
        <v/>
      </c>
      <c r="DN195" s="31" t="n"/>
      <c r="DO195" s="60" t="n"/>
    </row>
    <row r="196" ht="15" customHeight="1">
      <c r="A196" s="19" t="n"/>
      <c r="B196" s="20" t="n"/>
      <c r="C196" s="19" t="n"/>
      <c r="D196" s="58">
        <f>D197+D198+D199+D200+D201+D202+D203+D204+D205+D206</f>
        <v/>
      </c>
      <c r="E196" s="58">
        <f>E197+E198+E199+E200+E201+E202+E203+E204+E205+E206</f>
        <v/>
      </c>
      <c r="F196" s="58">
        <f>E196-D196</f>
        <v/>
      </c>
      <c r="G196" s="59">
        <f>IF(D196=0,"",E196/D196)</f>
        <v/>
      </c>
      <c r="H196" s="23" t="n"/>
      <c r="I196" s="58">
        <f>I197+I198+I199+I200+I201+I202+I203+I204+I205+I206</f>
        <v/>
      </c>
      <c r="J196" s="58">
        <f>J197+J198+J199+J200+J201+J202+J203+J204+J205+J206</f>
        <v/>
      </c>
      <c r="K196" s="58">
        <f>J196-I196</f>
        <v/>
      </c>
      <c r="L196" s="59">
        <f>IF(I196=0,"",J196/I196)</f>
        <v/>
      </c>
      <c r="M196" s="23" t="n"/>
      <c r="N196" s="58">
        <f>N197+N198+N199+N200+N201+N202+N203+N204+N205+N206</f>
        <v/>
      </c>
      <c r="O196" s="58">
        <f>O197+O198+O199+O200+O201+O202+O203+O204+O205+O206</f>
        <v/>
      </c>
      <c r="P196" s="58">
        <f>O196-N196</f>
        <v/>
      </c>
      <c r="Q196" s="59">
        <f>IF(N196=0,"",O196/N196)</f>
        <v/>
      </c>
      <c r="R196" s="23" t="n"/>
      <c r="S196" s="58">
        <f>S197+S198+S199+S200+S201+S202+S203+S204+S205+S206</f>
        <v/>
      </c>
      <c r="T196" s="58">
        <f>T197+T198+T199+T200+T201+T202+T203+T204+T205+T206</f>
        <v/>
      </c>
      <c r="U196" s="58">
        <f>T196-S196</f>
        <v/>
      </c>
      <c r="V196" s="59">
        <f>IF(S196=0,"",T196/S196)</f>
        <v/>
      </c>
      <c r="W196" s="23" t="n"/>
      <c r="X196" s="58">
        <f>X197+X198+X199+X200+X201+X202+X203+X204+X205+X206</f>
        <v/>
      </c>
      <c r="Y196" s="58">
        <f>Y197+Y198+Y199+Y200+Y201+Y202+Y203+Y204+Y205+Y206</f>
        <v/>
      </c>
      <c r="Z196" s="58">
        <f>Y196-X196</f>
        <v/>
      </c>
      <c r="AA196" s="59">
        <f>IF(X196=0,"",Y196/X196)</f>
        <v/>
      </c>
      <c r="AB196" s="23" t="n"/>
      <c r="AC196" s="58">
        <f>AC197+AC198+AC199+AC200+AC201+AC202+AC203+AC204+AC205+AC206</f>
        <v/>
      </c>
      <c r="AD196" s="58">
        <f>AD197+AD198+AD199+AD200+AD201+AD202+AD203+AD204+AD205+AD206</f>
        <v/>
      </c>
      <c r="AE196" s="58">
        <f>AD196-AC196</f>
        <v/>
      </c>
      <c r="AF196" s="59">
        <f>IF(AC196=0,"",AD196/AC196)</f>
        <v/>
      </c>
      <c r="AG196" s="23" t="n"/>
      <c r="AH196" s="58">
        <f>AH197+AH198+AH199+AH200+AH201+AH202+AH203+AH204+AH205+AH206</f>
        <v/>
      </c>
      <c r="AI196" s="58">
        <f>AI197+AI198+AI199+AI200+AI201+AI202+AI203+AI204+AI205+AI206</f>
        <v/>
      </c>
      <c r="AJ196" s="58">
        <f>AI196-AH196</f>
        <v/>
      </c>
      <c r="AK196" s="59">
        <f>IF(AH196=0,"",AI196/AH196)</f>
        <v/>
      </c>
      <c r="AL196" s="23" t="n"/>
      <c r="AM196" s="58">
        <f>AM197+AM198+AM199+AM200+AM201+AM202+AM203+AM204+AM205+AM206</f>
        <v/>
      </c>
      <c r="AN196" s="58">
        <f>AN197+AN198+AN199+AN200+AN201+AN202+AN203+AN204+AN205+AN206</f>
        <v/>
      </c>
      <c r="AO196" s="58">
        <f>AN196-AM196</f>
        <v/>
      </c>
      <c r="AP196" s="59">
        <f>IF(AM196=0,"",AN196/AM196)</f>
        <v/>
      </c>
      <c r="AQ196" s="23" t="n"/>
      <c r="AR196" s="58">
        <f>AR197+AR198+AR199+AR200+AR201+AR202+AR203+AR204+AR205+AR206</f>
        <v/>
      </c>
      <c r="AS196" s="58">
        <f>AS197+AS198+AS199+AS200+AS201+AS202+AS203+AS204+AS205+AS206</f>
        <v/>
      </c>
      <c r="AT196" s="58">
        <f>AS196-AR196</f>
        <v/>
      </c>
      <c r="AU196" s="59">
        <f>IF(AR196=0,"",AS196/AR196)</f>
        <v/>
      </c>
      <c r="AV196" s="23" t="n"/>
      <c r="AW196" s="58">
        <f>AW197+AW198+AW199+AW200+AW201+AW202+AW203+AW204+AW205+AW206</f>
        <v/>
      </c>
      <c r="AX196" s="58">
        <f>AX197+AX198+AX199+AX200+AX201+AX202+AX203+AX204+AX205+AX206</f>
        <v/>
      </c>
      <c r="AY196" s="58">
        <f>AX196-AW196</f>
        <v/>
      </c>
      <c r="AZ196" s="59">
        <f>IF(AW196=0,"",AX196/AW196)</f>
        <v/>
      </c>
      <c r="BA196" s="23" t="n"/>
      <c r="BB196" s="58">
        <f>BB197+BB198+BB199+BB200+BB201+BB202+BB203+BB204+BB205+BB206</f>
        <v/>
      </c>
      <c r="BC196" s="58">
        <f>BC197+BC198+BC199+BC200+BC201+BC202+BC203+BC204+BC205+BC206</f>
        <v/>
      </c>
      <c r="BD196" s="58">
        <f>BC196-BB196</f>
        <v/>
      </c>
      <c r="BE196" s="59">
        <f>IF(BB196=0,"",BC196/BB196)</f>
        <v/>
      </c>
      <c r="BF196" s="23" t="n"/>
      <c r="BG196" s="58">
        <f>BG197+BG198+BG199+BG200+BG201+BG202+BG203+BG204+BG205+BG206</f>
        <v/>
      </c>
      <c r="BH196" s="58">
        <f>BH197+BH198+BH199+BH200+BH201+BH202+BH203+BH204+BH205+BH206</f>
        <v/>
      </c>
      <c r="BI196" s="58">
        <f>BH196-BG196</f>
        <v/>
      </c>
      <c r="BJ196" s="59">
        <f>IF(BG196=0,"",BH196/BG196)</f>
        <v/>
      </c>
      <c r="BK196" s="23" t="n"/>
      <c r="BL196" s="58">
        <f>BL197+BL198+BL199+BL200+BL201+BL202+BL203+BL204+BL205+BL206</f>
        <v/>
      </c>
      <c r="BM196" s="58">
        <f>BM197+BM198+BM199+BM200+BM201+BM202+BM203+BM204+BM205+BM206</f>
        <v/>
      </c>
      <c r="BN196" s="58">
        <f>BM196-BL196</f>
        <v/>
      </c>
      <c r="BO196" s="59">
        <f>IF(BL196=0,"",BM196/BL196)</f>
        <v/>
      </c>
      <c r="BP196" s="23" t="n"/>
      <c r="BQ196" s="58">
        <f>BQ197+BQ198+BQ199+BQ200+BQ201+BQ202+BQ203+BQ204+BQ205+BQ206</f>
        <v/>
      </c>
      <c r="BR196" s="58">
        <f>BR197+BR198+BR199+BR200+BR201+BR202+BR203+BR204+BR205+BR206</f>
        <v/>
      </c>
      <c r="BS196" s="58">
        <f>BR196-BQ196</f>
        <v/>
      </c>
      <c r="BT196" s="59">
        <f>IF(BQ196=0,"",BR196/BQ196)</f>
        <v/>
      </c>
      <c r="BU196" s="23" t="n"/>
      <c r="BV196" s="58">
        <f>BV197+BV198+BV199+BV200+BV201+BV202+BV203+BV204+BV205+BV206</f>
        <v/>
      </c>
      <c r="BW196" s="58">
        <f>BW197+BW198+BW199+BW200+BW201+BW202+BW203+BW204+BW205+BW206</f>
        <v/>
      </c>
      <c r="BX196" s="58">
        <f>BW196-BV196</f>
        <v/>
      </c>
      <c r="BY196" s="59">
        <f>IF(BV196=0,"",BW196/BV196)</f>
        <v/>
      </c>
      <c r="BZ196" s="23" t="n"/>
      <c r="CA196" s="58">
        <f>CA197+CA198+CA199+CA200+CA201+CA202+CA203+CA204+CA205+CA206</f>
        <v/>
      </c>
      <c r="CB196" s="58">
        <f>CB197+CB198+CB199+CB200+CB201+CB202+CB203+CB204+CB205+CB206</f>
        <v/>
      </c>
      <c r="CC196" s="58">
        <f>CB196-CA196</f>
        <v/>
      </c>
      <c r="CD196" s="59">
        <f>IF(CA196=0,"",CB196/CA196)</f>
        <v/>
      </c>
      <c r="CE196" s="23" t="n"/>
      <c r="CF196" s="58">
        <f>CF197+CF198+CF199+CF200+CF201+CF202+CF203+CF204+CF205+CF206</f>
        <v/>
      </c>
      <c r="CG196" s="58">
        <f>CG197+CG198+CG199+CG200+CG201+CG202+CG203+CG204+CG205+CG206</f>
        <v/>
      </c>
      <c r="CH196" s="58">
        <f>CG196-CF196</f>
        <v/>
      </c>
      <c r="CI196" s="59">
        <f>IF(CF196=0,"",CG196/CF196)</f>
        <v/>
      </c>
      <c r="CJ196" s="23" t="n"/>
      <c r="CK196" s="58">
        <f>CK197+CK198+CK199+CK200+CK201+CK202+CK203+CK204+CK205+CK206</f>
        <v/>
      </c>
      <c r="CL196" s="58">
        <f>CL197+CL198+CL199+CL200+CL201+CL202+CL203+CL204+CL205+CL206</f>
        <v/>
      </c>
      <c r="CM196" s="58">
        <f>CL196-CK196</f>
        <v/>
      </c>
      <c r="CN196" s="59">
        <f>IF(CK196=0,"",CL196/CK196)</f>
        <v/>
      </c>
      <c r="CO196" s="23" t="n"/>
      <c r="CP196" s="58">
        <f>CP197+CP198+CP199+CP200+CP201+CP202+CP203+CP204+CP205+CP206</f>
        <v/>
      </c>
      <c r="CQ196" s="58">
        <f>CQ197+CQ198+CQ199+CQ200+CQ201+CQ202+CQ203+CQ204+CQ205+CQ206</f>
        <v/>
      </c>
      <c r="CR196" s="58">
        <f>CQ196-CP196</f>
        <v/>
      </c>
      <c r="CS196" s="59">
        <f>IF(CP196=0,"",CQ196/CP196)</f>
        <v/>
      </c>
      <c r="CT196" s="23" t="n"/>
      <c r="CU196" s="58">
        <f>CU197+CU198+CU199+CU200+CU201+CU202+CU203+CU204+CU205+CU206</f>
        <v/>
      </c>
      <c r="CV196" s="58">
        <f>CV197+CV198+CV199+CV200+CV201+CV202+CV203+CV204+CV205+CV206</f>
        <v/>
      </c>
      <c r="CW196" s="58">
        <f>CV196-CU196</f>
        <v/>
      </c>
      <c r="CX196" s="59">
        <f>IF(CU196=0,"",CV196/CU196)</f>
        <v/>
      </c>
      <c r="CY196" s="23" t="n"/>
      <c r="CZ196" s="58">
        <f>CZ197+CZ198+CZ199+CZ200+CZ201+CZ202+CZ203+CZ204+CZ205+CZ206</f>
        <v/>
      </c>
      <c r="DA196" s="58">
        <f>DA197+DA198+DA199+DA200+DA201+DA202+DA203+DA204+DA205+DA206</f>
        <v/>
      </c>
      <c r="DB196" s="58">
        <f>DA196-CZ196</f>
        <v/>
      </c>
      <c r="DC196" s="59">
        <f>IF(CZ196=0,"",DA196/CZ196)</f>
        <v/>
      </c>
      <c r="DD196" s="23" t="n"/>
      <c r="DE196" s="58">
        <f>DE197+DE198+DE199+DE200+DE201+DE202+DE203+DE204+DE205+DE206</f>
        <v/>
      </c>
      <c r="DF196" s="58">
        <f>DF197+DF198+DF199+DF200+DF201+DF202+DF203+DF204+DF205+DF206</f>
        <v/>
      </c>
      <c r="DG196" s="58">
        <f>DF196-DE196</f>
        <v/>
      </c>
      <c r="DH196" s="59">
        <f>IF(DE196=0,"",DF196/DE196)</f>
        <v/>
      </c>
      <c r="DI196" s="23" t="n"/>
      <c r="DJ196" s="58">
        <f>DJ197+DJ198+DJ199+DJ200+DJ201+DJ202+DJ203+DJ204+DJ205+DJ206</f>
        <v/>
      </c>
      <c r="DK196" s="58">
        <f>DK197+DK198+DK199+DK200+DK201+DK202+DK203+DK204+DK205+DK206</f>
        <v/>
      </c>
      <c r="DL196" s="58">
        <f>DK196-DJ196</f>
        <v/>
      </c>
      <c r="DM196" s="59">
        <f>IF(DJ196=0,"",DK196/DJ196)</f>
        <v/>
      </c>
      <c r="DN196" s="23" t="n"/>
      <c r="DO196" s="58">
        <f>DO197+DO198+DO199+DO200+DO201+DO202+DO203+DO204+DO205+DO206</f>
        <v/>
      </c>
    </row>
    <row r="197" outlineLevel="1" ht="15" customHeight="1">
      <c r="A197" s="24" t="n"/>
      <c r="B197" s="24" t="n"/>
      <c r="C197" s="24" t="n"/>
      <c r="D197" s="60" t="n"/>
      <c r="E197" s="60" t="n"/>
      <c r="F197" s="60">
        <f>E197-D197</f>
        <v/>
      </c>
      <c r="G197" s="61">
        <f>IF(D197=0,"",E197/D197)</f>
        <v/>
      </c>
      <c r="H197" s="27" t="n"/>
      <c r="I197" s="60" t="n"/>
      <c r="J197" s="60" t="n"/>
      <c r="K197" s="60">
        <f>J197-I197</f>
        <v/>
      </c>
      <c r="L197" s="61">
        <f>IF(I197=0,"",J197/I197)</f>
        <v/>
      </c>
      <c r="M197" s="27" t="n"/>
      <c r="N197" s="62" t="n"/>
      <c r="O197" s="62" t="n"/>
      <c r="P197" s="62">
        <f>O197-N197</f>
        <v/>
      </c>
      <c r="Q197" s="64">
        <f>IF(N197=0,"",O197/N197)</f>
        <v/>
      </c>
      <c r="R197" s="31" t="n"/>
      <c r="S197" s="60" t="n"/>
      <c r="T197" s="60" t="n"/>
      <c r="U197" s="60">
        <f>T197-S197</f>
        <v/>
      </c>
      <c r="V197" s="61">
        <f>IF(S197=0,"",T197/S197)</f>
        <v/>
      </c>
      <c r="W197" s="27" t="n"/>
      <c r="X197" s="62" t="n"/>
      <c r="Y197" s="62" t="n"/>
      <c r="Z197" s="62">
        <f>Y197-X197</f>
        <v/>
      </c>
      <c r="AA197" s="64">
        <f>IF(X197=0,"",Y197/X197)</f>
        <v/>
      </c>
      <c r="AB197" s="31" t="n"/>
      <c r="AC197" s="60" t="n"/>
      <c r="AD197" s="60" t="n"/>
      <c r="AE197" s="60">
        <f>AD197-AC197</f>
        <v/>
      </c>
      <c r="AF197" s="61">
        <f>IF(AC197=0,"",AD197/AC197)</f>
        <v/>
      </c>
      <c r="AG197" s="27" t="n"/>
      <c r="AH197" s="62" t="n"/>
      <c r="AI197" s="62" t="n"/>
      <c r="AJ197" s="62">
        <f>AI197-AH197</f>
        <v/>
      </c>
      <c r="AK197" s="64">
        <f>IF(AH197=0,"",AI197/AH197)</f>
        <v/>
      </c>
      <c r="AL197" s="31" t="n"/>
      <c r="AM197" s="60" t="n"/>
      <c r="AN197" s="60" t="n"/>
      <c r="AO197" s="60">
        <f>AN197-AM197</f>
        <v/>
      </c>
      <c r="AP197" s="61">
        <f>IF(AM197=0,"",AN197/AM197)</f>
        <v/>
      </c>
      <c r="AQ197" s="27" t="n"/>
      <c r="AR197" s="62" t="n"/>
      <c r="AS197" s="62" t="n"/>
      <c r="AT197" s="62">
        <f>AS197-AR197</f>
        <v/>
      </c>
      <c r="AU197" s="64">
        <f>IF(AR197=0,"",AS197/AR197)</f>
        <v/>
      </c>
      <c r="AV197" s="31" t="n"/>
      <c r="AW197" s="60" t="n"/>
      <c r="AX197" s="60" t="n"/>
      <c r="AY197" s="60">
        <f>AX197-AW197</f>
        <v/>
      </c>
      <c r="AZ197" s="61">
        <f>IF(AW197=0,"",AX197/AW197)</f>
        <v/>
      </c>
      <c r="BA197" s="27" t="n"/>
      <c r="BB197" s="62" t="n"/>
      <c r="BC197" s="62" t="n"/>
      <c r="BD197" s="62">
        <f>BC197-BB197</f>
        <v/>
      </c>
      <c r="BE197" s="64">
        <f>IF(BB197=0,"",BC197/BB197)</f>
        <v/>
      </c>
      <c r="BF197" s="31" t="n"/>
      <c r="BG197" s="60" t="n"/>
      <c r="BH197" s="60" t="n"/>
      <c r="BI197" s="60">
        <f>BH197-BG197</f>
        <v/>
      </c>
      <c r="BJ197" s="61">
        <f>IF(BG197=0,"",BH197/BG197)</f>
        <v/>
      </c>
      <c r="BK197" s="27" t="n"/>
      <c r="BL197" s="62" t="n"/>
      <c r="BM197" s="62" t="n"/>
      <c r="BN197" s="62">
        <f>BM197-BL197</f>
        <v/>
      </c>
      <c r="BO197" s="64">
        <f>IF(BL197=0,"",BM197/BL197)</f>
        <v/>
      </c>
      <c r="BP197" s="31" t="n"/>
      <c r="BQ197" s="60" t="n"/>
      <c r="BR197" s="60" t="n"/>
      <c r="BS197" s="60">
        <f>BR197-BQ197</f>
        <v/>
      </c>
      <c r="BT197" s="61">
        <f>IF(BQ197=0,"",BR197/BQ197)</f>
        <v/>
      </c>
      <c r="BU197" s="27" t="n"/>
      <c r="BV197" s="62" t="n"/>
      <c r="BW197" s="62" t="n"/>
      <c r="BX197" s="62">
        <f>BW197-BV197</f>
        <v/>
      </c>
      <c r="BY197" s="64">
        <f>IF(BV197=0,"",BW197/BV197)</f>
        <v/>
      </c>
      <c r="BZ197" s="31" t="n"/>
      <c r="CA197" s="60" t="n"/>
      <c r="CB197" s="60" t="n"/>
      <c r="CC197" s="60">
        <f>CB197-CA197</f>
        <v/>
      </c>
      <c r="CD197" s="61">
        <f>IF(CA197=0,"",CB197/CA197)</f>
        <v/>
      </c>
      <c r="CE197" s="27" t="n"/>
      <c r="CF197" s="62" t="n"/>
      <c r="CG197" s="62" t="n"/>
      <c r="CH197" s="62">
        <f>CG197-CF197</f>
        <v/>
      </c>
      <c r="CI197" s="64">
        <f>IF(CF197=0,"",CG197/CF197)</f>
        <v/>
      </c>
      <c r="CJ197" s="31" t="n"/>
      <c r="CK197" s="60" t="n"/>
      <c r="CL197" s="60" t="n"/>
      <c r="CM197" s="60">
        <f>CL197-CK197</f>
        <v/>
      </c>
      <c r="CN197" s="61">
        <f>IF(CK197=0,"",CL197/CK197)</f>
        <v/>
      </c>
      <c r="CO197" s="27" t="n"/>
      <c r="CP197" s="62" t="n"/>
      <c r="CQ197" s="62" t="n"/>
      <c r="CR197" s="62">
        <f>CQ197-CP197</f>
        <v/>
      </c>
      <c r="CS197" s="64">
        <f>IF(CP197=0,"",CQ197/CP197)</f>
        <v/>
      </c>
      <c r="CT197" s="31" t="n"/>
      <c r="CU197" s="60" t="n"/>
      <c r="CV197" s="60" t="n"/>
      <c r="CW197" s="60">
        <f>CV197-CU197</f>
        <v/>
      </c>
      <c r="CX197" s="61">
        <f>IF(CU197=0,"",CV197/CU197)</f>
        <v/>
      </c>
      <c r="CY197" s="27" t="n"/>
      <c r="CZ197" s="62" t="n"/>
      <c r="DA197" s="62" t="n"/>
      <c r="DB197" s="62">
        <f>DA197-CZ197</f>
        <v/>
      </c>
      <c r="DC197" s="64">
        <f>IF(CZ197=0,"",DA197/CZ197)</f>
        <v/>
      </c>
      <c r="DD197" s="31" t="n"/>
      <c r="DE197" s="60" t="n"/>
      <c r="DF197" s="60" t="n"/>
      <c r="DG197" s="60">
        <f>DF197-DE197</f>
        <v/>
      </c>
      <c r="DH197" s="61">
        <f>IF(DE197=0,"",DF197/DE197)</f>
        <v/>
      </c>
      <c r="DI197" s="27" t="n"/>
      <c r="DJ197" s="62" t="n"/>
      <c r="DK197" s="62" t="n"/>
      <c r="DL197" s="62">
        <f>DK197-DJ197</f>
        <v/>
      </c>
      <c r="DM197" s="64">
        <f>IF(DJ197=0,"",DK197/DJ197)</f>
        <v/>
      </c>
      <c r="DN197" s="31" t="n"/>
      <c r="DO197" s="60" t="n"/>
    </row>
    <row r="198" outlineLevel="1" ht="15" customHeight="1">
      <c r="A198" s="24" t="n"/>
      <c r="B198" s="24" t="n"/>
      <c r="C198" s="24" t="n"/>
      <c r="D198" s="60" t="n"/>
      <c r="E198" s="60" t="n"/>
      <c r="F198" s="60">
        <f>E198-D198</f>
        <v/>
      </c>
      <c r="G198" s="61">
        <f>IF(D198=0,"",E198/D198)</f>
        <v/>
      </c>
      <c r="H198" s="27" t="n"/>
      <c r="I198" s="60" t="n"/>
      <c r="J198" s="60" t="n"/>
      <c r="K198" s="60">
        <f>J198-I198</f>
        <v/>
      </c>
      <c r="L198" s="61">
        <f>IF(I198=0,"",J198/I198)</f>
        <v/>
      </c>
      <c r="M198" s="27" t="n"/>
      <c r="N198" s="62" t="n"/>
      <c r="O198" s="62" t="n"/>
      <c r="P198" s="62">
        <f>O198-N198</f>
        <v/>
      </c>
      <c r="Q198" s="64">
        <f>IF(N198=0,"",O198/N198)</f>
        <v/>
      </c>
      <c r="R198" s="31" t="n"/>
      <c r="S198" s="60" t="n"/>
      <c r="T198" s="60" t="n"/>
      <c r="U198" s="60">
        <f>T198-S198</f>
        <v/>
      </c>
      <c r="V198" s="61">
        <f>IF(S198=0,"",T198/S198)</f>
        <v/>
      </c>
      <c r="W198" s="27" t="n"/>
      <c r="X198" s="62" t="n"/>
      <c r="Y198" s="62" t="n"/>
      <c r="Z198" s="62">
        <f>Y198-X198</f>
        <v/>
      </c>
      <c r="AA198" s="64">
        <f>IF(X198=0,"",Y198/X198)</f>
        <v/>
      </c>
      <c r="AB198" s="31" t="n"/>
      <c r="AC198" s="60" t="n"/>
      <c r="AD198" s="60" t="n"/>
      <c r="AE198" s="60">
        <f>AD198-AC198</f>
        <v/>
      </c>
      <c r="AF198" s="61">
        <f>IF(AC198=0,"",AD198/AC198)</f>
        <v/>
      </c>
      <c r="AG198" s="27" t="n"/>
      <c r="AH198" s="62" t="n"/>
      <c r="AI198" s="62" t="n"/>
      <c r="AJ198" s="62">
        <f>AI198-AH198</f>
        <v/>
      </c>
      <c r="AK198" s="64">
        <f>IF(AH198=0,"",AI198/AH198)</f>
        <v/>
      </c>
      <c r="AL198" s="31" t="n"/>
      <c r="AM198" s="60" t="n"/>
      <c r="AN198" s="60" t="n"/>
      <c r="AO198" s="60">
        <f>AN198-AM198</f>
        <v/>
      </c>
      <c r="AP198" s="61">
        <f>IF(AM198=0,"",AN198/AM198)</f>
        <v/>
      </c>
      <c r="AQ198" s="27" t="n"/>
      <c r="AR198" s="62" t="n"/>
      <c r="AS198" s="62" t="n"/>
      <c r="AT198" s="62">
        <f>AS198-AR198</f>
        <v/>
      </c>
      <c r="AU198" s="64">
        <f>IF(AR198=0,"",AS198/AR198)</f>
        <v/>
      </c>
      <c r="AV198" s="31" t="n"/>
      <c r="AW198" s="60" t="n"/>
      <c r="AX198" s="60" t="n"/>
      <c r="AY198" s="60">
        <f>AX198-AW198</f>
        <v/>
      </c>
      <c r="AZ198" s="61">
        <f>IF(AW198=0,"",AX198/AW198)</f>
        <v/>
      </c>
      <c r="BA198" s="27" t="n"/>
      <c r="BB198" s="62" t="n"/>
      <c r="BC198" s="62" t="n"/>
      <c r="BD198" s="62">
        <f>BC198-BB198</f>
        <v/>
      </c>
      <c r="BE198" s="64">
        <f>IF(BB198=0,"",BC198/BB198)</f>
        <v/>
      </c>
      <c r="BF198" s="31" t="n"/>
      <c r="BG198" s="60" t="n"/>
      <c r="BH198" s="60" t="n"/>
      <c r="BI198" s="60">
        <f>BH198-BG198</f>
        <v/>
      </c>
      <c r="BJ198" s="61">
        <f>IF(BG198=0,"",BH198/BG198)</f>
        <v/>
      </c>
      <c r="BK198" s="27" t="n"/>
      <c r="BL198" s="62" t="n"/>
      <c r="BM198" s="62" t="n"/>
      <c r="BN198" s="62">
        <f>BM198-BL198</f>
        <v/>
      </c>
      <c r="BO198" s="64">
        <f>IF(BL198=0,"",BM198/BL198)</f>
        <v/>
      </c>
      <c r="BP198" s="31" t="n"/>
      <c r="BQ198" s="60" t="n"/>
      <c r="BR198" s="60" t="n"/>
      <c r="BS198" s="60">
        <f>BR198-BQ198</f>
        <v/>
      </c>
      <c r="BT198" s="61">
        <f>IF(BQ198=0,"",BR198/BQ198)</f>
        <v/>
      </c>
      <c r="BU198" s="27" t="n"/>
      <c r="BV198" s="62" t="n"/>
      <c r="BW198" s="62" t="n"/>
      <c r="BX198" s="62">
        <f>BW198-BV198</f>
        <v/>
      </c>
      <c r="BY198" s="64">
        <f>IF(BV198=0,"",BW198/BV198)</f>
        <v/>
      </c>
      <c r="BZ198" s="31" t="n"/>
      <c r="CA198" s="60" t="n"/>
      <c r="CB198" s="60" t="n"/>
      <c r="CC198" s="60">
        <f>CB198-CA198</f>
        <v/>
      </c>
      <c r="CD198" s="61">
        <f>IF(CA198=0,"",CB198/CA198)</f>
        <v/>
      </c>
      <c r="CE198" s="27" t="n"/>
      <c r="CF198" s="62" t="n"/>
      <c r="CG198" s="62" t="n"/>
      <c r="CH198" s="62">
        <f>CG198-CF198</f>
        <v/>
      </c>
      <c r="CI198" s="64">
        <f>IF(CF198=0,"",CG198/CF198)</f>
        <v/>
      </c>
      <c r="CJ198" s="31" t="n"/>
      <c r="CK198" s="60" t="n"/>
      <c r="CL198" s="60" t="n"/>
      <c r="CM198" s="60">
        <f>CL198-CK198</f>
        <v/>
      </c>
      <c r="CN198" s="61">
        <f>IF(CK198=0,"",CL198/CK198)</f>
        <v/>
      </c>
      <c r="CO198" s="27" t="n"/>
      <c r="CP198" s="62" t="n"/>
      <c r="CQ198" s="62" t="n"/>
      <c r="CR198" s="62">
        <f>CQ198-CP198</f>
        <v/>
      </c>
      <c r="CS198" s="64">
        <f>IF(CP198=0,"",CQ198/CP198)</f>
        <v/>
      </c>
      <c r="CT198" s="31" t="n"/>
      <c r="CU198" s="60" t="n"/>
      <c r="CV198" s="60" t="n"/>
      <c r="CW198" s="60">
        <f>CV198-CU198</f>
        <v/>
      </c>
      <c r="CX198" s="61">
        <f>IF(CU198=0,"",CV198/CU198)</f>
        <v/>
      </c>
      <c r="CY198" s="27" t="n"/>
      <c r="CZ198" s="62" t="n"/>
      <c r="DA198" s="62" t="n"/>
      <c r="DB198" s="62">
        <f>DA198-CZ198</f>
        <v/>
      </c>
      <c r="DC198" s="64">
        <f>IF(CZ198=0,"",DA198/CZ198)</f>
        <v/>
      </c>
      <c r="DD198" s="31" t="n"/>
      <c r="DE198" s="60" t="n"/>
      <c r="DF198" s="60" t="n"/>
      <c r="DG198" s="60">
        <f>DF198-DE198</f>
        <v/>
      </c>
      <c r="DH198" s="61">
        <f>IF(DE198=0,"",DF198/DE198)</f>
        <v/>
      </c>
      <c r="DI198" s="27" t="n"/>
      <c r="DJ198" s="62" t="n"/>
      <c r="DK198" s="62" t="n"/>
      <c r="DL198" s="62">
        <f>DK198-DJ198</f>
        <v/>
      </c>
      <c r="DM198" s="64">
        <f>IF(DJ198=0,"",DK198/DJ198)</f>
        <v/>
      </c>
      <c r="DN198" s="31" t="n"/>
      <c r="DO198" s="60" t="n"/>
    </row>
    <row r="199" outlineLevel="1" ht="15" customHeight="1">
      <c r="A199" s="24" t="n"/>
      <c r="B199" s="24" t="n"/>
      <c r="C199" s="24" t="n"/>
      <c r="D199" s="60" t="n"/>
      <c r="E199" s="60" t="n"/>
      <c r="F199" s="60">
        <f>E199-D199</f>
        <v/>
      </c>
      <c r="G199" s="61">
        <f>IF(D199=0,"",E199/D199)</f>
        <v/>
      </c>
      <c r="H199" s="27" t="n"/>
      <c r="I199" s="60" t="n"/>
      <c r="J199" s="60" t="n"/>
      <c r="K199" s="60">
        <f>J199-I199</f>
        <v/>
      </c>
      <c r="L199" s="61">
        <f>IF(I199=0,"",J199/I199)</f>
        <v/>
      </c>
      <c r="M199" s="27" t="n"/>
      <c r="N199" s="62" t="n"/>
      <c r="O199" s="62" t="n"/>
      <c r="P199" s="62">
        <f>O199-N199</f>
        <v/>
      </c>
      <c r="Q199" s="64">
        <f>IF(N199=0,"",O199/N199)</f>
        <v/>
      </c>
      <c r="R199" s="31" t="n"/>
      <c r="S199" s="60" t="n"/>
      <c r="T199" s="60" t="n"/>
      <c r="U199" s="60">
        <f>T199-S199</f>
        <v/>
      </c>
      <c r="V199" s="61">
        <f>IF(S199=0,"",T199/S199)</f>
        <v/>
      </c>
      <c r="W199" s="27" t="n"/>
      <c r="X199" s="62" t="n"/>
      <c r="Y199" s="62" t="n"/>
      <c r="Z199" s="62">
        <f>Y199-X199</f>
        <v/>
      </c>
      <c r="AA199" s="64">
        <f>IF(X199=0,"",Y199/X199)</f>
        <v/>
      </c>
      <c r="AB199" s="31" t="n"/>
      <c r="AC199" s="60" t="n"/>
      <c r="AD199" s="60" t="n"/>
      <c r="AE199" s="60">
        <f>AD199-AC199</f>
        <v/>
      </c>
      <c r="AF199" s="61">
        <f>IF(AC199=0,"",AD199/AC199)</f>
        <v/>
      </c>
      <c r="AG199" s="27" t="n"/>
      <c r="AH199" s="62" t="n"/>
      <c r="AI199" s="62" t="n"/>
      <c r="AJ199" s="62">
        <f>AI199-AH199</f>
        <v/>
      </c>
      <c r="AK199" s="64">
        <f>IF(AH199=0,"",AI199/AH199)</f>
        <v/>
      </c>
      <c r="AL199" s="31" t="n"/>
      <c r="AM199" s="60" t="n"/>
      <c r="AN199" s="60" t="n"/>
      <c r="AO199" s="60">
        <f>AN199-AM199</f>
        <v/>
      </c>
      <c r="AP199" s="61">
        <f>IF(AM199=0,"",AN199/AM199)</f>
        <v/>
      </c>
      <c r="AQ199" s="27" t="n"/>
      <c r="AR199" s="62" t="n"/>
      <c r="AS199" s="62" t="n"/>
      <c r="AT199" s="62">
        <f>AS199-AR199</f>
        <v/>
      </c>
      <c r="AU199" s="64">
        <f>IF(AR199=0,"",AS199/AR199)</f>
        <v/>
      </c>
      <c r="AV199" s="31" t="n"/>
      <c r="AW199" s="60" t="n"/>
      <c r="AX199" s="60" t="n"/>
      <c r="AY199" s="60">
        <f>AX199-AW199</f>
        <v/>
      </c>
      <c r="AZ199" s="61">
        <f>IF(AW199=0,"",AX199/AW199)</f>
        <v/>
      </c>
      <c r="BA199" s="27" t="n"/>
      <c r="BB199" s="62" t="n"/>
      <c r="BC199" s="62" t="n"/>
      <c r="BD199" s="62">
        <f>BC199-BB199</f>
        <v/>
      </c>
      <c r="BE199" s="64">
        <f>IF(BB199=0,"",BC199/BB199)</f>
        <v/>
      </c>
      <c r="BF199" s="31" t="n"/>
      <c r="BG199" s="60" t="n"/>
      <c r="BH199" s="60" t="n"/>
      <c r="BI199" s="60">
        <f>BH199-BG199</f>
        <v/>
      </c>
      <c r="BJ199" s="61">
        <f>IF(BG199=0,"",BH199/BG199)</f>
        <v/>
      </c>
      <c r="BK199" s="27" t="n"/>
      <c r="BL199" s="62" t="n"/>
      <c r="BM199" s="62" t="n"/>
      <c r="BN199" s="62">
        <f>BM199-BL199</f>
        <v/>
      </c>
      <c r="BO199" s="64">
        <f>IF(BL199=0,"",BM199/BL199)</f>
        <v/>
      </c>
      <c r="BP199" s="31" t="n"/>
      <c r="BQ199" s="60" t="n"/>
      <c r="BR199" s="60" t="n"/>
      <c r="BS199" s="60">
        <f>BR199-BQ199</f>
        <v/>
      </c>
      <c r="BT199" s="61">
        <f>IF(BQ199=0,"",BR199/BQ199)</f>
        <v/>
      </c>
      <c r="BU199" s="27" t="n"/>
      <c r="BV199" s="62" t="n"/>
      <c r="BW199" s="62" t="n"/>
      <c r="BX199" s="62">
        <f>BW199-BV199</f>
        <v/>
      </c>
      <c r="BY199" s="64">
        <f>IF(BV199=0,"",BW199/BV199)</f>
        <v/>
      </c>
      <c r="BZ199" s="31" t="n"/>
      <c r="CA199" s="60" t="n"/>
      <c r="CB199" s="60" t="n"/>
      <c r="CC199" s="60">
        <f>CB199-CA199</f>
        <v/>
      </c>
      <c r="CD199" s="61">
        <f>IF(CA199=0,"",CB199/CA199)</f>
        <v/>
      </c>
      <c r="CE199" s="27" t="n"/>
      <c r="CF199" s="62" t="n"/>
      <c r="CG199" s="62" t="n"/>
      <c r="CH199" s="62">
        <f>CG199-CF199</f>
        <v/>
      </c>
      <c r="CI199" s="64">
        <f>IF(CF199=0,"",CG199/CF199)</f>
        <v/>
      </c>
      <c r="CJ199" s="31" t="n"/>
      <c r="CK199" s="60" t="n"/>
      <c r="CL199" s="60" t="n"/>
      <c r="CM199" s="60">
        <f>CL199-CK199</f>
        <v/>
      </c>
      <c r="CN199" s="61">
        <f>IF(CK199=0,"",CL199/CK199)</f>
        <v/>
      </c>
      <c r="CO199" s="27" t="n"/>
      <c r="CP199" s="62" t="n"/>
      <c r="CQ199" s="62" t="n"/>
      <c r="CR199" s="62">
        <f>CQ199-CP199</f>
        <v/>
      </c>
      <c r="CS199" s="64">
        <f>IF(CP199=0,"",CQ199/CP199)</f>
        <v/>
      </c>
      <c r="CT199" s="31" t="n"/>
      <c r="CU199" s="60" t="n"/>
      <c r="CV199" s="60" t="n"/>
      <c r="CW199" s="60">
        <f>CV199-CU199</f>
        <v/>
      </c>
      <c r="CX199" s="61">
        <f>IF(CU199=0,"",CV199/CU199)</f>
        <v/>
      </c>
      <c r="CY199" s="27" t="n"/>
      <c r="CZ199" s="62" t="n"/>
      <c r="DA199" s="62" t="n"/>
      <c r="DB199" s="62">
        <f>DA199-CZ199</f>
        <v/>
      </c>
      <c r="DC199" s="64">
        <f>IF(CZ199=0,"",DA199/CZ199)</f>
        <v/>
      </c>
      <c r="DD199" s="31" t="n"/>
      <c r="DE199" s="60" t="n"/>
      <c r="DF199" s="60" t="n"/>
      <c r="DG199" s="60">
        <f>DF199-DE199</f>
        <v/>
      </c>
      <c r="DH199" s="61">
        <f>IF(DE199=0,"",DF199/DE199)</f>
        <v/>
      </c>
      <c r="DI199" s="27" t="n"/>
      <c r="DJ199" s="62" t="n"/>
      <c r="DK199" s="62" t="n"/>
      <c r="DL199" s="62">
        <f>DK199-DJ199</f>
        <v/>
      </c>
      <c r="DM199" s="64">
        <f>IF(DJ199=0,"",DK199/DJ199)</f>
        <v/>
      </c>
      <c r="DN199" s="31" t="n"/>
      <c r="DO199" s="60" t="n"/>
    </row>
    <row r="200" outlineLevel="1" ht="15" customHeight="1">
      <c r="A200" s="24" t="n"/>
      <c r="B200" s="24" t="n"/>
      <c r="C200" s="24" t="n"/>
      <c r="D200" s="60" t="n"/>
      <c r="E200" s="60" t="n"/>
      <c r="F200" s="60">
        <f>E200-D200</f>
        <v/>
      </c>
      <c r="G200" s="61">
        <f>IF(D200=0,"",E200/D200)</f>
        <v/>
      </c>
      <c r="H200" s="27" t="n"/>
      <c r="I200" s="60" t="n"/>
      <c r="J200" s="60" t="n"/>
      <c r="K200" s="60">
        <f>J200-I200</f>
        <v/>
      </c>
      <c r="L200" s="61">
        <f>IF(I200=0,"",J200/I200)</f>
        <v/>
      </c>
      <c r="M200" s="27" t="n"/>
      <c r="N200" s="62" t="n"/>
      <c r="O200" s="62" t="n"/>
      <c r="P200" s="62">
        <f>O200-N200</f>
        <v/>
      </c>
      <c r="Q200" s="64">
        <f>IF(N200=0,"",O200/N200)</f>
        <v/>
      </c>
      <c r="R200" s="31" t="n"/>
      <c r="S200" s="60" t="n"/>
      <c r="T200" s="60" t="n"/>
      <c r="U200" s="60">
        <f>T200-S200</f>
        <v/>
      </c>
      <c r="V200" s="61">
        <f>IF(S200=0,"",T200/S200)</f>
        <v/>
      </c>
      <c r="W200" s="27" t="n"/>
      <c r="X200" s="62" t="n"/>
      <c r="Y200" s="62" t="n"/>
      <c r="Z200" s="62">
        <f>Y200-X200</f>
        <v/>
      </c>
      <c r="AA200" s="64">
        <f>IF(X200=0,"",Y200/X200)</f>
        <v/>
      </c>
      <c r="AB200" s="31" t="n"/>
      <c r="AC200" s="60" t="n"/>
      <c r="AD200" s="60" t="n"/>
      <c r="AE200" s="60">
        <f>AD200-AC200</f>
        <v/>
      </c>
      <c r="AF200" s="61">
        <f>IF(AC200=0,"",AD200/AC200)</f>
        <v/>
      </c>
      <c r="AG200" s="27" t="n"/>
      <c r="AH200" s="62" t="n"/>
      <c r="AI200" s="62" t="n"/>
      <c r="AJ200" s="62">
        <f>AI200-AH200</f>
        <v/>
      </c>
      <c r="AK200" s="64">
        <f>IF(AH200=0,"",AI200/AH200)</f>
        <v/>
      </c>
      <c r="AL200" s="31" t="n"/>
      <c r="AM200" s="60" t="n"/>
      <c r="AN200" s="60" t="n"/>
      <c r="AO200" s="60">
        <f>AN200-AM200</f>
        <v/>
      </c>
      <c r="AP200" s="61">
        <f>IF(AM200=0,"",AN200/AM200)</f>
        <v/>
      </c>
      <c r="AQ200" s="27" t="n"/>
      <c r="AR200" s="62" t="n"/>
      <c r="AS200" s="62" t="n"/>
      <c r="AT200" s="62">
        <f>AS200-AR200</f>
        <v/>
      </c>
      <c r="AU200" s="64">
        <f>IF(AR200=0,"",AS200/AR200)</f>
        <v/>
      </c>
      <c r="AV200" s="31" t="n"/>
      <c r="AW200" s="60" t="n"/>
      <c r="AX200" s="60" t="n"/>
      <c r="AY200" s="60">
        <f>AX200-AW200</f>
        <v/>
      </c>
      <c r="AZ200" s="61">
        <f>IF(AW200=0,"",AX200/AW200)</f>
        <v/>
      </c>
      <c r="BA200" s="27" t="n"/>
      <c r="BB200" s="62" t="n"/>
      <c r="BC200" s="62" t="n"/>
      <c r="BD200" s="62">
        <f>BC200-BB200</f>
        <v/>
      </c>
      <c r="BE200" s="64">
        <f>IF(BB200=0,"",BC200/BB200)</f>
        <v/>
      </c>
      <c r="BF200" s="31" t="n"/>
      <c r="BG200" s="60" t="n"/>
      <c r="BH200" s="60" t="n"/>
      <c r="BI200" s="60">
        <f>BH200-BG200</f>
        <v/>
      </c>
      <c r="BJ200" s="61">
        <f>IF(BG200=0,"",BH200/BG200)</f>
        <v/>
      </c>
      <c r="BK200" s="27" t="n"/>
      <c r="BL200" s="62" t="n"/>
      <c r="BM200" s="62" t="n"/>
      <c r="BN200" s="62">
        <f>BM200-BL200</f>
        <v/>
      </c>
      <c r="BO200" s="64">
        <f>IF(BL200=0,"",BM200/BL200)</f>
        <v/>
      </c>
      <c r="BP200" s="31" t="n"/>
      <c r="BQ200" s="60" t="n"/>
      <c r="BR200" s="60" t="n"/>
      <c r="BS200" s="60">
        <f>BR200-BQ200</f>
        <v/>
      </c>
      <c r="BT200" s="61">
        <f>IF(BQ200=0,"",BR200/BQ200)</f>
        <v/>
      </c>
      <c r="BU200" s="27" t="n"/>
      <c r="BV200" s="62" t="n"/>
      <c r="BW200" s="62" t="n"/>
      <c r="BX200" s="62">
        <f>BW200-BV200</f>
        <v/>
      </c>
      <c r="BY200" s="64">
        <f>IF(BV200=0,"",BW200/BV200)</f>
        <v/>
      </c>
      <c r="BZ200" s="31" t="n"/>
      <c r="CA200" s="60" t="n"/>
      <c r="CB200" s="60" t="n"/>
      <c r="CC200" s="60">
        <f>CB200-CA200</f>
        <v/>
      </c>
      <c r="CD200" s="61">
        <f>IF(CA200=0,"",CB200/CA200)</f>
        <v/>
      </c>
      <c r="CE200" s="27" t="n"/>
      <c r="CF200" s="62" t="n"/>
      <c r="CG200" s="62" t="n"/>
      <c r="CH200" s="62">
        <f>CG200-CF200</f>
        <v/>
      </c>
      <c r="CI200" s="64">
        <f>IF(CF200=0,"",CG200/CF200)</f>
        <v/>
      </c>
      <c r="CJ200" s="31" t="n"/>
      <c r="CK200" s="60" t="n"/>
      <c r="CL200" s="60" t="n"/>
      <c r="CM200" s="60">
        <f>CL200-CK200</f>
        <v/>
      </c>
      <c r="CN200" s="61">
        <f>IF(CK200=0,"",CL200/CK200)</f>
        <v/>
      </c>
      <c r="CO200" s="27" t="n"/>
      <c r="CP200" s="62" t="n"/>
      <c r="CQ200" s="62" t="n"/>
      <c r="CR200" s="62">
        <f>CQ200-CP200</f>
        <v/>
      </c>
      <c r="CS200" s="64">
        <f>IF(CP200=0,"",CQ200/CP200)</f>
        <v/>
      </c>
      <c r="CT200" s="31" t="n"/>
      <c r="CU200" s="60" t="n"/>
      <c r="CV200" s="60" t="n"/>
      <c r="CW200" s="60">
        <f>CV200-CU200</f>
        <v/>
      </c>
      <c r="CX200" s="61">
        <f>IF(CU200=0,"",CV200/CU200)</f>
        <v/>
      </c>
      <c r="CY200" s="27" t="n"/>
      <c r="CZ200" s="62" t="n"/>
      <c r="DA200" s="62" t="n"/>
      <c r="DB200" s="62">
        <f>DA200-CZ200</f>
        <v/>
      </c>
      <c r="DC200" s="64">
        <f>IF(CZ200=0,"",DA200/CZ200)</f>
        <v/>
      </c>
      <c r="DD200" s="31" t="n"/>
      <c r="DE200" s="60" t="n"/>
      <c r="DF200" s="60" t="n"/>
      <c r="DG200" s="60">
        <f>DF200-DE200</f>
        <v/>
      </c>
      <c r="DH200" s="61">
        <f>IF(DE200=0,"",DF200/DE200)</f>
        <v/>
      </c>
      <c r="DI200" s="27" t="n"/>
      <c r="DJ200" s="62" t="n"/>
      <c r="DK200" s="62" t="n"/>
      <c r="DL200" s="62">
        <f>DK200-DJ200</f>
        <v/>
      </c>
      <c r="DM200" s="64">
        <f>IF(DJ200=0,"",DK200/DJ200)</f>
        <v/>
      </c>
      <c r="DN200" s="31" t="n"/>
      <c r="DO200" s="60" t="n"/>
    </row>
    <row r="201" outlineLevel="1" ht="15" customHeight="1">
      <c r="A201" s="24" t="n"/>
      <c r="B201" s="24" t="n"/>
      <c r="C201" s="24" t="n"/>
      <c r="D201" s="60" t="n"/>
      <c r="E201" s="60" t="n"/>
      <c r="F201" s="60">
        <f>E201-D201</f>
        <v/>
      </c>
      <c r="G201" s="61">
        <f>IF(D201=0,"",E201/D201)</f>
        <v/>
      </c>
      <c r="H201" s="27" t="n"/>
      <c r="I201" s="60" t="n"/>
      <c r="J201" s="60" t="n"/>
      <c r="K201" s="60">
        <f>J201-I201</f>
        <v/>
      </c>
      <c r="L201" s="61">
        <f>IF(I201=0,"",J201/I201)</f>
        <v/>
      </c>
      <c r="M201" s="27" t="n"/>
      <c r="N201" s="62" t="n"/>
      <c r="O201" s="62" t="n"/>
      <c r="P201" s="62">
        <f>O201-N201</f>
        <v/>
      </c>
      <c r="Q201" s="64">
        <f>IF(N201=0,"",O201/N201)</f>
        <v/>
      </c>
      <c r="R201" s="31" t="n"/>
      <c r="S201" s="60" t="n"/>
      <c r="T201" s="60" t="n"/>
      <c r="U201" s="60">
        <f>T201-S201</f>
        <v/>
      </c>
      <c r="V201" s="61">
        <f>IF(S201=0,"",T201/S201)</f>
        <v/>
      </c>
      <c r="W201" s="27" t="n"/>
      <c r="X201" s="62" t="n"/>
      <c r="Y201" s="62" t="n"/>
      <c r="Z201" s="62">
        <f>Y201-X201</f>
        <v/>
      </c>
      <c r="AA201" s="64">
        <f>IF(X201=0,"",Y201/X201)</f>
        <v/>
      </c>
      <c r="AB201" s="31" t="n"/>
      <c r="AC201" s="60" t="n"/>
      <c r="AD201" s="60" t="n"/>
      <c r="AE201" s="60">
        <f>AD201-AC201</f>
        <v/>
      </c>
      <c r="AF201" s="61">
        <f>IF(AC201=0,"",AD201/AC201)</f>
        <v/>
      </c>
      <c r="AG201" s="27" t="n"/>
      <c r="AH201" s="62" t="n"/>
      <c r="AI201" s="62" t="n"/>
      <c r="AJ201" s="62">
        <f>AI201-AH201</f>
        <v/>
      </c>
      <c r="AK201" s="64">
        <f>IF(AH201=0,"",AI201/AH201)</f>
        <v/>
      </c>
      <c r="AL201" s="31" t="n"/>
      <c r="AM201" s="60" t="n"/>
      <c r="AN201" s="60" t="n"/>
      <c r="AO201" s="60">
        <f>AN201-AM201</f>
        <v/>
      </c>
      <c r="AP201" s="61">
        <f>IF(AM201=0,"",AN201/AM201)</f>
        <v/>
      </c>
      <c r="AQ201" s="27" t="n"/>
      <c r="AR201" s="62" t="n"/>
      <c r="AS201" s="62" t="n"/>
      <c r="AT201" s="62">
        <f>AS201-AR201</f>
        <v/>
      </c>
      <c r="AU201" s="64">
        <f>IF(AR201=0,"",AS201/AR201)</f>
        <v/>
      </c>
      <c r="AV201" s="31" t="n"/>
      <c r="AW201" s="60" t="n"/>
      <c r="AX201" s="60" t="n"/>
      <c r="AY201" s="60">
        <f>AX201-AW201</f>
        <v/>
      </c>
      <c r="AZ201" s="61">
        <f>IF(AW201=0,"",AX201/AW201)</f>
        <v/>
      </c>
      <c r="BA201" s="27" t="n"/>
      <c r="BB201" s="62" t="n"/>
      <c r="BC201" s="62" t="n"/>
      <c r="BD201" s="62">
        <f>BC201-BB201</f>
        <v/>
      </c>
      <c r="BE201" s="64">
        <f>IF(BB201=0,"",BC201/BB201)</f>
        <v/>
      </c>
      <c r="BF201" s="31" t="n"/>
      <c r="BG201" s="60" t="n"/>
      <c r="BH201" s="60" t="n"/>
      <c r="BI201" s="60">
        <f>BH201-BG201</f>
        <v/>
      </c>
      <c r="BJ201" s="61">
        <f>IF(BG201=0,"",BH201/BG201)</f>
        <v/>
      </c>
      <c r="BK201" s="27" t="n"/>
      <c r="BL201" s="62" t="n"/>
      <c r="BM201" s="62" t="n"/>
      <c r="BN201" s="62">
        <f>BM201-BL201</f>
        <v/>
      </c>
      <c r="BO201" s="64">
        <f>IF(BL201=0,"",BM201/BL201)</f>
        <v/>
      </c>
      <c r="BP201" s="31" t="n"/>
      <c r="BQ201" s="60" t="n"/>
      <c r="BR201" s="60" t="n"/>
      <c r="BS201" s="60">
        <f>BR201-BQ201</f>
        <v/>
      </c>
      <c r="BT201" s="61">
        <f>IF(BQ201=0,"",BR201/BQ201)</f>
        <v/>
      </c>
      <c r="BU201" s="27" t="n"/>
      <c r="BV201" s="62" t="n"/>
      <c r="BW201" s="62" t="n"/>
      <c r="BX201" s="62">
        <f>BW201-BV201</f>
        <v/>
      </c>
      <c r="BY201" s="64">
        <f>IF(BV201=0,"",BW201/BV201)</f>
        <v/>
      </c>
      <c r="BZ201" s="31" t="n"/>
      <c r="CA201" s="60" t="n"/>
      <c r="CB201" s="60" t="n"/>
      <c r="CC201" s="60">
        <f>CB201-CA201</f>
        <v/>
      </c>
      <c r="CD201" s="61">
        <f>IF(CA201=0,"",CB201/CA201)</f>
        <v/>
      </c>
      <c r="CE201" s="27" t="n"/>
      <c r="CF201" s="62" t="n"/>
      <c r="CG201" s="62" t="n"/>
      <c r="CH201" s="62">
        <f>CG201-CF201</f>
        <v/>
      </c>
      <c r="CI201" s="64">
        <f>IF(CF201=0,"",CG201/CF201)</f>
        <v/>
      </c>
      <c r="CJ201" s="31" t="n"/>
      <c r="CK201" s="60" t="n"/>
      <c r="CL201" s="60" t="n"/>
      <c r="CM201" s="60">
        <f>CL201-CK201</f>
        <v/>
      </c>
      <c r="CN201" s="61">
        <f>IF(CK201=0,"",CL201/CK201)</f>
        <v/>
      </c>
      <c r="CO201" s="27" t="n"/>
      <c r="CP201" s="62" t="n"/>
      <c r="CQ201" s="62" t="n"/>
      <c r="CR201" s="62">
        <f>CQ201-CP201</f>
        <v/>
      </c>
      <c r="CS201" s="64">
        <f>IF(CP201=0,"",CQ201/CP201)</f>
        <v/>
      </c>
      <c r="CT201" s="31" t="n"/>
      <c r="CU201" s="60" t="n"/>
      <c r="CV201" s="60" t="n"/>
      <c r="CW201" s="60">
        <f>CV201-CU201</f>
        <v/>
      </c>
      <c r="CX201" s="61">
        <f>IF(CU201=0,"",CV201/CU201)</f>
        <v/>
      </c>
      <c r="CY201" s="27" t="n"/>
      <c r="CZ201" s="62" t="n"/>
      <c r="DA201" s="62" t="n"/>
      <c r="DB201" s="62">
        <f>DA201-CZ201</f>
        <v/>
      </c>
      <c r="DC201" s="64">
        <f>IF(CZ201=0,"",DA201/CZ201)</f>
        <v/>
      </c>
      <c r="DD201" s="31" t="n"/>
      <c r="DE201" s="60" t="n"/>
      <c r="DF201" s="60" t="n"/>
      <c r="DG201" s="60">
        <f>DF201-DE201</f>
        <v/>
      </c>
      <c r="DH201" s="61">
        <f>IF(DE201=0,"",DF201/DE201)</f>
        <v/>
      </c>
      <c r="DI201" s="27" t="n"/>
      <c r="DJ201" s="62" t="n"/>
      <c r="DK201" s="62" t="n"/>
      <c r="DL201" s="62">
        <f>DK201-DJ201</f>
        <v/>
      </c>
      <c r="DM201" s="64">
        <f>IF(DJ201=0,"",DK201/DJ201)</f>
        <v/>
      </c>
      <c r="DN201" s="31" t="n"/>
      <c r="DO201" s="60" t="n"/>
    </row>
    <row r="202" outlineLevel="1" ht="15" customHeight="1">
      <c r="A202" s="24" t="n"/>
      <c r="B202" s="24" t="n"/>
      <c r="C202" s="24" t="n"/>
      <c r="D202" s="60" t="n"/>
      <c r="E202" s="60" t="n"/>
      <c r="F202" s="60">
        <f>E202-D202</f>
        <v/>
      </c>
      <c r="G202" s="61">
        <f>IF(D202=0,"",E202/D202)</f>
        <v/>
      </c>
      <c r="H202" s="27" t="n"/>
      <c r="I202" s="60" t="n"/>
      <c r="J202" s="60" t="n"/>
      <c r="K202" s="60">
        <f>J202-I202</f>
        <v/>
      </c>
      <c r="L202" s="61">
        <f>IF(I202=0,"",J202/I202)</f>
        <v/>
      </c>
      <c r="M202" s="27" t="n"/>
      <c r="N202" s="62" t="n"/>
      <c r="O202" s="62" t="n"/>
      <c r="P202" s="62">
        <f>O202-N202</f>
        <v/>
      </c>
      <c r="Q202" s="64">
        <f>IF(N202=0,"",O202/N202)</f>
        <v/>
      </c>
      <c r="R202" s="31" t="n"/>
      <c r="S202" s="60" t="n"/>
      <c r="T202" s="60" t="n"/>
      <c r="U202" s="60">
        <f>T202-S202</f>
        <v/>
      </c>
      <c r="V202" s="61">
        <f>IF(S202=0,"",T202/S202)</f>
        <v/>
      </c>
      <c r="W202" s="27" t="n"/>
      <c r="X202" s="62" t="n"/>
      <c r="Y202" s="62" t="n"/>
      <c r="Z202" s="62">
        <f>Y202-X202</f>
        <v/>
      </c>
      <c r="AA202" s="64">
        <f>IF(X202=0,"",Y202/X202)</f>
        <v/>
      </c>
      <c r="AB202" s="31" t="n"/>
      <c r="AC202" s="60" t="n"/>
      <c r="AD202" s="60" t="n"/>
      <c r="AE202" s="60">
        <f>AD202-AC202</f>
        <v/>
      </c>
      <c r="AF202" s="61">
        <f>IF(AC202=0,"",AD202/AC202)</f>
        <v/>
      </c>
      <c r="AG202" s="27" t="n"/>
      <c r="AH202" s="62" t="n"/>
      <c r="AI202" s="62" t="n"/>
      <c r="AJ202" s="62">
        <f>AI202-AH202</f>
        <v/>
      </c>
      <c r="AK202" s="64">
        <f>IF(AH202=0,"",AI202/AH202)</f>
        <v/>
      </c>
      <c r="AL202" s="31" t="n"/>
      <c r="AM202" s="60" t="n"/>
      <c r="AN202" s="60" t="n"/>
      <c r="AO202" s="60">
        <f>AN202-AM202</f>
        <v/>
      </c>
      <c r="AP202" s="61">
        <f>IF(AM202=0,"",AN202/AM202)</f>
        <v/>
      </c>
      <c r="AQ202" s="27" t="n"/>
      <c r="AR202" s="62" t="n"/>
      <c r="AS202" s="62" t="n"/>
      <c r="AT202" s="62">
        <f>AS202-AR202</f>
        <v/>
      </c>
      <c r="AU202" s="64">
        <f>IF(AR202=0,"",AS202/AR202)</f>
        <v/>
      </c>
      <c r="AV202" s="31" t="n"/>
      <c r="AW202" s="60" t="n"/>
      <c r="AX202" s="60" t="n"/>
      <c r="AY202" s="60">
        <f>AX202-AW202</f>
        <v/>
      </c>
      <c r="AZ202" s="61">
        <f>IF(AW202=0,"",AX202/AW202)</f>
        <v/>
      </c>
      <c r="BA202" s="27" t="n"/>
      <c r="BB202" s="62" t="n"/>
      <c r="BC202" s="62" t="n"/>
      <c r="BD202" s="62">
        <f>BC202-BB202</f>
        <v/>
      </c>
      <c r="BE202" s="64">
        <f>IF(BB202=0,"",BC202/BB202)</f>
        <v/>
      </c>
      <c r="BF202" s="31" t="n"/>
      <c r="BG202" s="60" t="n"/>
      <c r="BH202" s="60" t="n"/>
      <c r="BI202" s="60">
        <f>BH202-BG202</f>
        <v/>
      </c>
      <c r="BJ202" s="61">
        <f>IF(BG202=0,"",BH202/BG202)</f>
        <v/>
      </c>
      <c r="BK202" s="27" t="n"/>
      <c r="BL202" s="62" t="n"/>
      <c r="BM202" s="62" t="n"/>
      <c r="BN202" s="62">
        <f>BM202-BL202</f>
        <v/>
      </c>
      <c r="BO202" s="64">
        <f>IF(BL202=0,"",BM202/BL202)</f>
        <v/>
      </c>
      <c r="BP202" s="31" t="n"/>
      <c r="BQ202" s="60" t="n"/>
      <c r="BR202" s="60" t="n"/>
      <c r="BS202" s="60">
        <f>BR202-BQ202</f>
        <v/>
      </c>
      <c r="BT202" s="61">
        <f>IF(BQ202=0,"",BR202/BQ202)</f>
        <v/>
      </c>
      <c r="BU202" s="27" t="n"/>
      <c r="BV202" s="62" t="n"/>
      <c r="BW202" s="62" t="n"/>
      <c r="BX202" s="62">
        <f>BW202-BV202</f>
        <v/>
      </c>
      <c r="BY202" s="64">
        <f>IF(BV202=0,"",BW202/BV202)</f>
        <v/>
      </c>
      <c r="BZ202" s="31" t="n"/>
      <c r="CA202" s="60" t="n"/>
      <c r="CB202" s="60" t="n"/>
      <c r="CC202" s="60">
        <f>CB202-CA202</f>
        <v/>
      </c>
      <c r="CD202" s="61">
        <f>IF(CA202=0,"",CB202/CA202)</f>
        <v/>
      </c>
      <c r="CE202" s="27" t="n"/>
      <c r="CF202" s="62" t="n"/>
      <c r="CG202" s="62" t="n"/>
      <c r="CH202" s="62">
        <f>CG202-CF202</f>
        <v/>
      </c>
      <c r="CI202" s="64">
        <f>IF(CF202=0,"",CG202/CF202)</f>
        <v/>
      </c>
      <c r="CJ202" s="31" t="n"/>
      <c r="CK202" s="60" t="n"/>
      <c r="CL202" s="60" t="n"/>
      <c r="CM202" s="60">
        <f>CL202-CK202</f>
        <v/>
      </c>
      <c r="CN202" s="61">
        <f>IF(CK202=0,"",CL202/CK202)</f>
        <v/>
      </c>
      <c r="CO202" s="27" t="n"/>
      <c r="CP202" s="62" t="n"/>
      <c r="CQ202" s="62" t="n"/>
      <c r="CR202" s="62">
        <f>CQ202-CP202</f>
        <v/>
      </c>
      <c r="CS202" s="64">
        <f>IF(CP202=0,"",CQ202/CP202)</f>
        <v/>
      </c>
      <c r="CT202" s="31" t="n"/>
      <c r="CU202" s="60" t="n"/>
      <c r="CV202" s="60" t="n"/>
      <c r="CW202" s="60">
        <f>CV202-CU202</f>
        <v/>
      </c>
      <c r="CX202" s="61">
        <f>IF(CU202=0,"",CV202/CU202)</f>
        <v/>
      </c>
      <c r="CY202" s="27" t="n"/>
      <c r="CZ202" s="62" t="n"/>
      <c r="DA202" s="62" t="n"/>
      <c r="DB202" s="62">
        <f>DA202-CZ202</f>
        <v/>
      </c>
      <c r="DC202" s="64">
        <f>IF(CZ202=0,"",DA202/CZ202)</f>
        <v/>
      </c>
      <c r="DD202" s="31" t="n"/>
      <c r="DE202" s="60" t="n"/>
      <c r="DF202" s="60" t="n"/>
      <c r="DG202" s="60">
        <f>DF202-DE202</f>
        <v/>
      </c>
      <c r="DH202" s="61">
        <f>IF(DE202=0,"",DF202/DE202)</f>
        <v/>
      </c>
      <c r="DI202" s="27" t="n"/>
      <c r="DJ202" s="62" t="n"/>
      <c r="DK202" s="62" t="n"/>
      <c r="DL202" s="62">
        <f>DK202-DJ202</f>
        <v/>
      </c>
      <c r="DM202" s="64">
        <f>IF(DJ202=0,"",DK202/DJ202)</f>
        <v/>
      </c>
      <c r="DN202" s="31" t="n"/>
      <c r="DO202" s="60" t="n"/>
    </row>
    <row r="203" outlineLevel="1" ht="15" customHeight="1">
      <c r="A203" s="24" t="n"/>
      <c r="B203" s="24" t="n"/>
      <c r="C203" s="24" t="n"/>
      <c r="D203" s="60" t="n"/>
      <c r="E203" s="60" t="n"/>
      <c r="F203" s="60">
        <f>E203-D203</f>
        <v/>
      </c>
      <c r="G203" s="61">
        <f>IF(D203=0,"",E203/D203)</f>
        <v/>
      </c>
      <c r="H203" s="27" t="n"/>
      <c r="I203" s="60" t="n"/>
      <c r="J203" s="60" t="n"/>
      <c r="K203" s="60">
        <f>J203-I203</f>
        <v/>
      </c>
      <c r="L203" s="61">
        <f>IF(I203=0,"",J203/I203)</f>
        <v/>
      </c>
      <c r="M203" s="27" t="n"/>
      <c r="N203" s="62" t="n"/>
      <c r="O203" s="62" t="n"/>
      <c r="P203" s="62">
        <f>O203-N203</f>
        <v/>
      </c>
      <c r="Q203" s="64">
        <f>IF(N203=0,"",O203/N203)</f>
        <v/>
      </c>
      <c r="R203" s="31" t="n"/>
      <c r="S203" s="60" t="n"/>
      <c r="T203" s="60" t="n"/>
      <c r="U203" s="60">
        <f>T203-S203</f>
        <v/>
      </c>
      <c r="V203" s="61">
        <f>IF(S203=0,"",T203/S203)</f>
        <v/>
      </c>
      <c r="W203" s="27" t="n"/>
      <c r="X203" s="62" t="n"/>
      <c r="Y203" s="62" t="n"/>
      <c r="Z203" s="62">
        <f>Y203-X203</f>
        <v/>
      </c>
      <c r="AA203" s="64">
        <f>IF(X203=0,"",Y203/X203)</f>
        <v/>
      </c>
      <c r="AB203" s="31" t="n"/>
      <c r="AC203" s="60" t="n"/>
      <c r="AD203" s="60" t="n"/>
      <c r="AE203" s="60">
        <f>AD203-AC203</f>
        <v/>
      </c>
      <c r="AF203" s="61">
        <f>IF(AC203=0,"",AD203/AC203)</f>
        <v/>
      </c>
      <c r="AG203" s="27" t="n"/>
      <c r="AH203" s="62" t="n"/>
      <c r="AI203" s="62" t="n"/>
      <c r="AJ203" s="62">
        <f>AI203-AH203</f>
        <v/>
      </c>
      <c r="AK203" s="64">
        <f>IF(AH203=0,"",AI203/AH203)</f>
        <v/>
      </c>
      <c r="AL203" s="31" t="n"/>
      <c r="AM203" s="60" t="n"/>
      <c r="AN203" s="60" t="n"/>
      <c r="AO203" s="60">
        <f>AN203-AM203</f>
        <v/>
      </c>
      <c r="AP203" s="61">
        <f>IF(AM203=0,"",AN203/AM203)</f>
        <v/>
      </c>
      <c r="AQ203" s="27" t="n"/>
      <c r="AR203" s="62" t="n"/>
      <c r="AS203" s="62" t="n"/>
      <c r="AT203" s="62">
        <f>AS203-AR203</f>
        <v/>
      </c>
      <c r="AU203" s="64">
        <f>IF(AR203=0,"",AS203/AR203)</f>
        <v/>
      </c>
      <c r="AV203" s="31" t="n"/>
      <c r="AW203" s="60" t="n"/>
      <c r="AX203" s="60" t="n"/>
      <c r="AY203" s="60">
        <f>AX203-AW203</f>
        <v/>
      </c>
      <c r="AZ203" s="61">
        <f>IF(AW203=0,"",AX203/AW203)</f>
        <v/>
      </c>
      <c r="BA203" s="27" t="n"/>
      <c r="BB203" s="62" t="n"/>
      <c r="BC203" s="62" t="n"/>
      <c r="BD203" s="62">
        <f>BC203-BB203</f>
        <v/>
      </c>
      <c r="BE203" s="64">
        <f>IF(BB203=0,"",BC203/BB203)</f>
        <v/>
      </c>
      <c r="BF203" s="31" t="n"/>
      <c r="BG203" s="60" t="n"/>
      <c r="BH203" s="60" t="n"/>
      <c r="BI203" s="60">
        <f>BH203-BG203</f>
        <v/>
      </c>
      <c r="BJ203" s="61">
        <f>IF(BG203=0,"",BH203/BG203)</f>
        <v/>
      </c>
      <c r="BK203" s="27" t="n"/>
      <c r="BL203" s="62" t="n"/>
      <c r="BM203" s="62" t="n"/>
      <c r="BN203" s="62">
        <f>BM203-BL203</f>
        <v/>
      </c>
      <c r="BO203" s="64">
        <f>IF(BL203=0,"",BM203/BL203)</f>
        <v/>
      </c>
      <c r="BP203" s="31" t="n"/>
      <c r="BQ203" s="60" t="n"/>
      <c r="BR203" s="60" t="n"/>
      <c r="BS203" s="60">
        <f>BR203-BQ203</f>
        <v/>
      </c>
      <c r="BT203" s="61">
        <f>IF(BQ203=0,"",BR203/BQ203)</f>
        <v/>
      </c>
      <c r="BU203" s="27" t="n"/>
      <c r="BV203" s="62" t="n"/>
      <c r="BW203" s="62" t="n"/>
      <c r="BX203" s="62">
        <f>BW203-BV203</f>
        <v/>
      </c>
      <c r="BY203" s="64">
        <f>IF(BV203=0,"",BW203/BV203)</f>
        <v/>
      </c>
      <c r="BZ203" s="31" t="n"/>
      <c r="CA203" s="60" t="n"/>
      <c r="CB203" s="60" t="n"/>
      <c r="CC203" s="60">
        <f>CB203-CA203</f>
        <v/>
      </c>
      <c r="CD203" s="61">
        <f>IF(CA203=0,"",CB203/CA203)</f>
        <v/>
      </c>
      <c r="CE203" s="27" t="n"/>
      <c r="CF203" s="62" t="n"/>
      <c r="CG203" s="62" t="n"/>
      <c r="CH203" s="62">
        <f>CG203-CF203</f>
        <v/>
      </c>
      <c r="CI203" s="64">
        <f>IF(CF203=0,"",CG203/CF203)</f>
        <v/>
      </c>
      <c r="CJ203" s="31" t="n"/>
      <c r="CK203" s="60" t="n"/>
      <c r="CL203" s="60" t="n"/>
      <c r="CM203" s="60">
        <f>CL203-CK203</f>
        <v/>
      </c>
      <c r="CN203" s="61">
        <f>IF(CK203=0,"",CL203/CK203)</f>
        <v/>
      </c>
      <c r="CO203" s="27" t="n"/>
      <c r="CP203" s="62" t="n"/>
      <c r="CQ203" s="62" t="n"/>
      <c r="CR203" s="62">
        <f>CQ203-CP203</f>
        <v/>
      </c>
      <c r="CS203" s="64">
        <f>IF(CP203=0,"",CQ203/CP203)</f>
        <v/>
      </c>
      <c r="CT203" s="31" t="n"/>
      <c r="CU203" s="60" t="n"/>
      <c r="CV203" s="60" t="n"/>
      <c r="CW203" s="60">
        <f>CV203-CU203</f>
        <v/>
      </c>
      <c r="CX203" s="61">
        <f>IF(CU203=0,"",CV203/CU203)</f>
        <v/>
      </c>
      <c r="CY203" s="27" t="n"/>
      <c r="CZ203" s="62" t="n"/>
      <c r="DA203" s="62" t="n"/>
      <c r="DB203" s="62">
        <f>DA203-CZ203</f>
        <v/>
      </c>
      <c r="DC203" s="64">
        <f>IF(CZ203=0,"",DA203/CZ203)</f>
        <v/>
      </c>
      <c r="DD203" s="31" t="n"/>
      <c r="DE203" s="60" t="n"/>
      <c r="DF203" s="60" t="n"/>
      <c r="DG203" s="60">
        <f>DF203-DE203</f>
        <v/>
      </c>
      <c r="DH203" s="61">
        <f>IF(DE203=0,"",DF203/DE203)</f>
        <v/>
      </c>
      <c r="DI203" s="27" t="n"/>
      <c r="DJ203" s="62" t="n"/>
      <c r="DK203" s="62" t="n"/>
      <c r="DL203" s="62">
        <f>DK203-DJ203</f>
        <v/>
      </c>
      <c r="DM203" s="64">
        <f>IF(DJ203=0,"",DK203/DJ203)</f>
        <v/>
      </c>
      <c r="DN203" s="31" t="n"/>
      <c r="DO203" s="60" t="n"/>
    </row>
    <row r="204" outlineLevel="1" ht="15" customHeight="1">
      <c r="A204" s="24" t="n"/>
      <c r="B204" s="24" t="n"/>
      <c r="C204" s="24" t="n"/>
      <c r="D204" s="60" t="n"/>
      <c r="E204" s="60" t="n"/>
      <c r="F204" s="60">
        <f>E204-D204</f>
        <v/>
      </c>
      <c r="G204" s="61">
        <f>IF(D204=0,"",E204/D204)</f>
        <v/>
      </c>
      <c r="H204" s="27" t="n"/>
      <c r="I204" s="60" t="n"/>
      <c r="J204" s="60" t="n"/>
      <c r="K204" s="60">
        <f>J204-I204</f>
        <v/>
      </c>
      <c r="L204" s="61">
        <f>IF(I204=0,"",J204/I204)</f>
        <v/>
      </c>
      <c r="M204" s="27" t="n"/>
      <c r="N204" s="62" t="n"/>
      <c r="O204" s="62" t="n"/>
      <c r="P204" s="62">
        <f>O204-N204</f>
        <v/>
      </c>
      <c r="Q204" s="64">
        <f>IF(N204=0,"",O204/N204)</f>
        <v/>
      </c>
      <c r="R204" s="31" t="n"/>
      <c r="S204" s="60" t="n"/>
      <c r="T204" s="60" t="n"/>
      <c r="U204" s="60">
        <f>T204-S204</f>
        <v/>
      </c>
      <c r="V204" s="61">
        <f>IF(S204=0,"",T204/S204)</f>
        <v/>
      </c>
      <c r="W204" s="27" t="n"/>
      <c r="X204" s="62" t="n"/>
      <c r="Y204" s="62" t="n"/>
      <c r="Z204" s="62">
        <f>Y204-X204</f>
        <v/>
      </c>
      <c r="AA204" s="64">
        <f>IF(X204=0,"",Y204/X204)</f>
        <v/>
      </c>
      <c r="AB204" s="31" t="n"/>
      <c r="AC204" s="60" t="n"/>
      <c r="AD204" s="60" t="n"/>
      <c r="AE204" s="60">
        <f>AD204-AC204</f>
        <v/>
      </c>
      <c r="AF204" s="61">
        <f>IF(AC204=0,"",AD204/AC204)</f>
        <v/>
      </c>
      <c r="AG204" s="27" t="n"/>
      <c r="AH204" s="62" t="n"/>
      <c r="AI204" s="62" t="n"/>
      <c r="AJ204" s="62">
        <f>AI204-AH204</f>
        <v/>
      </c>
      <c r="AK204" s="64">
        <f>IF(AH204=0,"",AI204/AH204)</f>
        <v/>
      </c>
      <c r="AL204" s="31" t="n"/>
      <c r="AM204" s="60" t="n"/>
      <c r="AN204" s="60" t="n"/>
      <c r="AO204" s="60">
        <f>AN204-AM204</f>
        <v/>
      </c>
      <c r="AP204" s="61">
        <f>IF(AM204=0,"",AN204/AM204)</f>
        <v/>
      </c>
      <c r="AQ204" s="27" t="n"/>
      <c r="AR204" s="62" t="n"/>
      <c r="AS204" s="62" t="n"/>
      <c r="AT204" s="62">
        <f>AS204-AR204</f>
        <v/>
      </c>
      <c r="AU204" s="64">
        <f>IF(AR204=0,"",AS204/AR204)</f>
        <v/>
      </c>
      <c r="AV204" s="31" t="n"/>
      <c r="AW204" s="60" t="n"/>
      <c r="AX204" s="60" t="n"/>
      <c r="AY204" s="60">
        <f>AX204-AW204</f>
        <v/>
      </c>
      <c r="AZ204" s="61">
        <f>IF(AW204=0,"",AX204/AW204)</f>
        <v/>
      </c>
      <c r="BA204" s="27" t="n"/>
      <c r="BB204" s="62" t="n"/>
      <c r="BC204" s="62" t="n"/>
      <c r="BD204" s="62">
        <f>BC204-BB204</f>
        <v/>
      </c>
      <c r="BE204" s="64">
        <f>IF(BB204=0,"",BC204/BB204)</f>
        <v/>
      </c>
      <c r="BF204" s="31" t="n"/>
      <c r="BG204" s="60" t="n"/>
      <c r="BH204" s="60" t="n"/>
      <c r="BI204" s="60">
        <f>BH204-BG204</f>
        <v/>
      </c>
      <c r="BJ204" s="61">
        <f>IF(BG204=0,"",BH204/BG204)</f>
        <v/>
      </c>
      <c r="BK204" s="27" t="n"/>
      <c r="BL204" s="62" t="n"/>
      <c r="BM204" s="62" t="n"/>
      <c r="BN204" s="62">
        <f>BM204-BL204</f>
        <v/>
      </c>
      <c r="BO204" s="64">
        <f>IF(BL204=0,"",BM204/BL204)</f>
        <v/>
      </c>
      <c r="BP204" s="31" t="n"/>
      <c r="BQ204" s="60" t="n"/>
      <c r="BR204" s="60" t="n"/>
      <c r="BS204" s="60">
        <f>BR204-BQ204</f>
        <v/>
      </c>
      <c r="BT204" s="61">
        <f>IF(BQ204=0,"",BR204/BQ204)</f>
        <v/>
      </c>
      <c r="BU204" s="27" t="n"/>
      <c r="BV204" s="62" t="n"/>
      <c r="BW204" s="62" t="n"/>
      <c r="BX204" s="62">
        <f>BW204-BV204</f>
        <v/>
      </c>
      <c r="BY204" s="64">
        <f>IF(BV204=0,"",BW204/BV204)</f>
        <v/>
      </c>
      <c r="BZ204" s="31" t="n"/>
      <c r="CA204" s="60" t="n"/>
      <c r="CB204" s="60" t="n"/>
      <c r="CC204" s="60">
        <f>CB204-CA204</f>
        <v/>
      </c>
      <c r="CD204" s="61">
        <f>IF(CA204=0,"",CB204/CA204)</f>
        <v/>
      </c>
      <c r="CE204" s="27" t="n"/>
      <c r="CF204" s="62" t="n"/>
      <c r="CG204" s="62" t="n"/>
      <c r="CH204" s="62">
        <f>CG204-CF204</f>
        <v/>
      </c>
      <c r="CI204" s="64">
        <f>IF(CF204=0,"",CG204/CF204)</f>
        <v/>
      </c>
      <c r="CJ204" s="31" t="n"/>
      <c r="CK204" s="60" t="n"/>
      <c r="CL204" s="60" t="n"/>
      <c r="CM204" s="60">
        <f>CL204-CK204</f>
        <v/>
      </c>
      <c r="CN204" s="61">
        <f>IF(CK204=0,"",CL204/CK204)</f>
        <v/>
      </c>
      <c r="CO204" s="27" t="n"/>
      <c r="CP204" s="62" t="n"/>
      <c r="CQ204" s="62" t="n"/>
      <c r="CR204" s="62">
        <f>CQ204-CP204</f>
        <v/>
      </c>
      <c r="CS204" s="64">
        <f>IF(CP204=0,"",CQ204/CP204)</f>
        <v/>
      </c>
      <c r="CT204" s="31" t="n"/>
      <c r="CU204" s="60" t="n"/>
      <c r="CV204" s="60" t="n"/>
      <c r="CW204" s="60">
        <f>CV204-CU204</f>
        <v/>
      </c>
      <c r="CX204" s="61">
        <f>IF(CU204=0,"",CV204/CU204)</f>
        <v/>
      </c>
      <c r="CY204" s="27" t="n"/>
      <c r="CZ204" s="62" t="n"/>
      <c r="DA204" s="62" t="n"/>
      <c r="DB204" s="62">
        <f>DA204-CZ204</f>
        <v/>
      </c>
      <c r="DC204" s="64">
        <f>IF(CZ204=0,"",DA204/CZ204)</f>
        <v/>
      </c>
      <c r="DD204" s="31" t="n"/>
      <c r="DE204" s="60" t="n"/>
      <c r="DF204" s="60" t="n"/>
      <c r="DG204" s="60">
        <f>DF204-DE204</f>
        <v/>
      </c>
      <c r="DH204" s="61">
        <f>IF(DE204=0,"",DF204/DE204)</f>
        <v/>
      </c>
      <c r="DI204" s="27" t="n"/>
      <c r="DJ204" s="62" t="n"/>
      <c r="DK204" s="62" t="n"/>
      <c r="DL204" s="62">
        <f>DK204-DJ204</f>
        <v/>
      </c>
      <c r="DM204" s="64">
        <f>IF(DJ204=0,"",DK204/DJ204)</f>
        <v/>
      </c>
      <c r="DN204" s="31" t="n"/>
      <c r="DO204" s="60" t="n"/>
    </row>
    <row r="205" outlineLevel="1" ht="15" customHeight="1">
      <c r="A205" s="24" t="n"/>
      <c r="B205" s="24" t="n"/>
      <c r="C205" s="24" t="n"/>
      <c r="D205" s="60" t="n"/>
      <c r="E205" s="60" t="n"/>
      <c r="F205" s="60">
        <f>E205-D205</f>
        <v/>
      </c>
      <c r="G205" s="61">
        <f>IF(D205=0,"",E205/D205)</f>
        <v/>
      </c>
      <c r="H205" s="27" t="n"/>
      <c r="I205" s="60" t="n"/>
      <c r="J205" s="60" t="n"/>
      <c r="K205" s="60">
        <f>J205-I205</f>
        <v/>
      </c>
      <c r="L205" s="61">
        <f>IF(I205=0,"",J205/I205)</f>
        <v/>
      </c>
      <c r="M205" s="27" t="n"/>
      <c r="N205" s="62" t="n"/>
      <c r="O205" s="62" t="n"/>
      <c r="P205" s="62">
        <f>O205-N205</f>
        <v/>
      </c>
      <c r="Q205" s="64">
        <f>IF(N205=0,"",O205/N205)</f>
        <v/>
      </c>
      <c r="R205" s="31" t="n"/>
      <c r="S205" s="60" t="n"/>
      <c r="T205" s="60" t="n"/>
      <c r="U205" s="60">
        <f>T205-S205</f>
        <v/>
      </c>
      <c r="V205" s="61">
        <f>IF(S205=0,"",T205/S205)</f>
        <v/>
      </c>
      <c r="W205" s="27" t="n"/>
      <c r="X205" s="62" t="n"/>
      <c r="Y205" s="62" t="n"/>
      <c r="Z205" s="62">
        <f>Y205-X205</f>
        <v/>
      </c>
      <c r="AA205" s="64">
        <f>IF(X205=0,"",Y205/X205)</f>
        <v/>
      </c>
      <c r="AB205" s="31" t="n"/>
      <c r="AC205" s="60" t="n"/>
      <c r="AD205" s="60" t="n"/>
      <c r="AE205" s="60">
        <f>AD205-AC205</f>
        <v/>
      </c>
      <c r="AF205" s="61">
        <f>IF(AC205=0,"",AD205/AC205)</f>
        <v/>
      </c>
      <c r="AG205" s="27" t="n"/>
      <c r="AH205" s="62" t="n"/>
      <c r="AI205" s="62" t="n"/>
      <c r="AJ205" s="62">
        <f>AI205-AH205</f>
        <v/>
      </c>
      <c r="AK205" s="64">
        <f>IF(AH205=0,"",AI205/AH205)</f>
        <v/>
      </c>
      <c r="AL205" s="31" t="n"/>
      <c r="AM205" s="60" t="n"/>
      <c r="AN205" s="60" t="n"/>
      <c r="AO205" s="60">
        <f>AN205-AM205</f>
        <v/>
      </c>
      <c r="AP205" s="61">
        <f>IF(AM205=0,"",AN205/AM205)</f>
        <v/>
      </c>
      <c r="AQ205" s="27" t="n"/>
      <c r="AR205" s="62" t="n"/>
      <c r="AS205" s="62" t="n"/>
      <c r="AT205" s="62">
        <f>AS205-AR205</f>
        <v/>
      </c>
      <c r="AU205" s="64">
        <f>IF(AR205=0,"",AS205/AR205)</f>
        <v/>
      </c>
      <c r="AV205" s="31" t="n"/>
      <c r="AW205" s="60" t="n"/>
      <c r="AX205" s="60" t="n"/>
      <c r="AY205" s="60">
        <f>AX205-AW205</f>
        <v/>
      </c>
      <c r="AZ205" s="61">
        <f>IF(AW205=0,"",AX205/AW205)</f>
        <v/>
      </c>
      <c r="BA205" s="27" t="n"/>
      <c r="BB205" s="62" t="n"/>
      <c r="BC205" s="62" t="n"/>
      <c r="BD205" s="62">
        <f>BC205-BB205</f>
        <v/>
      </c>
      <c r="BE205" s="64">
        <f>IF(BB205=0,"",BC205/BB205)</f>
        <v/>
      </c>
      <c r="BF205" s="31" t="n"/>
      <c r="BG205" s="60" t="n"/>
      <c r="BH205" s="60" t="n"/>
      <c r="BI205" s="60">
        <f>BH205-BG205</f>
        <v/>
      </c>
      <c r="BJ205" s="61">
        <f>IF(BG205=0,"",BH205/BG205)</f>
        <v/>
      </c>
      <c r="BK205" s="27" t="n"/>
      <c r="BL205" s="62" t="n"/>
      <c r="BM205" s="62" t="n"/>
      <c r="BN205" s="62">
        <f>BM205-BL205</f>
        <v/>
      </c>
      <c r="BO205" s="64">
        <f>IF(BL205=0,"",BM205/BL205)</f>
        <v/>
      </c>
      <c r="BP205" s="31" t="n"/>
      <c r="BQ205" s="60" t="n"/>
      <c r="BR205" s="60" t="n"/>
      <c r="BS205" s="60">
        <f>BR205-BQ205</f>
        <v/>
      </c>
      <c r="BT205" s="61">
        <f>IF(BQ205=0,"",BR205/BQ205)</f>
        <v/>
      </c>
      <c r="BU205" s="27" t="n"/>
      <c r="BV205" s="62" t="n"/>
      <c r="BW205" s="62" t="n"/>
      <c r="BX205" s="62">
        <f>BW205-BV205</f>
        <v/>
      </c>
      <c r="BY205" s="64">
        <f>IF(BV205=0,"",BW205/BV205)</f>
        <v/>
      </c>
      <c r="BZ205" s="31" t="n"/>
      <c r="CA205" s="60" t="n"/>
      <c r="CB205" s="60" t="n"/>
      <c r="CC205" s="60">
        <f>CB205-CA205</f>
        <v/>
      </c>
      <c r="CD205" s="61">
        <f>IF(CA205=0,"",CB205/CA205)</f>
        <v/>
      </c>
      <c r="CE205" s="27" t="n"/>
      <c r="CF205" s="62" t="n"/>
      <c r="CG205" s="62" t="n"/>
      <c r="CH205" s="62">
        <f>CG205-CF205</f>
        <v/>
      </c>
      <c r="CI205" s="64">
        <f>IF(CF205=0,"",CG205/CF205)</f>
        <v/>
      </c>
      <c r="CJ205" s="31" t="n"/>
      <c r="CK205" s="60" t="n"/>
      <c r="CL205" s="60" t="n"/>
      <c r="CM205" s="60">
        <f>CL205-CK205</f>
        <v/>
      </c>
      <c r="CN205" s="61">
        <f>IF(CK205=0,"",CL205/CK205)</f>
        <v/>
      </c>
      <c r="CO205" s="27" t="n"/>
      <c r="CP205" s="62" t="n"/>
      <c r="CQ205" s="62" t="n"/>
      <c r="CR205" s="62">
        <f>CQ205-CP205</f>
        <v/>
      </c>
      <c r="CS205" s="64">
        <f>IF(CP205=0,"",CQ205/CP205)</f>
        <v/>
      </c>
      <c r="CT205" s="31" t="n"/>
      <c r="CU205" s="60" t="n"/>
      <c r="CV205" s="60" t="n"/>
      <c r="CW205" s="60">
        <f>CV205-CU205</f>
        <v/>
      </c>
      <c r="CX205" s="61">
        <f>IF(CU205=0,"",CV205/CU205)</f>
        <v/>
      </c>
      <c r="CY205" s="27" t="n"/>
      <c r="CZ205" s="62" t="n"/>
      <c r="DA205" s="62" t="n"/>
      <c r="DB205" s="62">
        <f>DA205-CZ205</f>
        <v/>
      </c>
      <c r="DC205" s="64">
        <f>IF(CZ205=0,"",DA205/CZ205)</f>
        <v/>
      </c>
      <c r="DD205" s="31" t="n"/>
      <c r="DE205" s="60" t="n"/>
      <c r="DF205" s="60" t="n"/>
      <c r="DG205" s="60">
        <f>DF205-DE205</f>
        <v/>
      </c>
      <c r="DH205" s="61">
        <f>IF(DE205=0,"",DF205/DE205)</f>
        <v/>
      </c>
      <c r="DI205" s="27" t="n"/>
      <c r="DJ205" s="62" t="n"/>
      <c r="DK205" s="62" t="n"/>
      <c r="DL205" s="62">
        <f>DK205-DJ205</f>
        <v/>
      </c>
      <c r="DM205" s="64">
        <f>IF(DJ205=0,"",DK205/DJ205)</f>
        <v/>
      </c>
      <c r="DN205" s="31" t="n"/>
      <c r="DO205" s="60" t="n"/>
    </row>
    <row r="206" outlineLevel="1" ht="15" customHeight="1">
      <c r="A206" s="24" t="n"/>
      <c r="B206" s="24" t="n"/>
      <c r="C206" s="24" t="n"/>
      <c r="D206" s="60" t="n"/>
      <c r="E206" s="60" t="n"/>
      <c r="F206" s="60">
        <f>E206-D206</f>
        <v/>
      </c>
      <c r="G206" s="61">
        <f>IF(D206=0,"",E206/D206)</f>
        <v/>
      </c>
      <c r="H206" s="27" t="n"/>
      <c r="I206" s="60" t="n"/>
      <c r="J206" s="60" t="n"/>
      <c r="K206" s="60">
        <f>J206-I206</f>
        <v/>
      </c>
      <c r="L206" s="61">
        <f>IF(I206=0,"",J206/I206)</f>
        <v/>
      </c>
      <c r="M206" s="27" t="n"/>
      <c r="N206" s="62" t="n"/>
      <c r="O206" s="62" t="n"/>
      <c r="P206" s="62">
        <f>O206-N206</f>
        <v/>
      </c>
      <c r="Q206" s="64">
        <f>IF(N206=0,"",O206/N206)</f>
        <v/>
      </c>
      <c r="R206" s="31" t="n"/>
      <c r="S206" s="60" t="n"/>
      <c r="T206" s="60" t="n"/>
      <c r="U206" s="60">
        <f>T206-S206</f>
        <v/>
      </c>
      <c r="V206" s="61">
        <f>IF(S206=0,"",T206/S206)</f>
        <v/>
      </c>
      <c r="W206" s="27" t="n"/>
      <c r="X206" s="62" t="n"/>
      <c r="Y206" s="62" t="n"/>
      <c r="Z206" s="62">
        <f>Y206-X206</f>
        <v/>
      </c>
      <c r="AA206" s="64">
        <f>IF(X206=0,"",Y206/X206)</f>
        <v/>
      </c>
      <c r="AB206" s="31" t="n"/>
      <c r="AC206" s="60" t="n"/>
      <c r="AD206" s="60" t="n"/>
      <c r="AE206" s="60">
        <f>AD206-AC206</f>
        <v/>
      </c>
      <c r="AF206" s="61">
        <f>IF(AC206=0,"",AD206/AC206)</f>
        <v/>
      </c>
      <c r="AG206" s="27" t="n"/>
      <c r="AH206" s="62" t="n"/>
      <c r="AI206" s="62" t="n"/>
      <c r="AJ206" s="62">
        <f>AI206-AH206</f>
        <v/>
      </c>
      <c r="AK206" s="64">
        <f>IF(AH206=0,"",AI206/AH206)</f>
        <v/>
      </c>
      <c r="AL206" s="31" t="n"/>
      <c r="AM206" s="60" t="n"/>
      <c r="AN206" s="60" t="n"/>
      <c r="AO206" s="60">
        <f>AN206-AM206</f>
        <v/>
      </c>
      <c r="AP206" s="61">
        <f>IF(AM206=0,"",AN206/AM206)</f>
        <v/>
      </c>
      <c r="AQ206" s="27" t="n"/>
      <c r="AR206" s="62" t="n"/>
      <c r="AS206" s="62" t="n"/>
      <c r="AT206" s="62">
        <f>AS206-AR206</f>
        <v/>
      </c>
      <c r="AU206" s="64">
        <f>IF(AR206=0,"",AS206/AR206)</f>
        <v/>
      </c>
      <c r="AV206" s="31" t="n"/>
      <c r="AW206" s="60" t="n"/>
      <c r="AX206" s="60" t="n"/>
      <c r="AY206" s="60">
        <f>AX206-AW206</f>
        <v/>
      </c>
      <c r="AZ206" s="61">
        <f>IF(AW206=0,"",AX206/AW206)</f>
        <v/>
      </c>
      <c r="BA206" s="27" t="n"/>
      <c r="BB206" s="62" t="n"/>
      <c r="BC206" s="62" t="n"/>
      <c r="BD206" s="62">
        <f>BC206-BB206</f>
        <v/>
      </c>
      <c r="BE206" s="64">
        <f>IF(BB206=0,"",BC206/BB206)</f>
        <v/>
      </c>
      <c r="BF206" s="31" t="n"/>
      <c r="BG206" s="60" t="n"/>
      <c r="BH206" s="60" t="n"/>
      <c r="BI206" s="60">
        <f>BH206-BG206</f>
        <v/>
      </c>
      <c r="BJ206" s="61">
        <f>IF(BG206=0,"",BH206/BG206)</f>
        <v/>
      </c>
      <c r="BK206" s="27" t="n"/>
      <c r="BL206" s="62" t="n"/>
      <c r="BM206" s="62" t="n"/>
      <c r="BN206" s="62">
        <f>BM206-BL206</f>
        <v/>
      </c>
      <c r="BO206" s="64">
        <f>IF(BL206=0,"",BM206/BL206)</f>
        <v/>
      </c>
      <c r="BP206" s="31" t="n"/>
      <c r="BQ206" s="60" t="n"/>
      <c r="BR206" s="60" t="n"/>
      <c r="BS206" s="60">
        <f>BR206-BQ206</f>
        <v/>
      </c>
      <c r="BT206" s="61">
        <f>IF(BQ206=0,"",BR206/BQ206)</f>
        <v/>
      </c>
      <c r="BU206" s="27" t="n"/>
      <c r="BV206" s="62" t="n"/>
      <c r="BW206" s="62" t="n"/>
      <c r="BX206" s="62">
        <f>BW206-BV206</f>
        <v/>
      </c>
      <c r="BY206" s="64">
        <f>IF(BV206=0,"",BW206/BV206)</f>
        <v/>
      </c>
      <c r="BZ206" s="31" t="n"/>
      <c r="CA206" s="60" t="n"/>
      <c r="CB206" s="60" t="n"/>
      <c r="CC206" s="60">
        <f>CB206-CA206</f>
        <v/>
      </c>
      <c r="CD206" s="61">
        <f>IF(CA206=0,"",CB206/CA206)</f>
        <v/>
      </c>
      <c r="CE206" s="27" t="n"/>
      <c r="CF206" s="62" t="n"/>
      <c r="CG206" s="62" t="n"/>
      <c r="CH206" s="62">
        <f>CG206-CF206</f>
        <v/>
      </c>
      <c r="CI206" s="64">
        <f>IF(CF206=0,"",CG206/CF206)</f>
        <v/>
      </c>
      <c r="CJ206" s="31" t="n"/>
      <c r="CK206" s="60" t="n"/>
      <c r="CL206" s="60" t="n"/>
      <c r="CM206" s="60">
        <f>CL206-CK206</f>
        <v/>
      </c>
      <c r="CN206" s="61">
        <f>IF(CK206=0,"",CL206/CK206)</f>
        <v/>
      </c>
      <c r="CO206" s="27" t="n"/>
      <c r="CP206" s="62" t="n"/>
      <c r="CQ206" s="62" t="n"/>
      <c r="CR206" s="62">
        <f>CQ206-CP206</f>
        <v/>
      </c>
      <c r="CS206" s="64">
        <f>IF(CP206=0,"",CQ206/CP206)</f>
        <v/>
      </c>
      <c r="CT206" s="31" t="n"/>
      <c r="CU206" s="60" t="n"/>
      <c r="CV206" s="60" t="n"/>
      <c r="CW206" s="60">
        <f>CV206-CU206</f>
        <v/>
      </c>
      <c r="CX206" s="61">
        <f>IF(CU206=0,"",CV206/CU206)</f>
        <v/>
      </c>
      <c r="CY206" s="27" t="n"/>
      <c r="CZ206" s="62" t="n"/>
      <c r="DA206" s="62" t="n"/>
      <c r="DB206" s="62">
        <f>DA206-CZ206</f>
        <v/>
      </c>
      <c r="DC206" s="64">
        <f>IF(CZ206=0,"",DA206/CZ206)</f>
        <v/>
      </c>
      <c r="DD206" s="31" t="n"/>
      <c r="DE206" s="60" t="n"/>
      <c r="DF206" s="60" t="n"/>
      <c r="DG206" s="60">
        <f>DF206-DE206</f>
        <v/>
      </c>
      <c r="DH206" s="61">
        <f>IF(DE206=0,"",DF206/DE206)</f>
        <v/>
      </c>
      <c r="DI206" s="27" t="n"/>
      <c r="DJ206" s="62" t="n"/>
      <c r="DK206" s="62" t="n"/>
      <c r="DL206" s="62">
        <f>DK206-DJ206</f>
        <v/>
      </c>
      <c r="DM206" s="64">
        <f>IF(DJ206=0,"",DK206/DJ206)</f>
        <v/>
      </c>
      <c r="DN206" s="31" t="n"/>
      <c r="DO206" s="60" t="n"/>
    </row>
    <row r="207" ht="15" customHeight="1">
      <c r="A207" s="32" t="n"/>
      <c r="B207" s="32" t="n"/>
      <c r="C207" s="32" t="n"/>
      <c r="D207" s="65">
        <f>D209+D210+D212+D214</f>
        <v/>
      </c>
      <c r="E207" s="65">
        <f>E209+E210+E212+E214</f>
        <v/>
      </c>
      <c r="F207" s="65">
        <f>E207-D207</f>
        <v/>
      </c>
      <c r="G207" s="66">
        <f>IF(D207=0,"",E207/D207)</f>
        <v/>
      </c>
      <c r="H207" s="35" t="n"/>
      <c r="I207" s="65">
        <f>I209+I210+I212+I214</f>
        <v/>
      </c>
      <c r="J207" s="65">
        <f>J209+J210+J212+J214</f>
        <v/>
      </c>
      <c r="K207" s="65">
        <f>J207-I207</f>
        <v/>
      </c>
      <c r="L207" s="66">
        <f>IF(I207=0,"",J207/I207)</f>
        <v/>
      </c>
      <c r="M207" s="35" t="n"/>
      <c r="N207" s="65">
        <f>N209+N210+N212+N214</f>
        <v/>
      </c>
      <c r="O207" s="65">
        <f>O209+O210+O212+O214</f>
        <v/>
      </c>
      <c r="P207" s="65">
        <f>O207-N207</f>
        <v/>
      </c>
      <c r="Q207" s="66">
        <f>IF(N207=0,"",O207/N207)</f>
        <v/>
      </c>
      <c r="R207" s="35" t="n"/>
      <c r="S207" s="65">
        <f>S209+S210+S212+S214</f>
        <v/>
      </c>
      <c r="T207" s="65">
        <f>T209+T210+T212+T214</f>
        <v/>
      </c>
      <c r="U207" s="65">
        <f>T207-S207</f>
        <v/>
      </c>
      <c r="V207" s="66">
        <f>IF(S207=0,"",T207/S207)</f>
        <v/>
      </c>
      <c r="W207" s="35" t="n"/>
      <c r="X207" s="65">
        <f>X209+X210+X212+X214</f>
        <v/>
      </c>
      <c r="Y207" s="65">
        <f>Y209+Y210+Y212+Y214</f>
        <v/>
      </c>
      <c r="Z207" s="65">
        <f>Y207-X207</f>
        <v/>
      </c>
      <c r="AA207" s="66">
        <f>IF(X207=0,"",Y207/X207)</f>
        <v/>
      </c>
      <c r="AB207" s="35" t="n"/>
      <c r="AC207" s="65">
        <f>AC209+AC210+AC212+AC214</f>
        <v/>
      </c>
      <c r="AD207" s="65">
        <f>AD209+AD210+AD212+AD214</f>
        <v/>
      </c>
      <c r="AE207" s="65">
        <f>AD207-AC207</f>
        <v/>
      </c>
      <c r="AF207" s="66">
        <f>IF(AC207=0,"",AD207/AC207)</f>
        <v/>
      </c>
      <c r="AG207" s="35" t="n"/>
      <c r="AH207" s="65">
        <f>AH209+AH210+AH212+AH214</f>
        <v/>
      </c>
      <c r="AI207" s="65">
        <f>AI209+AI210+AI212+AI214</f>
        <v/>
      </c>
      <c r="AJ207" s="65">
        <f>AI207-AH207</f>
        <v/>
      </c>
      <c r="AK207" s="66">
        <f>IF(AH207=0,"",AI207/AH207)</f>
        <v/>
      </c>
      <c r="AL207" s="35" t="n"/>
      <c r="AM207" s="65">
        <f>AM209+AM210+AM212+AM214</f>
        <v/>
      </c>
      <c r="AN207" s="65">
        <f>AN209+AN210+AN212+AN214</f>
        <v/>
      </c>
      <c r="AO207" s="65">
        <f>AN207-AM207</f>
        <v/>
      </c>
      <c r="AP207" s="66">
        <f>IF(AM207=0,"",AN207/AM207)</f>
        <v/>
      </c>
      <c r="AQ207" s="35" t="n"/>
      <c r="AR207" s="65">
        <f>AR209+AR210+AR212+AR214</f>
        <v/>
      </c>
      <c r="AS207" s="65">
        <f>AS209+AS210+AS212+AS214</f>
        <v/>
      </c>
      <c r="AT207" s="65">
        <f>AS207-AR207</f>
        <v/>
      </c>
      <c r="AU207" s="66">
        <f>IF(AR207=0,"",AS207/AR207)</f>
        <v/>
      </c>
      <c r="AV207" s="35" t="n"/>
      <c r="AW207" s="65">
        <f>AW209+AW210+AW212+AW214</f>
        <v/>
      </c>
      <c r="AX207" s="65">
        <f>AX209+AX210+AX212+AX214</f>
        <v/>
      </c>
      <c r="AY207" s="65">
        <f>AX207-AW207</f>
        <v/>
      </c>
      <c r="AZ207" s="66">
        <f>IF(AW207=0,"",AX207/AW207)</f>
        <v/>
      </c>
      <c r="BA207" s="35" t="n"/>
      <c r="BB207" s="65">
        <f>BB209+BB210+BB212+BB214</f>
        <v/>
      </c>
      <c r="BC207" s="65">
        <f>BC209+BC210+BC212+BC214</f>
        <v/>
      </c>
      <c r="BD207" s="65">
        <f>BC207-BB207</f>
        <v/>
      </c>
      <c r="BE207" s="66">
        <f>IF(BB207=0,"",BC207/BB207)</f>
        <v/>
      </c>
      <c r="BF207" s="35" t="n"/>
      <c r="BG207" s="65">
        <f>BG209+BG210+BG212+BG214</f>
        <v/>
      </c>
      <c r="BH207" s="65">
        <f>BH209+BH210+BH212+BH214</f>
        <v/>
      </c>
      <c r="BI207" s="65">
        <f>BH207-BG207</f>
        <v/>
      </c>
      <c r="BJ207" s="66">
        <f>IF(BG207=0,"",BH207/BG207)</f>
        <v/>
      </c>
      <c r="BK207" s="35" t="n"/>
      <c r="BL207" s="65">
        <f>BL209+BL210+BL212+BL214</f>
        <v/>
      </c>
      <c r="BM207" s="65">
        <f>BM209+BM210+BM212+BM214</f>
        <v/>
      </c>
      <c r="BN207" s="65">
        <f>BM207-BL207</f>
        <v/>
      </c>
      <c r="BO207" s="66">
        <f>IF(BL207=0,"",BM207/BL207)</f>
        <v/>
      </c>
      <c r="BP207" s="35" t="n"/>
      <c r="BQ207" s="65">
        <f>BQ209+BQ210+BQ212+BQ214</f>
        <v/>
      </c>
      <c r="BR207" s="65">
        <f>BR209+BR210+BR212+BR214</f>
        <v/>
      </c>
      <c r="BS207" s="65">
        <f>BR207-BQ207</f>
        <v/>
      </c>
      <c r="BT207" s="66">
        <f>IF(BQ207=0,"",BR207/BQ207)</f>
        <v/>
      </c>
      <c r="BU207" s="35" t="n"/>
      <c r="BV207" s="65">
        <f>BV209+BV210+BV212+BV214</f>
        <v/>
      </c>
      <c r="BW207" s="65">
        <f>BW209+BW210+BW212+BW214</f>
        <v/>
      </c>
      <c r="BX207" s="65">
        <f>BW207-BV207</f>
        <v/>
      </c>
      <c r="BY207" s="66">
        <f>IF(BV207=0,"",BW207/BV207)</f>
        <v/>
      </c>
      <c r="BZ207" s="35" t="n"/>
      <c r="CA207" s="65">
        <f>CA209+CA210+CA212+CA214</f>
        <v/>
      </c>
      <c r="CB207" s="65">
        <f>CB209+CB210+CB212+CB214</f>
        <v/>
      </c>
      <c r="CC207" s="65">
        <f>CB207-CA207</f>
        <v/>
      </c>
      <c r="CD207" s="66">
        <f>IF(CA207=0,"",CB207/CA207)</f>
        <v/>
      </c>
      <c r="CE207" s="35" t="n"/>
      <c r="CF207" s="65">
        <f>CF209+CF210+CF212+CF214</f>
        <v/>
      </c>
      <c r="CG207" s="65">
        <f>CG209+CG210+CG212+CG214</f>
        <v/>
      </c>
      <c r="CH207" s="65">
        <f>CG207-CF207</f>
        <v/>
      </c>
      <c r="CI207" s="66">
        <f>IF(CF207=0,"",CG207/CF207)</f>
        <v/>
      </c>
      <c r="CJ207" s="35" t="n"/>
      <c r="CK207" s="65">
        <f>CK209+CK210+CK212+CK214</f>
        <v/>
      </c>
      <c r="CL207" s="65">
        <f>CL209+CL210+CL212+CL214</f>
        <v/>
      </c>
      <c r="CM207" s="65">
        <f>CL207-CK207</f>
        <v/>
      </c>
      <c r="CN207" s="66">
        <f>IF(CK207=0,"",CL207/CK207)</f>
        <v/>
      </c>
      <c r="CO207" s="35" t="n"/>
      <c r="CP207" s="65">
        <f>CP209+CP210+CP212+CP214</f>
        <v/>
      </c>
      <c r="CQ207" s="65">
        <f>CQ209+CQ210+CQ212+CQ214</f>
        <v/>
      </c>
      <c r="CR207" s="65">
        <f>CQ207-CP207</f>
        <v/>
      </c>
      <c r="CS207" s="66">
        <f>IF(CP207=0,"",CQ207/CP207)</f>
        <v/>
      </c>
      <c r="CT207" s="35" t="n"/>
      <c r="CU207" s="65">
        <f>CU209+CU210+CU212+CU214</f>
        <v/>
      </c>
      <c r="CV207" s="65">
        <f>CV209+CV210+CV212+CV214</f>
        <v/>
      </c>
      <c r="CW207" s="65">
        <f>CV207-CU207</f>
        <v/>
      </c>
      <c r="CX207" s="66">
        <f>IF(CU207=0,"",CV207/CU207)</f>
        <v/>
      </c>
      <c r="CY207" s="35" t="n"/>
      <c r="CZ207" s="65">
        <f>CZ209+CZ210+CZ212+CZ214</f>
        <v/>
      </c>
      <c r="DA207" s="65">
        <f>DA209+DA210+DA212+DA214</f>
        <v/>
      </c>
      <c r="DB207" s="65">
        <f>DA207-CZ207</f>
        <v/>
      </c>
      <c r="DC207" s="66">
        <f>IF(CZ207=0,"",DA207/CZ207)</f>
        <v/>
      </c>
      <c r="DD207" s="35" t="n"/>
      <c r="DE207" s="65">
        <f>DE209+DE210+DE212+DE214</f>
        <v/>
      </c>
      <c r="DF207" s="65">
        <f>DF209+DF210+DF212+DF214</f>
        <v/>
      </c>
      <c r="DG207" s="65">
        <f>DF207-DE207</f>
        <v/>
      </c>
      <c r="DH207" s="66">
        <f>IF(DE207=0,"",DF207/DE207)</f>
        <v/>
      </c>
      <c r="DI207" s="35" t="n"/>
      <c r="DJ207" s="65">
        <f>DJ209+DJ210+DJ212+DJ214</f>
        <v/>
      </c>
      <c r="DK207" s="65">
        <f>DK209+DK210+DK212+DK214</f>
        <v/>
      </c>
      <c r="DL207" s="65">
        <f>DK207-DJ207</f>
        <v/>
      </c>
      <c r="DM207" s="66">
        <f>IF(DJ207=0,"",DK207/DJ207)</f>
        <v/>
      </c>
      <c r="DN207" s="35" t="n"/>
      <c r="DO207" s="65">
        <f>DO209+DO210+DO212+DO214</f>
        <v/>
      </c>
    </row>
    <row r="208" ht="15" customHeight="1">
      <c r="A208" s="19" t="n"/>
      <c r="B208" s="20" t="n"/>
      <c r="C208" s="19" t="n"/>
      <c r="D208" s="58">
        <f>D209+D210</f>
        <v/>
      </c>
      <c r="E208" s="58">
        <f>E209+E210</f>
        <v/>
      </c>
      <c r="F208" s="58">
        <f>E208-D208</f>
        <v/>
      </c>
      <c r="G208" s="59">
        <f>IF(D208=0,"",E208/D208)</f>
        <v/>
      </c>
      <c r="H208" s="23" t="n"/>
      <c r="I208" s="58">
        <f>I209+I210</f>
        <v/>
      </c>
      <c r="J208" s="58">
        <f>J209+J210</f>
        <v/>
      </c>
      <c r="K208" s="58">
        <f>J208-I208</f>
        <v/>
      </c>
      <c r="L208" s="59">
        <f>IF(I208=0,"",J208/I208)</f>
        <v/>
      </c>
      <c r="M208" s="23" t="n"/>
      <c r="N208" s="58">
        <f>N209+N210</f>
        <v/>
      </c>
      <c r="O208" s="58">
        <f>O209+O210</f>
        <v/>
      </c>
      <c r="P208" s="58">
        <f>O208-N208</f>
        <v/>
      </c>
      <c r="Q208" s="59">
        <f>IF(N208=0,"",O208/N208)</f>
        <v/>
      </c>
      <c r="R208" s="23" t="n"/>
      <c r="S208" s="58">
        <f>S209+S210</f>
        <v/>
      </c>
      <c r="T208" s="58">
        <f>T209+T210</f>
        <v/>
      </c>
      <c r="U208" s="58">
        <f>T208-S208</f>
        <v/>
      </c>
      <c r="V208" s="59">
        <f>IF(S208=0,"",T208/S208)</f>
        <v/>
      </c>
      <c r="W208" s="23" t="n"/>
      <c r="X208" s="58">
        <f>X209+X210</f>
        <v/>
      </c>
      <c r="Y208" s="58">
        <f>Y209+Y210</f>
        <v/>
      </c>
      <c r="Z208" s="58">
        <f>Y208-X208</f>
        <v/>
      </c>
      <c r="AA208" s="59">
        <f>IF(X208=0,"",Y208/X208)</f>
        <v/>
      </c>
      <c r="AB208" s="23" t="n"/>
      <c r="AC208" s="58">
        <f>AC209+AC210</f>
        <v/>
      </c>
      <c r="AD208" s="58">
        <f>AD209+AD210</f>
        <v/>
      </c>
      <c r="AE208" s="58">
        <f>AD208-AC208</f>
        <v/>
      </c>
      <c r="AF208" s="59">
        <f>IF(AC208=0,"",AD208/AC208)</f>
        <v/>
      </c>
      <c r="AG208" s="23" t="n"/>
      <c r="AH208" s="58">
        <f>AH209+AH210</f>
        <v/>
      </c>
      <c r="AI208" s="58">
        <f>AI209+AI210</f>
        <v/>
      </c>
      <c r="AJ208" s="58">
        <f>AI208-AH208</f>
        <v/>
      </c>
      <c r="AK208" s="59">
        <f>IF(AH208=0,"",AI208/AH208)</f>
        <v/>
      </c>
      <c r="AL208" s="23" t="n"/>
      <c r="AM208" s="58">
        <f>AM209+AM210</f>
        <v/>
      </c>
      <c r="AN208" s="58">
        <f>AN209+AN210</f>
        <v/>
      </c>
      <c r="AO208" s="58">
        <f>AN208-AM208</f>
        <v/>
      </c>
      <c r="AP208" s="59">
        <f>IF(AM208=0,"",AN208/AM208)</f>
        <v/>
      </c>
      <c r="AQ208" s="23" t="n"/>
      <c r="AR208" s="58">
        <f>AR209+AR210</f>
        <v/>
      </c>
      <c r="AS208" s="58">
        <f>AS209+AS210</f>
        <v/>
      </c>
      <c r="AT208" s="58">
        <f>AS208-AR208</f>
        <v/>
      </c>
      <c r="AU208" s="59">
        <f>IF(AR208=0,"",AS208/AR208)</f>
        <v/>
      </c>
      <c r="AV208" s="23" t="n"/>
      <c r="AW208" s="58">
        <f>AW209+AW210</f>
        <v/>
      </c>
      <c r="AX208" s="58">
        <f>AX209+AX210</f>
        <v/>
      </c>
      <c r="AY208" s="58">
        <f>AX208-AW208</f>
        <v/>
      </c>
      <c r="AZ208" s="59">
        <f>IF(AW208=0,"",AX208/AW208)</f>
        <v/>
      </c>
      <c r="BA208" s="23" t="n"/>
      <c r="BB208" s="58">
        <f>BB209+BB210</f>
        <v/>
      </c>
      <c r="BC208" s="58">
        <f>BC209+BC210</f>
        <v/>
      </c>
      <c r="BD208" s="58">
        <f>BC208-BB208</f>
        <v/>
      </c>
      <c r="BE208" s="59">
        <f>IF(BB208=0,"",BC208/BB208)</f>
        <v/>
      </c>
      <c r="BF208" s="23" t="n"/>
      <c r="BG208" s="58">
        <f>BG209+BG210</f>
        <v/>
      </c>
      <c r="BH208" s="58">
        <f>BH209+BH210</f>
        <v/>
      </c>
      <c r="BI208" s="58">
        <f>BH208-BG208</f>
        <v/>
      </c>
      <c r="BJ208" s="59">
        <f>IF(BG208=0,"",BH208/BG208)</f>
        <v/>
      </c>
      <c r="BK208" s="23" t="n"/>
      <c r="BL208" s="58">
        <f>BL209+BL210</f>
        <v/>
      </c>
      <c r="BM208" s="58">
        <f>BM209+BM210</f>
        <v/>
      </c>
      <c r="BN208" s="58">
        <f>BM208-BL208</f>
        <v/>
      </c>
      <c r="BO208" s="59">
        <f>IF(BL208=0,"",BM208/BL208)</f>
        <v/>
      </c>
      <c r="BP208" s="23" t="n"/>
      <c r="BQ208" s="58">
        <f>BQ209+BQ210</f>
        <v/>
      </c>
      <c r="BR208" s="58">
        <f>BR209+BR210</f>
        <v/>
      </c>
      <c r="BS208" s="58">
        <f>BR208-BQ208</f>
        <v/>
      </c>
      <c r="BT208" s="59">
        <f>IF(BQ208=0,"",BR208/BQ208)</f>
        <v/>
      </c>
      <c r="BU208" s="23" t="n"/>
      <c r="BV208" s="58">
        <f>BV209+BV210</f>
        <v/>
      </c>
      <c r="BW208" s="58">
        <f>BW209+BW210</f>
        <v/>
      </c>
      <c r="BX208" s="58">
        <f>BW208-BV208</f>
        <v/>
      </c>
      <c r="BY208" s="59">
        <f>IF(BV208=0,"",BW208/BV208)</f>
        <v/>
      </c>
      <c r="BZ208" s="23" t="n"/>
      <c r="CA208" s="58">
        <f>CA209+CA210</f>
        <v/>
      </c>
      <c r="CB208" s="58">
        <f>CB209+CB210</f>
        <v/>
      </c>
      <c r="CC208" s="58">
        <f>CB208-CA208</f>
        <v/>
      </c>
      <c r="CD208" s="59">
        <f>IF(CA208=0,"",CB208/CA208)</f>
        <v/>
      </c>
      <c r="CE208" s="23" t="n"/>
      <c r="CF208" s="58">
        <f>CF209+CF210</f>
        <v/>
      </c>
      <c r="CG208" s="58">
        <f>CG209+CG210</f>
        <v/>
      </c>
      <c r="CH208" s="58">
        <f>CG208-CF208</f>
        <v/>
      </c>
      <c r="CI208" s="59">
        <f>IF(CF208=0,"",CG208/CF208)</f>
        <v/>
      </c>
      <c r="CJ208" s="23" t="n"/>
      <c r="CK208" s="58">
        <f>CK209+CK210</f>
        <v/>
      </c>
      <c r="CL208" s="58">
        <f>CL209+CL210</f>
        <v/>
      </c>
      <c r="CM208" s="58">
        <f>CL208-CK208</f>
        <v/>
      </c>
      <c r="CN208" s="59">
        <f>IF(CK208=0,"",CL208/CK208)</f>
        <v/>
      </c>
      <c r="CO208" s="23" t="n"/>
      <c r="CP208" s="58">
        <f>CP209+CP210</f>
        <v/>
      </c>
      <c r="CQ208" s="58">
        <f>CQ209+CQ210</f>
        <v/>
      </c>
      <c r="CR208" s="58">
        <f>CQ208-CP208</f>
        <v/>
      </c>
      <c r="CS208" s="59">
        <f>IF(CP208=0,"",CQ208/CP208)</f>
        <v/>
      </c>
      <c r="CT208" s="23" t="n"/>
      <c r="CU208" s="58">
        <f>CU209+CU210</f>
        <v/>
      </c>
      <c r="CV208" s="58">
        <f>CV209+CV210</f>
        <v/>
      </c>
      <c r="CW208" s="58">
        <f>CV208-CU208</f>
        <v/>
      </c>
      <c r="CX208" s="59">
        <f>IF(CU208=0,"",CV208/CU208)</f>
        <v/>
      </c>
      <c r="CY208" s="23" t="n"/>
      <c r="CZ208" s="58">
        <f>CZ209+CZ210</f>
        <v/>
      </c>
      <c r="DA208" s="58">
        <f>DA209+DA210</f>
        <v/>
      </c>
      <c r="DB208" s="58">
        <f>DA208-CZ208</f>
        <v/>
      </c>
      <c r="DC208" s="59">
        <f>IF(CZ208=0,"",DA208/CZ208)</f>
        <v/>
      </c>
      <c r="DD208" s="23" t="n"/>
      <c r="DE208" s="58">
        <f>DE209+DE210</f>
        <v/>
      </c>
      <c r="DF208" s="58">
        <f>DF209+DF210</f>
        <v/>
      </c>
      <c r="DG208" s="58">
        <f>DF208-DE208</f>
        <v/>
      </c>
      <c r="DH208" s="59">
        <f>IF(DE208=0,"",DF208/DE208)</f>
        <v/>
      </c>
      <c r="DI208" s="23" t="n"/>
      <c r="DJ208" s="58">
        <f>DJ209+DJ210</f>
        <v/>
      </c>
      <c r="DK208" s="58">
        <f>DK209+DK210</f>
        <v/>
      </c>
      <c r="DL208" s="58">
        <f>DK208-DJ208</f>
        <v/>
      </c>
      <c r="DM208" s="59">
        <f>IF(DJ208=0,"",DK208/DJ208)</f>
        <v/>
      </c>
      <c r="DN208" s="23" t="n"/>
      <c r="DO208" s="58">
        <f>DO209+DO210</f>
        <v/>
      </c>
    </row>
    <row r="209" outlineLevel="1" ht="15" customHeight="1">
      <c r="A209" s="24" t="n"/>
      <c r="B209" s="24" t="n"/>
      <c r="C209" s="24" t="n"/>
      <c r="D209" s="60" t="n"/>
      <c r="E209" s="60" t="n"/>
      <c r="F209" s="60">
        <f>E209-D209</f>
        <v/>
      </c>
      <c r="G209" s="61">
        <f>IF(D209=0,"",E209/D209)</f>
        <v/>
      </c>
      <c r="H209" s="27" t="n"/>
      <c r="I209" s="60" t="n"/>
      <c r="J209" s="60" t="n"/>
      <c r="K209" s="60">
        <f>J209-I209</f>
        <v/>
      </c>
      <c r="L209" s="61">
        <f>IF(I209=0,"",J209/I209)</f>
        <v/>
      </c>
      <c r="M209" s="27" t="n"/>
      <c r="N209" s="62" t="n"/>
      <c r="O209" s="62" t="n"/>
      <c r="P209" s="62">
        <f>O209-N209</f>
        <v/>
      </c>
      <c r="Q209" s="64">
        <f>IF(N209=0,"",O209/N209)</f>
        <v/>
      </c>
      <c r="R209" s="31" t="n"/>
      <c r="S209" s="60" t="n"/>
      <c r="T209" s="60" t="n"/>
      <c r="U209" s="60">
        <f>T209-S209</f>
        <v/>
      </c>
      <c r="V209" s="61">
        <f>IF(S209=0,"",T209/S209)</f>
        <v/>
      </c>
      <c r="W209" s="27" t="n"/>
      <c r="X209" s="62" t="n"/>
      <c r="Y209" s="62" t="n"/>
      <c r="Z209" s="62">
        <f>Y209-X209</f>
        <v/>
      </c>
      <c r="AA209" s="64">
        <f>IF(X209=0,"",Y209/X209)</f>
        <v/>
      </c>
      <c r="AB209" s="31" t="n"/>
      <c r="AC209" s="60" t="n"/>
      <c r="AD209" s="60" t="n"/>
      <c r="AE209" s="60">
        <f>AD209-AC209</f>
        <v/>
      </c>
      <c r="AF209" s="61">
        <f>IF(AC209=0,"",AD209/AC209)</f>
        <v/>
      </c>
      <c r="AG209" s="27" t="n"/>
      <c r="AH209" s="62" t="n"/>
      <c r="AI209" s="62" t="n"/>
      <c r="AJ209" s="62">
        <f>AI209-AH209</f>
        <v/>
      </c>
      <c r="AK209" s="64">
        <f>IF(AH209=0,"",AI209/AH209)</f>
        <v/>
      </c>
      <c r="AL209" s="31" t="n"/>
      <c r="AM209" s="60" t="n"/>
      <c r="AN209" s="60" t="n"/>
      <c r="AO209" s="60">
        <f>AN209-AM209</f>
        <v/>
      </c>
      <c r="AP209" s="61">
        <f>IF(AM209=0,"",AN209/AM209)</f>
        <v/>
      </c>
      <c r="AQ209" s="27" t="n"/>
      <c r="AR209" s="62" t="n"/>
      <c r="AS209" s="62" t="n"/>
      <c r="AT209" s="62">
        <f>AS209-AR209</f>
        <v/>
      </c>
      <c r="AU209" s="64">
        <f>IF(AR209=0,"",AS209/AR209)</f>
        <v/>
      </c>
      <c r="AV209" s="31" t="n"/>
      <c r="AW209" s="60" t="n"/>
      <c r="AX209" s="60" t="n"/>
      <c r="AY209" s="60">
        <f>AX209-AW209</f>
        <v/>
      </c>
      <c r="AZ209" s="61">
        <f>IF(AW209=0,"",AX209/AW209)</f>
        <v/>
      </c>
      <c r="BA209" s="27" t="n"/>
      <c r="BB209" s="62" t="n"/>
      <c r="BC209" s="62" t="n"/>
      <c r="BD209" s="62">
        <f>BC209-BB209</f>
        <v/>
      </c>
      <c r="BE209" s="64">
        <f>IF(BB209=0,"",BC209/BB209)</f>
        <v/>
      </c>
      <c r="BF209" s="31" t="n"/>
      <c r="BG209" s="60" t="n"/>
      <c r="BH209" s="60" t="n"/>
      <c r="BI209" s="60">
        <f>BH209-BG209</f>
        <v/>
      </c>
      <c r="BJ209" s="61">
        <f>IF(BG209=0,"",BH209/BG209)</f>
        <v/>
      </c>
      <c r="BK209" s="27" t="n"/>
      <c r="BL209" s="62" t="n"/>
      <c r="BM209" s="62" t="n"/>
      <c r="BN209" s="62">
        <f>BM209-BL209</f>
        <v/>
      </c>
      <c r="BO209" s="64">
        <f>IF(BL209=0,"",BM209/BL209)</f>
        <v/>
      </c>
      <c r="BP209" s="31" t="n"/>
      <c r="BQ209" s="60" t="n"/>
      <c r="BR209" s="60" t="n"/>
      <c r="BS209" s="60">
        <f>BR209-BQ209</f>
        <v/>
      </c>
      <c r="BT209" s="61">
        <f>IF(BQ209=0,"",BR209/BQ209)</f>
        <v/>
      </c>
      <c r="BU209" s="27" t="n"/>
      <c r="BV209" s="62" t="n"/>
      <c r="BW209" s="62" t="n"/>
      <c r="BX209" s="62">
        <f>BW209-BV209</f>
        <v/>
      </c>
      <c r="BY209" s="64">
        <f>IF(BV209=0,"",BW209/BV209)</f>
        <v/>
      </c>
      <c r="BZ209" s="31" t="n"/>
      <c r="CA209" s="60" t="n"/>
      <c r="CB209" s="60" t="n"/>
      <c r="CC209" s="60">
        <f>CB209-CA209</f>
        <v/>
      </c>
      <c r="CD209" s="61">
        <f>IF(CA209=0,"",CB209/CA209)</f>
        <v/>
      </c>
      <c r="CE209" s="27" t="n"/>
      <c r="CF209" s="62" t="n"/>
      <c r="CG209" s="62" t="n"/>
      <c r="CH209" s="62">
        <f>CG209-CF209</f>
        <v/>
      </c>
      <c r="CI209" s="64">
        <f>IF(CF209=0,"",CG209/CF209)</f>
        <v/>
      </c>
      <c r="CJ209" s="31" t="n"/>
      <c r="CK209" s="60" t="n"/>
      <c r="CL209" s="60" t="n"/>
      <c r="CM209" s="60">
        <f>CL209-CK209</f>
        <v/>
      </c>
      <c r="CN209" s="61">
        <f>IF(CK209=0,"",CL209/CK209)</f>
        <v/>
      </c>
      <c r="CO209" s="27" t="n"/>
      <c r="CP209" s="62" t="n"/>
      <c r="CQ209" s="62" t="n"/>
      <c r="CR209" s="62">
        <f>CQ209-CP209</f>
        <v/>
      </c>
      <c r="CS209" s="64">
        <f>IF(CP209=0,"",CQ209/CP209)</f>
        <v/>
      </c>
      <c r="CT209" s="31" t="n"/>
      <c r="CU209" s="60" t="n"/>
      <c r="CV209" s="60" t="n"/>
      <c r="CW209" s="60">
        <f>CV209-CU209</f>
        <v/>
      </c>
      <c r="CX209" s="61">
        <f>IF(CU209=0,"",CV209/CU209)</f>
        <v/>
      </c>
      <c r="CY209" s="27" t="n"/>
      <c r="CZ209" s="62" t="n"/>
      <c r="DA209" s="62" t="n"/>
      <c r="DB209" s="62">
        <f>DA209-CZ209</f>
        <v/>
      </c>
      <c r="DC209" s="64">
        <f>IF(CZ209=0,"",DA209/CZ209)</f>
        <v/>
      </c>
      <c r="DD209" s="31" t="n"/>
      <c r="DE209" s="60" t="n"/>
      <c r="DF209" s="60" t="n"/>
      <c r="DG209" s="60">
        <f>DF209-DE209</f>
        <v/>
      </c>
      <c r="DH209" s="61">
        <f>IF(DE209=0,"",DF209/DE209)</f>
        <v/>
      </c>
      <c r="DI209" s="27" t="n"/>
      <c r="DJ209" s="62" t="n"/>
      <c r="DK209" s="62" t="n"/>
      <c r="DL209" s="62">
        <f>DK209-DJ209</f>
        <v/>
      </c>
      <c r="DM209" s="64">
        <f>IF(DJ209=0,"",DK209/DJ209)</f>
        <v/>
      </c>
      <c r="DN209" s="31" t="n"/>
      <c r="DO209" s="60" t="n"/>
    </row>
    <row r="210" outlineLevel="1" ht="15" customHeight="1">
      <c r="A210" s="24" t="n"/>
      <c r="B210" s="24" t="n"/>
      <c r="C210" s="24" t="n"/>
      <c r="D210" s="60" t="n"/>
      <c r="E210" s="60" t="n"/>
      <c r="F210" s="60">
        <f>E210-D210</f>
        <v/>
      </c>
      <c r="G210" s="61">
        <f>IF(D210=0,"",E210/D210)</f>
        <v/>
      </c>
      <c r="H210" s="27" t="n"/>
      <c r="I210" s="60" t="n"/>
      <c r="J210" s="60" t="n"/>
      <c r="K210" s="60">
        <f>J210-I210</f>
        <v/>
      </c>
      <c r="L210" s="61">
        <f>IF(I210=0,"",J210/I210)</f>
        <v/>
      </c>
      <c r="M210" s="27" t="n"/>
      <c r="N210" s="62" t="n"/>
      <c r="O210" s="62" t="n"/>
      <c r="P210" s="63">
        <f>O210-N210</f>
        <v/>
      </c>
      <c r="Q210" s="64">
        <f>IF(N210=0,"",O210/N210)</f>
        <v/>
      </c>
      <c r="R210" s="31" t="n"/>
      <c r="S210" s="60" t="n"/>
      <c r="T210" s="60" t="n"/>
      <c r="U210" s="60">
        <f>T210-S210</f>
        <v/>
      </c>
      <c r="V210" s="61">
        <f>IF(S210=0,"",T210/S210)</f>
        <v/>
      </c>
      <c r="W210" s="27" t="n"/>
      <c r="X210" s="62" t="n"/>
      <c r="Y210" s="62" t="n"/>
      <c r="Z210" s="63">
        <f>Y210-X210</f>
        <v/>
      </c>
      <c r="AA210" s="64">
        <f>IF(X210=0,"",Y210/X210)</f>
        <v/>
      </c>
      <c r="AB210" s="31" t="n"/>
      <c r="AC210" s="60" t="n"/>
      <c r="AD210" s="60" t="n"/>
      <c r="AE210" s="60">
        <f>AD210-AC210</f>
        <v/>
      </c>
      <c r="AF210" s="61">
        <f>IF(AC210=0,"",AD210/AC210)</f>
        <v/>
      </c>
      <c r="AG210" s="27" t="n"/>
      <c r="AH210" s="62" t="n"/>
      <c r="AI210" s="62" t="n"/>
      <c r="AJ210" s="62">
        <f>AI210-AH210</f>
        <v/>
      </c>
      <c r="AK210" s="64">
        <f>IF(AH210=0,"",AI210/AH210)</f>
        <v/>
      </c>
      <c r="AL210" s="31" t="n"/>
      <c r="AM210" s="60" t="n"/>
      <c r="AN210" s="60" t="n"/>
      <c r="AO210" s="60">
        <f>AN210-AM210</f>
        <v/>
      </c>
      <c r="AP210" s="61">
        <f>IF(AM210=0,"",AN210/AM210)</f>
        <v/>
      </c>
      <c r="AQ210" s="27" t="n"/>
      <c r="AR210" s="62" t="n"/>
      <c r="AS210" s="62" t="n"/>
      <c r="AT210" s="62">
        <f>AS210-AR210</f>
        <v/>
      </c>
      <c r="AU210" s="64">
        <f>IF(AR210=0,"",AS210/AR210)</f>
        <v/>
      </c>
      <c r="AV210" s="31" t="n"/>
      <c r="AW210" s="60" t="n"/>
      <c r="AX210" s="60" t="n"/>
      <c r="AY210" s="60">
        <f>AX210-AW210</f>
        <v/>
      </c>
      <c r="AZ210" s="61">
        <f>IF(AW210=0,"",AX210/AW210)</f>
        <v/>
      </c>
      <c r="BA210" s="27" t="n"/>
      <c r="BB210" s="62" t="n"/>
      <c r="BC210" s="62" t="n"/>
      <c r="BD210" s="62">
        <f>BC210-BB210</f>
        <v/>
      </c>
      <c r="BE210" s="64">
        <f>IF(BB210=0,"",BC210/BB210)</f>
        <v/>
      </c>
      <c r="BF210" s="31" t="n"/>
      <c r="BG210" s="60" t="n"/>
      <c r="BH210" s="60" t="n"/>
      <c r="BI210" s="60">
        <f>BH210-BG210</f>
        <v/>
      </c>
      <c r="BJ210" s="61">
        <f>IF(BG210=0,"",BH210/BG210)</f>
        <v/>
      </c>
      <c r="BK210" s="27" t="n"/>
      <c r="BL210" s="62" t="n"/>
      <c r="BM210" s="62" t="n"/>
      <c r="BN210" s="62">
        <f>BM210-BL210</f>
        <v/>
      </c>
      <c r="BO210" s="64">
        <f>IF(BL210=0,"",BM210/BL210)</f>
        <v/>
      </c>
      <c r="BP210" s="31" t="n"/>
      <c r="BQ210" s="60" t="n"/>
      <c r="BR210" s="60" t="n"/>
      <c r="BS210" s="60">
        <f>BR210-BQ210</f>
        <v/>
      </c>
      <c r="BT210" s="61">
        <f>IF(BQ210=0,"",BR210/BQ210)</f>
        <v/>
      </c>
      <c r="BU210" s="27" t="n"/>
      <c r="BV210" s="62" t="n"/>
      <c r="BW210" s="62" t="n"/>
      <c r="BX210" s="62">
        <f>BW210-BV210</f>
        <v/>
      </c>
      <c r="BY210" s="64">
        <f>IF(BV210=0,"",BW210/BV210)</f>
        <v/>
      </c>
      <c r="BZ210" s="31" t="n"/>
      <c r="CA210" s="60" t="n"/>
      <c r="CB210" s="60" t="n"/>
      <c r="CC210" s="60">
        <f>CB210-CA210</f>
        <v/>
      </c>
      <c r="CD210" s="61">
        <f>IF(CA210=0,"",CB210/CA210)</f>
        <v/>
      </c>
      <c r="CE210" s="27" t="n"/>
      <c r="CF210" s="62" t="n"/>
      <c r="CG210" s="62" t="n"/>
      <c r="CH210" s="62">
        <f>CG210-CF210</f>
        <v/>
      </c>
      <c r="CI210" s="64">
        <f>IF(CF210=0,"",CG210/CF210)</f>
        <v/>
      </c>
      <c r="CJ210" s="31" t="n"/>
      <c r="CK210" s="60" t="n"/>
      <c r="CL210" s="60" t="n"/>
      <c r="CM210" s="60">
        <f>CL210-CK210</f>
        <v/>
      </c>
      <c r="CN210" s="61">
        <f>IF(CK210=0,"",CL210/CK210)</f>
        <v/>
      </c>
      <c r="CO210" s="27" t="n"/>
      <c r="CP210" s="62" t="n"/>
      <c r="CQ210" s="62" t="n"/>
      <c r="CR210" s="62">
        <f>CQ210-CP210</f>
        <v/>
      </c>
      <c r="CS210" s="64">
        <f>IF(CP210=0,"",CQ210/CP210)</f>
        <v/>
      </c>
      <c r="CT210" s="31" t="n"/>
      <c r="CU210" s="60" t="n"/>
      <c r="CV210" s="60" t="n"/>
      <c r="CW210" s="60">
        <f>CV210-CU210</f>
        <v/>
      </c>
      <c r="CX210" s="61">
        <f>IF(CU210=0,"",CV210/CU210)</f>
        <v/>
      </c>
      <c r="CY210" s="27" t="n"/>
      <c r="CZ210" s="62" t="n"/>
      <c r="DA210" s="62" t="n"/>
      <c r="DB210" s="62">
        <f>DA210-CZ210</f>
        <v/>
      </c>
      <c r="DC210" s="64">
        <f>IF(CZ210=0,"",DA210/CZ210)</f>
        <v/>
      </c>
      <c r="DD210" s="31" t="n"/>
      <c r="DE210" s="60" t="n"/>
      <c r="DF210" s="60" t="n"/>
      <c r="DG210" s="60">
        <f>DF210-DE210</f>
        <v/>
      </c>
      <c r="DH210" s="61">
        <f>IF(DE210=0,"",DF210/DE210)</f>
        <v/>
      </c>
      <c r="DI210" s="27" t="n"/>
      <c r="DJ210" s="62" t="n"/>
      <c r="DK210" s="62" t="n"/>
      <c r="DL210" s="62">
        <f>DK210-DJ210</f>
        <v/>
      </c>
      <c r="DM210" s="64">
        <f>IF(DJ210=0,"",DK210/DJ210)</f>
        <v/>
      </c>
      <c r="DN210" s="31" t="n"/>
      <c r="DO210" s="60" t="n"/>
    </row>
    <row r="211" ht="15" customHeight="1">
      <c r="A211" s="19" t="n"/>
      <c r="B211" s="20" t="n"/>
      <c r="C211" s="19" t="n"/>
      <c r="D211" s="58">
        <f>D212</f>
        <v/>
      </c>
      <c r="E211" s="58">
        <f>E212</f>
        <v/>
      </c>
      <c r="F211" s="58">
        <f>E211-D211</f>
        <v/>
      </c>
      <c r="G211" s="59">
        <f>IF(D211=0,"",E211/D211)</f>
        <v/>
      </c>
      <c r="H211" s="23" t="n"/>
      <c r="I211" s="58">
        <f>I212</f>
        <v/>
      </c>
      <c r="J211" s="58">
        <f>J212</f>
        <v/>
      </c>
      <c r="K211" s="58">
        <f>J211-I211</f>
        <v/>
      </c>
      <c r="L211" s="59">
        <f>IF(I211=0,"",J211/I211)</f>
        <v/>
      </c>
      <c r="M211" s="23" t="n"/>
      <c r="N211" s="58">
        <f>N212</f>
        <v/>
      </c>
      <c r="O211" s="58">
        <f>O212</f>
        <v/>
      </c>
      <c r="P211" s="58">
        <f>O211-N211</f>
        <v/>
      </c>
      <c r="Q211" s="59">
        <f>IF(N211=0,"",O211/N211)</f>
        <v/>
      </c>
      <c r="R211" s="23" t="n"/>
      <c r="S211" s="58">
        <f>S212</f>
        <v/>
      </c>
      <c r="T211" s="58">
        <f>T212</f>
        <v/>
      </c>
      <c r="U211" s="58">
        <f>T211-S211</f>
        <v/>
      </c>
      <c r="V211" s="59">
        <f>IF(S211=0,"",T211/S211)</f>
        <v/>
      </c>
      <c r="W211" s="23" t="n"/>
      <c r="X211" s="58">
        <f>X212</f>
        <v/>
      </c>
      <c r="Y211" s="58">
        <f>Y212</f>
        <v/>
      </c>
      <c r="Z211" s="58">
        <f>Y211-X211</f>
        <v/>
      </c>
      <c r="AA211" s="59">
        <f>IF(X211=0,"",Y211/X211)</f>
        <v/>
      </c>
      <c r="AB211" s="23" t="n"/>
      <c r="AC211" s="58">
        <f>AC212</f>
        <v/>
      </c>
      <c r="AD211" s="58">
        <f>AD212</f>
        <v/>
      </c>
      <c r="AE211" s="58">
        <f>AD211-AC211</f>
        <v/>
      </c>
      <c r="AF211" s="59">
        <f>IF(AC211=0,"",AD211/AC211)</f>
        <v/>
      </c>
      <c r="AG211" s="23" t="n"/>
      <c r="AH211" s="58">
        <f>AH212</f>
        <v/>
      </c>
      <c r="AI211" s="58">
        <f>AI212</f>
        <v/>
      </c>
      <c r="AJ211" s="58">
        <f>AI211-AH211</f>
        <v/>
      </c>
      <c r="AK211" s="59">
        <f>IF(AH211=0,"",AI211/AH211)</f>
        <v/>
      </c>
      <c r="AL211" s="23" t="n"/>
      <c r="AM211" s="58">
        <f>AM212</f>
        <v/>
      </c>
      <c r="AN211" s="58">
        <f>AN212</f>
        <v/>
      </c>
      <c r="AO211" s="58">
        <f>AN211-AM211</f>
        <v/>
      </c>
      <c r="AP211" s="59">
        <f>IF(AM211=0,"",AN211/AM211)</f>
        <v/>
      </c>
      <c r="AQ211" s="23" t="n"/>
      <c r="AR211" s="58">
        <f>AR212</f>
        <v/>
      </c>
      <c r="AS211" s="58">
        <f>AS212</f>
        <v/>
      </c>
      <c r="AT211" s="58">
        <f>AS211-AR211</f>
        <v/>
      </c>
      <c r="AU211" s="59">
        <f>IF(AR211=0,"",AS211/AR211)</f>
        <v/>
      </c>
      <c r="AV211" s="23" t="n"/>
      <c r="AW211" s="58">
        <f>AW212</f>
        <v/>
      </c>
      <c r="AX211" s="58">
        <f>AX212</f>
        <v/>
      </c>
      <c r="AY211" s="58">
        <f>AX211-AW211</f>
        <v/>
      </c>
      <c r="AZ211" s="59">
        <f>IF(AW211=0,"",AX211/AW211)</f>
        <v/>
      </c>
      <c r="BA211" s="23" t="n"/>
      <c r="BB211" s="58">
        <f>BB212</f>
        <v/>
      </c>
      <c r="BC211" s="58">
        <f>BC212</f>
        <v/>
      </c>
      <c r="BD211" s="58">
        <f>BC211-BB211</f>
        <v/>
      </c>
      <c r="BE211" s="59">
        <f>IF(BB211=0,"",BC211/BB211)</f>
        <v/>
      </c>
      <c r="BF211" s="23" t="n"/>
      <c r="BG211" s="58">
        <f>BG212</f>
        <v/>
      </c>
      <c r="BH211" s="58">
        <f>BH212</f>
        <v/>
      </c>
      <c r="BI211" s="58">
        <f>BH211-BG211</f>
        <v/>
      </c>
      <c r="BJ211" s="59">
        <f>IF(BG211=0,"",BH211/BG211)</f>
        <v/>
      </c>
      <c r="BK211" s="23" t="n"/>
      <c r="BL211" s="58">
        <f>BL212</f>
        <v/>
      </c>
      <c r="BM211" s="58">
        <f>BM212</f>
        <v/>
      </c>
      <c r="BN211" s="58">
        <f>BM211-BL211</f>
        <v/>
      </c>
      <c r="BO211" s="59">
        <f>IF(BL211=0,"",BM211/BL211)</f>
        <v/>
      </c>
      <c r="BP211" s="23" t="n"/>
      <c r="BQ211" s="58">
        <f>BQ212</f>
        <v/>
      </c>
      <c r="BR211" s="58">
        <f>BR212</f>
        <v/>
      </c>
      <c r="BS211" s="58">
        <f>BR211-BQ211</f>
        <v/>
      </c>
      <c r="BT211" s="59">
        <f>IF(BQ211=0,"",BR211/BQ211)</f>
        <v/>
      </c>
      <c r="BU211" s="23" t="n"/>
      <c r="BV211" s="58">
        <f>BV212</f>
        <v/>
      </c>
      <c r="BW211" s="58">
        <f>BW212</f>
        <v/>
      </c>
      <c r="BX211" s="58">
        <f>BW211-BV211</f>
        <v/>
      </c>
      <c r="BY211" s="59">
        <f>IF(BV211=0,"",BW211/BV211)</f>
        <v/>
      </c>
      <c r="BZ211" s="23" t="n"/>
      <c r="CA211" s="58">
        <f>CA212</f>
        <v/>
      </c>
      <c r="CB211" s="58">
        <f>CB212</f>
        <v/>
      </c>
      <c r="CC211" s="58">
        <f>CB211-CA211</f>
        <v/>
      </c>
      <c r="CD211" s="59">
        <f>IF(CA211=0,"",CB211/CA211)</f>
        <v/>
      </c>
      <c r="CE211" s="23" t="n"/>
      <c r="CF211" s="58">
        <f>CF212</f>
        <v/>
      </c>
      <c r="CG211" s="58">
        <f>CG212</f>
        <v/>
      </c>
      <c r="CH211" s="58">
        <f>CG211-CF211</f>
        <v/>
      </c>
      <c r="CI211" s="59">
        <f>IF(CF211=0,"",CG211/CF211)</f>
        <v/>
      </c>
      <c r="CJ211" s="23" t="n"/>
      <c r="CK211" s="58">
        <f>CK212</f>
        <v/>
      </c>
      <c r="CL211" s="58">
        <f>CL212</f>
        <v/>
      </c>
      <c r="CM211" s="58">
        <f>CL211-CK211</f>
        <v/>
      </c>
      <c r="CN211" s="59">
        <f>IF(CK211=0,"",CL211/CK211)</f>
        <v/>
      </c>
      <c r="CO211" s="23" t="n"/>
      <c r="CP211" s="58">
        <f>CP212</f>
        <v/>
      </c>
      <c r="CQ211" s="58">
        <f>CQ212</f>
        <v/>
      </c>
      <c r="CR211" s="58">
        <f>CQ211-CP211</f>
        <v/>
      </c>
      <c r="CS211" s="59">
        <f>IF(CP211=0,"",CQ211/CP211)</f>
        <v/>
      </c>
      <c r="CT211" s="23" t="n"/>
      <c r="CU211" s="58">
        <f>CU212</f>
        <v/>
      </c>
      <c r="CV211" s="58">
        <f>CV212</f>
        <v/>
      </c>
      <c r="CW211" s="58">
        <f>CV211-CU211</f>
        <v/>
      </c>
      <c r="CX211" s="59">
        <f>IF(CU211=0,"",CV211/CU211)</f>
        <v/>
      </c>
      <c r="CY211" s="23" t="n"/>
      <c r="CZ211" s="58">
        <f>CZ212</f>
        <v/>
      </c>
      <c r="DA211" s="58">
        <f>DA212</f>
        <v/>
      </c>
      <c r="DB211" s="58">
        <f>DA211-CZ211</f>
        <v/>
      </c>
      <c r="DC211" s="59">
        <f>IF(CZ211=0,"",DA211/CZ211)</f>
        <v/>
      </c>
      <c r="DD211" s="23" t="n"/>
      <c r="DE211" s="58">
        <f>DE212</f>
        <v/>
      </c>
      <c r="DF211" s="58">
        <f>DF212</f>
        <v/>
      </c>
      <c r="DG211" s="58">
        <f>DF211-DE211</f>
        <v/>
      </c>
      <c r="DH211" s="59">
        <f>IF(DE211=0,"",DF211/DE211)</f>
        <v/>
      </c>
      <c r="DI211" s="23" t="n"/>
      <c r="DJ211" s="58">
        <f>DJ212</f>
        <v/>
      </c>
      <c r="DK211" s="58">
        <f>DK212</f>
        <v/>
      </c>
      <c r="DL211" s="58">
        <f>DK211-DJ211</f>
        <v/>
      </c>
      <c r="DM211" s="59">
        <f>IF(DJ211=0,"",DK211/DJ211)</f>
        <v/>
      </c>
      <c r="DN211" s="23" t="n"/>
      <c r="DO211" s="58">
        <f>DO212</f>
        <v/>
      </c>
    </row>
    <row r="212" outlineLevel="1" ht="15" customHeight="1">
      <c r="A212" s="24" t="n"/>
      <c r="B212" s="24" t="n"/>
      <c r="C212" s="24" t="n"/>
      <c r="D212" s="60" t="n"/>
      <c r="E212" s="60" t="n"/>
      <c r="F212" s="60">
        <f>E212-D212</f>
        <v/>
      </c>
      <c r="G212" s="61">
        <f>IF(D212=0,"",E212/D212)</f>
        <v/>
      </c>
      <c r="H212" s="27" t="n"/>
      <c r="I212" s="60" t="n"/>
      <c r="J212" s="60" t="n"/>
      <c r="K212" s="60">
        <f>J212-I212</f>
        <v/>
      </c>
      <c r="L212" s="61">
        <f>IF(I212=0,"",J212/I212)</f>
        <v/>
      </c>
      <c r="M212" s="27" t="n"/>
      <c r="N212" s="62" t="n"/>
      <c r="O212" s="62" t="n"/>
      <c r="P212" s="63">
        <f>O212-N212</f>
        <v/>
      </c>
      <c r="Q212" s="64">
        <f>IF(N212=0,"",O212/N212)</f>
        <v/>
      </c>
      <c r="R212" s="31" t="n"/>
      <c r="S212" s="60" t="n"/>
      <c r="T212" s="60" t="n"/>
      <c r="U212" s="60">
        <f>T212-S212</f>
        <v/>
      </c>
      <c r="V212" s="61">
        <f>IF(S212=0,"",T212/S212)</f>
        <v/>
      </c>
      <c r="W212" s="27" t="n"/>
      <c r="X212" s="62" t="n"/>
      <c r="Y212" s="62" t="n"/>
      <c r="Z212" s="63">
        <f>Y212-X212</f>
        <v/>
      </c>
      <c r="AA212" s="64">
        <f>IF(X212=0,"",Y212/X212)</f>
        <v/>
      </c>
      <c r="AB212" s="31" t="n"/>
      <c r="AC212" s="60" t="n"/>
      <c r="AD212" s="60" t="n"/>
      <c r="AE212" s="60">
        <f>AD212-AC212</f>
        <v/>
      </c>
      <c r="AF212" s="61">
        <f>IF(AC212=0,"",AD212/AC212)</f>
        <v/>
      </c>
      <c r="AG212" s="27" t="n"/>
      <c r="AH212" s="62" t="n"/>
      <c r="AI212" s="62" t="n"/>
      <c r="AJ212" s="62">
        <f>AI212-AH212</f>
        <v/>
      </c>
      <c r="AK212" s="64">
        <f>IF(AH212=0,"",AI212/AH212)</f>
        <v/>
      </c>
      <c r="AL212" s="31" t="n"/>
      <c r="AM212" s="60" t="n"/>
      <c r="AN212" s="60" t="n"/>
      <c r="AO212" s="60">
        <f>AN212-AM212</f>
        <v/>
      </c>
      <c r="AP212" s="61">
        <f>IF(AM212=0,"",AN212/AM212)</f>
        <v/>
      </c>
      <c r="AQ212" s="27" t="n"/>
      <c r="AR212" s="62" t="n"/>
      <c r="AS212" s="62" t="n"/>
      <c r="AT212" s="62">
        <f>AS212-AR212</f>
        <v/>
      </c>
      <c r="AU212" s="64">
        <f>IF(AR212=0,"",AS212/AR212)</f>
        <v/>
      </c>
      <c r="AV212" s="31" t="n"/>
      <c r="AW212" s="60" t="n"/>
      <c r="AX212" s="60" t="n"/>
      <c r="AY212" s="60">
        <f>AX212-AW212</f>
        <v/>
      </c>
      <c r="AZ212" s="61">
        <f>IF(AW212=0,"",AX212/AW212)</f>
        <v/>
      </c>
      <c r="BA212" s="27" t="n"/>
      <c r="BB212" s="62" t="n"/>
      <c r="BC212" s="62" t="n"/>
      <c r="BD212" s="62">
        <f>BC212-BB212</f>
        <v/>
      </c>
      <c r="BE212" s="64">
        <f>IF(BB212=0,"",BC212/BB212)</f>
        <v/>
      </c>
      <c r="BF212" s="31" t="n"/>
      <c r="BG212" s="60" t="n"/>
      <c r="BH212" s="60" t="n"/>
      <c r="BI212" s="60">
        <f>BH212-BG212</f>
        <v/>
      </c>
      <c r="BJ212" s="61">
        <f>IF(BG212=0,"",BH212/BG212)</f>
        <v/>
      </c>
      <c r="BK212" s="27" t="n"/>
      <c r="BL212" s="62" t="n"/>
      <c r="BM212" s="62" t="n"/>
      <c r="BN212" s="62">
        <f>BM212-BL212</f>
        <v/>
      </c>
      <c r="BO212" s="64">
        <f>IF(BL212=0,"",BM212/BL212)</f>
        <v/>
      </c>
      <c r="BP212" s="31" t="n"/>
      <c r="BQ212" s="60" t="n"/>
      <c r="BR212" s="60" t="n"/>
      <c r="BS212" s="60">
        <f>BR212-BQ212</f>
        <v/>
      </c>
      <c r="BT212" s="61">
        <f>IF(BQ212=0,"",BR212/BQ212)</f>
        <v/>
      </c>
      <c r="BU212" s="27" t="n"/>
      <c r="BV212" s="62" t="n"/>
      <c r="BW212" s="62" t="n"/>
      <c r="BX212" s="62">
        <f>BW212-BV212</f>
        <v/>
      </c>
      <c r="BY212" s="64">
        <f>IF(BV212=0,"",BW212/BV212)</f>
        <v/>
      </c>
      <c r="BZ212" s="31" t="n"/>
      <c r="CA212" s="60" t="n"/>
      <c r="CB212" s="60" t="n"/>
      <c r="CC212" s="60">
        <f>CB212-CA212</f>
        <v/>
      </c>
      <c r="CD212" s="61">
        <f>IF(CA212=0,"",CB212/CA212)</f>
        <v/>
      </c>
      <c r="CE212" s="27" t="n"/>
      <c r="CF212" s="62" t="n"/>
      <c r="CG212" s="62" t="n"/>
      <c r="CH212" s="62">
        <f>CG212-CF212</f>
        <v/>
      </c>
      <c r="CI212" s="64">
        <f>IF(CF212=0,"",CG212/CF212)</f>
        <v/>
      </c>
      <c r="CJ212" s="31" t="n"/>
      <c r="CK212" s="60" t="n"/>
      <c r="CL212" s="60" t="n"/>
      <c r="CM212" s="60">
        <f>CL212-CK212</f>
        <v/>
      </c>
      <c r="CN212" s="61">
        <f>IF(CK212=0,"",CL212/CK212)</f>
        <v/>
      </c>
      <c r="CO212" s="27" t="n"/>
      <c r="CP212" s="62" t="n"/>
      <c r="CQ212" s="62" t="n"/>
      <c r="CR212" s="62">
        <f>CQ212-CP212</f>
        <v/>
      </c>
      <c r="CS212" s="64">
        <f>IF(CP212=0,"",CQ212/CP212)</f>
        <v/>
      </c>
      <c r="CT212" s="31" t="n"/>
      <c r="CU212" s="60" t="n"/>
      <c r="CV212" s="60" t="n"/>
      <c r="CW212" s="60">
        <f>CV212-CU212</f>
        <v/>
      </c>
      <c r="CX212" s="61">
        <f>IF(CU212=0,"",CV212/CU212)</f>
        <v/>
      </c>
      <c r="CY212" s="27" t="n"/>
      <c r="CZ212" s="62" t="n"/>
      <c r="DA212" s="62" t="n"/>
      <c r="DB212" s="62">
        <f>DA212-CZ212</f>
        <v/>
      </c>
      <c r="DC212" s="64">
        <f>IF(CZ212=0,"",DA212/CZ212)</f>
        <v/>
      </c>
      <c r="DD212" s="31" t="n"/>
      <c r="DE212" s="60" t="n"/>
      <c r="DF212" s="60" t="n"/>
      <c r="DG212" s="60">
        <f>DF212-DE212</f>
        <v/>
      </c>
      <c r="DH212" s="61">
        <f>IF(DE212=0,"",DF212/DE212)</f>
        <v/>
      </c>
      <c r="DI212" s="27" t="n"/>
      <c r="DJ212" s="62" t="n"/>
      <c r="DK212" s="62" t="n"/>
      <c r="DL212" s="62">
        <f>DK212-DJ212</f>
        <v/>
      </c>
      <c r="DM212" s="64">
        <f>IF(DJ212=0,"",DK212/DJ212)</f>
        <v/>
      </c>
      <c r="DN212" s="31" t="n"/>
      <c r="DO212" s="60" t="n"/>
    </row>
    <row r="213" ht="15" customHeight="1">
      <c r="A213" s="19" t="n"/>
      <c r="B213" s="20" t="n"/>
      <c r="C213" s="19" t="n"/>
      <c r="D213" s="58">
        <f>D214</f>
        <v/>
      </c>
      <c r="E213" s="58">
        <f>E214</f>
        <v/>
      </c>
      <c r="F213" s="58">
        <f>E213-D213</f>
        <v/>
      </c>
      <c r="G213" s="59">
        <f>IF(D213=0,"",E213/D213)</f>
        <v/>
      </c>
      <c r="H213" s="23" t="n"/>
      <c r="I213" s="58">
        <f>I214</f>
        <v/>
      </c>
      <c r="J213" s="58">
        <f>J214</f>
        <v/>
      </c>
      <c r="K213" s="58">
        <f>J213-I213</f>
        <v/>
      </c>
      <c r="L213" s="59">
        <f>IF(I213=0,"",J213/I213)</f>
        <v/>
      </c>
      <c r="M213" s="23" t="n"/>
      <c r="N213" s="58">
        <f>N214</f>
        <v/>
      </c>
      <c r="O213" s="58">
        <f>O214</f>
        <v/>
      </c>
      <c r="P213" s="58">
        <f>O213-N213</f>
        <v/>
      </c>
      <c r="Q213" s="59">
        <f>IF(N213=0,"",O213/N213)</f>
        <v/>
      </c>
      <c r="R213" s="23" t="n"/>
      <c r="S213" s="58">
        <f>S214</f>
        <v/>
      </c>
      <c r="T213" s="58">
        <f>T214</f>
        <v/>
      </c>
      <c r="U213" s="58">
        <f>T213-S213</f>
        <v/>
      </c>
      <c r="V213" s="59">
        <f>IF(S213=0,"",T213/S213)</f>
        <v/>
      </c>
      <c r="W213" s="23" t="n"/>
      <c r="X213" s="58">
        <f>X214</f>
        <v/>
      </c>
      <c r="Y213" s="58">
        <f>Y214</f>
        <v/>
      </c>
      <c r="Z213" s="58">
        <f>Y213-X213</f>
        <v/>
      </c>
      <c r="AA213" s="59">
        <f>IF(X213=0,"",Y213/X213)</f>
        <v/>
      </c>
      <c r="AB213" s="23" t="n"/>
      <c r="AC213" s="58">
        <f>AC214</f>
        <v/>
      </c>
      <c r="AD213" s="58">
        <f>AD214</f>
        <v/>
      </c>
      <c r="AE213" s="58">
        <f>AD213-AC213</f>
        <v/>
      </c>
      <c r="AF213" s="59">
        <f>IF(AC213=0,"",AD213/AC213)</f>
        <v/>
      </c>
      <c r="AG213" s="23" t="n"/>
      <c r="AH213" s="58">
        <f>AH214</f>
        <v/>
      </c>
      <c r="AI213" s="58">
        <f>AI214</f>
        <v/>
      </c>
      <c r="AJ213" s="58">
        <f>AI213-AH213</f>
        <v/>
      </c>
      <c r="AK213" s="59">
        <f>IF(AH213=0,"",AI213/AH213)</f>
        <v/>
      </c>
      <c r="AL213" s="23" t="n"/>
      <c r="AM213" s="58">
        <f>AM214</f>
        <v/>
      </c>
      <c r="AN213" s="58">
        <f>AN214</f>
        <v/>
      </c>
      <c r="AO213" s="58">
        <f>AN213-AM213</f>
        <v/>
      </c>
      <c r="AP213" s="59">
        <f>IF(AM213=0,"",AN213/AM213)</f>
        <v/>
      </c>
      <c r="AQ213" s="23" t="n"/>
      <c r="AR213" s="58">
        <f>AR214</f>
        <v/>
      </c>
      <c r="AS213" s="58">
        <f>AS214</f>
        <v/>
      </c>
      <c r="AT213" s="58">
        <f>AS213-AR213</f>
        <v/>
      </c>
      <c r="AU213" s="59">
        <f>IF(AR213=0,"",AS213/AR213)</f>
        <v/>
      </c>
      <c r="AV213" s="23" t="n"/>
      <c r="AW213" s="58">
        <f>AW214</f>
        <v/>
      </c>
      <c r="AX213" s="58">
        <f>AX214</f>
        <v/>
      </c>
      <c r="AY213" s="58">
        <f>AX213-AW213</f>
        <v/>
      </c>
      <c r="AZ213" s="59">
        <f>IF(AW213=0,"",AX213/AW213)</f>
        <v/>
      </c>
      <c r="BA213" s="23" t="n"/>
      <c r="BB213" s="58">
        <f>BB214</f>
        <v/>
      </c>
      <c r="BC213" s="58">
        <f>BC214</f>
        <v/>
      </c>
      <c r="BD213" s="58">
        <f>BC213-BB213</f>
        <v/>
      </c>
      <c r="BE213" s="59">
        <f>IF(BB213=0,"",BC213/BB213)</f>
        <v/>
      </c>
      <c r="BF213" s="23" t="n"/>
      <c r="BG213" s="58">
        <f>BG214</f>
        <v/>
      </c>
      <c r="BH213" s="58">
        <f>BH214</f>
        <v/>
      </c>
      <c r="BI213" s="58">
        <f>BH213-BG213</f>
        <v/>
      </c>
      <c r="BJ213" s="59">
        <f>IF(BG213=0,"",BH213/BG213)</f>
        <v/>
      </c>
      <c r="BK213" s="23" t="n"/>
      <c r="BL213" s="58">
        <f>BL214</f>
        <v/>
      </c>
      <c r="BM213" s="58">
        <f>BM214</f>
        <v/>
      </c>
      <c r="BN213" s="58">
        <f>BM213-BL213</f>
        <v/>
      </c>
      <c r="BO213" s="59">
        <f>IF(BL213=0,"",BM213/BL213)</f>
        <v/>
      </c>
      <c r="BP213" s="23" t="n"/>
      <c r="BQ213" s="58">
        <f>BQ214</f>
        <v/>
      </c>
      <c r="BR213" s="58">
        <f>BR214</f>
        <v/>
      </c>
      <c r="BS213" s="58">
        <f>BR213-BQ213</f>
        <v/>
      </c>
      <c r="BT213" s="59">
        <f>IF(BQ213=0,"",BR213/BQ213)</f>
        <v/>
      </c>
      <c r="BU213" s="23" t="n"/>
      <c r="BV213" s="58">
        <f>BV214</f>
        <v/>
      </c>
      <c r="BW213" s="58">
        <f>BW214</f>
        <v/>
      </c>
      <c r="BX213" s="58">
        <f>BW213-BV213</f>
        <v/>
      </c>
      <c r="BY213" s="59">
        <f>IF(BV213=0,"",BW213/BV213)</f>
        <v/>
      </c>
      <c r="BZ213" s="23" t="n"/>
      <c r="CA213" s="58">
        <f>CA214</f>
        <v/>
      </c>
      <c r="CB213" s="58">
        <f>CB214</f>
        <v/>
      </c>
      <c r="CC213" s="58">
        <f>CB213-CA213</f>
        <v/>
      </c>
      <c r="CD213" s="59">
        <f>IF(CA213=0,"",CB213/CA213)</f>
        <v/>
      </c>
      <c r="CE213" s="23" t="n"/>
      <c r="CF213" s="58">
        <f>CF214</f>
        <v/>
      </c>
      <c r="CG213" s="58">
        <f>CG214</f>
        <v/>
      </c>
      <c r="CH213" s="58">
        <f>CG213-CF213</f>
        <v/>
      </c>
      <c r="CI213" s="59">
        <f>IF(CF213=0,"",CG213/CF213)</f>
        <v/>
      </c>
      <c r="CJ213" s="23" t="n"/>
      <c r="CK213" s="58">
        <f>CK214</f>
        <v/>
      </c>
      <c r="CL213" s="58">
        <f>CL214</f>
        <v/>
      </c>
      <c r="CM213" s="58">
        <f>CL213-CK213</f>
        <v/>
      </c>
      <c r="CN213" s="59">
        <f>IF(CK213=0,"",CL213/CK213)</f>
        <v/>
      </c>
      <c r="CO213" s="23" t="n"/>
      <c r="CP213" s="58">
        <f>CP214</f>
        <v/>
      </c>
      <c r="CQ213" s="58">
        <f>CQ214</f>
        <v/>
      </c>
      <c r="CR213" s="58">
        <f>CQ213-CP213</f>
        <v/>
      </c>
      <c r="CS213" s="59">
        <f>IF(CP213=0,"",CQ213/CP213)</f>
        <v/>
      </c>
      <c r="CT213" s="23" t="n"/>
      <c r="CU213" s="58">
        <f>CU214</f>
        <v/>
      </c>
      <c r="CV213" s="58">
        <f>CV214</f>
        <v/>
      </c>
      <c r="CW213" s="58">
        <f>CV213-CU213</f>
        <v/>
      </c>
      <c r="CX213" s="59">
        <f>IF(CU213=0,"",CV213/CU213)</f>
        <v/>
      </c>
      <c r="CY213" s="23" t="n"/>
      <c r="CZ213" s="58">
        <f>CZ214</f>
        <v/>
      </c>
      <c r="DA213" s="58">
        <f>DA214</f>
        <v/>
      </c>
      <c r="DB213" s="58">
        <f>DA213-CZ213</f>
        <v/>
      </c>
      <c r="DC213" s="59">
        <f>IF(CZ213=0,"",DA213/CZ213)</f>
        <v/>
      </c>
      <c r="DD213" s="23" t="n"/>
      <c r="DE213" s="58">
        <f>DE214</f>
        <v/>
      </c>
      <c r="DF213" s="58">
        <f>DF214</f>
        <v/>
      </c>
      <c r="DG213" s="58">
        <f>DF213-DE213</f>
        <v/>
      </c>
      <c r="DH213" s="59">
        <f>IF(DE213=0,"",DF213/DE213)</f>
        <v/>
      </c>
      <c r="DI213" s="23" t="n"/>
      <c r="DJ213" s="58">
        <f>DJ214</f>
        <v/>
      </c>
      <c r="DK213" s="58">
        <f>DK214</f>
        <v/>
      </c>
      <c r="DL213" s="58">
        <f>DK213-DJ213</f>
        <v/>
      </c>
      <c r="DM213" s="59">
        <f>IF(DJ213=0,"",DK213/DJ213)</f>
        <v/>
      </c>
      <c r="DN213" s="23" t="n"/>
      <c r="DO213" s="58">
        <f>DO214</f>
        <v/>
      </c>
    </row>
    <row r="214" outlineLevel="1" ht="15" customHeight="1">
      <c r="A214" s="24" t="n"/>
      <c r="B214" s="24" t="n"/>
      <c r="C214" s="24" t="n"/>
      <c r="D214" s="60" t="n"/>
      <c r="E214" s="60" t="n"/>
      <c r="F214" s="60">
        <f>E214-D214</f>
        <v/>
      </c>
      <c r="G214" s="61">
        <f>IF(D214=0,"",E214/D214)</f>
        <v/>
      </c>
      <c r="H214" s="27" t="n"/>
      <c r="I214" s="60" t="n"/>
      <c r="J214" s="60" t="n"/>
      <c r="K214" s="60">
        <f>J214-I214</f>
        <v/>
      </c>
      <c r="L214" s="61">
        <f>IF(I214=0,"",J214/I214)</f>
        <v/>
      </c>
      <c r="M214" s="27" t="n"/>
      <c r="N214" s="62" t="n"/>
      <c r="O214" s="62" t="n"/>
      <c r="P214" s="62">
        <f>O214-N214</f>
        <v/>
      </c>
      <c r="Q214" s="64">
        <f>IF(N214=0,"",O214/N214)</f>
        <v/>
      </c>
      <c r="R214" s="31" t="n"/>
      <c r="S214" s="60" t="n"/>
      <c r="T214" s="60" t="n"/>
      <c r="U214" s="60">
        <f>T214-S214</f>
        <v/>
      </c>
      <c r="V214" s="61">
        <f>IF(S214=0,"",T214/S214)</f>
        <v/>
      </c>
      <c r="W214" s="27" t="n"/>
      <c r="X214" s="62" t="n"/>
      <c r="Y214" s="62" t="n"/>
      <c r="Z214" s="62">
        <f>Y214-X214</f>
        <v/>
      </c>
      <c r="AA214" s="64">
        <f>IF(X214=0,"",Y214/X214)</f>
        <v/>
      </c>
      <c r="AB214" s="31" t="n"/>
      <c r="AC214" s="60" t="n"/>
      <c r="AD214" s="60" t="n"/>
      <c r="AE214" s="60">
        <f>AD214-AC214</f>
        <v/>
      </c>
      <c r="AF214" s="61">
        <f>IF(AC214=0,"",AD214/AC214)</f>
        <v/>
      </c>
      <c r="AG214" s="27" t="n"/>
      <c r="AH214" s="62" t="n"/>
      <c r="AI214" s="62" t="n"/>
      <c r="AJ214" s="62">
        <f>AI214-AH214</f>
        <v/>
      </c>
      <c r="AK214" s="64">
        <f>IF(AH214=0,"",AI214/AH214)</f>
        <v/>
      </c>
      <c r="AL214" s="31" t="n"/>
      <c r="AM214" s="60" t="n"/>
      <c r="AN214" s="60" t="n"/>
      <c r="AO214" s="60">
        <f>AN214-AM214</f>
        <v/>
      </c>
      <c r="AP214" s="61">
        <f>IF(AM214=0,"",AN214/AM214)</f>
        <v/>
      </c>
      <c r="AQ214" s="27" t="n"/>
      <c r="AR214" s="62" t="n"/>
      <c r="AS214" s="62" t="n"/>
      <c r="AT214" s="62">
        <f>AS214-AR214</f>
        <v/>
      </c>
      <c r="AU214" s="64">
        <f>IF(AR214=0,"",AS214/AR214)</f>
        <v/>
      </c>
      <c r="AV214" s="31" t="n"/>
      <c r="AW214" s="60" t="n"/>
      <c r="AX214" s="60" t="n"/>
      <c r="AY214" s="60">
        <f>AX214-AW214</f>
        <v/>
      </c>
      <c r="AZ214" s="61">
        <f>IF(AW214=0,"",AX214/AW214)</f>
        <v/>
      </c>
      <c r="BA214" s="27" t="n"/>
      <c r="BB214" s="62" t="n"/>
      <c r="BC214" s="62" t="n"/>
      <c r="BD214" s="62">
        <f>BC214-BB214</f>
        <v/>
      </c>
      <c r="BE214" s="64">
        <f>IF(BB214=0,"",BC214/BB214)</f>
        <v/>
      </c>
      <c r="BF214" s="31" t="n"/>
      <c r="BG214" s="60" t="n"/>
      <c r="BH214" s="60" t="n"/>
      <c r="BI214" s="60">
        <f>BH214-BG214</f>
        <v/>
      </c>
      <c r="BJ214" s="61">
        <f>IF(BG214=0,"",BH214/BG214)</f>
        <v/>
      </c>
      <c r="BK214" s="27" t="n"/>
      <c r="BL214" s="62" t="n"/>
      <c r="BM214" s="62" t="n"/>
      <c r="BN214" s="62">
        <f>BM214-BL214</f>
        <v/>
      </c>
      <c r="BO214" s="64">
        <f>IF(BL214=0,"",BM214/BL214)</f>
        <v/>
      </c>
      <c r="BP214" s="31" t="n"/>
      <c r="BQ214" s="60" t="n"/>
      <c r="BR214" s="60" t="n"/>
      <c r="BS214" s="60">
        <f>BR214-BQ214</f>
        <v/>
      </c>
      <c r="BT214" s="61">
        <f>IF(BQ214=0,"",BR214/BQ214)</f>
        <v/>
      </c>
      <c r="BU214" s="27" t="n"/>
      <c r="BV214" s="62" t="n"/>
      <c r="BW214" s="62" t="n"/>
      <c r="BX214" s="62">
        <f>BW214-BV214</f>
        <v/>
      </c>
      <c r="BY214" s="64">
        <f>IF(BV214=0,"",BW214/BV214)</f>
        <v/>
      </c>
      <c r="BZ214" s="31" t="n"/>
      <c r="CA214" s="60" t="n"/>
      <c r="CB214" s="60" t="n"/>
      <c r="CC214" s="60">
        <f>CB214-CA214</f>
        <v/>
      </c>
      <c r="CD214" s="61">
        <f>IF(CA214=0,"",CB214/CA214)</f>
        <v/>
      </c>
      <c r="CE214" s="27" t="n"/>
      <c r="CF214" s="62" t="n"/>
      <c r="CG214" s="62" t="n"/>
      <c r="CH214" s="62">
        <f>CG214-CF214</f>
        <v/>
      </c>
      <c r="CI214" s="64">
        <f>IF(CF214=0,"",CG214/CF214)</f>
        <v/>
      </c>
      <c r="CJ214" s="31" t="n"/>
      <c r="CK214" s="60" t="n"/>
      <c r="CL214" s="60" t="n"/>
      <c r="CM214" s="60">
        <f>CL214-CK214</f>
        <v/>
      </c>
      <c r="CN214" s="61">
        <f>IF(CK214=0,"",CL214/CK214)</f>
        <v/>
      </c>
      <c r="CO214" s="27" t="n"/>
      <c r="CP214" s="62" t="n"/>
      <c r="CQ214" s="62" t="n"/>
      <c r="CR214" s="62">
        <f>CQ214-CP214</f>
        <v/>
      </c>
      <c r="CS214" s="64">
        <f>IF(CP214=0,"",CQ214/CP214)</f>
        <v/>
      </c>
      <c r="CT214" s="31" t="n"/>
      <c r="CU214" s="60" t="n"/>
      <c r="CV214" s="60" t="n"/>
      <c r="CW214" s="60">
        <f>CV214-CU214</f>
        <v/>
      </c>
      <c r="CX214" s="61">
        <f>IF(CU214=0,"",CV214/CU214)</f>
        <v/>
      </c>
      <c r="CY214" s="27" t="n"/>
      <c r="CZ214" s="62" t="n"/>
      <c r="DA214" s="62" t="n"/>
      <c r="DB214" s="62">
        <f>DA214-CZ214</f>
        <v/>
      </c>
      <c r="DC214" s="64">
        <f>IF(CZ214=0,"",DA214/CZ214)</f>
        <v/>
      </c>
      <c r="DD214" s="31" t="n"/>
      <c r="DE214" s="60" t="n"/>
      <c r="DF214" s="60" t="n"/>
      <c r="DG214" s="60">
        <f>DF214-DE214</f>
        <v/>
      </c>
      <c r="DH214" s="61">
        <f>IF(DE214=0,"",DF214/DE214)</f>
        <v/>
      </c>
      <c r="DI214" s="27" t="n"/>
      <c r="DJ214" s="62" t="n"/>
      <c r="DK214" s="62" t="n"/>
      <c r="DL214" s="62">
        <f>DK214-DJ214</f>
        <v/>
      </c>
      <c r="DM214" s="64">
        <f>IF(DJ214=0,"",DK214/DJ214)</f>
        <v/>
      </c>
      <c r="DN214" s="31" t="n"/>
      <c r="DO214" s="60" t="n"/>
    </row>
    <row r="215" ht="15" customHeight="1">
      <c r="A215" s="32" t="n"/>
      <c r="B215" s="32" t="n"/>
      <c r="C215" s="32" t="n"/>
      <c r="D215" s="65">
        <f>D217+D218+D219+D221+D223+D225+D227+D228+D229+D230+D231+D232+D233+D234</f>
        <v/>
      </c>
      <c r="E215" s="65">
        <f>E217+E218+E219+E221+E223+E225+E227+E228+E229+E230+E231+E232+E233+E234</f>
        <v/>
      </c>
      <c r="F215" s="65">
        <f>E215-D215</f>
        <v/>
      </c>
      <c r="G215" s="66">
        <f>IF(D215=0,"",E215/D215)</f>
        <v/>
      </c>
      <c r="H215" s="35" t="n"/>
      <c r="I215" s="65">
        <f>I217+I218+I219+I221+I223+I225+I227+I228+I229+I230+I231+I232+I233+I234</f>
        <v/>
      </c>
      <c r="J215" s="65">
        <f>J217+J218+J219+J221+J223+J225+J227+J228+J229+J230+J231+J232+J233+J234</f>
        <v/>
      </c>
      <c r="K215" s="65">
        <f>J215-I215</f>
        <v/>
      </c>
      <c r="L215" s="66">
        <f>IF(I215=0,"",J215/I215)</f>
        <v/>
      </c>
      <c r="M215" s="35" t="n"/>
      <c r="N215" s="65">
        <f>N217+N218+N219+N221+N223+N225+N227+N228+N229+N230+N231+N232+N233+N234</f>
        <v/>
      </c>
      <c r="O215" s="65">
        <f>O217+O218+O219+O221+O223+O225+O227+O228+O229+O230+O231+O232+O233+O234</f>
        <v/>
      </c>
      <c r="P215" s="65">
        <f>O215-N215</f>
        <v/>
      </c>
      <c r="Q215" s="66">
        <f>IF(N215=0,"",O215/N215)</f>
        <v/>
      </c>
      <c r="R215" s="35" t="n"/>
      <c r="S215" s="65">
        <f>S217+S218+S219+S221+S223+S225+S227+S228+S229+S230+S231+S232+S233+S234</f>
        <v/>
      </c>
      <c r="T215" s="65">
        <f>T217+T218+T219+T221+T223+T225+T227+T228+T229+T230+T231+T232+T233+T234</f>
        <v/>
      </c>
      <c r="U215" s="65">
        <f>T215-S215</f>
        <v/>
      </c>
      <c r="V215" s="66">
        <f>IF(S215=0,"",T215/S215)</f>
        <v/>
      </c>
      <c r="W215" s="35" t="n"/>
      <c r="X215" s="65">
        <f>X217+X218+X219+X221+X223+X225+X227+X228+X229+X230+X231+X232+X233+X234</f>
        <v/>
      </c>
      <c r="Y215" s="65">
        <f>Y217+Y218+Y219+Y221+Y223+Y225+Y227+Y228+Y229+Y230+Y231+Y232+Y233+Y234</f>
        <v/>
      </c>
      <c r="Z215" s="65">
        <f>Y215-X215</f>
        <v/>
      </c>
      <c r="AA215" s="66">
        <f>IF(X215=0,"",Y215/X215)</f>
        <v/>
      </c>
      <c r="AB215" s="35" t="n"/>
      <c r="AC215" s="65">
        <f>AC217+AC218+AC219+AC221+AC223+AC225+AC227+AC228+AC229+AC230+AC231+AC232+AC233+AC234</f>
        <v/>
      </c>
      <c r="AD215" s="65">
        <f>AD217+AD218+AD219+AD221+AD223+AD225+AD227+AD228+AD229+AD230+AD231+AD232+AD233+AD234</f>
        <v/>
      </c>
      <c r="AE215" s="65">
        <f>AD215-AC215</f>
        <v/>
      </c>
      <c r="AF215" s="66">
        <f>IF(AC215=0,"",AD215/AC215)</f>
        <v/>
      </c>
      <c r="AG215" s="35" t="n"/>
      <c r="AH215" s="65">
        <f>AH217+AH218+AH219+AH221+AH223+AH225+AH227+AH228+AH229+AH230+AH231+AH232+AH233+AH234</f>
        <v/>
      </c>
      <c r="AI215" s="65">
        <f>AI217+AI218+AI219+AI221+AI223+AI225+AI227+AI228+AI229+AI230+AI231+AI232+AI233+AI234</f>
        <v/>
      </c>
      <c r="AJ215" s="65">
        <f>AI215-AH215</f>
        <v/>
      </c>
      <c r="AK215" s="66">
        <f>IF(AH215=0,"",AI215/AH215)</f>
        <v/>
      </c>
      <c r="AL215" s="35" t="n"/>
      <c r="AM215" s="65">
        <f>AM217+AM218+AM219+AM221+AM223+AM225+AM227+AM228+AM229+AM230+AM231+AM232+AM233+AM234</f>
        <v/>
      </c>
      <c r="AN215" s="65">
        <f>AN217+AN218+AN219+AN221+AN223+AN225+AN227+AN228+AN229+AN230+AN231+AN232+AN233+AN234</f>
        <v/>
      </c>
      <c r="AO215" s="65">
        <f>AN215-AM215</f>
        <v/>
      </c>
      <c r="AP215" s="66">
        <f>IF(AM215=0,"",AN215/AM215)</f>
        <v/>
      </c>
      <c r="AQ215" s="35" t="n"/>
      <c r="AR215" s="65">
        <f>AR217+AR218+AR219+AR221+AR223+AR225+AR227+AR228+AR229+AR230+AR231+AR232+AR233+AR234</f>
        <v/>
      </c>
      <c r="AS215" s="65">
        <f>AS217+AS218+AS219+AS221+AS223+AS225+AS227+AS228+AS229+AS230+AS231+AS232+AS233+AS234</f>
        <v/>
      </c>
      <c r="AT215" s="65">
        <f>AS215-AR215</f>
        <v/>
      </c>
      <c r="AU215" s="66">
        <f>IF(AR215=0,"",AS215/AR215)</f>
        <v/>
      </c>
      <c r="AV215" s="35" t="n"/>
      <c r="AW215" s="65">
        <f>AW217+AW218+AW219+AW221+AW223+AW225+AW227+AW228+AW229+AW230+AW231+AW232+AW233+AW234</f>
        <v/>
      </c>
      <c r="AX215" s="65">
        <f>AX217+AX218+AX219+AX221+AX223+AX225+AX227+AX228+AX229+AX230+AX231+AX232+AX233+AX234</f>
        <v/>
      </c>
      <c r="AY215" s="65">
        <f>AX215-AW215</f>
        <v/>
      </c>
      <c r="AZ215" s="66">
        <f>IF(AW215=0,"",AX215/AW215)</f>
        <v/>
      </c>
      <c r="BA215" s="35" t="n"/>
      <c r="BB215" s="65">
        <f>BB217+BB218+BB219+BB221+BB223+BB225+BB227+BB228+BB229+BB230+BB231+BB232+BB233+BB234</f>
        <v/>
      </c>
      <c r="BC215" s="65">
        <f>BC217+BC218+BC219+BC221+BC223+BC225+BC227+BC228+BC229+BC230+BC231+BC232+BC233+BC234</f>
        <v/>
      </c>
      <c r="BD215" s="65">
        <f>BC215-BB215</f>
        <v/>
      </c>
      <c r="BE215" s="66">
        <f>IF(BB215=0,"",BC215/BB215)</f>
        <v/>
      </c>
      <c r="BF215" s="35" t="n"/>
      <c r="BG215" s="65">
        <f>BG217+BG218+BG219+BG221+BG223+BG225+BG227+BG228+BG229+BG230+BG231+BG232+BG233+BG234</f>
        <v/>
      </c>
      <c r="BH215" s="65">
        <f>BH217+BH218+BH219+BH221+BH223+BH225+BH227+BH228+BH229+BH230+BH231+BH232+BH233+BH234</f>
        <v/>
      </c>
      <c r="BI215" s="65">
        <f>BH215-BG215</f>
        <v/>
      </c>
      <c r="BJ215" s="66">
        <f>IF(BG215=0,"",BH215/BG215)</f>
        <v/>
      </c>
      <c r="BK215" s="35" t="n"/>
      <c r="BL215" s="65">
        <f>BL217+BL218+BL219+BL221+BL223+BL225+BL227+BL228+BL229+BL230+BL231+BL232+BL233+BL234</f>
        <v/>
      </c>
      <c r="BM215" s="65">
        <f>BM217+BM218+BM219+BM221+BM223+BM225+BM227+BM228+BM229+BM230+BM231+BM232+BM233+BM234</f>
        <v/>
      </c>
      <c r="BN215" s="65">
        <f>BM215-BL215</f>
        <v/>
      </c>
      <c r="BO215" s="66">
        <f>IF(BL215=0,"",BM215/BL215)</f>
        <v/>
      </c>
      <c r="BP215" s="35" t="n"/>
      <c r="BQ215" s="65">
        <f>BQ217+BQ218+BQ219+BQ221+BQ223+BQ225+BQ227+BQ228+BQ229+BQ230+BQ231+BQ232+BQ233+BQ234</f>
        <v/>
      </c>
      <c r="BR215" s="65">
        <f>BR217+BR218+BR219+BR221+BR223+BR225+BR227+BR228+BR229+BR230+BR231+BR232+BR233+BR234</f>
        <v/>
      </c>
      <c r="BS215" s="65">
        <f>BR215-BQ215</f>
        <v/>
      </c>
      <c r="BT215" s="66">
        <f>IF(BQ215=0,"",BR215/BQ215)</f>
        <v/>
      </c>
      <c r="BU215" s="35" t="n"/>
      <c r="BV215" s="65">
        <f>BV217+BV218+BV219+BV221+BV223+BV225+BV227+BV228+BV229+BV230+BV231+BV232+BV233+BV234</f>
        <v/>
      </c>
      <c r="BW215" s="65">
        <f>BW217+BW218+BW219+BW221+BW223+BW225+BW227+BW228+BW229+BW230+BW231+BW232+BW233+BW234</f>
        <v/>
      </c>
      <c r="BX215" s="65">
        <f>BW215-BV215</f>
        <v/>
      </c>
      <c r="BY215" s="66">
        <f>IF(BV215=0,"",BW215/BV215)</f>
        <v/>
      </c>
      <c r="BZ215" s="35" t="n"/>
      <c r="CA215" s="65">
        <f>CA217+CA218+CA219+CA221+CA223+CA225+CA227+CA228+CA229+CA230+CA231+CA232+CA233+CA234</f>
        <v/>
      </c>
      <c r="CB215" s="65">
        <f>CB217+CB218+CB219+CB221+CB223+CB225+CB227+CB228+CB229+CB230+CB231+CB232+CB233+CB234</f>
        <v/>
      </c>
      <c r="CC215" s="65">
        <f>CB215-CA215</f>
        <v/>
      </c>
      <c r="CD215" s="66">
        <f>IF(CA215=0,"",CB215/CA215)</f>
        <v/>
      </c>
      <c r="CE215" s="35" t="n"/>
      <c r="CF215" s="65">
        <f>CF217+CF218+CF219+CF221+CF223+CF225+CF227+CF228+CF229+CF230+CF231+CF232+CF233+CF234</f>
        <v/>
      </c>
      <c r="CG215" s="65">
        <f>CG217+CG218+CG219+CG221+CG223+CG225+CG227+CG228+CG229+CG230+CG231+CG232+CG233+CG234</f>
        <v/>
      </c>
      <c r="CH215" s="65">
        <f>CG215-CF215</f>
        <v/>
      </c>
      <c r="CI215" s="66">
        <f>IF(CF215=0,"",CG215/CF215)</f>
        <v/>
      </c>
      <c r="CJ215" s="35" t="n"/>
      <c r="CK215" s="65">
        <f>CK217+CK218+CK219+CK221+CK223+CK225+CK227+CK228+CK229+CK230+CK231+CK232+CK233+CK234</f>
        <v/>
      </c>
      <c r="CL215" s="65">
        <f>CL217+CL218+CL219+CL221+CL223+CL225+CL227+CL228+CL229+CL230+CL231+CL232+CL233+CL234</f>
        <v/>
      </c>
      <c r="CM215" s="65">
        <f>CL215-CK215</f>
        <v/>
      </c>
      <c r="CN215" s="66">
        <f>IF(CK215=0,"",CL215/CK215)</f>
        <v/>
      </c>
      <c r="CO215" s="35" t="n"/>
      <c r="CP215" s="65">
        <f>CP217+CP218+CP219+CP221+CP223+CP225+CP227+CP228+CP229+CP230+CP231+CP232+CP233+CP234</f>
        <v/>
      </c>
      <c r="CQ215" s="65">
        <f>CQ217+CQ218+CQ219+CQ221+CQ223+CQ225+CQ227+CQ228+CQ229+CQ230+CQ231+CQ232+CQ233+CQ234</f>
        <v/>
      </c>
      <c r="CR215" s="65">
        <f>CQ215-CP215</f>
        <v/>
      </c>
      <c r="CS215" s="66">
        <f>IF(CP215=0,"",CQ215/CP215)</f>
        <v/>
      </c>
      <c r="CT215" s="35" t="n"/>
      <c r="CU215" s="65">
        <f>CU217+CU218+CU219+CU221+CU223+CU225+CU227+CU228+CU229+CU230+CU231+CU232+CU233+CU234</f>
        <v/>
      </c>
      <c r="CV215" s="65">
        <f>CV217+CV218+CV219+CV221+CV223+CV225+CV227+CV228+CV229+CV230+CV231+CV232+CV233+CV234</f>
        <v/>
      </c>
      <c r="CW215" s="65">
        <f>CV215-CU215</f>
        <v/>
      </c>
      <c r="CX215" s="66">
        <f>IF(CU215=0,"",CV215/CU215)</f>
        <v/>
      </c>
      <c r="CY215" s="35" t="n"/>
      <c r="CZ215" s="65">
        <f>CZ217+CZ218+CZ219+CZ221+CZ223+CZ225+CZ227+CZ228+CZ229+CZ230+CZ231+CZ232+CZ233+CZ234</f>
        <v/>
      </c>
      <c r="DA215" s="65">
        <f>DA217+DA218+DA219+DA221+DA223+DA225+DA227+DA228+DA229+DA230+DA231+DA232+DA233+DA234</f>
        <v/>
      </c>
      <c r="DB215" s="65">
        <f>DA215-CZ215</f>
        <v/>
      </c>
      <c r="DC215" s="66">
        <f>IF(CZ215=0,"",DA215/CZ215)</f>
        <v/>
      </c>
      <c r="DD215" s="35" t="n"/>
      <c r="DE215" s="65">
        <f>DE217+DE218+DE219+DE221+DE223+DE225+DE227+DE228+DE229+DE230+DE231+DE232+DE233+DE234</f>
        <v/>
      </c>
      <c r="DF215" s="65">
        <f>DF217+DF218+DF219+DF221+DF223+DF225+DF227+DF228+DF229+DF230+DF231+DF232+DF233+DF234</f>
        <v/>
      </c>
      <c r="DG215" s="65">
        <f>DF215-DE215</f>
        <v/>
      </c>
      <c r="DH215" s="66">
        <f>IF(DE215=0,"",DF215/DE215)</f>
        <v/>
      </c>
      <c r="DI215" s="35" t="n"/>
      <c r="DJ215" s="65">
        <f>DJ217+DJ218+DJ219+DJ221+DJ223+DJ225+DJ227+DJ228+DJ229+DJ230+DJ231+DJ232+DJ233+DJ234</f>
        <v/>
      </c>
      <c r="DK215" s="65">
        <f>DK217+DK218+DK219+DK221+DK223+DK225+DK227+DK228+DK229+DK230+DK231+DK232+DK233+DK234</f>
        <v/>
      </c>
      <c r="DL215" s="65">
        <f>DK215-DJ215</f>
        <v/>
      </c>
      <c r="DM215" s="66">
        <f>IF(DJ215=0,"",DK215/DJ215)</f>
        <v/>
      </c>
      <c r="DN215" s="35" t="n"/>
      <c r="DO215" s="65">
        <f>DO217+DO218+DO219+DO221+DO223+DO225+DO227+DO228+DO229+DO230+DO231+DO232+DO233+DO234</f>
        <v/>
      </c>
    </row>
    <row r="216" ht="15" customHeight="1">
      <c r="A216" s="19" t="n"/>
      <c r="B216" s="20" t="n"/>
      <c r="C216" s="19" t="n"/>
      <c r="D216" s="58">
        <f>D217+D218+D219</f>
        <v/>
      </c>
      <c r="E216" s="58">
        <f>E217+E218+E219</f>
        <v/>
      </c>
      <c r="F216" s="58">
        <f>E216-D216</f>
        <v/>
      </c>
      <c r="G216" s="59">
        <f>IF(D216=0,"",E216/D216)</f>
        <v/>
      </c>
      <c r="H216" s="23" t="n"/>
      <c r="I216" s="58">
        <f>I217+I218+I219</f>
        <v/>
      </c>
      <c r="J216" s="58">
        <f>J217+J218+J219</f>
        <v/>
      </c>
      <c r="K216" s="58">
        <f>J216-I216</f>
        <v/>
      </c>
      <c r="L216" s="59">
        <f>IF(I216=0,"",J216/I216)</f>
        <v/>
      </c>
      <c r="M216" s="23" t="n"/>
      <c r="N216" s="58">
        <f>N217+N218+N219</f>
        <v/>
      </c>
      <c r="O216" s="58">
        <f>O217+O218+O219</f>
        <v/>
      </c>
      <c r="P216" s="58">
        <f>O216-N216</f>
        <v/>
      </c>
      <c r="Q216" s="59">
        <f>IF(N216=0,"",O216/N216)</f>
        <v/>
      </c>
      <c r="R216" s="23" t="n"/>
      <c r="S216" s="58">
        <f>S217+S218+S219</f>
        <v/>
      </c>
      <c r="T216" s="58">
        <f>T217+T218+T219</f>
        <v/>
      </c>
      <c r="U216" s="58">
        <f>T216-S216</f>
        <v/>
      </c>
      <c r="V216" s="59">
        <f>IF(S216=0,"",T216/S216)</f>
        <v/>
      </c>
      <c r="W216" s="23" t="n"/>
      <c r="X216" s="58">
        <f>X217+X218+X219</f>
        <v/>
      </c>
      <c r="Y216" s="58">
        <f>Y217+Y218+Y219</f>
        <v/>
      </c>
      <c r="Z216" s="58">
        <f>Y216-X216</f>
        <v/>
      </c>
      <c r="AA216" s="59">
        <f>IF(X216=0,"",Y216/X216)</f>
        <v/>
      </c>
      <c r="AB216" s="23" t="n"/>
      <c r="AC216" s="58">
        <f>AC217+AC218+AC219</f>
        <v/>
      </c>
      <c r="AD216" s="58">
        <f>AD217+AD218+AD219</f>
        <v/>
      </c>
      <c r="AE216" s="58">
        <f>AD216-AC216</f>
        <v/>
      </c>
      <c r="AF216" s="59">
        <f>IF(AC216=0,"",AD216/AC216)</f>
        <v/>
      </c>
      <c r="AG216" s="23" t="n"/>
      <c r="AH216" s="58">
        <f>AH217+AH218+AH219</f>
        <v/>
      </c>
      <c r="AI216" s="58">
        <f>AI217+AI218+AI219</f>
        <v/>
      </c>
      <c r="AJ216" s="58">
        <f>AI216-AH216</f>
        <v/>
      </c>
      <c r="AK216" s="59">
        <f>IF(AH216=0,"",AI216/AH216)</f>
        <v/>
      </c>
      <c r="AL216" s="23" t="n"/>
      <c r="AM216" s="58">
        <f>AM217+AM218+AM219</f>
        <v/>
      </c>
      <c r="AN216" s="58">
        <f>AN217+AN218+AN219</f>
        <v/>
      </c>
      <c r="AO216" s="58">
        <f>AN216-AM216</f>
        <v/>
      </c>
      <c r="AP216" s="59">
        <f>IF(AM216=0,"",AN216/AM216)</f>
        <v/>
      </c>
      <c r="AQ216" s="23" t="n"/>
      <c r="AR216" s="58">
        <f>AR217+AR218+AR219</f>
        <v/>
      </c>
      <c r="AS216" s="58">
        <f>AS217+AS218+AS219</f>
        <v/>
      </c>
      <c r="AT216" s="58">
        <f>AS216-AR216</f>
        <v/>
      </c>
      <c r="AU216" s="59">
        <f>IF(AR216=0,"",AS216/AR216)</f>
        <v/>
      </c>
      <c r="AV216" s="23" t="n"/>
      <c r="AW216" s="58">
        <f>AW217+AW218+AW219</f>
        <v/>
      </c>
      <c r="AX216" s="58">
        <f>AX217+AX218+AX219</f>
        <v/>
      </c>
      <c r="AY216" s="58">
        <f>AX216-AW216</f>
        <v/>
      </c>
      <c r="AZ216" s="59">
        <f>IF(AW216=0,"",AX216/AW216)</f>
        <v/>
      </c>
      <c r="BA216" s="23" t="n"/>
      <c r="BB216" s="58">
        <f>BB217+BB218+BB219</f>
        <v/>
      </c>
      <c r="BC216" s="58">
        <f>BC217+BC218+BC219</f>
        <v/>
      </c>
      <c r="BD216" s="58">
        <f>BC216-BB216</f>
        <v/>
      </c>
      <c r="BE216" s="59">
        <f>IF(BB216=0,"",BC216/BB216)</f>
        <v/>
      </c>
      <c r="BF216" s="23" t="n"/>
      <c r="BG216" s="58">
        <f>BG217+BG218+BG219</f>
        <v/>
      </c>
      <c r="BH216" s="58">
        <f>BH217+BH218+BH219</f>
        <v/>
      </c>
      <c r="BI216" s="58">
        <f>BH216-BG216</f>
        <v/>
      </c>
      <c r="BJ216" s="59">
        <f>IF(BG216=0,"",BH216/BG216)</f>
        <v/>
      </c>
      <c r="BK216" s="23" t="n"/>
      <c r="BL216" s="58">
        <f>BL217+BL218+BL219</f>
        <v/>
      </c>
      <c r="BM216" s="58">
        <f>BM217+BM218+BM219</f>
        <v/>
      </c>
      <c r="BN216" s="58">
        <f>BM216-BL216</f>
        <v/>
      </c>
      <c r="BO216" s="59">
        <f>IF(BL216=0,"",BM216/BL216)</f>
        <v/>
      </c>
      <c r="BP216" s="23" t="n"/>
      <c r="BQ216" s="58">
        <f>BQ217+BQ218+BQ219</f>
        <v/>
      </c>
      <c r="BR216" s="58">
        <f>BR217+BR218+BR219</f>
        <v/>
      </c>
      <c r="BS216" s="58">
        <f>BR216-BQ216</f>
        <v/>
      </c>
      <c r="BT216" s="59">
        <f>IF(BQ216=0,"",BR216/BQ216)</f>
        <v/>
      </c>
      <c r="BU216" s="23" t="n"/>
      <c r="BV216" s="58">
        <f>BV217+BV218+BV219</f>
        <v/>
      </c>
      <c r="BW216" s="58">
        <f>BW217+BW218+BW219</f>
        <v/>
      </c>
      <c r="BX216" s="58">
        <f>BW216-BV216</f>
        <v/>
      </c>
      <c r="BY216" s="59">
        <f>IF(BV216=0,"",BW216/BV216)</f>
        <v/>
      </c>
      <c r="BZ216" s="23" t="n"/>
      <c r="CA216" s="58">
        <f>CA217+CA218+CA219</f>
        <v/>
      </c>
      <c r="CB216" s="58">
        <f>CB217+CB218+CB219</f>
        <v/>
      </c>
      <c r="CC216" s="58">
        <f>CB216-CA216</f>
        <v/>
      </c>
      <c r="CD216" s="59">
        <f>IF(CA216=0,"",CB216/CA216)</f>
        <v/>
      </c>
      <c r="CE216" s="23" t="n"/>
      <c r="CF216" s="58">
        <f>CF217+CF218+CF219</f>
        <v/>
      </c>
      <c r="CG216" s="58">
        <f>CG217+CG218+CG219</f>
        <v/>
      </c>
      <c r="CH216" s="58">
        <f>CG216-CF216</f>
        <v/>
      </c>
      <c r="CI216" s="59">
        <f>IF(CF216=0,"",CG216/CF216)</f>
        <v/>
      </c>
      <c r="CJ216" s="23" t="n"/>
      <c r="CK216" s="58">
        <f>CK217+CK218+CK219</f>
        <v/>
      </c>
      <c r="CL216" s="58">
        <f>CL217+CL218+CL219</f>
        <v/>
      </c>
      <c r="CM216" s="58">
        <f>CL216-CK216</f>
        <v/>
      </c>
      <c r="CN216" s="59">
        <f>IF(CK216=0,"",CL216/CK216)</f>
        <v/>
      </c>
      <c r="CO216" s="23" t="n"/>
      <c r="CP216" s="58">
        <f>CP217+CP218+CP219</f>
        <v/>
      </c>
      <c r="CQ216" s="58">
        <f>CQ217+CQ218+CQ219</f>
        <v/>
      </c>
      <c r="CR216" s="58">
        <f>CQ216-CP216</f>
        <v/>
      </c>
      <c r="CS216" s="59">
        <f>IF(CP216=0,"",CQ216/CP216)</f>
        <v/>
      </c>
      <c r="CT216" s="23" t="n"/>
      <c r="CU216" s="58">
        <f>CU217+CU218+CU219</f>
        <v/>
      </c>
      <c r="CV216" s="58">
        <f>CV217+CV218+CV219</f>
        <v/>
      </c>
      <c r="CW216" s="58">
        <f>CV216-CU216</f>
        <v/>
      </c>
      <c r="CX216" s="59">
        <f>IF(CU216=0,"",CV216/CU216)</f>
        <v/>
      </c>
      <c r="CY216" s="23" t="n"/>
      <c r="CZ216" s="58">
        <f>CZ217+CZ218+CZ219</f>
        <v/>
      </c>
      <c r="DA216" s="58">
        <f>DA217+DA218+DA219</f>
        <v/>
      </c>
      <c r="DB216" s="58">
        <f>DA216-CZ216</f>
        <v/>
      </c>
      <c r="DC216" s="59">
        <f>IF(CZ216=0,"",DA216/CZ216)</f>
        <v/>
      </c>
      <c r="DD216" s="23" t="n"/>
      <c r="DE216" s="58">
        <f>DE217+DE218+DE219</f>
        <v/>
      </c>
      <c r="DF216" s="58">
        <f>DF217+DF218+DF219</f>
        <v/>
      </c>
      <c r="DG216" s="58">
        <f>DF216-DE216</f>
        <v/>
      </c>
      <c r="DH216" s="59">
        <f>IF(DE216=0,"",DF216/DE216)</f>
        <v/>
      </c>
      <c r="DI216" s="23" t="n"/>
      <c r="DJ216" s="58">
        <f>DJ217+DJ218+DJ219</f>
        <v/>
      </c>
      <c r="DK216" s="58">
        <f>DK217+DK218+DK219</f>
        <v/>
      </c>
      <c r="DL216" s="58">
        <f>DK216-DJ216</f>
        <v/>
      </c>
      <c r="DM216" s="59">
        <f>IF(DJ216=0,"",DK216/DJ216)</f>
        <v/>
      </c>
      <c r="DN216" s="23" t="n"/>
      <c r="DO216" s="58">
        <f>DO217+DO218+DO219</f>
        <v/>
      </c>
    </row>
    <row r="217" outlineLevel="1" ht="15" customHeight="1">
      <c r="A217" s="24" t="n"/>
      <c r="B217" s="24" t="n"/>
      <c r="C217" s="24" t="n"/>
      <c r="D217" s="60" t="n"/>
      <c r="E217" s="60" t="n"/>
      <c r="F217" s="60">
        <f>E217-D217</f>
        <v/>
      </c>
      <c r="G217" s="61">
        <f>IF(D217=0,"",E217/D217)</f>
        <v/>
      </c>
      <c r="H217" s="27" t="n"/>
      <c r="I217" s="60" t="n"/>
      <c r="J217" s="60" t="n"/>
      <c r="K217" s="60">
        <f>J217-I217</f>
        <v/>
      </c>
      <c r="L217" s="61">
        <f>IF(I217=0,"",J217/I217)</f>
        <v/>
      </c>
      <c r="M217" s="27" t="n"/>
      <c r="N217" s="62" t="n"/>
      <c r="O217" s="62" t="n"/>
      <c r="P217" s="62">
        <f>O217-N217</f>
        <v/>
      </c>
      <c r="Q217" s="64">
        <f>IF(N217=0,"",O217/N217)</f>
        <v/>
      </c>
      <c r="R217" s="31" t="n"/>
      <c r="S217" s="60" t="n"/>
      <c r="T217" s="60" t="n"/>
      <c r="U217" s="60">
        <f>T217-S217</f>
        <v/>
      </c>
      <c r="V217" s="61">
        <f>IF(S217=0,"",T217/S217)</f>
        <v/>
      </c>
      <c r="W217" s="27" t="n"/>
      <c r="X217" s="62" t="n"/>
      <c r="Y217" s="62" t="n"/>
      <c r="Z217" s="63">
        <f>Y217-X217</f>
        <v/>
      </c>
      <c r="AA217" s="64">
        <f>IF(X217=0,"",Y217/X217)</f>
        <v/>
      </c>
      <c r="AB217" s="31" t="n"/>
      <c r="AC217" s="60" t="n"/>
      <c r="AD217" s="60" t="n"/>
      <c r="AE217" s="60">
        <f>AD217-AC217</f>
        <v/>
      </c>
      <c r="AF217" s="61">
        <f>IF(AC217=0,"",AD217/AC217)</f>
        <v/>
      </c>
      <c r="AG217" s="27" t="n"/>
      <c r="AH217" s="62" t="n"/>
      <c r="AI217" s="62" t="n"/>
      <c r="AJ217" s="62">
        <f>AI217-AH217</f>
        <v/>
      </c>
      <c r="AK217" s="64">
        <f>IF(AH217=0,"",AI217/AH217)</f>
        <v/>
      </c>
      <c r="AL217" s="31" t="n"/>
      <c r="AM217" s="60" t="n"/>
      <c r="AN217" s="60" t="n"/>
      <c r="AO217" s="60">
        <f>AN217-AM217</f>
        <v/>
      </c>
      <c r="AP217" s="61">
        <f>IF(AM217=0,"",AN217/AM217)</f>
        <v/>
      </c>
      <c r="AQ217" s="27" t="n"/>
      <c r="AR217" s="62" t="n"/>
      <c r="AS217" s="62" t="n"/>
      <c r="AT217" s="62">
        <f>AS217-AR217</f>
        <v/>
      </c>
      <c r="AU217" s="64">
        <f>IF(AR217=0,"",AS217/AR217)</f>
        <v/>
      </c>
      <c r="AV217" s="31" t="n"/>
      <c r="AW217" s="60" t="n"/>
      <c r="AX217" s="60" t="n"/>
      <c r="AY217" s="60">
        <f>AX217-AW217</f>
        <v/>
      </c>
      <c r="AZ217" s="61">
        <f>IF(AW217=0,"",AX217/AW217)</f>
        <v/>
      </c>
      <c r="BA217" s="27" t="n"/>
      <c r="BB217" s="62" t="n"/>
      <c r="BC217" s="62" t="n"/>
      <c r="BD217" s="62">
        <f>BC217-BB217</f>
        <v/>
      </c>
      <c r="BE217" s="64">
        <f>IF(BB217=0,"",BC217/BB217)</f>
        <v/>
      </c>
      <c r="BF217" s="31" t="n"/>
      <c r="BG217" s="60" t="n"/>
      <c r="BH217" s="60" t="n"/>
      <c r="BI217" s="60">
        <f>BH217-BG217</f>
        <v/>
      </c>
      <c r="BJ217" s="61">
        <f>IF(BG217=0,"",BH217/BG217)</f>
        <v/>
      </c>
      <c r="BK217" s="27" t="n"/>
      <c r="BL217" s="62" t="n"/>
      <c r="BM217" s="62" t="n"/>
      <c r="BN217" s="62">
        <f>BM217-BL217</f>
        <v/>
      </c>
      <c r="BO217" s="64">
        <f>IF(BL217=0,"",BM217/BL217)</f>
        <v/>
      </c>
      <c r="BP217" s="31" t="n"/>
      <c r="BQ217" s="60" t="n"/>
      <c r="BR217" s="60" t="n"/>
      <c r="BS217" s="60">
        <f>BR217-BQ217</f>
        <v/>
      </c>
      <c r="BT217" s="61">
        <f>IF(BQ217=0,"",BR217/BQ217)</f>
        <v/>
      </c>
      <c r="BU217" s="27" t="n"/>
      <c r="BV217" s="62" t="n"/>
      <c r="BW217" s="62" t="n"/>
      <c r="BX217" s="62">
        <f>BW217-BV217</f>
        <v/>
      </c>
      <c r="BY217" s="64">
        <f>IF(BV217=0,"",BW217/BV217)</f>
        <v/>
      </c>
      <c r="BZ217" s="31" t="n"/>
      <c r="CA217" s="60" t="n"/>
      <c r="CB217" s="60" t="n"/>
      <c r="CC217" s="60">
        <f>CB217-CA217</f>
        <v/>
      </c>
      <c r="CD217" s="61">
        <f>IF(CA217=0,"",CB217/CA217)</f>
        <v/>
      </c>
      <c r="CE217" s="27" t="n"/>
      <c r="CF217" s="62" t="n"/>
      <c r="CG217" s="62" t="n"/>
      <c r="CH217" s="62">
        <f>CG217-CF217</f>
        <v/>
      </c>
      <c r="CI217" s="64">
        <f>IF(CF217=0,"",CG217/CF217)</f>
        <v/>
      </c>
      <c r="CJ217" s="31" t="n"/>
      <c r="CK217" s="60" t="n"/>
      <c r="CL217" s="60" t="n"/>
      <c r="CM217" s="60">
        <f>CL217-CK217</f>
        <v/>
      </c>
      <c r="CN217" s="61">
        <f>IF(CK217=0,"",CL217/CK217)</f>
        <v/>
      </c>
      <c r="CO217" s="27" t="n"/>
      <c r="CP217" s="62" t="n"/>
      <c r="CQ217" s="62" t="n"/>
      <c r="CR217" s="62">
        <f>CQ217-CP217</f>
        <v/>
      </c>
      <c r="CS217" s="64">
        <f>IF(CP217=0,"",CQ217/CP217)</f>
        <v/>
      </c>
      <c r="CT217" s="31" t="n"/>
      <c r="CU217" s="60" t="n"/>
      <c r="CV217" s="60" t="n"/>
      <c r="CW217" s="60">
        <f>CV217-CU217</f>
        <v/>
      </c>
      <c r="CX217" s="61">
        <f>IF(CU217=0,"",CV217/CU217)</f>
        <v/>
      </c>
      <c r="CY217" s="27" t="n"/>
      <c r="CZ217" s="62" t="n"/>
      <c r="DA217" s="62" t="n"/>
      <c r="DB217" s="62">
        <f>DA217-CZ217</f>
        <v/>
      </c>
      <c r="DC217" s="64">
        <f>IF(CZ217=0,"",DA217/CZ217)</f>
        <v/>
      </c>
      <c r="DD217" s="31" t="n"/>
      <c r="DE217" s="60" t="n"/>
      <c r="DF217" s="60" t="n"/>
      <c r="DG217" s="60">
        <f>DF217-DE217</f>
        <v/>
      </c>
      <c r="DH217" s="61">
        <f>IF(DE217=0,"",DF217/DE217)</f>
        <v/>
      </c>
      <c r="DI217" s="27" t="n"/>
      <c r="DJ217" s="62" t="n"/>
      <c r="DK217" s="62" t="n"/>
      <c r="DL217" s="62">
        <f>DK217-DJ217</f>
        <v/>
      </c>
      <c r="DM217" s="64">
        <f>IF(DJ217=0,"",DK217/DJ217)</f>
        <v/>
      </c>
      <c r="DN217" s="31" t="n"/>
      <c r="DO217" s="60" t="n"/>
    </row>
    <row r="218" outlineLevel="1" ht="15" customHeight="1">
      <c r="A218" s="24" t="n"/>
      <c r="B218" s="24" t="n"/>
      <c r="C218" s="24" t="n"/>
      <c r="D218" s="60" t="n"/>
      <c r="E218" s="60" t="n"/>
      <c r="F218" s="60">
        <f>E218-D218</f>
        <v/>
      </c>
      <c r="G218" s="61">
        <f>IF(D218=0,"",E218/D218)</f>
        <v/>
      </c>
      <c r="H218" s="27" t="n"/>
      <c r="I218" s="60" t="n"/>
      <c r="J218" s="60" t="n"/>
      <c r="K218" s="60">
        <f>J218-I218</f>
        <v/>
      </c>
      <c r="L218" s="61">
        <f>IF(I218=0,"",J218/I218)</f>
        <v/>
      </c>
      <c r="M218" s="27" t="n"/>
      <c r="N218" s="62" t="n"/>
      <c r="O218" s="62" t="n"/>
      <c r="P218" s="62">
        <f>O218-N218</f>
        <v/>
      </c>
      <c r="Q218" s="64">
        <f>IF(N218=0,"",O218/N218)</f>
        <v/>
      </c>
      <c r="R218" s="31" t="n"/>
      <c r="S218" s="60" t="n"/>
      <c r="T218" s="60" t="n"/>
      <c r="U218" s="60">
        <f>T218-S218</f>
        <v/>
      </c>
      <c r="V218" s="61">
        <f>IF(S218=0,"",T218/S218)</f>
        <v/>
      </c>
      <c r="W218" s="27" t="n"/>
      <c r="X218" s="62" t="n"/>
      <c r="Y218" s="62" t="n"/>
      <c r="Z218" s="62">
        <f>Y218-X218</f>
        <v/>
      </c>
      <c r="AA218" s="64">
        <f>IF(X218=0,"",Y218/X218)</f>
        <v/>
      </c>
      <c r="AB218" s="31" t="n"/>
      <c r="AC218" s="60" t="n"/>
      <c r="AD218" s="60" t="n"/>
      <c r="AE218" s="60">
        <f>AD218-AC218</f>
        <v/>
      </c>
      <c r="AF218" s="61">
        <f>IF(AC218=0,"",AD218/AC218)</f>
        <v/>
      </c>
      <c r="AG218" s="27" t="n"/>
      <c r="AH218" s="62" t="n"/>
      <c r="AI218" s="62" t="n"/>
      <c r="AJ218" s="62">
        <f>AI218-AH218</f>
        <v/>
      </c>
      <c r="AK218" s="64">
        <f>IF(AH218=0,"",AI218/AH218)</f>
        <v/>
      </c>
      <c r="AL218" s="31" t="n"/>
      <c r="AM218" s="60" t="n"/>
      <c r="AN218" s="60" t="n"/>
      <c r="AO218" s="60">
        <f>AN218-AM218</f>
        <v/>
      </c>
      <c r="AP218" s="61">
        <f>IF(AM218=0,"",AN218/AM218)</f>
        <v/>
      </c>
      <c r="AQ218" s="27" t="n"/>
      <c r="AR218" s="62" t="n"/>
      <c r="AS218" s="62" t="n"/>
      <c r="AT218" s="62">
        <f>AS218-AR218</f>
        <v/>
      </c>
      <c r="AU218" s="64">
        <f>IF(AR218=0,"",AS218/AR218)</f>
        <v/>
      </c>
      <c r="AV218" s="31" t="n"/>
      <c r="AW218" s="60" t="n"/>
      <c r="AX218" s="60" t="n"/>
      <c r="AY218" s="60">
        <f>AX218-AW218</f>
        <v/>
      </c>
      <c r="AZ218" s="61">
        <f>IF(AW218=0,"",AX218/AW218)</f>
        <v/>
      </c>
      <c r="BA218" s="27" t="n"/>
      <c r="BB218" s="62" t="n"/>
      <c r="BC218" s="62" t="n"/>
      <c r="BD218" s="62">
        <f>BC218-BB218</f>
        <v/>
      </c>
      <c r="BE218" s="64">
        <f>IF(BB218=0,"",BC218/BB218)</f>
        <v/>
      </c>
      <c r="BF218" s="31" t="n"/>
      <c r="BG218" s="60" t="n"/>
      <c r="BH218" s="60" t="n"/>
      <c r="BI218" s="60">
        <f>BH218-BG218</f>
        <v/>
      </c>
      <c r="BJ218" s="61">
        <f>IF(BG218=0,"",BH218/BG218)</f>
        <v/>
      </c>
      <c r="BK218" s="27" t="n"/>
      <c r="BL218" s="62" t="n"/>
      <c r="BM218" s="62" t="n"/>
      <c r="BN218" s="62">
        <f>BM218-BL218</f>
        <v/>
      </c>
      <c r="BO218" s="64">
        <f>IF(BL218=0,"",BM218/BL218)</f>
        <v/>
      </c>
      <c r="BP218" s="31" t="n"/>
      <c r="BQ218" s="60" t="n"/>
      <c r="BR218" s="60" t="n"/>
      <c r="BS218" s="60">
        <f>BR218-BQ218</f>
        <v/>
      </c>
      <c r="BT218" s="61">
        <f>IF(BQ218=0,"",BR218/BQ218)</f>
        <v/>
      </c>
      <c r="BU218" s="27" t="n"/>
      <c r="BV218" s="62" t="n"/>
      <c r="BW218" s="62" t="n"/>
      <c r="BX218" s="62">
        <f>BW218-BV218</f>
        <v/>
      </c>
      <c r="BY218" s="64">
        <f>IF(BV218=0,"",BW218/BV218)</f>
        <v/>
      </c>
      <c r="BZ218" s="31" t="n"/>
      <c r="CA218" s="60" t="n"/>
      <c r="CB218" s="60" t="n"/>
      <c r="CC218" s="60">
        <f>CB218-CA218</f>
        <v/>
      </c>
      <c r="CD218" s="61">
        <f>IF(CA218=0,"",CB218/CA218)</f>
        <v/>
      </c>
      <c r="CE218" s="27" t="n"/>
      <c r="CF218" s="62" t="n"/>
      <c r="CG218" s="62" t="n"/>
      <c r="CH218" s="62">
        <f>CG218-CF218</f>
        <v/>
      </c>
      <c r="CI218" s="64">
        <f>IF(CF218=0,"",CG218/CF218)</f>
        <v/>
      </c>
      <c r="CJ218" s="31" t="n"/>
      <c r="CK218" s="60" t="n"/>
      <c r="CL218" s="60" t="n"/>
      <c r="CM218" s="60">
        <f>CL218-CK218</f>
        <v/>
      </c>
      <c r="CN218" s="61">
        <f>IF(CK218=0,"",CL218/CK218)</f>
        <v/>
      </c>
      <c r="CO218" s="27" t="n"/>
      <c r="CP218" s="62" t="n"/>
      <c r="CQ218" s="62" t="n"/>
      <c r="CR218" s="62">
        <f>CQ218-CP218</f>
        <v/>
      </c>
      <c r="CS218" s="64">
        <f>IF(CP218=0,"",CQ218/CP218)</f>
        <v/>
      </c>
      <c r="CT218" s="31" t="n"/>
      <c r="CU218" s="60" t="n"/>
      <c r="CV218" s="60" t="n"/>
      <c r="CW218" s="60">
        <f>CV218-CU218</f>
        <v/>
      </c>
      <c r="CX218" s="61">
        <f>IF(CU218=0,"",CV218/CU218)</f>
        <v/>
      </c>
      <c r="CY218" s="27" t="n"/>
      <c r="CZ218" s="62" t="n"/>
      <c r="DA218" s="62" t="n"/>
      <c r="DB218" s="62">
        <f>DA218-CZ218</f>
        <v/>
      </c>
      <c r="DC218" s="64">
        <f>IF(CZ218=0,"",DA218/CZ218)</f>
        <v/>
      </c>
      <c r="DD218" s="31" t="n"/>
      <c r="DE218" s="60" t="n"/>
      <c r="DF218" s="60" t="n"/>
      <c r="DG218" s="60">
        <f>DF218-DE218</f>
        <v/>
      </c>
      <c r="DH218" s="61">
        <f>IF(DE218=0,"",DF218/DE218)</f>
        <v/>
      </c>
      <c r="DI218" s="27" t="n"/>
      <c r="DJ218" s="62" t="n"/>
      <c r="DK218" s="62" t="n"/>
      <c r="DL218" s="62">
        <f>DK218-DJ218</f>
        <v/>
      </c>
      <c r="DM218" s="64">
        <f>IF(DJ218=0,"",DK218/DJ218)</f>
        <v/>
      </c>
      <c r="DN218" s="31" t="n"/>
      <c r="DO218" s="60" t="n"/>
    </row>
    <row r="219" outlineLevel="1" ht="15" customHeight="1">
      <c r="A219" s="24" t="n"/>
      <c r="B219" s="24" t="n"/>
      <c r="C219" s="24" t="n"/>
      <c r="D219" s="60" t="n"/>
      <c r="E219" s="60" t="n"/>
      <c r="F219" s="60">
        <f>E219-D219</f>
        <v/>
      </c>
      <c r="G219" s="61">
        <f>IF(D219=0,"",E219/D219)</f>
        <v/>
      </c>
      <c r="H219" s="27" t="n"/>
      <c r="I219" s="60" t="n"/>
      <c r="J219" s="60" t="n"/>
      <c r="K219" s="60">
        <f>J219-I219</f>
        <v/>
      </c>
      <c r="L219" s="61">
        <f>IF(I219=0,"",J219/I219)</f>
        <v/>
      </c>
      <c r="M219" s="27" t="n"/>
      <c r="N219" s="62" t="n"/>
      <c r="O219" s="62" t="n"/>
      <c r="P219" s="62">
        <f>O219-N219</f>
        <v/>
      </c>
      <c r="Q219" s="64">
        <f>IF(N219=0,"",O219/N219)</f>
        <v/>
      </c>
      <c r="R219" s="31" t="n"/>
      <c r="S219" s="60" t="n"/>
      <c r="T219" s="60" t="n"/>
      <c r="U219" s="60">
        <f>T219-S219</f>
        <v/>
      </c>
      <c r="V219" s="61">
        <f>IF(S219=0,"",T219/S219)</f>
        <v/>
      </c>
      <c r="W219" s="27" t="n"/>
      <c r="X219" s="62" t="n"/>
      <c r="Y219" s="62" t="n"/>
      <c r="Z219" s="62">
        <f>Y219-X219</f>
        <v/>
      </c>
      <c r="AA219" s="64">
        <f>IF(X219=0,"",Y219/X219)</f>
        <v/>
      </c>
      <c r="AB219" s="31" t="n"/>
      <c r="AC219" s="60" t="n"/>
      <c r="AD219" s="60" t="n"/>
      <c r="AE219" s="60">
        <f>AD219-AC219</f>
        <v/>
      </c>
      <c r="AF219" s="61">
        <f>IF(AC219=0,"",AD219/AC219)</f>
        <v/>
      </c>
      <c r="AG219" s="27" t="n"/>
      <c r="AH219" s="62" t="n"/>
      <c r="AI219" s="62" t="n"/>
      <c r="AJ219" s="62">
        <f>AI219-AH219</f>
        <v/>
      </c>
      <c r="AK219" s="64">
        <f>IF(AH219=0,"",AI219/AH219)</f>
        <v/>
      </c>
      <c r="AL219" s="31" t="n"/>
      <c r="AM219" s="60" t="n"/>
      <c r="AN219" s="60" t="n"/>
      <c r="AO219" s="60">
        <f>AN219-AM219</f>
        <v/>
      </c>
      <c r="AP219" s="61">
        <f>IF(AM219=0,"",AN219/AM219)</f>
        <v/>
      </c>
      <c r="AQ219" s="27" t="n"/>
      <c r="AR219" s="62" t="n"/>
      <c r="AS219" s="62" t="n"/>
      <c r="AT219" s="62">
        <f>AS219-AR219</f>
        <v/>
      </c>
      <c r="AU219" s="64">
        <f>IF(AR219=0,"",AS219/AR219)</f>
        <v/>
      </c>
      <c r="AV219" s="31" t="n"/>
      <c r="AW219" s="60" t="n"/>
      <c r="AX219" s="60" t="n"/>
      <c r="AY219" s="60">
        <f>AX219-AW219</f>
        <v/>
      </c>
      <c r="AZ219" s="61">
        <f>IF(AW219=0,"",AX219/AW219)</f>
        <v/>
      </c>
      <c r="BA219" s="27" t="n"/>
      <c r="BB219" s="62" t="n"/>
      <c r="BC219" s="62" t="n"/>
      <c r="BD219" s="62">
        <f>BC219-BB219</f>
        <v/>
      </c>
      <c r="BE219" s="64">
        <f>IF(BB219=0,"",BC219/BB219)</f>
        <v/>
      </c>
      <c r="BF219" s="31" t="n"/>
      <c r="BG219" s="60" t="n"/>
      <c r="BH219" s="60" t="n"/>
      <c r="BI219" s="60">
        <f>BH219-BG219</f>
        <v/>
      </c>
      <c r="BJ219" s="61">
        <f>IF(BG219=0,"",BH219/BG219)</f>
        <v/>
      </c>
      <c r="BK219" s="27" t="n"/>
      <c r="BL219" s="62" t="n"/>
      <c r="BM219" s="62" t="n"/>
      <c r="BN219" s="62">
        <f>BM219-BL219</f>
        <v/>
      </c>
      <c r="BO219" s="64">
        <f>IF(BL219=0,"",BM219/BL219)</f>
        <v/>
      </c>
      <c r="BP219" s="31" t="n"/>
      <c r="BQ219" s="60" t="n"/>
      <c r="BR219" s="60" t="n"/>
      <c r="BS219" s="60">
        <f>BR219-BQ219</f>
        <v/>
      </c>
      <c r="BT219" s="61">
        <f>IF(BQ219=0,"",BR219/BQ219)</f>
        <v/>
      </c>
      <c r="BU219" s="27" t="n"/>
      <c r="BV219" s="62" t="n"/>
      <c r="BW219" s="62" t="n"/>
      <c r="BX219" s="62">
        <f>BW219-BV219</f>
        <v/>
      </c>
      <c r="BY219" s="64">
        <f>IF(BV219=0,"",BW219/BV219)</f>
        <v/>
      </c>
      <c r="BZ219" s="31" t="n"/>
      <c r="CA219" s="60" t="n"/>
      <c r="CB219" s="60" t="n"/>
      <c r="CC219" s="60">
        <f>CB219-CA219</f>
        <v/>
      </c>
      <c r="CD219" s="61">
        <f>IF(CA219=0,"",CB219/CA219)</f>
        <v/>
      </c>
      <c r="CE219" s="27" t="n"/>
      <c r="CF219" s="62" t="n"/>
      <c r="CG219" s="62" t="n"/>
      <c r="CH219" s="62">
        <f>CG219-CF219</f>
        <v/>
      </c>
      <c r="CI219" s="64">
        <f>IF(CF219=0,"",CG219/CF219)</f>
        <v/>
      </c>
      <c r="CJ219" s="31" t="n"/>
      <c r="CK219" s="60" t="n"/>
      <c r="CL219" s="60" t="n"/>
      <c r="CM219" s="60">
        <f>CL219-CK219</f>
        <v/>
      </c>
      <c r="CN219" s="61">
        <f>IF(CK219=0,"",CL219/CK219)</f>
        <v/>
      </c>
      <c r="CO219" s="27" t="n"/>
      <c r="CP219" s="62" t="n"/>
      <c r="CQ219" s="62" t="n"/>
      <c r="CR219" s="62">
        <f>CQ219-CP219</f>
        <v/>
      </c>
      <c r="CS219" s="64">
        <f>IF(CP219=0,"",CQ219/CP219)</f>
        <v/>
      </c>
      <c r="CT219" s="31" t="n"/>
      <c r="CU219" s="60" t="n"/>
      <c r="CV219" s="60" t="n"/>
      <c r="CW219" s="60">
        <f>CV219-CU219</f>
        <v/>
      </c>
      <c r="CX219" s="61">
        <f>IF(CU219=0,"",CV219/CU219)</f>
        <v/>
      </c>
      <c r="CY219" s="27" t="n"/>
      <c r="CZ219" s="62" t="n"/>
      <c r="DA219" s="62" t="n"/>
      <c r="DB219" s="62">
        <f>DA219-CZ219</f>
        <v/>
      </c>
      <c r="DC219" s="64">
        <f>IF(CZ219=0,"",DA219/CZ219)</f>
        <v/>
      </c>
      <c r="DD219" s="31" t="n"/>
      <c r="DE219" s="60" t="n"/>
      <c r="DF219" s="60" t="n"/>
      <c r="DG219" s="60">
        <f>DF219-DE219</f>
        <v/>
      </c>
      <c r="DH219" s="61">
        <f>IF(DE219=0,"",DF219/DE219)</f>
        <v/>
      </c>
      <c r="DI219" s="27" t="n"/>
      <c r="DJ219" s="62" t="n"/>
      <c r="DK219" s="62" t="n"/>
      <c r="DL219" s="62">
        <f>DK219-DJ219</f>
        <v/>
      </c>
      <c r="DM219" s="64">
        <f>IF(DJ219=0,"",DK219/DJ219)</f>
        <v/>
      </c>
      <c r="DN219" s="31" t="n"/>
      <c r="DO219" s="60" t="n"/>
    </row>
    <row r="220" ht="15" customHeight="1">
      <c r="A220" s="19" t="n"/>
      <c r="B220" s="20" t="n"/>
      <c r="C220" s="19" t="n"/>
      <c r="D220" s="58">
        <f>D221</f>
        <v/>
      </c>
      <c r="E220" s="58">
        <f>E221</f>
        <v/>
      </c>
      <c r="F220" s="58">
        <f>E220-D220</f>
        <v/>
      </c>
      <c r="G220" s="59">
        <f>IF(D220=0,"",E220/D220)</f>
        <v/>
      </c>
      <c r="H220" s="23" t="n"/>
      <c r="I220" s="58">
        <f>I221</f>
        <v/>
      </c>
      <c r="J220" s="58">
        <f>J221</f>
        <v/>
      </c>
      <c r="K220" s="58">
        <f>J220-I220</f>
        <v/>
      </c>
      <c r="L220" s="59">
        <f>IF(I220=0,"",J220/I220)</f>
        <v/>
      </c>
      <c r="M220" s="23" t="n"/>
      <c r="N220" s="58">
        <f>N221</f>
        <v/>
      </c>
      <c r="O220" s="58">
        <f>O221</f>
        <v/>
      </c>
      <c r="P220" s="58">
        <f>O220-N220</f>
        <v/>
      </c>
      <c r="Q220" s="59">
        <f>IF(N220=0,"",O220/N220)</f>
        <v/>
      </c>
      <c r="R220" s="23" t="n"/>
      <c r="S220" s="58">
        <f>S221</f>
        <v/>
      </c>
      <c r="T220" s="58">
        <f>T221</f>
        <v/>
      </c>
      <c r="U220" s="58">
        <f>T220-S220</f>
        <v/>
      </c>
      <c r="V220" s="59">
        <f>IF(S220=0,"",T220/S220)</f>
        <v/>
      </c>
      <c r="W220" s="23" t="n"/>
      <c r="X220" s="58">
        <f>X221</f>
        <v/>
      </c>
      <c r="Y220" s="58">
        <f>Y221</f>
        <v/>
      </c>
      <c r="Z220" s="58">
        <f>Y220-X220</f>
        <v/>
      </c>
      <c r="AA220" s="59">
        <f>IF(X220=0,"",Y220/X220)</f>
        <v/>
      </c>
      <c r="AB220" s="23" t="n"/>
      <c r="AC220" s="58">
        <f>AC221</f>
        <v/>
      </c>
      <c r="AD220" s="58">
        <f>AD221</f>
        <v/>
      </c>
      <c r="AE220" s="58">
        <f>AD220-AC220</f>
        <v/>
      </c>
      <c r="AF220" s="59">
        <f>IF(AC220=0,"",AD220/AC220)</f>
        <v/>
      </c>
      <c r="AG220" s="23" t="n"/>
      <c r="AH220" s="58">
        <f>AH221</f>
        <v/>
      </c>
      <c r="AI220" s="58">
        <f>AI221</f>
        <v/>
      </c>
      <c r="AJ220" s="58">
        <f>AI220-AH220</f>
        <v/>
      </c>
      <c r="AK220" s="59">
        <f>IF(AH220=0,"",AI220/AH220)</f>
        <v/>
      </c>
      <c r="AL220" s="23" t="n"/>
      <c r="AM220" s="58">
        <f>AM221</f>
        <v/>
      </c>
      <c r="AN220" s="58">
        <f>AN221</f>
        <v/>
      </c>
      <c r="AO220" s="58">
        <f>AN220-AM220</f>
        <v/>
      </c>
      <c r="AP220" s="59">
        <f>IF(AM220=0,"",AN220/AM220)</f>
        <v/>
      </c>
      <c r="AQ220" s="23" t="n"/>
      <c r="AR220" s="58">
        <f>AR221</f>
        <v/>
      </c>
      <c r="AS220" s="58">
        <f>AS221</f>
        <v/>
      </c>
      <c r="AT220" s="58">
        <f>AS220-AR220</f>
        <v/>
      </c>
      <c r="AU220" s="59">
        <f>IF(AR220=0,"",AS220/AR220)</f>
        <v/>
      </c>
      <c r="AV220" s="23" t="n"/>
      <c r="AW220" s="58">
        <f>AW221</f>
        <v/>
      </c>
      <c r="AX220" s="58">
        <f>AX221</f>
        <v/>
      </c>
      <c r="AY220" s="58">
        <f>AX220-AW220</f>
        <v/>
      </c>
      <c r="AZ220" s="59">
        <f>IF(AW220=0,"",AX220/AW220)</f>
        <v/>
      </c>
      <c r="BA220" s="23" t="n"/>
      <c r="BB220" s="58">
        <f>BB221</f>
        <v/>
      </c>
      <c r="BC220" s="58">
        <f>BC221</f>
        <v/>
      </c>
      <c r="BD220" s="58">
        <f>BC220-BB220</f>
        <v/>
      </c>
      <c r="BE220" s="59">
        <f>IF(BB220=0,"",BC220/BB220)</f>
        <v/>
      </c>
      <c r="BF220" s="23" t="n"/>
      <c r="BG220" s="58">
        <f>BG221</f>
        <v/>
      </c>
      <c r="BH220" s="58">
        <f>BH221</f>
        <v/>
      </c>
      <c r="BI220" s="58">
        <f>BH220-BG220</f>
        <v/>
      </c>
      <c r="BJ220" s="59">
        <f>IF(BG220=0,"",BH220/BG220)</f>
        <v/>
      </c>
      <c r="BK220" s="23" t="n"/>
      <c r="BL220" s="58">
        <f>BL221</f>
        <v/>
      </c>
      <c r="BM220" s="58">
        <f>BM221</f>
        <v/>
      </c>
      <c r="BN220" s="58">
        <f>BM220-BL220</f>
        <v/>
      </c>
      <c r="BO220" s="59">
        <f>IF(BL220=0,"",BM220/BL220)</f>
        <v/>
      </c>
      <c r="BP220" s="23" t="n"/>
      <c r="BQ220" s="58">
        <f>BQ221</f>
        <v/>
      </c>
      <c r="BR220" s="58">
        <f>BR221</f>
        <v/>
      </c>
      <c r="BS220" s="58">
        <f>BR220-BQ220</f>
        <v/>
      </c>
      <c r="BT220" s="59">
        <f>IF(BQ220=0,"",BR220/BQ220)</f>
        <v/>
      </c>
      <c r="BU220" s="23" t="n"/>
      <c r="BV220" s="58">
        <f>BV221</f>
        <v/>
      </c>
      <c r="BW220" s="58">
        <f>BW221</f>
        <v/>
      </c>
      <c r="BX220" s="58">
        <f>BW220-BV220</f>
        <v/>
      </c>
      <c r="BY220" s="59">
        <f>IF(BV220=0,"",BW220/BV220)</f>
        <v/>
      </c>
      <c r="BZ220" s="23" t="n"/>
      <c r="CA220" s="58">
        <f>CA221</f>
        <v/>
      </c>
      <c r="CB220" s="58">
        <f>CB221</f>
        <v/>
      </c>
      <c r="CC220" s="58">
        <f>CB220-CA220</f>
        <v/>
      </c>
      <c r="CD220" s="59">
        <f>IF(CA220=0,"",CB220/CA220)</f>
        <v/>
      </c>
      <c r="CE220" s="23" t="n"/>
      <c r="CF220" s="58">
        <f>CF221</f>
        <v/>
      </c>
      <c r="CG220" s="58">
        <f>CG221</f>
        <v/>
      </c>
      <c r="CH220" s="58">
        <f>CG220-CF220</f>
        <v/>
      </c>
      <c r="CI220" s="59">
        <f>IF(CF220=0,"",CG220/CF220)</f>
        <v/>
      </c>
      <c r="CJ220" s="23" t="n"/>
      <c r="CK220" s="58">
        <f>CK221</f>
        <v/>
      </c>
      <c r="CL220" s="58">
        <f>CL221</f>
        <v/>
      </c>
      <c r="CM220" s="58">
        <f>CL220-CK220</f>
        <v/>
      </c>
      <c r="CN220" s="59">
        <f>IF(CK220=0,"",CL220/CK220)</f>
        <v/>
      </c>
      <c r="CO220" s="23" t="n"/>
      <c r="CP220" s="58">
        <f>CP221</f>
        <v/>
      </c>
      <c r="CQ220" s="58">
        <f>CQ221</f>
        <v/>
      </c>
      <c r="CR220" s="58">
        <f>CQ220-CP220</f>
        <v/>
      </c>
      <c r="CS220" s="59">
        <f>IF(CP220=0,"",CQ220/CP220)</f>
        <v/>
      </c>
      <c r="CT220" s="23" t="n"/>
      <c r="CU220" s="58">
        <f>CU221</f>
        <v/>
      </c>
      <c r="CV220" s="58">
        <f>CV221</f>
        <v/>
      </c>
      <c r="CW220" s="58">
        <f>CV220-CU220</f>
        <v/>
      </c>
      <c r="CX220" s="59">
        <f>IF(CU220=0,"",CV220/CU220)</f>
        <v/>
      </c>
      <c r="CY220" s="23" t="n"/>
      <c r="CZ220" s="58">
        <f>CZ221</f>
        <v/>
      </c>
      <c r="DA220" s="58">
        <f>DA221</f>
        <v/>
      </c>
      <c r="DB220" s="58">
        <f>DA220-CZ220</f>
        <v/>
      </c>
      <c r="DC220" s="59">
        <f>IF(CZ220=0,"",DA220/CZ220)</f>
        <v/>
      </c>
      <c r="DD220" s="23" t="n"/>
      <c r="DE220" s="58">
        <f>DE221</f>
        <v/>
      </c>
      <c r="DF220" s="58">
        <f>DF221</f>
        <v/>
      </c>
      <c r="DG220" s="58">
        <f>DF220-DE220</f>
        <v/>
      </c>
      <c r="DH220" s="59">
        <f>IF(DE220=0,"",DF220/DE220)</f>
        <v/>
      </c>
      <c r="DI220" s="23" t="n"/>
      <c r="DJ220" s="58">
        <f>DJ221</f>
        <v/>
      </c>
      <c r="DK220" s="58">
        <f>DK221</f>
        <v/>
      </c>
      <c r="DL220" s="58">
        <f>DK220-DJ220</f>
        <v/>
      </c>
      <c r="DM220" s="59">
        <f>IF(DJ220=0,"",DK220/DJ220)</f>
        <v/>
      </c>
      <c r="DN220" s="23" t="n"/>
      <c r="DO220" s="58">
        <f>DO221</f>
        <v/>
      </c>
    </row>
    <row r="221" outlineLevel="1" ht="15" customHeight="1">
      <c r="A221" s="24" t="n"/>
      <c r="B221" s="24" t="n"/>
      <c r="C221" s="24" t="n"/>
      <c r="D221" s="60" t="n"/>
      <c r="E221" s="60" t="n"/>
      <c r="F221" s="60">
        <f>E221-D221</f>
        <v/>
      </c>
      <c r="G221" s="61">
        <f>IF(D221=0,"",E221/D221)</f>
        <v/>
      </c>
      <c r="H221" s="27" t="n"/>
      <c r="I221" s="60" t="n"/>
      <c r="J221" s="60" t="n"/>
      <c r="K221" s="60">
        <f>J221-I221</f>
        <v/>
      </c>
      <c r="L221" s="61">
        <f>IF(I221=0,"",J221/I221)</f>
        <v/>
      </c>
      <c r="M221" s="27" t="n"/>
      <c r="N221" s="62" t="n"/>
      <c r="O221" s="62" t="n"/>
      <c r="P221" s="62">
        <f>O221-N221</f>
        <v/>
      </c>
      <c r="Q221" s="64">
        <f>IF(N221=0,"",O221/N221)</f>
        <v/>
      </c>
      <c r="R221" s="31" t="n"/>
      <c r="S221" s="60" t="n"/>
      <c r="T221" s="60" t="n"/>
      <c r="U221" s="60">
        <f>T221-S221</f>
        <v/>
      </c>
      <c r="V221" s="61">
        <f>IF(S221=0,"",T221/S221)</f>
        <v/>
      </c>
      <c r="W221" s="27" t="n"/>
      <c r="X221" s="62" t="n"/>
      <c r="Y221" s="62" t="n"/>
      <c r="Z221" s="62">
        <f>Y221-X221</f>
        <v/>
      </c>
      <c r="AA221" s="64">
        <f>IF(X221=0,"",Y221/X221)</f>
        <v/>
      </c>
      <c r="AB221" s="31" t="n"/>
      <c r="AC221" s="60" t="n"/>
      <c r="AD221" s="60" t="n"/>
      <c r="AE221" s="60">
        <f>AD221-AC221</f>
        <v/>
      </c>
      <c r="AF221" s="61">
        <f>IF(AC221=0,"",AD221/AC221)</f>
        <v/>
      </c>
      <c r="AG221" s="27" t="n"/>
      <c r="AH221" s="62" t="n"/>
      <c r="AI221" s="62" t="n"/>
      <c r="AJ221" s="62">
        <f>AI221-AH221</f>
        <v/>
      </c>
      <c r="AK221" s="64">
        <f>IF(AH221=0,"",AI221/AH221)</f>
        <v/>
      </c>
      <c r="AL221" s="31" t="n"/>
      <c r="AM221" s="60" t="n"/>
      <c r="AN221" s="60" t="n"/>
      <c r="AO221" s="60">
        <f>AN221-AM221</f>
        <v/>
      </c>
      <c r="AP221" s="61">
        <f>IF(AM221=0,"",AN221/AM221)</f>
        <v/>
      </c>
      <c r="AQ221" s="27" t="n"/>
      <c r="AR221" s="62" t="n"/>
      <c r="AS221" s="62" t="n"/>
      <c r="AT221" s="62">
        <f>AS221-AR221</f>
        <v/>
      </c>
      <c r="AU221" s="64">
        <f>IF(AR221=0,"",AS221/AR221)</f>
        <v/>
      </c>
      <c r="AV221" s="31" t="n"/>
      <c r="AW221" s="60" t="n"/>
      <c r="AX221" s="60" t="n"/>
      <c r="AY221" s="60">
        <f>AX221-AW221</f>
        <v/>
      </c>
      <c r="AZ221" s="61">
        <f>IF(AW221=0,"",AX221/AW221)</f>
        <v/>
      </c>
      <c r="BA221" s="27" t="n"/>
      <c r="BB221" s="62" t="n"/>
      <c r="BC221" s="62" t="n"/>
      <c r="BD221" s="62">
        <f>BC221-BB221</f>
        <v/>
      </c>
      <c r="BE221" s="64">
        <f>IF(BB221=0,"",BC221/BB221)</f>
        <v/>
      </c>
      <c r="BF221" s="31" t="n"/>
      <c r="BG221" s="60" t="n"/>
      <c r="BH221" s="60" t="n"/>
      <c r="BI221" s="60">
        <f>BH221-BG221</f>
        <v/>
      </c>
      <c r="BJ221" s="61">
        <f>IF(BG221=0,"",BH221/BG221)</f>
        <v/>
      </c>
      <c r="BK221" s="27" t="n"/>
      <c r="BL221" s="62" t="n"/>
      <c r="BM221" s="62" t="n"/>
      <c r="BN221" s="62">
        <f>BM221-BL221</f>
        <v/>
      </c>
      <c r="BO221" s="64">
        <f>IF(BL221=0,"",BM221/BL221)</f>
        <v/>
      </c>
      <c r="BP221" s="31" t="n"/>
      <c r="BQ221" s="60" t="n"/>
      <c r="BR221" s="60" t="n"/>
      <c r="BS221" s="60">
        <f>BR221-BQ221</f>
        <v/>
      </c>
      <c r="BT221" s="61">
        <f>IF(BQ221=0,"",BR221/BQ221)</f>
        <v/>
      </c>
      <c r="BU221" s="27" t="n"/>
      <c r="BV221" s="62" t="n"/>
      <c r="BW221" s="62" t="n"/>
      <c r="BX221" s="62">
        <f>BW221-BV221</f>
        <v/>
      </c>
      <c r="BY221" s="64">
        <f>IF(BV221=0,"",BW221/BV221)</f>
        <v/>
      </c>
      <c r="BZ221" s="31" t="n"/>
      <c r="CA221" s="60" t="n"/>
      <c r="CB221" s="60" t="n"/>
      <c r="CC221" s="60">
        <f>CB221-CA221</f>
        <v/>
      </c>
      <c r="CD221" s="61">
        <f>IF(CA221=0,"",CB221/CA221)</f>
        <v/>
      </c>
      <c r="CE221" s="27" t="n"/>
      <c r="CF221" s="62" t="n"/>
      <c r="CG221" s="62" t="n"/>
      <c r="CH221" s="62">
        <f>CG221-CF221</f>
        <v/>
      </c>
      <c r="CI221" s="64">
        <f>IF(CF221=0,"",CG221/CF221)</f>
        <v/>
      </c>
      <c r="CJ221" s="31" t="n"/>
      <c r="CK221" s="60" t="n"/>
      <c r="CL221" s="60" t="n"/>
      <c r="CM221" s="60">
        <f>CL221-CK221</f>
        <v/>
      </c>
      <c r="CN221" s="61">
        <f>IF(CK221=0,"",CL221/CK221)</f>
        <v/>
      </c>
      <c r="CO221" s="27" t="n"/>
      <c r="CP221" s="62" t="n"/>
      <c r="CQ221" s="62" t="n"/>
      <c r="CR221" s="62">
        <f>CQ221-CP221</f>
        <v/>
      </c>
      <c r="CS221" s="64">
        <f>IF(CP221=0,"",CQ221/CP221)</f>
        <v/>
      </c>
      <c r="CT221" s="31" t="n"/>
      <c r="CU221" s="60" t="n"/>
      <c r="CV221" s="60" t="n"/>
      <c r="CW221" s="60">
        <f>CV221-CU221</f>
        <v/>
      </c>
      <c r="CX221" s="61">
        <f>IF(CU221=0,"",CV221/CU221)</f>
        <v/>
      </c>
      <c r="CY221" s="27" t="n"/>
      <c r="CZ221" s="62" t="n"/>
      <c r="DA221" s="62" t="n"/>
      <c r="DB221" s="62">
        <f>DA221-CZ221</f>
        <v/>
      </c>
      <c r="DC221" s="64">
        <f>IF(CZ221=0,"",DA221/CZ221)</f>
        <v/>
      </c>
      <c r="DD221" s="31" t="n"/>
      <c r="DE221" s="60" t="n"/>
      <c r="DF221" s="60" t="n"/>
      <c r="DG221" s="60">
        <f>DF221-DE221</f>
        <v/>
      </c>
      <c r="DH221" s="61">
        <f>IF(DE221=0,"",DF221/DE221)</f>
        <v/>
      </c>
      <c r="DI221" s="27" t="n"/>
      <c r="DJ221" s="62" t="n"/>
      <c r="DK221" s="62" t="n"/>
      <c r="DL221" s="62">
        <f>DK221-DJ221</f>
        <v/>
      </c>
      <c r="DM221" s="64">
        <f>IF(DJ221=0,"",DK221/DJ221)</f>
        <v/>
      </c>
      <c r="DN221" s="31" t="n"/>
      <c r="DO221" s="60" t="n"/>
    </row>
    <row r="222" ht="15" customHeight="1">
      <c r="A222" s="19" t="n"/>
      <c r="B222" s="20" t="n"/>
      <c r="C222" s="19" t="n"/>
      <c r="D222" s="58">
        <f>D223</f>
        <v/>
      </c>
      <c r="E222" s="58">
        <f>E223</f>
        <v/>
      </c>
      <c r="F222" s="58">
        <f>E222-D222</f>
        <v/>
      </c>
      <c r="G222" s="59">
        <f>IF(D222=0,"",E222/D222)</f>
        <v/>
      </c>
      <c r="H222" s="23" t="n"/>
      <c r="I222" s="58">
        <f>I223</f>
        <v/>
      </c>
      <c r="J222" s="58">
        <f>J223</f>
        <v/>
      </c>
      <c r="K222" s="58">
        <f>J222-I222</f>
        <v/>
      </c>
      <c r="L222" s="59">
        <f>IF(I222=0,"",J222/I222)</f>
        <v/>
      </c>
      <c r="M222" s="23" t="n"/>
      <c r="N222" s="58">
        <f>N223</f>
        <v/>
      </c>
      <c r="O222" s="58">
        <f>O223</f>
        <v/>
      </c>
      <c r="P222" s="58">
        <f>O222-N222</f>
        <v/>
      </c>
      <c r="Q222" s="59">
        <f>IF(N222=0,"",O222/N222)</f>
        <v/>
      </c>
      <c r="R222" s="23" t="n"/>
      <c r="S222" s="58">
        <f>S223</f>
        <v/>
      </c>
      <c r="T222" s="58">
        <f>T223</f>
        <v/>
      </c>
      <c r="U222" s="58">
        <f>T222-S222</f>
        <v/>
      </c>
      <c r="V222" s="59">
        <f>IF(S222=0,"",T222/S222)</f>
        <v/>
      </c>
      <c r="W222" s="23" t="n"/>
      <c r="X222" s="58">
        <f>X223</f>
        <v/>
      </c>
      <c r="Y222" s="58">
        <f>Y223</f>
        <v/>
      </c>
      <c r="Z222" s="58">
        <f>Y222-X222</f>
        <v/>
      </c>
      <c r="AA222" s="59">
        <f>IF(X222=0,"",Y222/X222)</f>
        <v/>
      </c>
      <c r="AB222" s="23" t="n"/>
      <c r="AC222" s="58">
        <f>AC223</f>
        <v/>
      </c>
      <c r="AD222" s="58">
        <f>AD223</f>
        <v/>
      </c>
      <c r="AE222" s="58">
        <f>AD222-AC222</f>
        <v/>
      </c>
      <c r="AF222" s="59">
        <f>IF(AC222=0,"",AD222/AC222)</f>
        <v/>
      </c>
      <c r="AG222" s="23" t="n"/>
      <c r="AH222" s="58">
        <f>AH223</f>
        <v/>
      </c>
      <c r="AI222" s="58">
        <f>AI223</f>
        <v/>
      </c>
      <c r="AJ222" s="58">
        <f>AI222-AH222</f>
        <v/>
      </c>
      <c r="AK222" s="59">
        <f>IF(AH222=0,"",AI222/AH222)</f>
        <v/>
      </c>
      <c r="AL222" s="23" t="n"/>
      <c r="AM222" s="58">
        <f>AM223</f>
        <v/>
      </c>
      <c r="AN222" s="58">
        <f>AN223</f>
        <v/>
      </c>
      <c r="AO222" s="58">
        <f>AN222-AM222</f>
        <v/>
      </c>
      <c r="AP222" s="59">
        <f>IF(AM222=0,"",AN222/AM222)</f>
        <v/>
      </c>
      <c r="AQ222" s="23" t="n"/>
      <c r="AR222" s="58">
        <f>AR223</f>
        <v/>
      </c>
      <c r="AS222" s="58">
        <f>AS223</f>
        <v/>
      </c>
      <c r="AT222" s="58">
        <f>AS222-AR222</f>
        <v/>
      </c>
      <c r="AU222" s="59">
        <f>IF(AR222=0,"",AS222/AR222)</f>
        <v/>
      </c>
      <c r="AV222" s="23" t="n"/>
      <c r="AW222" s="58">
        <f>AW223</f>
        <v/>
      </c>
      <c r="AX222" s="58">
        <f>AX223</f>
        <v/>
      </c>
      <c r="AY222" s="58">
        <f>AX222-AW222</f>
        <v/>
      </c>
      <c r="AZ222" s="59">
        <f>IF(AW222=0,"",AX222/AW222)</f>
        <v/>
      </c>
      <c r="BA222" s="23" t="n"/>
      <c r="BB222" s="58">
        <f>BB223</f>
        <v/>
      </c>
      <c r="BC222" s="58">
        <f>BC223</f>
        <v/>
      </c>
      <c r="BD222" s="58">
        <f>BC222-BB222</f>
        <v/>
      </c>
      <c r="BE222" s="59">
        <f>IF(BB222=0,"",BC222/BB222)</f>
        <v/>
      </c>
      <c r="BF222" s="23" t="n"/>
      <c r="BG222" s="58">
        <f>BG223</f>
        <v/>
      </c>
      <c r="BH222" s="58">
        <f>BH223</f>
        <v/>
      </c>
      <c r="BI222" s="58">
        <f>BH222-BG222</f>
        <v/>
      </c>
      <c r="BJ222" s="59">
        <f>IF(BG222=0,"",BH222/BG222)</f>
        <v/>
      </c>
      <c r="BK222" s="23" t="n"/>
      <c r="BL222" s="58">
        <f>BL223</f>
        <v/>
      </c>
      <c r="BM222" s="58">
        <f>BM223</f>
        <v/>
      </c>
      <c r="BN222" s="58">
        <f>BM222-BL222</f>
        <v/>
      </c>
      <c r="BO222" s="59">
        <f>IF(BL222=0,"",BM222/BL222)</f>
        <v/>
      </c>
      <c r="BP222" s="23" t="n"/>
      <c r="BQ222" s="58">
        <f>BQ223</f>
        <v/>
      </c>
      <c r="BR222" s="58">
        <f>BR223</f>
        <v/>
      </c>
      <c r="BS222" s="58">
        <f>BR222-BQ222</f>
        <v/>
      </c>
      <c r="BT222" s="59">
        <f>IF(BQ222=0,"",BR222/BQ222)</f>
        <v/>
      </c>
      <c r="BU222" s="23" t="n"/>
      <c r="BV222" s="58">
        <f>BV223</f>
        <v/>
      </c>
      <c r="BW222" s="58">
        <f>BW223</f>
        <v/>
      </c>
      <c r="BX222" s="58">
        <f>BW222-BV222</f>
        <v/>
      </c>
      <c r="BY222" s="59">
        <f>IF(BV222=0,"",BW222/BV222)</f>
        <v/>
      </c>
      <c r="BZ222" s="23" t="n"/>
      <c r="CA222" s="58">
        <f>CA223</f>
        <v/>
      </c>
      <c r="CB222" s="58">
        <f>CB223</f>
        <v/>
      </c>
      <c r="CC222" s="58">
        <f>CB222-CA222</f>
        <v/>
      </c>
      <c r="CD222" s="59">
        <f>IF(CA222=0,"",CB222/CA222)</f>
        <v/>
      </c>
      <c r="CE222" s="23" t="n"/>
      <c r="CF222" s="58">
        <f>CF223</f>
        <v/>
      </c>
      <c r="CG222" s="58">
        <f>CG223</f>
        <v/>
      </c>
      <c r="CH222" s="58">
        <f>CG222-CF222</f>
        <v/>
      </c>
      <c r="CI222" s="59">
        <f>IF(CF222=0,"",CG222/CF222)</f>
        <v/>
      </c>
      <c r="CJ222" s="23" t="n"/>
      <c r="CK222" s="58">
        <f>CK223</f>
        <v/>
      </c>
      <c r="CL222" s="58">
        <f>CL223</f>
        <v/>
      </c>
      <c r="CM222" s="58">
        <f>CL222-CK222</f>
        <v/>
      </c>
      <c r="CN222" s="59">
        <f>IF(CK222=0,"",CL222/CK222)</f>
        <v/>
      </c>
      <c r="CO222" s="23" t="n"/>
      <c r="CP222" s="58">
        <f>CP223</f>
        <v/>
      </c>
      <c r="CQ222" s="58">
        <f>CQ223</f>
        <v/>
      </c>
      <c r="CR222" s="58">
        <f>CQ222-CP222</f>
        <v/>
      </c>
      <c r="CS222" s="59">
        <f>IF(CP222=0,"",CQ222/CP222)</f>
        <v/>
      </c>
      <c r="CT222" s="23" t="n"/>
      <c r="CU222" s="58">
        <f>CU223</f>
        <v/>
      </c>
      <c r="CV222" s="58">
        <f>CV223</f>
        <v/>
      </c>
      <c r="CW222" s="58">
        <f>CV222-CU222</f>
        <v/>
      </c>
      <c r="CX222" s="59">
        <f>IF(CU222=0,"",CV222/CU222)</f>
        <v/>
      </c>
      <c r="CY222" s="23" t="n"/>
      <c r="CZ222" s="58">
        <f>CZ223</f>
        <v/>
      </c>
      <c r="DA222" s="58">
        <f>DA223</f>
        <v/>
      </c>
      <c r="DB222" s="58">
        <f>DA222-CZ222</f>
        <v/>
      </c>
      <c r="DC222" s="59">
        <f>IF(CZ222=0,"",DA222/CZ222)</f>
        <v/>
      </c>
      <c r="DD222" s="23" t="n"/>
      <c r="DE222" s="58">
        <f>DE223</f>
        <v/>
      </c>
      <c r="DF222" s="58">
        <f>DF223</f>
        <v/>
      </c>
      <c r="DG222" s="58">
        <f>DF222-DE222</f>
        <v/>
      </c>
      <c r="DH222" s="59">
        <f>IF(DE222=0,"",DF222/DE222)</f>
        <v/>
      </c>
      <c r="DI222" s="23" t="n"/>
      <c r="DJ222" s="58">
        <f>DJ223</f>
        <v/>
      </c>
      <c r="DK222" s="58">
        <f>DK223</f>
        <v/>
      </c>
      <c r="DL222" s="58">
        <f>DK222-DJ222</f>
        <v/>
      </c>
      <c r="DM222" s="59">
        <f>IF(DJ222=0,"",DK222/DJ222)</f>
        <v/>
      </c>
      <c r="DN222" s="23" t="n"/>
      <c r="DO222" s="58">
        <f>DO223</f>
        <v/>
      </c>
    </row>
    <row r="223" outlineLevel="1" ht="15" customHeight="1">
      <c r="A223" s="24" t="n"/>
      <c r="B223" s="24" t="n"/>
      <c r="C223" s="24" t="n"/>
      <c r="D223" s="60" t="n"/>
      <c r="E223" s="60" t="n"/>
      <c r="F223" s="60">
        <f>E223-D223</f>
        <v/>
      </c>
      <c r="G223" s="61">
        <f>IF(D223=0,"",E223/D223)</f>
        <v/>
      </c>
      <c r="H223" s="27" t="n"/>
      <c r="I223" s="60" t="n"/>
      <c r="J223" s="60" t="n"/>
      <c r="K223" s="60">
        <f>J223-I223</f>
        <v/>
      </c>
      <c r="L223" s="61">
        <f>IF(I223=0,"",J223/I223)</f>
        <v/>
      </c>
      <c r="M223" s="27" t="n"/>
      <c r="N223" s="62" t="n"/>
      <c r="O223" s="62" t="n"/>
      <c r="P223" s="62">
        <f>O223-N223</f>
        <v/>
      </c>
      <c r="Q223" s="64">
        <f>IF(N223=0,"",O223/N223)</f>
        <v/>
      </c>
      <c r="R223" s="31" t="n"/>
      <c r="S223" s="60" t="n"/>
      <c r="T223" s="60" t="n"/>
      <c r="U223" s="60">
        <f>T223-S223</f>
        <v/>
      </c>
      <c r="V223" s="61">
        <f>IF(S223=0,"",T223/S223)</f>
        <v/>
      </c>
      <c r="W223" s="27" t="n"/>
      <c r="X223" s="62" t="n"/>
      <c r="Y223" s="62" t="n"/>
      <c r="Z223" s="62">
        <f>Y223-X223</f>
        <v/>
      </c>
      <c r="AA223" s="64">
        <f>IF(X223=0,"",Y223/X223)</f>
        <v/>
      </c>
      <c r="AB223" s="31" t="n"/>
      <c r="AC223" s="60" t="n"/>
      <c r="AD223" s="60" t="n"/>
      <c r="AE223" s="60">
        <f>AD223-AC223</f>
        <v/>
      </c>
      <c r="AF223" s="61">
        <f>IF(AC223=0,"",AD223/AC223)</f>
        <v/>
      </c>
      <c r="AG223" s="27" t="n"/>
      <c r="AH223" s="62" t="n"/>
      <c r="AI223" s="62" t="n"/>
      <c r="AJ223" s="62">
        <f>AI223-AH223</f>
        <v/>
      </c>
      <c r="AK223" s="64">
        <f>IF(AH223=0,"",AI223/AH223)</f>
        <v/>
      </c>
      <c r="AL223" s="31" t="n"/>
      <c r="AM223" s="60" t="n"/>
      <c r="AN223" s="60" t="n"/>
      <c r="AO223" s="60">
        <f>AN223-AM223</f>
        <v/>
      </c>
      <c r="AP223" s="61">
        <f>IF(AM223=0,"",AN223/AM223)</f>
        <v/>
      </c>
      <c r="AQ223" s="27" t="n"/>
      <c r="AR223" s="62" t="n"/>
      <c r="AS223" s="62" t="n"/>
      <c r="AT223" s="62">
        <f>AS223-AR223</f>
        <v/>
      </c>
      <c r="AU223" s="64">
        <f>IF(AR223=0,"",AS223/AR223)</f>
        <v/>
      </c>
      <c r="AV223" s="31" t="n"/>
      <c r="AW223" s="60" t="n"/>
      <c r="AX223" s="60" t="n"/>
      <c r="AY223" s="60">
        <f>AX223-AW223</f>
        <v/>
      </c>
      <c r="AZ223" s="61">
        <f>IF(AW223=0,"",AX223/AW223)</f>
        <v/>
      </c>
      <c r="BA223" s="27" t="n"/>
      <c r="BB223" s="62" t="n"/>
      <c r="BC223" s="62" t="n"/>
      <c r="BD223" s="62">
        <f>BC223-BB223</f>
        <v/>
      </c>
      <c r="BE223" s="64">
        <f>IF(BB223=0,"",BC223/BB223)</f>
        <v/>
      </c>
      <c r="BF223" s="31" t="n"/>
      <c r="BG223" s="60" t="n"/>
      <c r="BH223" s="60" t="n"/>
      <c r="BI223" s="60">
        <f>BH223-BG223</f>
        <v/>
      </c>
      <c r="BJ223" s="61">
        <f>IF(BG223=0,"",BH223/BG223)</f>
        <v/>
      </c>
      <c r="BK223" s="27" t="n"/>
      <c r="BL223" s="62" t="n"/>
      <c r="BM223" s="62" t="n"/>
      <c r="BN223" s="62">
        <f>BM223-BL223</f>
        <v/>
      </c>
      <c r="BO223" s="64">
        <f>IF(BL223=0,"",BM223/BL223)</f>
        <v/>
      </c>
      <c r="BP223" s="31" t="n"/>
      <c r="BQ223" s="60" t="n"/>
      <c r="BR223" s="60" t="n"/>
      <c r="BS223" s="60">
        <f>BR223-BQ223</f>
        <v/>
      </c>
      <c r="BT223" s="61">
        <f>IF(BQ223=0,"",BR223/BQ223)</f>
        <v/>
      </c>
      <c r="BU223" s="27" t="n"/>
      <c r="BV223" s="62" t="n"/>
      <c r="BW223" s="62" t="n"/>
      <c r="BX223" s="62">
        <f>BW223-BV223</f>
        <v/>
      </c>
      <c r="BY223" s="64">
        <f>IF(BV223=0,"",BW223/BV223)</f>
        <v/>
      </c>
      <c r="BZ223" s="31" t="n"/>
      <c r="CA223" s="60" t="n"/>
      <c r="CB223" s="60" t="n"/>
      <c r="CC223" s="60">
        <f>CB223-CA223</f>
        <v/>
      </c>
      <c r="CD223" s="61">
        <f>IF(CA223=0,"",CB223/CA223)</f>
        <v/>
      </c>
      <c r="CE223" s="27" t="n"/>
      <c r="CF223" s="62" t="n"/>
      <c r="CG223" s="62" t="n"/>
      <c r="CH223" s="62">
        <f>CG223-CF223</f>
        <v/>
      </c>
      <c r="CI223" s="64">
        <f>IF(CF223=0,"",CG223/CF223)</f>
        <v/>
      </c>
      <c r="CJ223" s="31" t="n"/>
      <c r="CK223" s="60" t="n"/>
      <c r="CL223" s="60" t="n"/>
      <c r="CM223" s="60">
        <f>CL223-CK223</f>
        <v/>
      </c>
      <c r="CN223" s="61">
        <f>IF(CK223=0,"",CL223/CK223)</f>
        <v/>
      </c>
      <c r="CO223" s="27" t="n"/>
      <c r="CP223" s="62" t="n"/>
      <c r="CQ223" s="62" t="n"/>
      <c r="CR223" s="62">
        <f>CQ223-CP223</f>
        <v/>
      </c>
      <c r="CS223" s="64">
        <f>IF(CP223=0,"",CQ223/CP223)</f>
        <v/>
      </c>
      <c r="CT223" s="31" t="n"/>
      <c r="CU223" s="60" t="n"/>
      <c r="CV223" s="60" t="n"/>
      <c r="CW223" s="60">
        <f>CV223-CU223</f>
        <v/>
      </c>
      <c r="CX223" s="61">
        <f>IF(CU223=0,"",CV223/CU223)</f>
        <v/>
      </c>
      <c r="CY223" s="27" t="n"/>
      <c r="CZ223" s="62" t="n"/>
      <c r="DA223" s="62" t="n"/>
      <c r="DB223" s="62">
        <f>DA223-CZ223</f>
        <v/>
      </c>
      <c r="DC223" s="64">
        <f>IF(CZ223=0,"",DA223/CZ223)</f>
        <v/>
      </c>
      <c r="DD223" s="31" t="n"/>
      <c r="DE223" s="60" t="n"/>
      <c r="DF223" s="60" t="n"/>
      <c r="DG223" s="60">
        <f>DF223-DE223</f>
        <v/>
      </c>
      <c r="DH223" s="61">
        <f>IF(DE223=0,"",DF223/DE223)</f>
        <v/>
      </c>
      <c r="DI223" s="27" t="n"/>
      <c r="DJ223" s="62" t="n"/>
      <c r="DK223" s="62" t="n"/>
      <c r="DL223" s="62">
        <f>DK223-DJ223</f>
        <v/>
      </c>
      <c r="DM223" s="64">
        <f>IF(DJ223=0,"",DK223/DJ223)</f>
        <v/>
      </c>
      <c r="DN223" s="31" t="n"/>
      <c r="DO223" s="60" t="n"/>
    </row>
    <row r="224" ht="15" customHeight="1">
      <c r="A224" s="19" t="n"/>
      <c r="B224" s="20" t="n"/>
      <c r="C224" s="19" t="n"/>
      <c r="D224" s="58">
        <f>D225</f>
        <v/>
      </c>
      <c r="E224" s="58">
        <f>E225</f>
        <v/>
      </c>
      <c r="F224" s="58">
        <f>E224-D224</f>
        <v/>
      </c>
      <c r="G224" s="59">
        <f>IF(D224=0,"",E224/D224)</f>
        <v/>
      </c>
      <c r="H224" s="23" t="n"/>
      <c r="I224" s="58">
        <f>I225</f>
        <v/>
      </c>
      <c r="J224" s="58">
        <f>J225</f>
        <v/>
      </c>
      <c r="K224" s="58">
        <f>J224-I224</f>
        <v/>
      </c>
      <c r="L224" s="59">
        <f>IF(I224=0,"",J224/I224)</f>
        <v/>
      </c>
      <c r="M224" s="23" t="n"/>
      <c r="N224" s="58">
        <f>N225</f>
        <v/>
      </c>
      <c r="O224" s="58">
        <f>O225</f>
        <v/>
      </c>
      <c r="P224" s="58">
        <f>O224-N224</f>
        <v/>
      </c>
      <c r="Q224" s="59">
        <f>IF(N224=0,"",O224/N224)</f>
        <v/>
      </c>
      <c r="R224" s="23" t="n"/>
      <c r="S224" s="58">
        <f>S225</f>
        <v/>
      </c>
      <c r="T224" s="58">
        <f>T225</f>
        <v/>
      </c>
      <c r="U224" s="58">
        <f>T224-S224</f>
        <v/>
      </c>
      <c r="V224" s="59">
        <f>IF(S224=0,"",T224/S224)</f>
        <v/>
      </c>
      <c r="W224" s="23" t="n"/>
      <c r="X224" s="58">
        <f>X225</f>
        <v/>
      </c>
      <c r="Y224" s="58">
        <f>Y225</f>
        <v/>
      </c>
      <c r="Z224" s="58">
        <f>Y224-X224</f>
        <v/>
      </c>
      <c r="AA224" s="59">
        <f>IF(X224=0,"",Y224/X224)</f>
        <v/>
      </c>
      <c r="AB224" s="23" t="n"/>
      <c r="AC224" s="58">
        <f>AC225</f>
        <v/>
      </c>
      <c r="AD224" s="58">
        <f>AD225</f>
        <v/>
      </c>
      <c r="AE224" s="58">
        <f>AD224-AC224</f>
        <v/>
      </c>
      <c r="AF224" s="59">
        <f>IF(AC224=0,"",AD224/AC224)</f>
        <v/>
      </c>
      <c r="AG224" s="23" t="n"/>
      <c r="AH224" s="58">
        <f>AH225</f>
        <v/>
      </c>
      <c r="AI224" s="58">
        <f>AI225</f>
        <v/>
      </c>
      <c r="AJ224" s="58">
        <f>AI224-AH224</f>
        <v/>
      </c>
      <c r="AK224" s="59">
        <f>IF(AH224=0,"",AI224/AH224)</f>
        <v/>
      </c>
      <c r="AL224" s="23" t="n"/>
      <c r="AM224" s="58">
        <f>AM225</f>
        <v/>
      </c>
      <c r="AN224" s="58">
        <f>AN225</f>
        <v/>
      </c>
      <c r="AO224" s="58">
        <f>AN224-AM224</f>
        <v/>
      </c>
      <c r="AP224" s="59">
        <f>IF(AM224=0,"",AN224/AM224)</f>
        <v/>
      </c>
      <c r="AQ224" s="23" t="n"/>
      <c r="AR224" s="58">
        <f>AR225</f>
        <v/>
      </c>
      <c r="AS224" s="58">
        <f>AS225</f>
        <v/>
      </c>
      <c r="AT224" s="58">
        <f>AS224-AR224</f>
        <v/>
      </c>
      <c r="AU224" s="59">
        <f>IF(AR224=0,"",AS224/AR224)</f>
        <v/>
      </c>
      <c r="AV224" s="23" t="n"/>
      <c r="AW224" s="58">
        <f>AW225</f>
        <v/>
      </c>
      <c r="AX224" s="58">
        <f>AX225</f>
        <v/>
      </c>
      <c r="AY224" s="58">
        <f>AX224-AW224</f>
        <v/>
      </c>
      <c r="AZ224" s="59">
        <f>IF(AW224=0,"",AX224/AW224)</f>
        <v/>
      </c>
      <c r="BA224" s="23" t="n"/>
      <c r="BB224" s="58">
        <f>BB225</f>
        <v/>
      </c>
      <c r="BC224" s="58">
        <f>BC225</f>
        <v/>
      </c>
      <c r="BD224" s="58">
        <f>BC224-BB224</f>
        <v/>
      </c>
      <c r="BE224" s="59">
        <f>IF(BB224=0,"",BC224/BB224)</f>
        <v/>
      </c>
      <c r="BF224" s="23" t="n"/>
      <c r="BG224" s="58">
        <f>BG225</f>
        <v/>
      </c>
      <c r="BH224" s="58">
        <f>BH225</f>
        <v/>
      </c>
      <c r="BI224" s="58">
        <f>BH224-BG224</f>
        <v/>
      </c>
      <c r="BJ224" s="59">
        <f>IF(BG224=0,"",BH224/BG224)</f>
        <v/>
      </c>
      <c r="BK224" s="23" t="n"/>
      <c r="BL224" s="58">
        <f>BL225</f>
        <v/>
      </c>
      <c r="BM224" s="58">
        <f>BM225</f>
        <v/>
      </c>
      <c r="BN224" s="58">
        <f>BM224-BL224</f>
        <v/>
      </c>
      <c r="BO224" s="59">
        <f>IF(BL224=0,"",BM224/BL224)</f>
        <v/>
      </c>
      <c r="BP224" s="23" t="n"/>
      <c r="BQ224" s="58">
        <f>BQ225</f>
        <v/>
      </c>
      <c r="BR224" s="58">
        <f>BR225</f>
        <v/>
      </c>
      <c r="BS224" s="58">
        <f>BR224-BQ224</f>
        <v/>
      </c>
      <c r="BT224" s="59">
        <f>IF(BQ224=0,"",BR224/BQ224)</f>
        <v/>
      </c>
      <c r="BU224" s="23" t="n"/>
      <c r="BV224" s="58">
        <f>BV225</f>
        <v/>
      </c>
      <c r="BW224" s="58">
        <f>BW225</f>
        <v/>
      </c>
      <c r="BX224" s="58">
        <f>BW224-BV224</f>
        <v/>
      </c>
      <c r="BY224" s="59">
        <f>IF(BV224=0,"",BW224/BV224)</f>
        <v/>
      </c>
      <c r="BZ224" s="23" t="n"/>
      <c r="CA224" s="58">
        <f>CA225</f>
        <v/>
      </c>
      <c r="CB224" s="58">
        <f>CB225</f>
        <v/>
      </c>
      <c r="CC224" s="58">
        <f>CB224-CA224</f>
        <v/>
      </c>
      <c r="CD224" s="59">
        <f>IF(CA224=0,"",CB224/CA224)</f>
        <v/>
      </c>
      <c r="CE224" s="23" t="n"/>
      <c r="CF224" s="58">
        <f>CF225</f>
        <v/>
      </c>
      <c r="CG224" s="58">
        <f>CG225</f>
        <v/>
      </c>
      <c r="CH224" s="58">
        <f>CG224-CF224</f>
        <v/>
      </c>
      <c r="CI224" s="59">
        <f>IF(CF224=0,"",CG224/CF224)</f>
        <v/>
      </c>
      <c r="CJ224" s="23" t="n"/>
      <c r="CK224" s="58">
        <f>CK225</f>
        <v/>
      </c>
      <c r="CL224" s="58">
        <f>CL225</f>
        <v/>
      </c>
      <c r="CM224" s="58">
        <f>CL224-CK224</f>
        <v/>
      </c>
      <c r="CN224" s="59">
        <f>IF(CK224=0,"",CL224/CK224)</f>
        <v/>
      </c>
      <c r="CO224" s="23" t="n"/>
      <c r="CP224" s="58">
        <f>CP225</f>
        <v/>
      </c>
      <c r="CQ224" s="58">
        <f>CQ225</f>
        <v/>
      </c>
      <c r="CR224" s="58">
        <f>CQ224-CP224</f>
        <v/>
      </c>
      <c r="CS224" s="59">
        <f>IF(CP224=0,"",CQ224/CP224)</f>
        <v/>
      </c>
      <c r="CT224" s="23" t="n"/>
      <c r="CU224" s="58">
        <f>CU225</f>
        <v/>
      </c>
      <c r="CV224" s="58">
        <f>CV225</f>
        <v/>
      </c>
      <c r="CW224" s="58">
        <f>CV224-CU224</f>
        <v/>
      </c>
      <c r="CX224" s="59">
        <f>IF(CU224=0,"",CV224/CU224)</f>
        <v/>
      </c>
      <c r="CY224" s="23" t="n"/>
      <c r="CZ224" s="58">
        <f>CZ225</f>
        <v/>
      </c>
      <c r="DA224" s="58">
        <f>DA225</f>
        <v/>
      </c>
      <c r="DB224" s="58">
        <f>DA224-CZ224</f>
        <v/>
      </c>
      <c r="DC224" s="59">
        <f>IF(CZ224=0,"",DA224/CZ224)</f>
        <v/>
      </c>
      <c r="DD224" s="23" t="n"/>
      <c r="DE224" s="58">
        <f>DE225</f>
        <v/>
      </c>
      <c r="DF224" s="58">
        <f>DF225</f>
        <v/>
      </c>
      <c r="DG224" s="58">
        <f>DF224-DE224</f>
        <v/>
      </c>
      <c r="DH224" s="59">
        <f>IF(DE224=0,"",DF224/DE224)</f>
        <v/>
      </c>
      <c r="DI224" s="23" t="n"/>
      <c r="DJ224" s="58">
        <f>DJ225</f>
        <v/>
      </c>
      <c r="DK224" s="58">
        <f>DK225</f>
        <v/>
      </c>
      <c r="DL224" s="58">
        <f>DK224-DJ224</f>
        <v/>
      </c>
      <c r="DM224" s="59">
        <f>IF(DJ224=0,"",DK224/DJ224)</f>
        <v/>
      </c>
      <c r="DN224" s="23" t="n"/>
      <c r="DO224" s="58">
        <f>DO225</f>
        <v/>
      </c>
    </row>
    <row r="225" outlineLevel="1" ht="15" customHeight="1">
      <c r="A225" s="24" t="n"/>
      <c r="B225" s="24" t="n"/>
      <c r="C225" s="24" t="n"/>
      <c r="D225" s="60" t="n"/>
      <c r="E225" s="60" t="n"/>
      <c r="F225" s="60">
        <f>E225-D225</f>
        <v/>
      </c>
      <c r="G225" s="61">
        <f>IF(D225=0,"",E225/D225)</f>
        <v/>
      </c>
      <c r="H225" s="27" t="n"/>
      <c r="I225" s="60" t="n"/>
      <c r="J225" s="60" t="n"/>
      <c r="K225" s="60">
        <f>J225-I225</f>
        <v/>
      </c>
      <c r="L225" s="61">
        <f>IF(I225=0,"",J225/I225)</f>
        <v/>
      </c>
      <c r="M225" s="27" t="n"/>
      <c r="N225" s="62" t="n"/>
      <c r="O225" s="62" t="n"/>
      <c r="P225" s="62">
        <f>O225-N225</f>
        <v/>
      </c>
      <c r="Q225" s="64">
        <f>IF(N225=0,"",O225/N225)</f>
        <v/>
      </c>
      <c r="R225" s="31" t="n"/>
      <c r="S225" s="60" t="n"/>
      <c r="T225" s="60" t="n"/>
      <c r="U225" s="60">
        <f>T225-S225</f>
        <v/>
      </c>
      <c r="V225" s="61">
        <f>IF(S225=0,"",T225/S225)</f>
        <v/>
      </c>
      <c r="W225" s="27" t="n"/>
      <c r="X225" s="62" t="n"/>
      <c r="Y225" s="62" t="n"/>
      <c r="Z225" s="62">
        <f>Y225-X225</f>
        <v/>
      </c>
      <c r="AA225" s="64">
        <f>IF(X225=0,"",Y225/X225)</f>
        <v/>
      </c>
      <c r="AB225" s="31" t="n"/>
      <c r="AC225" s="60" t="n"/>
      <c r="AD225" s="60" t="n"/>
      <c r="AE225" s="60">
        <f>AD225-AC225</f>
        <v/>
      </c>
      <c r="AF225" s="61">
        <f>IF(AC225=0,"",AD225/AC225)</f>
        <v/>
      </c>
      <c r="AG225" s="27" t="n"/>
      <c r="AH225" s="62" t="n"/>
      <c r="AI225" s="62" t="n"/>
      <c r="AJ225" s="62">
        <f>AI225-AH225</f>
        <v/>
      </c>
      <c r="AK225" s="64">
        <f>IF(AH225=0,"",AI225/AH225)</f>
        <v/>
      </c>
      <c r="AL225" s="31" t="n"/>
      <c r="AM225" s="60" t="n"/>
      <c r="AN225" s="60" t="n"/>
      <c r="AO225" s="60">
        <f>AN225-AM225</f>
        <v/>
      </c>
      <c r="AP225" s="61">
        <f>IF(AM225=0,"",AN225/AM225)</f>
        <v/>
      </c>
      <c r="AQ225" s="27" t="n"/>
      <c r="AR225" s="62" t="n"/>
      <c r="AS225" s="62" t="n"/>
      <c r="AT225" s="62">
        <f>AS225-AR225</f>
        <v/>
      </c>
      <c r="AU225" s="64">
        <f>IF(AR225=0,"",AS225/AR225)</f>
        <v/>
      </c>
      <c r="AV225" s="31" t="n"/>
      <c r="AW225" s="60" t="n"/>
      <c r="AX225" s="60" t="n"/>
      <c r="AY225" s="60">
        <f>AX225-AW225</f>
        <v/>
      </c>
      <c r="AZ225" s="61">
        <f>IF(AW225=0,"",AX225/AW225)</f>
        <v/>
      </c>
      <c r="BA225" s="27" t="n"/>
      <c r="BB225" s="62" t="n"/>
      <c r="BC225" s="62" t="n"/>
      <c r="BD225" s="62">
        <f>BC225-BB225</f>
        <v/>
      </c>
      <c r="BE225" s="64">
        <f>IF(BB225=0,"",BC225/BB225)</f>
        <v/>
      </c>
      <c r="BF225" s="31" t="n"/>
      <c r="BG225" s="60" t="n"/>
      <c r="BH225" s="60" t="n"/>
      <c r="BI225" s="60">
        <f>BH225-BG225</f>
        <v/>
      </c>
      <c r="BJ225" s="61">
        <f>IF(BG225=0,"",BH225/BG225)</f>
        <v/>
      </c>
      <c r="BK225" s="27" t="n"/>
      <c r="BL225" s="62" t="n"/>
      <c r="BM225" s="62" t="n"/>
      <c r="BN225" s="62">
        <f>BM225-BL225</f>
        <v/>
      </c>
      <c r="BO225" s="64">
        <f>IF(BL225=0,"",BM225/BL225)</f>
        <v/>
      </c>
      <c r="BP225" s="31" t="n"/>
      <c r="BQ225" s="60" t="n"/>
      <c r="BR225" s="60" t="n"/>
      <c r="BS225" s="60">
        <f>BR225-BQ225</f>
        <v/>
      </c>
      <c r="BT225" s="61">
        <f>IF(BQ225=0,"",BR225/BQ225)</f>
        <v/>
      </c>
      <c r="BU225" s="27" t="n"/>
      <c r="BV225" s="62" t="n"/>
      <c r="BW225" s="62" t="n"/>
      <c r="BX225" s="62">
        <f>BW225-BV225</f>
        <v/>
      </c>
      <c r="BY225" s="64">
        <f>IF(BV225=0,"",BW225/BV225)</f>
        <v/>
      </c>
      <c r="BZ225" s="31" t="n"/>
      <c r="CA225" s="60" t="n"/>
      <c r="CB225" s="60" t="n"/>
      <c r="CC225" s="60">
        <f>CB225-CA225</f>
        <v/>
      </c>
      <c r="CD225" s="61">
        <f>IF(CA225=0,"",CB225/CA225)</f>
        <v/>
      </c>
      <c r="CE225" s="27" t="n"/>
      <c r="CF225" s="62" t="n"/>
      <c r="CG225" s="62" t="n"/>
      <c r="CH225" s="62">
        <f>CG225-CF225</f>
        <v/>
      </c>
      <c r="CI225" s="64">
        <f>IF(CF225=0,"",CG225/CF225)</f>
        <v/>
      </c>
      <c r="CJ225" s="31" t="n"/>
      <c r="CK225" s="60" t="n"/>
      <c r="CL225" s="60" t="n"/>
      <c r="CM225" s="60">
        <f>CL225-CK225</f>
        <v/>
      </c>
      <c r="CN225" s="61">
        <f>IF(CK225=0,"",CL225/CK225)</f>
        <v/>
      </c>
      <c r="CO225" s="27" t="n"/>
      <c r="CP225" s="62" t="n"/>
      <c r="CQ225" s="62" t="n"/>
      <c r="CR225" s="62">
        <f>CQ225-CP225</f>
        <v/>
      </c>
      <c r="CS225" s="64">
        <f>IF(CP225=0,"",CQ225/CP225)</f>
        <v/>
      </c>
      <c r="CT225" s="31" t="n"/>
      <c r="CU225" s="60" t="n"/>
      <c r="CV225" s="60" t="n"/>
      <c r="CW225" s="60">
        <f>CV225-CU225</f>
        <v/>
      </c>
      <c r="CX225" s="61">
        <f>IF(CU225=0,"",CV225/CU225)</f>
        <v/>
      </c>
      <c r="CY225" s="27" t="n"/>
      <c r="CZ225" s="62" t="n"/>
      <c r="DA225" s="62" t="n"/>
      <c r="DB225" s="62">
        <f>DA225-CZ225</f>
        <v/>
      </c>
      <c r="DC225" s="64">
        <f>IF(CZ225=0,"",DA225/CZ225)</f>
        <v/>
      </c>
      <c r="DD225" s="31" t="n"/>
      <c r="DE225" s="60" t="n"/>
      <c r="DF225" s="60" t="n"/>
      <c r="DG225" s="60">
        <f>DF225-DE225</f>
        <v/>
      </c>
      <c r="DH225" s="61">
        <f>IF(DE225=0,"",DF225/DE225)</f>
        <v/>
      </c>
      <c r="DI225" s="27" t="n"/>
      <c r="DJ225" s="62" t="n"/>
      <c r="DK225" s="62" t="n"/>
      <c r="DL225" s="62">
        <f>DK225-DJ225</f>
        <v/>
      </c>
      <c r="DM225" s="64">
        <f>IF(DJ225=0,"",DK225/DJ225)</f>
        <v/>
      </c>
      <c r="DN225" s="31" t="n"/>
      <c r="DO225" s="60" t="n"/>
    </row>
    <row r="226" ht="15" customHeight="1">
      <c r="A226" s="19" t="n"/>
      <c r="B226" s="20" t="n"/>
      <c r="C226" s="19" t="n"/>
      <c r="D226" s="58">
        <f>D227+D228+D229+D230+D231+D232+D233+D234</f>
        <v/>
      </c>
      <c r="E226" s="58">
        <f>E227+E228+E229+E230+E231+E232+E233+E234</f>
        <v/>
      </c>
      <c r="F226" s="58">
        <f>E226-D226</f>
        <v/>
      </c>
      <c r="G226" s="59">
        <f>IF(D226=0,"",E226/D226)</f>
        <v/>
      </c>
      <c r="H226" s="23" t="n"/>
      <c r="I226" s="58">
        <f>I227+I228+I229+I230+I231+I232+I233+I234</f>
        <v/>
      </c>
      <c r="J226" s="58">
        <f>J227+J228+J229+J230+J231+J232+J233+J234</f>
        <v/>
      </c>
      <c r="K226" s="58">
        <f>J226-I226</f>
        <v/>
      </c>
      <c r="L226" s="59">
        <f>IF(I226=0,"",J226/I226)</f>
        <v/>
      </c>
      <c r="M226" s="23" t="n"/>
      <c r="N226" s="58">
        <f>N227+N228+N229+N230+N231+N232+N233+N234</f>
        <v/>
      </c>
      <c r="O226" s="58">
        <f>O227+O228+O229+O230+O231+O232+O233+O234</f>
        <v/>
      </c>
      <c r="P226" s="58">
        <f>O226-N226</f>
        <v/>
      </c>
      <c r="Q226" s="59">
        <f>IF(N226=0,"",O226/N226)</f>
        <v/>
      </c>
      <c r="R226" s="23" t="n"/>
      <c r="S226" s="58">
        <f>S227+S228+S229+S230+S231+S232+S233+S234</f>
        <v/>
      </c>
      <c r="T226" s="58">
        <f>T227+T228+T229+T230+T231+T232+T233+T234</f>
        <v/>
      </c>
      <c r="U226" s="58">
        <f>T226-S226</f>
        <v/>
      </c>
      <c r="V226" s="59">
        <f>IF(S226=0,"",T226/S226)</f>
        <v/>
      </c>
      <c r="W226" s="23" t="n"/>
      <c r="X226" s="58">
        <f>X227+X228+X229+X230+X231+X232+X233+X234</f>
        <v/>
      </c>
      <c r="Y226" s="58">
        <f>Y227+Y228+Y229+Y230+Y231+Y232+Y233+Y234</f>
        <v/>
      </c>
      <c r="Z226" s="58">
        <f>Y226-X226</f>
        <v/>
      </c>
      <c r="AA226" s="59">
        <f>IF(X226=0,"",Y226/X226)</f>
        <v/>
      </c>
      <c r="AB226" s="23" t="n"/>
      <c r="AC226" s="58">
        <f>AC227+AC228+AC229+AC230+AC231+AC232+AC233+AC234</f>
        <v/>
      </c>
      <c r="AD226" s="58">
        <f>AD227+AD228+AD229+AD230+AD231+AD232+AD233+AD234</f>
        <v/>
      </c>
      <c r="AE226" s="58">
        <f>AD226-AC226</f>
        <v/>
      </c>
      <c r="AF226" s="59">
        <f>IF(AC226=0,"",AD226/AC226)</f>
        <v/>
      </c>
      <c r="AG226" s="23" t="n"/>
      <c r="AH226" s="58">
        <f>AH227+AH228+AH229+AH230+AH231+AH232+AH233+AH234</f>
        <v/>
      </c>
      <c r="AI226" s="58">
        <f>AI227+AI228+AI229+AI230+AI231+AI232+AI233+AI234</f>
        <v/>
      </c>
      <c r="AJ226" s="58">
        <f>AI226-AH226</f>
        <v/>
      </c>
      <c r="AK226" s="59">
        <f>IF(AH226=0,"",AI226/AH226)</f>
        <v/>
      </c>
      <c r="AL226" s="23" t="n"/>
      <c r="AM226" s="58">
        <f>AM227+AM228+AM229+AM230+AM231+AM232+AM233+AM234</f>
        <v/>
      </c>
      <c r="AN226" s="58">
        <f>AN227+AN228+AN229+AN230+AN231+AN232+AN233+AN234</f>
        <v/>
      </c>
      <c r="AO226" s="58">
        <f>AN226-AM226</f>
        <v/>
      </c>
      <c r="AP226" s="59">
        <f>IF(AM226=0,"",AN226/AM226)</f>
        <v/>
      </c>
      <c r="AQ226" s="23" t="n"/>
      <c r="AR226" s="58">
        <f>AR227+AR228+AR229+AR230+AR231+AR232+AR233+AR234</f>
        <v/>
      </c>
      <c r="AS226" s="58">
        <f>AS227+AS228+AS229+AS230+AS231+AS232+AS233+AS234</f>
        <v/>
      </c>
      <c r="AT226" s="58">
        <f>AS226-AR226</f>
        <v/>
      </c>
      <c r="AU226" s="59">
        <f>IF(AR226=0,"",AS226/AR226)</f>
        <v/>
      </c>
      <c r="AV226" s="23" t="n"/>
      <c r="AW226" s="58">
        <f>AW227+AW228+AW229+AW230+AW231+AW232+AW233+AW234</f>
        <v/>
      </c>
      <c r="AX226" s="58">
        <f>AX227+AX228+AX229+AX230+AX231+AX232+AX233+AX234</f>
        <v/>
      </c>
      <c r="AY226" s="58">
        <f>AX226-AW226</f>
        <v/>
      </c>
      <c r="AZ226" s="59">
        <f>IF(AW226=0,"",AX226/AW226)</f>
        <v/>
      </c>
      <c r="BA226" s="23" t="n"/>
      <c r="BB226" s="58">
        <f>BB227+BB228+BB229+BB230+BB231+BB232+BB233+BB234</f>
        <v/>
      </c>
      <c r="BC226" s="58">
        <f>BC227+BC228+BC229+BC230+BC231+BC232+BC233+BC234</f>
        <v/>
      </c>
      <c r="BD226" s="58">
        <f>BC226-BB226</f>
        <v/>
      </c>
      <c r="BE226" s="59">
        <f>IF(BB226=0,"",BC226/BB226)</f>
        <v/>
      </c>
      <c r="BF226" s="23" t="n"/>
      <c r="BG226" s="58">
        <f>BG227+BG228+BG229+BG230+BG231+BG232+BG233+BG234</f>
        <v/>
      </c>
      <c r="BH226" s="58">
        <f>BH227+BH228+BH229+BH230+BH231+BH232+BH233+BH234</f>
        <v/>
      </c>
      <c r="BI226" s="58">
        <f>BH226-BG226</f>
        <v/>
      </c>
      <c r="BJ226" s="59">
        <f>IF(BG226=0,"",BH226/BG226)</f>
        <v/>
      </c>
      <c r="BK226" s="23" t="n"/>
      <c r="BL226" s="58">
        <f>BL227+BL228+BL229+BL230+BL231+BL232+BL233+BL234</f>
        <v/>
      </c>
      <c r="BM226" s="58">
        <f>BM227+BM228+BM229+BM230+BM231+BM232+BM233+BM234</f>
        <v/>
      </c>
      <c r="BN226" s="58">
        <f>BM226-BL226</f>
        <v/>
      </c>
      <c r="BO226" s="59">
        <f>IF(BL226=0,"",BM226/BL226)</f>
        <v/>
      </c>
      <c r="BP226" s="23" t="n"/>
      <c r="BQ226" s="58">
        <f>BQ227+BQ228+BQ229+BQ230+BQ231+BQ232+BQ233+BQ234</f>
        <v/>
      </c>
      <c r="BR226" s="58">
        <f>BR227+BR228+BR229+BR230+BR231+BR232+BR233+BR234</f>
        <v/>
      </c>
      <c r="BS226" s="58">
        <f>BR226-BQ226</f>
        <v/>
      </c>
      <c r="BT226" s="59">
        <f>IF(BQ226=0,"",BR226/BQ226)</f>
        <v/>
      </c>
      <c r="BU226" s="23" t="n"/>
      <c r="BV226" s="58">
        <f>BV227+BV228+BV229+BV230+BV231+BV232+BV233+BV234</f>
        <v/>
      </c>
      <c r="BW226" s="58">
        <f>BW227+BW228+BW229+BW230+BW231+BW232+BW233+BW234</f>
        <v/>
      </c>
      <c r="BX226" s="58">
        <f>BW226-BV226</f>
        <v/>
      </c>
      <c r="BY226" s="59">
        <f>IF(BV226=0,"",BW226/BV226)</f>
        <v/>
      </c>
      <c r="BZ226" s="23" t="n"/>
      <c r="CA226" s="58">
        <f>CA227+CA228+CA229+CA230+CA231+CA232+CA233+CA234</f>
        <v/>
      </c>
      <c r="CB226" s="58">
        <f>CB227+CB228+CB229+CB230+CB231+CB232+CB233+CB234</f>
        <v/>
      </c>
      <c r="CC226" s="58">
        <f>CB226-CA226</f>
        <v/>
      </c>
      <c r="CD226" s="59">
        <f>IF(CA226=0,"",CB226/CA226)</f>
        <v/>
      </c>
      <c r="CE226" s="23" t="n"/>
      <c r="CF226" s="58">
        <f>CF227+CF228+CF229+CF230+CF231+CF232+CF233+CF234</f>
        <v/>
      </c>
      <c r="CG226" s="58">
        <f>CG227+CG228+CG229+CG230+CG231+CG232+CG233+CG234</f>
        <v/>
      </c>
      <c r="CH226" s="58">
        <f>CG226-CF226</f>
        <v/>
      </c>
      <c r="CI226" s="59">
        <f>IF(CF226=0,"",CG226/CF226)</f>
        <v/>
      </c>
      <c r="CJ226" s="23" t="n"/>
      <c r="CK226" s="58">
        <f>CK227+CK228+CK229+CK230+CK231+CK232+CK233+CK234</f>
        <v/>
      </c>
      <c r="CL226" s="58">
        <f>CL227+CL228+CL229+CL230+CL231+CL232+CL233+CL234</f>
        <v/>
      </c>
      <c r="CM226" s="58">
        <f>CL226-CK226</f>
        <v/>
      </c>
      <c r="CN226" s="59">
        <f>IF(CK226=0,"",CL226/CK226)</f>
        <v/>
      </c>
      <c r="CO226" s="23" t="n"/>
      <c r="CP226" s="58">
        <f>CP227+CP228+CP229+CP230+CP231+CP232+CP233+CP234</f>
        <v/>
      </c>
      <c r="CQ226" s="58">
        <f>CQ227+CQ228+CQ229+CQ230+CQ231+CQ232+CQ233+CQ234</f>
        <v/>
      </c>
      <c r="CR226" s="58">
        <f>CQ226-CP226</f>
        <v/>
      </c>
      <c r="CS226" s="59">
        <f>IF(CP226=0,"",CQ226/CP226)</f>
        <v/>
      </c>
      <c r="CT226" s="23" t="n"/>
      <c r="CU226" s="58">
        <f>CU227+CU228+CU229+CU230+CU231+CU232+CU233+CU234</f>
        <v/>
      </c>
      <c r="CV226" s="58">
        <f>CV227+CV228+CV229+CV230+CV231+CV232+CV233+CV234</f>
        <v/>
      </c>
      <c r="CW226" s="58">
        <f>CV226-CU226</f>
        <v/>
      </c>
      <c r="CX226" s="59">
        <f>IF(CU226=0,"",CV226/CU226)</f>
        <v/>
      </c>
      <c r="CY226" s="23" t="n"/>
      <c r="CZ226" s="58">
        <f>CZ227+CZ228+CZ229+CZ230+CZ231+CZ232+CZ233+CZ234</f>
        <v/>
      </c>
      <c r="DA226" s="58">
        <f>DA227+DA228+DA229+DA230+DA231+DA232+DA233+DA234</f>
        <v/>
      </c>
      <c r="DB226" s="58">
        <f>DA226-CZ226</f>
        <v/>
      </c>
      <c r="DC226" s="59">
        <f>IF(CZ226=0,"",DA226/CZ226)</f>
        <v/>
      </c>
      <c r="DD226" s="23" t="n"/>
      <c r="DE226" s="58">
        <f>DE227+DE228+DE229+DE230+DE231+DE232+DE233+DE234</f>
        <v/>
      </c>
      <c r="DF226" s="58">
        <f>DF227+DF228+DF229+DF230+DF231+DF232+DF233+DF234</f>
        <v/>
      </c>
      <c r="DG226" s="58">
        <f>DF226-DE226</f>
        <v/>
      </c>
      <c r="DH226" s="59">
        <f>IF(DE226=0,"",DF226/DE226)</f>
        <v/>
      </c>
      <c r="DI226" s="23" t="n"/>
      <c r="DJ226" s="58">
        <f>DJ227+DJ228+DJ229+DJ230+DJ231+DJ232+DJ233+DJ234</f>
        <v/>
      </c>
      <c r="DK226" s="58">
        <f>DK227+DK228+DK229+DK230+DK231+DK232+DK233+DK234</f>
        <v/>
      </c>
      <c r="DL226" s="58">
        <f>DK226-DJ226</f>
        <v/>
      </c>
      <c r="DM226" s="59">
        <f>IF(DJ226=0,"",DK226/DJ226)</f>
        <v/>
      </c>
      <c r="DN226" s="23" t="n"/>
      <c r="DO226" s="58">
        <f>DO227+DO228+DO229+DO230+DO231+DO232+DO233+DO234</f>
        <v/>
      </c>
    </row>
    <row r="227" outlineLevel="1" ht="15" customHeight="1">
      <c r="A227" s="24" t="n"/>
      <c r="B227" s="24" t="n"/>
      <c r="C227" s="24" t="n"/>
      <c r="D227" s="60" t="n"/>
      <c r="E227" s="60" t="n"/>
      <c r="F227" s="60">
        <f>E227-D227</f>
        <v/>
      </c>
      <c r="G227" s="61">
        <f>IF(D227=0,"",E227/D227)</f>
        <v/>
      </c>
      <c r="H227" s="27" t="n"/>
      <c r="I227" s="60" t="n"/>
      <c r="J227" s="60" t="n"/>
      <c r="K227" s="60">
        <f>J227-I227</f>
        <v/>
      </c>
      <c r="L227" s="61">
        <f>IF(I227=0,"",J227/I227)</f>
        <v/>
      </c>
      <c r="M227" s="27" t="n"/>
      <c r="N227" s="62" t="n"/>
      <c r="O227" s="62" t="n"/>
      <c r="P227" s="62">
        <f>O227-N227</f>
        <v/>
      </c>
      <c r="Q227" s="64">
        <f>IF(N227=0,"",O227/N227)</f>
        <v/>
      </c>
      <c r="R227" s="31" t="n"/>
      <c r="S227" s="60" t="n"/>
      <c r="T227" s="60" t="n"/>
      <c r="U227" s="60">
        <f>T227-S227</f>
        <v/>
      </c>
      <c r="V227" s="61">
        <f>IF(S227=0,"",T227/S227)</f>
        <v/>
      </c>
      <c r="W227" s="27" t="n"/>
      <c r="X227" s="62" t="n"/>
      <c r="Y227" s="62" t="n"/>
      <c r="Z227" s="62">
        <f>Y227-X227</f>
        <v/>
      </c>
      <c r="AA227" s="64">
        <f>IF(X227=0,"",Y227/X227)</f>
        <v/>
      </c>
      <c r="AB227" s="31" t="n"/>
      <c r="AC227" s="60" t="n"/>
      <c r="AD227" s="60" t="n"/>
      <c r="AE227" s="60">
        <f>AD227-AC227</f>
        <v/>
      </c>
      <c r="AF227" s="61">
        <f>IF(AC227=0,"",AD227/AC227)</f>
        <v/>
      </c>
      <c r="AG227" s="27" t="n"/>
      <c r="AH227" s="62" t="n"/>
      <c r="AI227" s="62" t="n"/>
      <c r="AJ227" s="62">
        <f>AI227-AH227</f>
        <v/>
      </c>
      <c r="AK227" s="64">
        <f>IF(AH227=0,"",AI227/AH227)</f>
        <v/>
      </c>
      <c r="AL227" s="31" t="n"/>
      <c r="AM227" s="60" t="n"/>
      <c r="AN227" s="60" t="n"/>
      <c r="AO227" s="60">
        <f>AN227-AM227</f>
        <v/>
      </c>
      <c r="AP227" s="61">
        <f>IF(AM227=0,"",AN227/AM227)</f>
        <v/>
      </c>
      <c r="AQ227" s="27" t="n"/>
      <c r="AR227" s="62" t="n"/>
      <c r="AS227" s="62" t="n"/>
      <c r="AT227" s="62">
        <f>AS227-AR227</f>
        <v/>
      </c>
      <c r="AU227" s="64">
        <f>IF(AR227=0,"",AS227/AR227)</f>
        <v/>
      </c>
      <c r="AV227" s="31" t="n"/>
      <c r="AW227" s="60" t="n"/>
      <c r="AX227" s="60" t="n"/>
      <c r="AY227" s="60">
        <f>AX227-AW227</f>
        <v/>
      </c>
      <c r="AZ227" s="61">
        <f>IF(AW227=0,"",AX227/AW227)</f>
        <v/>
      </c>
      <c r="BA227" s="27" t="n"/>
      <c r="BB227" s="62" t="n"/>
      <c r="BC227" s="62" t="n"/>
      <c r="BD227" s="62">
        <f>BC227-BB227</f>
        <v/>
      </c>
      <c r="BE227" s="64">
        <f>IF(BB227=0,"",BC227/BB227)</f>
        <v/>
      </c>
      <c r="BF227" s="31" t="n"/>
      <c r="BG227" s="60" t="n"/>
      <c r="BH227" s="60" t="n"/>
      <c r="BI227" s="60">
        <f>BH227-BG227</f>
        <v/>
      </c>
      <c r="BJ227" s="61">
        <f>IF(BG227=0,"",BH227/BG227)</f>
        <v/>
      </c>
      <c r="BK227" s="27" t="n"/>
      <c r="BL227" s="62" t="n"/>
      <c r="BM227" s="62" t="n"/>
      <c r="BN227" s="62">
        <f>BM227-BL227</f>
        <v/>
      </c>
      <c r="BO227" s="64">
        <f>IF(BL227=0,"",BM227/BL227)</f>
        <v/>
      </c>
      <c r="BP227" s="31" t="n"/>
      <c r="BQ227" s="60" t="n"/>
      <c r="BR227" s="60" t="n"/>
      <c r="BS227" s="60">
        <f>BR227-BQ227</f>
        <v/>
      </c>
      <c r="BT227" s="61">
        <f>IF(BQ227=0,"",BR227/BQ227)</f>
        <v/>
      </c>
      <c r="BU227" s="27" t="n"/>
      <c r="BV227" s="62" t="n"/>
      <c r="BW227" s="62" t="n"/>
      <c r="BX227" s="62">
        <f>BW227-BV227</f>
        <v/>
      </c>
      <c r="BY227" s="64">
        <f>IF(BV227=0,"",BW227/BV227)</f>
        <v/>
      </c>
      <c r="BZ227" s="31" t="n"/>
      <c r="CA227" s="60" t="n"/>
      <c r="CB227" s="60" t="n"/>
      <c r="CC227" s="60">
        <f>CB227-CA227</f>
        <v/>
      </c>
      <c r="CD227" s="61">
        <f>IF(CA227=0,"",CB227/CA227)</f>
        <v/>
      </c>
      <c r="CE227" s="27" t="n"/>
      <c r="CF227" s="62" t="n"/>
      <c r="CG227" s="62" t="n"/>
      <c r="CH227" s="62">
        <f>CG227-CF227</f>
        <v/>
      </c>
      <c r="CI227" s="64">
        <f>IF(CF227=0,"",CG227/CF227)</f>
        <v/>
      </c>
      <c r="CJ227" s="31" t="n"/>
      <c r="CK227" s="60" t="n"/>
      <c r="CL227" s="60" t="n"/>
      <c r="CM227" s="60">
        <f>CL227-CK227</f>
        <v/>
      </c>
      <c r="CN227" s="61">
        <f>IF(CK227=0,"",CL227/CK227)</f>
        <v/>
      </c>
      <c r="CO227" s="27" t="n"/>
      <c r="CP227" s="62" t="n"/>
      <c r="CQ227" s="62" t="n"/>
      <c r="CR227" s="62">
        <f>CQ227-CP227</f>
        <v/>
      </c>
      <c r="CS227" s="64">
        <f>IF(CP227=0,"",CQ227/CP227)</f>
        <v/>
      </c>
      <c r="CT227" s="31" t="n"/>
      <c r="CU227" s="60" t="n"/>
      <c r="CV227" s="60" t="n"/>
      <c r="CW227" s="60">
        <f>CV227-CU227</f>
        <v/>
      </c>
      <c r="CX227" s="61">
        <f>IF(CU227=0,"",CV227/CU227)</f>
        <v/>
      </c>
      <c r="CY227" s="27" t="n"/>
      <c r="CZ227" s="62" t="n"/>
      <c r="DA227" s="62" t="n"/>
      <c r="DB227" s="62">
        <f>DA227-CZ227</f>
        <v/>
      </c>
      <c r="DC227" s="64">
        <f>IF(CZ227=0,"",DA227/CZ227)</f>
        <v/>
      </c>
      <c r="DD227" s="31" t="n"/>
      <c r="DE227" s="60" t="n"/>
      <c r="DF227" s="60" t="n"/>
      <c r="DG227" s="60">
        <f>DF227-DE227</f>
        <v/>
      </c>
      <c r="DH227" s="61">
        <f>IF(DE227=0,"",DF227/DE227)</f>
        <v/>
      </c>
      <c r="DI227" s="27" t="n"/>
      <c r="DJ227" s="62" t="n"/>
      <c r="DK227" s="62" t="n"/>
      <c r="DL227" s="62">
        <f>DK227-DJ227</f>
        <v/>
      </c>
      <c r="DM227" s="64">
        <f>IF(DJ227=0,"",DK227/DJ227)</f>
        <v/>
      </c>
      <c r="DN227" s="31" t="n"/>
      <c r="DO227" s="60" t="n"/>
    </row>
    <row r="228" outlineLevel="1" ht="15" customHeight="1">
      <c r="A228" s="24" t="n"/>
      <c r="B228" s="24" t="n"/>
      <c r="C228" s="24" t="n"/>
      <c r="D228" s="60" t="n"/>
      <c r="E228" s="60" t="n"/>
      <c r="F228" s="60">
        <f>E228-D228</f>
        <v/>
      </c>
      <c r="G228" s="61">
        <f>IF(D228=0,"",E228/D228)</f>
        <v/>
      </c>
      <c r="H228" s="27" t="n"/>
      <c r="I228" s="60" t="n"/>
      <c r="J228" s="60" t="n"/>
      <c r="K228" s="60">
        <f>J228-I228</f>
        <v/>
      </c>
      <c r="L228" s="61">
        <f>IF(I228=0,"",J228/I228)</f>
        <v/>
      </c>
      <c r="M228" s="27" t="n"/>
      <c r="N228" s="62" t="n"/>
      <c r="O228" s="62" t="n"/>
      <c r="P228" s="62">
        <f>O228-N228</f>
        <v/>
      </c>
      <c r="Q228" s="64">
        <f>IF(N228=0,"",O228/N228)</f>
        <v/>
      </c>
      <c r="R228" s="31" t="n"/>
      <c r="S228" s="60" t="n"/>
      <c r="T228" s="60" t="n"/>
      <c r="U228" s="60">
        <f>T228-S228</f>
        <v/>
      </c>
      <c r="V228" s="61">
        <f>IF(S228=0,"",T228/S228)</f>
        <v/>
      </c>
      <c r="W228" s="27" t="n"/>
      <c r="X228" s="62" t="n"/>
      <c r="Y228" s="62" t="n"/>
      <c r="Z228" s="62">
        <f>Y228-X228</f>
        <v/>
      </c>
      <c r="AA228" s="64">
        <f>IF(X228=0,"",Y228/X228)</f>
        <v/>
      </c>
      <c r="AB228" s="31" t="n"/>
      <c r="AC228" s="60" t="n"/>
      <c r="AD228" s="60" t="n"/>
      <c r="AE228" s="60">
        <f>AD228-AC228</f>
        <v/>
      </c>
      <c r="AF228" s="61">
        <f>IF(AC228=0,"",AD228/AC228)</f>
        <v/>
      </c>
      <c r="AG228" s="27" t="n"/>
      <c r="AH228" s="62" t="n"/>
      <c r="AI228" s="62" t="n"/>
      <c r="AJ228" s="62">
        <f>AI228-AH228</f>
        <v/>
      </c>
      <c r="AK228" s="64">
        <f>IF(AH228=0,"",AI228/AH228)</f>
        <v/>
      </c>
      <c r="AL228" s="31" t="n"/>
      <c r="AM228" s="60" t="n"/>
      <c r="AN228" s="60" t="n"/>
      <c r="AO228" s="60">
        <f>AN228-AM228</f>
        <v/>
      </c>
      <c r="AP228" s="61">
        <f>IF(AM228=0,"",AN228/AM228)</f>
        <v/>
      </c>
      <c r="AQ228" s="27" t="n"/>
      <c r="AR228" s="62" t="n"/>
      <c r="AS228" s="62" t="n"/>
      <c r="AT228" s="62">
        <f>AS228-AR228</f>
        <v/>
      </c>
      <c r="AU228" s="64">
        <f>IF(AR228=0,"",AS228/AR228)</f>
        <v/>
      </c>
      <c r="AV228" s="31" t="n"/>
      <c r="AW228" s="60" t="n"/>
      <c r="AX228" s="60" t="n"/>
      <c r="AY228" s="60">
        <f>AX228-AW228</f>
        <v/>
      </c>
      <c r="AZ228" s="61">
        <f>IF(AW228=0,"",AX228/AW228)</f>
        <v/>
      </c>
      <c r="BA228" s="27" t="n"/>
      <c r="BB228" s="62" t="n"/>
      <c r="BC228" s="62" t="n"/>
      <c r="BD228" s="62">
        <f>BC228-BB228</f>
        <v/>
      </c>
      <c r="BE228" s="64">
        <f>IF(BB228=0,"",BC228/BB228)</f>
        <v/>
      </c>
      <c r="BF228" s="31" t="n"/>
      <c r="BG228" s="60" t="n"/>
      <c r="BH228" s="60" t="n"/>
      <c r="BI228" s="60">
        <f>BH228-BG228</f>
        <v/>
      </c>
      <c r="BJ228" s="61">
        <f>IF(BG228=0,"",BH228/BG228)</f>
        <v/>
      </c>
      <c r="BK228" s="27" t="n"/>
      <c r="BL228" s="62" t="n"/>
      <c r="BM228" s="62" t="n"/>
      <c r="BN228" s="62">
        <f>BM228-BL228</f>
        <v/>
      </c>
      <c r="BO228" s="64">
        <f>IF(BL228=0,"",BM228/BL228)</f>
        <v/>
      </c>
      <c r="BP228" s="31" t="n"/>
      <c r="BQ228" s="60" t="n"/>
      <c r="BR228" s="60" t="n"/>
      <c r="BS228" s="60">
        <f>BR228-BQ228</f>
        <v/>
      </c>
      <c r="BT228" s="61">
        <f>IF(BQ228=0,"",BR228/BQ228)</f>
        <v/>
      </c>
      <c r="BU228" s="27" t="n"/>
      <c r="BV228" s="62" t="n"/>
      <c r="BW228" s="62" t="n"/>
      <c r="BX228" s="62">
        <f>BW228-BV228</f>
        <v/>
      </c>
      <c r="BY228" s="64">
        <f>IF(BV228=0,"",BW228/BV228)</f>
        <v/>
      </c>
      <c r="BZ228" s="31" t="n"/>
      <c r="CA228" s="60" t="n"/>
      <c r="CB228" s="60" t="n"/>
      <c r="CC228" s="60">
        <f>CB228-CA228</f>
        <v/>
      </c>
      <c r="CD228" s="61">
        <f>IF(CA228=0,"",CB228/CA228)</f>
        <v/>
      </c>
      <c r="CE228" s="27" t="n"/>
      <c r="CF228" s="62" t="n"/>
      <c r="CG228" s="62" t="n"/>
      <c r="CH228" s="62">
        <f>CG228-CF228</f>
        <v/>
      </c>
      <c r="CI228" s="64">
        <f>IF(CF228=0,"",CG228/CF228)</f>
        <v/>
      </c>
      <c r="CJ228" s="31" t="n"/>
      <c r="CK228" s="60" t="n"/>
      <c r="CL228" s="60" t="n"/>
      <c r="CM228" s="60">
        <f>CL228-CK228</f>
        <v/>
      </c>
      <c r="CN228" s="61">
        <f>IF(CK228=0,"",CL228/CK228)</f>
        <v/>
      </c>
      <c r="CO228" s="27" t="n"/>
      <c r="CP228" s="62" t="n"/>
      <c r="CQ228" s="62" t="n"/>
      <c r="CR228" s="62">
        <f>CQ228-CP228</f>
        <v/>
      </c>
      <c r="CS228" s="64">
        <f>IF(CP228=0,"",CQ228/CP228)</f>
        <v/>
      </c>
      <c r="CT228" s="31" t="n"/>
      <c r="CU228" s="60" t="n"/>
      <c r="CV228" s="60" t="n"/>
      <c r="CW228" s="60">
        <f>CV228-CU228</f>
        <v/>
      </c>
      <c r="CX228" s="61">
        <f>IF(CU228=0,"",CV228/CU228)</f>
        <v/>
      </c>
      <c r="CY228" s="27" t="n"/>
      <c r="CZ228" s="62" t="n"/>
      <c r="DA228" s="62" t="n"/>
      <c r="DB228" s="62">
        <f>DA228-CZ228</f>
        <v/>
      </c>
      <c r="DC228" s="64">
        <f>IF(CZ228=0,"",DA228/CZ228)</f>
        <v/>
      </c>
      <c r="DD228" s="31" t="n"/>
      <c r="DE228" s="60" t="n"/>
      <c r="DF228" s="60" t="n"/>
      <c r="DG228" s="60">
        <f>DF228-DE228</f>
        <v/>
      </c>
      <c r="DH228" s="61">
        <f>IF(DE228=0,"",DF228/DE228)</f>
        <v/>
      </c>
      <c r="DI228" s="27" t="n"/>
      <c r="DJ228" s="62" t="n"/>
      <c r="DK228" s="62" t="n"/>
      <c r="DL228" s="62">
        <f>DK228-DJ228</f>
        <v/>
      </c>
      <c r="DM228" s="64">
        <f>IF(DJ228=0,"",DK228/DJ228)</f>
        <v/>
      </c>
      <c r="DN228" s="31" t="n"/>
      <c r="DO228" s="60" t="n"/>
    </row>
    <row r="229" outlineLevel="1" ht="15" customHeight="1">
      <c r="A229" s="24" t="n"/>
      <c r="B229" s="24" t="n"/>
      <c r="C229" s="24" t="n"/>
      <c r="D229" s="60" t="n"/>
      <c r="E229" s="60" t="n"/>
      <c r="F229" s="60">
        <f>E229-D229</f>
        <v/>
      </c>
      <c r="G229" s="61">
        <f>IF(D229=0,"",E229/D229)</f>
        <v/>
      </c>
      <c r="H229" s="27" t="n"/>
      <c r="I229" s="60" t="n"/>
      <c r="J229" s="60" t="n"/>
      <c r="K229" s="60">
        <f>J229-I229</f>
        <v/>
      </c>
      <c r="L229" s="61">
        <f>IF(I229=0,"",J229/I229)</f>
        <v/>
      </c>
      <c r="M229" s="27" t="n"/>
      <c r="N229" s="62" t="n"/>
      <c r="O229" s="62" t="n"/>
      <c r="P229" s="62">
        <f>O229-N229</f>
        <v/>
      </c>
      <c r="Q229" s="64">
        <f>IF(N229=0,"",O229/N229)</f>
        <v/>
      </c>
      <c r="R229" s="31" t="n"/>
      <c r="S229" s="60" t="n"/>
      <c r="T229" s="60" t="n"/>
      <c r="U229" s="60">
        <f>T229-S229</f>
        <v/>
      </c>
      <c r="V229" s="61">
        <f>IF(S229=0,"",T229/S229)</f>
        <v/>
      </c>
      <c r="W229" s="27" t="n"/>
      <c r="X229" s="62" t="n"/>
      <c r="Y229" s="62" t="n"/>
      <c r="Z229" s="62">
        <f>Y229-X229</f>
        <v/>
      </c>
      <c r="AA229" s="64">
        <f>IF(X229=0,"",Y229/X229)</f>
        <v/>
      </c>
      <c r="AB229" s="31" t="n"/>
      <c r="AC229" s="60" t="n"/>
      <c r="AD229" s="60" t="n"/>
      <c r="AE229" s="60">
        <f>AD229-AC229</f>
        <v/>
      </c>
      <c r="AF229" s="61">
        <f>IF(AC229=0,"",AD229/AC229)</f>
        <v/>
      </c>
      <c r="AG229" s="27" t="n"/>
      <c r="AH229" s="62" t="n"/>
      <c r="AI229" s="62" t="n"/>
      <c r="AJ229" s="62">
        <f>AI229-AH229</f>
        <v/>
      </c>
      <c r="AK229" s="64">
        <f>IF(AH229=0,"",AI229/AH229)</f>
        <v/>
      </c>
      <c r="AL229" s="31" t="n"/>
      <c r="AM229" s="60" t="n"/>
      <c r="AN229" s="60" t="n"/>
      <c r="AO229" s="60">
        <f>AN229-AM229</f>
        <v/>
      </c>
      <c r="AP229" s="61">
        <f>IF(AM229=0,"",AN229/AM229)</f>
        <v/>
      </c>
      <c r="AQ229" s="27" t="n"/>
      <c r="AR229" s="62" t="n"/>
      <c r="AS229" s="62" t="n"/>
      <c r="AT229" s="62">
        <f>AS229-AR229</f>
        <v/>
      </c>
      <c r="AU229" s="64">
        <f>IF(AR229=0,"",AS229/AR229)</f>
        <v/>
      </c>
      <c r="AV229" s="31" t="n"/>
      <c r="AW229" s="60" t="n"/>
      <c r="AX229" s="60" t="n"/>
      <c r="AY229" s="60">
        <f>AX229-AW229</f>
        <v/>
      </c>
      <c r="AZ229" s="61">
        <f>IF(AW229=0,"",AX229/AW229)</f>
        <v/>
      </c>
      <c r="BA229" s="27" t="n"/>
      <c r="BB229" s="62" t="n"/>
      <c r="BC229" s="62" t="n"/>
      <c r="BD229" s="62">
        <f>BC229-BB229</f>
        <v/>
      </c>
      <c r="BE229" s="64">
        <f>IF(BB229=0,"",BC229/BB229)</f>
        <v/>
      </c>
      <c r="BF229" s="31" t="n"/>
      <c r="BG229" s="60" t="n"/>
      <c r="BH229" s="60" t="n"/>
      <c r="BI229" s="60">
        <f>BH229-BG229</f>
        <v/>
      </c>
      <c r="BJ229" s="61">
        <f>IF(BG229=0,"",BH229/BG229)</f>
        <v/>
      </c>
      <c r="BK229" s="27" t="n"/>
      <c r="BL229" s="62" t="n"/>
      <c r="BM229" s="62" t="n"/>
      <c r="BN229" s="62">
        <f>BM229-BL229</f>
        <v/>
      </c>
      <c r="BO229" s="64">
        <f>IF(BL229=0,"",BM229/BL229)</f>
        <v/>
      </c>
      <c r="BP229" s="31" t="n"/>
      <c r="BQ229" s="60" t="n"/>
      <c r="BR229" s="60" t="n"/>
      <c r="BS229" s="60">
        <f>BR229-BQ229</f>
        <v/>
      </c>
      <c r="BT229" s="61">
        <f>IF(BQ229=0,"",BR229/BQ229)</f>
        <v/>
      </c>
      <c r="BU229" s="27" t="n"/>
      <c r="BV229" s="62" t="n"/>
      <c r="BW229" s="62" t="n"/>
      <c r="BX229" s="62">
        <f>BW229-BV229</f>
        <v/>
      </c>
      <c r="BY229" s="64">
        <f>IF(BV229=0,"",BW229/BV229)</f>
        <v/>
      </c>
      <c r="BZ229" s="31" t="n"/>
      <c r="CA229" s="60" t="n"/>
      <c r="CB229" s="60" t="n"/>
      <c r="CC229" s="60">
        <f>CB229-CA229</f>
        <v/>
      </c>
      <c r="CD229" s="61">
        <f>IF(CA229=0,"",CB229/CA229)</f>
        <v/>
      </c>
      <c r="CE229" s="27" t="n"/>
      <c r="CF229" s="62" t="n"/>
      <c r="CG229" s="62" t="n"/>
      <c r="CH229" s="62">
        <f>CG229-CF229</f>
        <v/>
      </c>
      <c r="CI229" s="64">
        <f>IF(CF229=0,"",CG229/CF229)</f>
        <v/>
      </c>
      <c r="CJ229" s="31" t="n"/>
      <c r="CK229" s="60" t="n"/>
      <c r="CL229" s="60" t="n"/>
      <c r="CM229" s="60">
        <f>CL229-CK229</f>
        <v/>
      </c>
      <c r="CN229" s="61">
        <f>IF(CK229=0,"",CL229/CK229)</f>
        <v/>
      </c>
      <c r="CO229" s="27" t="n"/>
      <c r="CP229" s="62" t="n"/>
      <c r="CQ229" s="62" t="n"/>
      <c r="CR229" s="62">
        <f>CQ229-CP229</f>
        <v/>
      </c>
      <c r="CS229" s="64">
        <f>IF(CP229=0,"",CQ229/CP229)</f>
        <v/>
      </c>
      <c r="CT229" s="31" t="n"/>
      <c r="CU229" s="60" t="n"/>
      <c r="CV229" s="60" t="n"/>
      <c r="CW229" s="60">
        <f>CV229-CU229</f>
        <v/>
      </c>
      <c r="CX229" s="61">
        <f>IF(CU229=0,"",CV229/CU229)</f>
        <v/>
      </c>
      <c r="CY229" s="27" t="n"/>
      <c r="CZ229" s="62" t="n"/>
      <c r="DA229" s="62" t="n"/>
      <c r="DB229" s="62">
        <f>DA229-CZ229</f>
        <v/>
      </c>
      <c r="DC229" s="64">
        <f>IF(CZ229=0,"",DA229/CZ229)</f>
        <v/>
      </c>
      <c r="DD229" s="31" t="n"/>
      <c r="DE229" s="60" t="n"/>
      <c r="DF229" s="60" t="n"/>
      <c r="DG229" s="60">
        <f>DF229-DE229</f>
        <v/>
      </c>
      <c r="DH229" s="61">
        <f>IF(DE229=0,"",DF229/DE229)</f>
        <v/>
      </c>
      <c r="DI229" s="27" t="n"/>
      <c r="DJ229" s="62" t="n"/>
      <c r="DK229" s="62" t="n"/>
      <c r="DL229" s="62">
        <f>DK229-DJ229</f>
        <v/>
      </c>
      <c r="DM229" s="64">
        <f>IF(DJ229=0,"",DK229/DJ229)</f>
        <v/>
      </c>
      <c r="DN229" s="31" t="n"/>
      <c r="DO229" s="60" t="n"/>
    </row>
    <row r="230" outlineLevel="1" ht="15" customHeight="1">
      <c r="A230" s="24" t="n"/>
      <c r="B230" s="24" t="n"/>
      <c r="C230" s="24" t="n"/>
      <c r="D230" s="60" t="n"/>
      <c r="E230" s="60" t="n"/>
      <c r="F230" s="60">
        <f>E230-D230</f>
        <v/>
      </c>
      <c r="G230" s="61">
        <f>IF(D230=0,"",E230/D230)</f>
        <v/>
      </c>
      <c r="H230" s="27" t="n"/>
      <c r="I230" s="60" t="n"/>
      <c r="J230" s="60" t="n"/>
      <c r="K230" s="60">
        <f>J230-I230</f>
        <v/>
      </c>
      <c r="L230" s="61">
        <f>IF(I230=0,"",J230/I230)</f>
        <v/>
      </c>
      <c r="M230" s="27" t="n"/>
      <c r="N230" s="62" t="n"/>
      <c r="O230" s="62" t="n"/>
      <c r="P230" s="62">
        <f>O230-N230</f>
        <v/>
      </c>
      <c r="Q230" s="64">
        <f>IF(N230=0,"",O230/N230)</f>
        <v/>
      </c>
      <c r="R230" s="31" t="n"/>
      <c r="S230" s="60" t="n"/>
      <c r="T230" s="60" t="n"/>
      <c r="U230" s="60">
        <f>T230-S230</f>
        <v/>
      </c>
      <c r="V230" s="61">
        <f>IF(S230=0,"",T230/S230)</f>
        <v/>
      </c>
      <c r="W230" s="27" t="n"/>
      <c r="X230" s="62" t="n"/>
      <c r="Y230" s="62" t="n"/>
      <c r="Z230" s="62">
        <f>Y230-X230</f>
        <v/>
      </c>
      <c r="AA230" s="64">
        <f>IF(X230=0,"",Y230/X230)</f>
        <v/>
      </c>
      <c r="AB230" s="31" t="n"/>
      <c r="AC230" s="60" t="n"/>
      <c r="AD230" s="60" t="n"/>
      <c r="AE230" s="60">
        <f>AD230-AC230</f>
        <v/>
      </c>
      <c r="AF230" s="61">
        <f>IF(AC230=0,"",AD230/AC230)</f>
        <v/>
      </c>
      <c r="AG230" s="27" t="n"/>
      <c r="AH230" s="62" t="n"/>
      <c r="AI230" s="62" t="n"/>
      <c r="AJ230" s="62">
        <f>AI230-AH230</f>
        <v/>
      </c>
      <c r="AK230" s="64">
        <f>IF(AH230=0,"",AI230/AH230)</f>
        <v/>
      </c>
      <c r="AL230" s="31" t="n"/>
      <c r="AM230" s="60" t="n"/>
      <c r="AN230" s="60" t="n"/>
      <c r="AO230" s="60">
        <f>AN230-AM230</f>
        <v/>
      </c>
      <c r="AP230" s="61">
        <f>IF(AM230=0,"",AN230/AM230)</f>
        <v/>
      </c>
      <c r="AQ230" s="27" t="n"/>
      <c r="AR230" s="62" t="n"/>
      <c r="AS230" s="62" t="n"/>
      <c r="AT230" s="62">
        <f>AS230-AR230</f>
        <v/>
      </c>
      <c r="AU230" s="64">
        <f>IF(AR230=0,"",AS230/AR230)</f>
        <v/>
      </c>
      <c r="AV230" s="31" t="n"/>
      <c r="AW230" s="60" t="n"/>
      <c r="AX230" s="60" t="n"/>
      <c r="AY230" s="60">
        <f>AX230-AW230</f>
        <v/>
      </c>
      <c r="AZ230" s="61">
        <f>IF(AW230=0,"",AX230/AW230)</f>
        <v/>
      </c>
      <c r="BA230" s="27" t="n"/>
      <c r="BB230" s="62" t="n"/>
      <c r="BC230" s="62" t="n"/>
      <c r="BD230" s="62">
        <f>BC230-BB230</f>
        <v/>
      </c>
      <c r="BE230" s="64">
        <f>IF(BB230=0,"",BC230/BB230)</f>
        <v/>
      </c>
      <c r="BF230" s="31" t="n"/>
      <c r="BG230" s="60" t="n"/>
      <c r="BH230" s="60" t="n"/>
      <c r="BI230" s="60">
        <f>BH230-BG230</f>
        <v/>
      </c>
      <c r="BJ230" s="61">
        <f>IF(BG230=0,"",BH230/BG230)</f>
        <v/>
      </c>
      <c r="BK230" s="27" t="n"/>
      <c r="BL230" s="62" t="n"/>
      <c r="BM230" s="62" t="n"/>
      <c r="BN230" s="62">
        <f>BM230-BL230</f>
        <v/>
      </c>
      <c r="BO230" s="64">
        <f>IF(BL230=0,"",BM230/BL230)</f>
        <v/>
      </c>
      <c r="BP230" s="31" t="n"/>
      <c r="BQ230" s="60" t="n"/>
      <c r="BR230" s="60" t="n"/>
      <c r="BS230" s="60">
        <f>BR230-BQ230</f>
        <v/>
      </c>
      <c r="BT230" s="61">
        <f>IF(BQ230=0,"",BR230/BQ230)</f>
        <v/>
      </c>
      <c r="BU230" s="27" t="n"/>
      <c r="BV230" s="62" t="n"/>
      <c r="BW230" s="62" t="n"/>
      <c r="BX230" s="62">
        <f>BW230-BV230</f>
        <v/>
      </c>
      <c r="BY230" s="64">
        <f>IF(BV230=0,"",BW230/BV230)</f>
        <v/>
      </c>
      <c r="BZ230" s="31" t="n"/>
      <c r="CA230" s="60" t="n"/>
      <c r="CB230" s="60" t="n"/>
      <c r="CC230" s="60">
        <f>CB230-CA230</f>
        <v/>
      </c>
      <c r="CD230" s="61">
        <f>IF(CA230=0,"",CB230/CA230)</f>
        <v/>
      </c>
      <c r="CE230" s="27" t="n"/>
      <c r="CF230" s="62" t="n"/>
      <c r="CG230" s="62" t="n"/>
      <c r="CH230" s="62">
        <f>CG230-CF230</f>
        <v/>
      </c>
      <c r="CI230" s="64">
        <f>IF(CF230=0,"",CG230/CF230)</f>
        <v/>
      </c>
      <c r="CJ230" s="31" t="n"/>
      <c r="CK230" s="60" t="n"/>
      <c r="CL230" s="60" t="n"/>
      <c r="CM230" s="60">
        <f>CL230-CK230</f>
        <v/>
      </c>
      <c r="CN230" s="61">
        <f>IF(CK230=0,"",CL230/CK230)</f>
        <v/>
      </c>
      <c r="CO230" s="27" t="n"/>
      <c r="CP230" s="62" t="n"/>
      <c r="CQ230" s="62" t="n"/>
      <c r="CR230" s="62">
        <f>CQ230-CP230</f>
        <v/>
      </c>
      <c r="CS230" s="64">
        <f>IF(CP230=0,"",CQ230/CP230)</f>
        <v/>
      </c>
      <c r="CT230" s="31" t="n"/>
      <c r="CU230" s="60" t="n"/>
      <c r="CV230" s="60" t="n"/>
      <c r="CW230" s="60">
        <f>CV230-CU230</f>
        <v/>
      </c>
      <c r="CX230" s="61">
        <f>IF(CU230=0,"",CV230/CU230)</f>
        <v/>
      </c>
      <c r="CY230" s="27" t="n"/>
      <c r="CZ230" s="62" t="n"/>
      <c r="DA230" s="62" t="n"/>
      <c r="DB230" s="62">
        <f>DA230-CZ230</f>
        <v/>
      </c>
      <c r="DC230" s="64">
        <f>IF(CZ230=0,"",DA230/CZ230)</f>
        <v/>
      </c>
      <c r="DD230" s="31" t="n"/>
      <c r="DE230" s="60" t="n"/>
      <c r="DF230" s="60" t="n"/>
      <c r="DG230" s="60">
        <f>DF230-DE230</f>
        <v/>
      </c>
      <c r="DH230" s="61">
        <f>IF(DE230=0,"",DF230/DE230)</f>
        <v/>
      </c>
      <c r="DI230" s="27" t="n"/>
      <c r="DJ230" s="62" t="n"/>
      <c r="DK230" s="62" t="n"/>
      <c r="DL230" s="62">
        <f>DK230-DJ230</f>
        <v/>
      </c>
      <c r="DM230" s="64">
        <f>IF(DJ230=0,"",DK230/DJ230)</f>
        <v/>
      </c>
      <c r="DN230" s="31" t="n"/>
      <c r="DO230" s="60" t="n"/>
    </row>
    <row r="231" outlineLevel="1" ht="15" customHeight="1">
      <c r="A231" s="24" t="n"/>
      <c r="B231" s="24" t="n"/>
      <c r="C231" s="24" t="n"/>
      <c r="D231" s="60" t="n"/>
      <c r="E231" s="60" t="n"/>
      <c r="F231" s="60">
        <f>E231-D231</f>
        <v/>
      </c>
      <c r="G231" s="61">
        <f>IF(D231=0,"",E231/D231)</f>
        <v/>
      </c>
      <c r="H231" s="27" t="n"/>
      <c r="I231" s="60" t="n"/>
      <c r="J231" s="60" t="n"/>
      <c r="K231" s="60">
        <f>J231-I231</f>
        <v/>
      </c>
      <c r="L231" s="61">
        <f>IF(I231=0,"",J231/I231)</f>
        <v/>
      </c>
      <c r="M231" s="27" t="n"/>
      <c r="N231" s="62" t="n"/>
      <c r="O231" s="62" t="n"/>
      <c r="P231" s="62">
        <f>O231-N231</f>
        <v/>
      </c>
      <c r="Q231" s="64">
        <f>IF(N231=0,"",O231/N231)</f>
        <v/>
      </c>
      <c r="R231" s="31" t="n"/>
      <c r="S231" s="60" t="n"/>
      <c r="T231" s="60" t="n"/>
      <c r="U231" s="60">
        <f>T231-S231</f>
        <v/>
      </c>
      <c r="V231" s="61">
        <f>IF(S231=0,"",T231/S231)</f>
        <v/>
      </c>
      <c r="W231" s="27" t="n"/>
      <c r="X231" s="62" t="n"/>
      <c r="Y231" s="62" t="n"/>
      <c r="Z231" s="62">
        <f>Y231-X231</f>
        <v/>
      </c>
      <c r="AA231" s="64">
        <f>IF(X231=0,"",Y231/X231)</f>
        <v/>
      </c>
      <c r="AB231" s="31" t="n"/>
      <c r="AC231" s="60" t="n"/>
      <c r="AD231" s="60" t="n"/>
      <c r="AE231" s="60">
        <f>AD231-AC231</f>
        <v/>
      </c>
      <c r="AF231" s="61">
        <f>IF(AC231=0,"",AD231/AC231)</f>
        <v/>
      </c>
      <c r="AG231" s="27" t="n"/>
      <c r="AH231" s="62" t="n"/>
      <c r="AI231" s="62" t="n"/>
      <c r="AJ231" s="62">
        <f>AI231-AH231</f>
        <v/>
      </c>
      <c r="AK231" s="64">
        <f>IF(AH231=0,"",AI231/AH231)</f>
        <v/>
      </c>
      <c r="AL231" s="31" t="n"/>
      <c r="AM231" s="60" t="n"/>
      <c r="AN231" s="60" t="n"/>
      <c r="AO231" s="60">
        <f>AN231-AM231</f>
        <v/>
      </c>
      <c r="AP231" s="61">
        <f>IF(AM231=0,"",AN231/AM231)</f>
        <v/>
      </c>
      <c r="AQ231" s="27" t="n"/>
      <c r="AR231" s="62" t="n"/>
      <c r="AS231" s="62" t="n"/>
      <c r="AT231" s="62">
        <f>AS231-AR231</f>
        <v/>
      </c>
      <c r="AU231" s="64">
        <f>IF(AR231=0,"",AS231/AR231)</f>
        <v/>
      </c>
      <c r="AV231" s="31" t="n"/>
      <c r="AW231" s="60" t="n"/>
      <c r="AX231" s="60" t="n"/>
      <c r="AY231" s="60">
        <f>AX231-AW231</f>
        <v/>
      </c>
      <c r="AZ231" s="61">
        <f>IF(AW231=0,"",AX231/AW231)</f>
        <v/>
      </c>
      <c r="BA231" s="27" t="n"/>
      <c r="BB231" s="62" t="n"/>
      <c r="BC231" s="62" t="n"/>
      <c r="BD231" s="62">
        <f>BC231-BB231</f>
        <v/>
      </c>
      <c r="BE231" s="64">
        <f>IF(BB231=0,"",BC231/BB231)</f>
        <v/>
      </c>
      <c r="BF231" s="31" t="n"/>
      <c r="BG231" s="60" t="n"/>
      <c r="BH231" s="60" t="n"/>
      <c r="BI231" s="60">
        <f>BH231-BG231</f>
        <v/>
      </c>
      <c r="BJ231" s="61">
        <f>IF(BG231=0,"",BH231/BG231)</f>
        <v/>
      </c>
      <c r="BK231" s="27" t="n"/>
      <c r="BL231" s="62" t="n"/>
      <c r="BM231" s="62" t="n"/>
      <c r="BN231" s="62">
        <f>BM231-BL231</f>
        <v/>
      </c>
      <c r="BO231" s="64">
        <f>IF(BL231=0,"",BM231/BL231)</f>
        <v/>
      </c>
      <c r="BP231" s="31" t="n"/>
      <c r="BQ231" s="60" t="n"/>
      <c r="BR231" s="60" t="n"/>
      <c r="BS231" s="60">
        <f>BR231-BQ231</f>
        <v/>
      </c>
      <c r="BT231" s="61">
        <f>IF(BQ231=0,"",BR231/BQ231)</f>
        <v/>
      </c>
      <c r="BU231" s="27" t="n"/>
      <c r="BV231" s="62" t="n"/>
      <c r="BW231" s="62" t="n"/>
      <c r="BX231" s="62">
        <f>BW231-BV231</f>
        <v/>
      </c>
      <c r="BY231" s="64">
        <f>IF(BV231=0,"",BW231/BV231)</f>
        <v/>
      </c>
      <c r="BZ231" s="31" t="n"/>
      <c r="CA231" s="60" t="n"/>
      <c r="CB231" s="60" t="n"/>
      <c r="CC231" s="60">
        <f>CB231-CA231</f>
        <v/>
      </c>
      <c r="CD231" s="61">
        <f>IF(CA231=0,"",CB231/CA231)</f>
        <v/>
      </c>
      <c r="CE231" s="27" t="n"/>
      <c r="CF231" s="62" t="n"/>
      <c r="CG231" s="62" t="n"/>
      <c r="CH231" s="62">
        <f>CG231-CF231</f>
        <v/>
      </c>
      <c r="CI231" s="64">
        <f>IF(CF231=0,"",CG231/CF231)</f>
        <v/>
      </c>
      <c r="CJ231" s="31" t="n"/>
      <c r="CK231" s="60" t="n"/>
      <c r="CL231" s="60" t="n"/>
      <c r="CM231" s="60">
        <f>CL231-CK231</f>
        <v/>
      </c>
      <c r="CN231" s="61">
        <f>IF(CK231=0,"",CL231/CK231)</f>
        <v/>
      </c>
      <c r="CO231" s="27" t="n"/>
      <c r="CP231" s="62" t="n"/>
      <c r="CQ231" s="62" t="n"/>
      <c r="CR231" s="62">
        <f>CQ231-CP231</f>
        <v/>
      </c>
      <c r="CS231" s="64">
        <f>IF(CP231=0,"",CQ231/CP231)</f>
        <v/>
      </c>
      <c r="CT231" s="31" t="n"/>
      <c r="CU231" s="60" t="n"/>
      <c r="CV231" s="60" t="n"/>
      <c r="CW231" s="60">
        <f>CV231-CU231</f>
        <v/>
      </c>
      <c r="CX231" s="61">
        <f>IF(CU231=0,"",CV231/CU231)</f>
        <v/>
      </c>
      <c r="CY231" s="27" t="n"/>
      <c r="CZ231" s="62" t="n"/>
      <c r="DA231" s="62" t="n"/>
      <c r="DB231" s="62">
        <f>DA231-CZ231</f>
        <v/>
      </c>
      <c r="DC231" s="64">
        <f>IF(CZ231=0,"",DA231/CZ231)</f>
        <v/>
      </c>
      <c r="DD231" s="31" t="n"/>
      <c r="DE231" s="60" t="n"/>
      <c r="DF231" s="60" t="n"/>
      <c r="DG231" s="60">
        <f>DF231-DE231</f>
        <v/>
      </c>
      <c r="DH231" s="61">
        <f>IF(DE231=0,"",DF231/DE231)</f>
        <v/>
      </c>
      <c r="DI231" s="27" t="n"/>
      <c r="DJ231" s="62" t="n"/>
      <c r="DK231" s="62" t="n"/>
      <c r="DL231" s="62">
        <f>DK231-DJ231</f>
        <v/>
      </c>
      <c r="DM231" s="64">
        <f>IF(DJ231=0,"",DK231/DJ231)</f>
        <v/>
      </c>
      <c r="DN231" s="31" t="n"/>
      <c r="DO231" s="60" t="n"/>
    </row>
    <row r="232" outlineLevel="1" ht="15" customHeight="1">
      <c r="A232" s="24" t="n"/>
      <c r="B232" s="24" t="n"/>
      <c r="C232" s="24" t="n"/>
      <c r="D232" s="60" t="n"/>
      <c r="E232" s="60" t="n"/>
      <c r="F232" s="60">
        <f>E232-D232</f>
        <v/>
      </c>
      <c r="G232" s="61">
        <f>IF(D232=0,"",E232/D232)</f>
        <v/>
      </c>
      <c r="H232" s="27" t="n"/>
      <c r="I232" s="60" t="n"/>
      <c r="J232" s="60" t="n"/>
      <c r="K232" s="60">
        <f>J232-I232</f>
        <v/>
      </c>
      <c r="L232" s="61">
        <f>IF(I232=0,"",J232/I232)</f>
        <v/>
      </c>
      <c r="M232" s="27" t="n"/>
      <c r="N232" s="62" t="n"/>
      <c r="O232" s="62" t="n"/>
      <c r="P232" s="62">
        <f>O232-N232</f>
        <v/>
      </c>
      <c r="Q232" s="64">
        <f>IF(N232=0,"",O232/N232)</f>
        <v/>
      </c>
      <c r="R232" s="31" t="n"/>
      <c r="S232" s="60" t="n"/>
      <c r="T232" s="60" t="n"/>
      <c r="U232" s="60">
        <f>T232-S232</f>
        <v/>
      </c>
      <c r="V232" s="61">
        <f>IF(S232=0,"",T232/S232)</f>
        <v/>
      </c>
      <c r="W232" s="27" t="n"/>
      <c r="X232" s="62" t="n"/>
      <c r="Y232" s="62" t="n"/>
      <c r="Z232" s="62">
        <f>Y232-X232</f>
        <v/>
      </c>
      <c r="AA232" s="64">
        <f>IF(X232=0,"",Y232/X232)</f>
        <v/>
      </c>
      <c r="AB232" s="31" t="n"/>
      <c r="AC232" s="60" t="n"/>
      <c r="AD232" s="60" t="n"/>
      <c r="AE232" s="60">
        <f>AD232-AC232</f>
        <v/>
      </c>
      <c r="AF232" s="61">
        <f>IF(AC232=0,"",AD232/AC232)</f>
        <v/>
      </c>
      <c r="AG232" s="27" t="n"/>
      <c r="AH232" s="62" t="n"/>
      <c r="AI232" s="62" t="n"/>
      <c r="AJ232" s="62">
        <f>AI232-AH232</f>
        <v/>
      </c>
      <c r="AK232" s="64">
        <f>IF(AH232=0,"",AI232/AH232)</f>
        <v/>
      </c>
      <c r="AL232" s="31" t="n"/>
      <c r="AM232" s="60" t="n"/>
      <c r="AN232" s="60" t="n"/>
      <c r="AO232" s="60">
        <f>AN232-AM232</f>
        <v/>
      </c>
      <c r="AP232" s="61">
        <f>IF(AM232=0,"",AN232/AM232)</f>
        <v/>
      </c>
      <c r="AQ232" s="27" t="n"/>
      <c r="AR232" s="62" t="n"/>
      <c r="AS232" s="62" t="n"/>
      <c r="AT232" s="62">
        <f>AS232-AR232</f>
        <v/>
      </c>
      <c r="AU232" s="64">
        <f>IF(AR232=0,"",AS232/AR232)</f>
        <v/>
      </c>
      <c r="AV232" s="31" t="n"/>
      <c r="AW232" s="60" t="n"/>
      <c r="AX232" s="60" t="n"/>
      <c r="AY232" s="60">
        <f>AX232-AW232</f>
        <v/>
      </c>
      <c r="AZ232" s="61">
        <f>IF(AW232=0,"",AX232/AW232)</f>
        <v/>
      </c>
      <c r="BA232" s="27" t="n"/>
      <c r="BB232" s="62" t="n"/>
      <c r="BC232" s="62" t="n"/>
      <c r="BD232" s="62">
        <f>BC232-BB232</f>
        <v/>
      </c>
      <c r="BE232" s="64">
        <f>IF(BB232=0,"",BC232/BB232)</f>
        <v/>
      </c>
      <c r="BF232" s="31" t="n"/>
      <c r="BG232" s="60" t="n"/>
      <c r="BH232" s="60" t="n"/>
      <c r="BI232" s="60">
        <f>BH232-BG232</f>
        <v/>
      </c>
      <c r="BJ232" s="61">
        <f>IF(BG232=0,"",BH232/BG232)</f>
        <v/>
      </c>
      <c r="BK232" s="27" t="n"/>
      <c r="BL232" s="62" t="n"/>
      <c r="BM232" s="62" t="n"/>
      <c r="BN232" s="62">
        <f>BM232-BL232</f>
        <v/>
      </c>
      <c r="BO232" s="64">
        <f>IF(BL232=0,"",BM232/BL232)</f>
        <v/>
      </c>
      <c r="BP232" s="31" t="n"/>
      <c r="BQ232" s="60" t="n"/>
      <c r="BR232" s="60" t="n"/>
      <c r="BS232" s="60">
        <f>BR232-BQ232</f>
        <v/>
      </c>
      <c r="BT232" s="61">
        <f>IF(BQ232=0,"",BR232/BQ232)</f>
        <v/>
      </c>
      <c r="BU232" s="27" t="n"/>
      <c r="BV232" s="62" t="n"/>
      <c r="BW232" s="62" t="n"/>
      <c r="BX232" s="62">
        <f>BW232-BV232</f>
        <v/>
      </c>
      <c r="BY232" s="64">
        <f>IF(BV232=0,"",BW232/BV232)</f>
        <v/>
      </c>
      <c r="BZ232" s="31" t="n"/>
      <c r="CA232" s="60" t="n"/>
      <c r="CB232" s="60" t="n"/>
      <c r="CC232" s="60">
        <f>CB232-CA232</f>
        <v/>
      </c>
      <c r="CD232" s="61">
        <f>IF(CA232=0,"",CB232/CA232)</f>
        <v/>
      </c>
      <c r="CE232" s="27" t="n"/>
      <c r="CF232" s="62" t="n"/>
      <c r="CG232" s="62" t="n"/>
      <c r="CH232" s="62">
        <f>CG232-CF232</f>
        <v/>
      </c>
      <c r="CI232" s="64">
        <f>IF(CF232=0,"",CG232/CF232)</f>
        <v/>
      </c>
      <c r="CJ232" s="31" t="n"/>
      <c r="CK232" s="60" t="n"/>
      <c r="CL232" s="60" t="n"/>
      <c r="CM232" s="60">
        <f>CL232-CK232</f>
        <v/>
      </c>
      <c r="CN232" s="61">
        <f>IF(CK232=0,"",CL232/CK232)</f>
        <v/>
      </c>
      <c r="CO232" s="27" t="n"/>
      <c r="CP232" s="62" t="n"/>
      <c r="CQ232" s="62" t="n"/>
      <c r="CR232" s="62">
        <f>CQ232-CP232</f>
        <v/>
      </c>
      <c r="CS232" s="64">
        <f>IF(CP232=0,"",CQ232/CP232)</f>
        <v/>
      </c>
      <c r="CT232" s="31" t="n"/>
      <c r="CU232" s="60" t="n"/>
      <c r="CV232" s="60" t="n"/>
      <c r="CW232" s="60">
        <f>CV232-CU232</f>
        <v/>
      </c>
      <c r="CX232" s="61">
        <f>IF(CU232=0,"",CV232/CU232)</f>
        <v/>
      </c>
      <c r="CY232" s="27" t="n"/>
      <c r="CZ232" s="62" t="n"/>
      <c r="DA232" s="62" t="n"/>
      <c r="DB232" s="62">
        <f>DA232-CZ232</f>
        <v/>
      </c>
      <c r="DC232" s="64">
        <f>IF(CZ232=0,"",DA232/CZ232)</f>
        <v/>
      </c>
      <c r="DD232" s="31" t="n"/>
      <c r="DE232" s="60" t="n"/>
      <c r="DF232" s="60" t="n"/>
      <c r="DG232" s="60">
        <f>DF232-DE232</f>
        <v/>
      </c>
      <c r="DH232" s="61">
        <f>IF(DE232=0,"",DF232/DE232)</f>
        <v/>
      </c>
      <c r="DI232" s="27" t="n"/>
      <c r="DJ232" s="62" t="n"/>
      <c r="DK232" s="62" t="n"/>
      <c r="DL232" s="62">
        <f>DK232-DJ232</f>
        <v/>
      </c>
      <c r="DM232" s="64">
        <f>IF(DJ232=0,"",DK232/DJ232)</f>
        <v/>
      </c>
      <c r="DN232" s="31" t="n"/>
      <c r="DO232" s="60" t="n"/>
    </row>
    <row r="233" outlineLevel="1" ht="15" customHeight="1">
      <c r="A233" s="24" t="n"/>
      <c r="B233" s="24" t="n"/>
      <c r="C233" s="24" t="n"/>
      <c r="D233" s="60" t="n"/>
      <c r="E233" s="60" t="n"/>
      <c r="F233" s="60">
        <f>E233-D233</f>
        <v/>
      </c>
      <c r="G233" s="61">
        <f>IF(D233=0,"",E233/D233)</f>
        <v/>
      </c>
      <c r="H233" s="27" t="n"/>
      <c r="I233" s="60" t="n"/>
      <c r="J233" s="60" t="n"/>
      <c r="K233" s="60">
        <f>J233-I233</f>
        <v/>
      </c>
      <c r="L233" s="61">
        <f>IF(I233=0,"",J233/I233)</f>
        <v/>
      </c>
      <c r="M233" s="27" t="n"/>
      <c r="N233" s="62" t="n"/>
      <c r="O233" s="62" t="n"/>
      <c r="P233" s="62">
        <f>O233-N233</f>
        <v/>
      </c>
      <c r="Q233" s="64">
        <f>IF(N233=0,"",O233/N233)</f>
        <v/>
      </c>
      <c r="R233" s="31" t="n"/>
      <c r="S233" s="60" t="n"/>
      <c r="T233" s="60" t="n"/>
      <c r="U233" s="60">
        <f>T233-S233</f>
        <v/>
      </c>
      <c r="V233" s="61">
        <f>IF(S233=0,"",T233/S233)</f>
        <v/>
      </c>
      <c r="W233" s="27" t="n"/>
      <c r="X233" s="62" t="n"/>
      <c r="Y233" s="62" t="n"/>
      <c r="Z233" s="62">
        <f>Y233-X233</f>
        <v/>
      </c>
      <c r="AA233" s="64">
        <f>IF(X233=0,"",Y233/X233)</f>
        <v/>
      </c>
      <c r="AB233" s="31" t="n"/>
      <c r="AC233" s="60" t="n"/>
      <c r="AD233" s="60" t="n"/>
      <c r="AE233" s="60">
        <f>AD233-AC233</f>
        <v/>
      </c>
      <c r="AF233" s="61">
        <f>IF(AC233=0,"",AD233/AC233)</f>
        <v/>
      </c>
      <c r="AG233" s="27" t="n"/>
      <c r="AH233" s="62" t="n"/>
      <c r="AI233" s="62" t="n"/>
      <c r="AJ233" s="62">
        <f>AI233-AH233</f>
        <v/>
      </c>
      <c r="AK233" s="64">
        <f>IF(AH233=0,"",AI233/AH233)</f>
        <v/>
      </c>
      <c r="AL233" s="31" t="n"/>
      <c r="AM233" s="60" t="n"/>
      <c r="AN233" s="60" t="n"/>
      <c r="AO233" s="60">
        <f>AN233-AM233</f>
        <v/>
      </c>
      <c r="AP233" s="61">
        <f>IF(AM233=0,"",AN233/AM233)</f>
        <v/>
      </c>
      <c r="AQ233" s="27" t="n"/>
      <c r="AR233" s="62" t="n"/>
      <c r="AS233" s="62" t="n"/>
      <c r="AT233" s="62">
        <f>AS233-AR233</f>
        <v/>
      </c>
      <c r="AU233" s="64">
        <f>IF(AR233=0,"",AS233/AR233)</f>
        <v/>
      </c>
      <c r="AV233" s="31" t="n"/>
      <c r="AW233" s="60" t="n"/>
      <c r="AX233" s="60" t="n"/>
      <c r="AY233" s="60">
        <f>AX233-AW233</f>
        <v/>
      </c>
      <c r="AZ233" s="61">
        <f>IF(AW233=0,"",AX233/AW233)</f>
        <v/>
      </c>
      <c r="BA233" s="27" t="n"/>
      <c r="BB233" s="62" t="n"/>
      <c r="BC233" s="62" t="n"/>
      <c r="BD233" s="62">
        <f>BC233-BB233</f>
        <v/>
      </c>
      <c r="BE233" s="64">
        <f>IF(BB233=0,"",BC233/BB233)</f>
        <v/>
      </c>
      <c r="BF233" s="31" t="n"/>
      <c r="BG233" s="60" t="n"/>
      <c r="BH233" s="60" t="n"/>
      <c r="BI233" s="60">
        <f>BH233-BG233</f>
        <v/>
      </c>
      <c r="BJ233" s="61">
        <f>IF(BG233=0,"",BH233/BG233)</f>
        <v/>
      </c>
      <c r="BK233" s="27" t="n"/>
      <c r="BL233" s="62" t="n"/>
      <c r="BM233" s="62" t="n"/>
      <c r="BN233" s="62">
        <f>BM233-BL233</f>
        <v/>
      </c>
      <c r="BO233" s="64">
        <f>IF(BL233=0,"",BM233/BL233)</f>
        <v/>
      </c>
      <c r="BP233" s="31" t="n"/>
      <c r="BQ233" s="60" t="n"/>
      <c r="BR233" s="60" t="n"/>
      <c r="BS233" s="60">
        <f>BR233-BQ233</f>
        <v/>
      </c>
      <c r="BT233" s="61">
        <f>IF(BQ233=0,"",BR233/BQ233)</f>
        <v/>
      </c>
      <c r="BU233" s="27" t="n"/>
      <c r="BV233" s="62" t="n"/>
      <c r="BW233" s="62" t="n"/>
      <c r="BX233" s="62">
        <f>BW233-BV233</f>
        <v/>
      </c>
      <c r="BY233" s="64">
        <f>IF(BV233=0,"",BW233/BV233)</f>
        <v/>
      </c>
      <c r="BZ233" s="31" t="n"/>
      <c r="CA233" s="60" t="n"/>
      <c r="CB233" s="60" t="n"/>
      <c r="CC233" s="60">
        <f>CB233-CA233</f>
        <v/>
      </c>
      <c r="CD233" s="61">
        <f>IF(CA233=0,"",CB233/CA233)</f>
        <v/>
      </c>
      <c r="CE233" s="27" t="n"/>
      <c r="CF233" s="62" t="n"/>
      <c r="CG233" s="62" t="n"/>
      <c r="CH233" s="62">
        <f>CG233-CF233</f>
        <v/>
      </c>
      <c r="CI233" s="64">
        <f>IF(CF233=0,"",CG233/CF233)</f>
        <v/>
      </c>
      <c r="CJ233" s="31" t="n"/>
      <c r="CK233" s="60" t="n"/>
      <c r="CL233" s="60" t="n"/>
      <c r="CM233" s="60">
        <f>CL233-CK233</f>
        <v/>
      </c>
      <c r="CN233" s="61">
        <f>IF(CK233=0,"",CL233/CK233)</f>
        <v/>
      </c>
      <c r="CO233" s="27" t="n"/>
      <c r="CP233" s="62" t="n"/>
      <c r="CQ233" s="62" t="n"/>
      <c r="CR233" s="62">
        <f>CQ233-CP233</f>
        <v/>
      </c>
      <c r="CS233" s="64">
        <f>IF(CP233=0,"",CQ233/CP233)</f>
        <v/>
      </c>
      <c r="CT233" s="31" t="n"/>
      <c r="CU233" s="60" t="n"/>
      <c r="CV233" s="60" t="n"/>
      <c r="CW233" s="60">
        <f>CV233-CU233</f>
        <v/>
      </c>
      <c r="CX233" s="61">
        <f>IF(CU233=0,"",CV233/CU233)</f>
        <v/>
      </c>
      <c r="CY233" s="27" t="n"/>
      <c r="CZ233" s="62" t="n"/>
      <c r="DA233" s="62" t="n"/>
      <c r="DB233" s="62">
        <f>DA233-CZ233</f>
        <v/>
      </c>
      <c r="DC233" s="64">
        <f>IF(CZ233=0,"",DA233/CZ233)</f>
        <v/>
      </c>
      <c r="DD233" s="31" t="n"/>
      <c r="DE233" s="60" t="n"/>
      <c r="DF233" s="60" t="n"/>
      <c r="DG233" s="60">
        <f>DF233-DE233</f>
        <v/>
      </c>
      <c r="DH233" s="61">
        <f>IF(DE233=0,"",DF233/DE233)</f>
        <v/>
      </c>
      <c r="DI233" s="27" t="n"/>
      <c r="DJ233" s="62" t="n"/>
      <c r="DK233" s="62" t="n"/>
      <c r="DL233" s="62">
        <f>DK233-DJ233</f>
        <v/>
      </c>
      <c r="DM233" s="64">
        <f>IF(DJ233=0,"",DK233/DJ233)</f>
        <v/>
      </c>
      <c r="DN233" s="31" t="n"/>
      <c r="DO233" s="60" t="n"/>
    </row>
    <row r="234" outlineLevel="1" ht="15" customHeight="1">
      <c r="A234" s="24" t="n"/>
      <c r="B234" s="24" t="n"/>
      <c r="C234" s="24" t="n"/>
      <c r="D234" s="60" t="n"/>
      <c r="E234" s="60" t="n"/>
      <c r="F234" s="60">
        <f>E234-D234</f>
        <v/>
      </c>
      <c r="G234" s="61">
        <f>IF(D234=0,"",E234/D234)</f>
        <v/>
      </c>
      <c r="H234" s="27" t="n"/>
      <c r="I234" s="60" t="n"/>
      <c r="J234" s="60" t="n"/>
      <c r="K234" s="60">
        <f>J234-I234</f>
        <v/>
      </c>
      <c r="L234" s="61">
        <f>IF(I234=0,"",J234/I234)</f>
        <v/>
      </c>
      <c r="M234" s="27" t="n"/>
      <c r="N234" s="62" t="n"/>
      <c r="O234" s="62" t="n"/>
      <c r="P234" s="62">
        <f>O234-N234</f>
        <v/>
      </c>
      <c r="Q234" s="64">
        <f>IF(N234=0,"",O234/N234)</f>
        <v/>
      </c>
      <c r="R234" s="31" t="n"/>
      <c r="S234" s="60" t="n"/>
      <c r="T234" s="60" t="n"/>
      <c r="U234" s="60">
        <f>T234-S234</f>
        <v/>
      </c>
      <c r="V234" s="61">
        <f>IF(S234=0,"",T234/S234)</f>
        <v/>
      </c>
      <c r="W234" s="27" t="n"/>
      <c r="X234" s="62" t="n"/>
      <c r="Y234" s="62" t="n"/>
      <c r="Z234" s="62">
        <f>Y234-X234</f>
        <v/>
      </c>
      <c r="AA234" s="64">
        <f>IF(X234=0,"",Y234/X234)</f>
        <v/>
      </c>
      <c r="AB234" s="31" t="n"/>
      <c r="AC234" s="60" t="n"/>
      <c r="AD234" s="60" t="n"/>
      <c r="AE234" s="60">
        <f>AD234-AC234</f>
        <v/>
      </c>
      <c r="AF234" s="61">
        <f>IF(AC234=0,"",AD234/AC234)</f>
        <v/>
      </c>
      <c r="AG234" s="27" t="n"/>
      <c r="AH234" s="62" t="n"/>
      <c r="AI234" s="62" t="n"/>
      <c r="AJ234" s="62">
        <f>AI234-AH234</f>
        <v/>
      </c>
      <c r="AK234" s="64">
        <f>IF(AH234=0,"",AI234/AH234)</f>
        <v/>
      </c>
      <c r="AL234" s="31" t="n"/>
      <c r="AM234" s="60" t="n"/>
      <c r="AN234" s="60" t="n"/>
      <c r="AO234" s="60">
        <f>AN234-AM234</f>
        <v/>
      </c>
      <c r="AP234" s="61">
        <f>IF(AM234=0,"",AN234/AM234)</f>
        <v/>
      </c>
      <c r="AQ234" s="27" t="n"/>
      <c r="AR234" s="62" t="n"/>
      <c r="AS234" s="62" t="n"/>
      <c r="AT234" s="62">
        <f>AS234-AR234</f>
        <v/>
      </c>
      <c r="AU234" s="64">
        <f>IF(AR234=0,"",AS234/AR234)</f>
        <v/>
      </c>
      <c r="AV234" s="31" t="n"/>
      <c r="AW234" s="60" t="n"/>
      <c r="AX234" s="60" t="n"/>
      <c r="AY234" s="60">
        <f>AX234-AW234</f>
        <v/>
      </c>
      <c r="AZ234" s="61">
        <f>IF(AW234=0,"",AX234/AW234)</f>
        <v/>
      </c>
      <c r="BA234" s="27" t="n"/>
      <c r="BB234" s="62" t="n"/>
      <c r="BC234" s="62" t="n"/>
      <c r="BD234" s="62">
        <f>BC234-BB234</f>
        <v/>
      </c>
      <c r="BE234" s="64">
        <f>IF(BB234=0,"",BC234/BB234)</f>
        <v/>
      </c>
      <c r="BF234" s="31" t="n"/>
      <c r="BG234" s="60" t="n"/>
      <c r="BH234" s="60" t="n"/>
      <c r="BI234" s="60">
        <f>BH234-BG234</f>
        <v/>
      </c>
      <c r="BJ234" s="61">
        <f>IF(BG234=0,"",BH234/BG234)</f>
        <v/>
      </c>
      <c r="BK234" s="27" t="n"/>
      <c r="BL234" s="62" t="n"/>
      <c r="BM234" s="62" t="n"/>
      <c r="BN234" s="62">
        <f>BM234-BL234</f>
        <v/>
      </c>
      <c r="BO234" s="64">
        <f>IF(BL234=0,"",BM234/BL234)</f>
        <v/>
      </c>
      <c r="BP234" s="31" t="n"/>
      <c r="BQ234" s="60" t="n"/>
      <c r="BR234" s="60" t="n"/>
      <c r="BS234" s="60">
        <f>BR234-BQ234</f>
        <v/>
      </c>
      <c r="BT234" s="61">
        <f>IF(BQ234=0,"",BR234/BQ234)</f>
        <v/>
      </c>
      <c r="BU234" s="27" t="n"/>
      <c r="BV234" s="62" t="n"/>
      <c r="BW234" s="62" t="n"/>
      <c r="BX234" s="62">
        <f>BW234-BV234</f>
        <v/>
      </c>
      <c r="BY234" s="64">
        <f>IF(BV234=0,"",BW234/BV234)</f>
        <v/>
      </c>
      <c r="BZ234" s="31" t="n"/>
      <c r="CA234" s="60" t="n"/>
      <c r="CB234" s="60" t="n"/>
      <c r="CC234" s="60">
        <f>CB234-CA234</f>
        <v/>
      </c>
      <c r="CD234" s="61">
        <f>IF(CA234=0,"",CB234/CA234)</f>
        <v/>
      </c>
      <c r="CE234" s="27" t="n"/>
      <c r="CF234" s="62" t="n"/>
      <c r="CG234" s="62" t="n"/>
      <c r="CH234" s="62">
        <f>CG234-CF234</f>
        <v/>
      </c>
      <c r="CI234" s="64">
        <f>IF(CF234=0,"",CG234/CF234)</f>
        <v/>
      </c>
      <c r="CJ234" s="31" t="n"/>
      <c r="CK234" s="60" t="n"/>
      <c r="CL234" s="60" t="n"/>
      <c r="CM234" s="60">
        <f>CL234-CK234</f>
        <v/>
      </c>
      <c r="CN234" s="61">
        <f>IF(CK234=0,"",CL234/CK234)</f>
        <v/>
      </c>
      <c r="CO234" s="27" t="n"/>
      <c r="CP234" s="62" t="n"/>
      <c r="CQ234" s="62" t="n"/>
      <c r="CR234" s="62">
        <f>CQ234-CP234</f>
        <v/>
      </c>
      <c r="CS234" s="64">
        <f>IF(CP234=0,"",CQ234/CP234)</f>
        <v/>
      </c>
      <c r="CT234" s="31" t="n"/>
      <c r="CU234" s="60" t="n"/>
      <c r="CV234" s="60" t="n"/>
      <c r="CW234" s="60">
        <f>CV234-CU234</f>
        <v/>
      </c>
      <c r="CX234" s="61">
        <f>IF(CU234=0,"",CV234/CU234)</f>
        <v/>
      </c>
      <c r="CY234" s="27" t="n"/>
      <c r="CZ234" s="62" t="n"/>
      <c r="DA234" s="62" t="n"/>
      <c r="DB234" s="62">
        <f>DA234-CZ234</f>
        <v/>
      </c>
      <c r="DC234" s="64">
        <f>IF(CZ234=0,"",DA234/CZ234)</f>
        <v/>
      </c>
      <c r="DD234" s="31" t="n"/>
      <c r="DE234" s="60" t="n"/>
      <c r="DF234" s="60" t="n"/>
      <c r="DG234" s="60">
        <f>DF234-DE234</f>
        <v/>
      </c>
      <c r="DH234" s="61">
        <f>IF(DE234=0,"",DF234/DE234)</f>
        <v/>
      </c>
      <c r="DI234" s="27" t="n"/>
      <c r="DJ234" s="62" t="n"/>
      <c r="DK234" s="62" t="n"/>
      <c r="DL234" s="62">
        <f>DK234-DJ234</f>
        <v/>
      </c>
      <c r="DM234" s="64">
        <f>IF(DJ234=0,"",DK234/DJ234)</f>
        <v/>
      </c>
      <c r="DN234" s="31" t="n"/>
      <c r="DO234" s="60" t="n"/>
    </row>
    <row r="235" ht="15" customHeight="1">
      <c r="A235" s="32" t="n"/>
      <c r="B235" s="32" t="n"/>
      <c r="C235" s="32" t="n"/>
      <c r="D235" s="65">
        <f>D237+D239+D241+D242+D243</f>
        <v/>
      </c>
      <c r="E235" s="65">
        <f>E237+E239+E241+E242+E243</f>
        <v/>
      </c>
      <c r="F235" s="65">
        <f>E235-D235</f>
        <v/>
      </c>
      <c r="G235" s="66">
        <f>IF(D235=0,"",E235/D235)</f>
        <v/>
      </c>
      <c r="H235" s="35" t="n"/>
      <c r="I235" s="65">
        <f>I237+I239+I241+I242+I243</f>
        <v/>
      </c>
      <c r="J235" s="65">
        <f>J237+J239+J241+J242+J243</f>
        <v/>
      </c>
      <c r="K235" s="65">
        <f>J235-I235</f>
        <v/>
      </c>
      <c r="L235" s="66">
        <f>IF(I235=0,"",J235/I235)</f>
        <v/>
      </c>
      <c r="M235" s="35" t="n"/>
      <c r="N235" s="65">
        <f>N237+N239+N241+N242+N243</f>
        <v/>
      </c>
      <c r="O235" s="65">
        <f>O237+O239+O241+O242+O243</f>
        <v/>
      </c>
      <c r="P235" s="65">
        <f>O235-N235</f>
        <v/>
      </c>
      <c r="Q235" s="66">
        <f>IF(N235=0,"",O235/N235)</f>
        <v/>
      </c>
      <c r="R235" s="35" t="n"/>
      <c r="S235" s="65">
        <f>S237+S239+S241+S242+S243</f>
        <v/>
      </c>
      <c r="T235" s="65">
        <f>T237+T239+T241+T242+T243</f>
        <v/>
      </c>
      <c r="U235" s="65">
        <f>T235-S235</f>
        <v/>
      </c>
      <c r="V235" s="66">
        <f>IF(S235=0,"",T235/S235)</f>
        <v/>
      </c>
      <c r="W235" s="35" t="n"/>
      <c r="X235" s="65">
        <f>X237+X239+X241+X242+X243</f>
        <v/>
      </c>
      <c r="Y235" s="65">
        <f>Y237+Y239+Y241+Y242+Y243</f>
        <v/>
      </c>
      <c r="Z235" s="65">
        <f>Y235-X235</f>
        <v/>
      </c>
      <c r="AA235" s="66">
        <f>IF(X235=0,"",Y235/X235)</f>
        <v/>
      </c>
      <c r="AB235" s="35" t="n"/>
      <c r="AC235" s="65">
        <f>AC237+AC239+AC241+AC242+AC243</f>
        <v/>
      </c>
      <c r="AD235" s="65">
        <f>AD237+AD239+AD241+AD242+AD243</f>
        <v/>
      </c>
      <c r="AE235" s="65">
        <f>AD235-AC235</f>
        <v/>
      </c>
      <c r="AF235" s="66">
        <f>IF(AC235=0,"",AD235/AC235)</f>
        <v/>
      </c>
      <c r="AG235" s="35" t="n"/>
      <c r="AH235" s="65">
        <f>AH237+AH239+AH241+AH242+AH243</f>
        <v/>
      </c>
      <c r="AI235" s="65">
        <f>AI237+AI239+AI241+AI242+AI243</f>
        <v/>
      </c>
      <c r="AJ235" s="65">
        <f>AI235-AH235</f>
        <v/>
      </c>
      <c r="AK235" s="66">
        <f>IF(AH235=0,"",AI235/AH235)</f>
        <v/>
      </c>
      <c r="AL235" s="35" t="n"/>
      <c r="AM235" s="65">
        <f>AM237+AM239+AM241+AM242+AM243</f>
        <v/>
      </c>
      <c r="AN235" s="65">
        <f>AN237+AN239+AN241+AN242+AN243</f>
        <v/>
      </c>
      <c r="AO235" s="65">
        <f>AN235-AM235</f>
        <v/>
      </c>
      <c r="AP235" s="66">
        <f>IF(AM235=0,"",AN235/AM235)</f>
        <v/>
      </c>
      <c r="AQ235" s="35" t="n"/>
      <c r="AR235" s="65">
        <f>AR237+AR239+AR241+AR242+AR243</f>
        <v/>
      </c>
      <c r="AS235" s="65">
        <f>AS237+AS239+AS241+AS242+AS243</f>
        <v/>
      </c>
      <c r="AT235" s="65">
        <f>AS235-AR235</f>
        <v/>
      </c>
      <c r="AU235" s="66">
        <f>IF(AR235=0,"",AS235/AR235)</f>
        <v/>
      </c>
      <c r="AV235" s="35" t="n"/>
      <c r="AW235" s="65">
        <f>AW237+AW239+AW241+AW242+AW243</f>
        <v/>
      </c>
      <c r="AX235" s="65">
        <f>AX237+AX239+AX241+AX242+AX243</f>
        <v/>
      </c>
      <c r="AY235" s="65">
        <f>AX235-AW235</f>
        <v/>
      </c>
      <c r="AZ235" s="66">
        <f>IF(AW235=0,"",AX235/AW235)</f>
        <v/>
      </c>
      <c r="BA235" s="35" t="n"/>
      <c r="BB235" s="65">
        <f>BB237+BB239+BB241+BB242+BB243</f>
        <v/>
      </c>
      <c r="BC235" s="65">
        <f>BC237+BC239+BC241+BC242+BC243</f>
        <v/>
      </c>
      <c r="BD235" s="65">
        <f>BC235-BB235</f>
        <v/>
      </c>
      <c r="BE235" s="66">
        <f>IF(BB235=0,"",BC235/BB235)</f>
        <v/>
      </c>
      <c r="BF235" s="35" t="n"/>
      <c r="BG235" s="65">
        <f>BG237+BG239+BG241+BG242+BG243</f>
        <v/>
      </c>
      <c r="BH235" s="65">
        <f>BH237+BH239+BH241+BH242+BH243</f>
        <v/>
      </c>
      <c r="BI235" s="65">
        <f>BH235-BG235</f>
        <v/>
      </c>
      <c r="BJ235" s="66">
        <f>IF(BG235=0,"",BH235/BG235)</f>
        <v/>
      </c>
      <c r="BK235" s="35" t="n"/>
      <c r="BL235" s="65">
        <f>BL237+BL239+BL241+BL242+BL243</f>
        <v/>
      </c>
      <c r="BM235" s="65">
        <f>BM237+BM239+BM241+BM242+BM243</f>
        <v/>
      </c>
      <c r="BN235" s="65">
        <f>BM235-BL235</f>
        <v/>
      </c>
      <c r="BO235" s="66">
        <f>IF(BL235=0,"",BM235/BL235)</f>
        <v/>
      </c>
      <c r="BP235" s="35" t="n"/>
      <c r="BQ235" s="65">
        <f>BQ237+BQ239+BQ241+BQ242+BQ243</f>
        <v/>
      </c>
      <c r="BR235" s="65">
        <f>BR237+BR239+BR241+BR242+BR243</f>
        <v/>
      </c>
      <c r="BS235" s="65">
        <f>BR235-BQ235</f>
        <v/>
      </c>
      <c r="BT235" s="66">
        <f>IF(BQ235=0,"",BR235/BQ235)</f>
        <v/>
      </c>
      <c r="BU235" s="35" t="n"/>
      <c r="BV235" s="65">
        <f>BV237+BV239+BV241+BV242+BV243</f>
        <v/>
      </c>
      <c r="BW235" s="65">
        <f>BW237+BW239+BW241+BW242+BW243</f>
        <v/>
      </c>
      <c r="BX235" s="65">
        <f>BW235-BV235</f>
        <v/>
      </c>
      <c r="BY235" s="66">
        <f>IF(BV235=0,"",BW235/BV235)</f>
        <v/>
      </c>
      <c r="BZ235" s="35" t="n"/>
      <c r="CA235" s="65">
        <f>CA237+CA239+CA241+CA242+CA243</f>
        <v/>
      </c>
      <c r="CB235" s="65">
        <f>CB237+CB239+CB241+CB242+CB243</f>
        <v/>
      </c>
      <c r="CC235" s="65">
        <f>CB235-CA235</f>
        <v/>
      </c>
      <c r="CD235" s="66">
        <f>IF(CA235=0,"",CB235/CA235)</f>
        <v/>
      </c>
      <c r="CE235" s="35" t="n"/>
      <c r="CF235" s="65">
        <f>CF237+CF239+CF241+CF242+CF243</f>
        <v/>
      </c>
      <c r="CG235" s="65">
        <f>CG237+CG239+CG241+CG242+CG243</f>
        <v/>
      </c>
      <c r="CH235" s="65">
        <f>CG235-CF235</f>
        <v/>
      </c>
      <c r="CI235" s="66">
        <f>IF(CF235=0,"",CG235/CF235)</f>
        <v/>
      </c>
      <c r="CJ235" s="35" t="n"/>
      <c r="CK235" s="65">
        <f>CK237+CK239+CK241+CK242+CK243</f>
        <v/>
      </c>
      <c r="CL235" s="65">
        <f>CL237+CL239+CL241+CL242+CL243</f>
        <v/>
      </c>
      <c r="CM235" s="65">
        <f>CL235-CK235</f>
        <v/>
      </c>
      <c r="CN235" s="66">
        <f>IF(CK235=0,"",CL235/CK235)</f>
        <v/>
      </c>
      <c r="CO235" s="35" t="n"/>
      <c r="CP235" s="65">
        <f>CP237+CP239+CP241+CP242+CP243</f>
        <v/>
      </c>
      <c r="CQ235" s="65">
        <f>CQ237+CQ239+CQ241+CQ242+CQ243</f>
        <v/>
      </c>
      <c r="CR235" s="65">
        <f>CQ235-CP235</f>
        <v/>
      </c>
      <c r="CS235" s="66">
        <f>IF(CP235=0,"",CQ235/CP235)</f>
        <v/>
      </c>
      <c r="CT235" s="35" t="n"/>
      <c r="CU235" s="65">
        <f>CU237+CU239+CU241+CU242+CU243</f>
        <v/>
      </c>
      <c r="CV235" s="65">
        <f>CV237+CV239+CV241+CV242+CV243</f>
        <v/>
      </c>
      <c r="CW235" s="65">
        <f>CV235-CU235</f>
        <v/>
      </c>
      <c r="CX235" s="66">
        <f>IF(CU235=0,"",CV235/CU235)</f>
        <v/>
      </c>
      <c r="CY235" s="35" t="n"/>
      <c r="CZ235" s="65">
        <f>CZ237+CZ239+CZ241+CZ242+CZ243</f>
        <v/>
      </c>
      <c r="DA235" s="65">
        <f>DA237+DA239+DA241+DA242+DA243</f>
        <v/>
      </c>
      <c r="DB235" s="65">
        <f>DA235-CZ235</f>
        <v/>
      </c>
      <c r="DC235" s="66">
        <f>IF(CZ235=0,"",DA235/CZ235)</f>
        <v/>
      </c>
      <c r="DD235" s="35" t="n"/>
      <c r="DE235" s="65">
        <f>DE237+DE239+DE241+DE242+DE243</f>
        <v/>
      </c>
      <c r="DF235" s="65">
        <f>DF237+DF239+DF241+DF242+DF243</f>
        <v/>
      </c>
      <c r="DG235" s="65">
        <f>DF235-DE235</f>
        <v/>
      </c>
      <c r="DH235" s="66">
        <f>IF(DE235=0,"",DF235/DE235)</f>
        <v/>
      </c>
      <c r="DI235" s="35" t="n"/>
      <c r="DJ235" s="65">
        <f>DJ237+DJ239+DJ241+DJ242+DJ243</f>
        <v/>
      </c>
      <c r="DK235" s="65">
        <f>DK237+DK239+DK241+DK242+DK243</f>
        <v/>
      </c>
      <c r="DL235" s="65">
        <f>DK235-DJ235</f>
        <v/>
      </c>
      <c r="DM235" s="66">
        <f>IF(DJ235=0,"",DK235/DJ235)</f>
        <v/>
      </c>
      <c r="DN235" s="35" t="n"/>
      <c r="DO235" s="65">
        <f>DO237+DO239+DO241+DO242+DO243</f>
        <v/>
      </c>
    </row>
    <row r="236" ht="15" customHeight="1">
      <c r="A236" s="19" t="n"/>
      <c r="B236" s="20" t="n"/>
      <c r="C236" s="19" t="n"/>
      <c r="D236" s="58">
        <f>D237</f>
        <v/>
      </c>
      <c r="E236" s="58">
        <f>E237</f>
        <v/>
      </c>
      <c r="F236" s="58">
        <f>E236-D236</f>
        <v/>
      </c>
      <c r="G236" s="59">
        <f>IF(D236=0,"",E236/D236)</f>
        <v/>
      </c>
      <c r="H236" s="23" t="n"/>
      <c r="I236" s="58">
        <f>I237</f>
        <v/>
      </c>
      <c r="J236" s="58">
        <f>J237</f>
        <v/>
      </c>
      <c r="K236" s="58">
        <f>J236-I236</f>
        <v/>
      </c>
      <c r="L236" s="59">
        <f>IF(I236=0,"",J236/I236)</f>
        <v/>
      </c>
      <c r="M236" s="23" t="n"/>
      <c r="N236" s="58">
        <f>N237</f>
        <v/>
      </c>
      <c r="O236" s="58">
        <f>O237</f>
        <v/>
      </c>
      <c r="P236" s="58">
        <f>O236-N236</f>
        <v/>
      </c>
      <c r="Q236" s="59">
        <f>IF(N236=0,"",O236/N236)</f>
        <v/>
      </c>
      <c r="R236" s="23" t="n"/>
      <c r="S236" s="58">
        <f>S237</f>
        <v/>
      </c>
      <c r="T236" s="58">
        <f>T237</f>
        <v/>
      </c>
      <c r="U236" s="58">
        <f>T236-S236</f>
        <v/>
      </c>
      <c r="V236" s="59">
        <f>IF(S236=0,"",T236/S236)</f>
        <v/>
      </c>
      <c r="W236" s="23" t="n"/>
      <c r="X236" s="58">
        <f>X237</f>
        <v/>
      </c>
      <c r="Y236" s="58">
        <f>Y237</f>
        <v/>
      </c>
      <c r="Z236" s="58">
        <f>Y236-X236</f>
        <v/>
      </c>
      <c r="AA236" s="59">
        <f>IF(X236=0,"",Y236/X236)</f>
        <v/>
      </c>
      <c r="AB236" s="23" t="n"/>
      <c r="AC236" s="58">
        <f>AC237</f>
        <v/>
      </c>
      <c r="AD236" s="58">
        <f>AD237</f>
        <v/>
      </c>
      <c r="AE236" s="58">
        <f>AD236-AC236</f>
        <v/>
      </c>
      <c r="AF236" s="59">
        <f>IF(AC236=0,"",AD236/AC236)</f>
        <v/>
      </c>
      <c r="AG236" s="23" t="n"/>
      <c r="AH236" s="58">
        <f>AH237</f>
        <v/>
      </c>
      <c r="AI236" s="58">
        <f>AI237</f>
        <v/>
      </c>
      <c r="AJ236" s="58">
        <f>AI236-AH236</f>
        <v/>
      </c>
      <c r="AK236" s="59">
        <f>IF(AH236=0,"",AI236/AH236)</f>
        <v/>
      </c>
      <c r="AL236" s="23" t="n"/>
      <c r="AM236" s="58">
        <f>AM237</f>
        <v/>
      </c>
      <c r="AN236" s="58">
        <f>AN237</f>
        <v/>
      </c>
      <c r="AO236" s="58">
        <f>AN236-AM236</f>
        <v/>
      </c>
      <c r="AP236" s="59">
        <f>IF(AM236=0,"",AN236/AM236)</f>
        <v/>
      </c>
      <c r="AQ236" s="23" t="n"/>
      <c r="AR236" s="58">
        <f>AR237</f>
        <v/>
      </c>
      <c r="AS236" s="58">
        <f>AS237</f>
        <v/>
      </c>
      <c r="AT236" s="58">
        <f>AS236-AR236</f>
        <v/>
      </c>
      <c r="AU236" s="59">
        <f>IF(AR236=0,"",AS236/AR236)</f>
        <v/>
      </c>
      <c r="AV236" s="23" t="n"/>
      <c r="AW236" s="58">
        <f>AW237</f>
        <v/>
      </c>
      <c r="AX236" s="58">
        <f>AX237</f>
        <v/>
      </c>
      <c r="AY236" s="58">
        <f>AX236-AW236</f>
        <v/>
      </c>
      <c r="AZ236" s="59">
        <f>IF(AW236=0,"",AX236/AW236)</f>
        <v/>
      </c>
      <c r="BA236" s="23" t="n"/>
      <c r="BB236" s="58">
        <f>BB237</f>
        <v/>
      </c>
      <c r="BC236" s="58">
        <f>BC237</f>
        <v/>
      </c>
      <c r="BD236" s="58">
        <f>BC236-BB236</f>
        <v/>
      </c>
      <c r="BE236" s="59">
        <f>IF(BB236=0,"",BC236/BB236)</f>
        <v/>
      </c>
      <c r="BF236" s="23" t="n"/>
      <c r="BG236" s="58">
        <f>BG237</f>
        <v/>
      </c>
      <c r="BH236" s="58">
        <f>BH237</f>
        <v/>
      </c>
      <c r="BI236" s="58">
        <f>BH236-BG236</f>
        <v/>
      </c>
      <c r="BJ236" s="59">
        <f>IF(BG236=0,"",BH236/BG236)</f>
        <v/>
      </c>
      <c r="BK236" s="23" t="n"/>
      <c r="BL236" s="58">
        <f>BL237</f>
        <v/>
      </c>
      <c r="BM236" s="58">
        <f>BM237</f>
        <v/>
      </c>
      <c r="BN236" s="58">
        <f>BM236-BL236</f>
        <v/>
      </c>
      <c r="BO236" s="59">
        <f>IF(BL236=0,"",BM236/BL236)</f>
        <v/>
      </c>
      <c r="BP236" s="23" t="n"/>
      <c r="BQ236" s="58">
        <f>BQ237</f>
        <v/>
      </c>
      <c r="BR236" s="58">
        <f>BR237</f>
        <v/>
      </c>
      <c r="BS236" s="58">
        <f>BR236-BQ236</f>
        <v/>
      </c>
      <c r="BT236" s="59">
        <f>IF(BQ236=0,"",BR236/BQ236)</f>
        <v/>
      </c>
      <c r="BU236" s="23" t="n"/>
      <c r="BV236" s="58">
        <f>BV237</f>
        <v/>
      </c>
      <c r="BW236" s="58">
        <f>BW237</f>
        <v/>
      </c>
      <c r="BX236" s="58">
        <f>BW236-BV236</f>
        <v/>
      </c>
      <c r="BY236" s="59">
        <f>IF(BV236=0,"",BW236/BV236)</f>
        <v/>
      </c>
      <c r="BZ236" s="23" t="n"/>
      <c r="CA236" s="58">
        <f>CA237</f>
        <v/>
      </c>
      <c r="CB236" s="58">
        <f>CB237</f>
        <v/>
      </c>
      <c r="CC236" s="58">
        <f>CB236-CA236</f>
        <v/>
      </c>
      <c r="CD236" s="59">
        <f>IF(CA236=0,"",CB236/CA236)</f>
        <v/>
      </c>
      <c r="CE236" s="23" t="n"/>
      <c r="CF236" s="58">
        <f>CF237</f>
        <v/>
      </c>
      <c r="CG236" s="58">
        <f>CG237</f>
        <v/>
      </c>
      <c r="CH236" s="58">
        <f>CG236-CF236</f>
        <v/>
      </c>
      <c r="CI236" s="59">
        <f>IF(CF236=0,"",CG236/CF236)</f>
        <v/>
      </c>
      <c r="CJ236" s="23" t="n"/>
      <c r="CK236" s="58">
        <f>CK237</f>
        <v/>
      </c>
      <c r="CL236" s="58">
        <f>CL237</f>
        <v/>
      </c>
      <c r="CM236" s="58">
        <f>CL236-CK236</f>
        <v/>
      </c>
      <c r="CN236" s="59">
        <f>IF(CK236=0,"",CL236/CK236)</f>
        <v/>
      </c>
      <c r="CO236" s="23" t="n"/>
      <c r="CP236" s="58">
        <f>CP237</f>
        <v/>
      </c>
      <c r="CQ236" s="58">
        <f>CQ237</f>
        <v/>
      </c>
      <c r="CR236" s="58">
        <f>CQ236-CP236</f>
        <v/>
      </c>
      <c r="CS236" s="59">
        <f>IF(CP236=0,"",CQ236/CP236)</f>
        <v/>
      </c>
      <c r="CT236" s="23" t="n"/>
      <c r="CU236" s="58">
        <f>CU237</f>
        <v/>
      </c>
      <c r="CV236" s="58">
        <f>CV237</f>
        <v/>
      </c>
      <c r="CW236" s="58">
        <f>CV236-CU236</f>
        <v/>
      </c>
      <c r="CX236" s="59">
        <f>IF(CU236=0,"",CV236/CU236)</f>
        <v/>
      </c>
      <c r="CY236" s="23" t="n"/>
      <c r="CZ236" s="58">
        <f>CZ237</f>
        <v/>
      </c>
      <c r="DA236" s="58">
        <f>DA237</f>
        <v/>
      </c>
      <c r="DB236" s="58">
        <f>DA236-CZ236</f>
        <v/>
      </c>
      <c r="DC236" s="59">
        <f>IF(CZ236=0,"",DA236/CZ236)</f>
        <v/>
      </c>
      <c r="DD236" s="23" t="n"/>
      <c r="DE236" s="58">
        <f>DE237</f>
        <v/>
      </c>
      <c r="DF236" s="58">
        <f>DF237</f>
        <v/>
      </c>
      <c r="DG236" s="58">
        <f>DF236-DE236</f>
        <v/>
      </c>
      <c r="DH236" s="59">
        <f>IF(DE236=0,"",DF236/DE236)</f>
        <v/>
      </c>
      <c r="DI236" s="23" t="n"/>
      <c r="DJ236" s="58">
        <f>DJ237</f>
        <v/>
      </c>
      <c r="DK236" s="58">
        <f>DK237</f>
        <v/>
      </c>
      <c r="DL236" s="58">
        <f>DK236-DJ236</f>
        <v/>
      </c>
      <c r="DM236" s="59">
        <f>IF(DJ236=0,"",DK236/DJ236)</f>
        <v/>
      </c>
      <c r="DN236" s="23" t="n"/>
      <c r="DO236" s="58">
        <f>DO237</f>
        <v/>
      </c>
    </row>
    <row r="237" outlineLevel="1" ht="15" customHeight="1">
      <c r="A237" s="24" t="n"/>
      <c r="B237" s="24" t="n"/>
      <c r="C237" s="24" t="n"/>
      <c r="D237" s="60" t="n"/>
      <c r="E237" s="60" t="n"/>
      <c r="F237" s="60">
        <f>E237-D237</f>
        <v/>
      </c>
      <c r="G237" s="61">
        <f>IF(D237=0,"",E237/D237)</f>
        <v/>
      </c>
      <c r="H237" s="27" t="n"/>
      <c r="I237" s="60" t="n"/>
      <c r="J237" s="60" t="n"/>
      <c r="K237" s="60">
        <f>J237-I237</f>
        <v/>
      </c>
      <c r="L237" s="61">
        <f>IF(I237=0,"",J237/I237)</f>
        <v/>
      </c>
      <c r="M237" s="27" t="n"/>
      <c r="N237" s="62" t="n"/>
      <c r="O237" s="62" t="n"/>
      <c r="P237" s="62">
        <f>O237-N237</f>
        <v/>
      </c>
      <c r="Q237" s="64">
        <f>IF(N237=0,"",O237/N237)</f>
        <v/>
      </c>
      <c r="R237" s="31" t="n"/>
      <c r="S237" s="60" t="n"/>
      <c r="T237" s="60" t="n"/>
      <c r="U237" s="60">
        <f>T237-S237</f>
        <v/>
      </c>
      <c r="V237" s="61">
        <f>IF(S237=0,"",T237/S237)</f>
        <v/>
      </c>
      <c r="W237" s="27" t="n"/>
      <c r="X237" s="62" t="n"/>
      <c r="Y237" s="62" t="n"/>
      <c r="Z237" s="62">
        <f>Y237-X237</f>
        <v/>
      </c>
      <c r="AA237" s="64">
        <f>IF(X237=0,"",Y237/X237)</f>
        <v/>
      </c>
      <c r="AB237" s="31" t="n"/>
      <c r="AC237" s="60" t="n"/>
      <c r="AD237" s="60" t="n"/>
      <c r="AE237" s="60">
        <f>AD237-AC237</f>
        <v/>
      </c>
      <c r="AF237" s="61">
        <f>IF(AC237=0,"",AD237/AC237)</f>
        <v/>
      </c>
      <c r="AG237" s="27" t="n"/>
      <c r="AH237" s="62" t="n"/>
      <c r="AI237" s="62" t="n"/>
      <c r="AJ237" s="62">
        <f>AI237-AH237</f>
        <v/>
      </c>
      <c r="AK237" s="64">
        <f>IF(AH237=0,"",AI237/AH237)</f>
        <v/>
      </c>
      <c r="AL237" s="31" t="n"/>
      <c r="AM237" s="60" t="n"/>
      <c r="AN237" s="60" t="n"/>
      <c r="AO237" s="60">
        <f>AN237-AM237</f>
        <v/>
      </c>
      <c r="AP237" s="61">
        <f>IF(AM237=0,"",AN237/AM237)</f>
        <v/>
      </c>
      <c r="AQ237" s="27" t="n"/>
      <c r="AR237" s="62" t="n"/>
      <c r="AS237" s="62" t="n"/>
      <c r="AT237" s="62">
        <f>AS237-AR237</f>
        <v/>
      </c>
      <c r="AU237" s="64">
        <f>IF(AR237=0,"",AS237/AR237)</f>
        <v/>
      </c>
      <c r="AV237" s="31" t="n"/>
      <c r="AW237" s="60" t="n"/>
      <c r="AX237" s="60" t="n"/>
      <c r="AY237" s="60">
        <f>AX237-AW237</f>
        <v/>
      </c>
      <c r="AZ237" s="61">
        <f>IF(AW237=0,"",AX237/AW237)</f>
        <v/>
      </c>
      <c r="BA237" s="27" t="n"/>
      <c r="BB237" s="62" t="n"/>
      <c r="BC237" s="62" t="n"/>
      <c r="BD237" s="62">
        <f>BC237-BB237</f>
        <v/>
      </c>
      <c r="BE237" s="64">
        <f>IF(BB237=0,"",BC237/BB237)</f>
        <v/>
      </c>
      <c r="BF237" s="31" t="n"/>
      <c r="BG237" s="60" t="n"/>
      <c r="BH237" s="60" t="n"/>
      <c r="BI237" s="60">
        <f>BH237-BG237</f>
        <v/>
      </c>
      <c r="BJ237" s="61">
        <f>IF(BG237=0,"",BH237/BG237)</f>
        <v/>
      </c>
      <c r="BK237" s="27" t="n"/>
      <c r="BL237" s="62" t="n"/>
      <c r="BM237" s="62" t="n"/>
      <c r="BN237" s="62">
        <f>BM237-BL237</f>
        <v/>
      </c>
      <c r="BO237" s="64">
        <f>IF(BL237=0,"",BM237/BL237)</f>
        <v/>
      </c>
      <c r="BP237" s="31" t="n"/>
      <c r="BQ237" s="60" t="n"/>
      <c r="BR237" s="60" t="n"/>
      <c r="BS237" s="60">
        <f>BR237-BQ237</f>
        <v/>
      </c>
      <c r="BT237" s="61">
        <f>IF(BQ237=0,"",BR237/BQ237)</f>
        <v/>
      </c>
      <c r="BU237" s="27" t="n"/>
      <c r="BV237" s="62" t="n"/>
      <c r="BW237" s="62" t="n"/>
      <c r="BX237" s="62">
        <f>BW237-BV237</f>
        <v/>
      </c>
      <c r="BY237" s="64">
        <f>IF(BV237=0,"",BW237/BV237)</f>
        <v/>
      </c>
      <c r="BZ237" s="31" t="n"/>
      <c r="CA237" s="60" t="n"/>
      <c r="CB237" s="60" t="n"/>
      <c r="CC237" s="60">
        <f>CB237-CA237</f>
        <v/>
      </c>
      <c r="CD237" s="61">
        <f>IF(CA237=0,"",CB237/CA237)</f>
        <v/>
      </c>
      <c r="CE237" s="27" t="n"/>
      <c r="CF237" s="62" t="n"/>
      <c r="CG237" s="62" t="n"/>
      <c r="CH237" s="62">
        <f>CG237-CF237</f>
        <v/>
      </c>
      <c r="CI237" s="64">
        <f>IF(CF237=0,"",CG237/CF237)</f>
        <v/>
      </c>
      <c r="CJ237" s="31" t="n"/>
      <c r="CK237" s="60" t="n"/>
      <c r="CL237" s="60" t="n"/>
      <c r="CM237" s="60">
        <f>CL237-CK237</f>
        <v/>
      </c>
      <c r="CN237" s="61">
        <f>IF(CK237=0,"",CL237/CK237)</f>
        <v/>
      </c>
      <c r="CO237" s="27" t="n"/>
      <c r="CP237" s="62" t="n"/>
      <c r="CQ237" s="62" t="n"/>
      <c r="CR237" s="62">
        <f>CQ237-CP237</f>
        <v/>
      </c>
      <c r="CS237" s="64">
        <f>IF(CP237=0,"",CQ237/CP237)</f>
        <v/>
      </c>
      <c r="CT237" s="31" t="n"/>
      <c r="CU237" s="60" t="n"/>
      <c r="CV237" s="60" t="n"/>
      <c r="CW237" s="60">
        <f>CV237-CU237</f>
        <v/>
      </c>
      <c r="CX237" s="61">
        <f>IF(CU237=0,"",CV237/CU237)</f>
        <v/>
      </c>
      <c r="CY237" s="27" t="n"/>
      <c r="CZ237" s="62" t="n"/>
      <c r="DA237" s="62" t="n"/>
      <c r="DB237" s="62">
        <f>DA237-CZ237</f>
        <v/>
      </c>
      <c r="DC237" s="64">
        <f>IF(CZ237=0,"",DA237/CZ237)</f>
        <v/>
      </c>
      <c r="DD237" s="31" t="n"/>
      <c r="DE237" s="60" t="n"/>
      <c r="DF237" s="60" t="n"/>
      <c r="DG237" s="60">
        <f>DF237-DE237</f>
        <v/>
      </c>
      <c r="DH237" s="61">
        <f>IF(DE237=0,"",DF237/DE237)</f>
        <v/>
      </c>
      <c r="DI237" s="27" t="n"/>
      <c r="DJ237" s="62" t="n"/>
      <c r="DK237" s="62" t="n"/>
      <c r="DL237" s="62">
        <f>DK237-DJ237</f>
        <v/>
      </c>
      <c r="DM237" s="64">
        <f>IF(DJ237=0,"",DK237/DJ237)</f>
        <v/>
      </c>
      <c r="DN237" s="31" t="n"/>
      <c r="DO237" s="60" t="n"/>
    </row>
    <row r="238" ht="15" customHeight="1">
      <c r="A238" s="19" t="n"/>
      <c r="B238" s="20" t="n"/>
      <c r="C238" s="19" t="n"/>
      <c r="D238" s="58">
        <f>D239</f>
        <v/>
      </c>
      <c r="E238" s="58">
        <f>E239</f>
        <v/>
      </c>
      <c r="F238" s="58">
        <f>E238-D238</f>
        <v/>
      </c>
      <c r="G238" s="59">
        <f>IF(D238=0,"",E238/D238)</f>
        <v/>
      </c>
      <c r="H238" s="23" t="n"/>
      <c r="I238" s="58">
        <f>I239</f>
        <v/>
      </c>
      <c r="J238" s="58">
        <f>J239</f>
        <v/>
      </c>
      <c r="K238" s="58">
        <f>J238-I238</f>
        <v/>
      </c>
      <c r="L238" s="59">
        <f>IF(I238=0,"",J238/I238)</f>
        <v/>
      </c>
      <c r="M238" s="23" t="n"/>
      <c r="N238" s="58">
        <f>N239</f>
        <v/>
      </c>
      <c r="O238" s="58">
        <f>O239</f>
        <v/>
      </c>
      <c r="P238" s="58">
        <f>O238-N238</f>
        <v/>
      </c>
      <c r="Q238" s="59">
        <f>IF(N238=0,"",O238/N238)</f>
        <v/>
      </c>
      <c r="R238" s="23" t="n"/>
      <c r="S238" s="58">
        <f>S239</f>
        <v/>
      </c>
      <c r="T238" s="58">
        <f>T239</f>
        <v/>
      </c>
      <c r="U238" s="58">
        <f>T238-S238</f>
        <v/>
      </c>
      <c r="V238" s="59">
        <f>IF(S238=0,"",T238/S238)</f>
        <v/>
      </c>
      <c r="W238" s="23" t="n"/>
      <c r="X238" s="58">
        <f>X239</f>
        <v/>
      </c>
      <c r="Y238" s="58">
        <f>Y239</f>
        <v/>
      </c>
      <c r="Z238" s="58">
        <f>Y238-X238</f>
        <v/>
      </c>
      <c r="AA238" s="59">
        <f>IF(X238=0,"",Y238/X238)</f>
        <v/>
      </c>
      <c r="AB238" s="23" t="n"/>
      <c r="AC238" s="58">
        <f>AC239</f>
        <v/>
      </c>
      <c r="AD238" s="58">
        <f>AD239</f>
        <v/>
      </c>
      <c r="AE238" s="58">
        <f>AD238-AC238</f>
        <v/>
      </c>
      <c r="AF238" s="59">
        <f>IF(AC238=0,"",AD238/AC238)</f>
        <v/>
      </c>
      <c r="AG238" s="23" t="n"/>
      <c r="AH238" s="58">
        <f>AH239</f>
        <v/>
      </c>
      <c r="AI238" s="58">
        <f>AI239</f>
        <v/>
      </c>
      <c r="AJ238" s="58">
        <f>AI238-AH238</f>
        <v/>
      </c>
      <c r="AK238" s="59">
        <f>IF(AH238=0,"",AI238/AH238)</f>
        <v/>
      </c>
      <c r="AL238" s="23" t="n"/>
      <c r="AM238" s="58">
        <f>AM239</f>
        <v/>
      </c>
      <c r="AN238" s="58">
        <f>AN239</f>
        <v/>
      </c>
      <c r="AO238" s="58">
        <f>AN238-AM238</f>
        <v/>
      </c>
      <c r="AP238" s="59">
        <f>IF(AM238=0,"",AN238/AM238)</f>
        <v/>
      </c>
      <c r="AQ238" s="23" t="n"/>
      <c r="AR238" s="58">
        <f>AR239</f>
        <v/>
      </c>
      <c r="AS238" s="58">
        <f>AS239</f>
        <v/>
      </c>
      <c r="AT238" s="58">
        <f>AS238-AR238</f>
        <v/>
      </c>
      <c r="AU238" s="59">
        <f>IF(AR238=0,"",AS238/AR238)</f>
        <v/>
      </c>
      <c r="AV238" s="23" t="n"/>
      <c r="AW238" s="58">
        <f>AW239</f>
        <v/>
      </c>
      <c r="AX238" s="58">
        <f>AX239</f>
        <v/>
      </c>
      <c r="AY238" s="58">
        <f>AX238-AW238</f>
        <v/>
      </c>
      <c r="AZ238" s="59">
        <f>IF(AW238=0,"",AX238/AW238)</f>
        <v/>
      </c>
      <c r="BA238" s="23" t="n"/>
      <c r="BB238" s="58">
        <f>BB239</f>
        <v/>
      </c>
      <c r="BC238" s="58">
        <f>BC239</f>
        <v/>
      </c>
      <c r="BD238" s="58">
        <f>BC238-BB238</f>
        <v/>
      </c>
      <c r="BE238" s="59">
        <f>IF(BB238=0,"",BC238/BB238)</f>
        <v/>
      </c>
      <c r="BF238" s="23" t="n"/>
      <c r="BG238" s="58">
        <f>BG239</f>
        <v/>
      </c>
      <c r="BH238" s="58">
        <f>BH239</f>
        <v/>
      </c>
      <c r="BI238" s="58">
        <f>BH238-BG238</f>
        <v/>
      </c>
      <c r="BJ238" s="59">
        <f>IF(BG238=0,"",BH238/BG238)</f>
        <v/>
      </c>
      <c r="BK238" s="23" t="n"/>
      <c r="BL238" s="58">
        <f>BL239</f>
        <v/>
      </c>
      <c r="BM238" s="58">
        <f>BM239</f>
        <v/>
      </c>
      <c r="BN238" s="58">
        <f>BM238-BL238</f>
        <v/>
      </c>
      <c r="BO238" s="59">
        <f>IF(BL238=0,"",BM238/BL238)</f>
        <v/>
      </c>
      <c r="BP238" s="23" t="n"/>
      <c r="BQ238" s="58">
        <f>BQ239</f>
        <v/>
      </c>
      <c r="BR238" s="58">
        <f>BR239</f>
        <v/>
      </c>
      <c r="BS238" s="58">
        <f>BR238-BQ238</f>
        <v/>
      </c>
      <c r="BT238" s="59">
        <f>IF(BQ238=0,"",BR238/BQ238)</f>
        <v/>
      </c>
      <c r="BU238" s="23" t="n"/>
      <c r="BV238" s="58">
        <f>BV239</f>
        <v/>
      </c>
      <c r="BW238" s="58">
        <f>BW239</f>
        <v/>
      </c>
      <c r="BX238" s="58">
        <f>BW238-BV238</f>
        <v/>
      </c>
      <c r="BY238" s="59">
        <f>IF(BV238=0,"",BW238/BV238)</f>
        <v/>
      </c>
      <c r="BZ238" s="23" t="n"/>
      <c r="CA238" s="58">
        <f>CA239</f>
        <v/>
      </c>
      <c r="CB238" s="58">
        <f>CB239</f>
        <v/>
      </c>
      <c r="CC238" s="58">
        <f>CB238-CA238</f>
        <v/>
      </c>
      <c r="CD238" s="59">
        <f>IF(CA238=0,"",CB238/CA238)</f>
        <v/>
      </c>
      <c r="CE238" s="23" t="n"/>
      <c r="CF238" s="58">
        <f>CF239</f>
        <v/>
      </c>
      <c r="CG238" s="58">
        <f>CG239</f>
        <v/>
      </c>
      <c r="CH238" s="58">
        <f>CG238-CF238</f>
        <v/>
      </c>
      <c r="CI238" s="59">
        <f>IF(CF238=0,"",CG238/CF238)</f>
        <v/>
      </c>
      <c r="CJ238" s="23" t="n"/>
      <c r="CK238" s="58">
        <f>CK239</f>
        <v/>
      </c>
      <c r="CL238" s="58">
        <f>CL239</f>
        <v/>
      </c>
      <c r="CM238" s="58">
        <f>CL238-CK238</f>
        <v/>
      </c>
      <c r="CN238" s="59">
        <f>IF(CK238=0,"",CL238/CK238)</f>
        <v/>
      </c>
      <c r="CO238" s="23" t="n"/>
      <c r="CP238" s="58">
        <f>CP239</f>
        <v/>
      </c>
      <c r="CQ238" s="58">
        <f>CQ239</f>
        <v/>
      </c>
      <c r="CR238" s="58">
        <f>CQ238-CP238</f>
        <v/>
      </c>
      <c r="CS238" s="59">
        <f>IF(CP238=0,"",CQ238/CP238)</f>
        <v/>
      </c>
      <c r="CT238" s="23" t="n"/>
      <c r="CU238" s="58">
        <f>CU239</f>
        <v/>
      </c>
      <c r="CV238" s="58">
        <f>CV239</f>
        <v/>
      </c>
      <c r="CW238" s="58">
        <f>CV238-CU238</f>
        <v/>
      </c>
      <c r="CX238" s="59">
        <f>IF(CU238=0,"",CV238/CU238)</f>
        <v/>
      </c>
      <c r="CY238" s="23" t="n"/>
      <c r="CZ238" s="58">
        <f>CZ239</f>
        <v/>
      </c>
      <c r="DA238" s="58">
        <f>DA239</f>
        <v/>
      </c>
      <c r="DB238" s="58">
        <f>DA238-CZ238</f>
        <v/>
      </c>
      <c r="DC238" s="59">
        <f>IF(CZ238=0,"",DA238/CZ238)</f>
        <v/>
      </c>
      <c r="DD238" s="23" t="n"/>
      <c r="DE238" s="58">
        <f>DE239</f>
        <v/>
      </c>
      <c r="DF238" s="58">
        <f>DF239</f>
        <v/>
      </c>
      <c r="DG238" s="58">
        <f>DF238-DE238</f>
        <v/>
      </c>
      <c r="DH238" s="59">
        <f>IF(DE238=0,"",DF238/DE238)</f>
        <v/>
      </c>
      <c r="DI238" s="23" t="n"/>
      <c r="DJ238" s="58">
        <f>DJ239</f>
        <v/>
      </c>
      <c r="DK238" s="58">
        <f>DK239</f>
        <v/>
      </c>
      <c r="DL238" s="58">
        <f>DK238-DJ238</f>
        <v/>
      </c>
      <c r="DM238" s="59">
        <f>IF(DJ238=0,"",DK238/DJ238)</f>
        <v/>
      </c>
      <c r="DN238" s="23" t="n"/>
      <c r="DO238" s="58">
        <f>DO239</f>
        <v/>
      </c>
    </row>
    <row r="239" outlineLevel="1" ht="15" customHeight="1">
      <c r="A239" s="24" t="n"/>
      <c r="B239" s="24" t="n"/>
      <c r="C239" s="24" t="n"/>
      <c r="D239" s="60" t="n"/>
      <c r="E239" s="60" t="n"/>
      <c r="F239" s="60">
        <f>E239-D239</f>
        <v/>
      </c>
      <c r="G239" s="61">
        <f>IF(D239=0,"",E239/D239)</f>
        <v/>
      </c>
      <c r="H239" s="27" t="n"/>
      <c r="I239" s="60" t="n"/>
      <c r="J239" s="60" t="n"/>
      <c r="K239" s="60">
        <f>J239-I239</f>
        <v/>
      </c>
      <c r="L239" s="61">
        <f>IF(I239=0,"",J239/I239)</f>
        <v/>
      </c>
      <c r="M239" s="27" t="n"/>
      <c r="N239" s="62" t="n"/>
      <c r="O239" s="62" t="n"/>
      <c r="P239" s="62">
        <f>O239-N239</f>
        <v/>
      </c>
      <c r="Q239" s="64">
        <f>IF(N239=0,"",O239/N239)</f>
        <v/>
      </c>
      <c r="R239" s="31" t="n"/>
      <c r="S239" s="60" t="n"/>
      <c r="T239" s="60" t="n"/>
      <c r="U239" s="60">
        <f>T239-S239</f>
        <v/>
      </c>
      <c r="V239" s="61">
        <f>IF(S239=0,"",T239/S239)</f>
        <v/>
      </c>
      <c r="W239" s="27" t="n"/>
      <c r="X239" s="62" t="n"/>
      <c r="Y239" s="62" t="n"/>
      <c r="Z239" s="62">
        <f>Y239-X239</f>
        <v/>
      </c>
      <c r="AA239" s="64">
        <f>IF(X239=0,"",Y239/X239)</f>
        <v/>
      </c>
      <c r="AB239" s="31" t="n"/>
      <c r="AC239" s="60" t="n"/>
      <c r="AD239" s="60" t="n"/>
      <c r="AE239" s="60">
        <f>AD239-AC239</f>
        <v/>
      </c>
      <c r="AF239" s="61">
        <f>IF(AC239=0,"",AD239/AC239)</f>
        <v/>
      </c>
      <c r="AG239" s="27" t="n"/>
      <c r="AH239" s="62" t="n"/>
      <c r="AI239" s="62" t="n"/>
      <c r="AJ239" s="62">
        <f>AI239-AH239</f>
        <v/>
      </c>
      <c r="AK239" s="64">
        <f>IF(AH239=0,"",AI239/AH239)</f>
        <v/>
      </c>
      <c r="AL239" s="31" t="n"/>
      <c r="AM239" s="60" t="n"/>
      <c r="AN239" s="60" t="n"/>
      <c r="AO239" s="60">
        <f>AN239-AM239</f>
        <v/>
      </c>
      <c r="AP239" s="61">
        <f>IF(AM239=0,"",AN239/AM239)</f>
        <v/>
      </c>
      <c r="AQ239" s="27" t="n"/>
      <c r="AR239" s="62" t="n"/>
      <c r="AS239" s="62" t="n"/>
      <c r="AT239" s="62">
        <f>AS239-AR239</f>
        <v/>
      </c>
      <c r="AU239" s="64">
        <f>IF(AR239=0,"",AS239/AR239)</f>
        <v/>
      </c>
      <c r="AV239" s="31" t="n"/>
      <c r="AW239" s="60" t="n"/>
      <c r="AX239" s="60" t="n"/>
      <c r="AY239" s="60">
        <f>AX239-AW239</f>
        <v/>
      </c>
      <c r="AZ239" s="61">
        <f>IF(AW239=0,"",AX239/AW239)</f>
        <v/>
      </c>
      <c r="BA239" s="27" t="n"/>
      <c r="BB239" s="62" t="n"/>
      <c r="BC239" s="62" t="n"/>
      <c r="BD239" s="62">
        <f>BC239-BB239</f>
        <v/>
      </c>
      <c r="BE239" s="64">
        <f>IF(BB239=0,"",BC239/BB239)</f>
        <v/>
      </c>
      <c r="BF239" s="31" t="n"/>
      <c r="BG239" s="60" t="n"/>
      <c r="BH239" s="60" t="n"/>
      <c r="BI239" s="60">
        <f>BH239-BG239</f>
        <v/>
      </c>
      <c r="BJ239" s="61">
        <f>IF(BG239=0,"",BH239/BG239)</f>
        <v/>
      </c>
      <c r="BK239" s="27" t="n"/>
      <c r="BL239" s="62" t="n"/>
      <c r="BM239" s="62" t="n"/>
      <c r="BN239" s="62">
        <f>BM239-BL239</f>
        <v/>
      </c>
      <c r="BO239" s="64">
        <f>IF(BL239=0,"",BM239/BL239)</f>
        <v/>
      </c>
      <c r="BP239" s="31" t="n"/>
      <c r="BQ239" s="60" t="n"/>
      <c r="BR239" s="60" t="n"/>
      <c r="BS239" s="60">
        <f>BR239-BQ239</f>
        <v/>
      </c>
      <c r="BT239" s="61">
        <f>IF(BQ239=0,"",BR239/BQ239)</f>
        <v/>
      </c>
      <c r="BU239" s="27" t="n"/>
      <c r="BV239" s="62" t="n"/>
      <c r="BW239" s="62" t="n"/>
      <c r="BX239" s="62">
        <f>BW239-BV239</f>
        <v/>
      </c>
      <c r="BY239" s="64">
        <f>IF(BV239=0,"",BW239/BV239)</f>
        <v/>
      </c>
      <c r="BZ239" s="31" t="n"/>
      <c r="CA239" s="60" t="n"/>
      <c r="CB239" s="60" t="n"/>
      <c r="CC239" s="60">
        <f>CB239-CA239</f>
        <v/>
      </c>
      <c r="CD239" s="61">
        <f>IF(CA239=0,"",CB239/CA239)</f>
        <v/>
      </c>
      <c r="CE239" s="27" t="n"/>
      <c r="CF239" s="62" t="n"/>
      <c r="CG239" s="62" t="n"/>
      <c r="CH239" s="62">
        <f>CG239-CF239</f>
        <v/>
      </c>
      <c r="CI239" s="64">
        <f>IF(CF239=0,"",CG239/CF239)</f>
        <v/>
      </c>
      <c r="CJ239" s="31" t="n"/>
      <c r="CK239" s="60" t="n"/>
      <c r="CL239" s="60" t="n"/>
      <c r="CM239" s="60">
        <f>CL239-CK239</f>
        <v/>
      </c>
      <c r="CN239" s="61">
        <f>IF(CK239=0,"",CL239/CK239)</f>
        <v/>
      </c>
      <c r="CO239" s="27" t="n"/>
      <c r="CP239" s="62" t="n"/>
      <c r="CQ239" s="62" t="n"/>
      <c r="CR239" s="62">
        <f>CQ239-CP239</f>
        <v/>
      </c>
      <c r="CS239" s="64">
        <f>IF(CP239=0,"",CQ239/CP239)</f>
        <v/>
      </c>
      <c r="CT239" s="31" t="n"/>
      <c r="CU239" s="60" t="n"/>
      <c r="CV239" s="60" t="n"/>
      <c r="CW239" s="60">
        <f>CV239-CU239</f>
        <v/>
      </c>
      <c r="CX239" s="61">
        <f>IF(CU239=0,"",CV239/CU239)</f>
        <v/>
      </c>
      <c r="CY239" s="27" t="n"/>
      <c r="CZ239" s="62" t="n"/>
      <c r="DA239" s="62" t="n"/>
      <c r="DB239" s="62">
        <f>DA239-CZ239</f>
        <v/>
      </c>
      <c r="DC239" s="64">
        <f>IF(CZ239=0,"",DA239/CZ239)</f>
        <v/>
      </c>
      <c r="DD239" s="31" t="n"/>
      <c r="DE239" s="60" t="n"/>
      <c r="DF239" s="60" t="n"/>
      <c r="DG239" s="60">
        <f>DF239-DE239</f>
        <v/>
      </c>
      <c r="DH239" s="61">
        <f>IF(DE239=0,"",DF239/DE239)</f>
        <v/>
      </c>
      <c r="DI239" s="27" t="n"/>
      <c r="DJ239" s="62" t="n"/>
      <c r="DK239" s="62" t="n"/>
      <c r="DL239" s="62">
        <f>DK239-DJ239</f>
        <v/>
      </c>
      <c r="DM239" s="64">
        <f>IF(DJ239=0,"",DK239/DJ239)</f>
        <v/>
      </c>
      <c r="DN239" s="31" t="n"/>
      <c r="DO239" s="60" t="n"/>
    </row>
    <row r="240" ht="15" customHeight="1">
      <c r="A240" s="19" t="n"/>
      <c r="B240" s="20" t="n"/>
      <c r="C240" s="19" t="n"/>
      <c r="D240" s="58">
        <f>D241+D242+D243</f>
        <v/>
      </c>
      <c r="E240" s="58">
        <f>E241+E242+E243</f>
        <v/>
      </c>
      <c r="F240" s="58">
        <f>E240-D240</f>
        <v/>
      </c>
      <c r="G240" s="59">
        <f>IF(D240=0,"",E240/D240)</f>
        <v/>
      </c>
      <c r="H240" s="23" t="n"/>
      <c r="I240" s="58">
        <f>I241+I242+I243</f>
        <v/>
      </c>
      <c r="J240" s="58">
        <f>J241+J242+J243</f>
        <v/>
      </c>
      <c r="K240" s="58">
        <f>J240-I240</f>
        <v/>
      </c>
      <c r="L240" s="59">
        <f>IF(I240=0,"",J240/I240)</f>
        <v/>
      </c>
      <c r="M240" s="23" t="n"/>
      <c r="N240" s="58">
        <f>N241+N242+N243</f>
        <v/>
      </c>
      <c r="O240" s="58">
        <f>O241+O242+O243</f>
        <v/>
      </c>
      <c r="P240" s="58">
        <f>O240-N240</f>
        <v/>
      </c>
      <c r="Q240" s="59">
        <f>IF(N240=0,"",O240/N240)</f>
        <v/>
      </c>
      <c r="R240" s="23" t="n"/>
      <c r="S240" s="58">
        <f>S241+S242+S243</f>
        <v/>
      </c>
      <c r="T240" s="58">
        <f>T241+T242+T243</f>
        <v/>
      </c>
      <c r="U240" s="58">
        <f>T240-S240</f>
        <v/>
      </c>
      <c r="V240" s="59">
        <f>IF(S240=0,"",T240/S240)</f>
        <v/>
      </c>
      <c r="W240" s="23" t="n"/>
      <c r="X240" s="58">
        <f>X241+X242+X243</f>
        <v/>
      </c>
      <c r="Y240" s="58">
        <f>Y241+Y242+Y243</f>
        <v/>
      </c>
      <c r="Z240" s="58">
        <f>Y240-X240</f>
        <v/>
      </c>
      <c r="AA240" s="59">
        <f>IF(X240=0,"",Y240/X240)</f>
        <v/>
      </c>
      <c r="AB240" s="23" t="n"/>
      <c r="AC240" s="58">
        <f>AC241+AC242+AC243</f>
        <v/>
      </c>
      <c r="AD240" s="58">
        <f>AD241+AD242+AD243</f>
        <v/>
      </c>
      <c r="AE240" s="58">
        <f>AD240-AC240</f>
        <v/>
      </c>
      <c r="AF240" s="59">
        <f>IF(AC240=0,"",AD240/AC240)</f>
        <v/>
      </c>
      <c r="AG240" s="23" t="n"/>
      <c r="AH240" s="58">
        <f>AH241+AH242+AH243</f>
        <v/>
      </c>
      <c r="AI240" s="58">
        <f>AI241+AI242+AI243</f>
        <v/>
      </c>
      <c r="AJ240" s="58">
        <f>AI240-AH240</f>
        <v/>
      </c>
      <c r="AK240" s="59">
        <f>IF(AH240=0,"",AI240/AH240)</f>
        <v/>
      </c>
      <c r="AL240" s="23" t="n"/>
      <c r="AM240" s="58">
        <f>AM241+AM242+AM243</f>
        <v/>
      </c>
      <c r="AN240" s="58">
        <f>AN241+AN242+AN243</f>
        <v/>
      </c>
      <c r="AO240" s="58">
        <f>AN240-AM240</f>
        <v/>
      </c>
      <c r="AP240" s="59">
        <f>IF(AM240=0,"",AN240/AM240)</f>
        <v/>
      </c>
      <c r="AQ240" s="23" t="n"/>
      <c r="AR240" s="58">
        <f>AR241+AR242+AR243</f>
        <v/>
      </c>
      <c r="AS240" s="58">
        <f>AS241+AS242+AS243</f>
        <v/>
      </c>
      <c r="AT240" s="58">
        <f>AS240-AR240</f>
        <v/>
      </c>
      <c r="AU240" s="59">
        <f>IF(AR240=0,"",AS240/AR240)</f>
        <v/>
      </c>
      <c r="AV240" s="23" t="n"/>
      <c r="AW240" s="58">
        <f>AW241+AW242+AW243</f>
        <v/>
      </c>
      <c r="AX240" s="58">
        <f>AX241+AX242+AX243</f>
        <v/>
      </c>
      <c r="AY240" s="58">
        <f>AX240-AW240</f>
        <v/>
      </c>
      <c r="AZ240" s="59">
        <f>IF(AW240=0,"",AX240/AW240)</f>
        <v/>
      </c>
      <c r="BA240" s="23" t="n"/>
      <c r="BB240" s="58">
        <f>BB241+BB242+BB243</f>
        <v/>
      </c>
      <c r="BC240" s="58">
        <f>BC241+BC242+BC243</f>
        <v/>
      </c>
      <c r="BD240" s="58">
        <f>BC240-BB240</f>
        <v/>
      </c>
      <c r="BE240" s="59">
        <f>IF(BB240=0,"",BC240/BB240)</f>
        <v/>
      </c>
      <c r="BF240" s="23" t="n"/>
      <c r="BG240" s="58">
        <f>BG241+BG242+BG243</f>
        <v/>
      </c>
      <c r="BH240" s="58">
        <f>BH241+BH242+BH243</f>
        <v/>
      </c>
      <c r="BI240" s="58">
        <f>BH240-BG240</f>
        <v/>
      </c>
      <c r="BJ240" s="59">
        <f>IF(BG240=0,"",BH240/BG240)</f>
        <v/>
      </c>
      <c r="BK240" s="23" t="n"/>
      <c r="BL240" s="58">
        <f>BL241+BL242+BL243</f>
        <v/>
      </c>
      <c r="BM240" s="58">
        <f>BM241+BM242+BM243</f>
        <v/>
      </c>
      <c r="BN240" s="58">
        <f>BM240-BL240</f>
        <v/>
      </c>
      <c r="BO240" s="59">
        <f>IF(BL240=0,"",BM240/BL240)</f>
        <v/>
      </c>
      <c r="BP240" s="23" t="n"/>
      <c r="BQ240" s="58">
        <f>BQ241+BQ242+BQ243</f>
        <v/>
      </c>
      <c r="BR240" s="58">
        <f>BR241+BR242+BR243</f>
        <v/>
      </c>
      <c r="BS240" s="58">
        <f>BR240-BQ240</f>
        <v/>
      </c>
      <c r="BT240" s="59">
        <f>IF(BQ240=0,"",BR240/BQ240)</f>
        <v/>
      </c>
      <c r="BU240" s="23" t="n"/>
      <c r="BV240" s="58">
        <f>BV241+BV242+BV243</f>
        <v/>
      </c>
      <c r="BW240" s="58">
        <f>BW241+BW242+BW243</f>
        <v/>
      </c>
      <c r="BX240" s="58">
        <f>BW240-BV240</f>
        <v/>
      </c>
      <c r="BY240" s="59">
        <f>IF(BV240=0,"",BW240/BV240)</f>
        <v/>
      </c>
      <c r="BZ240" s="23" t="n"/>
      <c r="CA240" s="58">
        <f>CA241+CA242+CA243</f>
        <v/>
      </c>
      <c r="CB240" s="58">
        <f>CB241+CB242+CB243</f>
        <v/>
      </c>
      <c r="CC240" s="58">
        <f>CB240-CA240</f>
        <v/>
      </c>
      <c r="CD240" s="59">
        <f>IF(CA240=0,"",CB240/CA240)</f>
        <v/>
      </c>
      <c r="CE240" s="23" t="n"/>
      <c r="CF240" s="58">
        <f>CF241+CF242+CF243</f>
        <v/>
      </c>
      <c r="CG240" s="58">
        <f>CG241+CG242+CG243</f>
        <v/>
      </c>
      <c r="CH240" s="58">
        <f>CG240-CF240</f>
        <v/>
      </c>
      <c r="CI240" s="59">
        <f>IF(CF240=0,"",CG240/CF240)</f>
        <v/>
      </c>
      <c r="CJ240" s="23" t="n"/>
      <c r="CK240" s="58">
        <f>CK241+CK242+CK243</f>
        <v/>
      </c>
      <c r="CL240" s="58">
        <f>CL241+CL242+CL243</f>
        <v/>
      </c>
      <c r="CM240" s="58">
        <f>CL240-CK240</f>
        <v/>
      </c>
      <c r="CN240" s="59">
        <f>IF(CK240=0,"",CL240/CK240)</f>
        <v/>
      </c>
      <c r="CO240" s="23" t="n"/>
      <c r="CP240" s="58">
        <f>CP241+CP242+CP243</f>
        <v/>
      </c>
      <c r="CQ240" s="58">
        <f>CQ241+CQ242+CQ243</f>
        <v/>
      </c>
      <c r="CR240" s="58">
        <f>CQ240-CP240</f>
        <v/>
      </c>
      <c r="CS240" s="59">
        <f>IF(CP240=0,"",CQ240/CP240)</f>
        <v/>
      </c>
      <c r="CT240" s="23" t="n"/>
      <c r="CU240" s="58">
        <f>CU241+CU242+CU243</f>
        <v/>
      </c>
      <c r="CV240" s="58">
        <f>CV241+CV242+CV243</f>
        <v/>
      </c>
      <c r="CW240" s="58">
        <f>CV240-CU240</f>
        <v/>
      </c>
      <c r="CX240" s="59">
        <f>IF(CU240=0,"",CV240/CU240)</f>
        <v/>
      </c>
      <c r="CY240" s="23" t="n"/>
      <c r="CZ240" s="58">
        <f>CZ241+CZ242+CZ243</f>
        <v/>
      </c>
      <c r="DA240" s="58">
        <f>DA241+DA242+DA243</f>
        <v/>
      </c>
      <c r="DB240" s="58">
        <f>DA240-CZ240</f>
        <v/>
      </c>
      <c r="DC240" s="59">
        <f>IF(CZ240=0,"",DA240/CZ240)</f>
        <v/>
      </c>
      <c r="DD240" s="23" t="n"/>
      <c r="DE240" s="58">
        <f>DE241+DE242+DE243</f>
        <v/>
      </c>
      <c r="DF240" s="58">
        <f>DF241+DF242+DF243</f>
        <v/>
      </c>
      <c r="DG240" s="58">
        <f>DF240-DE240</f>
        <v/>
      </c>
      <c r="DH240" s="59">
        <f>IF(DE240=0,"",DF240/DE240)</f>
        <v/>
      </c>
      <c r="DI240" s="23" t="n"/>
      <c r="DJ240" s="58">
        <f>DJ241+DJ242+DJ243</f>
        <v/>
      </c>
      <c r="DK240" s="58">
        <f>DK241+DK242+DK243</f>
        <v/>
      </c>
      <c r="DL240" s="58">
        <f>DK240-DJ240</f>
        <v/>
      </c>
      <c r="DM240" s="59">
        <f>IF(DJ240=0,"",DK240/DJ240)</f>
        <v/>
      </c>
      <c r="DN240" s="23" t="n"/>
      <c r="DO240" s="58">
        <f>DO241+DO242+DO243</f>
        <v/>
      </c>
    </row>
    <row r="241" outlineLevel="1" ht="15" customHeight="1">
      <c r="A241" s="24" t="n"/>
      <c r="B241" s="24" t="n"/>
      <c r="C241" s="24" t="n"/>
      <c r="D241" s="60" t="n"/>
      <c r="E241" s="60" t="n"/>
      <c r="F241" s="60">
        <f>E241-D241</f>
        <v/>
      </c>
      <c r="G241" s="61">
        <f>IF(D241=0,"",E241/D241)</f>
        <v/>
      </c>
      <c r="H241" s="27" t="n"/>
      <c r="I241" s="60" t="n"/>
      <c r="J241" s="60" t="n"/>
      <c r="K241" s="60">
        <f>J241-I241</f>
        <v/>
      </c>
      <c r="L241" s="61">
        <f>IF(I241=0,"",J241/I241)</f>
        <v/>
      </c>
      <c r="M241" s="27" t="n"/>
      <c r="N241" s="62" t="n"/>
      <c r="O241" s="62" t="n"/>
      <c r="P241" s="62">
        <f>O241-N241</f>
        <v/>
      </c>
      <c r="Q241" s="64">
        <f>IF(N241=0,"",O241/N241)</f>
        <v/>
      </c>
      <c r="R241" s="31" t="n"/>
      <c r="S241" s="60" t="n"/>
      <c r="T241" s="60" t="n"/>
      <c r="U241" s="60">
        <f>T241-S241</f>
        <v/>
      </c>
      <c r="V241" s="61">
        <f>IF(S241=0,"",T241/S241)</f>
        <v/>
      </c>
      <c r="W241" s="27" t="n"/>
      <c r="X241" s="62" t="n"/>
      <c r="Y241" s="62" t="n"/>
      <c r="Z241" s="62">
        <f>Y241-X241</f>
        <v/>
      </c>
      <c r="AA241" s="64">
        <f>IF(X241=0,"",Y241/X241)</f>
        <v/>
      </c>
      <c r="AB241" s="31" t="n"/>
      <c r="AC241" s="60" t="n"/>
      <c r="AD241" s="60" t="n"/>
      <c r="AE241" s="60">
        <f>AD241-AC241</f>
        <v/>
      </c>
      <c r="AF241" s="61">
        <f>IF(AC241=0,"",AD241/AC241)</f>
        <v/>
      </c>
      <c r="AG241" s="27" t="n"/>
      <c r="AH241" s="62" t="n"/>
      <c r="AI241" s="62" t="n"/>
      <c r="AJ241" s="62">
        <f>AI241-AH241</f>
        <v/>
      </c>
      <c r="AK241" s="64">
        <f>IF(AH241=0,"",AI241/AH241)</f>
        <v/>
      </c>
      <c r="AL241" s="31" t="n"/>
      <c r="AM241" s="60" t="n"/>
      <c r="AN241" s="60" t="n"/>
      <c r="AO241" s="60">
        <f>AN241-AM241</f>
        <v/>
      </c>
      <c r="AP241" s="61">
        <f>IF(AM241=0,"",AN241/AM241)</f>
        <v/>
      </c>
      <c r="AQ241" s="27" t="n"/>
      <c r="AR241" s="62" t="n"/>
      <c r="AS241" s="62" t="n"/>
      <c r="AT241" s="62">
        <f>AS241-AR241</f>
        <v/>
      </c>
      <c r="AU241" s="64">
        <f>IF(AR241=0,"",AS241/AR241)</f>
        <v/>
      </c>
      <c r="AV241" s="31" t="n"/>
      <c r="AW241" s="60" t="n"/>
      <c r="AX241" s="60" t="n"/>
      <c r="AY241" s="60">
        <f>AX241-AW241</f>
        <v/>
      </c>
      <c r="AZ241" s="61">
        <f>IF(AW241=0,"",AX241/AW241)</f>
        <v/>
      </c>
      <c r="BA241" s="27" t="n"/>
      <c r="BB241" s="62" t="n"/>
      <c r="BC241" s="62" t="n"/>
      <c r="BD241" s="62">
        <f>BC241-BB241</f>
        <v/>
      </c>
      <c r="BE241" s="64">
        <f>IF(BB241=0,"",BC241/BB241)</f>
        <v/>
      </c>
      <c r="BF241" s="31" t="n"/>
      <c r="BG241" s="60" t="n"/>
      <c r="BH241" s="60" t="n"/>
      <c r="BI241" s="60">
        <f>BH241-BG241</f>
        <v/>
      </c>
      <c r="BJ241" s="61">
        <f>IF(BG241=0,"",BH241/BG241)</f>
        <v/>
      </c>
      <c r="BK241" s="27" t="n"/>
      <c r="BL241" s="62" t="n"/>
      <c r="BM241" s="62" t="n"/>
      <c r="BN241" s="62">
        <f>BM241-BL241</f>
        <v/>
      </c>
      <c r="BO241" s="64">
        <f>IF(BL241=0,"",BM241/BL241)</f>
        <v/>
      </c>
      <c r="BP241" s="31" t="n"/>
      <c r="BQ241" s="60" t="n"/>
      <c r="BR241" s="60" t="n"/>
      <c r="BS241" s="60">
        <f>BR241-BQ241</f>
        <v/>
      </c>
      <c r="BT241" s="61">
        <f>IF(BQ241=0,"",BR241/BQ241)</f>
        <v/>
      </c>
      <c r="BU241" s="27" t="n"/>
      <c r="BV241" s="62" t="n"/>
      <c r="BW241" s="62" t="n"/>
      <c r="BX241" s="62">
        <f>BW241-BV241</f>
        <v/>
      </c>
      <c r="BY241" s="64">
        <f>IF(BV241=0,"",BW241/BV241)</f>
        <v/>
      </c>
      <c r="BZ241" s="31" t="n"/>
      <c r="CA241" s="60" t="n"/>
      <c r="CB241" s="60" t="n"/>
      <c r="CC241" s="60">
        <f>CB241-CA241</f>
        <v/>
      </c>
      <c r="CD241" s="61">
        <f>IF(CA241=0,"",CB241/CA241)</f>
        <v/>
      </c>
      <c r="CE241" s="27" t="n"/>
      <c r="CF241" s="62" t="n"/>
      <c r="CG241" s="62" t="n"/>
      <c r="CH241" s="62">
        <f>CG241-CF241</f>
        <v/>
      </c>
      <c r="CI241" s="64">
        <f>IF(CF241=0,"",CG241/CF241)</f>
        <v/>
      </c>
      <c r="CJ241" s="31" t="n"/>
      <c r="CK241" s="60" t="n"/>
      <c r="CL241" s="60" t="n"/>
      <c r="CM241" s="60">
        <f>CL241-CK241</f>
        <v/>
      </c>
      <c r="CN241" s="61">
        <f>IF(CK241=0,"",CL241/CK241)</f>
        <v/>
      </c>
      <c r="CO241" s="27" t="n"/>
      <c r="CP241" s="62" t="n"/>
      <c r="CQ241" s="62" t="n"/>
      <c r="CR241" s="62">
        <f>CQ241-CP241</f>
        <v/>
      </c>
      <c r="CS241" s="64">
        <f>IF(CP241=0,"",CQ241/CP241)</f>
        <v/>
      </c>
      <c r="CT241" s="31" t="n"/>
      <c r="CU241" s="60" t="n"/>
      <c r="CV241" s="60" t="n"/>
      <c r="CW241" s="60">
        <f>CV241-CU241</f>
        <v/>
      </c>
      <c r="CX241" s="61">
        <f>IF(CU241=0,"",CV241/CU241)</f>
        <v/>
      </c>
      <c r="CY241" s="27" t="n"/>
      <c r="CZ241" s="62" t="n"/>
      <c r="DA241" s="62" t="n"/>
      <c r="DB241" s="62">
        <f>DA241-CZ241</f>
        <v/>
      </c>
      <c r="DC241" s="64">
        <f>IF(CZ241=0,"",DA241/CZ241)</f>
        <v/>
      </c>
      <c r="DD241" s="31" t="n"/>
      <c r="DE241" s="60" t="n"/>
      <c r="DF241" s="60" t="n"/>
      <c r="DG241" s="60">
        <f>DF241-DE241</f>
        <v/>
      </c>
      <c r="DH241" s="61">
        <f>IF(DE241=0,"",DF241/DE241)</f>
        <v/>
      </c>
      <c r="DI241" s="27" t="n"/>
      <c r="DJ241" s="62" t="n"/>
      <c r="DK241" s="62" t="n"/>
      <c r="DL241" s="62">
        <f>DK241-DJ241</f>
        <v/>
      </c>
      <c r="DM241" s="64">
        <f>IF(DJ241=0,"",DK241/DJ241)</f>
        <v/>
      </c>
      <c r="DN241" s="31" t="n"/>
      <c r="DO241" s="60" t="n"/>
    </row>
    <row r="242" outlineLevel="1" ht="15" customHeight="1">
      <c r="A242" s="24" t="n"/>
      <c r="B242" s="24" t="n"/>
      <c r="C242" s="24" t="n"/>
      <c r="D242" s="60" t="n"/>
      <c r="E242" s="60" t="n"/>
      <c r="F242" s="60">
        <f>E242-D242</f>
        <v/>
      </c>
      <c r="G242" s="61">
        <f>IF(D242=0,"",E242/D242)</f>
        <v/>
      </c>
      <c r="H242" s="27" t="n"/>
      <c r="I242" s="60" t="n"/>
      <c r="J242" s="60" t="n"/>
      <c r="K242" s="60">
        <f>J242-I242</f>
        <v/>
      </c>
      <c r="L242" s="61">
        <f>IF(I242=0,"",J242/I242)</f>
        <v/>
      </c>
      <c r="M242" s="27" t="n"/>
      <c r="N242" s="62" t="n"/>
      <c r="O242" s="62" t="n"/>
      <c r="P242" s="62">
        <f>O242-N242</f>
        <v/>
      </c>
      <c r="Q242" s="64">
        <f>IF(N242=0,"",O242/N242)</f>
        <v/>
      </c>
      <c r="R242" s="31" t="n"/>
      <c r="S242" s="60" t="n"/>
      <c r="T242" s="60" t="n"/>
      <c r="U242" s="60">
        <f>T242-S242</f>
        <v/>
      </c>
      <c r="V242" s="61">
        <f>IF(S242=0,"",T242/S242)</f>
        <v/>
      </c>
      <c r="W242" s="27" t="n"/>
      <c r="X242" s="62" t="n"/>
      <c r="Y242" s="62" t="n"/>
      <c r="Z242" s="62">
        <f>Y242-X242</f>
        <v/>
      </c>
      <c r="AA242" s="64">
        <f>IF(X242=0,"",Y242/X242)</f>
        <v/>
      </c>
      <c r="AB242" s="31" t="n"/>
      <c r="AC242" s="60" t="n"/>
      <c r="AD242" s="60" t="n"/>
      <c r="AE242" s="60">
        <f>AD242-AC242</f>
        <v/>
      </c>
      <c r="AF242" s="61">
        <f>IF(AC242=0,"",AD242/AC242)</f>
        <v/>
      </c>
      <c r="AG242" s="27" t="n"/>
      <c r="AH242" s="62" t="n"/>
      <c r="AI242" s="62" t="n"/>
      <c r="AJ242" s="62">
        <f>AI242-AH242</f>
        <v/>
      </c>
      <c r="AK242" s="64">
        <f>IF(AH242=0,"",AI242/AH242)</f>
        <v/>
      </c>
      <c r="AL242" s="31" t="n"/>
      <c r="AM242" s="60" t="n"/>
      <c r="AN242" s="60" t="n"/>
      <c r="AO242" s="60">
        <f>AN242-AM242</f>
        <v/>
      </c>
      <c r="AP242" s="61">
        <f>IF(AM242=0,"",AN242/AM242)</f>
        <v/>
      </c>
      <c r="AQ242" s="27" t="n"/>
      <c r="AR242" s="62" t="n"/>
      <c r="AS242" s="62" t="n"/>
      <c r="AT242" s="62">
        <f>AS242-AR242</f>
        <v/>
      </c>
      <c r="AU242" s="64">
        <f>IF(AR242=0,"",AS242/AR242)</f>
        <v/>
      </c>
      <c r="AV242" s="31" t="n"/>
      <c r="AW242" s="60" t="n"/>
      <c r="AX242" s="60" t="n"/>
      <c r="AY242" s="60">
        <f>AX242-AW242</f>
        <v/>
      </c>
      <c r="AZ242" s="61">
        <f>IF(AW242=0,"",AX242/AW242)</f>
        <v/>
      </c>
      <c r="BA242" s="27" t="n"/>
      <c r="BB242" s="62" t="n"/>
      <c r="BC242" s="62" t="n"/>
      <c r="BD242" s="62">
        <f>BC242-BB242</f>
        <v/>
      </c>
      <c r="BE242" s="64">
        <f>IF(BB242=0,"",BC242/BB242)</f>
        <v/>
      </c>
      <c r="BF242" s="31" t="n"/>
      <c r="BG242" s="60" t="n"/>
      <c r="BH242" s="60" t="n"/>
      <c r="BI242" s="60">
        <f>BH242-BG242</f>
        <v/>
      </c>
      <c r="BJ242" s="61">
        <f>IF(BG242=0,"",BH242/BG242)</f>
        <v/>
      </c>
      <c r="BK242" s="27" t="n"/>
      <c r="BL242" s="62" t="n"/>
      <c r="BM242" s="62" t="n"/>
      <c r="BN242" s="62">
        <f>BM242-BL242</f>
        <v/>
      </c>
      <c r="BO242" s="64">
        <f>IF(BL242=0,"",BM242/BL242)</f>
        <v/>
      </c>
      <c r="BP242" s="31" t="n"/>
      <c r="BQ242" s="60" t="n"/>
      <c r="BR242" s="60" t="n"/>
      <c r="BS242" s="60">
        <f>BR242-BQ242</f>
        <v/>
      </c>
      <c r="BT242" s="61">
        <f>IF(BQ242=0,"",BR242/BQ242)</f>
        <v/>
      </c>
      <c r="BU242" s="27" t="n"/>
      <c r="BV242" s="62" t="n"/>
      <c r="BW242" s="62" t="n"/>
      <c r="BX242" s="62">
        <f>BW242-BV242</f>
        <v/>
      </c>
      <c r="BY242" s="64">
        <f>IF(BV242=0,"",BW242/BV242)</f>
        <v/>
      </c>
      <c r="BZ242" s="31" t="n"/>
      <c r="CA242" s="60" t="n"/>
      <c r="CB242" s="60" t="n"/>
      <c r="CC242" s="60">
        <f>CB242-CA242</f>
        <v/>
      </c>
      <c r="CD242" s="61">
        <f>IF(CA242=0,"",CB242/CA242)</f>
        <v/>
      </c>
      <c r="CE242" s="27" t="n"/>
      <c r="CF242" s="62" t="n"/>
      <c r="CG242" s="62" t="n"/>
      <c r="CH242" s="62">
        <f>CG242-CF242</f>
        <v/>
      </c>
      <c r="CI242" s="64">
        <f>IF(CF242=0,"",CG242/CF242)</f>
        <v/>
      </c>
      <c r="CJ242" s="31" t="n"/>
      <c r="CK242" s="60" t="n"/>
      <c r="CL242" s="60" t="n"/>
      <c r="CM242" s="60">
        <f>CL242-CK242</f>
        <v/>
      </c>
      <c r="CN242" s="61">
        <f>IF(CK242=0,"",CL242/CK242)</f>
        <v/>
      </c>
      <c r="CO242" s="27" t="n"/>
      <c r="CP242" s="62" t="n"/>
      <c r="CQ242" s="62" t="n"/>
      <c r="CR242" s="62">
        <f>CQ242-CP242</f>
        <v/>
      </c>
      <c r="CS242" s="64">
        <f>IF(CP242=0,"",CQ242/CP242)</f>
        <v/>
      </c>
      <c r="CT242" s="31" t="n"/>
      <c r="CU242" s="60" t="n"/>
      <c r="CV242" s="60" t="n"/>
      <c r="CW242" s="60">
        <f>CV242-CU242</f>
        <v/>
      </c>
      <c r="CX242" s="61">
        <f>IF(CU242=0,"",CV242/CU242)</f>
        <v/>
      </c>
      <c r="CY242" s="27" t="n"/>
      <c r="CZ242" s="62" t="n"/>
      <c r="DA242" s="62" t="n"/>
      <c r="DB242" s="62">
        <f>DA242-CZ242</f>
        <v/>
      </c>
      <c r="DC242" s="64">
        <f>IF(CZ242=0,"",DA242/CZ242)</f>
        <v/>
      </c>
      <c r="DD242" s="31" t="n"/>
      <c r="DE242" s="60" t="n"/>
      <c r="DF242" s="60" t="n"/>
      <c r="DG242" s="60">
        <f>DF242-DE242</f>
        <v/>
      </c>
      <c r="DH242" s="61">
        <f>IF(DE242=0,"",DF242/DE242)</f>
        <v/>
      </c>
      <c r="DI242" s="27" t="n"/>
      <c r="DJ242" s="62" t="n"/>
      <c r="DK242" s="62" t="n"/>
      <c r="DL242" s="62">
        <f>DK242-DJ242</f>
        <v/>
      </c>
      <c r="DM242" s="64">
        <f>IF(DJ242=0,"",DK242/DJ242)</f>
        <v/>
      </c>
      <c r="DN242" s="31" t="n"/>
      <c r="DO242" s="60" t="n"/>
    </row>
    <row r="243" outlineLevel="1" ht="15" customHeight="1">
      <c r="A243" s="24" t="n"/>
      <c r="B243" s="24" t="n"/>
      <c r="C243" s="24" t="n"/>
      <c r="D243" s="60" t="n"/>
      <c r="E243" s="60" t="n"/>
      <c r="F243" s="60">
        <f>E243-D243</f>
        <v/>
      </c>
      <c r="G243" s="61">
        <f>IF(D243=0,"",E243/D243)</f>
        <v/>
      </c>
      <c r="H243" s="27" t="n"/>
      <c r="I243" s="60" t="n"/>
      <c r="J243" s="60" t="n"/>
      <c r="K243" s="60">
        <f>J243-I243</f>
        <v/>
      </c>
      <c r="L243" s="61">
        <f>IF(I243=0,"",J243/I243)</f>
        <v/>
      </c>
      <c r="M243" s="27" t="n"/>
      <c r="N243" s="62" t="n"/>
      <c r="O243" s="62" t="n"/>
      <c r="P243" s="62">
        <f>O243-N243</f>
        <v/>
      </c>
      <c r="Q243" s="64">
        <f>IF(N243=0,"",O243/N243)</f>
        <v/>
      </c>
      <c r="R243" s="31" t="n"/>
      <c r="S243" s="60" t="n"/>
      <c r="T243" s="60" t="n"/>
      <c r="U243" s="60">
        <f>T243-S243</f>
        <v/>
      </c>
      <c r="V243" s="61">
        <f>IF(S243=0,"",T243/S243)</f>
        <v/>
      </c>
      <c r="W243" s="27" t="n"/>
      <c r="X243" s="62" t="n"/>
      <c r="Y243" s="62" t="n"/>
      <c r="Z243" s="62">
        <f>Y243-X243</f>
        <v/>
      </c>
      <c r="AA243" s="64">
        <f>IF(X243=0,"",Y243/X243)</f>
        <v/>
      </c>
      <c r="AB243" s="31" t="n"/>
      <c r="AC243" s="60" t="n"/>
      <c r="AD243" s="60" t="n"/>
      <c r="AE243" s="60">
        <f>AD243-AC243</f>
        <v/>
      </c>
      <c r="AF243" s="61">
        <f>IF(AC243=0,"",AD243/AC243)</f>
        <v/>
      </c>
      <c r="AG243" s="27" t="n"/>
      <c r="AH243" s="62" t="n"/>
      <c r="AI243" s="62" t="n"/>
      <c r="AJ243" s="62">
        <f>AI243-AH243</f>
        <v/>
      </c>
      <c r="AK243" s="64">
        <f>IF(AH243=0,"",AI243/AH243)</f>
        <v/>
      </c>
      <c r="AL243" s="31" t="n"/>
      <c r="AM243" s="60" t="n"/>
      <c r="AN243" s="60" t="n"/>
      <c r="AO243" s="60">
        <f>AN243-AM243</f>
        <v/>
      </c>
      <c r="AP243" s="61">
        <f>IF(AM243=0,"",AN243/AM243)</f>
        <v/>
      </c>
      <c r="AQ243" s="27" t="n"/>
      <c r="AR243" s="62" t="n"/>
      <c r="AS243" s="62" t="n"/>
      <c r="AT243" s="62">
        <f>AS243-AR243</f>
        <v/>
      </c>
      <c r="AU243" s="64">
        <f>IF(AR243=0,"",AS243/AR243)</f>
        <v/>
      </c>
      <c r="AV243" s="31" t="n"/>
      <c r="AW243" s="60" t="n"/>
      <c r="AX243" s="60" t="n"/>
      <c r="AY243" s="60">
        <f>AX243-AW243</f>
        <v/>
      </c>
      <c r="AZ243" s="61">
        <f>IF(AW243=0,"",AX243/AW243)</f>
        <v/>
      </c>
      <c r="BA243" s="27" t="n"/>
      <c r="BB243" s="62" t="n"/>
      <c r="BC243" s="62" t="n"/>
      <c r="BD243" s="62">
        <f>BC243-BB243</f>
        <v/>
      </c>
      <c r="BE243" s="64">
        <f>IF(BB243=0,"",BC243/BB243)</f>
        <v/>
      </c>
      <c r="BF243" s="31" t="n"/>
      <c r="BG243" s="60" t="n"/>
      <c r="BH243" s="60" t="n"/>
      <c r="BI243" s="60">
        <f>BH243-BG243</f>
        <v/>
      </c>
      <c r="BJ243" s="61">
        <f>IF(BG243=0,"",BH243/BG243)</f>
        <v/>
      </c>
      <c r="BK243" s="27" t="n"/>
      <c r="BL243" s="62" t="n"/>
      <c r="BM243" s="62" t="n"/>
      <c r="BN243" s="62">
        <f>BM243-BL243</f>
        <v/>
      </c>
      <c r="BO243" s="64">
        <f>IF(BL243=0,"",BM243/BL243)</f>
        <v/>
      </c>
      <c r="BP243" s="31" t="n"/>
      <c r="BQ243" s="60" t="n"/>
      <c r="BR243" s="60" t="n"/>
      <c r="BS243" s="60">
        <f>BR243-BQ243</f>
        <v/>
      </c>
      <c r="BT243" s="61">
        <f>IF(BQ243=0,"",BR243/BQ243)</f>
        <v/>
      </c>
      <c r="BU243" s="27" t="n"/>
      <c r="BV243" s="62" t="n"/>
      <c r="BW243" s="62" t="n"/>
      <c r="BX243" s="62">
        <f>BW243-BV243</f>
        <v/>
      </c>
      <c r="BY243" s="64">
        <f>IF(BV243=0,"",BW243/BV243)</f>
        <v/>
      </c>
      <c r="BZ243" s="31" t="n"/>
      <c r="CA243" s="60" t="n"/>
      <c r="CB243" s="60" t="n"/>
      <c r="CC243" s="60">
        <f>CB243-CA243</f>
        <v/>
      </c>
      <c r="CD243" s="61">
        <f>IF(CA243=0,"",CB243/CA243)</f>
        <v/>
      </c>
      <c r="CE243" s="27" t="n"/>
      <c r="CF243" s="62" t="n"/>
      <c r="CG243" s="62" t="n"/>
      <c r="CH243" s="62">
        <f>CG243-CF243</f>
        <v/>
      </c>
      <c r="CI243" s="64">
        <f>IF(CF243=0,"",CG243/CF243)</f>
        <v/>
      </c>
      <c r="CJ243" s="31" t="n"/>
      <c r="CK243" s="60" t="n"/>
      <c r="CL243" s="60" t="n"/>
      <c r="CM243" s="60">
        <f>CL243-CK243</f>
        <v/>
      </c>
      <c r="CN243" s="61">
        <f>IF(CK243=0,"",CL243/CK243)</f>
        <v/>
      </c>
      <c r="CO243" s="27" t="n"/>
      <c r="CP243" s="62" t="n"/>
      <c r="CQ243" s="62" t="n"/>
      <c r="CR243" s="62">
        <f>CQ243-CP243</f>
        <v/>
      </c>
      <c r="CS243" s="64">
        <f>IF(CP243=0,"",CQ243/CP243)</f>
        <v/>
      </c>
      <c r="CT243" s="31" t="n"/>
      <c r="CU243" s="60" t="n"/>
      <c r="CV243" s="60" t="n"/>
      <c r="CW243" s="60">
        <f>CV243-CU243</f>
        <v/>
      </c>
      <c r="CX243" s="61">
        <f>IF(CU243=0,"",CV243/CU243)</f>
        <v/>
      </c>
      <c r="CY243" s="27" t="n"/>
      <c r="CZ243" s="62" t="n"/>
      <c r="DA243" s="62" t="n"/>
      <c r="DB243" s="62">
        <f>DA243-CZ243</f>
        <v/>
      </c>
      <c r="DC243" s="64">
        <f>IF(CZ243=0,"",DA243/CZ243)</f>
        <v/>
      </c>
      <c r="DD243" s="31" t="n"/>
      <c r="DE243" s="60" t="n"/>
      <c r="DF243" s="60" t="n"/>
      <c r="DG243" s="60">
        <f>DF243-DE243</f>
        <v/>
      </c>
      <c r="DH243" s="61">
        <f>IF(DE243=0,"",DF243/DE243)</f>
        <v/>
      </c>
      <c r="DI243" s="27" t="n"/>
      <c r="DJ243" s="62" t="n"/>
      <c r="DK243" s="62" t="n"/>
      <c r="DL243" s="62">
        <f>DK243-DJ243</f>
        <v/>
      </c>
      <c r="DM243" s="64">
        <f>IF(DJ243=0,"",DK243/DJ243)</f>
        <v/>
      </c>
      <c r="DN243" s="31" t="n"/>
      <c r="DO243" s="60" t="n"/>
    </row>
    <row r="244" ht="15" customHeight="1">
      <c r="A244" s="32" t="n"/>
      <c r="B244" s="32" t="n"/>
      <c r="C244" s="32" t="n"/>
      <c r="D244" s="65">
        <f>D246+D247+D248+D250+D252+D253+D254+D255+D256+D257+D258</f>
        <v/>
      </c>
      <c r="E244" s="65">
        <f>E246+E247+E248+E250+E252+E253+E254+E255+E256+E257+E258</f>
        <v/>
      </c>
      <c r="F244" s="65">
        <f>E244-D244</f>
        <v/>
      </c>
      <c r="G244" s="66">
        <f>IF(D244=0,"",E244/D244)</f>
        <v/>
      </c>
      <c r="H244" s="35" t="n"/>
      <c r="I244" s="65">
        <f>I246+I247+I248+I250+I252+I253+I254+I255+I256+I257+I258</f>
        <v/>
      </c>
      <c r="J244" s="65">
        <f>J246+J247+J248+J250+J252+J253+J254+J255+J256+J257+J258</f>
        <v/>
      </c>
      <c r="K244" s="65">
        <f>J244-I244</f>
        <v/>
      </c>
      <c r="L244" s="66">
        <f>IF(I244=0,"",J244/I244)</f>
        <v/>
      </c>
      <c r="M244" s="35" t="n"/>
      <c r="N244" s="65">
        <f>N246+N247+N248+N250+N252+N253+N254+N255+N256+N257+N258</f>
        <v/>
      </c>
      <c r="O244" s="65">
        <f>O246+O247+O248+O250+O252+O253+O254+O255+O256+O257+O258</f>
        <v/>
      </c>
      <c r="P244" s="65">
        <f>O244-N244</f>
        <v/>
      </c>
      <c r="Q244" s="66">
        <f>IF(N244=0,"",O244/N244)</f>
        <v/>
      </c>
      <c r="R244" s="35" t="n"/>
      <c r="S244" s="65">
        <f>S246+S247+S248+S250+S252+S253+S254+S255+S256+S257+S258</f>
        <v/>
      </c>
      <c r="T244" s="65">
        <f>T246+T247+T248+T250+T252+T253+T254+T255+T256+T257+T258</f>
        <v/>
      </c>
      <c r="U244" s="65">
        <f>T244-S244</f>
        <v/>
      </c>
      <c r="V244" s="66">
        <f>IF(S244=0,"",T244/S244)</f>
        <v/>
      </c>
      <c r="W244" s="35" t="n"/>
      <c r="X244" s="65">
        <f>X246+X247+X248+X250+X252+X253+X254+X255+X256+X257+X258</f>
        <v/>
      </c>
      <c r="Y244" s="65">
        <f>Y246+Y247+Y248+Y250+Y252+Y253+Y254+Y255+Y256+Y257+Y258</f>
        <v/>
      </c>
      <c r="Z244" s="65">
        <f>Y244-X244</f>
        <v/>
      </c>
      <c r="AA244" s="66">
        <f>IF(X244=0,"",Y244/X244)</f>
        <v/>
      </c>
      <c r="AB244" s="35" t="n"/>
      <c r="AC244" s="65">
        <f>AC246+AC247+AC248+AC250+AC252+AC253+AC254+AC255+AC256+AC257+AC258</f>
        <v/>
      </c>
      <c r="AD244" s="65">
        <f>AD246+AD247+AD248+AD250+AD252+AD253+AD254+AD255+AD256+AD257+AD258</f>
        <v/>
      </c>
      <c r="AE244" s="65">
        <f>AD244-AC244</f>
        <v/>
      </c>
      <c r="AF244" s="66">
        <f>IF(AC244=0,"",AD244/AC244)</f>
        <v/>
      </c>
      <c r="AG244" s="35" t="n"/>
      <c r="AH244" s="65">
        <f>AH246+AH247+AH248+AH250+AH252+AH253+AH254+AH255+AH256+AH257+AH258</f>
        <v/>
      </c>
      <c r="AI244" s="65">
        <f>AI246+AI247+AI248+AI250+AI252+AI253+AI254+AI255+AI256+AI257+AI258</f>
        <v/>
      </c>
      <c r="AJ244" s="65">
        <f>AI244-AH244</f>
        <v/>
      </c>
      <c r="AK244" s="66">
        <f>IF(AH244=0,"",AI244/AH244)</f>
        <v/>
      </c>
      <c r="AL244" s="35" t="n"/>
      <c r="AM244" s="65">
        <f>AM246+AM247+AM248+AM250+AM252+AM253+AM254+AM255+AM256+AM257+AM258</f>
        <v/>
      </c>
      <c r="AN244" s="65">
        <f>AN246+AN247+AN248+AN250+AN252+AN253+AN254+AN255+AN256+AN257+AN258</f>
        <v/>
      </c>
      <c r="AO244" s="65">
        <f>AN244-AM244</f>
        <v/>
      </c>
      <c r="AP244" s="66">
        <f>IF(AM244=0,"",AN244/AM244)</f>
        <v/>
      </c>
      <c r="AQ244" s="35" t="n"/>
      <c r="AR244" s="65">
        <f>AR246+AR247+AR248+AR250+AR252+AR253+AR254+AR255+AR256+AR257+AR258</f>
        <v/>
      </c>
      <c r="AS244" s="65">
        <f>AS246+AS247+AS248+AS250+AS252+AS253+AS254+AS255+AS256+AS257+AS258</f>
        <v/>
      </c>
      <c r="AT244" s="65">
        <f>AS244-AR244</f>
        <v/>
      </c>
      <c r="AU244" s="66">
        <f>IF(AR244=0,"",AS244/AR244)</f>
        <v/>
      </c>
      <c r="AV244" s="35" t="n"/>
      <c r="AW244" s="65">
        <f>AW246+AW247+AW248+AW250+AW252+AW253+AW254+AW255+AW256+AW257+AW258</f>
        <v/>
      </c>
      <c r="AX244" s="65">
        <f>AX246+AX247+AX248+AX250+AX252+AX253+AX254+AX255+AX256+AX257+AX258</f>
        <v/>
      </c>
      <c r="AY244" s="65">
        <f>AX244-AW244</f>
        <v/>
      </c>
      <c r="AZ244" s="66">
        <f>IF(AW244=0,"",AX244/AW244)</f>
        <v/>
      </c>
      <c r="BA244" s="35" t="n"/>
      <c r="BB244" s="65">
        <f>BB246+BB247+BB248+BB250+BB252+BB253+BB254+BB255+BB256+BB257+BB258</f>
        <v/>
      </c>
      <c r="BC244" s="65">
        <f>BC246+BC247+BC248+BC250+BC252+BC253+BC254+BC255+BC256+BC257+BC258</f>
        <v/>
      </c>
      <c r="BD244" s="65">
        <f>BC244-BB244</f>
        <v/>
      </c>
      <c r="BE244" s="66">
        <f>IF(BB244=0,"",BC244/BB244)</f>
        <v/>
      </c>
      <c r="BF244" s="35" t="n"/>
      <c r="BG244" s="65">
        <f>BG246+BG247+BG248+BG250+BG252+BG253+BG254+BG255+BG256+BG257+BG258</f>
        <v/>
      </c>
      <c r="BH244" s="65">
        <f>BH246+BH247+BH248+BH250+BH252+BH253+BH254+BH255+BH256+BH257+BH258</f>
        <v/>
      </c>
      <c r="BI244" s="65">
        <f>BH244-BG244</f>
        <v/>
      </c>
      <c r="BJ244" s="66">
        <f>IF(BG244=0,"",BH244/BG244)</f>
        <v/>
      </c>
      <c r="BK244" s="35" t="n"/>
      <c r="BL244" s="65">
        <f>BL246+BL247+BL248+BL250+BL252+BL253+BL254+BL255+BL256+BL257+BL258</f>
        <v/>
      </c>
      <c r="BM244" s="65">
        <f>BM246+BM247+BM248+BM250+BM252+BM253+BM254+BM255+BM256+BM257+BM258</f>
        <v/>
      </c>
      <c r="BN244" s="65">
        <f>BM244-BL244</f>
        <v/>
      </c>
      <c r="BO244" s="66">
        <f>IF(BL244=0,"",BM244/BL244)</f>
        <v/>
      </c>
      <c r="BP244" s="35" t="n"/>
      <c r="BQ244" s="65">
        <f>BQ246+BQ247+BQ248+BQ250+BQ252+BQ253+BQ254+BQ255+BQ256+BQ257+BQ258</f>
        <v/>
      </c>
      <c r="BR244" s="65">
        <f>BR246+BR247+BR248+BR250+BR252+BR253+BR254+BR255+BR256+BR257+BR258</f>
        <v/>
      </c>
      <c r="BS244" s="65">
        <f>BR244-BQ244</f>
        <v/>
      </c>
      <c r="BT244" s="66">
        <f>IF(BQ244=0,"",BR244/BQ244)</f>
        <v/>
      </c>
      <c r="BU244" s="35" t="n"/>
      <c r="BV244" s="65">
        <f>BV246+BV247+BV248+BV250+BV252+BV253+BV254+BV255+BV256+BV257+BV258</f>
        <v/>
      </c>
      <c r="BW244" s="65">
        <f>BW246+BW247+BW248+BW250+BW252+BW253+BW254+BW255+BW256+BW257+BW258</f>
        <v/>
      </c>
      <c r="BX244" s="65">
        <f>BW244-BV244</f>
        <v/>
      </c>
      <c r="BY244" s="66">
        <f>IF(BV244=0,"",BW244/BV244)</f>
        <v/>
      </c>
      <c r="BZ244" s="35" t="n"/>
      <c r="CA244" s="65">
        <f>CA246+CA247+CA248+CA250+CA252+CA253+CA254+CA255+CA256+CA257+CA258</f>
        <v/>
      </c>
      <c r="CB244" s="65">
        <f>CB246+CB247+CB248+CB250+CB252+CB253+CB254+CB255+CB256+CB257+CB258</f>
        <v/>
      </c>
      <c r="CC244" s="65">
        <f>CB244-CA244</f>
        <v/>
      </c>
      <c r="CD244" s="66">
        <f>IF(CA244=0,"",CB244/CA244)</f>
        <v/>
      </c>
      <c r="CE244" s="35" t="n"/>
      <c r="CF244" s="65">
        <f>CF246+CF247+CF248+CF250+CF252+CF253+CF254+CF255+CF256+CF257+CF258</f>
        <v/>
      </c>
      <c r="CG244" s="65">
        <f>CG246+CG247+CG248+CG250+CG252+CG253+CG254+CG255+CG256+CG257+CG258</f>
        <v/>
      </c>
      <c r="CH244" s="65">
        <f>CG244-CF244</f>
        <v/>
      </c>
      <c r="CI244" s="66">
        <f>IF(CF244=0,"",CG244/CF244)</f>
        <v/>
      </c>
      <c r="CJ244" s="35" t="n"/>
      <c r="CK244" s="65">
        <f>CK246+CK247+CK248+CK250+CK252+CK253+CK254+CK255+CK256+CK257+CK258</f>
        <v/>
      </c>
      <c r="CL244" s="65">
        <f>CL246+CL247+CL248+CL250+CL252+CL253+CL254+CL255+CL256+CL257+CL258</f>
        <v/>
      </c>
      <c r="CM244" s="65">
        <f>CL244-CK244</f>
        <v/>
      </c>
      <c r="CN244" s="66">
        <f>IF(CK244=0,"",CL244/CK244)</f>
        <v/>
      </c>
      <c r="CO244" s="35" t="n"/>
      <c r="CP244" s="65">
        <f>CP246+CP247+CP248+CP250+CP252+CP253+CP254+CP255+CP256+CP257+CP258</f>
        <v/>
      </c>
      <c r="CQ244" s="65">
        <f>CQ246+CQ247+CQ248+CQ250+CQ252+CQ253+CQ254+CQ255+CQ256+CQ257+CQ258</f>
        <v/>
      </c>
      <c r="CR244" s="65">
        <f>CQ244-CP244</f>
        <v/>
      </c>
      <c r="CS244" s="66">
        <f>IF(CP244=0,"",CQ244/CP244)</f>
        <v/>
      </c>
      <c r="CT244" s="35" t="n"/>
      <c r="CU244" s="65">
        <f>CU246+CU247+CU248+CU250+CU252+CU253+CU254+CU255+CU256+CU257+CU258</f>
        <v/>
      </c>
      <c r="CV244" s="65">
        <f>CV246+CV247+CV248+CV250+CV252+CV253+CV254+CV255+CV256+CV257+CV258</f>
        <v/>
      </c>
      <c r="CW244" s="65">
        <f>CV244-CU244</f>
        <v/>
      </c>
      <c r="CX244" s="66">
        <f>IF(CU244=0,"",CV244/CU244)</f>
        <v/>
      </c>
      <c r="CY244" s="35" t="n"/>
      <c r="CZ244" s="65">
        <f>CZ246+CZ247+CZ248+CZ250+CZ252+CZ253+CZ254+CZ255+CZ256+CZ257+CZ258</f>
        <v/>
      </c>
      <c r="DA244" s="65">
        <f>DA246+DA247+DA248+DA250+DA252+DA253+DA254+DA255+DA256+DA257+DA258</f>
        <v/>
      </c>
      <c r="DB244" s="65">
        <f>DA244-CZ244</f>
        <v/>
      </c>
      <c r="DC244" s="66">
        <f>IF(CZ244=0,"",DA244/CZ244)</f>
        <v/>
      </c>
      <c r="DD244" s="35" t="n"/>
      <c r="DE244" s="65">
        <f>DE246+DE247+DE248+DE250+DE252+DE253+DE254+DE255+DE256+DE257+DE258</f>
        <v/>
      </c>
      <c r="DF244" s="65">
        <f>DF246+DF247+DF248+DF250+DF252+DF253+DF254+DF255+DF256+DF257+DF258</f>
        <v/>
      </c>
      <c r="DG244" s="65">
        <f>DF244-DE244</f>
        <v/>
      </c>
      <c r="DH244" s="66">
        <f>IF(DE244=0,"",DF244/DE244)</f>
        <v/>
      </c>
      <c r="DI244" s="35" t="n"/>
      <c r="DJ244" s="65">
        <f>DJ246+DJ247+DJ248+DJ250+DJ252+DJ253+DJ254+DJ255+DJ256+DJ257+DJ258</f>
        <v/>
      </c>
      <c r="DK244" s="65">
        <f>DK246+DK247+DK248+DK250+DK252+DK253+DK254+DK255+DK256+DK257+DK258</f>
        <v/>
      </c>
      <c r="DL244" s="65">
        <f>DK244-DJ244</f>
        <v/>
      </c>
      <c r="DM244" s="66">
        <f>IF(DJ244=0,"",DK244/DJ244)</f>
        <v/>
      </c>
      <c r="DN244" s="35" t="n"/>
      <c r="DO244" s="65">
        <f>DO246+DO247+DO248+DO250+DO252+DO253+DO254+DO255+DO256+DO257+DO258</f>
        <v/>
      </c>
    </row>
    <row r="245" ht="15" customHeight="1">
      <c r="A245" s="19" t="n"/>
      <c r="B245" s="20" t="n"/>
      <c r="C245" s="19" t="n"/>
      <c r="D245" s="58">
        <f>D246+D247+D248</f>
        <v/>
      </c>
      <c r="E245" s="58">
        <f>E246+E247+E248</f>
        <v/>
      </c>
      <c r="F245" s="58">
        <f>E245-D245</f>
        <v/>
      </c>
      <c r="G245" s="59">
        <f>IF(D245=0,"",E245/D245)</f>
        <v/>
      </c>
      <c r="H245" s="23" t="n"/>
      <c r="I245" s="58">
        <f>I246+I247+I248</f>
        <v/>
      </c>
      <c r="J245" s="58">
        <f>J246+J247+J248</f>
        <v/>
      </c>
      <c r="K245" s="58">
        <f>J245-I245</f>
        <v/>
      </c>
      <c r="L245" s="59">
        <f>IF(I245=0,"",J245/I245)</f>
        <v/>
      </c>
      <c r="M245" s="23" t="n"/>
      <c r="N245" s="58">
        <f>N246+N247+N248</f>
        <v/>
      </c>
      <c r="O245" s="58">
        <f>O246+O247+O248</f>
        <v/>
      </c>
      <c r="P245" s="58">
        <f>O245-N245</f>
        <v/>
      </c>
      <c r="Q245" s="59">
        <f>IF(N245=0,"",O245/N245)</f>
        <v/>
      </c>
      <c r="R245" s="23" t="n"/>
      <c r="S245" s="58">
        <f>S246+S247+S248</f>
        <v/>
      </c>
      <c r="T245" s="58">
        <f>T246+T247+T248</f>
        <v/>
      </c>
      <c r="U245" s="58">
        <f>T245-S245</f>
        <v/>
      </c>
      <c r="V245" s="59">
        <f>IF(S245=0,"",T245/S245)</f>
        <v/>
      </c>
      <c r="W245" s="23" t="n"/>
      <c r="X245" s="58">
        <f>X246+X247+X248</f>
        <v/>
      </c>
      <c r="Y245" s="58">
        <f>Y246+Y247+Y248</f>
        <v/>
      </c>
      <c r="Z245" s="58">
        <f>Y245-X245</f>
        <v/>
      </c>
      <c r="AA245" s="59">
        <f>IF(X245=0,"",Y245/X245)</f>
        <v/>
      </c>
      <c r="AB245" s="23" t="n"/>
      <c r="AC245" s="58">
        <f>AC246+AC247+AC248</f>
        <v/>
      </c>
      <c r="AD245" s="58">
        <f>AD246+AD247+AD248</f>
        <v/>
      </c>
      <c r="AE245" s="58">
        <f>AD245-AC245</f>
        <v/>
      </c>
      <c r="AF245" s="59">
        <f>IF(AC245=0,"",AD245/AC245)</f>
        <v/>
      </c>
      <c r="AG245" s="23" t="n"/>
      <c r="AH245" s="58">
        <f>AH246+AH247+AH248</f>
        <v/>
      </c>
      <c r="AI245" s="58">
        <f>AI246+AI247+AI248</f>
        <v/>
      </c>
      <c r="AJ245" s="58">
        <f>AI245-AH245</f>
        <v/>
      </c>
      <c r="AK245" s="59">
        <f>IF(AH245=0,"",AI245/AH245)</f>
        <v/>
      </c>
      <c r="AL245" s="23" t="n"/>
      <c r="AM245" s="58">
        <f>AM246+AM247+AM248</f>
        <v/>
      </c>
      <c r="AN245" s="58">
        <f>AN246+AN247+AN248</f>
        <v/>
      </c>
      <c r="AO245" s="58">
        <f>AN245-AM245</f>
        <v/>
      </c>
      <c r="AP245" s="59">
        <f>IF(AM245=0,"",AN245/AM245)</f>
        <v/>
      </c>
      <c r="AQ245" s="23" t="n"/>
      <c r="AR245" s="58">
        <f>AR246+AR247+AR248</f>
        <v/>
      </c>
      <c r="AS245" s="58">
        <f>AS246+AS247+AS248</f>
        <v/>
      </c>
      <c r="AT245" s="58">
        <f>AS245-AR245</f>
        <v/>
      </c>
      <c r="AU245" s="59">
        <f>IF(AR245=0,"",AS245/AR245)</f>
        <v/>
      </c>
      <c r="AV245" s="23" t="n"/>
      <c r="AW245" s="58">
        <f>AW246+AW247+AW248</f>
        <v/>
      </c>
      <c r="AX245" s="58">
        <f>AX246+AX247+AX248</f>
        <v/>
      </c>
      <c r="AY245" s="58">
        <f>AX245-AW245</f>
        <v/>
      </c>
      <c r="AZ245" s="59">
        <f>IF(AW245=0,"",AX245/AW245)</f>
        <v/>
      </c>
      <c r="BA245" s="23" t="n"/>
      <c r="BB245" s="58">
        <f>BB246+BB247+BB248</f>
        <v/>
      </c>
      <c r="BC245" s="58">
        <f>BC246+BC247+BC248</f>
        <v/>
      </c>
      <c r="BD245" s="58">
        <f>BC245-BB245</f>
        <v/>
      </c>
      <c r="BE245" s="59">
        <f>IF(BB245=0,"",BC245/BB245)</f>
        <v/>
      </c>
      <c r="BF245" s="23" t="n"/>
      <c r="BG245" s="58">
        <f>BG246+BG247+BG248</f>
        <v/>
      </c>
      <c r="BH245" s="58">
        <f>BH246+BH247+BH248</f>
        <v/>
      </c>
      <c r="BI245" s="58">
        <f>BH245-BG245</f>
        <v/>
      </c>
      <c r="BJ245" s="59">
        <f>IF(BG245=0,"",BH245/BG245)</f>
        <v/>
      </c>
      <c r="BK245" s="23" t="n"/>
      <c r="BL245" s="58">
        <f>BL246+BL247+BL248</f>
        <v/>
      </c>
      <c r="BM245" s="58">
        <f>BM246+BM247+BM248</f>
        <v/>
      </c>
      <c r="BN245" s="58">
        <f>BM245-BL245</f>
        <v/>
      </c>
      <c r="BO245" s="59">
        <f>IF(BL245=0,"",BM245/BL245)</f>
        <v/>
      </c>
      <c r="BP245" s="23" t="n"/>
      <c r="BQ245" s="58">
        <f>BQ246+BQ247+BQ248</f>
        <v/>
      </c>
      <c r="BR245" s="58">
        <f>BR246+BR247+BR248</f>
        <v/>
      </c>
      <c r="BS245" s="58">
        <f>BR245-BQ245</f>
        <v/>
      </c>
      <c r="BT245" s="59">
        <f>IF(BQ245=0,"",BR245/BQ245)</f>
        <v/>
      </c>
      <c r="BU245" s="23" t="n"/>
      <c r="BV245" s="58">
        <f>BV246+BV247+BV248</f>
        <v/>
      </c>
      <c r="BW245" s="58">
        <f>BW246+BW247+BW248</f>
        <v/>
      </c>
      <c r="BX245" s="58">
        <f>BW245-BV245</f>
        <v/>
      </c>
      <c r="BY245" s="59">
        <f>IF(BV245=0,"",BW245/BV245)</f>
        <v/>
      </c>
      <c r="BZ245" s="23" t="n"/>
      <c r="CA245" s="58">
        <f>CA246+CA247+CA248</f>
        <v/>
      </c>
      <c r="CB245" s="58">
        <f>CB246+CB247+CB248</f>
        <v/>
      </c>
      <c r="CC245" s="58">
        <f>CB245-CA245</f>
        <v/>
      </c>
      <c r="CD245" s="59">
        <f>IF(CA245=0,"",CB245/CA245)</f>
        <v/>
      </c>
      <c r="CE245" s="23" t="n"/>
      <c r="CF245" s="58">
        <f>CF246+CF247+CF248</f>
        <v/>
      </c>
      <c r="CG245" s="58">
        <f>CG246+CG247+CG248</f>
        <v/>
      </c>
      <c r="CH245" s="58">
        <f>CG245-CF245</f>
        <v/>
      </c>
      <c r="CI245" s="59">
        <f>IF(CF245=0,"",CG245/CF245)</f>
        <v/>
      </c>
      <c r="CJ245" s="23" t="n"/>
      <c r="CK245" s="58">
        <f>CK246+CK247+CK248</f>
        <v/>
      </c>
      <c r="CL245" s="58">
        <f>CL246+CL247+CL248</f>
        <v/>
      </c>
      <c r="CM245" s="58">
        <f>CL245-CK245</f>
        <v/>
      </c>
      <c r="CN245" s="59">
        <f>IF(CK245=0,"",CL245/CK245)</f>
        <v/>
      </c>
      <c r="CO245" s="23" t="n"/>
      <c r="CP245" s="58">
        <f>CP246+CP247+CP248</f>
        <v/>
      </c>
      <c r="CQ245" s="58">
        <f>CQ246+CQ247+CQ248</f>
        <v/>
      </c>
      <c r="CR245" s="58">
        <f>CQ245-CP245</f>
        <v/>
      </c>
      <c r="CS245" s="59">
        <f>IF(CP245=0,"",CQ245/CP245)</f>
        <v/>
      </c>
      <c r="CT245" s="23" t="n"/>
      <c r="CU245" s="58">
        <f>CU246+CU247+CU248</f>
        <v/>
      </c>
      <c r="CV245" s="58">
        <f>CV246+CV247+CV248</f>
        <v/>
      </c>
      <c r="CW245" s="58">
        <f>CV245-CU245</f>
        <v/>
      </c>
      <c r="CX245" s="59">
        <f>IF(CU245=0,"",CV245/CU245)</f>
        <v/>
      </c>
      <c r="CY245" s="23" t="n"/>
      <c r="CZ245" s="58">
        <f>CZ246+CZ247+CZ248</f>
        <v/>
      </c>
      <c r="DA245" s="58">
        <f>DA246+DA247+DA248</f>
        <v/>
      </c>
      <c r="DB245" s="58">
        <f>DA245-CZ245</f>
        <v/>
      </c>
      <c r="DC245" s="59">
        <f>IF(CZ245=0,"",DA245/CZ245)</f>
        <v/>
      </c>
      <c r="DD245" s="23" t="n"/>
      <c r="DE245" s="58">
        <f>DE246+DE247+DE248</f>
        <v/>
      </c>
      <c r="DF245" s="58">
        <f>DF246+DF247+DF248</f>
        <v/>
      </c>
      <c r="DG245" s="58">
        <f>DF245-DE245</f>
        <v/>
      </c>
      <c r="DH245" s="59">
        <f>IF(DE245=0,"",DF245/DE245)</f>
        <v/>
      </c>
      <c r="DI245" s="23" t="n"/>
      <c r="DJ245" s="58">
        <f>DJ246+DJ247+DJ248</f>
        <v/>
      </c>
      <c r="DK245" s="58">
        <f>DK246+DK247+DK248</f>
        <v/>
      </c>
      <c r="DL245" s="58">
        <f>DK245-DJ245</f>
        <v/>
      </c>
      <c r="DM245" s="59">
        <f>IF(DJ245=0,"",DK245/DJ245)</f>
        <v/>
      </c>
      <c r="DN245" s="23" t="n"/>
      <c r="DO245" s="58">
        <f>DO246+DO247+DO248</f>
        <v/>
      </c>
    </row>
    <row r="246" outlineLevel="1" ht="15" customHeight="1">
      <c r="A246" s="24" t="n"/>
      <c r="B246" s="24" t="n"/>
      <c r="C246" s="24" t="n"/>
      <c r="D246" s="60" t="n"/>
      <c r="E246" s="60" t="n"/>
      <c r="F246" s="60">
        <f>E246-D246</f>
        <v/>
      </c>
      <c r="G246" s="61">
        <f>IF(D246=0,"",E246/D246)</f>
        <v/>
      </c>
      <c r="H246" s="27" t="n"/>
      <c r="I246" s="60" t="n"/>
      <c r="J246" s="60" t="n"/>
      <c r="K246" s="60">
        <f>J246-I246</f>
        <v/>
      </c>
      <c r="L246" s="61">
        <f>IF(I246=0,"",J246/I246)</f>
        <v/>
      </c>
      <c r="M246" s="27" t="n"/>
      <c r="N246" s="62" t="n"/>
      <c r="O246" s="62" t="n"/>
      <c r="P246" s="62">
        <f>O246-N246</f>
        <v/>
      </c>
      <c r="Q246" s="64">
        <f>IF(N246=0,"",O246/N246)</f>
        <v/>
      </c>
      <c r="R246" s="31" t="n"/>
      <c r="S246" s="60" t="n"/>
      <c r="T246" s="60" t="n"/>
      <c r="U246" s="60">
        <f>T246-S246</f>
        <v/>
      </c>
      <c r="V246" s="61">
        <f>IF(S246=0,"",T246/S246)</f>
        <v/>
      </c>
      <c r="W246" s="27" t="n"/>
      <c r="X246" s="62" t="n"/>
      <c r="Y246" s="62" t="n"/>
      <c r="Z246" s="62">
        <f>Y246-X246</f>
        <v/>
      </c>
      <c r="AA246" s="64">
        <f>IF(X246=0,"",Y246/X246)</f>
        <v/>
      </c>
      <c r="AB246" s="31" t="n"/>
      <c r="AC246" s="60" t="n"/>
      <c r="AD246" s="60" t="n"/>
      <c r="AE246" s="60">
        <f>AD246-AC246</f>
        <v/>
      </c>
      <c r="AF246" s="61">
        <f>IF(AC246=0,"",AD246/AC246)</f>
        <v/>
      </c>
      <c r="AG246" s="27" t="n"/>
      <c r="AH246" s="62" t="n"/>
      <c r="AI246" s="62" t="n"/>
      <c r="AJ246" s="62">
        <f>AI246-AH246</f>
        <v/>
      </c>
      <c r="AK246" s="64">
        <f>IF(AH246=0,"",AI246/AH246)</f>
        <v/>
      </c>
      <c r="AL246" s="31" t="n"/>
      <c r="AM246" s="60" t="n"/>
      <c r="AN246" s="60" t="n"/>
      <c r="AO246" s="60">
        <f>AN246-AM246</f>
        <v/>
      </c>
      <c r="AP246" s="61">
        <f>IF(AM246=0,"",AN246/AM246)</f>
        <v/>
      </c>
      <c r="AQ246" s="27" t="n"/>
      <c r="AR246" s="62" t="n"/>
      <c r="AS246" s="62" t="n"/>
      <c r="AT246" s="62">
        <f>AS246-AR246</f>
        <v/>
      </c>
      <c r="AU246" s="64">
        <f>IF(AR246=0,"",AS246/AR246)</f>
        <v/>
      </c>
      <c r="AV246" s="31" t="n"/>
      <c r="AW246" s="60" t="n"/>
      <c r="AX246" s="60" t="n"/>
      <c r="AY246" s="60">
        <f>AX246-AW246</f>
        <v/>
      </c>
      <c r="AZ246" s="61">
        <f>IF(AW246=0,"",AX246/AW246)</f>
        <v/>
      </c>
      <c r="BA246" s="27" t="n"/>
      <c r="BB246" s="62" t="n"/>
      <c r="BC246" s="62" t="n"/>
      <c r="BD246" s="62">
        <f>BC246-BB246</f>
        <v/>
      </c>
      <c r="BE246" s="64">
        <f>IF(BB246=0,"",BC246/BB246)</f>
        <v/>
      </c>
      <c r="BF246" s="31" t="n"/>
      <c r="BG246" s="60" t="n"/>
      <c r="BH246" s="60" t="n"/>
      <c r="BI246" s="60">
        <f>BH246-BG246</f>
        <v/>
      </c>
      <c r="BJ246" s="61">
        <f>IF(BG246=0,"",BH246/BG246)</f>
        <v/>
      </c>
      <c r="BK246" s="27" t="n"/>
      <c r="BL246" s="62" t="n"/>
      <c r="BM246" s="62" t="n"/>
      <c r="BN246" s="62">
        <f>BM246-BL246</f>
        <v/>
      </c>
      <c r="BO246" s="64">
        <f>IF(BL246=0,"",BM246/BL246)</f>
        <v/>
      </c>
      <c r="BP246" s="31" t="n"/>
      <c r="BQ246" s="60" t="n"/>
      <c r="BR246" s="60" t="n"/>
      <c r="BS246" s="60">
        <f>BR246-BQ246</f>
        <v/>
      </c>
      <c r="BT246" s="61">
        <f>IF(BQ246=0,"",BR246/BQ246)</f>
        <v/>
      </c>
      <c r="BU246" s="27" t="n"/>
      <c r="BV246" s="62" t="n"/>
      <c r="BW246" s="62" t="n"/>
      <c r="BX246" s="62">
        <f>BW246-BV246</f>
        <v/>
      </c>
      <c r="BY246" s="64">
        <f>IF(BV246=0,"",BW246/BV246)</f>
        <v/>
      </c>
      <c r="BZ246" s="31" t="n"/>
      <c r="CA246" s="60" t="n"/>
      <c r="CB246" s="60" t="n"/>
      <c r="CC246" s="60">
        <f>CB246-CA246</f>
        <v/>
      </c>
      <c r="CD246" s="61">
        <f>IF(CA246=0,"",CB246/CA246)</f>
        <v/>
      </c>
      <c r="CE246" s="27" t="n"/>
      <c r="CF246" s="62" t="n"/>
      <c r="CG246" s="62" t="n"/>
      <c r="CH246" s="62">
        <f>CG246-CF246</f>
        <v/>
      </c>
      <c r="CI246" s="64">
        <f>IF(CF246=0,"",CG246/CF246)</f>
        <v/>
      </c>
      <c r="CJ246" s="31" t="n"/>
      <c r="CK246" s="60" t="n"/>
      <c r="CL246" s="60" t="n"/>
      <c r="CM246" s="60">
        <f>CL246-CK246</f>
        <v/>
      </c>
      <c r="CN246" s="61">
        <f>IF(CK246=0,"",CL246/CK246)</f>
        <v/>
      </c>
      <c r="CO246" s="27" t="n"/>
      <c r="CP246" s="62" t="n"/>
      <c r="CQ246" s="62" t="n"/>
      <c r="CR246" s="62">
        <f>CQ246-CP246</f>
        <v/>
      </c>
      <c r="CS246" s="64">
        <f>IF(CP246=0,"",CQ246/CP246)</f>
        <v/>
      </c>
      <c r="CT246" s="31" t="n"/>
      <c r="CU246" s="60" t="n"/>
      <c r="CV246" s="60" t="n"/>
      <c r="CW246" s="60">
        <f>CV246-CU246</f>
        <v/>
      </c>
      <c r="CX246" s="61">
        <f>IF(CU246=0,"",CV246/CU246)</f>
        <v/>
      </c>
      <c r="CY246" s="27" t="n"/>
      <c r="CZ246" s="62" t="n"/>
      <c r="DA246" s="62" t="n"/>
      <c r="DB246" s="62">
        <f>DA246-CZ246</f>
        <v/>
      </c>
      <c r="DC246" s="64">
        <f>IF(CZ246=0,"",DA246/CZ246)</f>
        <v/>
      </c>
      <c r="DD246" s="31" t="n"/>
      <c r="DE246" s="60" t="n"/>
      <c r="DF246" s="60" t="n"/>
      <c r="DG246" s="60">
        <f>DF246-DE246</f>
        <v/>
      </c>
      <c r="DH246" s="61">
        <f>IF(DE246=0,"",DF246/DE246)</f>
        <v/>
      </c>
      <c r="DI246" s="27" t="n"/>
      <c r="DJ246" s="62" t="n"/>
      <c r="DK246" s="62" t="n"/>
      <c r="DL246" s="62">
        <f>DK246-DJ246</f>
        <v/>
      </c>
      <c r="DM246" s="64">
        <f>IF(DJ246=0,"",DK246/DJ246)</f>
        <v/>
      </c>
      <c r="DN246" s="31" t="n"/>
      <c r="DO246" s="60" t="n"/>
    </row>
    <row r="247" outlineLevel="1" ht="15" customHeight="1">
      <c r="A247" s="24" t="n"/>
      <c r="B247" s="24" t="n"/>
      <c r="C247" s="24" t="n"/>
      <c r="D247" s="60" t="n"/>
      <c r="E247" s="60" t="n"/>
      <c r="F247" s="60">
        <f>E247-D247</f>
        <v/>
      </c>
      <c r="G247" s="61">
        <f>IF(D247=0,"",E247/D247)</f>
        <v/>
      </c>
      <c r="H247" s="27" t="n"/>
      <c r="I247" s="60" t="n"/>
      <c r="J247" s="60" t="n"/>
      <c r="K247" s="60">
        <f>J247-I247</f>
        <v/>
      </c>
      <c r="L247" s="61">
        <f>IF(I247=0,"",J247/I247)</f>
        <v/>
      </c>
      <c r="M247" s="27" t="n"/>
      <c r="N247" s="62" t="n"/>
      <c r="O247" s="62" t="n"/>
      <c r="P247" s="62">
        <f>O247-N247</f>
        <v/>
      </c>
      <c r="Q247" s="64">
        <f>IF(N247=0,"",O247/N247)</f>
        <v/>
      </c>
      <c r="R247" s="31" t="n"/>
      <c r="S247" s="60" t="n"/>
      <c r="T247" s="60" t="n"/>
      <c r="U247" s="60">
        <f>T247-S247</f>
        <v/>
      </c>
      <c r="V247" s="61">
        <f>IF(S247=0,"",T247/S247)</f>
        <v/>
      </c>
      <c r="W247" s="27" t="n"/>
      <c r="X247" s="62" t="n"/>
      <c r="Y247" s="62" t="n"/>
      <c r="Z247" s="62">
        <f>Y247-X247</f>
        <v/>
      </c>
      <c r="AA247" s="64">
        <f>IF(X247=0,"",Y247/X247)</f>
        <v/>
      </c>
      <c r="AB247" s="31" t="n"/>
      <c r="AC247" s="60" t="n"/>
      <c r="AD247" s="60" t="n"/>
      <c r="AE247" s="60">
        <f>AD247-AC247</f>
        <v/>
      </c>
      <c r="AF247" s="61">
        <f>IF(AC247=0,"",AD247/AC247)</f>
        <v/>
      </c>
      <c r="AG247" s="27" t="n"/>
      <c r="AH247" s="62" t="n"/>
      <c r="AI247" s="62" t="n"/>
      <c r="AJ247" s="62">
        <f>AI247-AH247</f>
        <v/>
      </c>
      <c r="AK247" s="64">
        <f>IF(AH247=0,"",AI247/AH247)</f>
        <v/>
      </c>
      <c r="AL247" s="31" t="n"/>
      <c r="AM247" s="60" t="n"/>
      <c r="AN247" s="60" t="n"/>
      <c r="AO247" s="60">
        <f>AN247-AM247</f>
        <v/>
      </c>
      <c r="AP247" s="61">
        <f>IF(AM247=0,"",AN247/AM247)</f>
        <v/>
      </c>
      <c r="AQ247" s="27" t="n"/>
      <c r="AR247" s="62" t="n"/>
      <c r="AS247" s="62" t="n"/>
      <c r="AT247" s="62">
        <f>AS247-AR247</f>
        <v/>
      </c>
      <c r="AU247" s="64">
        <f>IF(AR247=0,"",AS247/AR247)</f>
        <v/>
      </c>
      <c r="AV247" s="31" t="n"/>
      <c r="AW247" s="60" t="n"/>
      <c r="AX247" s="60" t="n"/>
      <c r="AY247" s="60">
        <f>AX247-AW247</f>
        <v/>
      </c>
      <c r="AZ247" s="61">
        <f>IF(AW247=0,"",AX247/AW247)</f>
        <v/>
      </c>
      <c r="BA247" s="27" t="n"/>
      <c r="BB247" s="62" t="n"/>
      <c r="BC247" s="62" t="n"/>
      <c r="BD247" s="62">
        <f>BC247-BB247</f>
        <v/>
      </c>
      <c r="BE247" s="64">
        <f>IF(BB247=0,"",BC247/BB247)</f>
        <v/>
      </c>
      <c r="BF247" s="31" t="n"/>
      <c r="BG247" s="60" t="n"/>
      <c r="BH247" s="60" t="n"/>
      <c r="BI247" s="60">
        <f>BH247-BG247</f>
        <v/>
      </c>
      <c r="BJ247" s="61">
        <f>IF(BG247=0,"",BH247/BG247)</f>
        <v/>
      </c>
      <c r="BK247" s="27" t="n"/>
      <c r="BL247" s="62" t="n"/>
      <c r="BM247" s="62" t="n"/>
      <c r="BN247" s="62">
        <f>BM247-BL247</f>
        <v/>
      </c>
      <c r="BO247" s="64">
        <f>IF(BL247=0,"",BM247/BL247)</f>
        <v/>
      </c>
      <c r="BP247" s="31" t="n"/>
      <c r="BQ247" s="60" t="n"/>
      <c r="BR247" s="60" t="n"/>
      <c r="BS247" s="60">
        <f>BR247-BQ247</f>
        <v/>
      </c>
      <c r="BT247" s="61">
        <f>IF(BQ247=0,"",BR247/BQ247)</f>
        <v/>
      </c>
      <c r="BU247" s="27" t="n"/>
      <c r="BV247" s="62" t="n"/>
      <c r="BW247" s="62" t="n"/>
      <c r="BX247" s="62">
        <f>BW247-BV247</f>
        <v/>
      </c>
      <c r="BY247" s="64">
        <f>IF(BV247=0,"",BW247/BV247)</f>
        <v/>
      </c>
      <c r="BZ247" s="31" t="n"/>
      <c r="CA247" s="60" t="n"/>
      <c r="CB247" s="60" t="n"/>
      <c r="CC247" s="60">
        <f>CB247-CA247</f>
        <v/>
      </c>
      <c r="CD247" s="61">
        <f>IF(CA247=0,"",CB247/CA247)</f>
        <v/>
      </c>
      <c r="CE247" s="27" t="n"/>
      <c r="CF247" s="62" t="n"/>
      <c r="CG247" s="62" t="n"/>
      <c r="CH247" s="62">
        <f>CG247-CF247</f>
        <v/>
      </c>
      <c r="CI247" s="64">
        <f>IF(CF247=0,"",CG247/CF247)</f>
        <v/>
      </c>
      <c r="CJ247" s="31" t="n"/>
      <c r="CK247" s="60" t="n"/>
      <c r="CL247" s="60" t="n"/>
      <c r="CM247" s="60">
        <f>CL247-CK247</f>
        <v/>
      </c>
      <c r="CN247" s="61">
        <f>IF(CK247=0,"",CL247/CK247)</f>
        <v/>
      </c>
      <c r="CO247" s="27" t="n"/>
      <c r="CP247" s="62" t="n"/>
      <c r="CQ247" s="62" t="n"/>
      <c r="CR247" s="62">
        <f>CQ247-CP247</f>
        <v/>
      </c>
      <c r="CS247" s="64">
        <f>IF(CP247=0,"",CQ247/CP247)</f>
        <v/>
      </c>
      <c r="CT247" s="31" t="n"/>
      <c r="CU247" s="60" t="n"/>
      <c r="CV247" s="60" t="n"/>
      <c r="CW247" s="60">
        <f>CV247-CU247</f>
        <v/>
      </c>
      <c r="CX247" s="61">
        <f>IF(CU247=0,"",CV247/CU247)</f>
        <v/>
      </c>
      <c r="CY247" s="27" t="n"/>
      <c r="CZ247" s="62" t="n"/>
      <c r="DA247" s="62" t="n"/>
      <c r="DB247" s="62">
        <f>DA247-CZ247</f>
        <v/>
      </c>
      <c r="DC247" s="64">
        <f>IF(CZ247=0,"",DA247/CZ247)</f>
        <v/>
      </c>
      <c r="DD247" s="31" t="n"/>
      <c r="DE247" s="60" t="n"/>
      <c r="DF247" s="60" t="n"/>
      <c r="DG247" s="60">
        <f>DF247-DE247</f>
        <v/>
      </c>
      <c r="DH247" s="61">
        <f>IF(DE247=0,"",DF247/DE247)</f>
        <v/>
      </c>
      <c r="DI247" s="27" t="n"/>
      <c r="DJ247" s="62" t="n"/>
      <c r="DK247" s="62" t="n"/>
      <c r="DL247" s="62">
        <f>DK247-DJ247</f>
        <v/>
      </c>
      <c r="DM247" s="64">
        <f>IF(DJ247=0,"",DK247/DJ247)</f>
        <v/>
      </c>
      <c r="DN247" s="31" t="n"/>
      <c r="DO247" s="60" t="n"/>
    </row>
    <row r="248" outlineLevel="1" ht="15" customHeight="1">
      <c r="A248" s="24" t="n"/>
      <c r="B248" s="24" t="n"/>
      <c r="C248" s="24" t="n"/>
      <c r="D248" s="60" t="n"/>
      <c r="E248" s="60" t="n"/>
      <c r="F248" s="60">
        <f>E248-D248</f>
        <v/>
      </c>
      <c r="G248" s="61">
        <f>IF(D248=0,"",E248/D248)</f>
        <v/>
      </c>
      <c r="H248" s="27" t="n"/>
      <c r="I248" s="60" t="n"/>
      <c r="J248" s="60" t="n"/>
      <c r="K248" s="60">
        <f>J248-I248</f>
        <v/>
      </c>
      <c r="L248" s="61">
        <f>IF(I248=0,"",J248/I248)</f>
        <v/>
      </c>
      <c r="M248" s="27" t="n"/>
      <c r="N248" s="62" t="n"/>
      <c r="O248" s="62" t="n"/>
      <c r="P248" s="62">
        <f>O248-N248</f>
        <v/>
      </c>
      <c r="Q248" s="64">
        <f>IF(N248=0,"",O248/N248)</f>
        <v/>
      </c>
      <c r="R248" s="31" t="n"/>
      <c r="S248" s="60" t="n"/>
      <c r="T248" s="60" t="n"/>
      <c r="U248" s="60">
        <f>T248-S248</f>
        <v/>
      </c>
      <c r="V248" s="61">
        <f>IF(S248=0,"",T248/S248)</f>
        <v/>
      </c>
      <c r="W248" s="27" t="n"/>
      <c r="X248" s="62" t="n"/>
      <c r="Y248" s="62" t="n"/>
      <c r="Z248" s="63">
        <f>Y248-X248</f>
        <v/>
      </c>
      <c r="AA248" s="64">
        <f>IF(X248=0,"",Y248/X248)</f>
        <v/>
      </c>
      <c r="AB248" s="31" t="n"/>
      <c r="AC248" s="60" t="n"/>
      <c r="AD248" s="60" t="n"/>
      <c r="AE248" s="60">
        <f>AD248-AC248</f>
        <v/>
      </c>
      <c r="AF248" s="61">
        <f>IF(AC248=0,"",AD248/AC248)</f>
        <v/>
      </c>
      <c r="AG248" s="27" t="n"/>
      <c r="AH248" s="62" t="n"/>
      <c r="AI248" s="62" t="n"/>
      <c r="AJ248" s="62">
        <f>AI248-AH248</f>
        <v/>
      </c>
      <c r="AK248" s="64">
        <f>IF(AH248=0,"",AI248/AH248)</f>
        <v/>
      </c>
      <c r="AL248" s="31" t="n"/>
      <c r="AM248" s="60" t="n"/>
      <c r="AN248" s="60" t="n"/>
      <c r="AO248" s="60">
        <f>AN248-AM248</f>
        <v/>
      </c>
      <c r="AP248" s="61">
        <f>IF(AM248=0,"",AN248/AM248)</f>
        <v/>
      </c>
      <c r="AQ248" s="27" t="n"/>
      <c r="AR248" s="62" t="n"/>
      <c r="AS248" s="62" t="n"/>
      <c r="AT248" s="62">
        <f>AS248-AR248</f>
        <v/>
      </c>
      <c r="AU248" s="64">
        <f>IF(AR248=0,"",AS248/AR248)</f>
        <v/>
      </c>
      <c r="AV248" s="31" t="n"/>
      <c r="AW248" s="60" t="n"/>
      <c r="AX248" s="60" t="n"/>
      <c r="AY248" s="60">
        <f>AX248-AW248</f>
        <v/>
      </c>
      <c r="AZ248" s="61">
        <f>IF(AW248=0,"",AX248/AW248)</f>
        <v/>
      </c>
      <c r="BA248" s="27" t="n"/>
      <c r="BB248" s="62" t="n"/>
      <c r="BC248" s="62" t="n"/>
      <c r="BD248" s="62">
        <f>BC248-BB248</f>
        <v/>
      </c>
      <c r="BE248" s="64">
        <f>IF(BB248=0,"",BC248/BB248)</f>
        <v/>
      </c>
      <c r="BF248" s="31" t="n"/>
      <c r="BG248" s="60" t="n"/>
      <c r="BH248" s="60" t="n"/>
      <c r="BI248" s="60">
        <f>BH248-BG248</f>
        <v/>
      </c>
      <c r="BJ248" s="61">
        <f>IF(BG248=0,"",BH248/BG248)</f>
        <v/>
      </c>
      <c r="BK248" s="27" t="n"/>
      <c r="BL248" s="62" t="n"/>
      <c r="BM248" s="62" t="n"/>
      <c r="BN248" s="62">
        <f>BM248-BL248</f>
        <v/>
      </c>
      <c r="BO248" s="64">
        <f>IF(BL248=0,"",BM248/BL248)</f>
        <v/>
      </c>
      <c r="BP248" s="31" t="n"/>
      <c r="BQ248" s="60" t="n"/>
      <c r="BR248" s="60" t="n"/>
      <c r="BS248" s="60">
        <f>BR248-BQ248</f>
        <v/>
      </c>
      <c r="BT248" s="61">
        <f>IF(BQ248=0,"",BR248/BQ248)</f>
        <v/>
      </c>
      <c r="BU248" s="27" t="n"/>
      <c r="BV248" s="62" t="n"/>
      <c r="BW248" s="62" t="n"/>
      <c r="BX248" s="62">
        <f>BW248-BV248</f>
        <v/>
      </c>
      <c r="BY248" s="64">
        <f>IF(BV248=0,"",BW248/BV248)</f>
        <v/>
      </c>
      <c r="BZ248" s="31" t="n"/>
      <c r="CA248" s="60" t="n"/>
      <c r="CB248" s="60" t="n"/>
      <c r="CC248" s="60">
        <f>CB248-CA248</f>
        <v/>
      </c>
      <c r="CD248" s="61">
        <f>IF(CA248=0,"",CB248/CA248)</f>
        <v/>
      </c>
      <c r="CE248" s="27" t="n"/>
      <c r="CF248" s="62" t="n"/>
      <c r="CG248" s="62" t="n"/>
      <c r="CH248" s="62">
        <f>CG248-CF248</f>
        <v/>
      </c>
      <c r="CI248" s="64">
        <f>IF(CF248=0,"",CG248/CF248)</f>
        <v/>
      </c>
      <c r="CJ248" s="31" t="n"/>
      <c r="CK248" s="60" t="n"/>
      <c r="CL248" s="60" t="n"/>
      <c r="CM248" s="60">
        <f>CL248-CK248</f>
        <v/>
      </c>
      <c r="CN248" s="61">
        <f>IF(CK248=0,"",CL248/CK248)</f>
        <v/>
      </c>
      <c r="CO248" s="27" t="n"/>
      <c r="CP248" s="62" t="n"/>
      <c r="CQ248" s="62" t="n"/>
      <c r="CR248" s="62">
        <f>CQ248-CP248</f>
        <v/>
      </c>
      <c r="CS248" s="64">
        <f>IF(CP248=0,"",CQ248/CP248)</f>
        <v/>
      </c>
      <c r="CT248" s="31" t="n"/>
      <c r="CU248" s="60" t="n"/>
      <c r="CV248" s="60" t="n"/>
      <c r="CW248" s="60">
        <f>CV248-CU248</f>
        <v/>
      </c>
      <c r="CX248" s="61">
        <f>IF(CU248=0,"",CV248/CU248)</f>
        <v/>
      </c>
      <c r="CY248" s="27" t="n"/>
      <c r="CZ248" s="62" t="n"/>
      <c r="DA248" s="62" t="n"/>
      <c r="DB248" s="62">
        <f>DA248-CZ248</f>
        <v/>
      </c>
      <c r="DC248" s="64">
        <f>IF(CZ248=0,"",DA248/CZ248)</f>
        <v/>
      </c>
      <c r="DD248" s="31" t="n"/>
      <c r="DE248" s="60" t="n"/>
      <c r="DF248" s="60" t="n"/>
      <c r="DG248" s="60">
        <f>DF248-DE248</f>
        <v/>
      </c>
      <c r="DH248" s="61">
        <f>IF(DE248=0,"",DF248/DE248)</f>
        <v/>
      </c>
      <c r="DI248" s="27" t="n"/>
      <c r="DJ248" s="62" t="n"/>
      <c r="DK248" s="62" t="n"/>
      <c r="DL248" s="62">
        <f>DK248-DJ248</f>
        <v/>
      </c>
      <c r="DM248" s="64">
        <f>IF(DJ248=0,"",DK248/DJ248)</f>
        <v/>
      </c>
      <c r="DN248" s="31" t="n"/>
      <c r="DO248" s="60" t="n"/>
    </row>
    <row r="249" ht="15" customHeight="1">
      <c r="A249" s="19" t="n"/>
      <c r="B249" s="20" t="n"/>
      <c r="C249" s="19" t="n"/>
      <c r="D249" s="58">
        <f>D250</f>
        <v/>
      </c>
      <c r="E249" s="58">
        <f>E250</f>
        <v/>
      </c>
      <c r="F249" s="58">
        <f>E249-D249</f>
        <v/>
      </c>
      <c r="G249" s="59">
        <f>IF(D249=0,"",E249/D249)</f>
        <v/>
      </c>
      <c r="H249" s="23" t="n"/>
      <c r="I249" s="58">
        <f>I250</f>
        <v/>
      </c>
      <c r="J249" s="58">
        <f>J250</f>
        <v/>
      </c>
      <c r="K249" s="58">
        <f>J249-I249</f>
        <v/>
      </c>
      <c r="L249" s="59">
        <f>IF(I249=0,"",J249/I249)</f>
        <v/>
      </c>
      <c r="M249" s="23" t="n"/>
      <c r="N249" s="58">
        <f>N250</f>
        <v/>
      </c>
      <c r="O249" s="58">
        <f>O250</f>
        <v/>
      </c>
      <c r="P249" s="58">
        <f>O249-N249</f>
        <v/>
      </c>
      <c r="Q249" s="59">
        <f>IF(N249=0,"",O249/N249)</f>
        <v/>
      </c>
      <c r="R249" s="23" t="n"/>
      <c r="S249" s="58">
        <f>S250</f>
        <v/>
      </c>
      <c r="T249" s="58">
        <f>T250</f>
        <v/>
      </c>
      <c r="U249" s="58">
        <f>T249-S249</f>
        <v/>
      </c>
      <c r="V249" s="59">
        <f>IF(S249=0,"",T249/S249)</f>
        <v/>
      </c>
      <c r="W249" s="23" t="n"/>
      <c r="X249" s="58">
        <f>X250</f>
        <v/>
      </c>
      <c r="Y249" s="58">
        <f>Y250</f>
        <v/>
      </c>
      <c r="Z249" s="58">
        <f>Y249-X249</f>
        <v/>
      </c>
      <c r="AA249" s="59">
        <f>IF(X249=0,"",Y249/X249)</f>
        <v/>
      </c>
      <c r="AB249" s="23" t="n"/>
      <c r="AC249" s="58">
        <f>AC250</f>
        <v/>
      </c>
      <c r="AD249" s="58">
        <f>AD250</f>
        <v/>
      </c>
      <c r="AE249" s="58">
        <f>AD249-AC249</f>
        <v/>
      </c>
      <c r="AF249" s="59">
        <f>IF(AC249=0,"",AD249/AC249)</f>
        <v/>
      </c>
      <c r="AG249" s="23" t="n"/>
      <c r="AH249" s="58">
        <f>AH250</f>
        <v/>
      </c>
      <c r="AI249" s="58">
        <f>AI250</f>
        <v/>
      </c>
      <c r="AJ249" s="58">
        <f>AI249-AH249</f>
        <v/>
      </c>
      <c r="AK249" s="59">
        <f>IF(AH249=0,"",AI249/AH249)</f>
        <v/>
      </c>
      <c r="AL249" s="23" t="n"/>
      <c r="AM249" s="58">
        <f>AM250</f>
        <v/>
      </c>
      <c r="AN249" s="58">
        <f>AN250</f>
        <v/>
      </c>
      <c r="AO249" s="58">
        <f>AN249-AM249</f>
        <v/>
      </c>
      <c r="AP249" s="59">
        <f>IF(AM249=0,"",AN249/AM249)</f>
        <v/>
      </c>
      <c r="AQ249" s="23" t="n"/>
      <c r="AR249" s="58">
        <f>AR250</f>
        <v/>
      </c>
      <c r="AS249" s="58">
        <f>AS250</f>
        <v/>
      </c>
      <c r="AT249" s="58">
        <f>AS249-AR249</f>
        <v/>
      </c>
      <c r="AU249" s="59">
        <f>IF(AR249=0,"",AS249/AR249)</f>
        <v/>
      </c>
      <c r="AV249" s="23" t="n"/>
      <c r="AW249" s="58">
        <f>AW250</f>
        <v/>
      </c>
      <c r="AX249" s="58">
        <f>AX250</f>
        <v/>
      </c>
      <c r="AY249" s="58">
        <f>AX249-AW249</f>
        <v/>
      </c>
      <c r="AZ249" s="59">
        <f>IF(AW249=0,"",AX249/AW249)</f>
        <v/>
      </c>
      <c r="BA249" s="23" t="n"/>
      <c r="BB249" s="58">
        <f>BB250</f>
        <v/>
      </c>
      <c r="BC249" s="58">
        <f>BC250</f>
        <v/>
      </c>
      <c r="BD249" s="58">
        <f>BC249-BB249</f>
        <v/>
      </c>
      <c r="BE249" s="59">
        <f>IF(BB249=0,"",BC249/BB249)</f>
        <v/>
      </c>
      <c r="BF249" s="23" t="n"/>
      <c r="BG249" s="58">
        <f>BG250</f>
        <v/>
      </c>
      <c r="BH249" s="58">
        <f>BH250</f>
        <v/>
      </c>
      <c r="BI249" s="58">
        <f>BH249-BG249</f>
        <v/>
      </c>
      <c r="BJ249" s="59">
        <f>IF(BG249=0,"",BH249/BG249)</f>
        <v/>
      </c>
      <c r="BK249" s="23" t="n"/>
      <c r="BL249" s="58">
        <f>BL250</f>
        <v/>
      </c>
      <c r="BM249" s="58">
        <f>BM250</f>
        <v/>
      </c>
      <c r="BN249" s="58">
        <f>BM249-BL249</f>
        <v/>
      </c>
      <c r="BO249" s="59">
        <f>IF(BL249=0,"",BM249/BL249)</f>
        <v/>
      </c>
      <c r="BP249" s="23" t="n"/>
      <c r="BQ249" s="58">
        <f>BQ250</f>
        <v/>
      </c>
      <c r="BR249" s="58">
        <f>BR250</f>
        <v/>
      </c>
      <c r="BS249" s="58">
        <f>BR249-BQ249</f>
        <v/>
      </c>
      <c r="BT249" s="59">
        <f>IF(BQ249=0,"",BR249/BQ249)</f>
        <v/>
      </c>
      <c r="BU249" s="23" t="n"/>
      <c r="BV249" s="58">
        <f>BV250</f>
        <v/>
      </c>
      <c r="BW249" s="58">
        <f>BW250</f>
        <v/>
      </c>
      <c r="BX249" s="58">
        <f>BW249-BV249</f>
        <v/>
      </c>
      <c r="BY249" s="59">
        <f>IF(BV249=0,"",BW249/BV249)</f>
        <v/>
      </c>
      <c r="BZ249" s="23" t="n"/>
      <c r="CA249" s="58">
        <f>CA250</f>
        <v/>
      </c>
      <c r="CB249" s="58">
        <f>CB250</f>
        <v/>
      </c>
      <c r="CC249" s="58">
        <f>CB249-CA249</f>
        <v/>
      </c>
      <c r="CD249" s="59">
        <f>IF(CA249=0,"",CB249/CA249)</f>
        <v/>
      </c>
      <c r="CE249" s="23" t="n"/>
      <c r="CF249" s="58">
        <f>CF250</f>
        <v/>
      </c>
      <c r="CG249" s="58">
        <f>CG250</f>
        <v/>
      </c>
      <c r="CH249" s="58">
        <f>CG249-CF249</f>
        <v/>
      </c>
      <c r="CI249" s="59">
        <f>IF(CF249=0,"",CG249/CF249)</f>
        <v/>
      </c>
      <c r="CJ249" s="23" t="n"/>
      <c r="CK249" s="58">
        <f>CK250</f>
        <v/>
      </c>
      <c r="CL249" s="58">
        <f>CL250</f>
        <v/>
      </c>
      <c r="CM249" s="58">
        <f>CL249-CK249</f>
        <v/>
      </c>
      <c r="CN249" s="59">
        <f>IF(CK249=0,"",CL249/CK249)</f>
        <v/>
      </c>
      <c r="CO249" s="23" t="n"/>
      <c r="CP249" s="58">
        <f>CP250</f>
        <v/>
      </c>
      <c r="CQ249" s="58">
        <f>CQ250</f>
        <v/>
      </c>
      <c r="CR249" s="58">
        <f>CQ249-CP249</f>
        <v/>
      </c>
      <c r="CS249" s="59">
        <f>IF(CP249=0,"",CQ249/CP249)</f>
        <v/>
      </c>
      <c r="CT249" s="23" t="n"/>
      <c r="CU249" s="58">
        <f>CU250</f>
        <v/>
      </c>
      <c r="CV249" s="58">
        <f>CV250</f>
        <v/>
      </c>
      <c r="CW249" s="58">
        <f>CV249-CU249</f>
        <v/>
      </c>
      <c r="CX249" s="59">
        <f>IF(CU249=0,"",CV249/CU249)</f>
        <v/>
      </c>
      <c r="CY249" s="23" t="n"/>
      <c r="CZ249" s="58">
        <f>CZ250</f>
        <v/>
      </c>
      <c r="DA249" s="58">
        <f>DA250</f>
        <v/>
      </c>
      <c r="DB249" s="58">
        <f>DA249-CZ249</f>
        <v/>
      </c>
      <c r="DC249" s="59">
        <f>IF(CZ249=0,"",DA249/CZ249)</f>
        <v/>
      </c>
      <c r="DD249" s="23" t="n"/>
      <c r="DE249" s="58">
        <f>DE250</f>
        <v/>
      </c>
      <c r="DF249" s="58">
        <f>DF250</f>
        <v/>
      </c>
      <c r="DG249" s="58">
        <f>DF249-DE249</f>
        <v/>
      </c>
      <c r="DH249" s="59">
        <f>IF(DE249=0,"",DF249/DE249)</f>
        <v/>
      </c>
      <c r="DI249" s="23" t="n"/>
      <c r="DJ249" s="58">
        <f>DJ250</f>
        <v/>
      </c>
      <c r="DK249" s="58">
        <f>DK250</f>
        <v/>
      </c>
      <c r="DL249" s="58">
        <f>DK249-DJ249</f>
        <v/>
      </c>
      <c r="DM249" s="59">
        <f>IF(DJ249=0,"",DK249/DJ249)</f>
        <v/>
      </c>
      <c r="DN249" s="23" t="n"/>
      <c r="DO249" s="58">
        <f>DO250</f>
        <v/>
      </c>
    </row>
    <row r="250" outlineLevel="1" ht="15" customHeight="1">
      <c r="A250" s="24" t="n"/>
      <c r="B250" s="24" t="n"/>
      <c r="C250" s="24" t="n"/>
      <c r="D250" s="60" t="n"/>
      <c r="E250" s="60" t="n"/>
      <c r="F250" s="60">
        <f>E250-D250</f>
        <v/>
      </c>
      <c r="G250" s="61">
        <f>IF(D250=0,"",E250/D250)</f>
        <v/>
      </c>
      <c r="H250" s="27" t="n"/>
      <c r="I250" s="60" t="n"/>
      <c r="J250" s="60" t="n"/>
      <c r="K250" s="60">
        <f>J250-I250</f>
        <v/>
      </c>
      <c r="L250" s="61">
        <f>IF(I250=0,"",J250/I250)</f>
        <v/>
      </c>
      <c r="M250" s="27" t="n"/>
      <c r="N250" s="62" t="n"/>
      <c r="O250" s="62" t="n"/>
      <c r="P250" s="62">
        <f>O250-N250</f>
        <v/>
      </c>
      <c r="Q250" s="64">
        <f>IF(N250=0,"",O250/N250)</f>
        <v/>
      </c>
      <c r="R250" s="31" t="n"/>
      <c r="S250" s="60" t="n"/>
      <c r="T250" s="60" t="n"/>
      <c r="U250" s="60">
        <f>T250-S250</f>
        <v/>
      </c>
      <c r="V250" s="61">
        <f>IF(S250=0,"",T250/S250)</f>
        <v/>
      </c>
      <c r="W250" s="27" t="n"/>
      <c r="X250" s="62" t="n"/>
      <c r="Y250" s="62" t="n"/>
      <c r="Z250" s="63">
        <f>Y250-X250</f>
        <v/>
      </c>
      <c r="AA250" s="64">
        <f>IF(X250=0,"",Y250/X250)</f>
        <v/>
      </c>
      <c r="AB250" s="31" t="n"/>
      <c r="AC250" s="60" t="n"/>
      <c r="AD250" s="60" t="n"/>
      <c r="AE250" s="60">
        <f>AD250-AC250</f>
        <v/>
      </c>
      <c r="AF250" s="61">
        <f>IF(AC250=0,"",AD250/AC250)</f>
        <v/>
      </c>
      <c r="AG250" s="27" t="n"/>
      <c r="AH250" s="62" t="n"/>
      <c r="AI250" s="62" t="n"/>
      <c r="AJ250" s="62">
        <f>AI250-AH250</f>
        <v/>
      </c>
      <c r="AK250" s="64">
        <f>IF(AH250=0,"",AI250/AH250)</f>
        <v/>
      </c>
      <c r="AL250" s="31" t="n"/>
      <c r="AM250" s="60" t="n"/>
      <c r="AN250" s="60" t="n"/>
      <c r="AO250" s="60">
        <f>AN250-AM250</f>
        <v/>
      </c>
      <c r="AP250" s="61">
        <f>IF(AM250=0,"",AN250/AM250)</f>
        <v/>
      </c>
      <c r="AQ250" s="27" t="n"/>
      <c r="AR250" s="62" t="n"/>
      <c r="AS250" s="62" t="n"/>
      <c r="AT250" s="62">
        <f>AS250-AR250</f>
        <v/>
      </c>
      <c r="AU250" s="64">
        <f>IF(AR250=0,"",AS250/AR250)</f>
        <v/>
      </c>
      <c r="AV250" s="31" t="n"/>
      <c r="AW250" s="60" t="n"/>
      <c r="AX250" s="60" t="n"/>
      <c r="AY250" s="60">
        <f>AX250-AW250</f>
        <v/>
      </c>
      <c r="AZ250" s="61">
        <f>IF(AW250=0,"",AX250/AW250)</f>
        <v/>
      </c>
      <c r="BA250" s="27" t="n"/>
      <c r="BB250" s="62" t="n"/>
      <c r="BC250" s="62" t="n"/>
      <c r="BD250" s="62">
        <f>BC250-BB250</f>
        <v/>
      </c>
      <c r="BE250" s="64">
        <f>IF(BB250=0,"",BC250/BB250)</f>
        <v/>
      </c>
      <c r="BF250" s="31" t="n"/>
      <c r="BG250" s="60" t="n"/>
      <c r="BH250" s="60" t="n"/>
      <c r="BI250" s="60">
        <f>BH250-BG250</f>
        <v/>
      </c>
      <c r="BJ250" s="61">
        <f>IF(BG250=0,"",BH250/BG250)</f>
        <v/>
      </c>
      <c r="BK250" s="27" t="n"/>
      <c r="BL250" s="62" t="n"/>
      <c r="BM250" s="62" t="n"/>
      <c r="BN250" s="62">
        <f>BM250-BL250</f>
        <v/>
      </c>
      <c r="BO250" s="64">
        <f>IF(BL250=0,"",BM250/BL250)</f>
        <v/>
      </c>
      <c r="BP250" s="31" t="n"/>
      <c r="BQ250" s="60" t="n"/>
      <c r="BR250" s="60" t="n"/>
      <c r="BS250" s="60">
        <f>BR250-BQ250</f>
        <v/>
      </c>
      <c r="BT250" s="61">
        <f>IF(BQ250=0,"",BR250/BQ250)</f>
        <v/>
      </c>
      <c r="BU250" s="27" t="n"/>
      <c r="BV250" s="62" t="n"/>
      <c r="BW250" s="62" t="n"/>
      <c r="BX250" s="62">
        <f>BW250-BV250</f>
        <v/>
      </c>
      <c r="BY250" s="64">
        <f>IF(BV250=0,"",BW250/BV250)</f>
        <v/>
      </c>
      <c r="BZ250" s="31" t="n"/>
      <c r="CA250" s="60" t="n"/>
      <c r="CB250" s="60" t="n"/>
      <c r="CC250" s="60">
        <f>CB250-CA250</f>
        <v/>
      </c>
      <c r="CD250" s="61">
        <f>IF(CA250=0,"",CB250/CA250)</f>
        <v/>
      </c>
      <c r="CE250" s="27" t="n"/>
      <c r="CF250" s="62" t="n"/>
      <c r="CG250" s="62" t="n"/>
      <c r="CH250" s="62">
        <f>CG250-CF250</f>
        <v/>
      </c>
      <c r="CI250" s="64">
        <f>IF(CF250=0,"",CG250/CF250)</f>
        <v/>
      </c>
      <c r="CJ250" s="31" t="n"/>
      <c r="CK250" s="60" t="n"/>
      <c r="CL250" s="60" t="n"/>
      <c r="CM250" s="60">
        <f>CL250-CK250</f>
        <v/>
      </c>
      <c r="CN250" s="61">
        <f>IF(CK250=0,"",CL250/CK250)</f>
        <v/>
      </c>
      <c r="CO250" s="27" t="n"/>
      <c r="CP250" s="62" t="n"/>
      <c r="CQ250" s="62" t="n"/>
      <c r="CR250" s="62">
        <f>CQ250-CP250</f>
        <v/>
      </c>
      <c r="CS250" s="64">
        <f>IF(CP250=0,"",CQ250/CP250)</f>
        <v/>
      </c>
      <c r="CT250" s="31" t="n"/>
      <c r="CU250" s="60" t="n"/>
      <c r="CV250" s="60" t="n"/>
      <c r="CW250" s="60">
        <f>CV250-CU250</f>
        <v/>
      </c>
      <c r="CX250" s="61">
        <f>IF(CU250=0,"",CV250/CU250)</f>
        <v/>
      </c>
      <c r="CY250" s="27" t="n"/>
      <c r="CZ250" s="62" t="n"/>
      <c r="DA250" s="62" t="n"/>
      <c r="DB250" s="62">
        <f>DA250-CZ250</f>
        <v/>
      </c>
      <c r="DC250" s="64">
        <f>IF(CZ250=0,"",DA250/CZ250)</f>
        <v/>
      </c>
      <c r="DD250" s="31" t="n"/>
      <c r="DE250" s="60" t="n"/>
      <c r="DF250" s="60" t="n"/>
      <c r="DG250" s="60">
        <f>DF250-DE250</f>
        <v/>
      </c>
      <c r="DH250" s="61">
        <f>IF(DE250=0,"",DF250/DE250)</f>
        <v/>
      </c>
      <c r="DI250" s="27" t="n"/>
      <c r="DJ250" s="62" t="n"/>
      <c r="DK250" s="62" t="n"/>
      <c r="DL250" s="62">
        <f>DK250-DJ250</f>
        <v/>
      </c>
      <c r="DM250" s="64">
        <f>IF(DJ250=0,"",DK250/DJ250)</f>
        <v/>
      </c>
      <c r="DN250" s="31" t="n"/>
      <c r="DO250" s="60" t="n"/>
    </row>
    <row r="251" ht="15" customHeight="1">
      <c r="A251" s="19" t="n"/>
      <c r="B251" s="20" t="n"/>
      <c r="C251" s="19" t="n"/>
      <c r="D251" s="58">
        <f>D252+D253+D254+D255+D256+D257+D258</f>
        <v/>
      </c>
      <c r="E251" s="58">
        <f>E252+E253+E254+E255+E256+E257+E258</f>
        <v/>
      </c>
      <c r="F251" s="58">
        <f>E251-D251</f>
        <v/>
      </c>
      <c r="G251" s="59">
        <f>IF(D251=0,"",E251/D251)</f>
        <v/>
      </c>
      <c r="H251" s="23" t="n"/>
      <c r="I251" s="58">
        <f>I252+I253+I254+I255+I256+I257+I258</f>
        <v/>
      </c>
      <c r="J251" s="58">
        <f>J252+J253+J254+J255+J256+J257+J258</f>
        <v/>
      </c>
      <c r="K251" s="58">
        <f>J251-I251</f>
        <v/>
      </c>
      <c r="L251" s="59">
        <f>IF(I251=0,"",J251/I251)</f>
        <v/>
      </c>
      <c r="M251" s="23" t="n"/>
      <c r="N251" s="58">
        <f>N252+N253+N254+N255+N256+N257+N258</f>
        <v/>
      </c>
      <c r="O251" s="58">
        <f>O252+O253+O254+O255+O256+O257+O258</f>
        <v/>
      </c>
      <c r="P251" s="58">
        <f>O251-N251</f>
        <v/>
      </c>
      <c r="Q251" s="59">
        <f>IF(N251=0,"",O251/N251)</f>
        <v/>
      </c>
      <c r="R251" s="23" t="n"/>
      <c r="S251" s="58">
        <f>S252+S253+S254+S255+S256+S257+S258</f>
        <v/>
      </c>
      <c r="T251" s="58">
        <f>T252+T253+T254+T255+T256+T257+T258</f>
        <v/>
      </c>
      <c r="U251" s="58">
        <f>T251-S251</f>
        <v/>
      </c>
      <c r="V251" s="59">
        <f>IF(S251=0,"",T251/S251)</f>
        <v/>
      </c>
      <c r="W251" s="23" t="n"/>
      <c r="X251" s="58">
        <f>X252+X253+X254+X255+X256+X257+X258</f>
        <v/>
      </c>
      <c r="Y251" s="58">
        <f>Y252+Y253+Y254+Y255+Y256+Y257+Y258</f>
        <v/>
      </c>
      <c r="Z251" s="58">
        <f>Y251-X251</f>
        <v/>
      </c>
      <c r="AA251" s="59">
        <f>IF(X251=0,"",Y251/X251)</f>
        <v/>
      </c>
      <c r="AB251" s="23" t="n"/>
      <c r="AC251" s="58">
        <f>AC252+AC253+AC254+AC255+AC256+AC257+AC258</f>
        <v/>
      </c>
      <c r="AD251" s="58">
        <f>AD252+AD253+AD254+AD255+AD256+AD257+AD258</f>
        <v/>
      </c>
      <c r="AE251" s="58">
        <f>AD251-AC251</f>
        <v/>
      </c>
      <c r="AF251" s="59">
        <f>IF(AC251=0,"",AD251/AC251)</f>
        <v/>
      </c>
      <c r="AG251" s="23" t="n"/>
      <c r="AH251" s="58">
        <f>AH252+AH253+AH254+AH255+AH256+AH257+AH258</f>
        <v/>
      </c>
      <c r="AI251" s="58">
        <f>AI252+AI253+AI254+AI255+AI256+AI257+AI258</f>
        <v/>
      </c>
      <c r="AJ251" s="58">
        <f>AI251-AH251</f>
        <v/>
      </c>
      <c r="AK251" s="59">
        <f>IF(AH251=0,"",AI251/AH251)</f>
        <v/>
      </c>
      <c r="AL251" s="23" t="n"/>
      <c r="AM251" s="58">
        <f>AM252+AM253+AM254+AM255+AM256+AM257+AM258</f>
        <v/>
      </c>
      <c r="AN251" s="58">
        <f>AN252+AN253+AN254+AN255+AN256+AN257+AN258</f>
        <v/>
      </c>
      <c r="AO251" s="58">
        <f>AN251-AM251</f>
        <v/>
      </c>
      <c r="AP251" s="59">
        <f>IF(AM251=0,"",AN251/AM251)</f>
        <v/>
      </c>
      <c r="AQ251" s="23" t="n"/>
      <c r="AR251" s="58">
        <f>AR252+AR253+AR254+AR255+AR256+AR257+AR258</f>
        <v/>
      </c>
      <c r="AS251" s="58">
        <f>AS252+AS253+AS254+AS255+AS256+AS257+AS258</f>
        <v/>
      </c>
      <c r="AT251" s="58">
        <f>AS251-AR251</f>
        <v/>
      </c>
      <c r="AU251" s="59">
        <f>IF(AR251=0,"",AS251/AR251)</f>
        <v/>
      </c>
      <c r="AV251" s="23" t="n"/>
      <c r="AW251" s="58">
        <f>AW252+AW253+AW254+AW255+AW256+AW257+AW258</f>
        <v/>
      </c>
      <c r="AX251" s="58">
        <f>AX252+AX253+AX254+AX255+AX256+AX257+AX258</f>
        <v/>
      </c>
      <c r="AY251" s="58">
        <f>AX251-AW251</f>
        <v/>
      </c>
      <c r="AZ251" s="59">
        <f>IF(AW251=0,"",AX251/AW251)</f>
        <v/>
      </c>
      <c r="BA251" s="23" t="n"/>
      <c r="BB251" s="58">
        <f>BB252+BB253+BB254+BB255+BB256+BB257+BB258</f>
        <v/>
      </c>
      <c r="BC251" s="58">
        <f>BC252+BC253+BC254+BC255+BC256+BC257+BC258</f>
        <v/>
      </c>
      <c r="BD251" s="58">
        <f>BC251-BB251</f>
        <v/>
      </c>
      <c r="BE251" s="59">
        <f>IF(BB251=0,"",BC251/BB251)</f>
        <v/>
      </c>
      <c r="BF251" s="23" t="n"/>
      <c r="BG251" s="58">
        <f>BG252+BG253+BG254+BG255+BG256+BG257+BG258</f>
        <v/>
      </c>
      <c r="BH251" s="58">
        <f>BH252+BH253+BH254+BH255+BH256+BH257+BH258</f>
        <v/>
      </c>
      <c r="BI251" s="58">
        <f>BH251-BG251</f>
        <v/>
      </c>
      <c r="BJ251" s="59">
        <f>IF(BG251=0,"",BH251/BG251)</f>
        <v/>
      </c>
      <c r="BK251" s="23" t="n"/>
      <c r="BL251" s="58">
        <f>BL252+BL253+BL254+BL255+BL256+BL257+BL258</f>
        <v/>
      </c>
      <c r="BM251" s="58">
        <f>BM252+BM253+BM254+BM255+BM256+BM257+BM258</f>
        <v/>
      </c>
      <c r="BN251" s="58">
        <f>BM251-BL251</f>
        <v/>
      </c>
      <c r="BO251" s="59">
        <f>IF(BL251=0,"",BM251/BL251)</f>
        <v/>
      </c>
      <c r="BP251" s="23" t="n"/>
      <c r="BQ251" s="58">
        <f>BQ252+BQ253+BQ254+BQ255+BQ256+BQ257+BQ258</f>
        <v/>
      </c>
      <c r="BR251" s="58">
        <f>BR252+BR253+BR254+BR255+BR256+BR257+BR258</f>
        <v/>
      </c>
      <c r="BS251" s="58">
        <f>BR251-BQ251</f>
        <v/>
      </c>
      <c r="BT251" s="59">
        <f>IF(BQ251=0,"",BR251/BQ251)</f>
        <v/>
      </c>
      <c r="BU251" s="23" t="n"/>
      <c r="BV251" s="58">
        <f>BV252+BV253+BV254+BV255+BV256+BV257+BV258</f>
        <v/>
      </c>
      <c r="BW251" s="58">
        <f>BW252+BW253+BW254+BW255+BW256+BW257+BW258</f>
        <v/>
      </c>
      <c r="BX251" s="58">
        <f>BW251-BV251</f>
        <v/>
      </c>
      <c r="BY251" s="59">
        <f>IF(BV251=0,"",BW251/BV251)</f>
        <v/>
      </c>
      <c r="BZ251" s="23" t="n"/>
      <c r="CA251" s="58">
        <f>CA252+CA253+CA254+CA255+CA256+CA257+CA258</f>
        <v/>
      </c>
      <c r="CB251" s="58">
        <f>CB252+CB253+CB254+CB255+CB256+CB257+CB258</f>
        <v/>
      </c>
      <c r="CC251" s="58">
        <f>CB251-CA251</f>
        <v/>
      </c>
      <c r="CD251" s="59">
        <f>IF(CA251=0,"",CB251/CA251)</f>
        <v/>
      </c>
      <c r="CE251" s="23" t="n"/>
      <c r="CF251" s="58">
        <f>CF252+CF253+CF254+CF255+CF256+CF257+CF258</f>
        <v/>
      </c>
      <c r="CG251" s="58">
        <f>CG252+CG253+CG254+CG255+CG256+CG257+CG258</f>
        <v/>
      </c>
      <c r="CH251" s="58">
        <f>CG251-CF251</f>
        <v/>
      </c>
      <c r="CI251" s="59">
        <f>IF(CF251=0,"",CG251/CF251)</f>
        <v/>
      </c>
      <c r="CJ251" s="23" t="n"/>
      <c r="CK251" s="58">
        <f>CK252+CK253+CK254+CK255+CK256+CK257+CK258</f>
        <v/>
      </c>
      <c r="CL251" s="58">
        <f>CL252+CL253+CL254+CL255+CL256+CL257+CL258</f>
        <v/>
      </c>
      <c r="CM251" s="58">
        <f>CL251-CK251</f>
        <v/>
      </c>
      <c r="CN251" s="59">
        <f>IF(CK251=0,"",CL251/CK251)</f>
        <v/>
      </c>
      <c r="CO251" s="23" t="n"/>
      <c r="CP251" s="58">
        <f>CP252+CP253+CP254+CP255+CP256+CP257+CP258</f>
        <v/>
      </c>
      <c r="CQ251" s="58">
        <f>CQ252+CQ253+CQ254+CQ255+CQ256+CQ257+CQ258</f>
        <v/>
      </c>
      <c r="CR251" s="58">
        <f>CQ251-CP251</f>
        <v/>
      </c>
      <c r="CS251" s="59">
        <f>IF(CP251=0,"",CQ251/CP251)</f>
        <v/>
      </c>
      <c r="CT251" s="23" t="n"/>
      <c r="CU251" s="58">
        <f>CU252+CU253+CU254+CU255+CU256+CU257+CU258</f>
        <v/>
      </c>
      <c r="CV251" s="58">
        <f>CV252+CV253+CV254+CV255+CV256+CV257+CV258</f>
        <v/>
      </c>
      <c r="CW251" s="58">
        <f>CV251-CU251</f>
        <v/>
      </c>
      <c r="CX251" s="59">
        <f>IF(CU251=0,"",CV251/CU251)</f>
        <v/>
      </c>
      <c r="CY251" s="23" t="n"/>
      <c r="CZ251" s="58">
        <f>CZ252+CZ253+CZ254+CZ255+CZ256+CZ257+CZ258</f>
        <v/>
      </c>
      <c r="DA251" s="58">
        <f>DA252+DA253+DA254+DA255+DA256+DA257+DA258</f>
        <v/>
      </c>
      <c r="DB251" s="58">
        <f>DA251-CZ251</f>
        <v/>
      </c>
      <c r="DC251" s="59">
        <f>IF(CZ251=0,"",DA251/CZ251)</f>
        <v/>
      </c>
      <c r="DD251" s="23" t="n"/>
      <c r="DE251" s="58">
        <f>DE252+DE253+DE254+DE255+DE256+DE257+DE258</f>
        <v/>
      </c>
      <c r="DF251" s="58">
        <f>DF252+DF253+DF254+DF255+DF256+DF257+DF258</f>
        <v/>
      </c>
      <c r="DG251" s="58">
        <f>DF251-DE251</f>
        <v/>
      </c>
      <c r="DH251" s="59">
        <f>IF(DE251=0,"",DF251/DE251)</f>
        <v/>
      </c>
      <c r="DI251" s="23" t="n"/>
      <c r="DJ251" s="58">
        <f>DJ252+DJ253+DJ254+DJ255+DJ256+DJ257+DJ258</f>
        <v/>
      </c>
      <c r="DK251" s="58">
        <f>DK252+DK253+DK254+DK255+DK256+DK257+DK258</f>
        <v/>
      </c>
      <c r="DL251" s="58">
        <f>DK251-DJ251</f>
        <v/>
      </c>
      <c r="DM251" s="59">
        <f>IF(DJ251=0,"",DK251/DJ251)</f>
        <v/>
      </c>
      <c r="DN251" s="23" t="n"/>
      <c r="DO251" s="58">
        <f>DO252+DO253+DO254+DO255+DO256+DO257+DO258</f>
        <v/>
      </c>
    </row>
    <row r="252" outlineLevel="1" ht="15" customHeight="1">
      <c r="A252" s="24" t="n"/>
      <c r="B252" s="24" t="n"/>
      <c r="C252" s="24" t="n"/>
      <c r="D252" s="60" t="n"/>
      <c r="E252" s="60" t="n"/>
      <c r="F252" s="60">
        <f>E252-D252</f>
        <v/>
      </c>
      <c r="G252" s="61">
        <f>IF(D252=0,"",E252/D252)</f>
        <v/>
      </c>
      <c r="H252" s="27" t="n"/>
      <c r="I252" s="60" t="n"/>
      <c r="J252" s="60" t="n"/>
      <c r="K252" s="60">
        <f>J252-I252</f>
        <v/>
      </c>
      <c r="L252" s="61">
        <f>IF(I252=0,"",J252/I252)</f>
        <v/>
      </c>
      <c r="M252" s="27" t="n"/>
      <c r="N252" s="62" t="n"/>
      <c r="O252" s="62" t="n"/>
      <c r="P252" s="62">
        <f>O252-N252</f>
        <v/>
      </c>
      <c r="Q252" s="64">
        <f>IF(N252=0,"",O252/N252)</f>
        <v/>
      </c>
      <c r="R252" s="31" t="n"/>
      <c r="S252" s="60" t="n"/>
      <c r="T252" s="60" t="n"/>
      <c r="U252" s="60">
        <f>T252-S252</f>
        <v/>
      </c>
      <c r="V252" s="61">
        <f>IF(S252=0,"",T252/S252)</f>
        <v/>
      </c>
      <c r="W252" s="27" t="n"/>
      <c r="X252" s="62" t="n"/>
      <c r="Y252" s="62" t="n"/>
      <c r="Z252" s="62">
        <f>Y252-X252</f>
        <v/>
      </c>
      <c r="AA252" s="64">
        <f>IF(X252=0,"",Y252/X252)</f>
        <v/>
      </c>
      <c r="AB252" s="31" t="n"/>
      <c r="AC252" s="60" t="n"/>
      <c r="AD252" s="60" t="n"/>
      <c r="AE252" s="60">
        <f>AD252-AC252</f>
        <v/>
      </c>
      <c r="AF252" s="61">
        <f>IF(AC252=0,"",AD252/AC252)</f>
        <v/>
      </c>
      <c r="AG252" s="27" t="n"/>
      <c r="AH252" s="62" t="n"/>
      <c r="AI252" s="62" t="n"/>
      <c r="AJ252" s="62">
        <f>AI252-AH252</f>
        <v/>
      </c>
      <c r="AK252" s="64">
        <f>IF(AH252=0,"",AI252/AH252)</f>
        <v/>
      </c>
      <c r="AL252" s="31" t="n"/>
      <c r="AM252" s="60" t="n"/>
      <c r="AN252" s="60" t="n"/>
      <c r="AO252" s="60">
        <f>AN252-AM252</f>
        <v/>
      </c>
      <c r="AP252" s="61">
        <f>IF(AM252=0,"",AN252/AM252)</f>
        <v/>
      </c>
      <c r="AQ252" s="27" t="n"/>
      <c r="AR252" s="62" t="n"/>
      <c r="AS252" s="62" t="n"/>
      <c r="AT252" s="62">
        <f>AS252-AR252</f>
        <v/>
      </c>
      <c r="AU252" s="64">
        <f>IF(AR252=0,"",AS252/AR252)</f>
        <v/>
      </c>
      <c r="AV252" s="31" t="n"/>
      <c r="AW252" s="60" t="n"/>
      <c r="AX252" s="60" t="n"/>
      <c r="AY252" s="60">
        <f>AX252-AW252</f>
        <v/>
      </c>
      <c r="AZ252" s="61">
        <f>IF(AW252=0,"",AX252/AW252)</f>
        <v/>
      </c>
      <c r="BA252" s="27" t="n"/>
      <c r="BB252" s="62" t="n"/>
      <c r="BC252" s="62" t="n"/>
      <c r="BD252" s="62">
        <f>BC252-BB252</f>
        <v/>
      </c>
      <c r="BE252" s="64">
        <f>IF(BB252=0,"",BC252/BB252)</f>
        <v/>
      </c>
      <c r="BF252" s="31" t="n"/>
      <c r="BG252" s="60" t="n"/>
      <c r="BH252" s="60" t="n"/>
      <c r="BI252" s="60">
        <f>BH252-BG252</f>
        <v/>
      </c>
      <c r="BJ252" s="61">
        <f>IF(BG252=0,"",BH252/BG252)</f>
        <v/>
      </c>
      <c r="BK252" s="27" t="n"/>
      <c r="BL252" s="62" t="n"/>
      <c r="BM252" s="62" t="n"/>
      <c r="BN252" s="62">
        <f>BM252-BL252</f>
        <v/>
      </c>
      <c r="BO252" s="64">
        <f>IF(BL252=0,"",BM252/BL252)</f>
        <v/>
      </c>
      <c r="BP252" s="31" t="n"/>
      <c r="BQ252" s="60" t="n"/>
      <c r="BR252" s="60" t="n"/>
      <c r="BS252" s="60">
        <f>BR252-BQ252</f>
        <v/>
      </c>
      <c r="BT252" s="61">
        <f>IF(BQ252=0,"",BR252/BQ252)</f>
        <v/>
      </c>
      <c r="BU252" s="27" t="n"/>
      <c r="BV252" s="62" t="n"/>
      <c r="BW252" s="62" t="n"/>
      <c r="BX252" s="62">
        <f>BW252-BV252</f>
        <v/>
      </c>
      <c r="BY252" s="64">
        <f>IF(BV252=0,"",BW252/BV252)</f>
        <v/>
      </c>
      <c r="BZ252" s="31" t="n"/>
      <c r="CA252" s="60" t="n"/>
      <c r="CB252" s="60" t="n"/>
      <c r="CC252" s="60">
        <f>CB252-CA252</f>
        <v/>
      </c>
      <c r="CD252" s="61">
        <f>IF(CA252=0,"",CB252/CA252)</f>
        <v/>
      </c>
      <c r="CE252" s="27" t="n"/>
      <c r="CF252" s="62" t="n"/>
      <c r="CG252" s="62" t="n"/>
      <c r="CH252" s="62">
        <f>CG252-CF252</f>
        <v/>
      </c>
      <c r="CI252" s="64">
        <f>IF(CF252=0,"",CG252/CF252)</f>
        <v/>
      </c>
      <c r="CJ252" s="31" t="n"/>
      <c r="CK252" s="60" t="n"/>
      <c r="CL252" s="60" t="n"/>
      <c r="CM252" s="60">
        <f>CL252-CK252</f>
        <v/>
      </c>
      <c r="CN252" s="61">
        <f>IF(CK252=0,"",CL252/CK252)</f>
        <v/>
      </c>
      <c r="CO252" s="27" t="n"/>
      <c r="CP252" s="62" t="n"/>
      <c r="CQ252" s="62" t="n"/>
      <c r="CR252" s="62">
        <f>CQ252-CP252</f>
        <v/>
      </c>
      <c r="CS252" s="64">
        <f>IF(CP252=0,"",CQ252/CP252)</f>
        <v/>
      </c>
      <c r="CT252" s="31" t="n"/>
      <c r="CU252" s="60" t="n"/>
      <c r="CV252" s="60" t="n"/>
      <c r="CW252" s="60">
        <f>CV252-CU252</f>
        <v/>
      </c>
      <c r="CX252" s="61">
        <f>IF(CU252=0,"",CV252/CU252)</f>
        <v/>
      </c>
      <c r="CY252" s="27" t="n"/>
      <c r="CZ252" s="62" t="n"/>
      <c r="DA252" s="62" t="n"/>
      <c r="DB252" s="62">
        <f>DA252-CZ252</f>
        <v/>
      </c>
      <c r="DC252" s="64">
        <f>IF(CZ252=0,"",DA252/CZ252)</f>
        <v/>
      </c>
      <c r="DD252" s="31" t="n"/>
      <c r="DE252" s="60" t="n"/>
      <c r="DF252" s="60" t="n"/>
      <c r="DG252" s="60">
        <f>DF252-DE252</f>
        <v/>
      </c>
      <c r="DH252" s="61">
        <f>IF(DE252=0,"",DF252/DE252)</f>
        <v/>
      </c>
      <c r="DI252" s="27" t="n"/>
      <c r="DJ252" s="62" t="n"/>
      <c r="DK252" s="62" t="n"/>
      <c r="DL252" s="62">
        <f>DK252-DJ252</f>
        <v/>
      </c>
      <c r="DM252" s="64">
        <f>IF(DJ252=0,"",DK252/DJ252)</f>
        <v/>
      </c>
      <c r="DN252" s="31" t="n"/>
      <c r="DO252" s="60" t="n"/>
    </row>
    <row r="253" outlineLevel="1" ht="15" customHeight="1">
      <c r="A253" s="24" t="n"/>
      <c r="B253" s="24" t="n"/>
      <c r="C253" s="24" t="n"/>
      <c r="D253" s="60" t="n"/>
      <c r="E253" s="60" t="n"/>
      <c r="F253" s="60">
        <f>E253-D253</f>
        <v/>
      </c>
      <c r="G253" s="61">
        <f>IF(D253=0,"",E253/D253)</f>
        <v/>
      </c>
      <c r="H253" s="27" t="n"/>
      <c r="I253" s="60" t="n"/>
      <c r="J253" s="60" t="n"/>
      <c r="K253" s="60">
        <f>J253-I253</f>
        <v/>
      </c>
      <c r="L253" s="61">
        <f>IF(I253=0,"",J253/I253)</f>
        <v/>
      </c>
      <c r="M253" s="27" t="n"/>
      <c r="N253" s="62" t="n"/>
      <c r="O253" s="62" t="n"/>
      <c r="P253" s="62">
        <f>O253-N253</f>
        <v/>
      </c>
      <c r="Q253" s="64">
        <f>IF(N253=0,"",O253/N253)</f>
        <v/>
      </c>
      <c r="R253" s="31" t="n"/>
      <c r="S253" s="60" t="n"/>
      <c r="T253" s="60" t="n"/>
      <c r="U253" s="60">
        <f>T253-S253</f>
        <v/>
      </c>
      <c r="V253" s="61">
        <f>IF(S253=0,"",T253/S253)</f>
        <v/>
      </c>
      <c r="W253" s="27" t="n"/>
      <c r="X253" s="62" t="n"/>
      <c r="Y253" s="62" t="n"/>
      <c r="Z253" s="62">
        <f>Y253-X253</f>
        <v/>
      </c>
      <c r="AA253" s="64">
        <f>IF(X253=0,"",Y253/X253)</f>
        <v/>
      </c>
      <c r="AB253" s="31" t="n"/>
      <c r="AC253" s="60" t="n"/>
      <c r="AD253" s="60" t="n"/>
      <c r="AE253" s="60">
        <f>AD253-AC253</f>
        <v/>
      </c>
      <c r="AF253" s="61">
        <f>IF(AC253=0,"",AD253/AC253)</f>
        <v/>
      </c>
      <c r="AG253" s="27" t="n"/>
      <c r="AH253" s="62" t="n"/>
      <c r="AI253" s="62" t="n"/>
      <c r="AJ253" s="62">
        <f>AI253-AH253</f>
        <v/>
      </c>
      <c r="AK253" s="64">
        <f>IF(AH253=0,"",AI253/AH253)</f>
        <v/>
      </c>
      <c r="AL253" s="31" t="n"/>
      <c r="AM253" s="60" t="n"/>
      <c r="AN253" s="60" t="n"/>
      <c r="AO253" s="60">
        <f>AN253-AM253</f>
        <v/>
      </c>
      <c r="AP253" s="61">
        <f>IF(AM253=0,"",AN253/AM253)</f>
        <v/>
      </c>
      <c r="AQ253" s="27" t="n"/>
      <c r="AR253" s="62" t="n"/>
      <c r="AS253" s="62" t="n"/>
      <c r="AT253" s="62">
        <f>AS253-AR253</f>
        <v/>
      </c>
      <c r="AU253" s="64">
        <f>IF(AR253=0,"",AS253/AR253)</f>
        <v/>
      </c>
      <c r="AV253" s="31" t="n"/>
      <c r="AW253" s="60" t="n"/>
      <c r="AX253" s="60" t="n"/>
      <c r="AY253" s="60">
        <f>AX253-AW253</f>
        <v/>
      </c>
      <c r="AZ253" s="61">
        <f>IF(AW253=0,"",AX253/AW253)</f>
        <v/>
      </c>
      <c r="BA253" s="27" t="n"/>
      <c r="BB253" s="62" t="n"/>
      <c r="BC253" s="62" t="n"/>
      <c r="BD253" s="62">
        <f>BC253-BB253</f>
        <v/>
      </c>
      <c r="BE253" s="64">
        <f>IF(BB253=0,"",BC253/BB253)</f>
        <v/>
      </c>
      <c r="BF253" s="31" t="n"/>
      <c r="BG253" s="60" t="n"/>
      <c r="BH253" s="60" t="n"/>
      <c r="BI253" s="60">
        <f>BH253-BG253</f>
        <v/>
      </c>
      <c r="BJ253" s="61">
        <f>IF(BG253=0,"",BH253/BG253)</f>
        <v/>
      </c>
      <c r="BK253" s="27" t="n"/>
      <c r="BL253" s="62" t="n"/>
      <c r="BM253" s="62" t="n"/>
      <c r="BN253" s="62">
        <f>BM253-BL253</f>
        <v/>
      </c>
      <c r="BO253" s="64">
        <f>IF(BL253=0,"",BM253/BL253)</f>
        <v/>
      </c>
      <c r="BP253" s="31" t="n"/>
      <c r="BQ253" s="60" t="n"/>
      <c r="BR253" s="60" t="n"/>
      <c r="BS253" s="60">
        <f>BR253-BQ253</f>
        <v/>
      </c>
      <c r="BT253" s="61">
        <f>IF(BQ253=0,"",BR253/BQ253)</f>
        <v/>
      </c>
      <c r="BU253" s="27" t="n"/>
      <c r="BV253" s="62" t="n"/>
      <c r="BW253" s="62" t="n"/>
      <c r="BX253" s="62">
        <f>BW253-BV253</f>
        <v/>
      </c>
      <c r="BY253" s="64">
        <f>IF(BV253=0,"",BW253/BV253)</f>
        <v/>
      </c>
      <c r="BZ253" s="31" t="n"/>
      <c r="CA253" s="60" t="n"/>
      <c r="CB253" s="60" t="n"/>
      <c r="CC253" s="60">
        <f>CB253-CA253</f>
        <v/>
      </c>
      <c r="CD253" s="61">
        <f>IF(CA253=0,"",CB253/CA253)</f>
        <v/>
      </c>
      <c r="CE253" s="27" t="n"/>
      <c r="CF253" s="62" t="n"/>
      <c r="CG253" s="62" t="n"/>
      <c r="CH253" s="62">
        <f>CG253-CF253</f>
        <v/>
      </c>
      <c r="CI253" s="64">
        <f>IF(CF253=0,"",CG253/CF253)</f>
        <v/>
      </c>
      <c r="CJ253" s="31" t="n"/>
      <c r="CK253" s="60" t="n"/>
      <c r="CL253" s="60" t="n"/>
      <c r="CM253" s="60">
        <f>CL253-CK253</f>
        <v/>
      </c>
      <c r="CN253" s="61">
        <f>IF(CK253=0,"",CL253/CK253)</f>
        <v/>
      </c>
      <c r="CO253" s="27" t="n"/>
      <c r="CP253" s="62" t="n"/>
      <c r="CQ253" s="62" t="n"/>
      <c r="CR253" s="62">
        <f>CQ253-CP253</f>
        <v/>
      </c>
      <c r="CS253" s="64">
        <f>IF(CP253=0,"",CQ253/CP253)</f>
        <v/>
      </c>
      <c r="CT253" s="31" t="n"/>
      <c r="CU253" s="60" t="n"/>
      <c r="CV253" s="60" t="n"/>
      <c r="CW253" s="60">
        <f>CV253-CU253</f>
        <v/>
      </c>
      <c r="CX253" s="61">
        <f>IF(CU253=0,"",CV253/CU253)</f>
        <v/>
      </c>
      <c r="CY253" s="27" t="n"/>
      <c r="CZ253" s="62" t="n"/>
      <c r="DA253" s="62" t="n"/>
      <c r="DB253" s="62">
        <f>DA253-CZ253</f>
        <v/>
      </c>
      <c r="DC253" s="64">
        <f>IF(CZ253=0,"",DA253/CZ253)</f>
        <v/>
      </c>
      <c r="DD253" s="31" t="n"/>
      <c r="DE253" s="60" t="n"/>
      <c r="DF253" s="60" t="n"/>
      <c r="DG253" s="60">
        <f>DF253-DE253</f>
        <v/>
      </c>
      <c r="DH253" s="61">
        <f>IF(DE253=0,"",DF253/DE253)</f>
        <v/>
      </c>
      <c r="DI253" s="27" t="n"/>
      <c r="DJ253" s="62" t="n"/>
      <c r="DK253" s="62" t="n"/>
      <c r="DL253" s="62">
        <f>DK253-DJ253</f>
        <v/>
      </c>
      <c r="DM253" s="64">
        <f>IF(DJ253=0,"",DK253/DJ253)</f>
        <v/>
      </c>
      <c r="DN253" s="31" t="n"/>
      <c r="DO253" s="60" t="n"/>
    </row>
    <row r="254" outlineLevel="1" ht="15" customHeight="1">
      <c r="A254" s="24" t="n"/>
      <c r="B254" s="24" t="n"/>
      <c r="C254" s="24" t="n"/>
      <c r="D254" s="60" t="n"/>
      <c r="E254" s="60" t="n"/>
      <c r="F254" s="60">
        <f>E254-D254</f>
        <v/>
      </c>
      <c r="G254" s="61">
        <f>IF(D254=0,"",E254/D254)</f>
        <v/>
      </c>
      <c r="H254" s="27" t="n"/>
      <c r="I254" s="60" t="n"/>
      <c r="J254" s="60" t="n"/>
      <c r="K254" s="60">
        <f>J254-I254</f>
        <v/>
      </c>
      <c r="L254" s="61">
        <f>IF(I254=0,"",J254/I254)</f>
        <v/>
      </c>
      <c r="M254" s="27" t="n"/>
      <c r="N254" s="62" t="n"/>
      <c r="O254" s="62" t="n"/>
      <c r="P254" s="62">
        <f>O254-N254</f>
        <v/>
      </c>
      <c r="Q254" s="64">
        <f>IF(N254=0,"",O254/N254)</f>
        <v/>
      </c>
      <c r="R254" s="31" t="n"/>
      <c r="S254" s="60" t="n"/>
      <c r="T254" s="60" t="n"/>
      <c r="U254" s="60">
        <f>T254-S254</f>
        <v/>
      </c>
      <c r="V254" s="61">
        <f>IF(S254=0,"",T254/S254)</f>
        <v/>
      </c>
      <c r="W254" s="27" t="n"/>
      <c r="X254" s="62" t="n"/>
      <c r="Y254" s="62" t="n"/>
      <c r="Z254" s="62">
        <f>Y254-X254</f>
        <v/>
      </c>
      <c r="AA254" s="64">
        <f>IF(X254=0,"",Y254/X254)</f>
        <v/>
      </c>
      <c r="AB254" s="31" t="n"/>
      <c r="AC254" s="60" t="n"/>
      <c r="AD254" s="60" t="n"/>
      <c r="AE254" s="60">
        <f>AD254-AC254</f>
        <v/>
      </c>
      <c r="AF254" s="61">
        <f>IF(AC254=0,"",AD254/AC254)</f>
        <v/>
      </c>
      <c r="AG254" s="27" t="n"/>
      <c r="AH254" s="62" t="n"/>
      <c r="AI254" s="62" t="n"/>
      <c r="AJ254" s="62">
        <f>AI254-AH254</f>
        <v/>
      </c>
      <c r="AK254" s="64">
        <f>IF(AH254=0,"",AI254/AH254)</f>
        <v/>
      </c>
      <c r="AL254" s="31" t="n"/>
      <c r="AM254" s="60" t="n"/>
      <c r="AN254" s="60" t="n"/>
      <c r="AO254" s="60">
        <f>AN254-AM254</f>
        <v/>
      </c>
      <c r="AP254" s="61">
        <f>IF(AM254=0,"",AN254/AM254)</f>
        <v/>
      </c>
      <c r="AQ254" s="27" t="n"/>
      <c r="AR254" s="62" t="n"/>
      <c r="AS254" s="62" t="n"/>
      <c r="AT254" s="62">
        <f>AS254-AR254</f>
        <v/>
      </c>
      <c r="AU254" s="64">
        <f>IF(AR254=0,"",AS254/AR254)</f>
        <v/>
      </c>
      <c r="AV254" s="31" t="n"/>
      <c r="AW254" s="60" t="n"/>
      <c r="AX254" s="60" t="n"/>
      <c r="AY254" s="60">
        <f>AX254-AW254</f>
        <v/>
      </c>
      <c r="AZ254" s="61">
        <f>IF(AW254=0,"",AX254/AW254)</f>
        <v/>
      </c>
      <c r="BA254" s="27" t="n"/>
      <c r="BB254" s="62" t="n"/>
      <c r="BC254" s="62" t="n"/>
      <c r="BD254" s="62">
        <f>BC254-BB254</f>
        <v/>
      </c>
      <c r="BE254" s="64">
        <f>IF(BB254=0,"",BC254/BB254)</f>
        <v/>
      </c>
      <c r="BF254" s="31" t="n"/>
      <c r="BG254" s="60" t="n"/>
      <c r="BH254" s="60" t="n"/>
      <c r="BI254" s="60">
        <f>BH254-BG254</f>
        <v/>
      </c>
      <c r="BJ254" s="61">
        <f>IF(BG254=0,"",BH254/BG254)</f>
        <v/>
      </c>
      <c r="BK254" s="27" t="n"/>
      <c r="BL254" s="62" t="n"/>
      <c r="BM254" s="62" t="n"/>
      <c r="BN254" s="62">
        <f>BM254-BL254</f>
        <v/>
      </c>
      <c r="BO254" s="64">
        <f>IF(BL254=0,"",BM254/BL254)</f>
        <v/>
      </c>
      <c r="BP254" s="31" t="n"/>
      <c r="BQ254" s="60" t="n"/>
      <c r="BR254" s="60" t="n"/>
      <c r="BS254" s="60">
        <f>BR254-BQ254</f>
        <v/>
      </c>
      <c r="BT254" s="61">
        <f>IF(BQ254=0,"",BR254/BQ254)</f>
        <v/>
      </c>
      <c r="BU254" s="27" t="n"/>
      <c r="BV254" s="62" t="n"/>
      <c r="BW254" s="62" t="n"/>
      <c r="BX254" s="62">
        <f>BW254-BV254</f>
        <v/>
      </c>
      <c r="BY254" s="64">
        <f>IF(BV254=0,"",BW254/BV254)</f>
        <v/>
      </c>
      <c r="BZ254" s="31" t="n"/>
      <c r="CA254" s="60" t="n"/>
      <c r="CB254" s="60" t="n"/>
      <c r="CC254" s="60">
        <f>CB254-CA254</f>
        <v/>
      </c>
      <c r="CD254" s="61">
        <f>IF(CA254=0,"",CB254/CA254)</f>
        <v/>
      </c>
      <c r="CE254" s="27" t="n"/>
      <c r="CF254" s="62" t="n"/>
      <c r="CG254" s="62" t="n"/>
      <c r="CH254" s="62">
        <f>CG254-CF254</f>
        <v/>
      </c>
      <c r="CI254" s="64">
        <f>IF(CF254=0,"",CG254/CF254)</f>
        <v/>
      </c>
      <c r="CJ254" s="31" t="n"/>
      <c r="CK254" s="60" t="n"/>
      <c r="CL254" s="60" t="n"/>
      <c r="CM254" s="60">
        <f>CL254-CK254</f>
        <v/>
      </c>
      <c r="CN254" s="61">
        <f>IF(CK254=0,"",CL254/CK254)</f>
        <v/>
      </c>
      <c r="CO254" s="27" t="n"/>
      <c r="CP254" s="62" t="n"/>
      <c r="CQ254" s="62" t="n"/>
      <c r="CR254" s="62">
        <f>CQ254-CP254</f>
        <v/>
      </c>
      <c r="CS254" s="64">
        <f>IF(CP254=0,"",CQ254/CP254)</f>
        <v/>
      </c>
      <c r="CT254" s="31" t="n"/>
      <c r="CU254" s="60" t="n"/>
      <c r="CV254" s="60" t="n"/>
      <c r="CW254" s="60">
        <f>CV254-CU254</f>
        <v/>
      </c>
      <c r="CX254" s="61">
        <f>IF(CU254=0,"",CV254/CU254)</f>
        <v/>
      </c>
      <c r="CY254" s="27" t="n"/>
      <c r="CZ254" s="62" t="n"/>
      <c r="DA254" s="62" t="n"/>
      <c r="DB254" s="62">
        <f>DA254-CZ254</f>
        <v/>
      </c>
      <c r="DC254" s="64">
        <f>IF(CZ254=0,"",DA254/CZ254)</f>
        <v/>
      </c>
      <c r="DD254" s="31" t="n"/>
      <c r="DE254" s="60" t="n"/>
      <c r="DF254" s="60" t="n"/>
      <c r="DG254" s="60">
        <f>DF254-DE254</f>
        <v/>
      </c>
      <c r="DH254" s="61">
        <f>IF(DE254=0,"",DF254/DE254)</f>
        <v/>
      </c>
      <c r="DI254" s="27" t="n"/>
      <c r="DJ254" s="62" t="n"/>
      <c r="DK254" s="62" t="n"/>
      <c r="DL254" s="62">
        <f>DK254-DJ254</f>
        <v/>
      </c>
      <c r="DM254" s="64">
        <f>IF(DJ254=0,"",DK254/DJ254)</f>
        <v/>
      </c>
      <c r="DN254" s="31" t="n"/>
      <c r="DO254" s="60" t="n"/>
    </row>
    <row r="255" outlineLevel="1" ht="15" customHeight="1">
      <c r="A255" s="24" t="n"/>
      <c r="B255" s="24" t="n"/>
      <c r="C255" s="24" t="n"/>
      <c r="D255" s="60" t="n"/>
      <c r="E255" s="60" t="n"/>
      <c r="F255" s="60">
        <f>E255-D255</f>
        <v/>
      </c>
      <c r="G255" s="61">
        <f>IF(D255=0,"",E255/D255)</f>
        <v/>
      </c>
      <c r="H255" s="27" t="n"/>
      <c r="I255" s="60" t="n"/>
      <c r="J255" s="60" t="n"/>
      <c r="K255" s="60">
        <f>J255-I255</f>
        <v/>
      </c>
      <c r="L255" s="61">
        <f>IF(I255=0,"",J255/I255)</f>
        <v/>
      </c>
      <c r="M255" s="27" t="n"/>
      <c r="N255" s="62" t="n"/>
      <c r="O255" s="62" t="n"/>
      <c r="P255" s="62">
        <f>O255-N255</f>
        <v/>
      </c>
      <c r="Q255" s="64">
        <f>IF(N255=0,"",O255/N255)</f>
        <v/>
      </c>
      <c r="R255" s="31" t="n"/>
      <c r="S255" s="60" t="n"/>
      <c r="T255" s="60" t="n"/>
      <c r="U255" s="60">
        <f>T255-S255</f>
        <v/>
      </c>
      <c r="V255" s="61">
        <f>IF(S255=0,"",T255/S255)</f>
        <v/>
      </c>
      <c r="W255" s="27" t="n"/>
      <c r="X255" s="62" t="n"/>
      <c r="Y255" s="62" t="n"/>
      <c r="Z255" s="62">
        <f>Y255-X255</f>
        <v/>
      </c>
      <c r="AA255" s="64">
        <f>IF(X255=0,"",Y255/X255)</f>
        <v/>
      </c>
      <c r="AB255" s="31" t="n"/>
      <c r="AC255" s="60" t="n"/>
      <c r="AD255" s="60" t="n"/>
      <c r="AE255" s="60">
        <f>AD255-AC255</f>
        <v/>
      </c>
      <c r="AF255" s="61">
        <f>IF(AC255=0,"",AD255/AC255)</f>
        <v/>
      </c>
      <c r="AG255" s="27" t="n"/>
      <c r="AH255" s="62" t="n"/>
      <c r="AI255" s="62" t="n"/>
      <c r="AJ255" s="62">
        <f>AI255-AH255</f>
        <v/>
      </c>
      <c r="AK255" s="64">
        <f>IF(AH255=0,"",AI255/AH255)</f>
        <v/>
      </c>
      <c r="AL255" s="31" t="n"/>
      <c r="AM255" s="60" t="n"/>
      <c r="AN255" s="60" t="n"/>
      <c r="AO255" s="60">
        <f>AN255-AM255</f>
        <v/>
      </c>
      <c r="AP255" s="61">
        <f>IF(AM255=0,"",AN255/AM255)</f>
        <v/>
      </c>
      <c r="AQ255" s="27" t="n"/>
      <c r="AR255" s="62" t="n"/>
      <c r="AS255" s="62" t="n"/>
      <c r="AT255" s="62">
        <f>AS255-AR255</f>
        <v/>
      </c>
      <c r="AU255" s="64">
        <f>IF(AR255=0,"",AS255/AR255)</f>
        <v/>
      </c>
      <c r="AV255" s="31" t="n"/>
      <c r="AW255" s="60" t="n"/>
      <c r="AX255" s="60" t="n"/>
      <c r="AY255" s="60">
        <f>AX255-AW255</f>
        <v/>
      </c>
      <c r="AZ255" s="61">
        <f>IF(AW255=0,"",AX255/AW255)</f>
        <v/>
      </c>
      <c r="BA255" s="27" t="n"/>
      <c r="BB255" s="62" t="n"/>
      <c r="BC255" s="62" t="n"/>
      <c r="BD255" s="62">
        <f>BC255-BB255</f>
        <v/>
      </c>
      <c r="BE255" s="64">
        <f>IF(BB255=0,"",BC255/BB255)</f>
        <v/>
      </c>
      <c r="BF255" s="31" t="n"/>
      <c r="BG255" s="60" t="n"/>
      <c r="BH255" s="60" t="n"/>
      <c r="BI255" s="60">
        <f>BH255-BG255</f>
        <v/>
      </c>
      <c r="BJ255" s="61">
        <f>IF(BG255=0,"",BH255/BG255)</f>
        <v/>
      </c>
      <c r="BK255" s="27" t="n"/>
      <c r="BL255" s="62" t="n"/>
      <c r="BM255" s="62" t="n"/>
      <c r="BN255" s="62">
        <f>BM255-BL255</f>
        <v/>
      </c>
      <c r="BO255" s="64">
        <f>IF(BL255=0,"",BM255/BL255)</f>
        <v/>
      </c>
      <c r="BP255" s="31" t="n"/>
      <c r="BQ255" s="60" t="n"/>
      <c r="BR255" s="60" t="n"/>
      <c r="BS255" s="60">
        <f>BR255-BQ255</f>
        <v/>
      </c>
      <c r="BT255" s="61">
        <f>IF(BQ255=0,"",BR255/BQ255)</f>
        <v/>
      </c>
      <c r="BU255" s="27" t="n"/>
      <c r="BV255" s="62" t="n"/>
      <c r="BW255" s="62" t="n"/>
      <c r="BX255" s="62">
        <f>BW255-BV255</f>
        <v/>
      </c>
      <c r="BY255" s="64">
        <f>IF(BV255=0,"",BW255/BV255)</f>
        <v/>
      </c>
      <c r="BZ255" s="31" t="n"/>
      <c r="CA255" s="60" t="n"/>
      <c r="CB255" s="60" t="n"/>
      <c r="CC255" s="60">
        <f>CB255-CA255</f>
        <v/>
      </c>
      <c r="CD255" s="61">
        <f>IF(CA255=0,"",CB255/CA255)</f>
        <v/>
      </c>
      <c r="CE255" s="27" t="n"/>
      <c r="CF255" s="62" t="n"/>
      <c r="CG255" s="62" t="n"/>
      <c r="CH255" s="62">
        <f>CG255-CF255</f>
        <v/>
      </c>
      <c r="CI255" s="64">
        <f>IF(CF255=0,"",CG255/CF255)</f>
        <v/>
      </c>
      <c r="CJ255" s="31" t="n"/>
      <c r="CK255" s="60" t="n"/>
      <c r="CL255" s="60" t="n"/>
      <c r="CM255" s="60">
        <f>CL255-CK255</f>
        <v/>
      </c>
      <c r="CN255" s="61">
        <f>IF(CK255=0,"",CL255/CK255)</f>
        <v/>
      </c>
      <c r="CO255" s="27" t="n"/>
      <c r="CP255" s="62" t="n"/>
      <c r="CQ255" s="62" t="n"/>
      <c r="CR255" s="62">
        <f>CQ255-CP255</f>
        <v/>
      </c>
      <c r="CS255" s="64">
        <f>IF(CP255=0,"",CQ255/CP255)</f>
        <v/>
      </c>
      <c r="CT255" s="31" t="n"/>
      <c r="CU255" s="60" t="n"/>
      <c r="CV255" s="60" t="n"/>
      <c r="CW255" s="60">
        <f>CV255-CU255</f>
        <v/>
      </c>
      <c r="CX255" s="61">
        <f>IF(CU255=0,"",CV255/CU255)</f>
        <v/>
      </c>
      <c r="CY255" s="27" t="n"/>
      <c r="CZ255" s="62" t="n"/>
      <c r="DA255" s="62" t="n"/>
      <c r="DB255" s="62">
        <f>DA255-CZ255</f>
        <v/>
      </c>
      <c r="DC255" s="64">
        <f>IF(CZ255=0,"",DA255/CZ255)</f>
        <v/>
      </c>
      <c r="DD255" s="31" t="n"/>
      <c r="DE255" s="60" t="n"/>
      <c r="DF255" s="60" t="n"/>
      <c r="DG255" s="60">
        <f>DF255-DE255</f>
        <v/>
      </c>
      <c r="DH255" s="61">
        <f>IF(DE255=0,"",DF255/DE255)</f>
        <v/>
      </c>
      <c r="DI255" s="27" t="n"/>
      <c r="DJ255" s="62" t="n"/>
      <c r="DK255" s="62" t="n"/>
      <c r="DL255" s="62">
        <f>DK255-DJ255</f>
        <v/>
      </c>
      <c r="DM255" s="64">
        <f>IF(DJ255=0,"",DK255/DJ255)</f>
        <v/>
      </c>
      <c r="DN255" s="31" t="n"/>
      <c r="DO255" s="60" t="n"/>
    </row>
    <row r="256" outlineLevel="1" ht="15" customHeight="1">
      <c r="A256" s="24" t="n"/>
      <c r="B256" s="24" t="n"/>
      <c r="C256" s="24" t="n"/>
      <c r="D256" s="60" t="n"/>
      <c r="E256" s="60" t="n"/>
      <c r="F256" s="60">
        <f>E256-D256</f>
        <v/>
      </c>
      <c r="G256" s="61">
        <f>IF(D256=0,"",E256/D256)</f>
        <v/>
      </c>
      <c r="H256" s="27" t="n"/>
      <c r="I256" s="60" t="n"/>
      <c r="J256" s="60" t="n"/>
      <c r="K256" s="60">
        <f>J256-I256</f>
        <v/>
      </c>
      <c r="L256" s="61">
        <f>IF(I256=0,"",J256/I256)</f>
        <v/>
      </c>
      <c r="M256" s="27" t="n"/>
      <c r="N256" s="62" t="n"/>
      <c r="O256" s="62" t="n"/>
      <c r="P256" s="62">
        <f>O256-N256</f>
        <v/>
      </c>
      <c r="Q256" s="64">
        <f>IF(N256=0,"",O256/N256)</f>
        <v/>
      </c>
      <c r="R256" s="31" t="n"/>
      <c r="S256" s="60" t="n"/>
      <c r="T256" s="60" t="n"/>
      <c r="U256" s="60">
        <f>T256-S256</f>
        <v/>
      </c>
      <c r="V256" s="61">
        <f>IF(S256=0,"",T256/S256)</f>
        <v/>
      </c>
      <c r="W256" s="27" t="n"/>
      <c r="X256" s="62" t="n"/>
      <c r="Y256" s="62" t="n"/>
      <c r="Z256" s="62">
        <f>Y256-X256</f>
        <v/>
      </c>
      <c r="AA256" s="64">
        <f>IF(X256=0,"",Y256/X256)</f>
        <v/>
      </c>
      <c r="AB256" s="31" t="n"/>
      <c r="AC256" s="60" t="n"/>
      <c r="AD256" s="60" t="n"/>
      <c r="AE256" s="60">
        <f>AD256-AC256</f>
        <v/>
      </c>
      <c r="AF256" s="61">
        <f>IF(AC256=0,"",AD256/AC256)</f>
        <v/>
      </c>
      <c r="AG256" s="27" t="n"/>
      <c r="AH256" s="62" t="n"/>
      <c r="AI256" s="62" t="n"/>
      <c r="AJ256" s="62">
        <f>AI256-AH256</f>
        <v/>
      </c>
      <c r="AK256" s="64">
        <f>IF(AH256=0,"",AI256/AH256)</f>
        <v/>
      </c>
      <c r="AL256" s="31" t="n"/>
      <c r="AM256" s="60" t="n"/>
      <c r="AN256" s="60" t="n"/>
      <c r="AO256" s="60">
        <f>AN256-AM256</f>
        <v/>
      </c>
      <c r="AP256" s="61">
        <f>IF(AM256=0,"",AN256/AM256)</f>
        <v/>
      </c>
      <c r="AQ256" s="27" t="n"/>
      <c r="AR256" s="62" t="n"/>
      <c r="AS256" s="62" t="n"/>
      <c r="AT256" s="62">
        <f>AS256-AR256</f>
        <v/>
      </c>
      <c r="AU256" s="64">
        <f>IF(AR256=0,"",AS256/AR256)</f>
        <v/>
      </c>
      <c r="AV256" s="31" t="n"/>
      <c r="AW256" s="60" t="n"/>
      <c r="AX256" s="60" t="n"/>
      <c r="AY256" s="60">
        <f>AX256-AW256</f>
        <v/>
      </c>
      <c r="AZ256" s="61">
        <f>IF(AW256=0,"",AX256/AW256)</f>
        <v/>
      </c>
      <c r="BA256" s="27" t="n"/>
      <c r="BB256" s="62" t="n"/>
      <c r="BC256" s="62" t="n"/>
      <c r="BD256" s="62">
        <f>BC256-BB256</f>
        <v/>
      </c>
      <c r="BE256" s="64">
        <f>IF(BB256=0,"",BC256/BB256)</f>
        <v/>
      </c>
      <c r="BF256" s="31" t="n"/>
      <c r="BG256" s="60" t="n"/>
      <c r="BH256" s="60" t="n"/>
      <c r="BI256" s="60">
        <f>BH256-BG256</f>
        <v/>
      </c>
      <c r="BJ256" s="61">
        <f>IF(BG256=0,"",BH256/BG256)</f>
        <v/>
      </c>
      <c r="BK256" s="27" t="n"/>
      <c r="BL256" s="62" t="n"/>
      <c r="BM256" s="62" t="n"/>
      <c r="BN256" s="62">
        <f>BM256-BL256</f>
        <v/>
      </c>
      <c r="BO256" s="64">
        <f>IF(BL256=0,"",BM256/BL256)</f>
        <v/>
      </c>
      <c r="BP256" s="31" t="n"/>
      <c r="BQ256" s="60" t="n"/>
      <c r="BR256" s="60" t="n"/>
      <c r="BS256" s="60">
        <f>BR256-BQ256</f>
        <v/>
      </c>
      <c r="BT256" s="61">
        <f>IF(BQ256=0,"",BR256/BQ256)</f>
        <v/>
      </c>
      <c r="BU256" s="27" t="n"/>
      <c r="BV256" s="62" t="n"/>
      <c r="BW256" s="62" t="n"/>
      <c r="BX256" s="62">
        <f>BW256-BV256</f>
        <v/>
      </c>
      <c r="BY256" s="64">
        <f>IF(BV256=0,"",BW256/BV256)</f>
        <v/>
      </c>
      <c r="BZ256" s="31" t="n"/>
      <c r="CA256" s="60" t="n"/>
      <c r="CB256" s="60" t="n"/>
      <c r="CC256" s="60">
        <f>CB256-CA256</f>
        <v/>
      </c>
      <c r="CD256" s="61">
        <f>IF(CA256=0,"",CB256/CA256)</f>
        <v/>
      </c>
      <c r="CE256" s="27" t="n"/>
      <c r="CF256" s="62" t="n"/>
      <c r="CG256" s="62" t="n"/>
      <c r="CH256" s="62">
        <f>CG256-CF256</f>
        <v/>
      </c>
      <c r="CI256" s="64">
        <f>IF(CF256=0,"",CG256/CF256)</f>
        <v/>
      </c>
      <c r="CJ256" s="31" t="n"/>
      <c r="CK256" s="60" t="n"/>
      <c r="CL256" s="60" t="n"/>
      <c r="CM256" s="60">
        <f>CL256-CK256</f>
        <v/>
      </c>
      <c r="CN256" s="61">
        <f>IF(CK256=0,"",CL256/CK256)</f>
        <v/>
      </c>
      <c r="CO256" s="27" t="n"/>
      <c r="CP256" s="62" t="n"/>
      <c r="CQ256" s="62" t="n"/>
      <c r="CR256" s="62">
        <f>CQ256-CP256</f>
        <v/>
      </c>
      <c r="CS256" s="64">
        <f>IF(CP256=0,"",CQ256/CP256)</f>
        <v/>
      </c>
      <c r="CT256" s="31" t="n"/>
      <c r="CU256" s="60" t="n"/>
      <c r="CV256" s="60" t="n"/>
      <c r="CW256" s="60">
        <f>CV256-CU256</f>
        <v/>
      </c>
      <c r="CX256" s="61">
        <f>IF(CU256=0,"",CV256/CU256)</f>
        <v/>
      </c>
      <c r="CY256" s="27" t="n"/>
      <c r="CZ256" s="62" t="n"/>
      <c r="DA256" s="62" t="n"/>
      <c r="DB256" s="62">
        <f>DA256-CZ256</f>
        <v/>
      </c>
      <c r="DC256" s="64">
        <f>IF(CZ256=0,"",DA256/CZ256)</f>
        <v/>
      </c>
      <c r="DD256" s="31" t="n"/>
      <c r="DE256" s="60" t="n"/>
      <c r="DF256" s="60" t="n"/>
      <c r="DG256" s="60">
        <f>DF256-DE256</f>
        <v/>
      </c>
      <c r="DH256" s="61">
        <f>IF(DE256=0,"",DF256/DE256)</f>
        <v/>
      </c>
      <c r="DI256" s="27" t="n"/>
      <c r="DJ256" s="62" t="n"/>
      <c r="DK256" s="62" t="n"/>
      <c r="DL256" s="62">
        <f>DK256-DJ256</f>
        <v/>
      </c>
      <c r="DM256" s="64">
        <f>IF(DJ256=0,"",DK256/DJ256)</f>
        <v/>
      </c>
      <c r="DN256" s="31" t="n"/>
      <c r="DO256" s="60" t="n"/>
    </row>
    <row r="257" outlineLevel="1" ht="15" customHeight="1">
      <c r="A257" s="24" t="n"/>
      <c r="B257" s="24" t="n"/>
      <c r="C257" s="24" t="n"/>
      <c r="D257" s="60" t="n"/>
      <c r="E257" s="60" t="n"/>
      <c r="F257" s="60">
        <f>E257-D257</f>
        <v/>
      </c>
      <c r="G257" s="61">
        <f>IF(D257=0,"",E257/D257)</f>
        <v/>
      </c>
      <c r="H257" s="27" t="n"/>
      <c r="I257" s="60" t="n"/>
      <c r="J257" s="60" t="n"/>
      <c r="K257" s="60">
        <f>J257-I257</f>
        <v/>
      </c>
      <c r="L257" s="61">
        <f>IF(I257=0,"",J257/I257)</f>
        <v/>
      </c>
      <c r="M257" s="27" t="n"/>
      <c r="N257" s="62" t="n"/>
      <c r="O257" s="62" t="n"/>
      <c r="P257" s="62">
        <f>O257-N257</f>
        <v/>
      </c>
      <c r="Q257" s="64">
        <f>IF(N257=0,"",O257/N257)</f>
        <v/>
      </c>
      <c r="R257" s="31" t="n"/>
      <c r="S257" s="60" t="n"/>
      <c r="T257" s="60" t="n"/>
      <c r="U257" s="60">
        <f>T257-S257</f>
        <v/>
      </c>
      <c r="V257" s="61">
        <f>IF(S257=0,"",T257/S257)</f>
        <v/>
      </c>
      <c r="W257" s="27" t="n"/>
      <c r="X257" s="62" t="n"/>
      <c r="Y257" s="62" t="n"/>
      <c r="Z257" s="62">
        <f>Y257-X257</f>
        <v/>
      </c>
      <c r="AA257" s="64">
        <f>IF(X257=0,"",Y257/X257)</f>
        <v/>
      </c>
      <c r="AB257" s="31" t="n"/>
      <c r="AC257" s="60" t="n"/>
      <c r="AD257" s="60" t="n"/>
      <c r="AE257" s="60">
        <f>AD257-AC257</f>
        <v/>
      </c>
      <c r="AF257" s="61">
        <f>IF(AC257=0,"",AD257/AC257)</f>
        <v/>
      </c>
      <c r="AG257" s="27" t="n"/>
      <c r="AH257" s="62" t="n"/>
      <c r="AI257" s="62" t="n"/>
      <c r="AJ257" s="62">
        <f>AI257-AH257</f>
        <v/>
      </c>
      <c r="AK257" s="64">
        <f>IF(AH257=0,"",AI257/AH257)</f>
        <v/>
      </c>
      <c r="AL257" s="31" t="n"/>
      <c r="AM257" s="60" t="n"/>
      <c r="AN257" s="60" t="n"/>
      <c r="AO257" s="60">
        <f>AN257-AM257</f>
        <v/>
      </c>
      <c r="AP257" s="61">
        <f>IF(AM257=0,"",AN257/AM257)</f>
        <v/>
      </c>
      <c r="AQ257" s="27" t="n"/>
      <c r="AR257" s="62" t="n"/>
      <c r="AS257" s="62" t="n"/>
      <c r="AT257" s="62">
        <f>AS257-AR257</f>
        <v/>
      </c>
      <c r="AU257" s="64">
        <f>IF(AR257=0,"",AS257/AR257)</f>
        <v/>
      </c>
      <c r="AV257" s="31" t="n"/>
      <c r="AW257" s="60" t="n"/>
      <c r="AX257" s="60" t="n"/>
      <c r="AY257" s="60">
        <f>AX257-AW257</f>
        <v/>
      </c>
      <c r="AZ257" s="61">
        <f>IF(AW257=0,"",AX257/AW257)</f>
        <v/>
      </c>
      <c r="BA257" s="27" t="n"/>
      <c r="BB257" s="62" t="n"/>
      <c r="BC257" s="62" t="n"/>
      <c r="BD257" s="62">
        <f>BC257-BB257</f>
        <v/>
      </c>
      <c r="BE257" s="64">
        <f>IF(BB257=0,"",BC257/BB257)</f>
        <v/>
      </c>
      <c r="BF257" s="31" t="n"/>
      <c r="BG257" s="60" t="n"/>
      <c r="BH257" s="60" t="n"/>
      <c r="BI257" s="60">
        <f>BH257-BG257</f>
        <v/>
      </c>
      <c r="BJ257" s="61">
        <f>IF(BG257=0,"",BH257/BG257)</f>
        <v/>
      </c>
      <c r="BK257" s="27" t="n"/>
      <c r="BL257" s="62" t="n"/>
      <c r="BM257" s="62" t="n"/>
      <c r="BN257" s="62">
        <f>BM257-BL257</f>
        <v/>
      </c>
      <c r="BO257" s="64">
        <f>IF(BL257=0,"",BM257/BL257)</f>
        <v/>
      </c>
      <c r="BP257" s="31" t="n"/>
      <c r="BQ257" s="60" t="n"/>
      <c r="BR257" s="60" t="n"/>
      <c r="BS257" s="60">
        <f>BR257-BQ257</f>
        <v/>
      </c>
      <c r="BT257" s="61">
        <f>IF(BQ257=0,"",BR257/BQ257)</f>
        <v/>
      </c>
      <c r="BU257" s="27" t="n"/>
      <c r="BV257" s="62" t="n"/>
      <c r="BW257" s="62" t="n"/>
      <c r="BX257" s="62">
        <f>BW257-BV257</f>
        <v/>
      </c>
      <c r="BY257" s="64">
        <f>IF(BV257=0,"",BW257/BV257)</f>
        <v/>
      </c>
      <c r="BZ257" s="31" t="n"/>
      <c r="CA257" s="60" t="n"/>
      <c r="CB257" s="60" t="n"/>
      <c r="CC257" s="60">
        <f>CB257-CA257</f>
        <v/>
      </c>
      <c r="CD257" s="61">
        <f>IF(CA257=0,"",CB257/CA257)</f>
        <v/>
      </c>
      <c r="CE257" s="27" t="n"/>
      <c r="CF257" s="62" t="n"/>
      <c r="CG257" s="62" t="n"/>
      <c r="CH257" s="62">
        <f>CG257-CF257</f>
        <v/>
      </c>
      <c r="CI257" s="64">
        <f>IF(CF257=0,"",CG257/CF257)</f>
        <v/>
      </c>
      <c r="CJ257" s="31" t="n"/>
      <c r="CK257" s="60" t="n"/>
      <c r="CL257" s="60" t="n"/>
      <c r="CM257" s="60">
        <f>CL257-CK257</f>
        <v/>
      </c>
      <c r="CN257" s="61">
        <f>IF(CK257=0,"",CL257/CK257)</f>
        <v/>
      </c>
      <c r="CO257" s="27" t="n"/>
      <c r="CP257" s="62" t="n"/>
      <c r="CQ257" s="62" t="n"/>
      <c r="CR257" s="62">
        <f>CQ257-CP257</f>
        <v/>
      </c>
      <c r="CS257" s="64">
        <f>IF(CP257=0,"",CQ257/CP257)</f>
        <v/>
      </c>
      <c r="CT257" s="31" t="n"/>
      <c r="CU257" s="60" t="n"/>
      <c r="CV257" s="60" t="n"/>
      <c r="CW257" s="60">
        <f>CV257-CU257</f>
        <v/>
      </c>
      <c r="CX257" s="61">
        <f>IF(CU257=0,"",CV257/CU257)</f>
        <v/>
      </c>
      <c r="CY257" s="27" t="n"/>
      <c r="CZ257" s="62" t="n"/>
      <c r="DA257" s="62" t="n"/>
      <c r="DB257" s="62">
        <f>DA257-CZ257</f>
        <v/>
      </c>
      <c r="DC257" s="64">
        <f>IF(CZ257=0,"",DA257/CZ257)</f>
        <v/>
      </c>
      <c r="DD257" s="31" t="n"/>
      <c r="DE257" s="60" t="n"/>
      <c r="DF257" s="60" t="n"/>
      <c r="DG257" s="60">
        <f>DF257-DE257</f>
        <v/>
      </c>
      <c r="DH257" s="61">
        <f>IF(DE257=0,"",DF257/DE257)</f>
        <v/>
      </c>
      <c r="DI257" s="27" t="n"/>
      <c r="DJ257" s="62" t="n"/>
      <c r="DK257" s="62" t="n"/>
      <c r="DL257" s="62">
        <f>DK257-DJ257</f>
        <v/>
      </c>
      <c r="DM257" s="64">
        <f>IF(DJ257=0,"",DK257/DJ257)</f>
        <v/>
      </c>
      <c r="DN257" s="31" t="n"/>
      <c r="DO257" s="60" t="n"/>
    </row>
    <row r="258" outlineLevel="1" ht="15" customHeight="1">
      <c r="A258" s="24" t="n"/>
      <c r="B258" s="24" t="n"/>
      <c r="C258" s="24" t="n"/>
      <c r="D258" s="60" t="n"/>
      <c r="E258" s="60" t="n"/>
      <c r="F258" s="60">
        <f>E258-D258</f>
        <v/>
      </c>
      <c r="G258" s="61">
        <f>IF(D258=0,"",E258/D258)</f>
        <v/>
      </c>
      <c r="H258" s="27" t="n"/>
      <c r="I258" s="60" t="n"/>
      <c r="J258" s="60" t="n"/>
      <c r="K258" s="60">
        <f>J258-I258</f>
        <v/>
      </c>
      <c r="L258" s="61">
        <f>IF(I258=0,"",J258/I258)</f>
        <v/>
      </c>
      <c r="M258" s="27" t="n"/>
      <c r="N258" s="62" t="n"/>
      <c r="O258" s="62" t="n"/>
      <c r="P258" s="62">
        <f>O258-N258</f>
        <v/>
      </c>
      <c r="Q258" s="64">
        <f>IF(N258=0,"",O258/N258)</f>
        <v/>
      </c>
      <c r="R258" s="31" t="n"/>
      <c r="S258" s="60" t="n"/>
      <c r="T258" s="60" t="n"/>
      <c r="U258" s="60">
        <f>T258-S258</f>
        <v/>
      </c>
      <c r="V258" s="61">
        <f>IF(S258=0,"",T258/S258)</f>
        <v/>
      </c>
      <c r="W258" s="27" t="n"/>
      <c r="X258" s="62" t="n"/>
      <c r="Y258" s="62" t="n"/>
      <c r="Z258" s="62">
        <f>Y258-X258</f>
        <v/>
      </c>
      <c r="AA258" s="64">
        <f>IF(X258=0,"",Y258/X258)</f>
        <v/>
      </c>
      <c r="AB258" s="31" t="n"/>
      <c r="AC258" s="60" t="n"/>
      <c r="AD258" s="60" t="n"/>
      <c r="AE258" s="60">
        <f>AD258-AC258</f>
        <v/>
      </c>
      <c r="AF258" s="61">
        <f>IF(AC258=0,"",AD258/AC258)</f>
        <v/>
      </c>
      <c r="AG258" s="27" t="n"/>
      <c r="AH258" s="62" t="n"/>
      <c r="AI258" s="62" t="n"/>
      <c r="AJ258" s="62">
        <f>AI258-AH258</f>
        <v/>
      </c>
      <c r="AK258" s="64">
        <f>IF(AH258=0,"",AI258/AH258)</f>
        <v/>
      </c>
      <c r="AL258" s="31" t="n"/>
      <c r="AM258" s="60" t="n"/>
      <c r="AN258" s="60" t="n"/>
      <c r="AO258" s="60">
        <f>AN258-AM258</f>
        <v/>
      </c>
      <c r="AP258" s="61">
        <f>IF(AM258=0,"",AN258/AM258)</f>
        <v/>
      </c>
      <c r="AQ258" s="27" t="n"/>
      <c r="AR258" s="62" t="n"/>
      <c r="AS258" s="62" t="n"/>
      <c r="AT258" s="62">
        <f>AS258-AR258</f>
        <v/>
      </c>
      <c r="AU258" s="64">
        <f>IF(AR258=0,"",AS258/AR258)</f>
        <v/>
      </c>
      <c r="AV258" s="31" t="n"/>
      <c r="AW258" s="60" t="n"/>
      <c r="AX258" s="60" t="n"/>
      <c r="AY258" s="60">
        <f>AX258-AW258</f>
        <v/>
      </c>
      <c r="AZ258" s="61">
        <f>IF(AW258=0,"",AX258/AW258)</f>
        <v/>
      </c>
      <c r="BA258" s="27" t="n"/>
      <c r="BB258" s="62" t="n"/>
      <c r="BC258" s="62" t="n"/>
      <c r="BD258" s="62">
        <f>BC258-BB258</f>
        <v/>
      </c>
      <c r="BE258" s="64">
        <f>IF(BB258=0,"",BC258/BB258)</f>
        <v/>
      </c>
      <c r="BF258" s="31" t="n"/>
      <c r="BG258" s="60" t="n"/>
      <c r="BH258" s="60" t="n"/>
      <c r="BI258" s="60">
        <f>BH258-BG258</f>
        <v/>
      </c>
      <c r="BJ258" s="61">
        <f>IF(BG258=0,"",BH258/BG258)</f>
        <v/>
      </c>
      <c r="BK258" s="27" t="n"/>
      <c r="BL258" s="62" t="n"/>
      <c r="BM258" s="62" t="n"/>
      <c r="BN258" s="62">
        <f>BM258-BL258</f>
        <v/>
      </c>
      <c r="BO258" s="64">
        <f>IF(BL258=0,"",BM258/BL258)</f>
        <v/>
      </c>
      <c r="BP258" s="31" t="n"/>
      <c r="BQ258" s="60" t="n"/>
      <c r="BR258" s="60" t="n"/>
      <c r="BS258" s="60">
        <f>BR258-BQ258</f>
        <v/>
      </c>
      <c r="BT258" s="61">
        <f>IF(BQ258=0,"",BR258/BQ258)</f>
        <v/>
      </c>
      <c r="BU258" s="27" t="n"/>
      <c r="BV258" s="62" t="n"/>
      <c r="BW258" s="62" t="n"/>
      <c r="BX258" s="62">
        <f>BW258-BV258</f>
        <v/>
      </c>
      <c r="BY258" s="64">
        <f>IF(BV258=0,"",BW258/BV258)</f>
        <v/>
      </c>
      <c r="BZ258" s="31" t="n"/>
      <c r="CA258" s="60" t="n"/>
      <c r="CB258" s="60" t="n"/>
      <c r="CC258" s="60">
        <f>CB258-CA258</f>
        <v/>
      </c>
      <c r="CD258" s="61">
        <f>IF(CA258=0,"",CB258/CA258)</f>
        <v/>
      </c>
      <c r="CE258" s="27" t="n"/>
      <c r="CF258" s="62" t="n"/>
      <c r="CG258" s="62" t="n"/>
      <c r="CH258" s="62">
        <f>CG258-CF258</f>
        <v/>
      </c>
      <c r="CI258" s="64">
        <f>IF(CF258=0,"",CG258/CF258)</f>
        <v/>
      </c>
      <c r="CJ258" s="31" t="n"/>
      <c r="CK258" s="60" t="n"/>
      <c r="CL258" s="60" t="n"/>
      <c r="CM258" s="60">
        <f>CL258-CK258</f>
        <v/>
      </c>
      <c r="CN258" s="61">
        <f>IF(CK258=0,"",CL258/CK258)</f>
        <v/>
      </c>
      <c r="CO258" s="27" t="n"/>
      <c r="CP258" s="62" t="n"/>
      <c r="CQ258" s="62" t="n"/>
      <c r="CR258" s="62">
        <f>CQ258-CP258</f>
        <v/>
      </c>
      <c r="CS258" s="64">
        <f>IF(CP258=0,"",CQ258/CP258)</f>
        <v/>
      </c>
      <c r="CT258" s="31" t="n"/>
      <c r="CU258" s="60" t="n"/>
      <c r="CV258" s="60" t="n"/>
      <c r="CW258" s="60">
        <f>CV258-CU258</f>
        <v/>
      </c>
      <c r="CX258" s="61">
        <f>IF(CU258=0,"",CV258/CU258)</f>
        <v/>
      </c>
      <c r="CY258" s="27" t="n"/>
      <c r="CZ258" s="62" t="n"/>
      <c r="DA258" s="62" t="n"/>
      <c r="DB258" s="62">
        <f>DA258-CZ258</f>
        <v/>
      </c>
      <c r="DC258" s="64">
        <f>IF(CZ258=0,"",DA258/CZ258)</f>
        <v/>
      </c>
      <c r="DD258" s="31" t="n"/>
      <c r="DE258" s="60" t="n"/>
      <c r="DF258" s="60" t="n"/>
      <c r="DG258" s="60">
        <f>DF258-DE258</f>
        <v/>
      </c>
      <c r="DH258" s="61">
        <f>IF(DE258=0,"",DF258/DE258)</f>
        <v/>
      </c>
      <c r="DI258" s="27" t="n"/>
      <c r="DJ258" s="62" t="n"/>
      <c r="DK258" s="62" t="n"/>
      <c r="DL258" s="62">
        <f>DK258-DJ258</f>
        <v/>
      </c>
      <c r="DM258" s="64">
        <f>IF(DJ258=0,"",DK258/DJ258)</f>
        <v/>
      </c>
      <c r="DN258" s="31" t="n"/>
      <c r="DO258" s="60" t="n"/>
    </row>
    <row r="259" ht="15" customHeight="1">
      <c r="A259" s="32" t="n"/>
      <c r="B259" s="32" t="n"/>
      <c r="C259" s="32" t="n"/>
      <c r="D259" s="65">
        <f>D261+D262+D263+D265+D267+D269+D271+D273+D274+D275+D276+D277+D278+D279+D280+D281+D282+D283</f>
        <v/>
      </c>
      <c r="E259" s="65">
        <f>E261+E262+E263+E265+E267+E269+E271+E273+E274+E275+E276+E277+E278+E279+E280+E281+E282+E283</f>
        <v/>
      </c>
      <c r="F259" s="65">
        <f>E259-D259</f>
        <v/>
      </c>
      <c r="G259" s="66">
        <f>IF(D259=0,"",E259/D259)</f>
        <v/>
      </c>
      <c r="H259" s="35" t="n"/>
      <c r="I259" s="65">
        <f>I261+I262+I263+I265+I267+I269+I271+I273+I274+I275+I276+I277+I278+I279+I280+I281+I282+I283</f>
        <v/>
      </c>
      <c r="J259" s="65">
        <f>J261+J262+J263+J265+J267+J269+J271+J273+J274+J275+J276+J277+J278+J279+J280+J281+J282+J283</f>
        <v/>
      </c>
      <c r="K259" s="65">
        <f>J259-I259</f>
        <v/>
      </c>
      <c r="L259" s="66">
        <f>IF(I259=0,"",J259/I259)</f>
        <v/>
      </c>
      <c r="M259" s="35" t="n"/>
      <c r="N259" s="65">
        <f>N261+N262+N263+N265+N267+N269+N271+N273+N274+N275+N276+N277+N278+N279+N280+N281+N282+N283</f>
        <v/>
      </c>
      <c r="O259" s="65">
        <f>O261+O262+O263+O265+O267+O269+O271+O273+O274+O275+O276+O277+O278+O279+O280+O281+O282+O283</f>
        <v/>
      </c>
      <c r="P259" s="65">
        <f>O259-N259</f>
        <v/>
      </c>
      <c r="Q259" s="66">
        <f>IF(N259=0,"",O259/N259)</f>
        <v/>
      </c>
      <c r="R259" s="35" t="n"/>
      <c r="S259" s="65">
        <f>S261+S262+S263+S265+S267+S269+S271+S273+S274+S275+S276+S277+S278+S279+S280+S281+S282+S283</f>
        <v/>
      </c>
      <c r="T259" s="65">
        <f>T261+T262+T263+T265+T267+T269+T271+T273+T274+T275+T276+T277+T278+T279+T280+T281+T282+T283</f>
        <v/>
      </c>
      <c r="U259" s="65">
        <f>T259-S259</f>
        <v/>
      </c>
      <c r="V259" s="66">
        <f>IF(S259=0,"",T259/S259)</f>
        <v/>
      </c>
      <c r="W259" s="35" t="n"/>
      <c r="X259" s="65">
        <f>X261+X262+X263+X265+X267+X269+X271+X273+X274+X275+X276+X277+X278+X279+X280+X281+X282+X283</f>
        <v/>
      </c>
      <c r="Y259" s="65">
        <f>Y261+Y262+Y263+Y265+Y267+Y269+Y271+Y273+Y274+Y275+Y276+Y277+Y278+Y279+Y280+Y281+Y282+Y283</f>
        <v/>
      </c>
      <c r="Z259" s="65">
        <f>Y259-X259</f>
        <v/>
      </c>
      <c r="AA259" s="66">
        <f>IF(X259=0,"",Y259/X259)</f>
        <v/>
      </c>
      <c r="AB259" s="35" t="n"/>
      <c r="AC259" s="65">
        <f>AC261+AC262+AC263+AC265+AC267+AC269+AC271+AC273+AC274+AC275+AC276+AC277+AC278+AC279+AC280+AC281+AC282+AC283</f>
        <v/>
      </c>
      <c r="AD259" s="65">
        <f>AD261+AD262+AD263+AD265+AD267+AD269+AD271+AD273+AD274+AD275+AD276+AD277+AD278+AD279+AD280+AD281+AD282+AD283</f>
        <v/>
      </c>
      <c r="AE259" s="65">
        <f>AD259-AC259</f>
        <v/>
      </c>
      <c r="AF259" s="66">
        <f>IF(AC259=0,"",AD259/AC259)</f>
        <v/>
      </c>
      <c r="AG259" s="35" t="n"/>
      <c r="AH259" s="65">
        <f>AH261+AH262+AH263+AH265+AH267+AH269+AH271+AH273+AH274+AH275+AH276+AH277+AH278+AH279+AH280+AH281+AH282+AH283</f>
        <v/>
      </c>
      <c r="AI259" s="65">
        <f>AI261+AI262+AI263+AI265+AI267+AI269+AI271+AI273+AI274+AI275+AI276+AI277+AI278+AI279+AI280+AI281+AI282+AI283</f>
        <v/>
      </c>
      <c r="AJ259" s="65">
        <f>AI259-AH259</f>
        <v/>
      </c>
      <c r="AK259" s="66">
        <f>IF(AH259=0,"",AI259/AH259)</f>
        <v/>
      </c>
      <c r="AL259" s="35" t="n"/>
      <c r="AM259" s="65">
        <f>AM261+AM262+AM263+AM265+AM267+AM269+AM271+AM273+AM274+AM275+AM276+AM277+AM278+AM279+AM280+AM281+AM282+AM283</f>
        <v/>
      </c>
      <c r="AN259" s="65">
        <f>AN261+AN262+AN263+AN265+AN267+AN269+AN271+AN273+AN274+AN275+AN276+AN277+AN278+AN279+AN280+AN281+AN282+AN283</f>
        <v/>
      </c>
      <c r="AO259" s="65">
        <f>AN259-AM259</f>
        <v/>
      </c>
      <c r="AP259" s="66">
        <f>IF(AM259=0,"",AN259/AM259)</f>
        <v/>
      </c>
      <c r="AQ259" s="35" t="n"/>
      <c r="AR259" s="65">
        <f>AR261+AR262+AR263+AR265+AR267+AR269+AR271+AR273+AR274+AR275+AR276+AR277+AR278+AR279+AR280+AR281+AR282+AR283</f>
        <v/>
      </c>
      <c r="AS259" s="65">
        <f>AS261+AS262+AS263+AS265+AS267+AS269+AS271+AS273+AS274+AS275+AS276+AS277+AS278+AS279+AS280+AS281+AS282+AS283</f>
        <v/>
      </c>
      <c r="AT259" s="65">
        <f>AS259-AR259</f>
        <v/>
      </c>
      <c r="AU259" s="66">
        <f>IF(AR259=0,"",AS259/AR259)</f>
        <v/>
      </c>
      <c r="AV259" s="35" t="n"/>
      <c r="AW259" s="65">
        <f>AW261+AW262+AW263+AW265+AW267+AW269+AW271+AW273+AW274+AW275+AW276+AW277+AW278+AW279+AW280+AW281+AW282+AW283</f>
        <v/>
      </c>
      <c r="AX259" s="65">
        <f>AX261+AX262+AX263+AX265+AX267+AX269+AX271+AX273+AX274+AX275+AX276+AX277+AX278+AX279+AX280+AX281+AX282+AX283</f>
        <v/>
      </c>
      <c r="AY259" s="65">
        <f>AX259-AW259</f>
        <v/>
      </c>
      <c r="AZ259" s="66">
        <f>IF(AW259=0,"",AX259/AW259)</f>
        <v/>
      </c>
      <c r="BA259" s="35" t="n"/>
      <c r="BB259" s="65">
        <f>BB261+BB262+BB263+BB265+BB267+BB269+BB271+BB273+BB274+BB275+BB276+BB277+BB278+BB279+BB280+BB281+BB282+BB283</f>
        <v/>
      </c>
      <c r="BC259" s="65">
        <f>BC261+BC262+BC263+BC265+BC267+BC269+BC271+BC273+BC274+BC275+BC276+BC277+BC278+BC279+BC280+BC281+BC282+BC283</f>
        <v/>
      </c>
      <c r="BD259" s="65">
        <f>BC259-BB259</f>
        <v/>
      </c>
      <c r="BE259" s="66">
        <f>IF(BB259=0,"",BC259/BB259)</f>
        <v/>
      </c>
      <c r="BF259" s="35" t="n"/>
      <c r="BG259" s="65">
        <f>BG261+BG262+BG263+BG265+BG267+BG269+BG271+BG273+BG274+BG275+BG276+BG277+BG278+BG279+BG280+BG281+BG282+BG283</f>
        <v/>
      </c>
      <c r="BH259" s="65">
        <f>BH261+BH262+BH263+BH265+BH267+BH269+BH271+BH273+BH274+BH275+BH276+BH277+BH278+BH279+BH280+BH281+BH282+BH283</f>
        <v/>
      </c>
      <c r="BI259" s="65">
        <f>BH259-BG259</f>
        <v/>
      </c>
      <c r="BJ259" s="66">
        <f>IF(BG259=0,"",BH259/BG259)</f>
        <v/>
      </c>
      <c r="BK259" s="35" t="n"/>
      <c r="BL259" s="65">
        <f>BL261+BL262+BL263+BL265+BL267+BL269+BL271+BL273+BL274+BL275+BL276+BL277+BL278+BL279+BL280+BL281+BL282+BL283</f>
        <v/>
      </c>
      <c r="BM259" s="65">
        <f>BM261+BM262+BM263+BM265+BM267+BM269+BM271+BM273+BM274+BM275+BM276+BM277+BM278+BM279+BM280+BM281+BM282+BM283</f>
        <v/>
      </c>
      <c r="BN259" s="65">
        <f>BM259-BL259</f>
        <v/>
      </c>
      <c r="BO259" s="66">
        <f>IF(BL259=0,"",BM259/BL259)</f>
        <v/>
      </c>
      <c r="BP259" s="35" t="n"/>
      <c r="BQ259" s="65">
        <f>BQ261+BQ262+BQ263+BQ265+BQ267+BQ269+BQ271+BQ273+BQ274+BQ275+BQ276+BQ277+BQ278+BQ279+BQ280+BQ281+BQ282+BQ283</f>
        <v/>
      </c>
      <c r="BR259" s="65">
        <f>BR261+BR262+BR263+BR265+BR267+BR269+BR271+BR273+BR274+BR275+BR276+BR277+BR278+BR279+BR280+BR281+BR282+BR283</f>
        <v/>
      </c>
      <c r="BS259" s="65">
        <f>BR259-BQ259</f>
        <v/>
      </c>
      <c r="BT259" s="66">
        <f>IF(BQ259=0,"",BR259/BQ259)</f>
        <v/>
      </c>
      <c r="BU259" s="35" t="n"/>
      <c r="BV259" s="65">
        <f>BV261+BV262+BV263+BV265+BV267+BV269+BV271+BV273+BV274+BV275+BV276+BV277+BV278+BV279+BV280+BV281+BV282+BV283</f>
        <v/>
      </c>
      <c r="BW259" s="65">
        <f>BW261+BW262+BW263+BW265+BW267+BW269+BW271+BW273+BW274+BW275+BW276+BW277+BW278+BW279+BW280+BW281+BW282+BW283</f>
        <v/>
      </c>
      <c r="BX259" s="65">
        <f>BW259-BV259</f>
        <v/>
      </c>
      <c r="BY259" s="66">
        <f>IF(BV259=0,"",BW259/BV259)</f>
        <v/>
      </c>
      <c r="BZ259" s="35" t="n"/>
      <c r="CA259" s="65">
        <f>CA261+CA262+CA263+CA265+CA267+CA269+CA271+CA273+CA274+CA275+CA276+CA277+CA278+CA279+CA280+CA281+CA282+CA283</f>
        <v/>
      </c>
      <c r="CB259" s="65">
        <f>CB261+CB262+CB263+CB265+CB267+CB269+CB271+CB273+CB274+CB275+CB276+CB277+CB278+CB279+CB280+CB281+CB282+CB283</f>
        <v/>
      </c>
      <c r="CC259" s="65">
        <f>CB259-CA259</f>
        <v/>
      </c>
      <c r="CD259" s="66">
        <f>IF(CA259=0,"",CB259/CA259)</f>
        <v/>
      </c>
      <c r="CE259" s="35" t="n"/>
      <c r="CF259" s="65">
        <f>CF261+CF262+CF263+CF265+CF267+CF269+CF271+CF273+CF274+CF275+CF276+CF277+CF278+CF279+CF280+CF281+CF282+CF283</f>
        <v/>
      </c>
      <c r="CG259" s="65">
        <f>CG261+CG262+CG263+CG265+CG267+CG269+CG271+CG273+CG274+CG275+CG276+CG277+CG278+CG279+CG280+CG281+CG282+CG283</f>
        <v/>
      </c>
      <c r="CH259" s="65">
        <f>CG259-CF259</f>
        <v/>
      </c>
      <c r="CI259" s="66">
        <f>IF(CF259=0,"",CG259/CF259)</f>
        <v/>
      </c>
      <c r="CJ259" s="35" t="n"/>
      <c r="CK259" s="65">
        <f>CK261+CK262+CK263+CK265+CK267+CK269+CK271+CK273+CK274+CK275+CK276+CK277+CK278+CK279+CK280+CK281+CK282+CK283</f>
        <v/>
      </c>
      <c r="CL259" s="65">
        <f>CL261+CL262+CL263+CL265+CL267+CL269+CL271+CL273+CL274+CL275+CL276+CL277+CL278+CL279+CL280+CL281+CL282+CL283</f>
        <v/>
      </c>
      <c r="CM259" s="65">
        <f>CL259-CK259</f>
        <v/>
      </c>
      <c r="CN259" s="66">
        <f>IF(CK259=0,"",CL259/CK259)</f>
        <v/>
      </c>
      <c r="CO259" s="35" t="n"/>
      <c r="CP259" s="65">
        <f>CP261+CP262+CP263+CP265+CP267+CP269+CP271+CP273+CP274+CP275+CP276+CP277+CP278+CP279+CP280+CP281+CP282+CP283</f>
        <v/>
      </c>
      <c r="CQ259" s="65">
        <f>CQ261+CQ262+CQ263+CQ265+CQ267+CQ269+CQ271+CQ273+CQ274+CQ275+CQ276+CQ277+CQ278+CQ279+CQ280+CQ281+CQ282+CQ283</f>
        <v/>
      </c>
      <c r="CR259" s="65">
        <f>CQ259-CP259</f>
        <v/>
      </c>
      <c r="CS259" s="66">
        <f>IF(CP259=0,"",CQ259/CP259)</f>
        <v/>
      </c>
      <c r="CT259" s="35" t="n"/>
      <c r="CU259" s="65">
        <f>CU261+CU262+CU263+CU265+CU267+CU269+CU271+CU273+CU274+CU275+CU276+CU277+CU278+CU279+CU280+CU281+CU282+CU283</f>
        <v/>
      </c>
      <c r="CV259" s="65">
        <f>CV261+CV262+CV263+CV265+CV267+CV269+CV271+CV273+CV274+CV275+CV276+CV277+CV278+CV279+CV280+CV281+CV282+CV283</f>
        <v/>
      </c>
      <c r="CW259" s="65">
        <f>CV259-CU259</f>
        <v/>
      </c>
      <c r="CX259" s="66">
        <f>IF(CU259=0,"",CV259/CU259)</f>
        <v/>
      </c>
      <c r="CY259" s="35" t="n"/>
      <c r="CZ259" s="65">
        <f>CZ261+CZ262+CZ263+CZ265+CZ267+CZ269+CZ271+CZ273+CZ274+CZ275+CZ276+CZ277+CZ278+CZ279+CZ280+CZ281+CZ282+CZ283</f>
        <v/>
      </c>
      <c r="DA259" s="65">
        <f>DA261+DA262+DA263+DA265+DA267+DA269+DA271+DA273+DA274+DA275+DA276+DA277+DA278+DA279+DA280+DA281+DA282+DA283</f>
        <v/>
      </c>
      <c r="DB259" s="65">
        <f>DA259-CZ259</f>
        <v/>
      </c>
      <c r="DC259" s="66">
        <f>IF(CZ259=0,"",DA259/CZ259)</f>
        <v/>
      </c>
      <c r="DD259" s="35" t="n"/>
      <c r="DE259" s="65">
        <f>DE261+DE262+DE263+DE265+DE267+DE269+DE271+DE273+DE274+DE275+DE276+DE277+DE278+DE279+DE280+DE281+DE282+DE283</f>
        <v/>
      </c>
      <c r="DF259" s="65">
        <f>DF261+DF262+DF263+DF265+DF267+DF269+DF271+DF273+DF274+DF275+DF276+DF277+DF278+DF279+DF280+DF281+DF282+DF283</f>
        <v/>
      </c>
      <c r="DG259" s="65">
        <f>DF259-DE259</f>
        <v/>
      </c>
      <c r="DH259" s="66">
        <f>IF(DE259=0,"",DF259/DE259)</f>
        <v/>
      </c>
      <c r="DI259" s="35" t="n"/>
      <c r="DJ259" s="65">
        <f>DJ261+DJ262+DJ263+DJ265+DJ267+DJ269+DJ271+DJ273+DJ274+DJ275+DJ276+DJ277+DJ278+DJ279+DJ280+DJ281+DJ282+DJ283</f>
        <v/>
      </c>
      <c r="DK259" s="65">
        <f>DK261+DK262+DK263+DK265+DK267+DK269+DK271+DK273+DK274+DK275+DK276+DK277+DK278+DK279+DK280+DK281+DK282+DK283</f>
        <v/>
      </c>
      <c r="DL259" s="65">
        <f>DK259-DJ259</f>
        <v/>
      </c>
      <c r="DM259" s="66">
        <f>IF(DJ259=0,"",DK259/DJ259)</f>
        <v/>
      </c>
      <c r="DN259" s="35" t="n"/>
      <c r="DO259" s="65">
        <f>DO261+DO262+DO263+DO265+DO267+DO269+DO271+DO273+DO274+DO275+DO276+DO277+DO278+DO279+DO280+DO281+DO282+DO283</f>
        <v/>
      </c>
    </row>
    <row r="260" ht="15" customHeight="1">
      <c r="A260" s="19" t="n"/>
      <c r="B260" s="20" t="n"/>
      <c r="C260" s="19" t="n"/>
      <c r="D260" s="58">
        <f>D261+D262+D263</f>
        <v/>
      </c>
      <c r="E260" s="58">
        <f>E261+E262+E263</f>
        <v/>
      </c>
      <c r="F260" s="58">
        <f>E260-D260</f>
        <v/>
      </c>
      <c r="G260" s="59">
        <f>IF(D260=0,"",E260/D260)</f>
        <v/>
      </c>
      <c r="H260" s="23" t="n"/>
      <c r="I260" s="58">
        <f>I261+I262+I263</f>
        <v/>
      </c>
      <c r="J260" s="58">
        <f>J261+J262+J263</f>
        <v/>
      </c>
      <c r="K260" s="58">
        <f>J260-I260</f>
        <v/>
      </c>
      <c r="L260" s="59">
        <f>IF(I260=0,"",J260/I260)</f>
        <v/>
      </c>
      <c r="M260" s="23" t="n"/>
      <c r="N260" s="58">
        <f>N261+N262+N263</f>
        <v/>
      </c>
      <c r="O260" s="58">
        <f>O261+O262+O263</f>
        <v/>
      </c>
      <c r="P260" s="58">
        <f>O260-N260</f>
        <v/>
      </c>
      <c r="Q260" s="59">
        <f>IF(N260=0,"",O260/N260)</f>
        <v/>
      </c>
      <c r="R260" s="23" t="n"/>
      <c r="S260" s="58">
        <f>S261+S262+S263</f>
        <v/>
      </c>
      <c r="T260" s="58">
        <f>T261+T262+T263</f>
        <v/>
      </c>
      <c r="U260" s="58">
        <f>T260-S260</f>
        <v/>
      </c>
      <c r="V260" s="59">
        <f>IF(S260=0,"",T260/S260)</f>
        <v/>
      </c>
      <c r="W260" s="23" t="n"/>
      <c r="X260" s="58">
        <f>X261+X262+X263</f>
        <v/>
      </c>
      <c r="Y260" s="58">
        <f>Y261+Y262+Y263</f>
        <v/>
      </c>
      <c r="Z260" s="58">
        <f>Y260-X260</f>
        <v/>
      </c>
      <c r="AA260" s="59">
        <f>IF(X260=0,"",Y260/X260)</f>
        <v/>
      </c>
      <c r="AB260" s="23" t="n"/>
      <c r="AC260" s="58">
        <f>AC261+AC262+AC263</f>
        <v/>
      </c>
      <c r="AD260" s="58">
        <f>AD261+AD262+AD263</f>
        <v/>
      </c>
      <c r="AE260" s="58">
        <f>AD260-AC260</f>
        <v/>
      </c>
      <c r="AF260" s="59">
        <f>IF(AC260=0,"",AD260/AC260)</f>
        <v/>
      </c>
      <c r="AG260" s="23" t="n"/>
      <c r="AH260" s="58">
        <f>AH261+AH262+AH263</f>
        <v/>
      </c>
      <c r="AI260" s="58">
        <f>AI261+AI262+AI263</f>
        <v/>
      </c>
      <c r="AJ260" s="58">
        <f>AI260-AH260</f>
        <v/>
      </c>
      <c r="AK260" s="59">
        <f>IF(AH260=0,"",AI260/AH260)</f>
        <v/>
      </c>
      <c r="AL260" s="23" t="n"/>
      <c r="AM260" s="58">
        <f>AM261+AM262+AM263</f>
        <v/>
      </c>
      <c r="AN260" s="58">
        <f>AN261+AN262+AN263</f>
        <v/>
      </c>
      <c r="AO260" s="58">
        <f>AN260-AM260</f>
        <v/>
      </c>
      <c r="AP260" s="59">
        <f>IF(AM260=0,"",AN260/AM260)</f>
        <v/>
      </c>
      <c r="AQ260" s="23" t="n"/>
      <c r="AR260" s="58">
        <f>AR261+AR262+AR263</f>
        <v/>
      </c>
      <c r="AS260" s="58">
        <f>AS261+AS262+AS263</f>
        <v/>
      </c>
      <c r="AT260" s="58">
        <f>AS260-AR260</f>
        <v/>
      </c>
      <c r="AU260" s="59">
        <f>IF(AR260=0,"",AS260/AR260)</f>
        <v/>
      </c>
      <c r="AV260" s="23" t="n"/>
      <c r="AW260" s="58">
        <f>AW261+AW262+AW263</f>
        <v/>
      </c>
      <c r="AX260" s="58">
        <f>AX261+AX262+AX263</f>
        <v/>
      </c>
      <c r="AY260" s="58">
        <f>AX260-AW260</f>
        <v/>
      </c>
      <c r="AZ260" s="59">
        <f>IF(AW260=0,"",AX260/AW260)</f>
        <v/>
      </c>
      <c r="BA260" s="23" t="n"/>
      <c r="BB260" s="58">
        <f>BB261+BB262+BB263</f>
        <v/>
      </c>
      <c r="BC260" s="58">
        <f>BC261+BC262+BC263</f>
        <v/>
      </c>
      <c r="BD260" s="58">
        <f>BC260-BB260</f>
        <v/>
      </c>
      <c r="BE260" s="59">
        <f>IF(BB260=0,"",BC260/BB260)</f>
        <v/>
      </c>
      <c r="BF260" s="23" t="n"/>
      <c r="BG260" s="58">
        <f>BG261+BG262+BG263</f>
        <v/>
      </c>
      <c r="BH260" s="58">
        <f>BH261+BH262+BH263</f>
        <v/>
      </c>
      <c r="BI260" s="58">
        <f>BH260-BG260</f>
        <v/>
      </c>
      <c r="BJ260" s="59">
        <f>IF(BG260=0,"",BH260/BG260)</f>
        <v/>
      </c>
      <c r="BK260" s="23" t="n"/>
      <c r="BL260" s="58">
        <f>BL261+BL262+BL263</f>
        <v/>
      </c>
      <c r="BM260" s="58">
        <f>BM261+BM262+BM263</f>
        <v/>
      </c>
      <c r="BN260" s="58">
        <f>BM260-BL260</f>
        <v/>
      </c>
      <c r="BO260" s="59">
        <f>IF(BL260=0,"",BM260/BL260)</f>
        <v/>
      </c>
      <c r="BP260" s="23" t="n"/>
      <c r="BQ260" s="58">
        <f>BQ261+BQ262+BQ263</f>
        <v/>
      </c>
      <c r="BR260" s="58">
        <f>BR261+BR262+BR263</f>
        <v/>
      </c>
      <c r="BS260" s="58">
        <f>BR260-BQ260</f>
        <v/>
      </c>
      <c r="BT260" s="59">
        <f>IF(BQ260=0,"",BR260/BQ260)</f>
        <v/>
      </c>
      <c r="BU260" s="23" t="n"/>
      <c r="BV260" s="58">
        <f>BV261+BV262+BV263</f>
        <v/>
      </c>
      <c r="BW260" s="58">
        <f>BW261+BW262+BW263</f>
        <v/>
      </c>
      <c r="BX260" s="58">
        <f>BW260-BV260</f>
        <v/>
      </c>
      <c r="BY260" s="59">
        <f>IF(BV260=0,"",BW260/BV260)</f>
        <v/>
      </c>
      <c r="BZ260" s="23" t="n"/>
      <c r="CA260" s="58">
        <f>CA261+CA262+CA263</f>
        <v/>
      </c>
      <c r="CB260" s="58">
        <f>CB261+CB262+CB263</f>
        <v/>
      </c>
      <c r="CC260" s="58">
        <f>CB260-CA260</f>
        <v/>
      </c>
      <c r="CD260" s="59">
        <f>IF(CA260=0,"",CB260/CA260)</f>
        <v/>
      </c>
      <c r="CE260" s="23" t="n"/>
      <c r="CF260" s="58">
        <f>CF261+CF262+CF263</f>
        <v/>
      </c>
      <c r="CG260" s="58">
        <f>CG261+CG262+CG263</f>
        <v/>
      </c>
      <c r="CH260" s="58">
        <f>CG260-CF260</f>
        <v/>
      </c>
      <c r="CI260" s="59">
        <f>IF(CF260=0,"",CG260/CF260)</f>
        <v/>
      </c>
      <c r="CJ260" s="23" t="n"/>
      <c r="CK260" s="58">
        <f>CK261+CK262+CK263</f>
        <v/>
      </c>
      <c r="CL260" s="58">
        <f>CL261+CL262+CL263</f>
        <v/>
      </c>
      <c r="CM260" s="58">
        <f>CL260-CK260</f>
        <v/>
      </c>
      <c r="CN260" s="59">
        <f>IF(CK260=0,"",CL260/CK260)</f>
        <v/>
      </c>
      <c r="CO260" s="23" t="n"/>
      <c r="CP260" s="58">
        <f>CP261+CP262+CP263</f>
        <v/>
      </c>
      <c r="CQ260" s="58">
        <f>CQ261+CQ262+CQ263</f>
        <v/>
      </c>
      <c r="CR260" s="58">
        <f>CQ260-CP260</f>
        <v/>
      </c>
      <c r="CS260" s="59">
        <f>IF(CP260=0,"",CQ260/CP260)</f>
        <v/>
      </c>
      <c r="CT260" s="23" t="n"/>
      <c r="CU260" s="58">
        <f>CU261+CU262+CU263</f>
        <v/>
      </c>
      <c r="CV260" s="58">
        <f>CV261+CV262+CV263</f>
        <v/>
      </c>
      <c r="CW260" s="58">
        <f>CV260-CU260</f>
        <v/>
      </c>
      <c r="CX260" s="59">
        <f>IF(CU260=0,"",CV260/CU260)</f>
        <v/>
      </c>
      <c r="CY260" s="23" t="n"/>
      <c r="CZ260" s="58">
        <f>CZ261+CZ262+CZ263</f>
        <v/>
      </c>
      <c r="DA260" s="58">
        <f>DA261+DA262+DA263</f>
        <v/>
      </c>
      <c r="DB260" s="58">
        <f>DA260-CZ260</f>
        <v/>
      </c>
      <c r="DC260" s="59">
        <f>IF(CZ260=0,"",DA260/CZ260)</f>
        <v/>
      </c>
      <c r="DD260" s="23" t="n"/>
      <c r="DE260" s="58">
        <f>DE261+DE262+DE263</f>
        <v/>
      </c>
      <c r="DF260" s="58">
        <f>DF261+DF262+DF263</f>
        <v/>
      </c>
      <c r="DG260" s="58">
        <f>DF260-DE260</f>
        <v/>
      </c>
      <c r="DH260" s="59">
        <f>IF(DE260=0,"",DF260/DE260)</f>
        <v/>
      </c>
      <c r="DI260" s="23" t="n"/>
      <c r="DJ260" s="58">
        <f>DJ261+DJ262+DJ263</f>
        <v/>
      </c>
      <c r="DK260" s="58">
        <f>DK261+DK262+DK263</f>
        <v/>
      </c>
      <c r="DL260" s="58">
        <f>DK260-DJ260</f>
        <v/>
      </c>
      <c r="DM260" s="59">
        <f>IF(DJ260=0,"",DK260/DJ260)</f>
        <v/>
      </c>
      <c r="DN260" s="23" t="n"/>
      <c r="DO260" s="58">
        <f>DO261+DO262+DO263</f>
        <v/>
      </c>
    </row>
    <row r="261" outlineLevel="1" ht="15" customHeight="1">
      <c r="A261" s="24" t="n"/>
      <c r="B261" s="24" t="n"/>
      <c r="C261" s="24" t="n"/>
      <c r="D261" s="60" t="n"/>
      <c r="E261" s="60" t="n"/>
      <c r="F261" s="60">
        <f>E261-D261</f>
        <v/>
      </c>
      <c r="G261" s="61">
        <f>IF(D261=0,"",E261/D261)</f>
        <v/>
      </c>
      <c r="H261" s="27" t="n"/>
      <c r="I261" s="60" t="n"/>
      <c r="J261" s="60" t="n"/>
      <c r="K261" s="60">
        <f>J261-I261</f>
        <v/>
      </c>
      <c r="L261" s="61">
        <f>IF(I261=0,"",J261/I261)</f>
        <v/>
      </c>
      <c r="M261" s="27" t="n"/>
      <c r="N261" s="62" t="n"/>
      <c r="O261" s="62" t="n"/>
      <c r="P261" s="63">
        <f>O261-N261</f>
        <v/>
      </c>
      <c r="Q261" s="64">
        <f>IF(N261=0,"",O261/N261)</f>
        <v/>
      </c>
      <c r="R261" s="31" t="n"/>
      <c r="S261" s="60" t="n"/>
      <c r="T261" s="60" t="n"/>
      <c r="U261" s="60">
        <f>T261-S261</f>
        <v/>
      </c>
      <c r="V261" s="61">
        <f>IF(S261=0,"",T261/S261)</f>
        <v/>
      </c>
      <c r="W261" s="27" t="n"/>
      <c r="X261" s="62" t="n"/>
      <c r="Y261" s="62" t="n"/>
      <c r="Z261" s="63">
        <f>Y261-X261</f>
        <v/>
      </c>
      <c r="AA261" s="64">
        <f>IF(X261=0,"",Y261/X261)</f>
        <v/>
      </c>
      <c r="AB261" s="31" t="n"/>
      <c r="AC261" s="60" t="n"/>
      <c r="AD261" s="60" t="n"/>
      <c r="AE261" s="60">
        <f>AD261-AC261</f>
        <v/>
      </c>
      <c r="AF261" s="61">
        <f>IF(AC261=0,"",AD261/AC261)</f>
        <v/>
      </c>
      <c r="AG261" s="27" t="n"/>
      <c r="AH261" s="62" t="n"/>
      <c r="AI261" s="62" t="n"/>
      <c r="AJ261" s="62">
        <f>AI261-AH261</f>
        <v/>
      </c>
      <c r="AK261" s="64">
        <f>IF(AH261=0,"",AI261/AH261)</f>
        <v/>
      </c>
      <c r="AL261" s="31" t="n"/>
      <c r="AM261" s="60" t="n"/>
      <c r="AN261" s="60" t="n"/>
      <c r="AO261" s="60">
        <f>AN261-AM261</f>
        <v/>
      </c>
      <c r="AP261" s="61">
        <f>IF(AM261=0,"",AN261/AM261)</f>
        <v/>
      </c>
      <c r="AQ261" s="27" t="n"/>
      <c r="AR261" s="62" t="n"/>
      <c r="AS261" s="62" t="n"/>
      <c r="AT261" s="62">
        <f>AS261-AR261</f>
        <v/>
      </c>
      <c r="AU261" s="64">
        <f>IF(AR261=0,"",AS261/AR261)</f>
        <v/>
      </c>
      <c r="AV261" s="31" t="n"/>
      <c r="AW261" s="60" t="n"/>
      <c r="AX261" s="60" t="n"/>
      <c r="AY261" s="60">
        <f>AX261-AW261</f>
        <v/>
      </c>
      <c r="AZ261" s="61">
        <f>IF(AW261=0,"",AX261/AW261)</f>
        <v/>
      </c>
      <c r="BA261" s="27" t="n"/>
      <c r="BB261" s="62" t="n"/>
      <c r="BC261" s="62" t="n"/>
      <c r="BD261" s="62">
        <f>BC261-BB261</f>
        <v/>
      </c>
      <c r="BE261" s="64">
        <f>IF(BB261=0,"",BC261/BB261)</f>
        <v/>
      </c>
      <c r="BF261" s="31" t="n"/>
      <c r="BG261" s="60" t="n"/>
      <c r="BH261" s="60" t="n"/>
      <c r="BI261" s="60">
        <f>BH261-BG261</f>
        <v/>
      </c>
      <c r="BJ261" s="61">
        <f>IF(BG261=0,"",BH261/BG261)</f>
        <v/>
      </c>
      <c r="BK261" s="27" t="n"/>
      <c r="BL261" s="62" t="n"/>
      <c r="BM261" s="62" t="n"/>
      <c r="BN261" s="62">
        <f>BM261-BL261</f>
        <v/>
      </c>
      <c r="BO261" s="64">
        <f>IF(BL261=0,"",BM261/BL261)</f>
        <v/>
      </c>
      <c r="BP261" s="31" t="n"/>
      <c r="BQ261" s="60" t="n"/>
      <c r="BR261" s="60" t="n"/>
      <c r="BS261" s="60">
        <f>BR261-BQ261</f>
        <v/>
      </c>
      <c r="BT261" s="61">
        <f>IF(BQ261=0,"",BR261/BQ261)</f>
        <v/>
      </c>
      <c r="BU261" s="27" t="n"/>
      <c r="BV261" s="62" t="n"/>
      <c r="BW261" s="62" t="n"/>
      <c r="BX261" s="62">
        <f>BW261-BV261</f>
        <v/>
      </c>
      <c r="BY261" s="64">
        <f>IF(BV261=0,"",BW261/BV261)</f>
        <v/>
      </c>
      <c r="BZ261" s="31" t="n"/>
      <c r="CA261" s="60" t="n"/>
      <c r="CB261" s="60" t="n"/>
      <c r="CC261" s="60">
        <f>CB261-CA261</f>
        <v/>
      </c>
      <c r="CD261" s="61">
        <f>IF(CA261=0,"",CB261/CA261)</f>
        <v/>
      </c>
      <c r="CE261" s="27" t="n"/>
      <c r="CF261" s="62" t="n"/>
      <c r="CG261" s="62" t="n"/>
      <c r="CH261" s="62">
        <f>CG261-CF261</f>
        <v/>
      </c>
      <c r="CI261" s="64">
        <f>IF(CF261=0,"",CG261/CF261)</f>
        <v/>
      </c>
      <c r="CJ261" s="31" t="n"/>
      <c r="CK261" s="60" t="n"/>
      <c r="CL261" s="60" t="n"/>
      <c r="CM261" s="60">
        <f>CL261-CK261</f>
        <v/>
      </c>
      <c r="CN261" s="61">
        <f>IF(CK261=0,"",CL261/CK261)</f>
        <v/>
      </c>
      <c r="CO261" s="27" t="n"/>
      <c r="CP261" s="62" t="n"/>
      <c r="CQ261" s="62" t="n"/>
      <c r="CR261" s="62">
        <f>CQ261-CP261</f>
        <v/>
      </c>
      <c r="CS261" s="64">
        <f>IF(CP261=0,"",CQ261/CP261)</f>
        <v/>
      </c>
      <c r="CT261" s="31" t="n"/>
      <c r="CU261" s="60" t="n"/>
      <c r="CV261" s="60" t="n"/>
      <c r="CW261" s="60">
        <f>CV261-CU261</f>
        <v/>
      </c>
      <c r="CX261" s="61">
        <f>IF(CU261=0,"",CV261/CU261)</f>
        <v/>
      </c>
      <c r="CY261" s="27" t="n"/>
      <c r="CZ261" s="62" t="n"/>
      <c r="DA261" s="62" t="n"/>
      <c r="DB261" s="62">
        <f>DA261-CZ261</f>
        <v/>
      </c>
      <c r="DC261" s="64">
        <f>IF(CZ261=0,"",DA261/CZ261)</f>
        <v/>
      </c>
      <c r="DD261" s="31" t="n"/>
      <c r="DE261" s="60" t="n"/>
      <c r="DF261" s="60" t="n"/>
      <c r="DG261" s="60">
        <f>DF261-DE261</f>
        <v/>
      </c>
      <c r="DH261" s="61">
        <f>IF(DE261=0,"",DF261/DE261)</f>
        <v/>
      </c>
      <c r="DI261" s="27" t="n"/>
      <c r="DJ261" s="62" t="n"/>
      <c r="DK261" s="62" t="n"/>
      <c r="DL261" s="62">
        <f>DK261-DJ261</f>
        <v/>
      </c>
      <c r="DM261" s="64">
        <f>IF(DJ261=0,"",DK261/DJ261)</f>
        <v/>
      </c>
      <c r="DN261" s="31" t="n"/>
      <c r="DO261" s="60" t="n"/>
    </row>
    <row r="262" outlineLevel="1" ht="15" customHeight="1">
      <c r="A262" s="24" t="n"/>
      <c r="B262" s="24" t="n"/>
      <c r="C262" s="24" t="n"/>
      <c r="D262" s="60" t="n"/>
      <c r="E262" s="60" t="n"/>
      <c r="F262" s="60">
        <f>E262-D262</f>
        <v/>
      </c>
      <c r="G262" s="61">
        <f>IF(D262=0,"",E262/D262)</f>
        <v/>
      </c>
      <c r="H262" s="27" t="n"/>
      <c r="I262" s="60" t="n"/>
      <c r="J262" s="60" t="n"/>
      <c r="K262" s="60">
        <f>J262-I262</f>
        <v/>
      </c>
      <c r="L262" s="61">
        <f>IF(I262=0,"",J262/I262)</f>
        <v/>
      </c>
      <c r="M262" s="27" t="n"/>
      <c r="N262" s="62" t="n"/>
      <c r="O262" s="62" t="n"/>
      <c r="P262" s="62">
        <f>O262-N262</f>
        <v/>
      </c>
      <c r="Q262" s="64">
        <f>IF(N262=0,"",O262/N262)</f>
        <v/>
      </c>
      <c r="R262" s="31" t="n"/>
      <c r="S262" s="60" t="n"/>
      <c r="T262" s="60" t="n"/>
      <c r="U262" s="60">
        <f>T262-S262</f>
        <v/>
      </c>
      <c r="V262" s="61">
        <f>IF(S262=0,"",T262/S262)</f>
        <v/>
      </c>
      <c r="W262" s="27" t="n"/>
      <c r="X262" s="62" t="n"/>
      <c r="Y262" s="62" t="n"/>
      <c r="Z262" s="62">
        <f>Y262-X262</f>
        <v/>
      </c>
      <c r="AA262" s="64">
        <f>IF(X262=0,"",Y262/X262)</f>
        <v/>
      </c>
      <c r="AB262" s="31" t="n"/>
      <c r="AC262" s="60" t="n"/>
      <c r="AD262" s="60" t="n"/>
      <c r="AE262" s="60">
        <f>AD262-AC262</f>
        <v/>
      </c>
      <c r="AF262" s="61">
        <f>IF(AC262=0,"",AD262/AC262)</f>
        <v/>
      </c>
      <c r="AG262" s="27" t="n"/>
      <c r="AH262" s="62" t="n"/>
      <c r="AI262" s="62" t="n"/>
      <c r="AJ262" s="62">
        <f>AI262-AH262</f>
        <v/>
      </c>
      <c r="AK262" s="64">
        <f>IF(AH262=0,"",AI262/AH262)</f>
        <v/>
      </c>
      <c r="AL262" s="31" t="n"/>
      <c r="AM262" s="60" t="n"/>
      <c r="AN262" s="60" t="n"/>
      <c r="AO262" s="60">
        <f>AN262-AM262</f>
        <v/>
      </c>
      <c r="AP262" s="61">
        <f>IF(AM262=0,"",AN262/AM262)</f>
        <v/>
      </c>
      <c r="AQ262" s="27" t="n"/>
      <c r="AR262" s="62" t="n"/>
      <c r="AS262" s="62" t="n"/>
      <c r="AT262" s="62">
        <f>AS262-AR262</f>
        <v/>
      </c>
      <c r="AU262" s="64">
        <f>IF(AR262=0,"",AS262/AR262)</f>
        <v/>
      </c>
      <c r="AV262" s="31" t="n"/>
      <c r="AW262" s="60" t="n"/>
      <c r="AX262" s="60" t="n"/>
      <c r="AY262" s="60">
        <f>AX262-AW262</f>
        <v/>
      </c>
      <c r="AZ262" s="61">
        <f>IF(AW262=0,"",AX262/AW262)</f>
        <v/>
      </c>
      <c r="BA262" s="27" t="n"/>
      <c r="BB262" s="62" t="n"/>
      <c r="BC262" s="62" t="n"/>
      <c r="BD262" s="62">
        <f>BC262-BB262</f>
        <v/>
      </c>
      <c r="BE262" s="64">
        <f>IF(BB262=0,"",BC262/BB262)</f>
        <v/>
      </c>
      <c r="BF262" s="31" t="n"/>
      <c r="BG262" s="60" t="n"/>
      <c r="BH262" s="60" t="n"/>
      <c r="BI262" s="60">
        <f>BH262-BG262</f>
        <v/>
      </c>
      <c r="BJ262" s="61">
        <f>IF(BG262=0,"",BH262/BG262)</f>
        <v/>
      </c>
      <c r="BK262" s="27" t="n"/>
      <c r="BL262" s="62" t="n"/>
      <c r="BM262" s="62" t="n"/>
      <c r="BN262" s="62">
        <f>BM262-BL262</f>
        <v/>
      </c>
      <c r="BO262" s="64">
        <f>IF(BL262=0,"",BM262/BL262)</f>
        <v/>
      </c>
      <c r="BP262" s="31" t="n"/>
      <c r="BQ262" s="60" t="n"/>
      <c r="BR262" s="60" t="n"/>
      <c r="BS262" s="60">
        <f>BR262-BQ262</f>
        <v/>
      </c>
      <c r="BT262" s="61">
        <f>IF(BQ262=0,"",BR262/BQ262)</f>
        <v/>
      </c>
      <c r="BU262" s="27" t="n"/>
      <c r="BV262" s="62" t="n"/>
      <c r="BW262" s="62" t="n"/>
      <c r="BX262" s="62">
        <f>BW262-BV262</f>
        <v/>
      </c>
      <c r="BY262" s="64">
        <f>IF(BV262=0,"",BW262/BV262)</f>
        <v/>
      </c>
      <c r="BZ262" s="31" t="n"/>
      <c r="CA262" s="60" t="n"/>
      <c r="CB262" s="60" t="n"/>
      <c r="CC262" s="60">
        <f>CB262-CA262</f>
        <v/>
      </c>
      <c r="CD262" s="61">
        <f>IF(CA262=0,"",CB262/CA262)</f>
        <v/>
      </c>
      <c r="CE262" s="27" t="n"/>
      <c r="CF262" s="62" t="n"/>
      <c r="CG262" s="62" t="n"/>
      <c r="CH262" s="62">
        <f>CG262-CF262</f>
        <v/>
      </c>
      <c r="CI262" s="64">
        <f>IF(CF262=0,"",CG262/CF262)</f>
        <v/>
      </c>
      <c r="CJ262" s="31" t="n"/>
      <c r="CK262" s="60" t="n"/>
      <c r="CL262" s="60" t="n"/>
      <c r="CM262" s="60">
        <f>CL262-CK262</f>
        <v/>
      </c>
      <c r="CN262" s="61">
        <f>IF(CK262=0,"",CL262/CK262)</f>
        <v/>
      </c>
      <c r="CO262" s="27" t="n"/>
      <c r="CP262" s="62" t="n"/>
      <c r="CQ262" s="62" t="n"/>
      <c r="CR262" s="62">
        <f>CQ262-CP262</f>
        <v/>
      </c>
      <c r="CS262" s="64">
        <f>IF(CP262=0,"",CQ262/CP262)</f>
        <v/>
      </c>
      <c r="CT262" s="31" t="n"/>
      <c r="CU262" s="60" t="n"/>
      <c r="CV262" s="60" t="n"/>
      <c r="CW262" s="60">
        <f>CV262-CU262</f>
        <v/>
      </c>
      <c r="CX262" s="61">
        <f>IF(CU262=0,"",CV262/CU262)</f>
        <v/>
      </c>
      <c r="CY262" s="27" t="n"/>
      <c r="CZ262" s="62" t="n"/>
      <c r="DA262" s="62" t="n"/>
      <c r="DB262" s="62">
        <f>DA262-CZ262</f>
        <v/>
      </c>
      <c r="DC262" s="64">
        <f>IF(CZ262=0,"",DA262/CZ262)</f>
        <v/>
      </c>
      <c r="DD262" s="31" t="n"/>
      <c r="DE262" s="60" t="n"/>
      <c r="DF262" s="60" t="n"/>
      <c r="DG262" s="60">
        <f>DF262-DE262</f>
        <v/>
      </c>
      <c r="DH262" s="61">
        <f>IF(DE262=0,"",DF262/DE262)</f>
        <v/>
      </c>
      <c r="DI262" s="27" t="n"/>
      <c r="DJ262" s="62" t="n"/>
      <c r="DK262" s="62" t="n"/>
      <c r="DL262" s="62">
        <f>DK262-DJ262</f>
        <v/>
      </c>
      <c r="DM262" s="64">
        <f>IF(DJ262=0,"",DK262/DJ262)</f>
        <v/>
      </c>
      <c r="DN262" s="31" t="n"/>
      <c r="DO262" s="60" t="n"/>
    </row>
    <row r="263" outlineLevel="1" ht="15" customHeight="1">
      <c r="A263" s="24" t="n"/>
      <c r="B263" s="24" t="n"/>
      <c r="C263" s="24" t="n"/>
      <c r="D263" s="60" t="n"/>
      <c r="E263" s="60" t="n"/>
      <c r="F263" s="60">
        <f>E263-D263</f>
        <v/>
      </c>
      <c r="G263" s="61">
        <f>IF(D263=0,"",E263/D263)</f>
        <v/>
      </c>
      <c r="H263" s="27" t="n"/>
      <c r="I263" s="60" t="n"/>
      <c r="J263" s="60" t="n"/>
      <c r="K263" s="60">
        <f>J263-I263</f>
        <v/>
      </c>
      <c r="L263" s="61">
        <f>IF(I263=0,"",J263/I263)</f>
        <v/>
      </c>
      <c r="M263" s="27" t="n"/>
      <c r="N263" s="62" t="n"/>
      <c r="O263" s="62" t="n"/>
      <c r="P263" s="62">
        <f>O263-N263</f>
        <v/>
      </c>
      <c r="Q263" s="64">
        <f>IF(N263=0,"",O263/N263)</f>
        <v/>
      </c>
      <c r="R263" s="31" t="n"/>
      <c r="S263" s="60" t="n"/>
      <c r="T263" s="60" t="n"/>
      <c r="U263" s="60">
        <f>T263-S263</f>
        <v/>
      </c>
      <c r="V263" s="61">
        <f>IF(S263=0,"",T263/S263)</f>
        <v/>
      </c>
      <c r="W263" s="27" t="n"/>
      <c r="X263" s="62" t="n"/>
      <c r="Y263" s="62" t="n"/>
      <c r="Z263" s="62">
        <f>Y263-X263</f>
        <v/>
      </c>
      <c r="AA263" s="64">
        <f>IF(X263=0,"",Y263/X263)</f>
        <v/>
      </c>
      <c r="AB263" s="31" t="n"/>
      <c r="AC263" s="60" t="n"/>
      <c r="AD263" s="60" t="n"/>
      <c r="AE263" s="60">
        <f>AD263-AC263</f>
        <v/>
      </c>
      <c r="AF263" s="61">
        <f>IF(AC263=0,"",AD263/AC263)</f>
        <v/>
      </c>
      <c r="AG263" s="27" t="n"/>
      <c r="AH263" s="62" t="n"/>
      <c r="AI263" s="62" t="n"/>
      <c r="AJ263" s="62">
        <f>AI263-AH263</f>
        <v/>
      </c>
      <c r="AK263" s="64">
        <f>IF(AH263=0,"",AI263/AH263)</f>
        <v/>
      </c>
      <c r="AL263" s="31" t="n"/>
      <c r="AM263" s="60" t="n"/>
      <c r="AN263" s="60" t="n"/>
      <c r="AO263" s="60">
        <f>AN263-AM263</f>
        <v/>
      </c>
      <c r="AP263" s="61">
        <f>IF(AM263=0,"",AN263/AM263)</f>
        <v/>
      </c>
      <c r="AQ263" s="27" t="n"/>
      <c r="AR263" s="62" t="n"/>
      <c r="AS263" s="62" t="n"/>
      <c r="AT263" s="62">
        <f>AS263-AR263</f>
        <v/>
      </c>
      <c r="AU263" s="64">
        <f>IF(AR263=0,"",AS263/AR263)</f>
        <v/>
      </c>
      <c r="AV263" s="31" t="n"/>
      <c r="AW263" s="60" t="n"/>
      <c r="AX263" s="60" t="n"/>
      <c r="AY263" s="60">
        <f>AX263-AW263</f>
        <v/>
      </c>
      <c r="AZ263" s="61">
        <f>IF(AW263=0,"",AX263/AW263)</f>
        <v/>
      </c>
      <c r="BA263" s="27" t="n"/>
      <c r="BB263" s="62" t="n"/>
      <c r="BC263" s="62" t="n"/>
      <c r="BD263" s="62">
        <f>BC263-BB263</f>
        <v/>
      </c>
      <c r="BE263" s="64">
        <f>IF(BB263=0,"",BC263/BB263)</f>
        <v/>
      </c>
      <c r="BF263" s="31" t="n"/>
      <c r="BG263" s="60" t="n"/>
      <c r="BH263" s="60" t="n"/>
      <c r="BI263" s="60">
        <f>BH263-BG263</f>
        <v/>
      </c>
      <c r="BJ263" s="61">
        <f>IF(BG263=0,"",BH263/BG263)</f>
        <v/>
      </c>
      <c r="BK263" s="27" t="n"/>
      <c r="BL263" s="62" t="n"/>
      <c r="BM263" s="62" t="n"/>
      <c r="BN263" s="62">
        <f>BM263-BL263</f>
        <v/>
      </c>
      <c r="BO263" s="64">
        <f>IF(BL263=0,"",BM263/BL263)</f>
        <v/>
      </c>
      <c r="BP263" s="31" t="n"/>
      <c r="BQ263" s="60" t="n"/>
      <c r="BR263" s="60" t="n"/>
      <c r="BS263" s="60">
        <f>BR263-BQ263</f>
        <v/>
      </c>
      <c r="BT263" s="61">
        <f>IF(BQ263=0,"",BR263/BQ263)</f>
        <v/>
      </c>
      <c r="BU263" s="27" t="n"/>
      <c r="BV263" s="62" t="n"/>
      <c r="BW263" s="62" t="n"/>
      <c r="BX263" s="62">
        <f>BW263-BV263</f>
        <v/>
      </c>
      <c r="BY263" s="64">
        <f>IF(BV263=0,"",BW263/BV263)</f>
        <v/>
      </c>
      <c r="BZ263" s="31" t="n"/>
      <c r="CA263" s="60" t="n"/>
      <c r="CB263" s="60" t="n"/>
      <c r="CC263" s="60">
        <f>CB263-CA263</f>
        <v/>
      </c>
      <c r="CD263" s="61">
        <f>IF(CA263=0,"",CB263/CA263)</f>
        <v/>
      </c>
      <c r="CE263" s="27" t="n"/>
      <c r="CF263" s="62" t="n"/>
      <c r="CG263" s="62" t="n"/>
      <c r="CH263" s="62">
        <f>CG263-CF263</f>
        <v/>
      </c>
      <c r="CI263" s="64">
        <f>IF(CF263=0,"",CG263/CF263)</f>
        <v/>
      </c>
      <c r="CJ263" s="31" t="n"/>
      <c r="CK263" s="60" t="n"/>
      <c r="CL263" s="60" t="n"/>
      <c r="CM263" s="60">
        <f>CL263-CK263</f>
        <v/>
      </c>
      <c r="CN263" s="61">
        <f>IF(CK263=0,"",CL263/CK263)</f>
        <v/>
      </c>
      <c r="CO263" s="27" t="n"/>
      <c r="CP263" s="62" t="n"/>
      <c r="CQ263" s="62" t="n"/>
      <c r="CR263" s="62">
        <f>CQ263-CP263</f>
        <v/>
      </c>
      <c r="CS263" s="64">
        <f>IF(CP263=0,"",CQ263/CP263)</f>
        <v/>
      </c>
      <c r="CT263" s="31" t="n"/>
      <c r="CU263" s="60" t="n"/>
      <c r="CV263" s="60" t="n"/>
      <c r="CW263" s="60">
        <f>CV263-CU263</f>
        <v/>
      </c>
      <c r="CX263" s="61">
        <f>IF(CU263=0,"",CV263/CU263)</f>
        <v/>
      </c>
      <c r="CY263" s="27" t="n"/>
      <c r="CZ263" s="62" t="n"/>
      <c r="DA263" s="62" t="n"/>
      <c r="DB263" s="62">
        <f>DA263-CZ263</f>
        <v/>
      </c>
      <c r="DC263" s="64">
        <f>IF(CZ263=0,"",DA263/CZ263)</f>
        <v/>
      </c>
      <c r="DD263" s="31" t="n"/>
      <c r="DE263" s="60" t="n"/>
      <c r="DF263" s="60" t="n"/>
      <c r="DG263" s="60">
        <f>DF263-DE263</f>
        <v/>
      </c>
      <c r="DH263" s="61">
        <f>IF(DE263=0,"",DF263/DE263)</f>
        <v/>
      </c>
      <c r="DI263" s="27" t="n"/>
      <c r="DJ263" s="62" t="n"/>
      <c r="DK263" s="62" t="n"/>
      <c r="DL263" s="62">
        <f>DK263-DJ263</f>
        <v/>
      </c>
      <c r="DM263" s="64">
        <f>IF(DJ263=0,"",DK263/DJ263)</f>
        <v/>
      </c>
      <c r="DN263" s="31" t="n"/>
      <c r="DO263" s="60" t="n"/>
    </row>
    <row r="264" ht="15" customHeight="1">
      <c r="A264" s="19" t="n"/>
      <c r="B264" s="20" t="n"/>
      <c r="C264" s="19" t="n"/>
      <c r="D264" s="58">
        <f>D265</f>
        <v/>
      </c>
      <c r="E264" s="58">
        <f>E265</f>
        <v/>
      </c>
      <c r="F264" s="58">
        <f>E264-D264</f>
        <v/>
      </c>
      <c r="G264" s="59">
        <f>IF(D264=0,"",E264/D264)</f>
        <v/>
      </c>
      <c r="H264" s="23" t="n"/>
      <c r="I264" s="58">
        <f>I265</f>
        <v/>
      </c>
      <c r="J264" s="58">
        <f>J265</f>
        <v/>
      </c>
      <c r="K264" s="58">
        <f>J264-I264</f>
        <v/>
      </c>
      <c r="L264" s="59">
        <f>IF(I264=0,"",J264/I264)</f>
        <v/>
      </c>
      <c r="M264" s="23" t="n"/>
      <c r="N264" s="58">
        <f>N265</f>
        <v/>
      </c>
      <c r="O264" s="58">
        <f>O265</f>
        <v/>
      </c>
      <c r="P264" s="58">
        <f>O264-N264</f>
        <v/>
      </c>
      <c r="Q264" s="59">
        <f>IF(N264=0,"",O264/N264)</f>
        <v/>
      </c>
      <c r="R264" s="23" t="n"/>
      <c r="S264" s="58">
        <f>S265</f>
        <v/>
      </c>
      <c r="T264" s="58">
        <f>T265</f>
        <v/>
      </c>
      <c r="U264" s="58">
        <f>T264-S264</f>
        <v/>
      </c>
      <c r="V264" s="59">
        <f>IF(S264=0,"",T264/S264)</f>
        <v/>
      </c>
      <c r="W264" s="23" t="n"/>
      <c r="X264" s="58">
        <f>X265</f>
        <v/>
      </c>
      <c r="Y264" s="58">
        <f>Y265</f>
        <v/>
      </c>
      <c r="Z264" s="58">
        <f>Y264-X264</f>
        <v/>
      </c>
      <c r="AA264" s="59">
        <f>IF(X264=0,"",Y264/X264)</f>
        <v/>
      </c>
      <c r="AB264" s="23" t="n"/>
      <c r="AC264" s="58">
        <f>AC265</f>
        <v/>
      </c>
      <c r="AD264" s="58">
        <f>AD265</f>
        <v/>
      </c>
      <c r="AE264" s="58">
        <f>AD264-AC264</f>
        <v/>
      </c>
      <c r="AF264" s="59">
        <f>IF(AC264=0,"",AD264/AC264)</f>
        <v/>
      </c>
      <c r="AG264" s="23" t="n"/>
      <c r="AH264" s="58">
        <f>AH265</f>
        <v/>
      </c>
      <c r="AI264" s="58">
        <f>AI265</f>
        <v/>
      </c>
      <c r="AJ264" s="58">
        <f>AI264-AH264</f>
        <v/>
      </c>
      <c r="AK264" s="59">
        <f>IF(AH264=0,"",AI264/AH264)</f>
        <v/>
      </c>
      <c r="AL264" s="23" t="n"/>
      <c r="AM264" s="58">
        <f>AM265</f>
        <v/>
      </c>
      <c r="AN264" s="58">
        <f>AN265</f>
        <v/>
      </c>
      <c r="AO264" s="58">
        <f>AN264-AM264</f>
        <v/>
      </c>
      <c r="AP264" s="59">
        <f>IF(AM264=0,"",AN264/AM264)</f>
        <v/>
      </c>
      <c r="AQ264" s="23" t="n"/>
      <c r="AR264" s="58">
        <f>AR265</f>
        <v/>
      </c>
      <c r="AS264" s="58">
        <f>AS265</f>
        <v/>
      </c>
      <c r="AT264" s="58">
        <f>AS264-AR264</f>
        <v/>
      </c>
      <c r="AU264" s="59">
        <f>IF(AR264=0,"",AS264/AR264)</f>
        <v/>
      </c>
      <c r="AV264" s="23" t="n"/>
      <c r="AW264" s="58">
        <f>AW265</f>
        <v/>
      </c>
      <c r="AX264" s="58">
        <f>AX265</f>
        <v/>
      </c>
      <c r="AY264" s="58">
        <f>AX264-AW264</f>
        <v/>
      </c>
      <c r="AZ264" s="59">
        <f>IF(AW264=0,"",AX264/AW264)</f>
        <v/>
      </c>
      <c r="BA264" s="23" t="n"/>
      <c r="BB264" s="58">
        <f>BB265</f>
        <v/>
      </c>
      <c r="BC264" s="58">
        <f>BC265</f>
        <v/>
      </c>
      <c r="BD264" s="58">
        <f>BC264-BB264</f>
        <v/>
      </c>
      <c r="BE264" s="59">
        <f>IF(BB264=0,"",BC264/BB264)</f>
        <v/>
      </c>
      <c r="BF264" s="23" t="n"/>
      <c r="BG264" s="58">
        <f>BG265</f>
        <v/>
      </c>
      <c r="BH264" s="58">
        <f>BH265</f>
        <v/>
      </c>
      <c r="BI264" s="58">
        <f>BH264-BG264</f>
        <v/>
      </c>
      <c r="BJ264" s="59">
        <f>IF(BG264=0,"",BH264/BG264)</f>
        <v/>
      </c>
      <c r="BK264" s="23" t="n"/>
      <c r="BL264" s="58">
        <f>BL265</f>
        <v/>
      </c>
      <c r="BM264" s="58">
        <f>BM265</f>
        <v/>
      </c>
      <c r="BN264" s="58">
        <f>BM264-BL264</f>
        <v/>
      </c>
      <c r="BO264" s="59">
        <f>IF(BL264=0,"",BM264/BL264)</f>
        <v/>
      </c>
      <c r="BP264" s="23" t="n"/>
      <c r="BQ264" s="58">
        <f>BQ265</f>
        <v/>
      </c>
      <c r="BR264" s="58">
        <f>BR265</f>
        <v/>
      </c>
      <c r="BS264" s="58">
        <f>BR264-BQ264</f>
        <v/>
      </c>
      <c r="BT264" s="59">
        <f>IF(BQ264=0,"",BR264/BQ264)</f>
        <v/>
      </c>
      <c r="BU264" s="23" t="n"/>
      <c r="BV264" s="58">
        <f>BV265</f>
        <v/>
      </c>
      <c r="BW264" s="58">
        <f>BW265</f>
        <v/>
      </c>
      <c r="BX264" s="58">
        <f>BW264-BV264</f>
        <v/>
      </c>
      <c r="BY264" s="59">
        <f>IF(BV264=0,"",BW264/BV264)</f>
        <v/>
      </c>
      <c r="BZ264" s="23" t="n"/>
      <c r="CA264" s="58">
        <f>CA265</f>
        <v/>
      </c>
      <c r="CB264" s="58">
        <f>CB265</f>
        <v/>
      </c>
      <c r="CC264" s="58">
        <f>CB264-CA264</f>
        <v/>
      </c>
      <c r="CD264" s="59">
        <f>IF(CA264=0,"",CB264/CA264)</f>
        <v/>
      </c>
      <c r="CE264" s="23" t="n"/>
      <c r="CF264" s="58">
        <f>CF265</f>
        <v/>
      </c>
      <c r="CG264" s="58">
        <f>CG265</f>
        <v/>
      </c>
      <c r="CH264" s="58">
        <f>CG264-CF264</f>
        <v/>
      </c>
      <c r="CI264" s="59">
        <f>IF(CF264=0,"",CG264/CF264)</f>
        <v/>
      </c>
      <c r="CJ264" s="23" t="n"/>
      <c r="CK264" s="58">
        <f>CK265</f>
        <v/>
      </c>
      <c r="CL264" s="58">
        <f>CL265</f>
        <v/>
      </c>
      <c r="CM264" s="58">
        <f>CL264-CK264</f>
        <v/>
      </c>
      <c r="CN264" s="59">
        <f>IF(CK264=0,"",CL264/CK264)</f>
        <v/>
      </c>
      <c r="CO264" s="23" t="n"/>
      <c r="CP264" s="58">
        <f>CP265</f>
        <v/>
      </c>
      <c r="CQ264" s="58">
        <f>CQ265</f>
        <v/>
      </c>
      <c r="CR264" s="58">
        <f>CQ264-CP264</f>
        <v/>
      </c>
      <c r="CS264" s="59">
        <f>IF(CP264=0,"",CQ264/CP264)</f>
        <v/>
      </c>
      <c r="CT264" s="23" t="n"/>
      <c r="CU264" s="58">
        <f>CU265</f>
        <v/>
      </c>
      <c r="CV264" s="58">
        <f>CV265</f>
        <v/>
      </c>
      <c r="CW264" s="58">
        <f>CV264-CU264</f>
        <v/>
      </c>
      <c r="CX264" s="59">
        <f>IF(CU264=0,"",CV264/CU264)</f>
        <v/>
      </c>
      <c r="CY264" s="23" t="n"/>
      <c r="CZ264" s="58">
        <f>CZ265</f>
        <v/>
      </c>
      <c r="DA264" s="58">
        <f>DA265</f>
        <v/>
      </c>
      <c r="DB264" s="58">
        <f>DA264-CZ264</f>
        <v/>
      </c>
      <c r="DC264" s="59">
        <f>IF(CZ264=0,"",DA264/CZ264)</f>
        <v/>
      </c>
      <c r="DD264" s="23" t="n"/>
      <c r="DE264" s="58">
        <f>DE265</f>
        <v/>
      </c>
      <c r="DF264" s="58">
        <f>DF265</f>
        <v/>
      </c>
      <c r="DG264" s="58">
        <f>DF264-DE264</f>
        <v/>
      </c>
      <c r="DH264" s="59">
        <f>IF(DE264=0,"",DF264/DE264)</f>
        <v/>
      </c>
      <c r="DI264" s="23" t="n"/>
      <c r="DJ264" s="58">
        <f>DJ265</f>
        <v/>
      </c>
      <c r="DK264" s="58">
        <f>DK265</f>
        <v/>
      </c>
      <c r="DL264" s="58">
        <f>DK264-DJ264</f>
        <v/>
      </c>
      <c r="DM264" s="59">
        <f>IF(DJ264=0,"",DK264/DJ264)</f>
        <v/>
      </c>
      <c r="DN264" s="23" t="n"/>
      <c r="DO264" s="58">
        <f>DO265</f>
        <v/>
      </c>
    </row>
    <row r="265" outlineLevel="1" ht="15" customHeight="1">
      <c r="A265" s="24" t="n"/>
      <c r="B265" s="24" t="n"/>
      <c r="C265" s="24" t="n"/>
      <c r="D265" s="60" t="n"/>
      <c r="E265" s="60" t="n"/>
      <c r="F265" s="60">
        <f>E265-D265</f>
        <v/>
      </c>
      <c r="G265" s="61">
        <f>IF(D265=0,"",E265/D265)</f>
        <v/>
      </c>
      <c r="H265" s="27" t="n"/>
      <c r="I265" s="60" t="n"/>
      <c r="J265" s="60" t="n"/>
      <c r="K265" s="60">
        <f>J265-I265</f>
        <v/>
      </c>
      <c r="L265" s="61">
        <f>IF(I265=0,"",J265/I265)</f>
        <v/>
      </c>
      <c r="M265" s="27" t="n"/>
      <c r="N265" s="62" t="n"/>
      <c r="O265" s="62" t="n"/>
      <c r="P265" s="62">
        <f>O265-N265</f>
        <v/>
      </c>
      <c r="Q265" s="64">
        <f>IF(N265=0,"",O265/N265)</f>
        <v/>
      </c>
      <c r="R265" s="31" t="n"/>
      <c r="S265" s="60" t="n"/>
      <c r="T265" s="60" t="n"/>
      <c r="U265" s="60">
        <f>T265-S265</f>
        <v/>
      </c>
      <c r="V265" s="61">
        <f>IF(S265=0,"",T265/S265)</f>
        <v/>
      </c>
      <c r="W265" s="27" t="n"/>
      <c r="X265" s="62" t="n"/>
      <c r="Y265" s="62" t="n"/>
      <c r="Z265" s="62">
        <f>Y265-X265</f>
        <v/>
      </c>
      <c r="AA265" s="64">
        <f>IF(X265=0,"",Y265/X265)</f>
        <v/>
      </c>
      <c r="AB265" s="31" t="n"/>
      <c r="AC265" s="60" t="n"/>
      <c r="AD265" s="60" t="n"/>
      <c r="AE265" s="60">
        <f>AD265-AC265</f>
        <v/>
      </c>
      <c r="AF265" s="61">
        <f>IF(AC265=0,"",AD265/AC265)</f>
        <v/>
      </c>
      <c r="AG265" s="27" t="n"/>
      <c r="AH265" s="62" t="n"/>
      <c r="AI265" s="62" t="n"/>
      <c r="AJ265" s="62">
        <f>AI265-AH265</f>
        <v/>
      </c>
      <c r="AK265" s="64">
        <f>IF(AH265=0,"",AI265/AH265)</f>
        <v/>
      </c>
      <c r="AL265" s="31" t="n"/>
      <c r="AM265" s="60" t="n"/>
      <c r="AN265" s="60" t="n"/>
      <c r="AO265" s="60">
        <f>AN265-AM265</f>
        <v/>
      </c>
      <c r="AP265" s="61">
        <f>IF(AM265=0,"",AN265/AM265)</f>
        <v/>
      </c>
      <c r="AQ265" s="27" t="n"/>
      <c r="AR265" s="62" t="n"/>
      <c r="AS265" s="62" t="n"/>
      <c r="AT265" s="62">
        <f>AS265-AR265</f>
        <v/>
      </c>
      <c r="AU265" s="64">
        <f>IF(AR265=0,"",AS265/AR265)</f>
        <v/>
      </c>
      <c r="AV265" s="31" t="n"/>
      <c r="AW265" s="60" t="n"/>
      <c r="AX265" s="60" t="n"/>
      <c r="AY265" s="60">
        <f>AX265-AW265</f>
        <v/>
      </c>
      <c r="AZ265" s="61">
        <f>IF(AW265=0,"",AX265/AW265)</f>
        <v/>
      </c>
      <c r="BA265" s="27" t="n"/>
      <c r="BB265" s="62" t="n"/>
      <c r="BC265" s="62" t="n"/>
      <c r="BD265" s="62">
        <f>BC265-BB265</f>
        <v/>
      </c>
      <c r="BE265" s="64">
        <f>IF(BB265=0,"",BC265/BB265)</f>
        <v/>
      </c>
      <c r="BF265" s="31" t="n"/>
      <c r="BG265" s="60" t="n"/>
      <c r="BH265" s="60" t="n"/>
      <c r="BI265" s="60">
        <f>BH265-BG265</f>
        <v/>
      </c>
      <c r="BJ265" s="61">
        <f>IF(BG265=0,"",BH265/BG265)</f>
        <v/>
      </c>
      <c r="BK265" s="27" t="n"/>
      <c r="BL265" s="62" t="n"/>
      <c r="BM265" s="62" t="n"/>
      <c r="BN265" s="62">
        <f>BM265-BL265</f>
        <v/>
      </c>
      <c r="BO265" s="64">
        <f>IF(BL265=0,"",BM265/BL265)</f>
        <v/>
      </c>
      <c r="BP265" s="31" t="n"/>
      <c r="BQ265" s="60" t="n"/>
      <c r="BR265" s="60" t="n"/>
      <c r="BS265" s="60">
        <f>BR265-BQ265</f>
        <v/>
      </c>
      <c r="BT265" s="61">
        <f>IF(BQ265=0,"",BR265/BQ265)</f>
        <v/>
      </c>
      <c r="BU265" s="27" t="n"/>
      <c r="BV265" s="62" t="n"/>
      <c r="BW265" s="62" t="n"/>
      <c r="BX265" s="62">
        <f>BW265-BV265</f>
        <v/>
      </c>
      <c r="BY265" s="64">
        <f>IF(BV265=0,"",BW265/BV265)</f>
        <v/>
      </c>
      <c r="BZ265" s="31" t="n"/>
      <c r="CA265" s="60" t="n"/>
      <c r="CB265" s="60" t="n"/>
      <c r="CC265" s="60">
        <f>CB265-CA265</f>
        <v/>
      </c>
      <c r="CD265" s="61">
        <f>IF(CA265=0,"",CB265/CA265)</f>
        <v/>
      </c>
      <c r="CE265" s="27" t="n"/>
      <c r="CF265" s="62" t="n"/>
      <c r="CG265" s="62" t="n"/>
      <c r="CH265" s="62">
        <f>CG265-CF265</f>
        <v/>
      </c>
      <c r="CI265" s="64">
        <f>IF(CF265=0,"",CG265/CF265)</f>
        <v/>
      </c>
      <c r="CJ265" s="31" t="n"/>
      <c r="CK265" s="60" t="n"/>
      <c r="CL265" s="60" t="n"/>
      <c r="CM265" s="60">
        <f>CL265-CK265</f>
        <v/>
      </c>
      <c r="CN265" s="61">
        <f>IF(CK265=0,"",CL265/CK265)</f>
        <v/>
      </c>
      <c r="CO265" s="27" t="n"/>
      <c r="CP265" s="62" t="n"/>
      <c r="CQ265" s="62" t="n"/>
      <c r="CR265" s="62">
        <f>CQ265-CP265</f>
        <v/>
      </c>
      <c r="CS265" s="64">
        <f>IF(CP265=0,"",CQ265/CP265)</f>
        <v/>
      </c>
      <c r="CT265" s="31" t="n"/>
      <c r="CU265" s="60" t="n"/>
      <c r="CV265" s="60" t="n"/>
      <c r="CW265" s="60">
        <f>CV265-CU265</f>
        <v/>
      </c>
      <c r="CX265" s="61">
        <f>IF(CU265=0,"",CV265/CU265)</f>
        <v/>
      </c>
      <c r="CY265" s="27" t="n"/>
      <c r="CZ265" s="62" t="n"/>
      <c r="DA265" s="62" t="n"/>
      <c r="DB265" s="62">
        <f>DA265-CZ265</f>
        <v/>
      </c>
      <c r="DC265" s="64">
        <f>IF(CZ265=0,"",DA265/CZ265)</f>
        <v/>
      </c>
      <c r="DD265" s="31" t="n"/>
      <c r="DE265" s="60" t="n"/>
      <c r="DF265" s="60" t="n"/>
      <c r="DG265" s="60">
        <f>DF265-DE265</f>
        <v/>
      </c>
      <c r="DH265" s="61">
        <f>IF(DE265=0,"",DF265/DE265)</f>
        <v/>
      </c>
      <c r="DI265" s="27" t="n"/>
      <c r="DJ265" s="62" t="n"/>
      <c r="DK265" s="62" t="n"/>
      <c r="DL265" s="62">
        <f>DK265-DJ265</f>
        <v/>
      </c>
      <c r="DM265" s="64">
        <f>IF(DJ265=0,"",DK265/DJ265)</f>
        <v/>
      </c>
      <c r="DN265" s="31" t="n"/>
      <c r="DO265" s="60" t="n"/>
    </row>
    <row r="266" ht="15" customHeight="1">
      <c r="A266" s="19" t="n"/>
      <c r="B266" s="20" t="n"/>
      <c r="C266" s="19" t="n"/>
      <c r="D266" s="58">
        <f>D267</f>
        <v/>
      </c>
      <c r="E266" s="58">
        <f>E267</f>
        <v/>
      </c>
      <c r="F266" s="58">
        <f>E266-D266</f>
        <v/>
      </c>
      <c r="G266" s="59">
        <f>IF(D266=0,"",E266/D266)</f>
        <v/>
      </c>
      <c r="H266" s="23" t="n"/>
      <c r="I266" s="58">
        <f>I267</f>
        <v/>
      </c>
      <c r="J266" s="58">
        <f>J267</f>
        <v/>
      </c>
      <c r="K266" s="58">
        <f>J266-I266</f>
        <v/>
      </c>
      <c r="L266" s="59">
        <f>IF(I266=0,"",J266/I266)</f>
        <v/>
      </c>
      <c r="M266" s="23" t="n"/>
      <c r="N266" s="58">
        <f>N267</f>
        <v/>
      </c>
      <c r="O266" s="58">
        <f>O267</f>
        <v/>
      </c>
      <c r="P266" s="58">
        <f>O266-N266</f>
        <v/>
      </c>
      <c r="Q266" s="59">
        <f>IF(N266=0,"",O266/N266)</f>
        <v/>
      </c>
      <c r="R266" s="23" t="n"/>
      <c r="S266" s="58">
        <f>S267</f>
        <v/>
      </c>
      <c r="T266" s="58">
        <f>T267</f>
        <v/>
      </c>
      <c r="U266" s="58">
        <f>T266-S266</f>
        <v/>
      </c>
      <c r="V266" s="59">
        <f>IF(S266=0,"",T266/S266)</f>
        <v/>
      </c>
      <c r="W266" s="23" t="n"/>
      <c r="X266" s="58">
        <f>X267</f>
        <v/>
      </c>
      <c r="Y266" s="58">
        <f>Y267</f>
        <v/>
      </c>
      <c r="Z266" s="58">
        <f>Y266-X266</f>
        <v/>
      </c>
      <c r="AA266" s="59">
        <f>IF(X266=0,"",Y266/X266)</f>
        <v/>
      </c>
      <c r="AB266" s="23" t="n"/>
      <c r="AC266" s="58">
        <f>AC267</f>
        <v/>
      </c>
      <c r="AD266" s="58">
        <f>AD267</f>
        <v/>
      </c>
      <c r="AE266" s="58">
        <f>AD266-AC266</f>
        <v/>
      </c>
      <c r="AF266" s="59">
        <f>IF(AC266=0,"",AD266/AC266)</f>
        <v/>
      </c>
      <c r="AG266" s="23" t="n"/>
      <c r="AH266" s="58">
        <f>AH267</f>
        <v/>
      </c>
      <c r="AI266" s="58">
        <f>AI267</f>
        <v/>
      </c>
      <c r="AJ266" s="58">
        <f>AI266-AH266</f>
        <v/>
      </c>
      <c r="AK266" s="59">
        <f>IF(AH266=0,"",AI266/AH266)</f>
        <v/>
      </c>
      <c r="AL266" s="23" t="n"/>
      <c r="AM266" s="58">
        <f>AM267</f>
        <v/>
      </c>
      <c r="AN266" s="58">
        <f>AN267</f>
        <v/>
      </c>
      <c r="AO266" s="58">
        <f>AN266-AM266</f>
        <v/>
      </c>
      <c r="AP266" s="59">
        <f>IF(AM266=0,"",AN266/AM266)</f>
        <v/>
      </c>
      <c r="AQ266" s="23" t="n"/>
      <c r="AR266" s="58">
        <f>AR267</f>
        <v/>
      </c>
      <c r="AS266" s="58">
        <f>AS267</f>
        <v/>
      </c>
      <c r="AT266" s="58">
        <f>AS266-AR266</f>
        <v/>
      </c>
      <c r="AU266" s="59">
        <f>IF(AR266=0,"",AS266/AR266)</f>
        <v/>
      </c>
      <c r="AV266" s="23" t="n"/>
      <c r="AW266" s="58">
        <f>AW267</f>
        <v/>
      </c>
      <c r="AX266" s="58">
        <f>AX267</f>
        <v/>
      </c>
      <c r="AY266" s="58">
        <f>AX266-AW266</f>
        <v/>
      </c>
      <c r="AZ266" s="59">
        <f>IF(AW266=0,"",AX266/AW266)</f>
        <v/>
      </c>
      <c r="BA266" s="23" t="n"/>
      <c r="BB266" s="58">
        <f>BB267</f>
        <v/>
      </c>
      <c r="BC266" s="58">
        <f>BC267</f>
        <v/>
      </c>
      <c r="BD266" s="58">
        <f>BC266-BB266</f>
        <v/>
      </c>
      <c r="BE266" s="59">
        <f>IF(BB266=0,"",BC266/BB266)</f>
        <v/>
      </c>
      <c r="BF266" s="23" t="n"/>
      <c r="BG266" s="58">
        <f>BG267</f>
        <v/>
      </c>
      <c r="BH266" s="58">
        <f>BH267</f>
        <v/>
      </c>
      <c r="BI266" s="58">
        <f>BH266-BG266</f>
        <v/>
      </c>
      <c r="BJ266" s="59">
        <f>IF(BG266=0,"",BH266/BG266)</f>
        <v/>
      </c>
      <c r="BK266" s="23" t="n"/>
      <c r="BL266" s="58">
        <f>BL267</f>
        <v/>
      </c>
      <c r="BM266" s="58">
        <f>BM267</f>
        <v/>
      </c>
      <c r="BN266" s="58">
        <f>BM266-BL266</f>
        <v/>
      </c>
      <c r="BO266" s="59">
        <f>IF(BL266=0,"",BM266/BL266)</f>
        <v/>
      </c>
      <c r="BP266" s="23" t="n"/>
      <c r="BQ266" s="58">
        <f>BQ267</f>
        <v/>
      </c>
      <c r="BR266" s="58">
        <f>BR267</f>
        <v/>
      </c>
      <c r="BS266" s="58">
        <f>BR266-BQ266</f>
        <v/>
      </c>
      <c r="BT266" s="59">
        <f>IF(BQ266=0,"",BR266/BQ266)</f>
        <v/>
      </c>
      <c r="BU266" s="23" t="n"/>
      <c r="BV266" s="58">
        <f>BV267</f>
        <v/>
      </c>
      <c r="BW266" s="58">
        <f>BW267</f>
        <v/>
      </c>
      <c r="BX266" s="58">
        <f>BW266-BV266</f>
        <v/>
      </c>
      <c r="BY266" s="59">
        <f>IF(BV266=0,"",BW266/BV266)</f>
        <v/>
      </c>
      <c r="BZ266" s="23" t="n"/>
      <c r="CA266" s="58">
        <f>CA267</f>
        <v/>
      </c>
      <c r="CB266" s="58">
        <f>CB267</f>
        <v/>
      </c>
      <c r="CC266" s="58">
        <f>CB266-CA266</f>
        <v/>
      </c>
      <c r="CD266" s="59">
        <f>IF(CA266=0,"",CB266/CA266)</f>
        <v/>
      </c>
      <c r="CE266" s="23" t="n"/>
      <c r="CF266" s="58">
        <f>CF267</f>
        <v/>
      </c>
      <c r="CG266" s="58">
        <f>CG267</f>
        <v/>
      </c>
      <c r="CH266" s="58">
        <f>CG266-CF266</f>
        <v/>
      </c>
      <c r="CI266" s="59">
        <f>IF(CF266=0,"",CG266/CF266)</f>
        <v/>
      </c>
      <c r="CJ266" s="23" t="n"/>
      <c r="CK266" s="58">
        <f>CK267</f>
        <v/>
      </c>
      <c r="CL266" s="58">
        <f>CL267</f>
        <v/>
      </c>
      <c r="CM266" s="58">
        <f>CL266-CK266</f>
        <v/>
      </c>
      <c r="CN266" s="59">
        <f>IF(CK266=0,"",CL266/CK266)</f>
        <v/>
      </c>
      <c r="CO266" s="23" t="n"/>
      <c r="CP266" s="58">
        <f>CP267</f>
        <v/>
      </c>
      <c r="CQ266" s="58">
        <f>CQ267</f>
        <v/>
      </c>
      <c r="CR266" s="58">
        <f>CQ266-CP266</f>
        <v/>
      </c>
      <c r="CS266" s="59">
        <f>IF(CP266=0,"",CQ266/CP266)</f>
        <v/>
      </c>
      <c r="CT266" s="23" t="n"/>
      <c r="CU266" s="58">
        <f>CU267</f>
        <v/>
      </c>
      <c r="CV266" s="58">
        <f>CV267</f>
        <v/>
      </c>
      <c r="CW266" s="58">
        <f>CV266-CU266</f>
        <v/>
      </c>
      <c r="CX266" s="59">
        <f>IF(CU266=0,"",CV266/CU266)</f>
        <v/>
      </c>
      <c r="CY266" s="23" t="n"/>
      <c r="CZ266" s="58">
        <f>CZ267</f>
        <v/>
      </c>
      <c r="DA266" s="58">
        <f>DA267</f>
        <v/>
      </c>
      <c r="DB266" s="58">
        <f>DA266-CZ266</f>
        <v/>
      </c>
      <c r="DC266" s="59">
        <f>IF(CZ266=0,"",DA266/CZ266)</f>
        <v/>
      </c>
      <c r="DD266" s="23" t="n"/>
      <c r="DE266" s="58">
        <f>DE267</f>
        <v/>
      </c>
      <c r="DF266" s="58">
        <f>DF267</f>
        <v/>
      </c>
      <c r="DG266" s="58">
        <f>DF266-DE266</f>
        <v/>
      </c>
      <c r="DH266" s="59">
        <f>IF(DE266=0,"",DF266/DE266)</f>
        <v/>
      </c>
      <c r="DI266" s="23" t="n"/>
      <c r="DJ266" s="58">
        <f>DJ267</f>
        <v/>
      </c>
      <c r="DK266" s="58">
        <f>DK267</f>
        <v/>
      </c>
      <c r="DL266" s="58">
        <f>DK266-DJ266</f>
        <v/>
      </c>
      <c r="DM266" s="59">
        <f>IF(DJ266=0,"",DK266/DJ266)</f>
        <v/>
      </c>
      <c r="DN266" s="23" t="n"/>
      <c r="DO266" s="58">
        <f>DO267</f>
        <v/>
      </c>
    </row>
    <row r="267" outlineLevel="1" ht="15" customHeight="1">
      <c r="A267" s="24" t="n"/>
      <c r="B267" s="24" t="n"/>
      <c r="C267" s="24" t="n"/>
      <c r="D267" s="60" t="n"/>
      <c r="E267" s="60" t="n"/>
      <c r="F267" s="60">
        <f>E267-D267</f>
        <v/>
      </c>
      <c r="G267" s="61">
        <f>IF(D267=0,"",E267/D267)</f>
        <v/>
      </c>
      <c r="H267" s="27" t="n"/>
      <c r="I267" s="60" t="n"/>
      <c r="J267" s="60" t="n"/>
      <c r="K267" s="60">
        <f>J267-I267</f>
        <v/>
      </c>
      <c r="L267" s="61">
        <f>IF(I267=0,"",J267/I267)</f>
        <v/>
      </c>
      <c r="M267" s="27" t="n"/>
      <c r="N267" s="62" t="n"/>
      <c r="O267" s="62" t="n"/>
      <c r="P267" s="63">
        <f>O267-N267</f>
        <v/>
      </c>
      <c r="Q267" s="64">
        <f>IF(N267=0,"",O267/N267)</f>
        <v/>
      </c>
      <c r="R267" s="31" t="n"/>
      <c r="S267" s="60" t="n"/>
      <c r="T267" s="60" t="n"/>
      <c r="U267" s="60">
        <f>T267-S267</f>
        <v/>
      </c>
      <c r="V267" s="61">
        <f>IF(S267=0,"",T267/S267)</f>
        <v/>
      </c>
      <c r="W267" s="27" t="n"/>
      <c r="X267" s="62" t="n"/>
      <c r="Y267" s="62" t="n"/>
      <c r="Z267" s="63">
        <f>Y267-X267</f>
        <v/>
      </c>
      <c r="AA267" s="64">
        <f>IF(X267=0,"",Y267/X267)</f>
        <v/>
      </c>
      <c r="AB267" s="31" t="n"/>
      <c r="AC267" s="60" t="n"/>
      <c r="AD267" s="60" t="n"/>
      <c r="AE267" s="60">
        <f>AD267-AC267</f>
        <v/>
      </c>
      <c r="AF267" s="61">
        <f>IF(AC267=0,"",AD267/AC267)</f>
        <v/>
      </c>
      <c r="AG267" s="27" t="n"/>
      <c r="AH267" s="62" t="n"/>
      <c r="AI267" s="62" t="n"/>
      <c r="AJ267" s="62">
        <f>AI267-AH267</f>
        <v/>
      </c>
      <c r="AK267" s="64">
        <f>IF(AH267=0,"",AI267/AH267)</f>
        <v/>
      </c>
      <c r="AL267" s="31" t="n"/>
      <c r="AM267" s="60" t="n"/>
      <c r="AN267" s="60" t="n"/>
      <c r="AO267" s="60">
        <f>AN267-AM267</f>
        <v/>
      </c>
      <c r="AP267" s="61">
        <f>IF(AM267=0,"",AN267/AM267)</f>
        <v/>
      </c>
      <c r="AQ267" s="27" t="n"/>
      <c r="AR267" s="62" t="n"/>
      <c r="AS267" s="62" t="n"/>
      <c r="AT267" s="62">
        <f>AS267-AR267</f>
        <v/>
      </c>
      <c r="AU267" s="64">
        <f>IF(AR267=0,"",AS267/AR267)</f>
        <v/>
      </c>
      <c r="AV267" s="31" t="n"/>
      <c r="AW267" s="60" t="n"/>
      <c r="AX267" s="60" t="n"/>
      <c r="AY267" s="60">
        <f>AX267-AW267</f>
        <v/>
      </c>
      <c r="AZ267" s="61">
        <f>IF(AW267=0,"",AX267/AW267)</f>
        <v/>
      </c>
      <c r="BA267" s="27" t="n"/>
      <c r="BB267" s="62" t="n"/>
      <c r="BC267" s="62" t="n"/>
      <c r="BD267" s="62">
        <f>BC267-BB267</f>
        <v/>
      </c>
      <c r="BE267" s="64">
        <f>IF(BB267=0,"",BC267/BB267)</f>
        <v/>
      </c>
      <c r="BF267" s="31" t="n"/>
      <c r="BG267" s="60" t="n"/>
      <c r="BH267" s="60" t="n"/>
      <c r="BI267" s="60">
        <f>BH267-BG267</f>
        <v/>
      </c>
      <c r="BJ267" s="61">
        <f>IF(BG267=0,"",BH267/BG267)</f>
        <v/>
      </c>
      <c r="BK267" s="27" t="n"/>
      <c r="BL267" s="62" t="n"/>
      <c r="BM267" s="62" t="n"/>
      <c r="BN267" s="62">
        <f>BM267-BL267</f>
        <v/>
      </c>
      <c r="BO267" s="64">
        <f>IF(BL267=0,"",BM267/BL267)</f>
        <v/>
      </c>
      <c r="BP267" s="31" t="n"/>
      <c r="BQ267" s="60" t="n"/>
      <c r="BR267" s="60" t="n"/>
      <c r="BS267" s="60">
        <f>BR267-BQ267</f>
        <v/>
      </c>
      <c r="BT267" s="61">
        <f>IF(BQ267=0,"",BR267/BQ267)</f>
        <v/>
      </c>
      <c r="BU267" s="27" t="n"/>
      <c r="BV267" s="62" t="n"/>
      <c r="BW267" s="62" t="n"/>
      <c r="BX267" s="62">
        <f>BW267-BV267</f>
        <v/>
      </c>
      <c r="BY267" s="64">
        <f>IF(BV267=0,"",BW267/BV267)</f>
        <v/>
      </c>
      <c r="BZ267" s="31" t="n"/>
      <c r="CA267" s="60" t="n"/>
      <c r="CB267" s="60" t="n"/>
      <c r="CC267" s="60">
        <f>CB267-CA267</f>
        <v/>
      </c>
      <c r="CD267" s="61">
        <f>IF(CA267=0,"",CB267/CA267)</f>
        <v/>
      </c>
      <c r="CE267" s="27" t="n"/>
      <c r="CF267" s="62" t="n"/>
      <c r="CG267" s="62" t="n"/>
      <c r="CH267" s="62">
        <f>CG267-CF267</f>
        <v/>
      </c>
      <c r="CI267" s="64">
        <f>IF(CF267=0,"",CG267/CF267)</f>
        <v/>
      </c>
      <c r="CJ267" s="31" t="n"/>
      <c r="CK267" s="60" t="n"/>
      <c r="CL267" s="60" t="n"/>
      <c r="CM267" s="60">
        <f>CL267-CK267</f>
        <v/>
      </c>
      <c r="CN267" s="61">
        <f>IF(CK267=0,"",CL267/CK267)</f>
        <v/>
      </c>
      <c r="CO267" s="27" t="n"/>
      <c r="CP267" s="62" t="n"/>
      <c r="CQ267" s="62" t="n"/>
      <c r="CR267" s="62">
        <f>CQ267-CP267</f>
        <v/>
      </c>
      <c r="CS267" s="64">
        <f>IF(CP267=0,"",CQ267/CP267)</f>
        <v/>
      </c>
      <c r="CT267" s="31" t="n"/>
      <c r="CU267" s="60" t="n"/>
      <c r="CV267" s="60" t="n"/>
      <c r="CW267" s="60">
        <f>CV267-CU267</f>
        <v/>
      </c>
      <c r="CX267" s="61">
        <f>IF(CU267=0,"",CV267/CU267)</f>
        <v/>
      </c>
      <c r="CY267" s="27" t="n"/>
      <c r="CZ267" s="62" t="n"/>
      <c r="DA267" s="62" t="n"/>
      <c r="DB267" s="62">
        <f>DA267-CZ267</f>
        <v/>
      </c>
      <c r="DC267" s="64">
        <f>IF(CZ267=0,"",DA267/CZ267)</f>
        <v/>
      </c>
      <c r="DD267" s="31" t="n"/>
      <c r="DE267" s="60" t="n"/>
      <c r="DF267" s="60" t="n"/>
      <c r="DG267" s="60">
        <f>DF267-DE267</f>
        <v/>
      </c>
      <c r="DH267" s="61">
        <f>IF(DE267=0,"",DF267/DE267)</f>
        <v/>
      </c>
      <c r="DI267" s="27" t="n"/>
      <c r="DJ267" s="62" t="n"/>
      <c r="DK267" s="62" t="n"/>
      <c r="DL267" s="62">
        <f>DK267-DJ267</f>
        <v/>
      </c>
      <c r="DM267" s="64">
        <f>IF(DJ267=0,"",DK267/DJ267)</f>
        <v/>
      </c>
      <c r="DN267" s="31" t="n"/>
      <c r="DO267" s="60" t="n"/>
    </row>
    <row r="268" ht="15" customHeight="1">
      <c r="A268" s="19" t="n"/>
      <c r="B268" s="20" t="n"/>
      <c r="C268" s="19" t="n"/>
      <c r="D268" s="58">
        <f>D269</f>
        <v/>
      </c>
      <c r="E268" s="58">
        <f>E269</f>
        <v/>
      </c>
      <c r="F268" s="58">
        <f>E268-D268</f>
        <v/>
      </c>
      <c r="G268" s="59">
        <f>IF(D268=0,"",E268/D268)</f>
        <v/>
      </c>
      <c r="H268" s="23" t="n"/>
      <c r="I268" s="58">
        <f>I269</f>
        <v/>
      </c>
      <c r="J268" s="58">
        <f>J269</f>
        <v/>
      </c>
      <c r="K268" s="58">
        <f>J268-I268</f>
        <v/>
      </c>
      <c r="L268" s="59">
        <f>IF(I268=0,"",J268/I268)</f>
        <v/>
      </c>
      <c r="M268" s="23" t="n"/>
      <c r="N268" s="58">
        <f>N269</f>
        <v/>
      </c>
      <c r="O268" s="58">
        <f>O269</f>
        <v/>
      </c>
      <c r="P268" s="58">
        <f>O268-N268</f>
        <v/>
      </c>
      <c r="Q268" s="59">
        <f>IF(N268=0,"",O268/N268)</f>
        <v/>
      </c>
      <c r="R268" s="23" t="n"/>
      <c r="S268" s="58">
        <f>S269</f>
        <v/>
      </c>
      <c r="T268" s="58">
        <f>T269</f>
        <v/>
      </c>
      <c r="U268" s="58">
        <f>T268-S268</f>
        <v/>
      </c>
      <c r="V268" s="59">
        <f>IF(S268=0,"",T268/S268)</f>
        <v/>
      </c>
      <c r="W268" s="23" t="n"/>
      <c r="X268" s="58">
        <f>X269</f>
        <v/>
      </c>
      <c r="Y268" s="58">
        <f>Y269</f>
        <v/>
      </c>
      <c r="Z268" s="58">
        <f>Y268-X268</f>
        <v/>
      </c>
      <c r="AA268" s="59">
        <f>IF(X268=0,"",Y268/X268)</f>
        <v/>
      </c>
      <c r="AB268" s="23" t="n"/>
      <c r="AC268" s="58">
        <f>AC269</f>
        <v/>
      </c>
      <c r="AD268" s="58">
        <f>AD269</f>
        <v/>
      </c>
      <c r="AE268" s="58">
        <f>AD268-AC268</f>
        <v/>
      </c>
      <c r="AF268" s="59">
        <f>IF(AC268=0,"",AD268/AC268)</f>
        <v/>
      </c>
      <c r="AG268" s="23" t="n"/>
      <c r="AH268" s="58">
        <f>AH269</f>
        <v/>
      </c>
      <c r="AI268" s="58">
        <f>AI269</f>
        <v/>
      </c>
      <c r="AJ268" s="58">
        <f>AI268-AH268</f>
        <v/>
      </c>
      <c r="AK268" s="59">
        <f>IF(AH268=0,"",AI268/AH268)</f>
        <v/>
      </c>
      <c r="AL268" s="23" t="n"/>
      <c r="AM268" s="58">
        <f>AM269</f>
        <v/>
      </c>
      <c r="AN268" s="58">
        <f>AN269</f>
        <v/>
      </c>
      <c r="AO268" s="58">
        <f>AN268-AM268</f>
        <v/>
      </c>
      <c r="AP268" s="59">
        <f>IF(AM268=0,"",AN268/AM268)</f>
        <v/>
      </c>
      <c r="AQ268" s="23" t="n"/>
      <c r="AR268" s="58">
        <f>AR269</f>
        <v/>
      </c>
      <c r="AS268" s="58">
        <f>AS269</f>
        <v/>
      </c>
      <c r="AT268" s="58">
        <f>AS268-AR268</f>
        <v/>
      </c>
      <c r="AU268" s="59">
        <f>IF(AR268=0,"",AS268/AR268)</f>
        <v/>
      </c>
      <c r="AV268" s="23" t="n"/>
      <c r="AW268" s="58">
        <f>AW269</f>
        <v/>
      </c>
      <c r="AX268" s="58">
        <f>AX269</f>
        <v/>
      </c>
      <c r="AY268" s="58">
        <f>AX268-AW268</f>
        <v/>
      </c>
      <c r="AZ268" s="59">
        <f>IF(AW268=0,"",AX268/AW268)</f>
        <v/>
      </c>
      <c r="BA268" s="23" t="n"/>
      <c r="BB268" s="58">
        <f>BB269</f>
        <v/>
      </c>
      <c r="BC268" s="58">
        <f>BC269</f>
        <v/>
      </c>
      <c r="BD268" s="58">
        <f>BC268-BB268</f>
        <v/>
      </c>
      <c r="BE268" s="59">
        <f>IF(BB268=0,"",BC268/BB268)</f>
        <v/>
      </c>
      <c r="BF268" s="23" t="n"/>
      <c r="BG268" s="58">
        <f>BG269</f>
        <v/>
      </c>
      <c r="BH268" s="58">
        <f>BH269</f>
        <v/>
      </c>
      <c r="BI268" s="58">
        <f>BH268-BG268</f>
        <v/>
      </c>
      <c r="BJ268" s="59">
        <f>IF(BG268=0,"",BH268/BG268)</f>
        <v/>
      </c>
      <c r="BK268" s="23" t="n"/>
      <c r="BL268" s="58">
        <f>BL269</f>
        <v/>
      </c>
      <c r="BM268" s="58">
        <f>BM269</f>
        <v/>
      </c>
      <c r="BN268" s="58">
        <f>BM268-BL268</f>
        <v/>
      </c>
      <c r="BO268" s="59">
        <f>IF(BL268=0,"",BM268/BL268)</f>
        <v/>
      </c>
      <c r="BP268" s="23" t="n"/>
      <c r="BQ268" s="58">
        <f>BQ269</f>
        <v/>
      </c>
      <c r="BR268" s="58">
        <f>BR269</f>
        <v/>
      </c>
      <c r="BS268" s="58">
        <f>BR268-BQ268</f>
        <v/>
      </c>
      <c r="BT268" s="59">
        <f>IF(BQ268=0,"",BR268/BQ268)</f>
        <v/>
      </c>
      <c r="BU268" s="23" t="n"/>
      <c r="BV268" s="58">
        <f>BV269</f>
        <v/>
      </c>
      <c r="BW268" s="58">
        <f>BW269</f>
        <v/>
      </c>
      <c r="BX268" s="58">
        <f>BW268-BV268</f>
        <v/>
      </c>
      <c r="BY268" s="59">
        <f>IF(BV268=0,"",BW268/BV268)</f>
        <v/>
      </c>
      <c r="BZ268" s="23" t="n"/>
      <c r="CA268" s="58">
        <f>CA269</f>
        <v/>
      </c>
      <c r="CB268" s="58">
        <f>CB269</f>
        <v/>
      </c>
      <c r="CC268" s="58">
        <f>CB268-CA268</f>
        <v/>
      </c>
      <c r="CD268" s="59">
        <f>IF(CA268=0,"",CB268/CA268)</f>
        <v/>
      </c>
      <c r="CE268" s="23" t="n"/>
      <c r="CF268" s="58">
        <f>CF269</f>
        <v/>
      </c>
      <c r="CG268" s="58">
        <f>CG269</f>
        <v/>
      </c>
      <c r="CH268" s="58">
        <f>CG268-CF268</f>
        <v/>
      </c>
      <c r="CI268" s="59">
        <f>IF(CF268=0,"",CG268/CF268)</f>
        <v/>
      </c>
      <c r="CJ268" s="23" t="n"/>
      <c r="CK268" s="58">
        <f>CK269</f>
        <v/>
      </c>
      <c r="CL268" s="58">
        <f>CL269</f>
        <v/>
      </c>
      <c r="CM268" s="58">
        <f>CL268-CK268</f>
        <v/>
      </c>
      <c r="CN268" s="59">
        <f>IF(CK268=0,"",CL268/CK268)</f>
        <v/>
      </c>
      <c r="CO268" s="23" t="n"/>
      <c r="CP268" s="58">
        <f>CP269</f>
        <v/>
      </c>
      <c r="CQ268" s="58">
        <f>CQ269</f>
        <v/>
      </c>
      <c r="CR268" s="58">
        <f>CQ268-CP268</f>
        <v/>
      </c>
      <c r="CS268" s="59">
        <f>IF(CP268=0,"",CQ268/CP268)</f>
        <v/>
      </c>
      <c r="CT268" s="23" t="n"/>
      <c r="CU268" s="58">
        <f>CU269</f>
        <v/>
      </c>
      <c r="CV268" s="58">
        <f>CV269</f>
        <v/>
      </c>
      <c r="CW268" s="58">
        <f>CV268-CU268</f>
        <v/>
      </c>
      <c r="CX268" s="59">
        <f>IF(CU268=0,"",CV268/CU268)</f>
        <v/>
      </c>
      <c r="CY268" s="23" t="n"/>
      <c r="CZ268" s="58">
        <f>CZ269</f>
        <v/>
      </c>
      <c r="DA268" s="58">
        <f>DA269</f>
        <v/>
      </c>
      <c r="DB268" s="58">
        <f>DA268-CZ268</f>
        <v/>
      </c>
      <c r="DC268" s="59">
        <f>IF(CZ268=0,"",DA268/CZ268)</f>
        <v/>
      </c>
      <c r="DD268" s="23" t="n"/>
      <c r="DE268" s="58">
        <f>DE269</f>
        <v/>
      </c>
      <c r="DF268" s="58">
        <f>DF269</f>
        <v/>
      </c>
      <c r="DG268" s="58">
        <f>DF268-DE268</f>
        <v/>
      </c>
      <c r="DH268" s="59">
        <f>IF(DE268=0,"",DF268/DE268)</f>
        <v/>
      </c>
      <c r="DI268" s="23" t="n"/>
      <c r="DJ268" s="58">
        <f>DJ269</f>
        <v/>
      </c>
      <c r="DK268" s="58">
        <f>DK269</f>
        <v/>
      </c>
      <c r="DL268" s="58">
        <f>DK268-DJ268</f>
        <v/>
      </c>
      <c r="DM268" s="59">
        <f>IF(DJ268=0,"",DK268/DJ268)</f>
        <v/>
      </c>
      <c r="DN268" s="23" t="n"/>
      <c r="DO268" s="58">
        <f>DO269</f>
        <v/>
      </c>
    </row>
    <row r="269" outlineLevel="1" ht="15" customHeight="1">
      <c r="A269" s="24" t="n"/>
      <c r="B269" s="24" t="n"/>
      <c r="C269" s="24" t="n"/>
      <c r="D269" s="60" t="n"/>
      <c r="E269" s="60" t="n"/>
      <c r="F269" s="60">
        <f>E269-D269</f>
        <v/>
      </c>
      <c r="G269" s="61">
        <f>IF(D269=0,"",E269/D269)</f>
        <v/>
      </c>
      <c r="H269" s="27" t="n"/>
      <c r="I269" s="60" t="n"/>
      <c r="J269" s="60" t="n"/>
      <c r="K269" s="60">
        <f>J269-I269</f>
        <v/>
      </c>
      <c r="L269" s="61">
        <f>IF(I269=0,"",J269/I269)</f>
        <v/>
      </c>
      <c r="M269" s="27" t="n"/>
      <c r="N269" s="62" t="n"/>
      <c r="O269" s="62" t="n"/>
      <c r="P269" s="62">
        <f>O269-N269</f>
        <v/>
      </c>
      <c r="Q269" s="64">
        <f>IF(N269=0,"",O269/N269)</f>
        <v/>
      </c>
      <c r="R269" s="31" t="n"/>
      <c r="S269" s="60" t="n"/>
      <c r="T269" s="60" t="n"/>
      <c r="U269" s="60">
        <f>T269-S269</f>
        <v/>
      </c>
      <c r="V269" s="61">
        <f>IF(S269=0,"",T269/S269)</f>
        <v/>
      </c>
      <c r="W269" s="27" t="n"/>
      <c r="X269" s="62" t="n"/>
      <c r="Y269" s="62" t="n"/>
      <c r="Z269" s="62">
        <f>Y269-X269</f>
        <v/>
      </c>
      <c r="AA269" s="64">
        <f>IF(X269=0,"",Y269/X269)</f>
        <v/>
      </c>
      <c r="AB269" s="31" t="n"/>
      <c r="AC269" s="60" t="n"/>
      <c r="AD269" s="60" t="n"/>
      <c r="AE269" s="60">
        <f>AD269-AC269</f>
        <v/>
      </c>
      <c r="AF269" s="61">
        <f>IF(AC269=0,"",AD269/AC269)</f>
        <v/>
      </c>
      <c r="AG269" s="27" t="n"/>
      <c r="AH269" s="62" t="n"/>
      <c r="AI269" s="62" t="n"/>
      <c r="AJ269" s="62">
        <f>AI269-AH269</f>
        <v/>
      </c>
      <c r="AK269" s="64">
        <f>IF(AH269=0,"",AI269/AH269)</f>
        <v/>
      </c>
      <c r="AL269" s="31" t="n"/>
      <c r="AM269" s="60" t="n"/>
      <c r="AN269" s="60" t="n"/>
      <c r="AO269" s="60">
        <f>AN269-AM269</f>
        <v/>
      </c>
      <c r="AP269" s="61">
        <f>IF(AM269=0,"",AN269/AM269)</f>
        <v/>
      </c>
      <c r="AQ269" s="27" t="n"/>
      <c r="AR269" s="62" t="n"/>
      <c r="AS269" s="62" t="n"/>
      <c r="AT269" s="62">
        <f>AS269-AR269</f>
        <v/>
      </c>
      <c r="AU269" s="64">
        <f>IF(AR269=0,"",AS269/AR269)</f>
        <v/>
      </c>
      <c r="AV269" s="31" t="n"/>
      <c r="AW269" s="60" t="n"/>
      <c r="AX269" s="60" t="n"/>
      <c r="AY269" s="60">
        <f>AX269-AW269</f>
        <v/>
      </c>
      <c r="AZ269" s="61">
        <f>IF(AW269=0,"",AX269/AW269)</f>
        <v/>
      </c>
      <c r="BA269" s="27" t="n"/>
      <c r="BB269" s="62" t="n"/>
      <c r="BC269" s="62" t="n"/>
      <c r="BD269" s="62">
        <f>BC269-BB269</f>
        <v/>
      </c>
      <c r="BE269" s="64">
        <f>IF(BB269=0,"",BC269/BB269)</f>
        <v/>
      </c>
      <c r="BF269" s="31" t="n"/>
      <c r="BG269" s="60" t="n"/>
      <c r="BH269" s="60" t="n"/>
      <c r="BI269" s="60">
        <f>BH269-BG269</f>
        <v/>
      </c>
      <c r="BJ269" s="61">
        <f>IF(BG269=0,"",BH269/BG269)</f>
        <v/>
      </c>
      <c r="BK269" s="27" t="n"/>
      <c r="BL269" s="62" t="n"/>
      <c r="BM269" s="62" t="n"/>
      <c r="BN269" s="62">
        <f>BM269-BL269</f>
        <v/>
      </c>
      <c r="BO269" s="64">
        <f>IF(BL269=0,"",BM269/BL269)</f>
        <v/>
      </c>
      <c r="BP269" s="31" t="n"/>
      <c r="BQ269" s="60" t="n"/>
      <c r="BR269" s="60" t="n"/>
      <c r="BS269" s="60">
        <f>BR269-BQ269</f>
        <v/>
      </c>
      <c r="BT269" s="61">
        <f>IF(BQ269=0,"",BR269/BQ269)</f>
        <v/>
      </c>
      <c r="BU269" s="27" t="n"/>
      <c r="BV269" s="62" t="n"/>
      <c r="BW269" s="62" t="n"/>
      <c r="BX269" s="62">
        <f>BW269-BV269</f>
        <v/>
      </c>
      <c r="BY269" s="64">
        <f>IF(BV269=0,"",BW269/BV269)</f>
        <v/>
      </c>
      <c r="BZ269" s="31" t="n"/>
      <c r="CA269" s="60" t="n"/>
      <c r="CB269" s="60" t="n"/>
      <c r="CC269" s="60">
        <f>CB269-CA269</f>
        <v/>
      </c>
      <c r="CD269" s="61">
        <f>IF(CA269=0,"",CB269/CA269)</f>
        <v/>
      </c>
      <c r="CE269" s="27" t="n"/>
      <c r="CF269" s="62" t="n"/>
      <c r="CG269" s="62" t="n"/>
      <c r="CH269" s="62">
        <f>CG269-CF269</f>
        <v/>
      </c>
      <c r="CI269" s="64">
        <f>IF(CF269=0,"",CG269/CF269)</f>
        <v/>
      </c>
      <c r="CJ269" s="31" t="n"/>
      <c r="CK269" s="60" t="n"/>
      <c r="CL269" s="60" t="n"/>
      <c r="CM269" s="60">
        <f>CL269-CK269</f>
        <v/>
      </c>
      <c r="CN269" s="61">
        <f>IF(CK269=0,"",CL269/CK269)</f>
        <v/>
      </c>
      <c r="CO269" s="27" t="n"/>
      <c r="CP269" s="62" t="n"/>
      <c r="CQ269" s="62" t="n"/>
      <c r="CR269" s="62">
        <f>CQ269-CP269</f>
        <v/>
      </c>
      <c r="CS269" s="64">
        <f>IF(CP269=0,"",CQ269/CP269)</f>
        <v/>
      </c>
      <c r="CT269" s="31" t="n"/>
      <c r="CU269" s="60" t="n"/>
      <c r="CV269" s="60" t="n"/>
      <c r="CW269" s="60">
        <f>CV269-CU269</f>
        <v/>
      </c>
      <c r="CX269" s="61">
        <f>IF(CU269=0,"",CV269/CU269)</f>
        <v/>
      </c>
      <c r="CY269" s="27" t="n"/>
      <c r="CZ269" s="62" t="n"/>
      <c r="DA269" s="62" t="n"/>
      <c r="DB269" s="62">
        <f>DA269-CZ269</f>
        <v/>
      </c>
      <c r="DC269" s="64">
        <f>IF(CZ269=0,"",DA269/CZ269)</f>
        <v/>
      </c>
      <c r="DD269" s="31" t="n"/>
      <c r="DE269" s="60" t="n"/>
      <c r="DF269" s="60" t="n"/>
      <c r="DG269" s="60">
        <f>DF269-DE269</f>
        <v/>
      </c>
      <c r="DH269" s="61">
        <f>IF(DE269=0,"",DF269/DE269)</f>
        <v/>
      </c>
      <c r="DI269" s="27" t="n"/>
      <c r="DJ269" s="62" t="n"/>
      <c r="DK269" s="62" t="n"/>
      <c r="DL269" s="62">
        <f>DK269-DJ269</f>
        <v/>
      </c>
      <c r="DM269" s="64">
        <f>IF(DJ269=0,"",DK269/DJ269)</f>
        <v/>
      </c>
      <c r="DN269" s="31" t="n"/>
      <c r="DO269" s="60" t="n"/>
    </row>
    <row r="270" ht="15" customHeight="1">
      <c r="A270" s="19" t="n"/>
      <c r="B270" s="20" t="n"/>
      <c r="C270" s="19" t="n"/>
      <c r="D270" s="58">
        <f>D271</f>
        <v/>
      </c>
      <c r="E270" s="58">
        <f>E271</f>
        <v/>
      </c>
      <c r="F270" s="58">
        <f>E270-D270</f>
        <v/>
      </c>
      <c r="G270" s="59">
        <f>IF(D270=0,"",E270/D270)</f>
        <v/>
      </c>
      <c r="H270" s="23" t="n"/>
      <c r="I270" s="58">
        <f>I271</f>
        <v/>
      </c>
      <c r="J270" s="58">
        <f>J271</f>
        <v/>
      </c>
      <c r="K270" s="58">
        <f>J270-I270</f>
        <v/>
      </c>
      <c r="L270" s="59">
        <f>IF(I270=0,"",J270/I270)</f>
        <v/>
      </c>
      <c r="M270" s="23" t="n"/>
      <c r="N270" s="58">
        <f>N271</f>
        <v/>
      </c>
      <c r="O270" s="58">
        <f>O271</f>
        <v/>
      </c>
      <c r="P270" s="58">
        <f>O270-N270</f>
        <v/>
      </c>
      <c r="Q270" s="59">
        <f>IF(N270=0,"",O270/N270)</f>
        <v/>
      </c>
      <c r="R270" s="23" t="n"/>
      <c r="S270" s="58">
        <f>S271</f>
        <v/>
      </c>
      <c r="T270" s="58">
        <f>T271</f>
        <v/>
      </c>
      <c r="U270" s="58">
        <f>T270-S270</f>
        <v/>
      </c>
      <c r="V270" s="59">
        <f>IF(S270=0,"",T270/S270)</f>
        <v/>
      </c>
      <c r="W270" s="23" t="n"/>
      <c r="X270" s="58">
        <f>X271</f>
        <v/>
      </c>
      <c r="Y270" s="58">
        <f>Y271</f>
        <v/>
      </c>
      <c r="Z270" s="58">
        <f>Y270-X270</f>
        <v/>
      </c>
      <c r="AA270" s="59">
        <f>IF(X270=0,"",Y270/X270)</f>
        <v/>
      </c>
      <c r="AB270" s="23" t="n"/>
      <c r="AC270" s="58">
        <f>AC271</f>
        <v/>
      </c>
      <c r="AD270" s="58">
        <f>AD271</f>
        <v/>
      </c>
      <c r="AE270" s="58">
        <f>AD270-AC270</f>
        <v/>
      </c>
      <c r="AF270" s="59">
        <f>IF(AC270=0,"",AD270/AC270)</f>
        <v/>
      </c>
      <c r="AG270" s="23" t="n"/>
      <c r="AH270" s="58">
        <f>AH271</f>
        <v/>
      </c>
      <c r="AI270" s="58">
        <f>AI271</f>
        <v/>
      </c>
      <c r="AJ270" s="58">
        <f>AI270-AH270</f>
        <v/>
      </c>
      <c r="AK270" s="59">
        <f>IF(AH270=0,"",AI270/AH270)</f>
        <v/>
      </c>
      <c r="AL270" s="23" t="n"/>
      <c r="AM270" s="58">
        <f>AM271</f>
        <v/>
      </c>
      <c r="AN270" s="58">
        <f>AN271</f>
        <v/>
      </c>
      <c r="AO270" s="58">
        <f>AN270-AM270</f>
        <v/>
      </c>
      <c r="AP270" s="59">
        <f>IF(AM270=0,"",AN270/AM270)</f>
        <v/>
      </c>
      <c r="AQ270" s="23" t="n"/>
      <c r="AR270" s="58">
        <f>AR271</f>
        <v/>
      </c>
      <c r="AS270" s="58">
        <f>AS271</f>
        <v/>
      </c>
      <c r="AT270" s="58">
        <f>AS270-AR270</f>
        <v/>
      </c>
      <c r="AU270" s="59">
        <f>IF(AR270=0,"",AS270/AR270)</f>
        <v/>
      </c>
      <c r="AV270" s="23" t="n"/>
      <c r="AW270" s="58">
        <f>AW271</f>
        <v/>
      </c>
      <c r="AX270" s="58">
        <f>AX271</f>
        <v/>
      </c>
      <c r="AY270" s="58">
        <f>AX270-AW270</f>
        <v/>
      </c>
      <c r="AZ270" s="59">
        <f>IF(AW270=0,"",AX270/AW270)</f>
        <v/>
      </c>
      <c r="BA270" s="23" t="n"/>
      <c r="BB270" s="58">
        <f>BB271</f>
        <v/>
      </c>
      <c r="BC270" s="58">
        <f>BC271</f>
        <v/>
      </c>
      <c r="BD270" s="58">
        <f>BC270-BB270</f>
        <v/>
      </c>
      <c r="BE270" s="59">
        <f>IF(BB270=0,"",BC270/BB270)</f>
        <v/>
      </c>
      <c r="BF270" s="23" t="n"/>
      <c r="BG270" s="58">
        <f>BG271</f>
        <v/>
      </c>
      <c r="BH270" s="58">
        <f>BH271</f>
        <v/>
      </c>
      <c r="BI270" s="58">
        <f>BH270-BG270</f>
        <v/>
      </c>
      <c r="BJ270" s="59">
        <f>IF(BG270=0,"",BH270/BG270)</f>
        <v/>
      </c>
      <c r="BK270" s="23" t="n"/>
      <c r="BL270" s="58">
        <f>BL271</f>
        <v/>
      </c>
      <c r="BM270" s="58">
        <f>BM271</f>
        <v/>
      </c>
      <c r="BN270" s="58">
        <f>BM270-BL270</f>
        <v/>
      </c>
      <c r="BO270" s="59">
        <f>IF(BL270=0,"",BM270/BL270)</f>
        <v/>
      </c>
      <c r="BP270" s="23" t="n"/>
      <c r="BQ270" s="58">
        <f>BQ271</f>
        <v/>
      </c>
      <c r="BR270" s="58">
        <f>BR271</f>
        <v/>
      </c>
      <c r="BS270" s="58">
        <f>BR270-BQ270</f>
        <v/>
      </c>
      <c r="BT270" s="59">
        <f>IF(BQ270=0,"",BR270/BQ270)</f>
        <v/>
      </c>
      <c r="BU270" s="23" t="n"/>
      <c r="BV270" s="58">
        <f>BV271</f>
        <v/>
      </c>
      <c r="BW270" s="58">
        <f>BW271</f>
        <v/>
      </c>
      <c r="BX270" s="58">
        <f>BW270-BV270</f>
        <v/>
      </c>
      <c r="BY270" s="59">
        <f>IF(BV270=0,"",BW270/BV270)</f>
        <v/>
      </c>
      <c r="BZ270" s="23" t="n"/>
      <c r="CA270" s="58">
        <f>CA271</f>
        <v/>
      </c>
      <c r="CB270" s="58">
        <f>CB271</f>
        <v/>
      </c>
      <c r="CC270" s="58">
        <f>CB270-CA270</f>
        <v/>
      </c>
      <c r="CD270" s="59">
        <f>IF(CA270=0,"",CB270/CA270)</f>
        <v/>
      </c>
      <c r="CE270" s="23" t="n"/>
      <c r="CF270" s="58">
        <f>CF271</f>
        <v/>
      </c>
      <c r="CG270" s="58">
        <f>CG271</f>
        <v/>
      </c>
      <c r="CH270" s="58">
        <f>CG270-CF270</f>
        <v/>
      </c>
      <c r="CI270" s="59">
        <f>IF(CF270=0,"",CG270/CF270)</f>
        <v/>
      </c>
      <c r="CJ270" s="23" t="n"/>
      <c r="CK270" s="58">
        <f>CK271</f>
        <v/>
      </c>
      <c r="CL270" s="58">
        <f>CL271</f>
        <v/>
      </c>
      <c r="CM270" s="58">
        <f>CL270-CK270</f>
        <v/>
      </c>
      <c r="CN270" s="59">
        <f>IF(CK270=0,"",CL270/CK270)</f>
        <v/>
      </c>
      <c r="CO270" s="23" t="n"/>
      <c r="CP270" s="58">
        <f>CP271</f>
        <v/>
      </c>
      <c r="CQ270" s="58">
        <f>CQ271</f>
        <v/>
      </c>
      <c r="CR270" s="58">
        <f>CQ270-CP270</f>
        <v/>
      </c>
      <c r="CS270" s="59">
        <f>IF(CP270=0,"",CQ270/CP270)</f>
        <v/>
      </c>
      <c r="CT270" s="23" t="n"/>
      <c r="CU270" s="58">
        <f>CU271</f>
        <v/>
      </c>
      <c r="CV270" s="58">
        <f>CV271</f>
        <v/>
      </c>
      <c r="CW270" s="58">
        <f>CV270-CU270</f>
        <v/>
      </c>
      <c r="CX270" s="59">
        <f>IF(CU270=0,"",CV270/CU270)</f>
        <v/>
      </c>
      <c r="CY270" s="23" t="n"/>
      <c r="CZ270" s="58">
        <f>CZ271</f>
        <v/>
      </c>
      <c r="DA270" s="58">
        <f>DA271</f>
        <v/>
      </c>
      <c r="DB270" s="58">
        <f>DA270-CZ270</f>
        <v/>
      </c>
      <c r="DC270" s="59">
        <f>IF(CZ270=0,"",DA270/CZ270)</f>
        <v/>
      </c>
      <c r="DD270" s="23" t="n"/>
      <c r="DE270" s="58">
        <f>DE271</f>
        <v/>
      </c>
      <c r="DF270" s="58">
        <f>DF271</f>
        <v/>
      </c>
      <c r="DG270" s="58">
        <f>DF270-DE270</f>
        <v/>
      </c>
      <c r="DH270" s="59">
        <f>IF(DE270=0,"",DF270/DE270)</f>
        <v/>
      </c>
      <c r="DI270" s="23" t="n"/>
      <c r="DJ270" s="58">
        <f>DJ271</f>
        <v/>
      </c>
      <c r="DK270" s="58">
        <f>DK271</f>
        <v/>
      </c>
      <c r="DL270" s="58">
        <f>DK270-DJ270</f>
        <v/>
      </c>
      <c r="DM270" s="59">
        <f>IF(DJ270=0,"",DK270/DJ270)</f>
        <v/>
      </c>
      <c r="DN270" s="23" t="n"/>
      <c r="DO270" s="58">
        <f>DO271</f>
        <v/>
      </c>
    </row>
    <row r="271" outlineLevel="1" ht="15" customHeight="1">
      <c r="A271" s="24" t="n"/>
      <c r="B271" s="24" t="n"/>
      <c r="C271" s="24" t="n"/>
      <c r="D271" s="60" t="n"/>
      <c r="E271" s="60" t="n"/>
      <c r="F271" s="60">
        <f>E271-D271</f>
        <v/>
      </c>
      <c r="G271" s="61">
        <f>IF(D271=0,"",E271/D271)</f>
        <v/>
      </c>
      <c r="H271" s="27" t="n"/>
      <c r="I271" s="60" t="n"/>
      <c r="J271" s="60" t="n"/>
      <c r="K271" s="60">
        <f>J271-I271</f>
        <v/>
      </c>
      <c r="L271" s="61">
        <f>IF(I271=0,"",J271/I271)</f>
        <v/>
      </c>
      <c r="M271" s="27" t="n"/>
      <c r="N271" s="62" t="n"/>
      <c r="O271" s="62" t="n"/>
      <c r="P271" s="63">
        <f>O271-N271</f>
        <v/>
      </c>
      <c r="Q271" s="64">
        <f>IF(N271=0,"",O271/N271)</f>
        <v/>
      </c>
      <c r="R271" s="31" t="n"/>
      <c r="S271" s="60" t="n"/>
      <c r="T271" s="60" t="n"/>
      <c r="U271" s="60">
        <f>T271-S271</f>
        <v/>
      </c>
      <c r="V271" s="61">
        <f>IF(S271=0,"",T271/S271)</f>
        <v/>
      </c>
      <c r="W271" s="27" t="n"/>
      <c r="X271" s="62" t="n"/>
      <c r="Y271" s="62" t="n"/>
      <c r="Z271" s="63">
        <f>Y271-X271</f>
        <v/>
      </c>
      <c r="AA271" s="64">
        <f>IF(X271=0,"",Y271/X271)</f>
        <v/>
      </c>
      <c r="AB271" s="31" t="n"/>
      <c r="AC271" s="60" t="n"/>
      <c r="AD271" s="60" t="n"/>
      <c r="AE271" s="60">
        <f>AD271-AC271</f>
        <v/>
      </c>
      <c r="AF271" s="61">
        <f>IF(AC271=0,"",AD271/AC271)</f>
        <v/>
      </c>
      <c r="AG271" s="27" t="n"/>
      <c r="AH271" s="62" t="n"/>
      <c r="AI271" s="62" t="n"/>
      <c r="AJ271" s="62">
        <f>AI271-AH271</f>
        <v/>
      </c>
      <c r="AK271" s="64">
        <f>IF(AH271=0,"",AI271/AH271)</f>
        <v/>
      </c>
      <c r="AL271" s="31" t="n"/>
      <c r="AM271" s="60" t="n"/>
      <c r="AN271" s="60" t="n"/>
      <c r="AO271" s="60">
        <f>AN271-AM271</f>
        <v/>
      </c>
      <c r="AP271" s="61">
        <f>IF(AM271=0,"",AN271/AM271)</f>
        <v/>
      </c>
      <c r="AQ271" s="27" t="n"/>
      <c r="AR271" s="62" t="n"/>
      <c r="AS271" s="62" t="n"/>
      <c r="AT271" s="62">
        <f>AS271-AR271</f>
        <v/>
      </c>
      <c r="AU271" s="64">
        <f>IF(AR271=0,"",AS271/AR271)</f>
        <v/>
      </c>
      <c r="AV271" s="31" t="n"/>
      <c r="AW271" s="60" t="n"/>
      <c r="AX271" s="60" t="n"/>
      <c r="AY271" s="60">
        <f>AX271-AW271</f>
        <v/>
      </c>
      <c r="AZ271" s="61">
        <f>IF(AW271=0,"",AX271/AW271)</f>
        <v/>
      </c>
      <c r="BA271" s="27" t="n"/>
      <c r="BB271" s="62" t="n"/>
      <c r="BC271" s="62" t="n"/>
      <c r="BD271" s="62">
        <f>BC271-BB271</f>
        <v/>
      </c>
      <c r="BE271" s="64">
        <f>IF(BB271=0,"",BC271/BB271)</f>
        <v/>
      </c>
      <c r="BF271" s="31" t="n"/>
      <c r="BG271" s="60" t="n"/>
      <c r="BH271" s="60" t="n"/>
      <c r="BI271" s="60">
        <f>BH271-BG271</f>
        <v/>
      </c>
      <c r="BJ271" s="61">
        <f>IF(BG271=0,"",BH271/BG271)</f>
        <v/>
      </c>
      <c r="BK271" s="27" t="n"/>
      <c r="BL271" s="62" t="n"/>
      <c r="BM271" s="62" t="n"/>
      <c r="BN271" s="62">
        <f>BM271-BL271</f>
        <v/>
      </c>
      <c r="BO271" s="64">
        <f>IF(BL271=0,"",BM271/BL271)</f>
        <v/>
      </c>
      <c r="BP271" s="31" t="n"/>
      <c r="BQ271" s="60" t="n"/>
      <c r="BR271" s="60" t="n"/>
      <c r="BS271" s="60">
        <f>BR271-BQ271</f>
        <v/>
      </c>
      <c r="BT271" s="61">
        <f>IF(BQ271=0,"",BR271/BQ271)</f>
        <v/>
      </c>
      <c r="BU271" s="27" t="n"/>
      <c r="BV271" s="62" t="n"/>
      <c r="BW271" s="62" t="n"/>
      <c r="BX271" s="62">
        <f>BW271-BV271</f>
        <v/>
      </c>
      <c r="BY271" s="64">
        <f>IF(BV271=0,"",BW271/BV271)</f>
        <v/>
      </c>
      <c r="BZ271" s="31" t="n"/>
      <c r="CA271" s="60" t="n"/>
      <c r="CB271" s="60" t="n"/>
      <c r="CC271" s="60">
        <f>CB271-CA271</f>
        <v/>
      </c>
      <c r="CD271" s="61">
        <f>IF(CA271=0,"",CB271/CA271)</f>
        <v/>
      </c>
      <c r="CE271" s="27" t="n"/>
      <c r="CF271" s="62" t="n"/>
      <c r="CG271" s="62" t="n"/>
      <c r="CH271" s="62">
        <f>CG271-CF271</f>
        <v/>
      </c>
      <c r="CI271" s="64">
        <f>IF(CF271=0,"",CG271/CF271)</f>
        <v/>
      </c>
      <c r="CJ271" s="31" t="n"/>
      <c r="CK271" s="60" t="n"/>
      <c r="CL271" s="60" t="n"/>
      <c r="CM271" s="60">
        <f>CL271-CK271</f>
        <v/>
      </c>
      <c r="CN271" s="61">
        <f>IF(CK271=0,"",CL271/CK271)</f>
        <v/>
      </c>
      <c r="CO271" s="27" t="n"/>
      <c r="CP271" s="62" t="n"/>
      <c r="CQ271" s="62" t="n"/>
      <c r="CR271" s="62">
        <f>CQ271-CP271</f>
        <v/>
      </c>
      <c r="CS271" s="64">
        <f>IF(CP271=0,"",CQ271/CP271)</f>
        <v/>
      </c>
      <c r="CT271" s="31" t="n"/>
      <c r="CU271" s="60" t="n"/>
      <c r="CV271" s="60" t="n"/>
      <c r="CW271" s="60">
        <f>CV271-CU271</f>
        <v/>
      </c>
      <c r="CX271" s="61">
        <f>IF(CU271=0,"",CV271/CU271)</f>
        <v/>
      </c>
      <c r="CY271" s="27" t="n"/>
      <c r="CZ271" s="62" t="n"/>
      <c r="DA271" s="62" t="n"/>
      <c r="DB271" s="62">
        <f>DA271-CZ271</f>
        <v/>
      </c>
      <c r="DC271" s="64">
        <f>IF(CZ271=0,"",DA271/CZ271)</f>
        <v/>
      </c>
      <c r="DD271" s="31" t="n"/>
      <c r="DE271" s="60" t="n"/>
      <c r="DF271" s="60" t="n"/>
      <c r="DG271" s="60">
        <f>DF271-DE271</f>
        <v/>
      </c>
      <c r="DH271" s="61">
        <f>IF(DE271=0,"",DF271/DE271)</f>
        <v/>
      </c>
      <c r="DI271" s="27" t="n"/>
      <c r="DJ271" s="62" t="n"/>
      <c r="DK271" s="62" t="n"/>
      <c r="DL271" s="62">
        <f>DK271-DJ271</f>
        <v/>
      </c>
      <c r="DM271" s="64">
        <f>IF(DJ271=0,"",DK271/DJ271)</f>
        <v/>
      </c>
      <c r="DN271" s="31" t="n"/>
      <c r="DO271" s="60" t="n"/>
    </row>
    <row r="272" ht="15" customHeight="1">
      <c r="A272" s="19" t="n"/>
      <c r="B272" s="20" t="n"/>
      <c r="C272" s="19" t="n"/>
      <c r="D272" s="58">
        <f>D273+D274+D275+D276+D277+D278+D279+D280+D281+D282+D283</f>
        <v/>
      </c>
      <c r="E272" s="58">
        <f>E273+E274+E275+E276+E277+E278+E279+E280+E281+E282+E283</f>
        <v/>
      </c>
      <c r="F272" s="58">
        <f>E272-D272</f>
        <v/>
      </c>
      <c r="G272" s="59">
        <f>IF(D272=0,"",E272/D272)</f>
        <v/>
      </c>
      <c r="H272" s="23" t="n"/>
      <c r="I272" s="58">
        <f>I273+I274+I275+I276+I277+I278+I279+I280+I281+I282+I283</f>
        <v/>
      </c>
      <c r="J272" s="58">
        <f>J273+J274+J275+J276+J277+J278+J279+J280+J281+J282+J283</f>
        <v/>
      </c>
      <c r="K272" s="58">
        <f>J272-I272</f>
        <v/>
      </c>
      <c r="L272" s="59">
        <f>IF(I272=0,"",J272/I272)</f>
        <v/>
      </c>
      <c r="M272" s="23" t="n"/>
      <c r="N272" s="58">
        <f>N273+N274+N275+N276+N277+N278+N279+N280+N281+N282+N283</f>
        <v/>
      </c>
      <c r="O272" s="58">
        <f>O273+O274+O275+O276+O277+O278+O279+O280+O281+O282+O283</f>
        <v/>
      </c>
      <c r="P272" s="58">
        <f>O272-N272</f>
        <v/>
      </c>
      <c r="Q272" s="59">
        <f>IF(N272=0,"",O272/N272)</f>
        <v/>
      </c>
      <c r="R272" s="23" t="n"/>
      <c r="S272" s="58">
        <f>S273+S274+S275+S276+S277+S278+S279+S280+S281+S282+S283</f>
        <v/>
      </c>
      <c r="T272" s="58">
        <f>T273+T274+T275+T276+T277+T278+T279+T280+T281+T282+T283</f>
        <v/>
      </c>
      <c r="U272" s="58">
        <f>T272-S272</f>
        <v/>
      </c>
      <c r="V272" s="59">
        <f>IF(S272=0,"",T272/S272)</f>
        <v/>
      </c>
      <c r="W272" s="23" t="n"/>
      <c r="X272" s="58">
        <f>X273+X274+X275+X276+X277+X278+X279+X280+X281+X282+X283</f>
        <v/>
      </c>
      <c r="Y272" s="58">
        <f>Y273+Y274+Y275+Y276+Y277+Y278+Y279+Y280+Y281+Y282+Y283</f>
        <v/>
      </c>
      <c r="Z272" s="58">
        <f>Y272-X272</f>
        <v/>
      </c>
      <c r="AA272" s="59">
        <f>IF(X272=0,"",Y272/X272)</f>
        <v/>
      </c>
      <c r="AB272" s="23" t="n"/>
      <c r="AC272" s="58">
        <f>AC273+AC274+AC275+AC276+AC277+AC278+AC279+AC280+AC281+AC282+AC283</f>
        <v/>
      </c>
      <c r="AD272" s="58">
        <f>AD273+AD274+AD275+AD276+AD277+AD278+AD279+AD280+AD281+AD282+AD283</f>
        <v/>
      </c>
      <c r="AE272" s="58">
        <f>AD272-AC272</f>
        <v/>
      </c>
      <c r="AF272" s="59">
        <f>IF(AC272=0,"",AD272/AC272)</f>
        <v/>
      </c>
      <c r="AG272" s="23" t="n"/>
      <c r="AH272" s="58">
        <f>AH273+AH274+AH275+AH276+AH277+AH278+AH279+AH280+AH281+AH282+AH283</f>
        <v/>
      </c>
      <c r="AI272" s="58">
        <f>AI273+AI274+AI275+AI276+AI277+AI278+AI279+AI280+AI281+AI282+AI283</f>
        <v/>
      </c>
      <c r="AJ272" s="58">
        <f>AI272-AH272</f>
        <v/>
      </c>
      <c r="AK272" s="59">
        <f>IF(AH272=0,"",AI272/AH272)</f>
        <v/>
      </c>
      <c r="AL272" s="23" t="n"/>
      <c r="AM272" s="58">
        <f>AM273+AM274+AM275+AM276+AM277+AM278+AM279+AM280+AM281+AM282+AM283</f>
        <v/>
      </c>
      <c r="AN272" s="58">
        <f>AN273+AN274+AN275+AN276+AN277+AN278+AN279+AN280+AN281+AN282+AN283</f>
        <v/>
      </c>
      <c r="AO272" s="58">
        <f>AN272-AM272</f>
        <v/>
      </c>
      <c r="AP272" s="59">
        <f>IF(AM272=0,"",AN272/AM272)</f>
        <v/>
      </c>
      <c r="AQ272" s="23" t="n"/>
      <c r="AR272" s="58">
        <f>AR273+AR274+AR275+AR276+AR277+AR278+AR279+AR280+AR281+AR282+AR283</f>
        <v/>
      </c>
      <c r="AS272" s="58">
        <f>AS273+AS274+AS275+AS276+AS277+AS278+AS279+AS280+AS281+AS282+AS283</f>
        <v/>
      </c>
      <c r="AT272" s="58">
        <f>AS272-AR272</f>
        <v/>
      </c>
      <c r="AU272" s="59">
        <f>IF(AR272=0,"",AS272/AR272)</f>
        <v/>
      </c>
      <c r="AV272" s="23" t="n"/>
      <c r="AW272" s="58">
        <f>AW273+AW274+AW275+AW276+AW277+AW278+AW279+AW280+AW281+AW282+AW283</f>
        <v/>
      </c>
      <c r="AX272" s="58">
        <f>AX273+AX274+AX275+AX276+AX277+AX278+AX279+AX280+AX281+AX282+AX283</f>
        <v/>
      </c>
      <c r="AY272" s="58">
        <f>AX272-AW272</f>
        <v/>
      </c>
      <c r="AZ272" s="59">
        <f>IF(AW272=0,"",AX272/AW272)</f>
        <v/>
      </c>
      <c r="BA272" s="23" t="n"/>
      <c r="BB272" s="58">
        <f>BB273+BB274+BB275+BB276+BB277+BB278+BB279+BB280+BB281+BB282+BB283</f>
        <v/>
      </c>
      <c r="BC272" s="58">
        <f>BC273+BC274+BC275+BC276+BC277+BC278+BC279+BC280+BC281+BC282+BC283</f>
        <v/>
      </c>
      <c r="BD272" s="58">
        <f>BC272-BB272</f>
        <v/>
      </c>
      <c r="BE272" s="59">
        <f>IF(BB272=0,"",BC272/BB272)</f>
        <v/>
      </c>
      <c r="BF272" s="23" t="n"/>
      <c r="BG272" s="58">
        <f>BG273+BG274+BG275+BG276+BG277+BG278+BG279+BG280+BG281+BG282+BG283</f>
        <v/>
      </c>
      <c r="BH272" s="58">
        <f>BH273+BH274+BH275+BH276+BH277+BH278+BH279+BH280+BH281+BH282+BH283</f>
        <v/>
      </c>
      <c r="BI272" s="58">
        <f>BH272-BG272</f>
        <v/>
      </c>
      <c r="BJ272" s="59">
        <f>IF(BG272=0,"",BH272/BG272)</f>
        <v/>
      </c>
      <c r="BK272" s="23" t="n"/>
      <c r="BL272" s="58">
        <f>BL273+BL274+BL275+BL276+BL277+BL278+BL279+BL280+BL281+BL282+BL283</f>
        <v/>
      </c>
      <c r="BM272" s="58">
        <f>BM273+BM274+BM275+BM276+BM277+BM278+BM279+BM280+BM281+BM282+BM283</f>
        <v/>
      </c>
      <c r="BN272" s="58">
        <f>BM272-BL272</f>
        <v/>
      </c>
      <c r="BO272" s="59">
        <f>IF(BL272=0,"",BM272/BL272)</f>
        <v/>
      </c>
      <c r="BP272" s="23" t="n"/>
      <c r="BQ272" s="58">
        <f>BQ273+BQ274+BQ275+BQ276+BQ277+BQ278+BQ279+BQ280+BQ281+BQ282+BQ283</f>
        <v/>
      </c>
      <c r="BR272" s="58">
        <f>BR273+BR274+BR275+BR276+BR277+BR278+BR279+BR280+BR281+BR282+BR283</f>
        <v/>
      </c>
      <c r="BS272" s="58">
        <f>BR272-BQ272</f>
        <v/>
      </c>
      <c r="BT272" s="59">
        <f>IF(BQ272=0,"",BR272/BQ272)</f>
        <v/>
      </c>
      <c r="BU272" s="23" t="n"/>
      <c r="BV272" s="58">
        <f>BV273+BV274+BV275+BV276+BV277+BV278+BV279+BV280+BV281+BV282+BV283</f>
        <v/>
      </c>
      <c r="BW272" s="58">
        <f>BW273+BW274+BW275+BW276+BW277+BW278+BW279+BW280+BW281+BW282+BW283</f>
        <v/>
      </c>
      <c r="BX272" s="58">
        <f>BW272-BV272</f>
        <v/>
      </c>
      <c r="BY272" s="59">
        <f>IF(BV272=0,"",BW272/BV272)</f>
        <v/>
      </c>
      <c r="BZ272" s="23" t="n"/>
      <c r="CA272" s="58">
        <f>CA273+CA274+CA275+CA276+CA277+CA278+CA279+CA280+CA281+CA282+CA283</f>
        <v/>
      </c>
      <c r="CB272" s="58">
        <f>CB273+CB274+CB275+CB276+CB277+CB278+CB279+CB280+CB281+CB282+CB283</f>
        <v/>
      </c>
      <c r="CC272" s="58">
        <f>CB272-CA272</f>
        <v/>
      </c>
      <c r="CD272" s="59">
        <f>IF(CA272=0,"",CB272/CA272)</f>
        <v/>
      </c>
      <c r="CE272" s="23" t="n"/>
      <c r="CF272" s="58">
        <f>CF273+CF274+CF275+CF276+CF277+CF278+CF279+CF280+CF281+CF282+CF283</f>
        <v/>
      </c>
      <c r="CG272" s="58">
        <f>CG273+CG274+CG275+CG276+CG277+CG278+CG279+CG280+CG281+CG282+CG283</f>
        <v/>
      </c>
      <c r="CH272" s="58">
        <f>CG272-CF272</f>
        <v/>
      </c>
      <c r="CI272" s="59">
        <f>IF(CF272=0,"",CG272/CF272)</f>
        <v/>
      </c>
      <c r="CJ272" s="23" t="n"/>
      <c r="CK272" s="58">
        <f>CK273+CK274+CK275+CK276+CK277+CK278+CK279+CK280+CK281+CK282+CK283</f>
        <v/>
      </c>
      <c r="CL272" s="58">
        <f>CL273+CL274+CL275+CL276+CL277+CL278+CL279+CL280+CL281+CL282+CL283</f>
        <v/>
      </c>
      <c r="CM272" s="58">
        <f>CL272-CK272</f>
        <v/>
      </c>
      <c r="CN272" s="59">
        <f>IF(CK272=0,"",CL272/CK272)</f>
        <v/>
      </c>
      <c r="CO272" s="23" t="n"/>
      <c r="CP272" s="58">
        <f>CP273+CP274+CP275+CP276+CP277+CP278+CP279+CP280+CP281+CP282+CP283</f>
        <v/>
      </c>
      <c r="CQ272" s="58">
        <f>CQ273+CQ274+CQ275+CQ276+CQ277+CQ278+CQ279+CQ280+CQ281+CQ282+CQ283</f>
        <v/>
      </c>
      <c r="CR272" s="58">
        <f>CQ272-CP272</f>
        <v/>
      </c>
      <c r="CS272" s="59">
        <f>IF(CP272=0,"",CQ272/CP272)</f>
        <v/>
      </c>
      <c r="CT272" s="23" t="n"/>
      <c r="CU272" s="58">
        <f>CU273+CU274+CU275+CU276+CU277+CU278+CU279+CU280+CU281+CU282+CU283</f>
        <v/>
      </c>
      <c r="CV272" s="58">
        <f>CV273+CV274+CV275+CV276+CV277+CV278+CV279+CV280+CV281+CV282+CV283</f>
        <v/>
      </c>
      <c r="CW272" s="58">
        <f>CV272-CU272</f>
        <v/>
      </c>
      <c r="CX272" s="59">
        <f>IF(CU272=0,"",CV272/CU272)</f>
        <v/>
      </c>
      <c r="CY272" s="23" t="n"/>
      <c r="CZ272" s="58">
        <f>CZ273+CZ274+CZ275+CZ276+CZ277+CZ278+CZ279+CZ280+CZ281+CZ282+CZ283</f>
        <v/>
      </c>
      <c r="DA272" s="58">
        <f>DA273+DA274+DA275+DA276+DA277+DA278+DA279+DA280+DA281+DA282+DA283</f>
        <v/>
      </c>
      <c r="DB272" s="58">
        <f>DA272-CZ272</f>
        <v/>
      </c>
      <c r="DC272" s="59">
        <f>IF(CZ272=0,"",DA272/CZ272)</f>
        <v/>
      </c>
      <c r="DD272" s="23" t="n"/>
      <c r="DE272" s="58">
        <f>DE273+DE274+DE275+DE276+DE277+DE278+DE279+DE280+DE281+DE282+DE283</f>
        <v/>
      </c>
      <c r="DF272" s="58">
        <f>DF273+DF274+DF275+DF276+DF277+DF278+DF279+DF280+DF281+DF282+DF283</f>
        <v/>
      </c>
      <c r="DG272" s="58">
        <f>DF272-DE272</f>
        <v/>
      </c>
      <c r="DH272" s="59">
        <f>IF(DE272=0,"",DF272/DE272)</f>
        <v/>
      </c>
      <c r="DI272" s="23" t="n"/>
      <c r="DJ272" s="58">
        <f>DJ273+DJ274+DJ275+DJ276+DJ277+DJ278+DJ279+DJ280+DJ281+DJ282+DJ283</f>
        <v/>
      </c>
      <c r="DK272" s="58">
        <f>DK273+DK274+DK275+DK276+DK277+DK278+DK279+DK280+DK281+DK282+DK283</f>
        <v/>
      </c>
      <c r="DL272" s="58">
        <f>DK272-DJ272</f>
        <v/>
      </c>
      <c r="DM272" s="59">
        <f>IF(DJ272=0,"",DK272/DJ272)</f>
        <v/>
      </c>
      <c r="DN272" s="23" t="n"/>
      <c r="DO272" s="58">
        <f>DO273+DO274+DO275+DO276+DO277+DO278+DO279+DO280+DO281+DO282+DO283</f>
        <v/>
      </c>
    </row>
    <row r="273" outlineLevel="1" ht="15" customHeight="1">
      <c r="A273" s="24" t="n"/>
      <c r="B273" s="24" t="n"/>
      <c r="C273" s="24" t="n"/>
      <c r="D273" s="60" t="n"/>
      <c r="E273" s="60" t="n"/>
      <c r="F273" s="60">
        <f>E273-D273</f>
        <v/>
      </c>
      <c r="G273" s="61">
        <f>IF(D273=0,"",E273/D273)</f>
        <v/>
      </c>
      <c r="H273" s="27" t="n"/>
      <c r="I273" s="60" t="n"/>
      <c r="J273" s="60" t="n"/>
      <c r="K273" s="60">
        <f>J273-I273</f>
        <v/>
      </c>
      <c r="L273" s="61">
        <f>IF(I273=0,"",J273/I273)</f>
        <v/>
      </c>
      <c r="M273" s="27" t="n"/>
      <c r="N273" s="62" t="n"/>
      <c r="O273" s="62" t="n"/>
      <c r="P273" s="63">
        <f>O273-N273</f>
        <v/>
      </c>
      <c r="Q273" s="64">
        <f>IF(N273=0,"",O273/N273)</f>
        <v/>
      </c>
      <c r="R273" s="31" t="n"/>
      <c r="S273" s="60" t="n"/>
      <c r="T273" s="60" t="n"/>
      <c r="U273" s="60">
        <f>T273-S273</f>
        <v/>
      </c>
      <c r="V273" s="61">
        <f>IF(S273=0,"",T273/S273)</f>
        <v/>
      </c>
      <c r="W273" s="27" t="n"/>
      <c r="X273" s="62" t="n"/>
      <c r="Y273" s="62" t="n"/>
      <c r="Z273" s="63">
        <f>Y273-X273</f>
        <v/>
      </c>
      <c r="AA273" s="64">
        <f>IF(X273=0,"",Y273/X273)</f>
        <v/>
      </c>
      <c r="AB273" s="31" t="n"/>
      <c r="AC273" s="60" t="n"/>
      <c r="AD273" s="60" t="n"/>
      <c r="AE273" s="60">
        <f>AD273-AC273</f>
        <v/>
      </c>
      <c r="AF273" s="61">
        <f>IF(AC273=0,"",AD273/AC273)</f>
        <v/>
      </c>
      <c r="AG273" s="27" t="n"/>
      <c r="AH273" s="62" t="n"/>
      <c r="AI273" s="62" t="n"/>
      <c r="AJ273" s="62">
        <f>AI273-AH273</f>
        <v/>
      </c>
      <c r="AK273" s="64">
        <f>IF(AH273=0,"",AI273/AH273)</f>
        <v/>
      </c>
      <c r="AL273" s="31" t="n"/>
      <c r="AM273" s="60" t="n"/>
      <c r="AN273" s="60" t="n"/>
      <c r="AO273" s="60">
        <f>AN273-AM273</f>
        <v/>
      </c>
      <c r="AP273" s="61">
        <f>IF(AM273=0,"",AN273/AM273)</f>
        <v/>
      </c>
      <c r="AQ273" s="27" t="n"/>
      <c r="AR273" s="62" t="n"/>
      <c r="AS273" s="62" t="n"/>
      <c r="AT273" s="62">
        <f>AS273-AR273</f>
        <v/>
      </c>
      <c r="AU273" s="64">
        <f>IF(AR273=0,"",AS273/AR273)</f>
        <v/>
      </c>
      <c r="AV273" s="31" t="n"/>
      <c r="AW273" s="60" t="n"/>
      <c r="AX273" s="60" t="n"/>
      <c r="AY273" s="60">
        <f>AX273-AW273</f>
        <v/>
      </c>
      <c r="AZ273" s="61">
        <f>IF(AW273=0,"",AX273/AW273)</f>
        <v/>
      </c>
      <c r="BA273" s="27" t="n"/>
      <c r="BB273" s="62" t="n"/>
      <c r="BC273" s="62" t="n"/>
      <c r="BD273" s="62">
        <f>BC273-BB273</f>
        <v/>
      </c>
      <c r="BE273" s="64">
        <f>IF(BB273=0,"",BC273/BB273)</f>
        <v/>
      </c>
      <c r="BF273" s="31" t="n"/>
      <c r="BG273" s="60" t="n"/>
      <c r="BH273" s="60" t="n"/>
      <c r="BI273" s="60">
        <f>BH273-BG273</f>
        <v/>
      </c>
      <c r="BJ273" s="61">
        <f>IF(BG273=0,"",BH273/BG273)</f>
        <v/>
      </c>
      <c r="BK273" s="27" t="n"/>
      <c r="BL273" s="62" t="n"/>
      <c r="BM273" s="62" t="n"/>
      <c r="BN273" s="62">
        <f>BM273-BL273</f>
        <v/>
      </c>
      <c r="BO273" s="64">
        <f>IF(BL273=0,"",BM273/BL273)</f>
        <v/>
      </c>
      <c r="BP273" s="31" t="n"/>
      <c r="BQ273" s="60" t="n"/>
      <c r="BR273" s="60" t="n"/>
      <c r="BS273" s="60">
        <f>BR273-BQ273</f>
        <v/>
      </c>
      <c r="BT273" s="61">
        <f>IF(BQ273=0,"",BR273/BQ273)</f>
        <v/>
      </c>
      <c r="BU273" s="27" t="n"/>
      <c r="BV273" s="62" t="n"/>
      <c r="BW273" s="62" t="n"/>
      <c r="BX273" s="62">
        <f>BW273-BV273</f>
        <v/>
      </c>
      <c r="BY273" s="64">
        <f>IF(BV273=0,"",BW273/BV273)</f>
        <v/>
      </c>
      <c r="BZ273" s="31" t="n"/>
      <c r="CA273" s="60" t="n"/>
      <c r="CB273" s="60" t="n"/>
      <c r="CC273" s="60">
        <f>CB273-CA273</f>
        <v/>
      </c>
      <c r="CD273" s="61">
        <f>IF(CA273=0,"",CB273/CA273)</f>
        <v/>
      </c>
      <c r="CE273" s="27" t="n"/>
      <c r="CF273" s="62" t="n"/>
      <c r="CG273" s="62" t="n"/>
      <c r="CH273" s="62">
        <f>CG273-CF273</f>
        <v/>
      </c>
      <c r="CI273" s="64">
        <f>IF(CF273=0,"",CG273/CF273)</f>
        <v/>
      </c>
      <c r="CJ273" s="31" t="n"/>
      <c r="CK273" s="60" t="n"/>
      <c r="CL273" s="60" t="n"/>
      <c r="CM273" s="60">
        <f>CL273-CK273</f>
        <v/>
      </c>
      <c r="CN273" s="61">
        <f>IF(CK273=0,"",CL273/CK273)</f>
        <v/>
      </c>
      <c r="CO273" s="27" t="n"/>
      <c r="CP273" s="62" t="n"/>
      <c r="CQ273" s="62" t="n"/>
      <c r="CR273" s="62">
        <f>CQ273-CP273</f>
        <v/>
      </c>
      <c r="CS273" s="64">
        <f>IF(CP273=0,"",CQ273/CP273)</f>
        <v/>
      </c>
      <c r="CT273" s="31" t="n"/>
      <c r="CU273" s="60" t="n"/>
      <c r="CV273" s="60" t="n"/>
      <c r="CW273" s="60">
        <f>CV273-CU273</f>
        <v/>
      </c>
      <c r="CX273" s="61">
        <f>IF(CU273=0,"",CV273/CU273)</f>
        <v/>
      </c>
      <c r="CY273" s="27" t="n"/>
      <c r="CZ273" s="62" t="n"/>
      <c r="DA273" s="62" t="n"/>
      <c r="DB273" s="62">
        <f>DA273-CZ273</f>
        <v/>
      </c>
      <c r="DC273" s="64">
        <f>IF(CZ273=0,"",DA273/CZ273)</f>
        <v/>
      </c>
      <c r="DD273" s="31" t="n"/>
      <c r="DE273" s="60" t="n"/>
      <c r="DF273" s="60" t="n"/>
      <c r="DG273" s="60">
        <f>DF273-DE273</f>
        <v/>
      </c>
      <c r="DH273" s="61">
        <f>IF(DE273=0,"",DF273/DE273)</f>
        <v/>
      </c>
      <c r="DI273" s="27" t="n"/>
      <c r="DJ273" s="62" t="n"/>
      <c r="DK273" s="62" t="n"/>
      <c r="DL273" s="62">
        <f>DK273-DJ273</f>
        <v/>
      </c>
      <c r="DM273" s="64">
        <f>IF(DJ273=0,"",DK273/DJ273)</f>
        <v/>
      </c>
      <c r="DN273" s="31" t="n"/>
      <c r="DO273" s="60" t="n"/>
    </row>
    <row r="274" outlineLevel="1" ht="15" customHeight="1">
      <c r="A274" s="24" t="n"/>
      <c r="B274" s="24" t="n"/>
      <c r="C274" s="24" t="n"/>
      <c r="D274" s="60" t="n"/>
      <c r="E274" s="60" t="n"/>
      <c r="F274" s="60">
        <f>E274-D274</f>
        <v/>
      </c>
      <c r="G274" s="61">
        <f>IF(D274=0,"",E274/D274)</f>
        <v/>
      </c>
      <c r="H274" s="27" t="n"/>
      <c r="I274" s="60" t="n"/>
      <c r="J274" s="60" t="n"/>
      <c r="K274" s="60">
        <f>J274-I274</f>
        <v/>
      </c>
      <c r="L274" s="61">
        <f>IF(I274=0,"",J274/I274)</f>
        <v/>
      </c>
      <c r="M274" s="27" t="n"/>
      <c r="N274" s="62" t="n"/>
      <c r="O274" s="62" t="n"/>
      <c r="P274" s="62">
        <f>O274-N274</f>
        <v/>
      </c>
      <c r="Q274" s="64">
        <f>IF(N274=0,"",O274/N274)</f>
        <v/>
      </c>
      <c r="R274" s="31" t="n"/>
      <c r="S274" s="60" t="n"/>
      <c r="T274" s="60" t="n"/>
      <c r="U274" s="60">
        <f>T274-S274</f>
        <v/>
      </c>
      <c r="V274" s="61">
        <f>IF(S274=0,"",T274/S274)</f>
        <v/>
      </c>
      <c r="W274" s="27" t="n"/>
      <c r="X274" s="62" t="n"/>
      <c r="Y274" s="62" t="n"/>
      <c r="Z274" s="62">
        <f>Y274-X274</f>
        <v/>
      </c>
      <c r="AA274" s="64">
        <f>IF(X274=0,"",Y274/X274)</f>
        <v/>
      </c>
      <c r="AB274" s="31" t="n"/>
      <c r="AC274" s="60" t="n"/>
      <c r="AD274" s="60" t="n"/>
      <c r="AE274" s="60">
        <f>AD274-AC274</f>
        <v/>
      </c>
      <c r="AF274" s="61">
        <f>IF(AC274=0,"",AD274/AC274)</f>
        <v/>
      </c>
      <c r="AG274" s="27" t="n"/>
      <c r="AH274" s="62" t="n"/>
      <c r="AI274" s="62" t="n"/>
      <c r="AJ274" s="62">
        <f>AI274-AH274</f>
        <v/>
      </c>
      <c r="AK274" s="64">
        <f>IF(AH274=0,"",AI274/AH274)</f>
        <v/>
      </c>
      <c r="AL274" s="31" t="n"/>
      <c r="AM274" s="60" t="n"/>
      <c r="AN274" s="60" t="n"/>
      <c r="AO274" s="60">
        <f>AN274-AM274</f>
        <v/>
      </c>
      <c r="AP274" s="61">
        <f>IF(AM274=0,"",AN274/AM274)</f>
        <v/>
      </c>
      <c r="AQ274" s="27" t="n"/>
      <c r="AR274" s="62" t="n"/>
      <c r="AS274" s="62" t="n"/>
      <c r="AT274" s="62">
        <f>AS274-AR274</f>
        <v/>
      </c>
      <c r="AU274" s="64">
        <f>IF(AR274=0,"",AS274/AR274)</f>
        <v/>
      </c>
      <c r="AV274" s="31" t="n"/>
      <c r="AW274" s="60" t="n"/>
      <c r="AX274" s="60" t="n"/>
      <c r="AY274" s="60">
        <f>AX274-AW274</f>
        <v/>
      </c>
      <c r="AZ274" s="61">
        <f>IF(AW274=0,"",AX274/AW274)</f>
        <v/>
      </c>
      <c r="BA274" s="27" t="n"/>
      <c r="BB274" s="62" t="n"/>
      <c r="BC274" s="62" t="n"/>
      <c r="BD274" s="62">
        <f>BC274-BB274</f>
        <v/>
      </c>
      <c r="BE274" s="64">
        <f>IF(BB274=0,"",BC274/BB274)</f>
        <v/>
      </c>
      <c r="BF274" s="31" t="n"/>
      <c r="BG274" s="60" t="n"/>
      <c r="BH274" s="60" t="n"/>
      <c r="BI274" s="60">
        <f>BH274-BG274</f>
        <v/>
      </c>
      <c r="BJ274" s="61">
        <f>IF(BG274=0,"",BH274/BG274)</f>
        <v/>
      </c>
      <c r="BK274" s="27" t="n"/>
      <c r="BL274" s="62" t="n"/>
      <c r="BM274" s="62" t="n"/>
      <c r="BN274" s="62">
        <f>BM274-BL274</f>
        <v/>
      </c>
      <c r="BO274" s="64">
        <f>IF(BL274=0,"",BM274/BL274)</f>
        <v/>
      </c>
      <c r="BP274" s="31" t="n"/>
      <c r="BQ274" s="60" t="n"/>
      <c r="BR274" s="60" t="n"/>
      <c r="BS274" s="60">
        <f>BR274-BQ274</f>
        <v/>
      </c>
      <c r="BT274" s="61">
        <f>IF(BQ274=0,"",BR274/BQ274)</f>
        <v/>
      </c>
      <c r="BU274" s="27" t="n"/>
      <c r="BV274" s="62" t="n"/>
      <c r="BW274" s="62" t="n"/>
      <c r="BX274" s="62">
        <f>BW274-BV274</f>
        <v/>
      </c>
      <c r="BY274" s="64">
        <f>IF(BV274=0,"",BW274/BV274)</f>
        <v/>
      </c>
      <c r="BZ274" s="31" t="n"/>
      <c r="CA274" s="60" t="n"/>
      <c r="CB274" s="60" t="n"/>
      <c r="CC274" s="60">
        <f>CB274-CA274</f>
        <v/>
      </c>
      <c r="CD274" s="61">
        <f>IF(CA274=0,"",CB274/CA274)</f>
        <v/>
      </c>
      <c r="CE274" s="27" t="n"/>
      <c r="CF274" s="62" t="n"/>
      <c r="CG274" s="62" t="n"/>
      <c r="CH274" s="62">
        <f>CG274-CF274</f>
        <v/>
      </c>
      <c r="CI274" s="64">
        <f>IF(CF274=0,"",CG274/CF274)</f>
        <v/>
      </c>
      <c r="CJ274" s="31" t="n"/>
      <c r="CK274" s="60" t="n"/>
      <c r="CL274" s="60" t="n"/>
      <c r="CM274" s="60">
        <f>CL274-CK274</f>
        <v/>
      </c>
      <c r="CN274" s="61">
        <f>IF(CK274=0,"",CL274/CK274)</f>
        <v/>
      </c>
      <c r="CO274" s="27" t="n"/>
      <c r="CP274" s="62" t="n"/>
      <c r="CQ274" s="62" t="n"/>
      <c r="CR274" s="62">
        <f>CQ274-CP274</f>
        <v/>
      </c>
      <c r="CS274" s="64">
        <f>IF(CP274=0,"",CQ274/CP274)</f>
        <v/>
      </c>
      <c r="CT274" s="31" t="n"/>
      <c r="CU274" s="60" t="n"/>
      <c r="CV274" s="60" t="n"/>
      <c r="CW274" s="60">
        <f>CV274-CU274</f>
        <v/>
      </c>
      <c r="CX274" s="61">
        <f>IF(CU274=0,"",CV274/CU274)</f>
        <v/>
      </c>
      <c r="CY274" s="27" t="n"/>
      <c r="CZ274" s="62" t="n"/>
      <c r="DA274" s="62" t="n"/>
      <c r="DB274" s="62">
        <f>DA274-CZ274</f>
        <v/>
      </c>
      <c r="DC274" s="64">
        <f>IF(CZ274=0,"",DA274/CZ274)</f>
        <v/>
      </c>
      <c r="DD274" s="31" t="n"/>
      <c r="DE274" s="60" t="n"/>
      <c r="DF274" s="60" t="n"/>
      <c r="DG274" s="60">
        <f>DF274-DE274</f>
        <v/>
      </c>
      <c r="DH274" s="61">
        <f>IF(DE274=0,"",DF274/DE274)</f>
        <v/>
      </c>
      <c r="DI274" s="27" t="n"/>
      <c r="DJ274" s="62" t="n"/>
      <c r="DK274" s="62" t="n"/>
      <c r="DL274" s="62">
        <f>DK274-DJ274</f>
        <v/>
      </c>
      <c r="DM274" s="64">
        <f>IF(DJ274=0,"",DK274/DJ274)</f>
        <v/>
      </c>
      <c r="DN274" s="31" t="n"/>
      <c r="DO274" s="60" t="n"/>
    </row>
    <row r="275" outlineLevel="1" ht="15" customHeight="1">
      <c r="A275" s="24" t="n"/>
      <c r="B275" s="24" t="n"/>
      <c r="C275" s="24" t="n"/>
      <c r="D275" s="60" t="n"/>
      <c r="E275" s="60" t="n"/>
      <c r="F275" s="60">
        <f>E275-D275</f>
        <v/>
      </c>
      <c r="G275" s="61">
        <f>IF(D275=0,"",E275/D275)</f>
        <v/>
      </c>
      <c r="H275" s="27" t="n"/>
      <c r="I275" s="60" t="n"/>
      <c r="J275" s="60" t="n"/>
      <c r="K275" s="60">
        <f>J275-I275</f>
        <v/>
      </c>
      <c r="L275" s="61">
        <f>IF(I275=0,"",J275/I275)</f>
        <v/>
      </c>
      <c r="M275" s="27" t="n"/>
      <c r="N275" s="62" t="n"/>
      <c r="O275" s="62" t="n"/>
      <c r="P275" s="62">
        <f>O275-N275</f>
        <v/>
      </c>
      <c r="Q275" s="64">
        <f>IF(N275=0,"",O275/N275)</f>
        <v/>
      </c>
      <c r="R275" s="31" t="n"/>
      <c r="S275" s="60" t="n"/>
      <c r="T275" s="60" t="n"/>
      <c r="U275" s="60">
        <f>T275-S275</f>
        <v/>
      </c>
      <c r="V275" s="61">
        <f>IF(S275=0,"",T275/S275)</f>
        <v/>
      </c>
      <c r="W275" s="27" t="n"/>
      <c r="X275" s="62" t="n"/>
      <c r="Y275" s="62" t="n"/>
      <c r="Z275" s="62">
        <f>Y275-X275</f>
        <v/>
      </c>
      <c r="AA275" s="64">
        <f>IF(X275=0,"",Y275/X275)</f>
        <v/>
      </c>
      <c r="AB275" s="31" t="n"/>
      <c r="AC275" s="60" t="n"/>
      <c r="AD275" s="60" t="n"/>
      <c r="AE275" s="60">
        <f>AD275-AC275</f>
        <v/>
      </c>
      <c r="AF275" s="61">
        <f>IF(AC275=0,"",AD275/AC275)</f>
        <v/>
      </c>
      <c r="AG275" s="27" t="n"/>
      <c r="AH275" s="62" t="n"/>
      <c r="AI275" s="62" t="n"/>
      <c r="AJ275" s="62">
        <f>AI275-AH275</f>
        <v/>
      </c>
      <c r="AK275" s="64">
        <f>IF(AH275=0,"",AI275/AH275)</f>
        <v/>
      </c>
      <c r="AL275" s="31" t="n"/>
      <c r="AM275" s="60" t="n"/>
      <c r="AN275" s="60" t="n"/>
      <c r="AO275" s="60">
        <f>AN275-AM275</f>
        <v/>
      </c>
      <c r="AP275" s="61">
        <f>IF(AM275=0,"",AN275/AM275)</f>
        <v/>
      </c>
      <c r="AQ275" s="27" t="n"/>
      <c r="AR275" s="62" t="n"/>
      <c r="AS275" s="62" t="n"/>
      <c r="AT275" s="62">
        <f>AS275-AR275</f>
        <v/>
      </c>
      <c r="AU275" s="64">
        <f>IF(AR275=0,"",AS275/AR275)</f>
        <v/>
      </c>
      <c r="AV275" s="31" t="n"/>
      <c r="AW275" s="60" t="n"/>
      <c r="AX275" s="60" t="n"/>
      <c r="AY275" s="60">
        <f>AX275-AW275</f>
        <v/>
      </c>
      <c r="AZ275" s="61">
        <f>IF(AW275=0,"",AX275/AW275)</f>
        <v/>
      </c>
      <c r="BA275" s="27" t="n"/>
      <c r="BB275" s="62" t="n"/>
      <c r="BC275" s="62" t="n"/>
      <c r="BD275" s="62">
        <f>BC275-BB275</f>
        <v/>
      </c>
      <c r="BE275" s="64">
        <f>IF(BB275=0,"",BC275/BB275)</f>
        <v/>
      </c>
      <c r="BF275" s="31" t="n"/>
      <c r="BG275" s="60" t="n"/>
      <c r="BH275" s="60" t="n"/>
      <c r="BI275" s="60">
        <f>BH275-BG275</f>
        <v/>
      </c>
      <c r="BJ275" s="61">
        <f>IF(BG275=0,"",BH275/BG275)</f>
        <v/>
      </c>
      <c r="BK275" s="27" t="n"/>
      <c r="BL275" s="62" t="n"/>
      <c r="BM275" s="62" t="n"/>
      <c r="BN275" s="62">
        <f>BM275-BL275</f>
        <v/>
      </c>
      <c r="BO275" s="64">
        <f>IF(BL275=0,"",BM275/BL275)</f>
        <v/>
      </c>
      <c r="BP275" s="31" t="n"/>
      <c r="BQ275" s="60" t="n"/>
      <c r="BR275" s="60" t="n"/>
      <c r="BS275" s="60">
        <f>BR275-BQ275</f>
        <v/>
      </c>
      <c r="BT275" s="61">
        <f>IF(BQ275=0,"",BR275/BQ275)</f>
        <v/>
      </c>
      <c r="BU275" s="27" t="n"/>
      <c r="BV275" s="62" t="n"/>
      <c r="BW275" s="62" t="n"/>
      <c r="BX275" s="62">
        <f>BW275-BV275</f>
        <v/>
      </c>
      <c r="BY275" s="64">
        <f>IF(BV275=0,"",BW275/BV275)</f>
        <v/>
      </c>
      <c r="BZ275" s="31" t="n"/>
      <c r="CA275" s="60" t="n"/>
      <c r="CB275" s="60" t="n"/>
      <c r="CC275" s="60">
        <f>CB275-CA275</f>
        <v/>
      </c>
      <c r="CD275" s="61">
        <f>IF(CA275=0,"",CB275/CA275)</f>
        <v/>
      </c>
      <c r="CE275" s="27" t="n"/>
      <c r="CF275" s="62" t="n"/>
      <c r="CG275" s="62" t="n"/>
      <c r="CH275" s="62">
        <f>CG275-CF275</f>
        <v/>
      </c>
      <c r="CI275" s="64">
        <f>IF(CF275=0,"",CG275/CF275)</f>
        <v/>
      </c>
      <c r="CJ275" s="31" t="n"/>
      <c r="CK275" s="60" t="n"/>
      <c r="CL275" s="60" t="n"/>
      <c r="CM275" s="60">
        <f>CL275-CK275</f>
        <v/>
      </c>
      <c r="CN275" s="61">
        <f>IF(CK275=0,"",CL275/CK275)</f>
        <v/>
      </c>
      <c r="CO275" s="27" t="n"/>
      <c r="CP275" s="62" t="n"/>
      <c r="CQ275" s="62" t="n"/>
      <c r="CR275" s="62">
        <f>CQ275-CP275</f>
        <v/>
      </c>
      <c r="CS275" s="64">
        <f>IF(CP275=0,"",CQ275/CP275)</f>
        <v/>
      </c>
      <c r="CT275" s="31" t="n"/>
      <c r="CU275" s="60" t="n"/>
      <c r="CV275" s="60" t="n"/>
      <c r="CW275" s="60">
        <f>CV275-CU275</f>
        <v/>
      </c>
      <c r="CX275" s="61">
        <f>IF(CU275=0,"",CV275/CU275)</f>
        <v/>
      </c>
      <c r="CY275" s="27" t="n"/>
      <c r="CZ275" s="62" t="n"/>
      <c r="DA275" s="62" t="n"/>
      <c r="DB275" s="62">
        <f>DA275-CZ275</f>
        <v/>
      </c>
      <c r="DC275" s="64">
        <f>IF(CZ275=0,"",DA275/CZ275)</f>
        <v/>
      </c>
      <c r="DD275" s="31" t="n"/>
      <c r="DE275" s="60" t="n"/>
      <c r="DF275" s="60" t="n"/>
      <c r="DG275" s="60">
        <f>DF275-DE275</f>
        <v/>
      </c>
      <c r="DH275" s="61">
        <f>IF(DE275=0,"",DF275/DE275)</f>
        <v/>
      </c>
      <c r="DI275" s="27" t="n"/>
      <c r="DJ275" s="62" t="n"/>
      <c r="DK275" s="62" t="n"/>
      <c r="DL275" s="62">
        <f>DK275-DJ275</f>
        <v/>
      </c>
      <c r="DM275" s="64">
        <f>IF(DJ275=0,"",DK275/DJ275)</f>
        <v/>
      </c>
      <c r="DN275" s="31" t="n"/>
      <c r="DO275" s="60" t="n"/>
    </row>
    <row r="276" outlineLevel="1" ht="15" customHeight="1">
      <c r="A276" s="24" t="n"/>
      <c r="B276" s="24" t="n"/>
      <c r="C276" s="24" t="n"/>
      <c r="D276" s="60" t="n"/>
      <c r="E276" s="60" t="n"/>
      <c r="F276" s="60">
        <f>E276-D276</f>
        <v/>
      </c>
      <c r="G276" s="61">
        <f>IF(D276=0,"",E276/D276)</f>
        <v/>
      </c>
      <c r="H276" s="27" t="n"/>
      <c r="I276" s="60" t="n"/>
      <c r="J276" s="60" t="n"/>
      <c r="K276" s="60">
        <f>J276-I276</f>
        <v/>
      </c>
      <c r="L276" s="61">
        <f>IF(I276=0,"",J276/I276)</f>
        <v/>
      </c>
      <c r="M276" s="27" t="n"/>
      <c r="N276" s="62" t="n"/>
      <c r="O276" s="62" t="n"/>
      <c r="P276" s="63">
        <f>O276-N276</f>
        <v/>
      </c>
      <c r="Q276" s="64">
        <f>IF(N276=0,"",O276/N276)</f>
        <v/>
      </c>
      <c r="R276" s="31" t="n"/>
      <c r="S276" s="60" t="n"/>
      <c r="T276" s="60" t="n"/>
      <c r="U276" s="60">
        <f>T276-S276</f>
        <v/>
      </c>
      <c r="V276" s="61">
        <f>IF(S276=0,"",T276/S276)</f>
        <v/>
      </c>
      <c r="W276" s="27" t="n"/>
      <c r="X276" s="62" t="n"/>
      <c r="Y276" s="62" t="n"/>
      <c r="Z276" s="63">
        <f>Y276-X276</f>
        <v/>
      </c>
      <c r="AA276" s="64">
        <f>IF(X276=0,"",Y276/X276)</f>
        <v/>
      </c>
      <c r="AB276" s="31" t="n"/>
      <c r="AC276" s="60" t="n"/>
      <c r="AD276" s="60" t="n"/>
      <c r="AE276" s="60">
        <f>AD276-AC276</f>
        <v/>
      </c>
      <c r="AF276" s="61">
        <f>IF(AC276=0,"",AD276/AC276)</f>
        <v/>
      </c>
      <c r="AG276" s="27" t="n"/>
      <c r="AH276" s="62" t="n"/>
      <c r="AI276" s="62" t="n"/>
      <c r="AJ276" s="62">
        <f>AI276-AH276</f>
        <v/>
      </c>
      <c r="AK276" s="64">
        <f>IF(AH276=0,"",AI276/AH276)</f>
        <v/>
      </c>
      <c r="AL276" s="31" t="n"/>
      <c r="AM276" s="60" t="n"/>
      <c r="AN276" s="60" t="n"/>
      <c r="AO276" s="60">
        <f>AN276-AM276</f>
        <v/>
      </c>
      <c r="AP276" s="61">
        <f>IF(AM276=0,"",AN276/AM276)</f>
        <v/>
      </c>
      <c r="AQ276" s="27" t="n"/>
      <c r="AR276" s="62" t="n"/>
      <c r="AS276" s="62" t="n"/>
      <c r="AT276" s="62">
        <f>AS276-AR276</f>
        <v/>
      </c>
      <c r="AU276" s="64">
        <f>IF(AR276=0,"",AS276/AR276)</f>
        <v/>
      </c>
      <c r="AV276" s="31" t="n"/>
      <c r="AW276" s="60" t="n"/>
      <c r="AX276" s="60" t="n"/>
      <c r="AY276" s="60">
        <f>AX276-AW276</f>
        <v/>
      </c>
      <c r="AZ276" s="61">
        <f>IF(AW276=0,"",AX276/AW276)</f>
        <v/>
      </c>
      <c r="BA276" s="27" t="n"/>
      <c r="BB276" s="62" t="n"/>
      <c r="BC276" s="62" t="n"/>
      <c r="BD276" s="62">
        <f>BC276-BB276</f>
        <v/>
      </c>
      <c r="BE276" s="64">
        <f>IF(BB276=0,"",BC276/BB276)</f>
        <v/>
      </c>
      <c r="BF276" s="31" t="n"/>
      <c r="BG276" s="60" t="n"/>
      <c r="BH276" s="60" t="n"/>
      <c r="BI276" s="60">
        <f>BH276-BG276</f>
        <v/>
      </c>
      <c r="BJ276" s="61">
        <f>IF(BG276=0,"",BH276/BG276)</f>
        <v/>
      </c>
      <c r="BK276" s="27" t="n"/>
      <c r="BL276" s="62" t="n"/>
      <c r="BM276" s="62" t="n"/>
      <c r="BN276" s="62">
        <f>BM276-BL276</f>
        <v/>
      </c>
      <c r="BO276" s="64">
        <f>IF(BL276=0,"",BM276/BL276)</f>
        <v/>
      </c>
      <c r="BP276" s="31" t="n"/>
      <c r="BQ276" s="60" t="n"/>
      <c r="BR276" s="60" t="n"/>
      <c r="BS276" s="60">
        <f>BR276-BQ276</f>
        <v/>
      </c>
      <c r="BT276" s="61">
        <f>IF(BQ276=0,"",BR276/BQ276)</f>
        <v/>
      </c>
      <c r="BU276" s="27" t="n"/>
      <c r="BV276" s="62" t="n"/>
      <c r="BW276" s="62" t="n"/>
      <c r="BX276" s="62">
        <f>BW276-BV276</f>
        <v/>
      </c>
      <c r="BY276" s="64">
        <f>IF(BV276=0,"",BW276/BV276)</f>
        <v/>
      </c>
      <c r="BZ276" s="31" t="n"/>
      <c r="CA276" s="60" t="n"/>
      <c r="CB276" s="60" t="n"/>
      <c r="CC276" s="60">
        <f>CB276-CA276</f>
        <v/>
      </c>
      <c r="CD276" s="61">
        <f>IF(CA276=0,"",CB276/CA276)</f>
        <v/>
      </c>
      <c r="CE276" s="27" t="n"/>
      <c r="CF276" s="62" t="n"/>
      <c r="CG276" s="62" t="n"/>
      <c r="CH276" s="62">
        <f>CG276-CF276</f>
        <v/>
      </c>
      <c r="CI276" s="64">
        <f>IF(CF276=0,"",CG276/CF276)</f>
        <v/>
      </c>
      <c r="CJ276" s="31" t="n"/>
      <c r="CK276" s="60" t="n"/>
      <c r="CL276" s="60" t="n"/>
      <c r="CM276" s="60">
        <f>CL276-CK276</f>
        <v/>
      </c>
      <c r="CN276" s="61">
        <f>IF(CK276=0,"",CL276/CK276)</f>
        <v/>
      </c>
      <c r="CO276" s="27" t="n"/>
      <c r="CP276" s="62" t="n"/>
      <c r="CQ276" s="62" t="n"/>
      <c r="CR276" s="62">
        <f>CQ276-CP276</f>
        <v/>
      </c>
      <c r="CS276" s="64">
        <f>IF(CP276=0,"",CQ276/CP276)</f>
        <v/>
      </c>
      <c r="CT276" s="31" t="n"/>
      <c r="CU276" s="60" t="n"/>
      <c r="CV276" s="60" t="n"/>
      <c r="CW276" s="60">
        <f>CV276-CU276</f>
        <v/>
      </c>
      <c r="CX276" s="61">
        <f>IF(CU276=0,"",CV276/CU276)</f>
        <v/>
      </c>
      <c r="CY276" s="27" t="n"/>
      <c r="CZ276" s="62" t="n"/>
      <c r="DA276" s="62" t="n"/>
      <c r="DB276" s="62">
        <f>DA276-CZ276</f>
        <v/>
      </c>
      <c r="DC276" s="64">
        <f>IF(CZ276=0,"",DA276/CZ276)</f>
        <v/>
      </c>
      <c r="DD276" s="31" t="n"/>
      <c r="DE276" s="60" t="n"/>
      <c r="DF276" s="60" t="n"/>
      <c r="DG276" s="60">
        <f>DF276-DE276</f>
        <v/>
      </c>
      <c r="DH276" s="61">
        <f>IF(DE276=0,"",DF276/DE276)</f>
        <v/>
      </c>
      <c r="DI276" s="27" t="n"/>
      <c r="DJ276" s="62" t="n"/>
      <c r="DK276" s="62" t="n"/>
      <c r="DL276" s="62">
        <f>DK276-DJ276</f>
        <v/>
      </c>
      <c r="DM276" s="64">
        <f>IF(DJ276=0,"",DK276/DJ276)</f>
        <v/>
      </c>
      <c r="DN276" s="31" t="n"/>
      <c r="DO276" s="60" t="n"/>
    </row>
    <row r="277" outlineLevel="1" ht="15" customHeight="1">
      <c r="A277" s="24" t="n"/>
      <c r="B277" s="24" t="n"/>
      <c r="C277" s="24" t="n"/>
      <c r="D277" s="60" t="n"/>
      <c r="E277" s="60" t="n"/>
      <c r="F277" s="60">
        <f>E277-D277</f>
        <v/>
      </c>
      <c r="G277" s="61">
        <f>IF(D277=0,"",E277/D277)</f>
        <v/>
      </c>
      <c r="H277" s="27" t="n"/>
      <c r="I277" s="60" t="n"/>
      <c r="J277" s="60" t="n"/>
      <c r="K277" s="60">
        <f>J277-I277</f>
        <v/>
      </c>
      <c r="L277" s="61">
        <f>IF(I277=0,"",J277/I277)</f>
        <v/>
      </c>
      <c r="M277" s="27" t="n"/>
      <c r="N277" s="62" t="n"/>
      <c r="O277" s="62" t="n"/>
      <c r="P277" s="62">
        <f>O277-N277</f>
        <v/>
      </c>
      <c r="Q277" s="64">
        <f>IF(N277=0,"",O277/N277)</f>
        <v/>
      </c>
      <c r="R277" s="31" t="n"/>
      <c r="S277" s="60" t="n"/>
      <c r="T277" s="60" t="n"/>
      <c r="U277" s="60">
        <f>T277-S277</f>
        <v/>
      </c>
      <c r="V277" s="61">
        <f>IF(S277=0,"",T277/S277)</f>
        <v/>
      </c>
      <c r="W277" s="27" t="n"/>
      <c r="X277" s="62" t="n"/>
      <c r="Y277" s="62" t="n"/>
      <c r="Z277" s="62">
        <f>Y277-X277</f>
        <v/>
      </c>
      <c r="AA277" s="64">
        <f>IF(X277=0,"",Y277/X277)</f>
        <v/>
      </c>
      <c r="AB277" s="31" t="n"/>
      <c r="AC277" s="60" t="n"/>
      <c r="AD277" s="60" t="n"/>
      <c r="AE277" s="60">
        <f>AD277-AC277</f>
        <v/>
      </c>
      <c r="AF277" s="61">
        <f>IF(AC277=0,"",AD277/AC277)</f>
        <v/>
      </c>
      <c r="AG277" s="27" t="n"/>
      <c r="AH277" s="62" t="n"/>
      <c r="AI277" s="62" t="n"/>
      <c r="AJ277" s="62">
        <f>AI277-AH277</f>
        <v/>
      </c>
      <c r="AK277" s="64">
        <f>IF(AH277=0,"",AI277/AH277)</f>
        <v/>
      </c>
      <c r="AL277" s="31" t="n"/>
      <c r="AM277" s="60" t="n"/>
      <c r="AN277" s="60" t="n"/>
      <c r="AO277" s="60">
        <f>AN277-AM277</f>
        <v/>
      </c>
      <c r="AP277" s="61">
        <f>IF(AM277=0,"",AN277/AM277)</f>
        <v/>
      </c>
      <c r="AQ277" s="27" t="n"/>
      <c r="AR277" s="62" t="n"/>
      <c r="AS277" s="62" t="n"/>
      <c r="AT277" s="62">
        <f>AS277-AR277</f>
        <v/>
      </c>
      <c r="AU277" s="64">
        <f>IF(AR277=0,"",AS277/AR277)</f>
        <v/>
      </c>
      <c r="AV277" s="31" t="n"/>
      <c r="AW277" s="60" t="n"/>
      <c r="AX277" s="60" t="n"/>
      <c r="AY277" s="60">
        <f>AX277-AW277</f>
        <v/>
      </c>
      <c r="AZ277" s="61">
        <f>IF(AW277=0,"",AX277/AW277)</f>
        <v/>
      </c>
      <c r="BA277" s="27" t="n"/>
      <c r="BB277" s="62" t="n"/>
      <c r="BC277" s="62" t="n"/>
      <c r="BD277" s="62">
        <f>BC277-BB277</f>
        <v/>
      </c>
      <c r="BE277" s="64">
        <f>IF(BB277=0,"",BC277/BB277)</f>
        <v/>
      </c>
      <c r="BF277" s="31" t="n"/>
      <c r="BG277" s="60" t="n"/>
      <c r="BH277" s="60" t="n"/>
      <c r="BI277" s="60">
        <f>BH277-BG277</f>
        <v/>
      </c>
      <c r="BJ277" s="61">
        <f>IF(BG277=0,"",BH277/BG277)</f>
        <v/>
      </c>
      <c r="BK277" s="27" t="n"/>
      <c r="BL277" s="62" t="n"/>
      <c r="BM277" s="62" t="n"/>
      <c r="BN277" s="62">
        <f>BM277-BL277</f>
        <v/>
      </c>
      <c r="BO277" s="64">
        <f>IF(BL277=0,"",BM277/BL277)</f>
        <v/>
      </c>
      <c r="BP277" s="31" t="n"/>
      <c r="BQ277" s="60" t="n"/>
      <c r="BR277" s="60" t="n"/>
      <c r="BS277" s="60">
        <f>BR277-BQ277</f>
        <v/>
      </c>
      <c r="BT277" s="61">
        <f>IF(BQ277=0,"",BR277/BQ277)</f>
        <v/>
      </c>
      <c r="BU277" s="27" t="n"/>
      <c r="BV277" s="62" t="n"/>
      <c r="BW277" s="62" t="n"/>
      <c r="BX277" s="62">
        <f>BW277-BV277</f>
        <v/>
      </c>
      <c r="BY277" s="64">
        <f>IF(BV277=0,"",BW277/BV277)</f>
        <v/>
      </c>
      <c r="BZ277" s="31" t="n"/>
      <c r="CA277" s="60" t="n"/>
      <c r="CB277" s="60" t="n"/>
      <c r="CC277" s="60">
        <f>CB277-CA277</f>
        <v/>
      </c>
      <c r="CD277" s="61">
        <f>IF(CA277=0,"",CB277/CA277)</f>
        <v/>
      </c>
      <c r="CE277" s="27" t="n"/>
      <c r="CF277" s="62" t="n"/>
      <c r="CG277" s="62" t="n"/>
      <c r="CH277" s="62">
        <f>CG277-CF277</f>
        <v/>
      </c>
      <c r="CI277" s="64">
        <f>IF(CF277=0,"",CG277/CF277)</f>
        <v/>
      </c>
      <c r="CJ277" s="31" t="n"/>
      <c r="CK277" s="60" t="n"/>
      <c r="CL277" s="60" t="n"/>
      <c r="CM277" s="60">
        <f>CL277-CK277</f>
        <v/>
      </c>
      <c r="CN277" s="61">
        <f>IF(CK277=0,"",CL277/CK277)</f>
        <v/>
      </c>
      <c r="CO277" s="27" t="n"/>
      <c r="CP277" s="62" t="n"/>
      <c r="CQ277" s="62" t="n"/>
      <c r="CR277" s="62">
        <f>CQ277-CP277</f>
        <v/>
      </c>
      <c r="CS277" s="64">
        <f>IF(CP277=0,"",CQ277/CP277)</f>
        <v/>
      </c>
      <c r="CT277" s="31" t="n"/>
      <c r="CU277" s="60" t="n"/>
      <c r="CV277" s="60" t="n"/>
      <c r="CW277" s="60">
        <f>CV277-CU277</f>
        <v/>
      </c>
      <c r="CX277" s="61">
        <f>IF(CU277=0,"",CV277/CU277)</f>
        <v/>
      </c>
      <c r="CY277" s="27" t="n"/>
      <c r="CZ277" s="62" t="n"/>
      <c r="DA277" s="62" t="n"/>
      <c r="DB277" s="62">
        <f>DA277-CZ277</f>
        <v/>
      </c>
      <c r="DC277" s="64">
        <f>IF(CZ277=0,"",DA277/CZ277)</f>
        <v/>
      </c>
      <c r="DD277" s="31" t="n"/>
      <c r="DE277" s="60" t="n"/>
      <c r="DF277" s="60" t="n"/>
      <c r="DG277" s="60">
        <f>DF277-DE277</f>
        <v/>
      </c>
      <c r="DH277" s="61">
        <f>IF(DE277=0,"",DF277/DE277)</f>
        <v/>
      </c>
      <c r="DI277" s="27" t="n"/>
      <c r="DJ277" s="62" t="n"/>
      <c r="DK277" s="62" t="n"/>
      <c r="DL277" s="62">
        <f>DK277-DJ277</f>
        <v/>
      </c>
      <c r="DM277" s="64">
        <f>IF(DJ277=0,"",DK277/DJ277)</f>
        <v/>
      </c>
      <c r="DN277" s="31" t="n"/>
      <c r="DO277" s="60" t="n"/>
    </row>
    <row r="278" outlineLevel="1" ht="15" customHeight="1">
      <c r="A278" s="24" t="n"/>
      <c r="B278" s="24" t="n"/>
      <c r="C278" s="24" t="n"/>
      <c r="D278" s="60" t="n"/>
      <c r="E278" s="60" t="n"/>
      <c r="F278" s="60">
        <f>E278-D278</f>
        <v/>
      </c>
      <c r="G278" s="61">
        <f>IF(D278=0,"",E278/D278)</f>
        <v/>
      </c>
      <c r="H278" s="27" t="n"/>
      <c r="I278" s="60" t="n"/>
      <c r="J278" s="60" t="n"/>
      <c r="K278" s="60">
        <f>J278-I278</f>
        <v/>
      </c>
      <c r="L278" s="61">
        <f>IF(I278=0,"",J278/I278)</f>
        <v/>
      </c>
      <c r="M278" s="27" t="n"/>
      <c r="N278" s="62" t="n"/>
      <c r="O278" s="62" t="n"/>
      <c r="P278" s="62">
        <f>O278-N278</f>
        <v/>
      </c>
      <c r="Q278" s="64">
        <f>IF(N278=0,"",O278/N278)</f>
        <v/>
      </c>
      <c r="R278" s="31" t="n"/>
      <c r="S278" s="60" t="n"/>
      <c r="T278" s="60" t="n"/>
      <c r="U278" s="60">
        <f>T278-S278</f>
        <v/>
      </c>
      <c r="V278" s="61">
        <f>IF(S278=0,"",T278/S278)</f>
        <v/>
      </c>
      <c r="W278" s="27" t="n"/>
      <c r="X278" s="62" t="n"/>
      <c r="Y278" s="62" t="n"/>
      <c r="Z278" s="62">
        <f>Y278-X278</f>
        <v/>
      </c>
      <c r="AA278" s="64">
        <f>IF(X278=0,"",Y278/X278)</f>
        <v/>
      </c>
      <c r="AB278" s="31" t="n"/>
      <c r="AC278" s="60" t="n"/>
      <c r="AD278" s="60" t="n"/>
      <c r="AE278" s="60">
        <f>AD278-AC278</f>
        <v/>
      </c>
      <c r="AF278" s="61">
        <f>IF(AC278=0,"",AD278/AC278)</f>
        <v/>
      </c>
      <c r="AG278" s="27" t="n"/>
      <c r="AH278" s="62" t="n"/>
      <c r="AI278" s="62" t="n"/>
      <c r="AJ278" s="62">
        <f>AI278-AH278</f>
        <v/>
      </c>
      <c r="AK278" s="64">
        <f>IF(AH278=0,"",AI278/AH278)</f>
        <v/>
      </c>
      <c r="AL278" s="31" t="n"/>
      <c r="AM278" s="60" t="n"/>
      <c r="AN278" s="60" t="n"/>
      <c r="AO278" s="60">
        <f>AN278-AM278</f>
        <v/>
      </c>
      <c r="AP278" s="61">
        <f>IF(AM278=0,"",AN278/AM278)</f>
        <v/>
      </c>
      <c r="AQ278" s="27" t="n"/>
      <c r="AR278" s="62" t="n"/>
      <c r="AS278" s="62" t="n"/>
      <c r="AT278" s="62">
        <f>AS278-AR278</f>
        <v/>
      </c>
      <c r="AU278" s="64">
        <f>IF(AR278=0,"",AS278/AR278)</f>
        <v/>
      </c>
      <c r="AV278" s="31" t="n"/>
      <c r="AW278" s="60" t="n"/>
      <c r="AX278" s="60" t="n"/>
      <c r="AY278" s="60">
        <f>AX278-AW278</f>
        <v/>
      </c>
      <c r="AZ278" s="61">
        <f>IF(AW278=0,"",AX278/AW278)</f>
        <v/>
      </c>
      <c r="BA278" s="27" t="n"/>
      <c r="BB278" s="62" t="n"/>
      <c r="BC278" s="62" t="n"/>
      <c r="BD278" s="62">
        <f>BC278-BB278</f>
        <v/>
      </c>
      <c r="BE278" s="64">
        <f>IF(BB278=0,"",BC278/BB278)</f>
        <v/>
      </c>
      <c r="BF278" s="31" t="n"/>
      <c r="BG278" s="60" t="n"/>
      <c r="BH278" s="60" t="n"/>
      <c r="BI278" s="60">
        <f>BH278-BG278</f>
        <v/>
      </c>
      <c r="BJ278" s="61">
        <f>IF(BG278=0,"",BH278/BG278)</f>
        <v/>
      </c>
      <c r="BK278" s="27" t="n"/>
      <c r="BL278" s="62" t="n"/>
      <c r="BM278" s="62" t="n"/>
      <c r="BN278" s="62">
        <f>BM278-BL278</f>
        <v/>
      </c>
      <c r="BO278" s="64">
        <f>IF(BL278=0,"",BM278/BL278)</f>
        <v/>
      </c>
      <c r="BP278" s="31" t="n"/>
      <c r="BQ278" s="60" t="n"/>
      <c r="BR278" s="60" t="n"/>
      <c r="BS278" s="60">
        <f>BR278-BQ278</f>
        <v/>
      </c>
      <c r="BT278" s="61">
        <f>IF(BQ278=0,"",BR278/BQ278)</f>
        <v/>
      </c>
      <c r="BU278" s="27" t="n"/>
      <c r="BV278" s="62" t="n"/>
      <c r="BW278" s="62" t="n"/>
      <c r="BX278" s="62">
        <f>BW278-BV278</f>
        <v/>
      </c>
      <c r="BY278" s="64">
        <f>IF(BV278=0,"",BW278/BV278)</f>
        <v/>
      </c>
      <c r="BZ278" s="31" t="n"/>
      <c r="CA278" s="60" t="n"/>
      <c r="CB278" s="60" t="n"/>
      <c r="CC278" s="60">
        <f>CB278-CA278</f>
        <v/>
      </c>
      <c r="CD278" s="61">
        <f>IF(CA278=0,"",CB278/CA278)</f>
        <v/>
      </c>
      <c r="CE278" s="27" t="n"/>
      <c r="CF278" s="62" t="n"/>
      <c r="CG278" s="62" t="n"/>
      <c r="CH278" s="62">
        <f>CG278-CF278</f>
        <v/>
      </c>
      <c r="CI278" s="64">
        <f>IF(CF278=0,"",CG278/CF278)</f>
        <v/>
      </c>
      <c r="CJ278" s="31" t="n"/>
      <c r="CK278" s="60" t="n"/>
      <c r="CL278" s="60" t="n"/>
      <c r="CM278" s="60">
        <f>CL278-CK278</f>
        <v/>
      </c>
      <c r="CN278" s="61">
        <f>IF(CK278=0,"",CL278/CK278)</f>
        <v/>
      </c>
      <c r="CO278" s="27" t="n"/>
      <c r="CP278" s="62" t="n"/>
      <c r="CQ278" s="62" t="n"/>
      <c r="CR278" s="62">
        <f>CQ278-CP278</f>
        <v/>
      </c>
      <c r="CS278" s="64">
        <f>IF(CP278=0,"",CQ278/CP278)</f>
        <v/>
      </c>
      <c r="CT278" s="31" t="n"/>
      <c r="CU278" s="60" t="n"/>
      <c r="CV278" s="60" t="n"/>
      <c r="CW278" s="60">
        <f>CV278-CU278</f>
        <v/>
      </c>
      <c r="CX278" s="61">
        <f>IF(CU278=0,"",CV278/CU278)</f>
        <v/>
      </c>
      <c r="CY278" s="27" t="n"/>
      <c r="CZ278" s="62" t="n"/>
      <c r="DA278" s="62" t="n"/>
      <c r="DB278" s="62">
        <f>DA278-CZ278</f>
        <v/>
      </c>
      <c r="DC278" s="64">
        <f>IF(CZ278=0,"",DA278/CZ278)</f>
        <v/>
      </c>
      <c r="DD278" s="31" t="n"/>
      <c r="DE278" s="60" t="n"/>
      <c r="DF278" s="60" t="n"/>
      <c r="DG278" s="60">
        <f>DF278-DE278</f>
        <v/>
      </c>
      <c r="DH278" s="61">
        <f>IF(DE278=0,"",DF278/DE278)</f>
        <v/>
      </c>
      <c r="DI278" s="27" t="n"/>
      <c r="DJ278" s="62" t="n"/>
      <c r="DK278" s="62" t="n"/>
      <c r="DL278" s="62">
        <f>DK278-DJ278</f>
        <v/>
      </c>
      <c r="DM278" s="64">
        <f>IF(DJ278=0,"",DK278/DJ278)</f>
        <v/>
      </c>
      <c r="DN278" s="31" t="n"/>
      <c r="DO278" s="60" t="n"/>
    </row>
    <row r="279" outlineLevel="1" ht="15" customHeight="1">
      <c r="A279" s="24" t="n"/>
      <c r="B279" s="24" t="n"/>
      <c r="C279" s="24" t="n"/>
      <c r="D279" s="60" t="n"/>
      <c r="E279" s="60" t="n"/>
      <c r="F279" s="60">
        <f>E279-D279</f>
        <v/>
      </c>
      <c r="G279" s="61">
        <f>IF(D279=0,"",E279/D279)</f>
        <v/>
      </c>
      <c r="H279" s="27" t="n"/>
      <c r="I279" s="60" t="n"/>
      <c r="J279" s="60" t="n"/>
      <c r="K279" s="60">
        <f>J279-I279</f>
        <v/>
      </c>
      <c r="L279" s="61">
        <f>IF(I279=0,"",J279/I279)</f>
        <v/>
      </c>
      <c r="M279" s="27" t="n"/>
      <c r="N279" s="62" t="n"/>
      <c r="O279" s="62" t="n"/>
      <c r="P279" s="62">
        <f>O279-N279</f>
        <v/>
      </c>
      <c r="Q279" s="64">
        <f>IF(N279=0,"",O279/N279)</f>
        <v/>
      </c>
      <c r="R279" s="31" t="n"/>
      <c r="S279" s="60" t="n"/>
      <c r="T279" s="60" t="n"/>
      <c r="U279" s="60">
        <f>T279-S279</f>
        <v/>
      </c>
      <c r="V279" s="61">
        <f>IF(S279=0,"",T279/S279)</f>
        <v/>
      </c>
      <c r="W279" s="27" t="n"/>
      <c r="X279" s="62" t="n"/>
      <c r="Y279" s="62" t="n"/>
      <c r="Z279" s="62">
        <f>Y279-X279</f>
        <v/>
      </c>
      <c r="AA279" s="64">
        <f>IF(X279=0,"",Y279/X279)</f>
        <v/>
      </c>
      <c r="AB279" s="31" t="n"/>
      <c r="AC279" s="60" t="n"/>
      <c r="AD279" s="60" t="n"/>
      <c r="AE279" s="60">
        <f>AD279-AC279</f>
        <v/>
      </c>
      <c r="AF279" s="61">
        <f>IF(AC279=0,"",AD279/AC279)</f>
        <v/>
      </c>
      <c r="AG279" s="27" t="n"/>
      <c r="AH279" s="62" t="n"/>
      <c r="AI279" s="62" t="n"/>
      <c r="AJ279" s="62">
        <f>AI279-AH279</f>
        <v/>
      </c>
      <c r="AK279" s="64">
        <f>IF(AH279=0,"",AI279/AH279)</f>
        <v/>
      </c>
      <c r="AL279" s="31" t="n"/>
      <c r="AM279" s="60" t="n"/>
      <c r="AN279" s="60" t="n"/>
      <c r="AO279" s="60">
        <f>AN279-AM279</f>
        <v/>
      </c>
      <c r="AP279" s="61">
        <f>IF(AM279=0,"",AN279/AM279)</f>
        <v/>
      </c>
      <c r="AQ279" s="27" t="n"/>
      <c r="AR279" s="62" t="n"/>
      <c r="AS279" s="62" t="n"/>
      <c r="AT279" s="62">
        <f>AS279-AR279</f>
        <v/>
      </c>
      <c r="AU279" s="64">
        <f>IF(AR279=0,"",AS279/AR279)</f>
        <v/>
      </c>
      <c r="AV279" s="31" t="n"/>
      <c r="AW279" s="60" t="n"/>
      <c r="AX279" s="60" t="n"/>
      <c r="AY279" s="60">
        <f>AX279-AW279</f>
        <v/>
      </c>
      <c r="AZ279" s="61">
        <f>IF(AW279=0,"",AX279/AW279)</f>
        <v/>
      </c>
      <c r="BA279" s="27" t="n"/>
      <c r="BB279" s="62" t="n"/>
      <c r="BC279" s="62" t="n"/>
      <c r="BD279" s="62">
        <f>BC279-BB279</f>
        <v/>
      </c>
      <c r="BE279" s="64">
        <f>IF(BB279=0,"",BC279/BB279)</f>
        <v/>
      </c>
      <c r="BF279" s="31" t="n"/>
      <c r="BG279" s="60" t="n"/>
      <c r="BH279" s="60" t="n"/>
      <c r="BI279" s="60">
        <f>BH279-BG279</f>
        <v/>
      </c>
      <c r="BJ279" s="61">
        <f>IF(BG279=0,"",BH279/BG279)</f>
        <v/>
      </c>
      <c r="BK279" s="27" t="n"/>
      <c r="BL279" s="62" t="n"/>
      <c r="BM279" s="62" t="n"/>
      <c r="BN279" s="62">
        <f>BM279-BL279</f>
        <v/>
      </c>
      <c r="BO279" s="64">
        <f>IF(BL279=0,"",BM279/BL279)</f>
        <v/>
      </c>
      <c r="BP279" s="31" t="n"/>
      <c r="BQ279" s="60" t="n"/>
      <c r="BR279" s="60" t="n"/>
      <c r="BS279" s="60">
        <f>BR279-BQ279</f>
        <v/>
      </c>
      <c r="BT279" s="61">
        <f>IF(BQ279=0,"",BR279/BQ279)</f>
        <v/>
      </c>
      <c r="BU279" s="27" t="n"/>
      <c r="BV279" s="62" t="n"/>
      <c r="BW279" s="62" t="n"/>
      <c r="BX279" s="62">
        <f>BW279-BV279</f>
        <v/>
      </c>
      <c r="BY279" s="64">
        <f>IF(BV279=0,"",BW279/BV279)</f>
        <v/>
      </c>
      <c r="BZ279" s="31" t="n"/>
      <c r="CA279" s="60" t="n"/>
      <c r="CB279" s="60" t="n"/>
      <c r="CC279" s="60">
        <f>CB279-CA279</f>
        <v/>
      </c>
      <c r="CD279" s="61">
        <f>IF(CA279=0,"",CB279/CA279)</f>
        <v/>
      </c>
      <c r="CE279" s="27" t="n"/>
      <c r="CF279" s="62" t="n"/>
      <c r="CG279" s="62" t="n"/>
      <c r="CH279" s="62">
        <f>CG279-CF279</f>
        <v/>
      </c>
      <c r="CI279" s="64">
        <f>IF(CF279=0,"",CG279/CF279)</f>
        <v/>
      </c>
      <c r="CJ279" s="31" t="n"/>
      <c r="CK279" s="60" t="n"/>
      <c r="CL279" s="60" t="n"/>
      <c r="CM279" s="60">
        <f>CL279-CK279</f>
        <v/>
      </c>
      <c r="CN279" s="61">
        <f>IF(CK279=0,"",CL279/CK279)</f>
        <v/>
      </c>
      <c r="CO279" s="27" t="n"/>
      <c r="CP279" s="62" t="n"/>
      <c r="CQ279" s="62" t="n"/>
      <c r="CR279" s="62">
        <f>CQ279-CP279</f>
        <v/>
      </c>
      <c r="CS279" s="64">
        <f>IF(CP279=0,"",CQ279/CP279)</f>
        <v/>
      </c>
      <c r="CT279" s="31" t="n"/>
      <c r="CU279" s="60" t="n"/>
      <c r="CV279" s="60" t="n"/>
      <c r="CW279" s="60">
        <f>CV279-CU279</f>
        <v/>
      </c>
      <c r="CX279" s="61">
        <f>IF(CU279=0,"",CV279/CU279)</f>
        <v/>
      </c>
      <c r="CY279" s="27" t="n"/>
      <c r="CZ279" s="62" t="n"/>
      <c r="DA279" s="62" t="n"/>
      <c r="DB279" s="62">
        <f>DA279-CZ279</f>
        <v/>
      </c>
      <c r="DC279" s="64">
        <f>IF(CZ279=0,"",DA279/CZ279)</f>
        <v/>
      </c>
      <c r="DD279" s="31" t="n"/>
      <c r="DE279" s="60" t="n"/>
      <c r="DF279" s="60" t="n"/>
      <c r="DG279" s="60">
        <f>DF279-DE279</f>
        <v/>
      </c>
      <c r="DH279" s="61">
        <f>IF(DE279=0,"",DF279/DE279)</f>
        <v/>
      </c>
      <c r="DI279" s="27" t="n"/>
      <c r="DJ279" s="62" t="n"/>
      <c r="DK279" s="62" t="n"/>
      <c r="DL279" s="62">
        <f>DK279-DJ279</f>
        <v/>
      </c>
      <c r="DM279" s="64">
        <f>IF(DJ279=0,"",DK279/DJ279)</f>
        <v/>
      </c>
      <c r="DN279" s="31" t="n"/>
      <c r="DO279" s="60" t="n"/>
    </row>
    <row r="280" outlineLevel="1" ht="15" customHeight="1">
      <c r="A280" s="24" t="n"/>
      <c r="B280" s="24" t="n"/>
      <c r="C280" s="24" t="n"/>
      <c r="D280" s="60" t="n"/>
      <c r="E280" s="60" t="n"/>
      <c r="F280" s="60">
        <f>E280-D280</f>
        <v/>
      </c>
      <c r="G280" s="61">
        <f>IF(D280=0,"",E280/D280)</f>
        <v/>
      </c>
      <c r="H280" s="27" t="n"/>
      <c r="I280" s="60" t="n"/>
      <c r="J280" s="60" t="n"/>
      <c r="K280" s="60">
        <f>J280-I280</f>
        <v/>
      </c>
      <c r="L280" s="61">
        <f>IF(I280=0,"",J280/I280)</f>
        <v/>
      </c>
      <c r="M280" s="27" t="n"/>
      <c r="N280" s="62" t="n"/>
      <c r="O280" s="62" t="n"/>
      <c r="P280" s="62">
        <f>O280-N280</f>
        <v/>
      </c>
      <c r="Q280" s="64">
        <f>IF(N280=0,"",O280/N280)</f>
        <v/>
      </c>
      <c r="R280" s="31" t="n"/>
      <c r="S280" s="60" t="n"/>
      <c r="T280" s="60" t="n"/>
      <c r="U280" s="60">
        <f>T280-S280</f>
        <v/>
      </c>
      <c r="V280" s="61">
        <f>IF(S280=0,"",T280/S280)</f>
        <v/>
      </c>
      <c r="W280" s="27" t="n"/>
      <c r="X280" s="62" t="n"/>
      <c r="Y280" s="62" t="n"/>
      <c r="Z280" s="62">
        <f>Y280-X280</f>
        <v/>
      </c>
      <c r="AA280" s="64">
        <f>IF(X280=0,"",Y280/X280)</f>
        <v/>
      </c>
      <c r="AB280" s="31" t="n"/>
      <c r="AC280" s="60" t="n"/>
      <c r="AD280" s="60" t="n"/>
      <c r="AE280" s="60">
        <f>AD280-AC280</f>
        <v/>
      </c>
      <c r="AF280" s="61">
        <f>IF(AC280=0,"",AD280/AC280)</f>
        <v/>
      </c>
      <c r="AG280" s="27" t="n"/>
      <c r="AH280" s="62" t="n"/>
      <c r="AI280" s="62" t="n"/>
      <c r="AJ280" s="62">
        <f>AI280-AH280</f>
        <v/>
      </c>
      <c r="AK280" s="64">
        <f>IF(AH280=0,"",AI280/AH280)</f>
        <v/>
      </c>
      <c r="AL280" s="31" t="n"/>
      <c r="AM280" s="60" t="n"/>
      <c r="AN280" s="60" t="n"/>
      <c r="AO280" s="60">
        <f>AN280-AM280</f>
        <v/>
      </c>
      <c r="AP280" s="61">
        <f>IF(AM280=0,"",AN280/AM280)</f>
        <v/>
      </c>
      <c r="AQ280" s="27" t="n"/>
      <c r="AR280" s="62" t="n"/>
      <c r="AS280" s="62" t="n"/>
      <c r="AT280" s="62">
        <f>AS280-AR280</f>
        <v/>
      </c>
      <c r="AU280" s="64">
        <f>IF(AR280=0,"",AS280/AR280)</f>
        <v/>
      </c>
      <c r="AV280" s="31" t="n"/>
      <c r="AW280" s="60" t="n"/>
      <c r="AX280" s="60" t="n"/>
      <c r="AY280" s="60">
        <f>AX280-AW280</f>
        <v/>
      </c>
      <c r="AZ280" s="61">
        <f>IF(AW280=0,"",AX280/AW280)</f>
        <v/>
      </c>
      <c r="BA280" s="27" t="n"/>
      <c r="BB280" s="62" t="n"/>
      <c r="BC280" s="62" t="n"/>
      <c r="BD280" s="62">
        <f>BC280-BB280</f>
        <v/>
      </c>
      <c r="BE280" s="64">
        <f>IF(BB280=0,"",BC280/BB280)</f>
        <v/>
      </c>
      <c r="BF280" s="31" t="n"/>
      <c r="BG280" s="60" t="n"/>
      <c r="BH280" s="60" t="n"/>
      <c r="BI280" s="60">
        <f>BH280-BG280</f>
        <v/>
      </c>
      <c r="BJ280" s="61">
        <f>IF(BG280=0,"",BH280/BG280)</f>
        <v/>
      </c>
      <c r="BK280" s="27" t="n"/>
      <c r="BL280" s="62" t="n"/>
      <c r="BM280" s="62" t="n"/>
      <c r="BN280" s="62">
        <f>BM280-BL280</f>
        <v/>
      </c>
      <c r="BO280" s="64">
        <f>IF(BL280=0,"",BM280/BL280)</f>
        <v/>
      </c>
      <c r="BP280" s="31" t="n"/>
      <c r="BQ280" s="60" t="n"/>
      <c r="BR280" s="60" t="n"/>
      <c r="BS280" s="60">
        <f>BR280-BQ280</f>
        <v/>
      </c>
      <c r="BT280" s="61">
        <f>IF(BQ280=0,"",BR280/BQ280)</f>
        <v/>
      </c>
      <c r="BU280" s="27" t="n"/>
      <c r="BV280" s="62" t="n"/>
      <c r="BW280" s="62" t="n"/>
      <c r="BX280" s="62">
        <f>BW280-BV280</f>
        <v/>
      </c>
      <c r="BY280" s="64">
        <f>IF(BV280=0,"",BW280/BV280)</f>
        <v/>
      </c>
      <c r="BZ280" s="31" t="n"/>
      <c r="CA280" s="60" t="n"/>
      <c r="CB280" s="60" t="n"/>
      <c r="CC280" s="60">
        <f>CB280-CA280</f>
        <v/>
      </c>
      <c r="CD280" s="61">
        <f>IF(CA280=0,"",CB280/CA280)</f>
        <v/>
      </c>
      <c r="CE280" s="27" t="n"/>
      <c r="CF280" s="62" t="n"/>
      <c r="CG280" s="62" t="n"/>
      <c r="CH280" s="62">
        <f>CG280-CF280</f>
        <v/>
      </c>
      <c r="CI280" s="64">
        <f>IF(CF280=0,"",CG280/CF280)</f>
        <v/>
      </c>
      <c r="CJ280" s="31" t="n"/>
      <c r="CK280" s="60" t="n"/>
      <c r="CL280" s="60" t="n"/>
      <c r="CM280" s="60">
        <f>CL280-CK280</f>
        <v/>
      </c>
      <c r="CN280" s="61">
        <f>IF(CK280=0,"",CL280/CK280)</f>
        <v/>
      </c>
      <c r="CO280" s="27" t="n"/>
      <c r="CP280" s="62" t="n"/>
      <c r="CQ280" s="62" t="n"/>
      <c r="CR280" s="62">
        <f>CQ280-CP280</f>
        <v/>
      </c>
      <c r="CS280" s="64">
        <f>IF(CP280=0,"",CQ280/CP280)</f>
        <v/>
      </c>
      <c r="CT280" s="31" t="n"/>
      <c r="CU280" s="60" t="n"/>
      <c r="CV280" s="60" t="n"/>
      <c r="CW280" s="60">
        <f>CV280-CU280</f>
        <v/>
      </c>
      <c r="CX280" s="61">
        <f>IF(CU280=0,"",CV280/CU280)</f>
        <v/>
      </c>
      <c r="CY280" s="27" t="n"/>
      <c r="CZ280" s="62" t="n"/>
      <c r="DA280" s="62" t="n"/>
      <c r="DB280" s="62">
        <f>DA280-CZ280</f>
        <v/>
      </c>
      <c r="DC280" s="64">
        <f>IF(CZ280=0,"",DA280/CZ280)</f>
        <v/>
      </c>
      <c r="DD280" s="31" t="n"/>
      <c r="DE280" s="60" t="n"/>
      <c r="DF280" s="60" t="n"/>
      <c r="DG280" s="60">
        <f>DF280-DE280</f>
        <v/>
      </c>
      <c r="DH280" s="61">
        <f>IF(DE280=0,"",DF280/DE280)</f>
        <v/>
      </c>
      <c r="DI280" s="27" t="n"/>
      <c r="DJ280" s="62" t="n"/>
      <c r="DK280" s="62" t="n"/>
      <c r="DL280" s="62">
        <f>DK280-DJ280</f>
        <v/>
      </c>
      <c r="DM280" s="64">
        <f>IF(DJ280=0,"",DK280/DJ280)</f>
        <v/>
      </c>
      <c r="DN280" s="31" t="n"/>
      <c r="DO280" s="60" t="n"/>
    </row>
    <row r="281" outlineLevel="1" ht="15" customHeight="1">
      <c r="A281" s="24" t="n"/>
      <c r="B281" s="24" t="n"/>
      <c r="C281" s="24" t="n"/>
      <c r="D281" s="60" t="n"/>
      <c r="E281" s="60" t="n"/>
      <c r="F281" s="60">
        <f>E281-D281</f>
        <v/>
      </c>
      <c r="G281" s="61">
        <f>IF(D281=0,"",E281/D281)</f>
        <v/>
      </c>
      <c r="H281" s="27" t="n"/>
      <c r="I281" s="60" t="n"/>
      <c r="J281" s="60" t="n"/>
      <c r="K281" s="60">
        <f>J281-I281</f>
        <v/>
      </c>
      <c r="L281" s="61">
        <f>IF(I281=0,"",J281/I281)</f>
        <v/>
      </c>
      <c r="M281" s="27" t="n"/>
      <c r="N281" s="62" t="n"/>
      <c r="O281" s="62" t="n"/>
      <c r="P281" s="62">
        <f>O281-N281</f>
        <v/>
      </c>
      <c r="Q281" s="64">
        <f>IF(N281=0,"",O281/N281)</f>
        <v/>
      </c>
      <c r="R281" s="31" t="n"/>
      <c r="S281" s="60" t="n"/>
      <c r="T281" s="60" t="n"/>
      <c r="U281" s="60">
        <f>T281-S281</f>
        <v/>
      </c>
      <c r="V281" s="61">
        <f>IF(S281=0,"",T281/S281)</f>
        <v/>
      </c>
      <c r="W281" s="27" t="n"/>
      <c r="X281" s="62" t="n"/>
      <c r="Y281" s="62" t="n"/>
      <c r="Z281" s="62">
        <f>Y281-X281</f>
        <v/>
      </c>
      <c r="AA281" s="64">
        <f>IF(X281=0,"",Y281/X281)</f>
        <v/>
      </c>
      <c r="AB281" s="31" t="n"/>
      <c r="AC281" s="60" t="n"/>
      <c r="AD281" s="60" t="n"/>
      <c r="AE281" s="60">
        <f>AD281-AC281</f>
        <v/>
      </c>
      <c r="AF281" s="61">
        <f>IF(AC281=0,"",AD281/AC281)</f>
        <v/>
      </c>
      <c r="AG281" s="27" t="n"/>
      <c r="AH281" s="62" t="n"/>
      <c r="AI281" s="62" t="n"/>
      <c r="AJ281" s="62">
        <f>AI281-AH281</f>
        <v/>
      </c>
      <c r="AK281" s="64">
        <f>IF(AH281=0,"",AI281/AH281)</f>
        <v/>
      </c>
      <c r="AL281" s="31" t="n"/>
      <c r="AM281" s="60" t="n"/>
      <c r="AN281" s="60" t="n"/>
      <c r="AO281" s="60">
        <f>AN281-AM281</f>
        <v/>
      </c>
      <c r="AP281" s="61">
        <f>IF(AM281=0,"",AN281/AM281)</f>
        <v/>
      </c>
      <c r="AQ281" s="27" t="n"/>
      <c r="AR281" s="62" t="n"/>
      <c r="AS281" s="62" t="n"/>
      <c r="AT281" s="62">
        <f>AS281-AR281</f>
        <v/>
      </c>
      <c r="AU281" s="64">
        <f>IF(AR281=0,"",AS281/AR281)</f>
        <v/>
      </c>
      <c r="AV281" s="31" t="n"/>
      <c r="AW281" s="60" t="n"/>
      <c r="AX281" s="60" t="n"/>
      <c r="AY281" s="60">
        <f>AX281-AW281</f>
        <v/>
      </c>
      <c r="AZ281" s="61">
        <f>IF(AW281=0,"",AX281/AW281)</f>
        <v/>
      </c>
      <c r="BA281" s="27" t="n"/>
      <c r="BB281" s="62" t="n"/>
      <c r="BC281" s="62" t="n"/>
      <c r="BD281" s="62">
        <f>BC281-BB281</f>
        <v/>
      </c>
      <c r="BE281" s="64">
        <f>IF(BB281=0,"",BC281/BB281)</f>
        <v/>
      </c>
      <c r="BF281" s="31" t="n"/>
      <c r="BG281" s="60" t="n"/>
      <c r="BH281" s="60" t="n"/>
      <c r="BI281" s="60">
        <f>BH281-BG281</f>
        <v/>
      </c>
      <c r="BJ281" s="61">
        <f>IF(BG281=0,"",BH281/BG281)</f>
        <v/>
      </c>
      <c r="BK281" s="27" t="n"/>
      <c r="BL281" s="62" t="n"/>
      <c r="BM281" s="62" t="n"/>
      <c r="BN281" s="62">
        <f>BM281-BL281</f>
        <v/>
      </c>
      <c r="BO281" s="64">
        <f>IF(BL281=0,"",BM281/BL281)</f>
        <v/>
      </c>
      <c r="BP281" s="31" t="n"/>
      <c r="BQ281" s="60" t="n"/>
      <c r="BR281" s="60" t="n"/>
      <c r="BS281" s="60">
        <f>BR281-BQ281</f>
        <v/>
      </c>
      <c r="BT281" s="61">
        <f>IF(BQ281=0,"",BR281/BQ281)</f>
        <v/>
      </c>
      <c r="BU281" s="27" t="n"/>
      <c r="BV281" s="62" t="n"/>
      <c r="BW281" s="62" t="n"/>
      <c r="BX281" s="62">
        <f>BW281-BV281</f>
        <v/>
      </c>
      <c r="BY281" s="64">
        <f>IF(BV281=0,"",BW281/BV281)</f>
        <v/>
      </c>
      <c r="BZ281" s="31" t="n"/>
      <c r="CA281" s="60" t="n"/>
      <c r="CB281" s="60" t="n"/>
      <c r="CC281" s="60">
        <f>CB281-CA281</f>
        <v/>
      </c>
      <c r="CD281" s="61">
        <f>IF(CA281=0,"",CB281/CA281)</f>
        <v/>
      </c>
      <c r="CE281" s="27" t="n"/>
      <c r="CF281" s="62" t="n"/>
      <c r="CG281" s="62" t="n"/>
      <c r="CH281" s="62">
        <f>CG281-CF281</f>
        <v/>
      </c>
      <c r="CI281" s="64">
        <f>IF(CF281=0,"",CG281/CF281)</f>
        <v/>
      </c>
      <c r="CJ281" s="31" t="n"/>
      <c r="CK281" s="60" t="n"/>
      <c r="CL281" s="60" t="n"/>
      <c r="CM281" s="60">
        <f>CL281-CK281</f>
        <v/>
      </c>
      <c r="CN281" s="61">
        <f>IF(CK281=0,"",CL281/CK281)</f>
        <v/>
      </c>
      <c r="CO281" s="27" t="n"/>
      <c r="CP281" s="62" t="n"/>
      <c r="CQ281" s="62" t="n"/>
      <c r="CR281" s="62">
        <f>CQ281-CP281</f>
        <v/>
      </c>
      <c r="CS281" s="64">
        <f>IF(CP281=0,"",CQ281/CP281)</f>
        <v/>
      </c>
      <c r="CT281" s="31" t="n"/>
      <c r="CU281" s="60" t="n"/>
      <c r="CV281" s="60" t="n"/>
      <c r="CW281" s="60">
        <f>CV281-CU281</f>
        <v/>
      </c>
      <c r="CX281" s="61">
        <f>IF(CU281=0,"",CV281/CU281)</f>
        <v/>
      </c>
      <c r="CY281" s="27" t="n"/>
      <c r="CZ281" s="62" t="n"/>
      <c r="DA281" s="62" t="n"/>
      <c r="DB281" s="62">
        <f>DA281-CZ281</f>
        <v/>
      </c>
      <c r="DC281" s="64">
        <f>IF(CZ281=0,"",DA281/CZ281)</f>
        <v/>
      </c>
      <c r="DD281" s="31" t="n"/>
      <c r="DE281" s="60" t="n"/>
      <c r="DF281" s="60" t="n"/>
      <c r="DG281" s="60">
        <f>DF281-DE281</f>
        <v/>
      </c>
      <c r="DH281" s="61">
        <f>IF(DE281=0,"",DF281/DE281)</f>
        <v/>
      </c>
      <c r="DI281" s="27" t="n"/>
      <c r="DJ281" s="62" t="n"/>
      <c r="DK281" s="62" t="n"/>
      <c r="DL281" s="62">
        <f>DK281-DJ281</f>
        <v/>
      </c>
      <c r="DM281" s="64">
        <f>IF(DJ281=0,"",DK281/DJ281)</f>
        <v/>
      </c>
      <c r="DN281" s="31" t="n"/>
      <c r="DO281" s="60" t="n"/>
    </row>
    <row r="282" outlineLevel="1" ht="15" customHeight="1">
      <c r="A282" s="24" t="n"/>
      <c r="B282" s="24" t="n"/>
      <c r="C282" s="24" t="n"/>
      <c r="D282" s="60" t="n"/>
      <c r="E282" s="60" t="n"/>
      <c r="F282" s="60">
        <f>E282-D282</f>
        <v/>
      </c>
      <c r="G282" s="61">
        <f>IF(D282=0,"",E282/D282)</f>
        <v/>
      </c>
      <c r="H282" s="27" t="n"/>
      <c r="I282" s="60" t="n"/>
      <c r="J282" s="60" t="n"/>
      <c r="K282" s="60">
        <f>J282-I282</f>
        <v/>
      </c>
      <c r="L282" s="61">
        <f>IF(I282=0,"",J282/I282)</f>
        <v/>
      </c>
      <c r="M282" s="27" t="n"/>
      <c r="N282" s="62" t="n"/>
      <c r="O282" s="62" t="n"/>
      <c r="P282" s="63">
        <f>O282-N282</f>
        <v/>
      </c>
      <c r="Q282" s="64">
        <f>IF(N282=0,"",O282/N282)</f>
        <v/>
      </c>
      <c r="R282" s="31" t="n"/>
      <c r="S282" s="60" t="n"/>
      <c r="T282" s="60" t="n"/>
      <c r="U282" s="60">
        <f>T282-S282</f>
        <v/>
      </c>
      <c r="V282" s="61">
        <f>IF(S282=0,"",T282/S282)</f>
        <v/>
      </c>
      <c r="W282" s="27" t="n"/>
      <c r="X282" s="62" t="n"/>
      <c r="Y282" s="62" t="n"/>
      <c r="Z282" s="62">
        <f>Y282-X282</f>
        <v/>
      </c>
      <c r="AA282" s="64">
        <f>IF(X282=0,"",Y282/X282)</f>
        <v/>
      </c>
      <c r="AB282" s="31" t="n"/>
      <c r="AC282" s="60" t="n"/>
      <c r="AD282" s="60" t="n"/>
      <c r="AE282" s="60">
        <f>AD282-AC282</f>
        <v/>
      </c>
      <c r="AF282" s="61">
        <f>IF(AC282=0,"",AD282/AC282)</f>
        <v/>
      </c>
      <c r="AG282" s="27" t="n"/>
      <c r="AH282" s="62" t="n"/>
      <c r="AI282" s="62" t="n"/>
      <c r="AJ282" s="62">
        <f>AI282-AH282</f>
        <v/>
      </c>
      <c r="AK282" s="64">
        <f>IF(AH282=0,"",AI282/AH282)</f>
        <v/>
      </c>
      <c r="AL282" s="31" t="n"/>
      <c r="AM282" s="60" t="n"/>
      <c r="AN282" s="60" t="n"/>
      <c r="AO282" s="60">
        <f>AN282-AM282</f>
        <v/>
      </c>
      <c r="AP282" s="61">
        <f>IF(AM282=0,"",AN282/AM282)</f>
        <v/>
      </c>
      <c r="AQ282" s="27" t="n"/>
      <c r="AR282" s="62" t="n"/>
      <c r="AS282" s="62" t="n"/>
      <c r="AT282" s="62">
        <f>AS282-AR282</f>
        <v/>
      </c>
      <c r="AU282" s="64">
        <f>IF(AR282=0,"",AS282/AR282)</f>
        <v/>
      </c>
      <c r="AV282" s="31" t="n"/>
      <c r="AW282" s="60" t="n"/>
      <c r="AX282" s="60" t="n"/>
      <c r="AY282" s="60">
        <f>AX282-AW282</f>
        <v/>
      </c>
      <c r="AZ282" s="61">
        <f>IF(AW282=0,"",AX282/AW282)</f>
        <v/>
      </c>
      <c r="BA282" s="27" t="n"/>
      <c r="BB282" s="62" t="n"/>
      <c r="BC282" s="62" t="n"/>
      <c r="BD282" s="62">
        <f>BC282-BB282</f>
        <v/>
      </c>
      <c r="BE282" s="64">
        <f>IF(BB282=0,"",BC282/BB282)</f>
        <v/>
      </c>
      <c r="BF282" s="31" t="n"/>
      <c r="BG282" s="60" t="n"/>
      <c r="BH282" s="60" t="n"/>
      <c r="BI282" s="60">
        <f>BH282-BG282</f>
        <v/>
      </c>
      <c r="BJ282" s="61">
        <f>IF(BG282=0,"",BH282/BG282)</f>
        <v/>
      </c>
      <c r="BK282" s="27" t="n"/>
      <c r="BL282" s="62" t="n"/>
      <c r="BM282" s="62" t="n"/>
      <c r="BN282" s="62">
        <f>BM282-BL282</f>
        <v/>
      </c>
      <c r="BO282" s="64">
        <f>IF(BL282=0,"",BM282/BL282)</f>
        <v/>
      </c>
      <c r="BP282" s="31" t="n"/>
      <c r="BQ282" s="60" t="n"/>
      <c r="BR282" s="60" t="n"/>
      <c r="BS282" s="60">
        <f>BR282-BQ282</f>
        <v/>
      </c>
      <c r="BT282" s="61">
        <f>IF(BQ282=0,"",BR282/BQ282)</f>
        <v/>
      </c>
      <c r="BU282" s="27" t="n"/>
      <c r="BV282" s="62" t="n"/>
      <c r="BW282" s="62" t="n"/>
      <c r="BX282" s="62">
        <f>BW282-BV282</f>
        <v/>
      </c>
      <c r="BY282" s="64">
        <f>IF(BV282=0,"",BW282/BV282)</f>
        <v/>
      </c>
      <c r="BZ282" s="31" t="n"/>
      <c r="CA282" s="60" t="n"/>
      <c r="CB282" s="60" t="n"/>
      <c r="CC282" s="60">
        <f>CB282-CA282</f>
        <v/>
      </c>
      <c r="CD282" s="61">
        <f>IF(CA282=0,"",CB282/CA282)</f>
        <v/>
      </c>
      <c r="CE282" s="27" t="n"/>
      <c r="CF282" s="62" t="n"/>
      <c r="CG282" s="62" t="n"/>
      <c r="CH282" s="62">
        <f>CG282-CF282</f>
        <v/>
      </c>
      <c r="CI282" s="64">
        <f>IF(CF282=0,"",CG282/CF282)</f>
        <v/>
      </c>
      <c r="CJ282" s="31" t="n"/>
      <c r="CK282" s="60" t="n"/>
      <c r="CL282" s="60" t="n"/>
      <c r="CM282" s="60">
        <f>CL282-CK282</f>
        <v/>
      </c>
      <c r="CN282" s="61">
        <f>IF(CK282=0,"",CL282/CK282)</f>
        <v/>
      </c>
      <c r="CO282" s="27" t="n"/>
      <c r="CP282" s="62" t="n"/>
      <c r="CQ282" s="62" t="n"/>
      <c r="CR282" s="62">
        <f>CQ282-CP282</f>
        <v/>
      </c>
      <c r="CS282" s="64">
        <f>IF(CP282=0,"",CQ282/CP282)</f>
        <v/>
      </c>
      <c r="CT282" s="31" t="n"/>
      <c r="CU282" s="60" t="n"/>
      <c r="CV282" s="60" t="n"/>
      <c r="CW282" s="60">
        <f>CV282-CU282</f>
        <v/>
      </c>
      <c r="CX282" s="61">
        <f>IF(CU282=0,"",CV282/CU282)</f>
        <v/>
      </c>
      <c r="CY282" s="27" t="n"/>
      <c r="CZ282" s="62" t="n"/>
      <c r="DA282" s="62" t="n"/>
      <c r="DB282" s="62">
        <f>DA282-CZ282</f>
        <v/>
      </c>
      <c r="DC282" s="64">
        <f>IF(CZ282=0,"",DA282/CZ282)</f>
        <v/>
      </c>
      <c r="DD282" s="31" t="n"/>
      <c r="DE282" s="60" t="n"/>
      <c r="DF282" s="60" t="n"/>
      <c r="DG282" s="60">
        <f>DF282-DE282</f>
        <v/>
      </c>
      <c r="DH282" s="61">
        <f>IF(DE282=0,"",DF282/DE282)</f>
        <v/>
      </c>
      <c r="DI282" s="27" t="n"/>
      <c r="DJ282" s="62" t="n"/>
      <c r="DK282" s="62" t="n"/>
      <c r="DL282" s="62">
        <f>DK282-DJ282</f>
        <v/>
      </c>
      <c r="DM282" s="64">
        <f>IF(DJ282=0,"",DK282/DJ282)</f>
        <v/>
      </c>
      <c r="DN282" s="31" t="n"/>
      <c r="DO282" s="60" t="n"/>
    </row>
    <row r="283" outlineLevel="1" ht="15" customHeight="1">
      <c r="A283" s="24" t="n"/>
      <c r="B283" s="24" t="n"/>
      <c r="C283" s="24" t="n"/>
      <c r="D283" s="60" t="n"/>
      <c r="E283" s="60" t="n"/>
      <c r="F283" s="60">
        <f>E283-D283</f>
        <v/>
      </c>
      <c r="G283" s="61">
        <f>IF(D283=0,"",E283/D283)</f>
        <v/>
      </c>
      <c r="H283" s="27" t="n"/>
      <c r="I283" s="60" t="n"/>
      <c r="J283" s="60" t="n"/>
      <c r="K283" s="60">
        <f>J283-I283</f>
        <v/>
      </c>
      <c r="L283" s="61">
        <f>IF(I283=0,"",J283/I283)</f>
        <v/>
      </c>
      <c r="M283" s="27" t="n"/>
      <c r="N283" s="62" t="n"/>
      <c r="O283" s="62" t="n"/>
      <c r="P283" s="62">
        <f>O283-N283</f>
        <v/>
      </c>
      <c r="Q283" s="64">
        <f>IF(N283=0,"",O283/N283)</f>
        <v/>
      </c>
      <c r="R283" s="31" t="n"/>
      <c r="S283" s="60" t="n"/>
      <c r="T283" s="60" t="n"/>
      <c r="U283" s="60">
        <f>T283-S283</f>
        <v/>
      </c>
      <c r="V283" s="61">
        <f>IF(S283=0,"",T283/S283)</f>
        <v/>
      </c>
      <c r="W283" s="27" t="n"/>
      <c r="X283" s="62" t="n"/>
      <c r="Y283" s="62" t="n"/>
      <c r="Z283" s="62">
        <f>Y283-X283</f>
        <v/>
      </c>
      <c r="AA283" s="64">
        <f>IF(X283=0,"",Y283/X283)</f>
        <v/>
      </c>
      <c r="AB283" s="31" t="n"/>
      <c r="AC283" s="60" t="n"/>
      <c r="AD283" s="60" t="n"/>
      <c r="AE283" s="60">
        <f>AD283-AC283</f>
        <v/>
      </c>
      <c r="AF283" s="61">
        <f>IF(AC283=0,"",AD283/AC283)</f>
        <v/>
      </c>
      <c r="AG283" s="27" t="n"/>
      <c r="AH283" s="62" t="n"/>
      <c r="AI283" s="62" t="n"/>
      <c r="AJ283" s="62">
        <f>AI283-AH283</f>
        <v/>
      </c>
      <c r="AK283" s="64">
        <f>IF(AH283=0,"",AI283/AH283)</f>
        <v/>
      </c>
      <c r="AL283" s="31" t="n"/>
      <c r="AM283" s="60" t="n"/>
      <c r="AN283" s="60" t="n"/>
      <c r="AO283" s="60">
        <f>AN283-AM283</f>
        <v/>
      </c>
      <c r="AP283" s="61">
        <f>IF(AM283=0,"",AN283/AM283)</f>
        <v/>
      </c>
      <c r="AQ283" s="27" t="n"/>
      <c r="AR283" s="62" t="n"/>
      <c r="AS283" s="62" t="n"/>
      <c r="AT283" s="62">
        <f>AS283-AR283</f>
        <v/>
      </c>
      <c r="AU283" s="64">
        <f>IF(AR283=0,"",AS283/AR283)</f>
        <v/>
      </c>
      <c r="AV283" s="31" t="n"/>
      <c r="AW283" s="60" t="n"/>
      <c r="AX283" s="60" t="n"/>
      <c r="AY283" s="60">
        <f>AX283-AW283</f>
        <v/>
      </c>
      <c r="AZ283" s="61">
        <f>IF(AW283=0,"",AX283/AW283)</f>
        <v/>
      </c>
      <c r="BA283" s="27" t="n"/>
      <c r="BB283" s="62" t="n"/>
      <c r="BC283" s="62" t="n"/>
      <c r="BD283" s="62">
        <f>BC283-BB283</f>
        <v/>
      </c>
      <c r="BE283" s="64">
        <f>IF(BB283=0,"",BC283/BB283)</f>
        <v/>
      </c>
      <c r="BF283" s="31" t="n"/>
      <c r="BG283" s="60" t="n"/>
      <c r="BH283" s="60" t="n"/>
      <c r="BI283" s="60">
        <f>BH283-BG283</f>
        <v/>
      </c>
      <c r="BJ283" s="61">
        <f>IF(BG283=0,"",BH283/BG283)</f>
        <v/>
      </c>
      <c r="BK283" s="27" t="n"/>
      <c r="BL283" s="62" t="n"/>
      <c r="BM283" s="62" t="n"/>
      <c r="BN283" s="62">
        <f>BM283-BL283</f>
        <v/>
      </c>
      <c r="BO283" s="64">
        <f>IF(BL283=0,"",BM283/BL283)</f>
        <v/>
      </c>
      <c r="BP283" s="31" t="n"/>
      <c r="BQ283" s="60" t="n"/>
      <c r="BR283" s="60" t="n"/>
      <c r="BS283" s="60">
        <f>BR283-BQ283</f>
        <v/>
      </c>
      <c r="BT283" s="61">
        <f>IF(BQ283=0,"",BR283/BQ283)</f>
        <v/>
      </c>
      <c r="BU283" s="27" t="n"/>
      <c r="BV283" s="62" t="n"/>
      <c r="BW283" s="62" t="n"/>
      <c r="BX283" s="62">
        <f>BW283-BV283</f>
        <v/>
      </c>
      <c r="BY283" s="64">
        <f>IF(BV283=0,"",BW283/BV283)</f>
        <v/>
      </c>
      <c r="BZ283" s="31" t="n"/>
      <c r="CA283" s="60" t="n"/>
      <c r="CB283" s="60" t="n"/>
      <c r="CC283" s="60">
        <f>CB283-CA283</f>
        <v/>
      </c>
      <c r="CD283" s="61">
        <f>IF(CA283=0,"",CB283/CA283)</f>
        <v/>
      </c>
      <c r="CE283" s="27" t="n"/>
      <c r="CF283" s="62" t="n"/>
      <c r="CG283" s="62" t="n"/>
      <c r="CH283" s="62">
        <f>CG283-CF283</f>
        <v/>
      </c>
      <c r="CI283" s="64">
        <f>IF(CF283=0,"",CG283/CF283)</f>
        <v/>
      </c>
      <c r="CJ283" s="31" t="n"/>
      <c r="CK283" s="60" t="n"/>
      <c r="CL283" s="60" t="n"/>
      <c r="CM283" s="60">
        <f>CL283-CK283</f>
        <v/>
      </c>
      <c r="CN283" s="61">
        <f>IF(CK283=0,"",CL283/CK283)</f>
        <v/>
      </c>
      <c r="CO283" s="27" t="n"/>
      <c r="CP283" s="62" t="n"/>
      <c r="CQ283" s="62" t="n"/>
      <c r="CR283" s="62">
        <f>CQ283-CP283</f>
        <v/>
      </c>
      <c r="CS283" s="64">
        <f>IF(CP283=0,"",CQ283/CP283)</f>
        <v/>
      </c>
      <c r="CT283" s="31" t="n"/>
      <c r="CU283" s="60" t="n"/>
      <c r="CV283" s="60" t="n"/>
      <c r="CW283" s="60">
        <f>CV283-CU283</f>
        <v/>
      </c>
      <c r="CX283" s="61">
        <f>IF(CU283=0,"",CV283/CU283)</f>
        <v/>
      </c>
      <c r="CY283" s="27" t="n"/>
      <c r="CZ283" s="62" t="n"/>
      <c r="DA283" s="62" t="n"/>
      <c r="DB283" s="62">
        <f>DA283-CZ283</f>
        <v/>
      </c>
      <c r="DC283" s="64">
        <f>IF(CZ283=0,"",DA283/CZ283)</f>
        <v/>
      </c>
      <c r="DD283" s="31" t="n"/>
      <c r="DE283" s="60" t="n"/>
      <c r="DF283" s="60" t="n"/>
      <c r="DG283" s="60">
        <f>DF283-DE283</f>
        <v/>
      </c>
      <c r="DH283" s="61">
        <f>IF(DE283=0,"",DF283/DE283)</f>
        <v/>
      </c>
      <c r="DI283" s="27" t="n"/>
      <c r="DJ283" s="62" t="n"/>
      <c r="DK283" s="62" t="n"/>
      <c r="DL283" s="62">
        <f>DK283-DJ283</f>
        <v/>
      </c>
      <c r="DM283" s="64">
        <f>IF(DJ283=0,"",DK283/DJ283)</f>
        <v/>
      </c>
      <c r="DN283" s="31" t="n"/>
      <c r="DO283" s="60" t="n"/>
    </row>
    <row r="284" ht="15" customHeight="1">
      <c r="A284" s="32" t="n"/>
      <c r="B284" s="32" t="n"/>
      <c r="C284" s="32" t="n"/>
      <c r="D284" s="65">
        <f>D286+D287+D289+D291+D293+D295+D296+D297+D298+D299+D300+D301+D302</f>
        <v/>
      </c>
      <c r="E284" s="65">
        <f>E286+E287+E289+E291+E293+E295+E296+E297+E298+E299+E300+E301+E302</f>
        <v/>
      </c>
      <c r="F284" s="65">
        <f>E284-D284</f>
        <v/>
      </c>
      <c r="G284" s="66">
        <f>IF(D284=0,"",E284/D284)</f>
        <v/>
      </c>
      <c r="H284" s="35" t="n"/>
      <c r="I284" s="65">
        <f>I286+I287+I289+I291+I293+I295+I296+I297+I298+I299+I300+I301+I302</f>
        <v/>
      </c>
      <c r="J284" s="65">
        <f>J286+J287+J289+J291+J293+J295+J296+J297+J298+J299+J300+J301+J302</f>
        <v/>
      </c>
      <c r="K284" s="65">
        <f>J284-I284</f>
        <v/>
      </c>
      <c r="L284" s="66">
        <f>IF(I284=0,"",J284/I284)</f>
        <v/>
      </c>
      <c r="M284" s="35" t="n"/>
      <c r="N284" s="65">
        <f>N286+N287+N289+N291+N293+N295+N296+N297+N298+N299+N300+N301+N302</f>
        <v/>
      </c>
      <c r="O284" s="65">
        <f>O286+O287+O289+O291+O293+O295+O296+O297+O298+O299+O300+O301+O302</f>
        <v/>
      </c>
      <c r="P284" s="65">
        <f>O284-N284</f>
        <v/>
      </c>
      <c r="Q284" s="66">
        <f>IF(N284=0,"",O284/N284)</f>
        <v/>
      </c>
      <c r="R284" s="35" t="n"/>
      <c r="S284" s="65">
        <f>S286+S287+S289+S291+S293+S295+S296+S297+S298+S299+S300+S301+S302</f>
        <v/>
      </c>
      <c r="T284" s="65">
        <f>T286+T287+T289+T291+T293+T295+T296+T297+T298+T299+T300+T301+T302</f>
        <v/>
      </c>
      <c r="U284" s="65">
        <f>T284-S284</f>
        <v/>
      </c>
      <c r="V284" s="66">
        <f>IF(S284=0,"",T284/S284)</f>
        <v/>
      </c>
      <c r="W284" s="35" t="n"/>
      <c r="X284" s="65">
        <f>X286+X287+X289+X291+X293+X295+X296+X297+X298+X299+X300+X301+X302</f>
        <v/>
      </c>
      <c r="Y284" s="65">
        <f>Y286+Y287+Y289+Y291+Y293+Y295+Y296+Y297+Y298+Y299+Y300+Y301+Y302</f>
        <v/>
      </c>
      <c r="Z284" s="65">
        <f>Y284-X284</f>
        <v/>
      </c>
      <c r="AA284" s="66">
        <f>IF(X284=0,"",Y284/X284)</f>
        <v/>
      </c>
      <c r="AB284" s="35" t="n"/>
      <c r="AC284" s="65">
        <f>AC286+AC287+AC289+AC291+AC293+AC295+AC296+AC297+AC298+AC299+AC300+AC301+AC302</f>
        <v/>
      </c>
      <c r="AD284" s="65">
        <f>AD286+AD287+AD289+AD291+AD293+AD295+AD296+AD297+AD298+AD299+AD300+AD301+AD302</f>
        <v/>
      </c>
      <c r="AE284" s="65">
        <f>AD284-AC284</f>
        <v/>
      </c>
      <c r="AF284" s="66">
        <f>IF(AC284=0,"",AD284/AC284)</f>
        <v/>
      </c>
      <c r="AG284" s="35" t="n"/>
      <c r="AH284" s="65">
        <f>AH286+AH287+AH289+AH291+AH293+AH295+AH296+AH297+AH298+AH299+AH300+AH301+AH302</f>
        <v/>
      </c>
      <c r="AI284" s="65">
        <f>AI286+AI287+AI289+AI291+AI293+AI295+AI296+AI297+AI298+AI299+AI300+AI301+AI302</f>
        <v/>
      </c>
      <c r="AJ284" s="65">
        <f>AI284-AH284</f>
        <v/>
      </c>
      <c r="AK284" s="66">
        <f>IF(AH284=0,"",AI284/AH284)</f>
        <v/>
      </c>
      <c r="AL284" s="35" t="n"/>
      <c r="AM284" s="65">
        <f>AM286+AM287+AM289+AM291+AM293+AM295+AM296+AM297+AM298+AM299+AM300+AM301+AM302</f>
        <v/>
      </c>
      <c r="AN284" s="65">
        <f>AN286+AN287+AN289+AN291+AN293+AN295+AN296+AN297+AN298+AN299+AN300+AN301+AN302</f>
        <v/>
      </c>
      <c r="AO284" s="65">
        <f>AN284-AM284</f>
        <v/>
      </c>
      <c r="AP284" s="66">
        <f>IF(AM284=0,"",AN284/AM284)</f>
        <v/>
      </c>
      <c r="AQ284" s="35" t="n"/>
      <c r="AR284" s="65">
        <f>AR286+AR287+AR289+AR291+AR293+AR295+AR296+AR297+AR298+AR299+AR300+AR301+AR302</f>
        <v/>
      </c>
      <c r="AS284" s="65">
        <f>AS286+AS287+AS289+AS291+AS293+AS295+AS296+AS297+AS298+AS299+AS300+AS301+AS302</f>
        <v/>
      </c>
      <c r="AT284" s="65">
        <f>AS284-AR284</f>
        <v/>
      </c>
      <c r="AU284" s="66">
        <f>IF(AR284=0,"",AS284/AR284)</f>
        <v/>
      </c>
      <c r="AV284" s="35" t="n"/>
      <c r="AW284" s="65">
        <f>AW286+AW287+AW289+AW291+AW293+AW295+AW296+AW297+AW298+AW299+AW300+AW301+AW302</f>
        <v/>
      </c>
      <c r="AX284" s="65">
        <f>AX286+AX287+AX289+AX291+AX293+AX295+AX296+AX297+AX298+AX299+AX300+AX301+AX302</f>
        <v/>
      </c>
      <c r="AY284" s="65">
        <f>AX284-AW284</f>
        <v/>
      </c>
      <c r="AZ284" s="66">
        <f>IF(AW284=0,"",AX284/AW284)</f>
        <v/>
      </c>
      <c r="BA284" s="35" t="n"/>
      <c r="BB284" s="65">
        <f>BB286+BB287+BB289+BB291+BB293+BB295+BB296+BB297+BB298+BB299+BB300+BB301+BB302</f>
        <v/>
      </c>
      <c r="BC284" s="65">
        <f>BC286+BC287+BC289+BC291+BC293+BC295+BC296+BC297+BC298+BC299+BC300+BC301+BC302</f>
        <v/>
      </c>
      <c r="BD284" s="65">
        <f>BC284-BB284</f>
        <v/>
      </c>
      <c r="BE284" s="66">
        <f>IF(BB284=0,"",BC284/BB284)</f>
        <v/>
      </c>
      <c r="BF284" s="35" t="n"/>
      <c r="BG284" s="65">
        <f>BG286+BG287+BG289+BG291+BG293+BG295+BG296+BG297+BG298+BG299+BG300+BG301+BG302</f>
        <v/>
      </c>
      <c r="BH284" s="65">
        <f>BH286+BH287+BH289+BH291+BH293+BH295+BH296+BH297+BH298+BH299+BH300+BH301+BH302</f>
        <v/>
      </c>
      <c r="BI284" s="65">
        <f>BH284-BG284</f>
        <v/>
      </c>
      <c r="BJ284" s="66">
        <f>IF(BG284=0,"",BH284/BG284)</f>
        <v/>
      </c>
      <c r="BK284" s="35" t="n"/>
      <c r="BL284" s="65">
        <f>BL286+BL287+BL289+BL291+BL293+BL295+BL296+BL297+BL298+BL299+BL300+BL301+BL302</f>
        <v/>
      </c>
      <c r="BM284" s="65">
        <f>BM286+BM287+BM289+BM291+BM293+BM295+BM296+BM297+BM298+BM299+BM300+BM301+BM302</f>
        <v/>
      </c>
      <c r="BN284" s="65">
        <f>BM284-BL284</f>
        <v/>
      </c>
      <c r="BO284" s="66">
        <f>IF(BL284=0,"",BM284/BL284)</f>
        <v/>
      </c>
      <c r="BP284" s="35" t="n"/>
      <c r="BQ284" s="65">
        <f>BQ286+BQ287+BQ289+BQ291+BQ293+BQ295+BQ296+BQ297+BQ298+BQ299+BQ300+BQ301+BQ302</f>
        <v/>
      </c>
      <c r="BR284" s="65">
        <f>BR286+BR287+BR289+BR291+BR293+BR295+BR296+BR297+BR298+BR299+BR300+BR301+BR302</f>
        <v/>
      </c>
      <c r="BS284" s="65">
        <f>BR284-BQ284</f>
        <v/>
      </c>
      <c r="BT284" s="66">
        <f>IF(BQ284=0,"",BR284/BQ284)</f>
        <v/>
      </c>
      <c r="BU284" s="35" t="n"/>
      <c r="BV284" s="65">
        <f>BV286+BV287+BV289+BV291+BV293+BV295+BV296+BV297+BV298+BV299+BV300+BV301+BV302</f>
        <v/>
      </c>
      <c r="BW284" s="65">
        <f>BW286+BW287+BW289+BW291+BW293+BW295+BW296+BW297+BW298+BW299+BW300+BW301+BW302</f>
        <v/>
      </c>
      <c r="BX284" s="65">
        <f>BW284-BV284</f>
        <v/>
      </c>
      <c r="BY284" s="66">
        <f>IF(BV284=0,"",BW284/BV284)</f>
        <v/>
      </c>
      <c r="BZ284" s="35" t="n"/>
      <c r="CA284" s="65">
        <f>CA286+CA287+CA289+CA291+CA293+CA295+CA296+CA297+CA298+CA299+CA300+CA301+CA302</f>
        <v/>
      </c>
      <c r="CB284" s="65">
        <f>CB286+CB287+CB289+CB291+CB293+CB295+CB296+CB297+CB298+CB299+CB300+CB301+CB302</f>
        <v/>
      </c>
      <c r="CC284" s="65">
        <f>CB284-CA284</f>
        <v/>
      </c>
      <c r="CD284" s="66">
        <f>IF(CA284=0,"",CB284/CA284)</f>
        <v/>
      </c>
      <c r="CE284" s="35" t="n"/>
      <c r="CF284" s="65">
        <f>CF286+CF287+CF289+CF291+CF293+CF295+CF296+CF297+CF298+CF299+CF300+CF301+CF302</f>
        <v/>
      </c>
      <c r="CG284" s="65">
        <f>CG286+CG287+CG289+CG291+CG293+CG295+CG296+CG297+CG298+CG299+CG300+CG301+CG302</f>
        <v/>
      </c>
      <c r="CH284" s="65">
        <f>CG284-CF284</f>
        <v/>
      </c>
      <c r="CI284" s="66">
        <f>IF(CF284=0,"",CG284/CF284)</f>
        <v/>
      </c>
      <c r="CJ284" s="35" t="n"/>
      <c r="CK284" s="65">
        <f>CK286+CK287+CK289+CK291+CK293+CK295+CK296+CK297+CK298+CK299+CK300+CK301+CK302</f>
        <v/>
      </c>
      <c r="CL284" s="65">
        <f>CL286+CL287+CL289+CL291+CL293+CL295+CL296+CL297+CL298+CL299+CL300+CL301+CL302</f>
        <v/>
      </c>
      <c r="CM284" s="65">
        <f>CL284-CK284</f>
        <v/>
      </c>
      <c r="CN284" s="66">
        <f>IF(CK284=0,"",CL284/CK284)</f>
        <v/>
      </c>
      <c r="CO284" s="35" t="n"/>
      <c r="CP284" s="65">
        <f>CP286+CP287+CP289+CP291+CP293+CP295+CP296+CP297+CP298+CP299+CP300+CP301+CP302</f>
        <v/>
      </c>
      <c r="CQ284" s="65">
        <f>CQ286+CQ287+CQ289+CQ291+CQ293+CQ295+CQ296+CQ297+CQ298+CQ299+CQ300+CQ301+CQ302</f>
        <v/>
      </c>
      <c r="CR284" s="65">
        <f>CQ284-CP284</f>
        <v/>
      </c>
      <c r="CS284" s="66">
        <f>IF(CP284=0,"",CQ284/CP284)</f>
        <v/>
      </c>
      <c r="CT284" s="35" t="n"/>
      <c r="CU284" s="65">
        <f>CU286+CU287+CU289+CU291+CU293+CU295+CU296+CU297+CU298+CU299+CU300+CU301+CU302</f>
        <v/>
      </c>
      <c r="CV284" s="65">
        <f>CV286+CV287+CV289+CV291+CV293+CV295+CV296+CV297+CV298+CV299+CV300+CV301+CV302</f>
        <v/>
      </c>
      <c r="CW284" s="65">
        <f>CV284-CU284</f>
        <v/>
      </c>
      <c r="CX284" s="66">
        <f>IF(CU284=0,"",CV284/CU284)</f>
        <v/>
      </c>
      <c r="CY284" s="35" t="n"/>
      <c r="CZ284" s="65">
        <f>CZ286+CZ287+CZ289+CZ291+CZ293+CZ295+CZ296+CZ297+CZ298+CZ299+CZ300+CZ301+CZ302</f>
        <v/>
      </c>
      <c r="DA284" s="65">
        <f>DA286+DA287+DA289+DA291+DA293+DA295+DA296+DA297+DA298+DA299+DA300+DA301+DA302</f>
        <v/>
      </c>
      <c r="DB284" s="65">
        <f>DA284-CZ284</f>
        <v/>
      </c>
      <c r="DC284" s="66">
        <f>IF(CZ284=0,"",DA284/CZ284)</f>
        <v/>
      </c>
      <c r="DD284" s="35" t="n"/>
      <c r="DE284" s="65">
        <f>DE286+DE287+DE289+DE291+DE293+DE295+DE296+DE297+DE298+DE299+DE300+DE301+DE302</f>
        <v/>
      </c>
      <c r="DF284" s="65">
        <f>DF286+DF287+DF289+DF291+DF293+DF295+DF296+DF297+DF298+DF299+DF300+DF301+DF302</f>
        <v/>
      </c>
      <c r="DG284" s="65">
        <f>DF284-DE284</f>
        <v/>
      </c>
      <c r="DH284" s="66">
        <f>IF(DE284=0,"",DF284/DE284)</f>
        <v/>
      </c>
      <c r="DI284" s="35" t="n"/>
      <c r="DJ284" s="65">
        <f>DJ286+DJ287+DJ289+DJ291+DJ293+DJ295+DJ296+DJ297+DJ298+DJ299+DJ300+DJ301+DJ302</f>
        <v/>
      </c>
      <c r="DK284" s="65">
        <f>DK286+DK287+DK289+DK291+DK293+DK295+DK296+DK297+DK298+DK299+DK300+DK301+DK302</f>
        <v/>
      </c>
      <c r="DL284" s="65">
        <f>DK284-DJ284</f>
        <v/>
      </c>
      <c r="DM284" s="66">
        <f>IF(DJ284=0,"",DK284/DJ284)</f>
        <v/>
      </c>
      <c r="DN284" s="35" t="n"/>
      <c r="DO284" s="65">
        <f>DO286+DO287+DO289+DO291+DO293+DO295+DO296+DO297+DO298+DO299+DO300+DO301+DO302</f>
        <v/>
      </c>
    </row>
    <row r="285" ht="15" customHeight="1">
      <c r="A285" s="19" t="n"/>
      <c r="B285" s="20" t="n"/>
      <c r="C285" s="19" t="n"/>
      <c r="D285" s="58">
        <f>D286+D287</f>
        <v/>
      </c>
      <c r="E285" s="58">
        <f>E286+E287</f>
        <v/>
      </c>
      <c r="F285" s="58">
        <f>E285-D285</f>
        <v/>
      </c>
      <c r="G285" s="59">
        <f>IF(D285=0,"",E285/D285)</f>
        <v/>
      </c>
      <c r="H285" s="23" t="n"/>
      <c r="I285" s="58">
        <f>I286+I287</f>
        <v/>
      </c>
      <c r="J285" s="58">
        <f>J286+J287</f>
        <v/>
      </c>
      <c r="K285" s="58">
        <f>J285-I285</f>
        <v/>
      </c>
      <c r="L285" s="59">
        <f>IF(I285=0,"",J285/I285)</f>
        <v/>
      </c>
      <c r="M285" s="23" t="n"/>
      <c r="N285" s="58">
        <f>N286+N287</f>
        <v/>
      </c>
      <c r="O285" s="58">
        <f>O286+O287</f>
        <v/>
      </c>
      <c r="P285" s="58">
        <f>O285-N285</f>
        <v/>
      </c>
      <c r="Q285" s="59">
        <f>IF(N285=0,"",O285/N285)</f>
        <v/>
      </c>
      <c r="R285" s="23" t="n"/>
      <c r="S285" s="58">
        <f>S286+S287</f>
        <v/>
      </c>
      <c r="T285" s="58">
        <f>T286+T287</f>
        <v/>
      </c>
      <c r="U285" s="58">
        <f>T285-S285</f>
        <v/>
      </c>
      <c r="V285" s="59">
        <f>IF(S285=0,"",T285/S285)</f>
        <v/>
      </c>
      <c r="W285" s="23" t="n"/>
      <c r="X285" s="58">
        <f>X286+X287</f>
        <v/>
      </c>
      <c r="Y285" s="58">
        <f>Y286+Y287</f>
        <v/>
      </c>
      <c r="Z285" s="58">
        <f>Y285-X285</f>
        <v/>
      </c>
      <c r="AA285" s="59">
        <f>IF(X285=0,"",Y285/X285)</f>
        <v/>
      </c>
      <c r="AB285" s="23" t="n"/>
      <c r="AC285" s="58">
        <f>AC286+AC287</f>
        <v/>
      </c>
      <c r="AD285" s="58">
        <f>AD286+AD287</f>
        <v/>
      </c>
      <c r="AE285" s="58">
        <f>AD285-AC285</f>
        <v/>
      </c>
      <c r="AF285" s="59">
        <f>IF(AC285=0,"",AD285/AC285)</f>
        <v/>
      </c>
      <c r="AG285" s="23" t="n"/>
      <c r="AH285" s="58">
        <f>AH286+AH287</f>
        <v/>
      </c>
      <c r="AI285" s="58">
        <f>AI286+AI287</f>
        <v/>
      </c>
      <c r="AJ285" s="58">
        <f>AI285-AH285</f>
        <v/>
      </c>
      <c r="AK285" s="59">
        <f>IF(AH285=0,"",AI285/AH285)</f>
        <v/>
      </c>
      <c r="AL285" s="23" t="n"/>
      <c r="AM285" s="58">
        <f>AM286+AM287</f>
        <v/>
      </c>
      <c r="AN285" s="58">
        <f>AN286+AN287</f>
        <v/>
      </c>
      <c r="AO285" s="58">
        <f>AN285-AM285</f>
        <v/>
      </c>
      <c r="AP285" s="59">
        <f>IF(AM285=0,"",AN285/AM285)</f>
        <v/>
      </c>
      <c r="AQ285" s="23" t="n"/>
      <c r="AR285" s="58">
        <f>AR286+AR287</f>
        <v/>
      </c>
      <c r="AS285" s="58">
        <f>AS286+AS287</f>
        <v/>
      </c>
      <c r="AT285" s="58">
        <f>AS285-AR285</f>
        <v/>
      </c>
      <c r="AU285" s="59">
        <f>IF(AR285=0,"",AS285/AR285)</f>
        <v/>
      </c>
      <c r="AV285" s="23" t="n"/>
      <c r="AW285" s="58">
        <f>AW286+AW287</f>
        <v/>
      </c>
      <c r="AX285" s="58">
        <f>AX286+AX287</f>
        <v/>
      </c>
      <c r="AY285" s="58">
        <f>AX285-AW285</f>
        <v/>
      </c>
      <c r="AZ285" s="59">
        <f>IF(AW285=0,"",AX285/AW285)</f>
        <v/>
      </c>
      <c r="BA285" s="23" t="n"/>
      <c r="BB285" s="58">
        <f>BB286+BB287</f>
        <v/>
      </c>
      <c r="BC285" s="58">
        <f>BC286+BC287</f>
        <v/>
      </c>
      <c r="BD285" s="58">
        <f>BC285-BB285</f>
        <v/>
      </c>
      <c r="BE285" s="59">
        <f>IF(BB285=0,"",BC285/BB285)</f>
        <v/>
      </c>
      <c r="BF285" s="23" t="n"/>
      <c r="BG285" s="58">
        <f>BG286+BG287</f>
        <v/>
      </c>
      <c r="BH285" s="58">
        <f>BH286+BH287</f>
        <v/>
      </c>
      <c r="BI285" s="58">
        <f>BH285-BG285</f>
        <v/>
      </c>
      <c r="BJ285" s="59">
        <f>IF(BG285=0,"",BH285/BG285)</f>
        <v/>
      </c>
      <c r="BK285" s="23" t="n"/>
      <c r="BL285" s="58">
        <f>BL286+BL287</f>
        <v/>
      </c>
      <c r="BM285" s="58">
        <f>BM286+BM287</f>
        <v/>
      </c>
      <c r="BN285" s="58">
        <f>BM285-BL285</f>
        <v/>
      </c>
      <c r="BO285" s="59">
        <f>IF(BL285=0,"",BM285/BL285)</f>
        <v/>
      </c>
      <c r="BP285" s="23" t="n"/>
      <c r="BQ285" s="58">
        <f>BQ286+BQ287</f>
        <v/>
      </c>
      <c r="BR285" s="58">
        <f>BR286+BR287</f>
        <v/>
      </c>
      <c r="BS285" s="58">
        <f>BR285-BQ285</f>
        <v/>
      </c>
      <c r="BT285" s="59">
        <f>IF(BQ285=0,"",BR285/BQ285)</f>
        <v/>
      </c>
      <c r="BU285" s="23" t="n"/>
      <c r="BV285" s="58">
        <f>BV286+BV287</f>
        <v/>
      </c>
      <c r="BW285" s="58">
        <f>BW286+BW287</f>
        <v/>
      </c>
      <c r="BX285" s="58">
        <f>BW285-BV285</f>
        <v/>
      </c>
      <c r="BY285" s="59">
        <f>IF(BV285=0,"",BW285/BV285)</f>
        <v/>
      </c>
      <c r="BZ285" s="23" t="n"/>
      <c r="CA285" s="58">
        <f>CA286+CA287</f>
        <v/>
      </c>
      <c r="CB285" s="58">
        <f>CB286+CB287</f>
        <v/>
      </c>
      <c r="CC285" s="58">
        <f>CB285-CA285</f>
        <v/>
      </c>
      <c r="CD285" s="59">
        <f>IF(CA285=0,"",CB285/CA285)</f>
        <v/>
      </c>
      <c r="CE285" s="23" t="n"/>
      <c r="CF285" s="58">
        <f>CF286+CF287</f>
        <v/>
      </c>
      <c r="CG285" s="58">
        <f>CG286+CG287</f>
        <v/>
      </c>
      <c r="CH285" s="58">
        <f>CG285-CF285</f>
        <v/>
      </c>
      <c r="CI285" s="59">
        <f>IF(CF285=0,"",CG285/CF285)</f>
        <v/>
      </c>
      <c r="CJ285" s="23" t="n"/>
      <c r="CK285" s="58">
        <f>CK286+CK287</f>
        <v/>
      </c>
      <c r="CL285" s="58">
        <f>CL286+CL287</f>
        <v/>
      </c>
      <c r="CM285" s="58">
        <f>CL285-CK285</f>
        <v/>
      </c>
      <c r="CN285" s="59">
        <f>IF(CK285=0,"",CL285/CK285)</f>
        <v/>
      </c>
      <c r="CO285" s="23" t="n"/>
      <c r="CP285" s="58">
        <f>CP286+CP287</f>
        <v/>
      </c>
      <c r="CQ285" s="58">
        <f>CQ286+CQ287</f>
        <v/>
      </c>
      <c r="CR285" s="58">
        <f>CQ285-CP285</f>
        <v/>
      </c>
      <c r="CS285" s="59">
        <f>IF(CP285=0,"",CQ285/CP285)</f>
        <v/>
      </c>
      <c r="CT285" s="23" t="n"/>
      <c r="CU285" s="58">
        <f>CU286+CU287</f>
        <v/>
      </c>
      <c r="CV285" s="58">
        <f>CV286+CV287</f>
        <v/>
      </c>
      <c r="CW285" s="58">
        <f>CV285-CU285</f>
        <v/>
      </c>
      <c r="CX285" s="59">
        <f>IF(CU285=0,"",CV285/CU285)</f>
        <v/>
      </c>
      <c r="CY285" s="23" t="n"/>
      <c r="CZ285" s="58">
        <f>CZ286+CZ287</f>
        <v/>
      </c>
      <c r="DA285" s="58">
        <f>DA286+DA287</f>
        <v/>
      </c>
      <c r="DB285" s="58">
        <f>DA285-CZ285</f>
        <v/>
      </c>
      <c r="DC285" s="59">
        <f>IF(CZ285=0,"",DA285/CZ285)</f>
        <v/>
      </c>
      <c r="DD285" s="23" t="n"/>
      <c r="DE285" s="58">
        <f>DE286+DE287</f>
        <v/>
      </c>
      <c r="DF285" s="58">
        <f>DF286+DF287</f>
        <v/>
      </c>
      <c r="DG285" s="58">
        <f>DF285-DE285</f>
        <v/>
      </c>
      <c r="DH285" s="59">
        <f>IF(DE285=0,"",DF285/DE285)</f>
        <v/>
      </c>
      <c r="DI285" s="23" t="n"/>
      <c r="DJ285" s="58">
        <f>DJ286+DJ287</f>
        <v/>
      </c>
      <c r="DK285" s="58">
        <f>DK286+DK287</f>
        <v/>
      </c>
      <c r="DL285" s="58">
        <f>DK285-DJ285</f>
        <v/>
      </c>
      <c r="DM285" s="59">
        <f>IF(DJ285=0,"",DK285/DJ285)</f>
        <v/>
      </c>
      <c r="DN285" s="23" t="n"/>
      <c r="DO285" s="58">
        <f>DO286+DO287</f>
        <v/>
      </c>
    </row>
    <row r="286" outlineLevel="1" ht="15" customHeight="1">
      <c r="A286" s="24" t="n"/>
      <c r="B286" s="24" t="n"/>
      <c r="C286" s="24" t="n"/>
      <c r="D286" s="60" t="n"/>
      <c r="E286" s="60" t="n"/>
      <c r="F286" s="60">
        <f>E286-D286</f>
        <v/>
      </c>
      <c r="G286" s="61">
        <f>IF(D286=0,"",E286/D286)</f>
        <v/>
      </c>
      <c r="H286" s="27" t="n"/>
      <c r="I286" s="60" t="n"/>
      <c r="J286" s="60" t="n"/>
      <c r="K286" s="60">
        <f>J286-I286</f>
        <v/>
      </c>
      <c r="L286" s="61">
        <f>IF(I286=0,"",J286/I286)</f>
        <v/>
      </c>
      <c r="M286" s="27" t="n"/>
      <c r="N286" s="62" t="n"/>
      <c r="O286" s="62" t="n"/>
      <c r="P286" s="63">
        <f>O286-N286</f>
        <v/>
      </c>
      <c r="Q286" s="64">
        <f>IF(N286=0,"",O286/N286)</f>
        <v/>
      </c>
      <c r="R286" s="31" t="n"/>
      <c r="S286" s="60" t="n"/>
      <c r="T286" s="60" t="n"/>
      <c r="U286" s="60">
        <f>T286-S286</f>
        <v/>
      </c>
      <c r="V286" s="61">
        <f>IF(S286=0,"",T286/S286)</f>
        <v/>
      </c>
      <c r="W286" s="27" t="n"/>
      <c r="X286" s="62" t="n"/>
      <c r="Y286" s="62" t="n"/>
      <c r="Z286" s="63">
        <f>Y286-X286</f>
        <v/>
      </c>
      <c r="AA286" s="64">
        <f>IF(X286=0,"",Y286/X286)</f>
        <v/>
      </c>
      <c r="AB286" s="31" t="n"/>
      <c r="AC286" s="60" t="n"/>
      <c r="AD286" s="60" t="n"/>
      <c r="AE286" s="60">
        <f>AD286-AC286</f>
        <v/>
      </c>
      <c r="AF286" s="61">
        <f>IF(AC286=0,"",AD286/AC286)</f>
        <v/>
      </c>
      <c r="AG286" s="27" t="n"/>
      <c r="AH286" s="62" t="n"/>
      <c r="AI286" s="62" t="n"/>
      <c r="AJ286" s="62">
        <f>AI286-AH286</f>
        <v/>
      </c>
      <c r="AK286" s="64">
        <f>IF(AH286=0,"",AI286/AH286)</f>
        <v/>
      </c>
      <c r="AL286" s="31" t="n"/>
      <c r="AM286" s="60" t="n"/>
      <c r="AN286" s="60" t="n"/>
      <c r="AO286" s="60">
        <f>AN286-AM286</f>
        <v/>
      </c>
      <c r="AP286" s="61">
        <f>IF(AM286=0,"",AN286/AM286)</f>
        <v/>
      </c>
      <c r="AQ286" s="27" t="n"/>
      <c r="AR286" s="62" t="n"/>
      <c r="AS286" s="62" t="n"/>
      <c r="AT286" s="62">
        <f>AS286-AR286</f>
        <v/>
      </c>
      <c r="AU286" s="64">
        <f>IF(AR286=0,"",AS286/AR286)</f>
        <v/>
      </c>
      <c r="AV286" s="31" t="n"/>
      <c r="AW286" s="60" t="n"/>
      <c r="AX286" s="60" t="n"/>
      <c r="AY286" s="60">
        <f>AX286-AW286</f>
        <v/>
      </c>
      <c r="AZ286" s="61">
        <f>IF(AW286=0,"",AX286/AW286)</f>
        <v/>
      </c>
      <c r="BA286" s="27" t="n"/>
      <c r="BB286" s="62" t="n"/>
      <c r="BC286" s="62" t="n"/>
      <c r="BD286" s="62">
        <f>BC286-BB286</f>
        <v/>
      </c>
      <c r="BE286" s="64">
        <f>IF(BB286=0,"",BC286/BB286)</f>
        <v/>
      </c>
      <c r="BF286" s="31" t="n"/>
      <c r="BG286" s="60" t="n"/>
      <c r="BH286" s="60" t="n"/>
      <c r="BI286" s="60">
        <f>BH286-BG286</f>
        <v/>
      </c>
      <c r="BJ286" s="61">
        <f>IF(BG286=0,"",BH286/BG286)</f>
        <v/>
      </c>
      <c r="BK286" s="27" t="n"/>
      <c r="BL286" s="62" t="n"/>
      <c r="BM286" s="62" t="n"/>
      <c r="BN286" s="62">
        <f>BM286-BL286</f>
        <v/>
      </c>
      <c r="BO286" s="64">
        <f>IF(BL286=0,"",BM286/BL286)</f>
        <v/>
      </c>
      <c r="BP286" s="31" t="n"/>
      <c r="BQ286" s="60" t="n"/>
      <c r="BR286" s="60" t="n"/>
      <c r="BS286" s="60">
        <f>BR286-BQ286</f>
        <v/>
      </c>
      <c r="BT286" s="61">
        <f>IF(BQ286=0,"",BR286/BQ286)</f>
        <v/>
      </c>
      <c r="BU286" s="27" t="n"/>
      <c r="BV286" s="62" t="n"/>
      <c r="BW286" s="62" t="n"/>
      <c r="BX286" s="62">
        <f>BW286-BV286</f>
        <v/>
      </c>
      <c r="BY286" s="64">
        <f>IF(BV286=0,"",BW286/BV286)</f>
        <v/>
      </c>
      <c r="BZ286" s="31" t="n"/>
      <c r="CA286" s="60" t="n"/>
      <c r="CB286" s="60" t="n"/>
      <c r="CC286" s="60">
        <f>CB286-CA286</f>
        <v/>
      </c>
      <c r="CD286" s="61">
        <f>IF(CA286=0,"",CB286/CA286)</f>
        <v/>
      </c>
      <c r="CE286" s="27" t="n"/>
      <c r="CF286" s="62" t="n"/>
      <c r="CG286" s="62" t="n"/>
      <c r="CH286" s="62">
        <f>CG286-CF286</f>
        <v/>
      </c>
      <c r="CI286" s="64">
        <f>IF(CF286=0,"",CG286/CF286)</f>
        <v/>
      </c>
      <c r="CJ286" s="31" t="n"/>
      <c r="CK286" s="60" t="n"/>
      <c r="CL286" s="60" t="n"/>
      <c r="CM286" s="60">
        <f>CL286-CK286</f>
        <v/>
      </c>
      <c r="CN286" s="61">
        <f>IF(CK286=0,"",CL286/CK286)</f>
        <v/>
      </c>
      <c r="CO286" s="27" t="n"/>
      <c r="CP286" s="62" t="n"/>
      <c r="CQ286" s="62" t="n"/>
      <c r="CR286" s="62">
        <f>CQ286-CP286</f>
        <v/>
      </c>
      <c r="CS286" s="64">
        <f>IF(CP286=0,"",CQ286/CP286)</f>
        <v/>
      </c>
      <c r="CT286" s="31" t="n"/>
      <c r="CU286" s="60" t="n"/>
      <c r="CV286" s="60" t="n"/>
      <c r="CW286" s="60">
        <f>CV286-CU286</f>
        <v/>
      </c>
      <c r="CX286" s="61">
        <f>IF(CU286=0,"",CV286/CU286)</f>
        <v/>
      </c>
      <c r="CY286" s="27" t="n"/>
      <c r="CZ286" s="62" t="n"/>
      <c r="DA286" s="62" t="n"/>
      <c r="DB286" s="62">
        <f>DA286-CZ286</f>
        <v/>
      </c>
      <c r="DC286" s="64">
        <f>IF(CZ286=0,"",DA286/CZ286)</f>
        <v/>
      </c>
      <c r="DD286" s="31" t="n"/>
      <c r="DE286" s="60" t="n"/>
      <c r="DF286" s="60" t="n"/>
      <c r="DG286" s="60">
        <f>DF286-DE286</f>
        <v/>
      </c>
      <c r="DH286" s="61">
        <f>IF(DE286=0,"",DF286/DE286)</f>
        <v/>
      </c>
      <c r="DI286" s="27" t="n"/>
      <c r="DJ286" s="62" t="n"/>
      <c r="DK286" s="62" t="n"/>
      <c r="DL286" s="62">
        <f>DK286-DJ286</f>
        <v/>
      </c>
      <c r="DM286" s="64">
        <f>IF(DJ286=0,"",DK286/DJ286)</f>
        <v/>
      </c>
      <c r="DN286" s="31" t="n"/>
      <c r="DO286" s="60" t="n"/>
    </row>
    <row r="287" outlineLevel="1" ht="15" customHeight="1">
      <c r="A287" s="24" t="n"/>
      <c r="B287" s="24" t="n"/>
      <c r="C287" s="24" t="n"/>
      <c r="D287" s="60" t="n"/>
      <c r="E287" s="60" t="n"/>
      <c r="F287" s="60">
        <f>E287-D287</f>
        <v/>
      </c>
      <c r="G287" s="61">
        <f>IF(D287=0,"",E287/D287)</f>
        <v/>
      </c>
      <c r="H287" s="27" t="n"/>
      <c r="I287" s="60" t="n"/>
      <c r="J287" s="60" t="n"/>
      <c r="K287" s="60">
        <f>J287-I287</f>
        <v/>
      </c>
      <c r="L287" s="61">
        <f>IF(I287=0,"",J287/I287)</f>
        <v/>
      </c>
      <c r="M287" s="27" t="n"/>
      <c r="N287" s="62" t="n"/>
      <c r="O287" s="62" t="n"/>
      <c r="P287" s="63">
        <f>O287-N287</f>
        <v/>
      </c>
      <c r="Q287" s="64">
        <f>IF(N287=0,"",O287/N287)</f>
        <v/>
      </c>
      <c r="R287" s="31" t="n"/>
      <c r="S287" s="60" t="n"/>
      <c r="T287" s="60" t="n"/>
      <c r="U287" s="60">
        <f>T287-S287</f>
        <v/>
      </c>
      <c r="V287" s="61">
        <f>IF(S287=0,"",T287/S287)</f>
        <v/>
      </c>
      <c r="W287" s="27" t="n"/>
      <c r="X287" s="62" t="n"/>
      <c r="Y287" s="62" t="n"/>
      <c r="Z287" s="63">
        <f>Y287-X287</f>
        <v/>
      </c>
      <c r="AA287" s="64">
        <f>IF(X287=0,"",Y287/X287)</f>
        <v/>
      </c>
      <c r="AB287" s="31" t="n"/>
      <c r="AC287" s="60" t="n"/>
      <c r="AD287" s="60" t="n"/>
      <c r="AE287" s="60">
        <f>AD287-AC287</f>
        <v/>
      </c>
      <c r="AF287" s="61">
        <f>IF(AC287=0,"",AD287/AC287)</f>
        <v/>
      </c>
      <c r="AG287" s="27" t="n"/>
      <c r="AH287" s="62" t="n"/>
      <c r="AI287" s="62" t="n"/>
      <c r="AJ287" s="62">
        <f>AI287-AH287</f>
        <v/>
      </c>
      <c r="AK287" s="64">
        <f>IF(AH287=0,"",AI287/AH287)</f>
        <v/>
      </c>
      <c r="AL287" s="31" t="n"/>
      <c r="AM287" s="60" t="n"/>
      <c r="AN287" s="60" t="n"/>
      <c r="AO287" s="60">
        <f>AN287-AM287</f>
        <v/>
      </c>
      <c r="AP287" s="61">
        <f>IF(AM287=0,"",AN287/AM287)</f>
        <v/>
      </c>
      <c r="AQ287" s="27" t="n"/>
      <c r="AR287" s="62" t="n"/>
      <c r="AS287" s="62" t="n"/>
      <c r="AT287" s="62">
        <f>AS287-AR287</f>
        <v/>
      </c>
      <c r="AU287" s="64">
        <f>IF(AR287=0,"",AS287/AR287)</f>
        <v/>
      </c>
      <c r="AV287" s="31" t="n"/>
      <c r="AW287" s="60" t="n"/>
      <c r="AX287" s="60" t="n"/>
      <c r="AY287" s="60">
        <f>AX287-AW287</f>
        <v/>
      </c>
      <c r="AZ287" s="61">
        <f>IF(AW287=0,"",AX287/AW287)</f>
        <v/>
      </c>
      <c r="BA287" s="27" t="n"/>
      <c r="BB287" s="62" t="n"/>
      <c r="BC287" s="62" t="n"/>
      <c r="BD287" s="62">
        <f>BC287-BB287</f>
        <v/>
      </c>
      <c r="BE287" s="64">
        <f>IF(BB287=0,"",BC287/BB287)</f>
        <v/>
      </c>
      <c r="BF287" s="31" t="n"/>
      <c r="BG287" s="60" t="n"/>
      <c r="BH287" s="60" t="n"/>
      <c r="BI287" s="60">
        <f>BH287-BG287</f>
        <v/>
      </c>
      <c r="BJ287" s="61">
        <f>IF(BG287=0,"",BH287/BG287)</f>
        <v/>
      </c>
      <c r="BK287" s="27" t="n"/>
      <c r="BL287" s="62" t="n"/>
      <c r="BM287" s="62" t="n"/>
      <c r="BN287" s="62">
        <f>BM287-BL287</f>
        <v/>
      </c>
      <c r="BO287" s="64">
        <f>IF(BL287=0,"",BM287/BL287)</f>
        <v/>
      </c>
      <c r="BP287" s="31" t="n"/>
      <c r="BQ287" s="60" t="n"/>
      <c r="BR287" s="60" t="n"/>
      <c r="BS287" s="60">
        <f>BR287-BQ287</f>
        <v/>
      </c>
      <c r="BT287" s="61">
        <f>IF(BQ287=0,"",BR287/BQ287)</f>
        <v/>
      </c>
      <c r="BU287" s="27" t="n"/>
      <c r="BV287" s="62" t="n"/>
      <c r="BW287" s="62" t="n"/>
      <c r="BX287" s="62">
        <f>BW287-BV287</f>
        <v/>
      </c>
      <c r="BY287" s="64">
        <f>IF(BV287=0,"",BW287/BV287)</f>
        <v/>
      </c>
      <c r="BZ287" s="31" t="n"/>
      <c r="CA287" s="60" t="n"/>
      <c r="CB287" s="60" t="n"/>
      <c r="CC287" s="60">
        <f>CB287-CA287</f>
        <v/>
      </c>
      <c r="CD287" s="61">
        <f>IF(CA287=0,"",CB287/CA287)</f>
        <v/>
      </c>
      <c r="CE287" s="27" t="n"/>
      <c r="CF287" s="62" t="n"/>
      <c r="CG287" s="62" t="n"/>
      <c r="CH287" s="62">
        <f>CG287-CF287</f>
        <v/>
      </c>
      <c r="CI287" s="64">
        <f>IF(CF287=0,"",CG287/CF287)</f>
        <v/>
      </c>
      <c r="CJ287" s="31" t="n"/>
      <c r="CK287" s="60" t="n"/>
      <c r="CL287" s="60" t="n"/>
      <c r="CM287" s="60">
        <f>CL287-CK287</f>
        <v/>
      </c>
      <c r="CN287" s="61">
        <f>IF(CK287=0,"",CL287/CK287)</f>
        <v/>
      </c>
      <c r="CO287" s="27" t="n"/>
      <c r="CP287" s="62" t="n"/>
      <c r="CQ287" s="62" t="n"/>
      <c r="CR287" s="62">
        <f>CQ287-CP287</f>
        <v/>
      </c>
      <c r="CS287" s="64">
        <f>IF(CP287=0,"",CQ287/CP287)</f>
        <v/>
      </c>
      <c r="CT287" s="31" t="n"/>
      <c r="CU287" s="60" t="n"/>
      <c r="CV287" s="60" t="n"/>
      <c r="CW287" s="60">
        <f>CV287-CU287</f>
        <v/>
      </c>
      <c r="CX287" s="61">
        <f>IF(CU287=0,"",CV287/CU287)</f>
        <v/>
      </c>
      <c r="CY287" s="27" t="n"/>
      <c r="CZ287" s="62" t="n"/>
      <c r="DA287" s="62" t="n"/>
      <c r="DB287" s="62">
        <f>DA287-CZ287</f>
        <v/>
      </c>
      <c r="DC287" s="64">
        <f>IF(CZ287=0,"",DA287/CZ287)</f>
        <v/>
      </c>
      <c r="DD287" s="31" t="n"/>
      <c r="DE287" s="60" t="n"/>
      <c r="DF287" s="60" t="n"/>
      <c r="DG287" s="60">
        <f>DF287-DE287</f>
        <v/>
      </c>
      <c r="DH287" s="61">
        <f>IF(DE287=0,"",DF287/DE287)</f>
        <v/>
      </c>
      <c r="DI287" s="27" t="n"/>
      <c r="DJ287" s="62" t="n"/>
      <c r="DK287" s="62" t="n"/>
      <c r="DL287" s="62">
        <f>DK287-DJ287</f>
        <v/>
      </c>
      <c r="DM287" s="64">
        <f>IF(DJ287=0,"",DK287/DJ287)</f>
        <v/>
      </c>
      <c r="DN287" s="31" t="n"/>
      <c r="DO287" s="60" t="n"/>
    </row>
    <row r="288" ht="15" customHeight="1">
      <c r="A288" s="19" t="n"/>
      <c r="B288" s="20" t="n"/>
      <c r="C288" s="19" t="n"/>
      <c r="D288" s="58">
        <f>D289</f>
        <v/>
      </c>
      <c r="E288" s="58">
        <f>E289</f>
        <v/>
      </c>
      <c r="F288" s="58">
        <f>E288-D288</f>
        <v/>
      </c>
      <c r="G288" s="59">
        <f>IF(D288=0,"",E288/D288)</f>
        <v/>
      </c>
      <c r="H288" s="23" t="n"/>
      <c r="I288" s="58">
        <f>I289</f>
        <v/>
      </c>
      <c r="J288" s="58">
        <f>J289</f>
        <v/>
      </c>
      <c r="K288" s="58">
        <f>J288-I288</f>
        <v/>
      </c>
      <c r="L288" s="59">
        <f>IF(I288=0,"",J288/I288)</f>
        <v/>
      </c>
      <c r="M288" s="23" t="n"/>
      <c r="N288" s="58">
        <f>N289</f>
        <v/>
      </c>
      <c r="O288" s="58">
        <f>O289</f>
        <v/>
      </c>
      <c r="P288" s="58">
        <f>O288-N288</f>
        <v/>
      </c>
      <c r="Q288" s="59">
        <f>IF(N288=0,"",O288/N288)</f>
        <v/>
      </c>
      <c r="R288" s="23" t="n"/>
      <c r="S288" s="58">
        <f>S289</f>
        <v/>
      </c>
      <c r="T288" s="58">
        <f>T289</f>
        <v/>
      </c>
      <c r="U288" s="58">
        <f>T288-S288</f>
        <v/>
      </c>
      <c r="V288" s="59">
        <f>IF(S288=0,"",T288/S288)</f>
        <v/>
      </c>
      <c r="W288" s="23" t="n"/>
      <c r="X288" s="58">
        <f>X289</f>
        <v/>
      </c>
      <c r="Y288" s="58">
        <f>Y289</f>
        <v/>
      </c>
      <c r="Z288" s="58">
        <f>Y288-X288</f>
        <v/>
      </c>
      <c r="AA288" s="59">
        <f>IF(X288=0,"",Y288/X288)</f>
        <v/>
      </c>
      <c r="AB288" s="23" t="n"/>
      <c r="AC288" s="58">
        <f>AC289</f>
        <v/>
      </c>
      <c r="AD288" s="58">
        <f>AD289</f>
        <v/>
      </c>
      <c r="AE288" s="58">
        <f>AD288-AC288</f>
        <v/>
      </c>
      <c r="AF288" s="59">
        <f>IF(AC288=0,"",AD288/AC288)</f>
        <v/>
      </c>
      <c r="AG288" s="23" t="n"/>
      <c r="AH288" s="58">
        <f>AH289</f>
        <v/>
      </c>
      <c r="AI288" s="58">
        <f>AI289</f>
        <v/>
      </c>
      <c r="AJ288" s="58">
        <f>AI288-AH288</f>
        <v/>
      </c>
      <c r="AK288" s="59">
        <f>IF(AH288=0,"",AI288/AH288)</f>
        <v/>
      </c>
      <c r="AL288" s="23" t="n"/>
      <c r="AM288" s="58">
        <f>AM289</f>
        <v/>
      </c>
      <c r="AN288" s="58">
        <f>AN289</f>
        <v/>
      </c>
      <c r="AO288" s="58">
        <f>AN288-AM288</f>
        <v/>
      </c>
      <c r="AP288" s="59">
        <f>IF(AM288=0,"",AN288/AM288)</f>
        <v/>
      </c>
      <c r="AQ288" s="23" t="n"/>
      <c r="AR288" s="58">
        <f>AR289</f>
        <v/>
      </c>
      <c r="AS288" s="58">
        <f>AS289</f>
        <v/>
      </c>
      <c r="AT288" s="58">
        <f>AS288-AR288</f>
        <v/>
      </c>
      <c r="AU288" s="59">
        <f>IF(AR288=0,"",AS288/AR288)</f>
        <v/>
      </c>
      <c r="AV288" s="23" t="n"/>
      <c r="AW288" s="58">
        <f>AW289</f>
        <v/>
      </c>
      <c r="AX288" s="58">
        <f>AX289</f>
        <v/>
      </c>
      <c r="AY288" s="58">
        <f>AX288-AW288</f>
        <v/>
      </c>
      <c r="AZ288" s="59">
        <f>IF(AW288=0,"",AX288/AW288)</f>
        <v/>
      </c>
      <c r="BA288" s="23" t="n"/>
      <c r="BB288" s="58">
        <f>BB289</f>
        <v/>
      </c>
      <c r="BC288" s="58">
        <f>BC289</f>
        <v/>
      </c>
      <c r="BD288" s="58">
        <f>BC288-BB288</f>
        <v/>
      </c>
      <c r="BE288" s="59">
        <f>IF(BB288=0,"",BC288/BB288)</f>
        <v/>
      </c>
      <c r="BF288" s="23" t="n"/>
      <c r="BG288" s="58">
        <f>BG289</f>
        <v/>
      </c>
      <c r="BH288" s="58">
        <f>BH289</f>
        <v/>
      </c>
      <c r="BI288" s="58">
        <f>BH288-BG288</f>
        <v/>
      </c>
      <c r="BJ288" s="59">
        <f>IF(BG288=0,"",BH288/BG288)</f>
        <v/>
      </c>
      <c r="BK288" s="23" t="n"/>
      <c r="BL288" s="58">
        <f>BL289</f>
        <v/>
      </c>
      <c r="BM288" s="58">
        <f>BM289</f>
        <v/>
      </c>
      <c r="BN288" s="58">
        <f>BM288-BL288</f>
        <v/>
      </c>
      <c r="BO288" s="59">
        <f>IF(BL288=0,"",BM288/BL288)</f>
        <v/>
      </c>
      <c r="BP288" s="23" t="n"/>
      <c r="BQ288" s="58">
        <f>BQ289</f>
        <v/>
      </c>
      <c r="BR288" s="58">
        <f>BR289</f>
        <v/>
      </c>
      <c r="BS288" s="58">
        <f>BR288-BQ288</f>
        <v/>
      </c>
      <c r="BT288" s="59">
        <f>IF(BQ288=0,"",BR288/BQ288)</f>
        <v/>
      </c>
      <c r="BU288" s="23" t="n"/>
      <c r="BV288" s="58">
        <f>BV289</f>
        <v/>
      </c>
      <c r="BW288" s="58">
        <f>BW289</f>
        <v/>
      </c>
      <c r="BX288" s="58">
        <f>BW288-BV288</f>
        <v/>
      </c>
      <c r="BY288" s="59">
        <f>IF(BV288=0,"",BW288/BV288)</f>
        <v/>
      </c>
      <c r="BZ288" s="23" t="n"/>
      <c r="CA288" s="58">
        <f>CA289</f>
        <v/>
      </c>
      <c r="CB288" s="58">
        <f>CB289</f>
        <v/>
      </c>
      <c r="CC288" s="58">
        <f>CB288-CA288</f>
        <v/>
      </c>
      <c r="CD288" s="59">
        <f>IF(CA288=0,"",CB288/CA288)</f>
        <v/>
      </c>
      <c r="CE288" s="23" t="n"/>
      <c r="CF288" s="58">
        <f>CF289</f>
        <v/>
      </c>
      <c r="CG288" s="58">
        <f>CG289</f>
        <v/>
      </c>
      <c r="CH288" s="58">
        <f>CG288-CF288</f>
        <v/>
      </c>
      <c r="CI288" s="59">
        <f>IF(CF288=0,"",CG288/CF288)</f>
        <v/>
      </c>
      <c r="CJ288" s="23" t="n"/>
      <c r="CK288" s="58">
        <f>CK289</f>
        <v/>
      </c>
      <c r="CL288" s="58">
        <f>CL289</f>
        <v/>
      </c>
      <c r="CM288" s="58">
        <f>CL288-CK288</f>
        <v/>
      </c>
      <c r="CN288" s="59">
        <f>IF(CK288=0,"",CL288/CK288)</f>
        <v/>
      </c>
      <c r="CO288" s="23" t="n"/>
      <c r="CP288" s="58">
        <f>CP289</f>
        <v/>
      </c>
      <c r="CQ288" s="58">
        <f>CQ289</f>
        <v/>
      </c>
      <c r="CR288" s="58">
        <f>CQ288-CP288</f>
        <v/>
      </c>
      <c r="CS288" s="59">
        <f>IF(CP288=0,"",CQ288/CP288)</f>
        <v/>
      </c>
      <c r="CT288" s="23" t="n"/>
      <c r="CU288" s="58">
        <f>CU289</f>
        <v/>
      </c>
      <c r="CV288" s="58">
        <f>CV289</f>
        <v/>
      </c>
      <c r="CW288" s="58">
        <f>CV288-CU288</f>
        <v/>
      </c>
      <c r="CX288" s="59">
        <f>IF(CU288=0,"",CV288/CU288)</f>
        <v/>
      </c>
      <c r="CY288" s="23" t="n"/>
      <c r="CZ288" s="58">
        <f>CZ289</f>
        <v/>
      </c>
      <c r="DA288" s="58">
        <f>DA289</f>
        <v/>
      </c>
      <c r="DB288" s="58">
        <f>DA288-CZ288</f>
        <v/>
      </c>
      <c r="DC288" s="59">
        <f>IF(CZ288=0,"",DA288/CZ288)</f>
        <v/>
      </c>
      <c r="DD288" s="23" t="n"/>
      <c r="DE288" s="58">
        <f>DE289</f>
        <v/>
      </c>
      <c r="DF288" s="58">
        <f>DF289</f>
        <v/>
      </c>
      <c r="DG288" s="58">
        <f>DF288-DE288</f>
        <v/>
      </c>
      <c r="DH288" s="59">
        <f>IF(DE288=0,"",DF288/DE288)</f>
        <v/>
      </c>
      <c r="DI288" s="23" t="n"/>
      <c r="DJ288" s="58">
        <f>DJ289</f>
        <v/>
      </c>
      <c r="DK288" s="58">
        <f>DK289</f>
        <v/>
      </c>
      <c r="DL288" s="58">
        <f>DK288-DJ288</f>
        <v/>
      </c>
      <c r="DM288" s="59">
        <f>IF(DJ288=0,"",DK288/DJ288)</f>
        <v/>
      </c>
      <c r="DN288" s="23" t="n"/>
      <c r="DO288" s="58">
        <f>DO289</f>
        <v/>
      </c>
    </row>
    <row r="289" outlineLevel="1" ht="15" customHeight="1">
      <c r="A289" s="24" t="n"/>
      <c r="B289" s="24" t="n"/>
      <c r="C289" s="24" t="n"/>
      <c r="D289" s="60" t="n"/>
      <c r="E289" s="60" t="n"/>
      <c r="F289" s="60">
        <f>E289-D289</f>
        <v/>
      </c>
      <c r="G289" s="61">
        <f>IF(D289=0,"",E289/D289)</f>
        <v/>
      </c>
      <c r="H289" s="27" t="n"/>
      <c r="I289" s="60" t="n"/>
      <c r="J289" s="60" t="n"/>
      <c r="K289" s="60">
        <f>J289-I289</f>
        <v/>
      </c>
      <c r="L289" s="61">
        <f>IF(I289=0,"",J289/I289)</f>
        <v/>
      </c>
      <c r="M289" s="27" t="n"/>
      <c r="N289" s="62" t="n"/>
      <c r="O289" s="62" t="n"/>
      <c r="P289" s="62">
        <f>O289-N289</f>
        <v/>
      </c>
      <c r="Q289" s="64">
        <f>IF(N289=0,"",O289/N289)</f>
        <v/>
      </c>
      <c r="R289" s="31" t="n"/>
      <c r="S289" s="60" t="n"/>
      <c r="T289" s="60" t="n"/>
      <c r="U289" s="60">
        <f>T289-S289</f>
        <v/>
      </c>
      <c r="V289" s="61">
        <f>IF(S289=0,"",T289/S289)</f>
        <v/>
      </c>
      <c r="W289" s="27" t="n"/>
      <c r="X289" s="62" t="n"/>
      <c r="Y289" s="62" t="n"/>
      <c r="Z289" s="62">
        <f>Y289-X289</f>
        <v/>
      </c>
      <c r="AA289" s="64">
        <f>IF(X289=0,"",Y289/X289)</f>
        <v/>
      </c>
      <c r="AB289" s="31" t="n"/>
      <c r="AC289" s="60" t="n"/>
      <c r="AD289" s="60" t="n"/>
      <c r="AE289" s="60">
        <f>AD289-AC289</f>
        <v/>
      </c>
      <c r="AF289" s="61">
        <f>IF(AC289=0,"",AD289/AC289)</f>
        <v/>
      </c>
      <c r="AG289" s="27" t="n"/>
      <c r="AH289" s="62" t="n"/>
      <c r="AI289" s="62" t="n"/>
      <c r="AJ289" s="62">
        <f>AI289-AH289</f>
        <v/>
      </c>
      <c r="AK289" s="64">
        <f>IF(AH289=0,"",AI289/AH289)</f>
        <v/>
      </c>
      <c r="AL289" s="31" t="n"/>
      <c r="AM289" s="60" t="n"/>
      <c r="AN289" s="60" t="n"/>
      <c r="AO289" s="60">
        <f>AN289-AM289</f>
        <v/>
      </c>
      <c r="AP289" s="61">
        <f>IF(AM289=0,"",AN289/AM289)</f>
        <v/>
      </c>
      <c r="AQ289" s="27" t="n"/>
      <c r="AR289" s="62" t="n"/>
      <c r="AS289" s="62" t="n"/>
      <c r="AT289" s="62">
        <f>AS289-AR289</f>
        <v/>
      </c>
      <c r="AU289" s="64">
        <f>IF(AR289=0,"",AS289/AR289)</f>
        <v/>
      </c>
      <c r="AV289" s="31" t="n"/>
      <c r="AW289" s="60" t="n"/>
      <c r="AX289" s="60" t="n"/>
      <c r="AY289" s="60">
        <f>AX289-AW289</f>
        <v/>
      </c>
      <c r="AZ289" s="61">
        <f>IF(AW289=0,"",AX289/AW289)</f>
        <v/>
      </c>
      <c r="BA289" s="27" t="n"/>
      <c r="BB289" s="62" t="n"/>
      <c r="BC289" s="62" t="n"/>
      <c r="BD289" s="62">
        <f>BC289-BB289</f>
        <v/>
      </c>
      <c r="BE289" s="64">
        <f>IF(BB289=0,"",BC289/BB289)</f>
        <v/>
      </c>
      <c r="BF289" s="31" t="n"/>
      <c r="BG289" s="60" t="n"/>
      <c r="BH289" s="60" t="n"/>
      <c r="BI289" s="60">
        <f>BH289-BG289</f>
        <v/>
      </c>
      <c r="BJ289" s="61">
        <f>IF(BG289=0,"",BH289/BG289)</f>
        <v/>
      </c>
      <c r="BK289" s="27" t="n"/>
      <c r="BL289" s="62" t="n"/>
      <c r="BM289" s="62" t="n"/>
      <c r="BN289" s="62">
        <f>BM289-BL289</f>
        <v/>
      </c>
      <c r="BO289" s="64">
        <f>IF(BL289=0,"",BM289/BL289)</f>
        <v/>
      </c>
      <c r="BP289" s="31" t="n"/>
      <c r="BQ289" s="60" t="n"/>
      <c r="BR289" s="60" t="n"/>
      <c r="BS289" s="60">
        <f>BR289-BQ289</f>
        <v/>
      </c>
      <c r="BT289" s="61">
        <f>IF(BQ289=0,"",BR289/BQ289)</f>
        <v/>
      </c>
      <c r="BU289" s="27" t="n"/>
      <c r="BV289" s="62" t="n"/>
      <c r="BW289" s="62" t="n"/>
      <c r="BX289" s="62">
        <f>BW289-BV289</f>
        <v/>
      </c>
      <c r="BY289" s="64">
        <f>IF(BV289=0,"",BW289/BV289)</f>
        <v/>
      </c>
      <c r="BZ289" s="31" t="n"/>
      <c r="CA289" s="60" t="n"/>
      <c r="CB289" s="60" t="n"/>
      <c r="CC289" s="60">
        <f>CB289-CA289</f>
        <v/>
      </c>
      <c r="CD289" s="61">
        <f>IF(CA289=0,"",CB289/CA289)</f>
        <v/>
      </c>
      <c r="CE289" s="27" t="n"/>
      <c r="CF289" s="62" t="n"/>
      <c r="CG289" s="62" t="n"/>
      <c r="CH289" s="62">
        <f>CG289-CF289</f>
        <v/>
      </c>
      <c r="CI289" s="64">
        <f>IF(CF289=0,"",CG289/CF289)</f>
        <v/>
      </c>
      <c r="CJ289" s="31" t="n"/>
      <c r="CK289" s="60" t="n"/>
      <c r="CL289" s="60" t="n"/>
      <c r="CM289" s="60">
        <f>CL289-CK289</f>
        <v/>
      </c>
      <c r="CN289" s="61">
        <f>IF(CK289=0,"",CL289/CK289)</f>
        <v/>
      </c>
      <c r="CO289" s="27" t="n"/>
      <c r="CP289" s="62" t="n"/>
      <c r="CQ289" s="62" t="n"/>
      <c r="CR289" s="62">
        <f>CQ289-CP289</f>
        <v/>
      </c>
      <c r="CS289" s="64">
        <f>IF(CP289=0,"",CQ289/CP289)</f>
        <v/>
      </c>
      <c r="CT289" s="31" t="n"/>
      <c r="CU289" s="60" t="n"/>
      <c r="CV289" s="60" t="n"/>
      <c r="CW289" s="60">
        <f>CV289-CU289</f>
        <v/>
      </c>
      <c r="CX289" s="61">
        <f>IF(CU289=0,"",CV289/CU289)</f>
        <v/>
      </c>
      <c r="CY289" s="27" t="n"/>
      <c r="CZ289" s="62" t="n"/>
      <c r="DA289" s="62" t="n"/>
      <c r="DB289" s="62">
        <f>DA289-CZ289</f>
        <v/>
      </c>
      <c r="DC289" s="64">
        <f>IF(CZ289=0,"",DA289/CZ289)</f>
        <v/>
      </c>
      <c r="DD289" s="31" t="n"/>
      <c r="DE289" s="60" t="n"/>
      <c r="DF289" s="60" t="n"/>
      <c r="DG289" s="60">
        <f>DF289-DE289</f>
        <v/>
      </c>
      <c r="DH289" s="61">
        <f>IF(DE289=0,"",DF289/DE289)</f>
        <v/>
      </c>
      <c r="DI289" s="27" t="n"/>
      <c r="DJ289" s="62" t="n"/>
      <c r="DK289" s="62" t="n"/>
      <c r="DL289" s="62">
        <f>DK289-DJ289</f>
        <v/>
      </c>
      <c r="DM289" s="64">
        <f>IF(DJ289=0,"",DK289/DJ289)</f>
        <v/>
      </c>
      <c r="DN289" s="31" t="n"/>
      <c r="DO289" s="60" t="n"/>
    </row>
    <row r="290" ht="15" customHeight="1">
      <c r="A290" s="19" t="n"/>
      <c r="B290" s="20" t="n"/>
      <c r="C290" s="19" t="n"/>
      <c r="D290" s="58">
        <f>D291</f>
        <v/>
      </c>
      <c r="E290" s="58">
        <f>E291</f>
        <v/>
      </c>
      <c r="F290" s="58">
        <f>E290-D290</f>
        <v/>
      </c>
      <c r="G290" s="59">
        <f>IF(D290=0,"",E290/D290)</f>
        <v/>
      </c>
      <c r="H290" s="23" t="n"/>
      <c r="I290" s="58">
        <f>I291</f>
        <v/>
      </c>
      <c r="J290" s="58">
        <f>J291</f>
        <v/>
      </c>
      <c r="K290" s="58">
        <f>J290-I290</f>
        <v/>
      </c>
      <c r="L290" s="59">
        <f>IF(I290=0,"",J290/I290)</f>
        <v/>
      </c>
      <c r="M290" s="23" t="n"/>
      <c r="N290" s="58">
        <f>N291</f>
        <v/>
      </c>
      <c r="O290" s="58">
        <f>O291</f>
        <v/>
      </c>
      <c r="P290" s="58">
        <f>O290-N290</f>
        <v/>
      </c>
      <c r="Q290" s="59">
        <f>IF(N290=0,"",O290/N290)</f>
        <v/>
      </c>
      <c r="R290" s="23" t="n"/>
      <c r="S290" s="58">
        <f>S291</f>
        <v/>
      </c>
      <c r="T290" s="58">
        <f>T291</f>
        <v/>
      </c>
      <c r="U290" s="58">
        <f>T290-S290</f>
        <v/>
      </c>
      <c r="V290" s="59">
        <f>IF(S290=0,"",T290/S290)</f>
        <v/>
      </c>
      <c r="W290" s="23" t="n"/>
      <c r="X290" s="58">
        <f>X291</f>
        <v/>
      </c>
      <c r="Y290" s="58">
        <f>Y291</f>
        <v/>
      </c>
      <c r="Z290" s="58">
        <f>Y290-X290</f>
        <v/>
      </c>
      <c r="AA290" s="59">
        <f>IF(X290=0,"",Y290/X290)</f>
        <v/>
      </c>
      <c r="AB290" s="23" t="n"/>
      <c r="AC290" s="58">
        <f>AC291</f>
        <v/>
      </c>
      <c r="AD290" s="58">
        <f>AD291</f>
        <v/>
      </c>
      <c r="AE290" s="58">
        <f>AD290-AC290</f>
        <v/>
      </c>
      <c r="AF290" s="59">
        <f>IF(AC290=0,"",AD290/AC290)</f>
        <v/>
      </c>
      <c r="AG290" s="23" t="n"/>
      <c r="AH290" s="58">
        <f>AH291</f>
        <v/>
      </c>
      <c r="AI290" s="58">
        <f>AI291</f>
        <v/>
      </c>
      <c r="AJ290" s="58">
        <f>AI290-AH290</f>
        <v/>
      </c>
      <c r="AK290" s="59">
        <f>IF(AH290=0,"",AI290/AH290)</f>
        <v/>
      </c>
      <c r="AL290" s="23" t="n"/>
      <c r="AM290" s="58">
        <f>AM291</f>
        <v/>
      </c>
      <c r="AN290" s="58">
        <f>AN291</f>
        <v/>
      </c>
      <c r="AO290" s="58">
        <f>AN290-AM290</f>
        <v/>
      </c>
      <c r="AP290" s="59">
        <f>IF(AM290=0,"",AN290/AM290)</f>
        <v/>
      </c>
      <c r="AQ290" s="23" t="n"/>
      <c r="AR290" s="58">
        <f>AR291</f>
        <v/>
      </c>
      <c r="AS290" s="58">
        <f>AS291</f>
        <v/>
      </c>
      <c r="AT290" s="58">
        <f>AS290-AR290</f>
        <v/>
      </c>
      <c r="AU290" s="59">
        <f>IF(AR290=0,"",AS290/AR290)</f>
        <v/>
      </c>
      <c r="AV290" s="23" t="n"/>
      <c r="AW290" s="58">
        <f>AW291</f>
        <v/>
      </c>
      <c r="AX290" s="58">
        <f>AX291</f>
        <v/>
      </c>
      <c r="AY290" s="58">
        <f>AX290-AW290</f>
        <v/>
      </c>
      <c r="AZ290" s="59">
        <f>IF(AW290=0,"",AX290/AW290)</f>
        <v/>
      </c>
      <c r="BA290" s="23" t="n"/>
      <c r="BB290" s="58">
        <f>BB291</f>
        <v/>
      </c>
      <c r="BC290" s="58">
        <f>BC291</f>
        <v/>
      </c>
      <c r="BD290" s="58">
        <f>BC290-BB290</f>
        <v/>
      </c>
      <c r="BE290" s="59">
        <f>IF(BB290=0,"",BC290/BB290)</f>
        <v/>
      </c>
      <c r="BF290" s="23" t="n"/>
      <c r="BG290" s="58">
        <f>BG291</f>
        <v/>
      </c>
      <c r="BH290" s="58">
        <f>BH291</f>
        <v/>
      </c>
      <c r="BI290" s="58">
        <f>BH290-BG290</f>
        <v/>
      </c>
      <c r="BJ290" s="59">
        <f>IF(BG290=0,"",BH290/BG290)</f>
        <v/>
      </c>
      <c r="BK290" s="23" t="n"/>
      <c r="BL290" s="58">
        <f>BL291</f>
        <v/>
      </c>
      <c r="BM290" s="58">
        <f>BM291</f>
        <v/>
      </c>
      <c r="BN290" s="58">
        <f>BM290-BL290</f>
        <v/>
      </c>
      <c r="BO290" s="59">
        <f>IF(BL290=0,"",BM290/BL290)</f>
        <v/>
      </c>
      <c r="BP290" s="23" t="n"/>
      <c r="BQ290" s="58">
        <f>BQ291</f>
        <v/>
      </c>
      <c r="BR290" s="58">
        <f>BR291</f>
        <v/>
      </c>
      <c r="BS290" s="58">
        <f>BR290-BQ290</f>
        <v/>
      </c>
      <c r="BT290" s="59">
        <f>IF(BQ290=0,"",BR290/BQ290)</f>
        <v/>
      </c>
      <c r="BU290" s="23" t="n"/>
      <c r="BV290" s="58">
        <f>BV291</f>
        <v/>
      </c>
      <c r="BW290" s="58">
        <f>BW291</f>
        <v/>
      </c>
      <c r="BX290" s="58">
        <f>BW290-BV290</f>
        <v/>
      </c>
      <c r="BY290" s="59">
        <f>IF(BV290=0,"",BW290/BV290)</f>
        <v/>
      </c>
      <c r="BZ290" s="23" t="n"/>
      <c r="CA290" s="58">
        <f>CA291</f>
        <v/>
      </c>
      <c r="CB290" s="58">
        <f>CB291</f>
        <v/>
      </c>
      <c r="CC290" s="58">
        <f>CB290-CA290</f>
        <v/>
      </c>
      <c r="CD290" s="59">
        <f>IF(CA290=0,"",CB290/CA290)</f>
        <v/>
      </c>
      <c r="CE290" s="23" t="n"/>
      <c r="CF290" s="58">
        <f>CF291</f>
        <v/>
      </c>
      <c r="CG290" s="58">
        <f>CG291</f>
        <v/>
      </c>
      <c r="CH290" s="58">
        <f>CG290-CF290</f>
        <v/>
      </c>
      <c r="CI290" s="59">
        <f>IF(CF290=0,"",CG290/CF290)</f>
        <v/>
      </c>
      <c r="CJ290" s="23" t="n"/>
      <c r="CK290" s="58">
        <f>CK291</f>
        <v/>
      </c>
      <c r="CL290" s="58">
        <f>CL291</f>
        <v/>
      </c>
      <c r="CM290" s="58">
        <f>CL290-CK290</f>
        <v/>
      </c>
      <c r="CN290" s="59">
        <f>IF(CK290=0,"",CL290/CK290)</f>
        <v/>
      </c>
      <c r="CO290" s="23" t="n"/>
      <c r="CP290" s="58">
        <f>CP291</f>
        <v/>
      </c>
      <c r="CQ290" s="58">
        <f>CQ291</f>
        <v/>
      </c>
      <c r="CR290" s="58">
        <f>CQ290-CP290</f>
        <v/>
      </c>
      <c r="CS290" s="59">
        <f>IF(CP290=0,"",CQ290/CP290)</f>
        <v/>
      </c>
      <c r="CT290" s="23" t="n"/>
      <c r="CU290" s="58">
        <f>CU291</f>
        <v/>
      </c>
      <c r="CV290" s="58">
        <f>CV291</f>
        <v/>
      </c>
      <c r="CW290" s="58">
        <f>CV290-CU290</f>
        <v/>
      </c>
      <c r="CX290" s="59">
        <f>IF(CU290=0,"",CV290/CU290)</f>
        <v/>
      </c>
      <c r="CY290" s="23" t="n"/>
      <c r="CZ290" s="58">
        <f>CZ291</f>
        <v/>
      </c>
      <c r="DA290" s="58">
        <f>DA291</f>
        <v/>
      </c>
      <c r="DB290" s="58">
        <f>DA290-CZ290</f>
        <v/>
      </c>
      <c r="DC290" s="59">
        <f>IF(CZ290=0,"",DA290/CZ290)</f>
        <v/>
      </c>
      <c r="DD290" s="23" t="n"/>
      <c r="DE290" s="58">
        <f>DE291</f>
        <v/>
      </c>
      <c r="DF290" s="58">
        <f>DF291</f>
        <v/>
      </c>
      <c r="DG290" s="58">
        <f>DF290-DE290</f>
        <v/>
      </c>
      <c r="DH290" s="59">
        <f>IF(DE290=0,"",DF290/DE290)</f>
        <v/>
      </c>
      <c r="DI290" s="23" t="n"/>
      <c r="DJ290" s="58">
        <f>DJ291</f>
        <v/>
      </c>
      <c r="DK290" s="58">
        <f>DK291</f>
        <v/>
      </c>
      <c r="DL290" s="58">
        <f>DK290-DJ290</f>
        <v/>
      </c>
      <c r="DM290" s="59">
        <f>IF(DJ290=0,"",DK290/DJ290)</f>
        <v/>
      </c>
      <c r="DN290" s="23" t="n"/>
      <c r="DO290" s="58">
        <f>DO291</f>
        <v/>
      </c>
    </row>
    <row r="291" outlineLevel="1" ht="15" customHeight="1">
      <c r="A291" s="24" t="n"/>
      <c r="B291" s="24" t="n"/>
      <c r="C291" s="24" t="n"/>
      <c r="D291" s="60" t="n"/>
      <c r="E291" s="60" t="n"/>
      <c r="F291" s="60">
        <f>E291-D291</f>
        <v/>
      </c>
      <c r="G291" s="61">
        <f>IF(D291=0,"",E291/D291)</f>
        <v/>
      </c>
      <c r="H291" s="27" t="n"/>
      <c r="I291" s="60" t="n"/>
      <c r="J291" s="60" t="n"/>
      <c r="K291" s="60">
        <f>J291-I291</f>
        <v/>
      </c>
      <c r="L291" s="61">
        <f>IF(I291=0,"",J291/I291)</f>
        <v/>
      </c>
      <c r="M291" s="27" t="n"/>
      <c r="N291" s="62" t="n"/>
      <c r="O291" s="62" t="n"/>
      <c r="P291" s="62">
        <f>O291-N291</f>
        <v/>
      </c>
      <c r="Q291" s="64">
        <f>IF(N291=0,"",O291/N291)</f>
        <v/>
      </c>
      <c r="R291" s="31" t="n"/>
      <c r="S291" s="60" t="n"/>
      <c r="T291" s="60" t="n"/>
      <c r="U291" s="60">
        <f>T291-S291</f>
        <v/>
      </c>
      <c r="V291" s="61">
        <f>IF(S291=0,"",T291/S291)</f>
        <v/>
      </c>
      <c r="W291" s="27" t="n"/>
      <c r="X291" s="62" t="n"/>
      <c r="Y291" s="62" t="n"/>
      <c r="Z291" s="62">
        <f>Y291-X291</f>
        <v/>
      </c>
      <c r="AA291" s="64">
        <f>IF(X291=0,"",Y291/X291)</f>
        <v/>
      </c>
      <c r="AB291" s="31" t="n"/>
      <c r="AC291" s="60" t="n"/>
      <c r="AD291" s="60" t="n"/>
      <c r="AE291" s="60">
        <f>AD291-AC291</f>
        <v/>
      </c>
      <c r="AF291" s="61">
        <f>IF(AC291=0,"",AD291/AC291)</f>
        <v/>
      </c>
      <c r="AG291" s="27" t="n"/>
      <c r="AH291" s="62" t="n"/>
      <c r="AI291" s="62" t="n"/>
      <c r="AJ291" s="62">
        <f>AI291-AH291</f>
        <v/>
      </c>
      <c r="AK291" s="64">
        <f>IF(AH291=0,"",AI291/AH291)</f>
        <v/>
      </c>
      <c r="AL291" s="31" t="n"/>
      <c r="AM291" s="60" t="n"/>
      <c r="AN291" s="60" t="n"/>
      <c r="AO291" s="60">
        <f>AN291-AM291</f>
        <v/>
      </c>
      <c r="AP291" s="61">
        <f>IF(AM291=0,"",AN291/AM291)</f>
        <v/>
      </c>
      <c r="AQ291" s="27" t="n"/>
      <c r="AR291" s="62" t="n"/>
      <c r="AS291" s="62" t="n"/>
      <c r="AT291" s="62">
        <f>AS291-AR291</f>
        <v/>
      </c>
      <c r="AU291" s="64">
        <f>IF(AR291=0,"",AS291/AR291)</f>
        <v/>
      </c>
      <c r="AV291" s="31" t="n"/>
      <c r="AW291" s="60" t="n"/>
      <c r="AX291" s="60" t="n"/>
      <c r="AY291" s="60">
        <f>AX291-AW291</f>
        <v/>
      </c>
      <c r="AZ291" s="61">
        <f>IF(AW291=0,"",AX291/AW291)</f>
        <v/>
      </c>
      <c r="BA291" s="27" t="n"/>
      <c r="BB291" s="62" t="n"/>
      <c r="BC291" s="62" t="n"/>
      <c r="BD291" s="62">
        <f>BC291-BB291</f>
        <v/>
      </c>
      <c r="BE291" s="64">
        <f>IF(BB291=0,"",BC291/BB291)</f>
        <v/>
      </c>
      <c r="BF291" s="31" t="n"/>
      <c r="BG291" s="60" t="n"/>
      <c r="BH291" s="60" t="n"/>
      <c r="BI291" s="60">
        <f>BH291-BG291</f>
        <v/>
      </c>
      <c r="BJ291" s="61">
        <f>IF(BG291=0,"",BH291/BG291)</f>
        <v/>
      </c>
      <c r="BK291" s="27" t="n"/>
      <c r="BL291" s="62" t="n"/>
      <c r="BM291" s="62" t="n"/>
      <c r="BN291" s="62">
        <f>BM291-BL291</f>
        <v/>
      </c>
      <c r="BO291" s="64">
        <f>IF(BL291=0,"",BM291/BL291)</f>
        <v/>
      </c>
      <c r="BP291" s="31" t="n"/>
      <c r="BQ291" s="60" t="n"/>
      <c r="BR291" s="60" t="n"/>
      <c r="BS291" s="60">
        <f>BR291-BQ291</f>
        <v/>
      </c>
      <c r="BT291" s="61">
        <f>IF(BQ291=0,"",BR291/BQ291)</f>
        <v/>
      </c>
      <c r="BU291" s="27" t="n"/>
      <c r="BV291" s="62" t="n"/>
      <c r="BW291" s="62" t="n"/>
      <c r="BX291" s="62">
        <f>BW291-BV291</f>
        <v/>
      </c>
      <c r="BY291" s="64">
        <f>IF(BV291=0,"",BW291/BV291)</f>
        <v/>
      </c>
      <c r="BZ291" s="31" t="n"/>
      <c r="CA291" s="60" t="n"/>
      <c r="CB291" s="60" t="n"/>
      <c r="CC291" s="60">
        <f>CB291-CA291</f>
        <v/>
      </c>
      <c r="CD291" s="61">
        <f>IF(CA291=0,"",CB291/CA291)</f>
        <v/>
      </c>
      <c r="CE291" s="27" t="n"/>
      <c r="CF291" s="62" t="n"/>
      <c r="CG291" s="62" t="n"/>
      <c r="CH291" s="62">
        <f>CG291-CF291</f>
        <v/>
      </c>
      <c r="CI291" s="64">
        <f>IF(CF291=0,"",CG291/CF291)</f>
        <v/>
      </c>
      <c r="CJ291" s="31" t="n"/>
      <c r="CK291" s="60" t="n"/>
      <c r="CL291" s="60" t="n"/>
      <c r="CM291" s="60">
        <f>CL291-CK291</f>
        <v/>
      </c>
      <c r="CN291" s="61">
        <f>IF(CK291=0,"",CL291/CK291)</f>
        <v/>
      </c>
      <c r="CO291" s="27" t="n"/>
      <c r="CP291" s="62" t="n"/>
      <c r="CQ291" s="62" t="n"/>
      <c r="CR291" s="62">
        <f>CQ291-CP291</f>
        <v/>
      </c>
      <c r="CS291" s="64">
        <f>IF(CP291=0,"",CQ291/CP291)</f>
        <v/>
      </c>
      <c r="CT291" s="31" t="n"/>
      <c r="CU291" s="60" t="n"/>
      <c r="CV291" s="60" t="n"/>
      <c r="CW291" s="60">
        <f>CV291-CU291</f>
        <v/>
      </c>
      <c r="CX291" s="61">
        <f>IF(CU291=0,"",CV291/CU291)</f>
        <v/>
      </c>
      <c r="CY291" s="27" t="n"/>
      <c r="CZ291" s="62" t="n"/>
      <c r="DA291" s="62" t="n"/>
      <c r="DB291" s="62">
        <f>DA291-CZ291</f>
        <v/>
      </c>
      <c r="DC291" s="64">
        <f>IF(CZ291=0,"",DA291/CZ291)</f>
        <v/>
      </c>
      <c r="DD291" s="31" t="n"/>
      <c r="DE291" s="60" t="n"/>
      <c r="DF291" s="60" t="n"/>
      <c r="DG291" s="60">
        <f>DF291-DE291</f>
        <v/>
      </c>
      <c r="DH291" s="61">
        <f>IF(DE291=0,"",DF291/DE291)</f>
        <v/>
      </c>
      <c r="DI291" s="27" t="n"/>
      <c r="DJ291" s="62" t="n"/>
      <c r="DK291" s="62" t="n"/>
      <c r="DL291" s="62">
        <f>DK291-DJ291</f>
        <v/>
      </c>
      <c r="DM291" s="64">
        <f>IF(DJ291=0,"",DK291/DJ291)</f>
        <v/>
      </c>
      <c r="DN291" s="31" t="n"/>
      <c r="DO291" s="60" t="n"/>
    </row>
    <row r="292" ht="15" customHeight="1">
      <c r="A292" s="19" t="n"/>
      <c r="B292" s="20" t="n"/>
      <c r="C292" s="19" t="n"/>
      <c r="D292" s="58">
        <f>D293</f>
        <v/>
      </c>
      <c r="E292" s="58">
        <f>E293</f>
        <v/>
      </c>
      <c r="F292" s="58">
        <f>E292-D292</f>
        <v/>
      </c>
      <c r="G292" s="59">
        <f>IF(D292=0,"",E292/D292)</f>
        <v/>
      </c>
      <c r="H292" s="23" t="n"/>
      <c r="I292" s="58">
        <f>I293</f>
        <v/>
      </c>
      <c r="J292" s="58">
        <f>J293</f>
        <v/>
      </c>
      <c r="K292" s="58">
        <f>J292-I292</f>
        <v/>
      </c>
      <c r="L292" s="59">
        <f>IF(I292=0,"",J292/I292)</f>
        <v/>
      </c>
      <c r="M292" s="23" t="n"/>
      <c r="N292" s="58">
        <f>N293</f>
        <v/>
      </c>
      <c r="O292" s="58">
        <f>O293</f>
        <v/>
      </c>
      <c r="P292" s="58">
        <f>O292-N292</f>
        <v/>
      </c>
      <c r="Q292" s="59">
        <f>IF(N292=0,"",O292/N292)</f>
        <v/>
      </c>
      <c r="R292" s="23" t="n"/>
      <c r="S292" s="58">
        <f>S293</f>
        <v/>
      </c>
      <c r="T292" s="58">
        <f>T293</f>
        <v/>
      </c>
      <c r="U292" s="58">
        <f>T292-S292</f>
        <v/>
      </c>
      <c r="V292" s="59">
        <f>IF(S292=0,"",T292/S292)</f>
        <v/>
      </c>
      <c r="W292" s="23" t="n"/>
      <c r="X292" s="58">
        <f>X293</f>
        <v/>
      </c>
      <c r="Y292" s="58">
        <f>Y293</f>
        <v/>
      </c>
      <c r="Z292" s="58">
        <f>Y292-X292</f>
        <v/>
      </c>
      <c r="AA292" s="59">
        <f>IF(X292=0,"",Y292/X292)</f>
        <v/>
      </c>
      <c r="AB292" s="23" t="n"/>
      <c r="AC292" s="58">
        <f>AC293</f>
        <v/>
      </c>
      <c r="AD292" s="58">
        <f>AD293</f>
        <v/>
      </c>
      <c r="AE292" s="58">
        <f>AD292-AC292</f>
        <v/>
      </c>
      <c r="AF292" s="59">
        <f>IF(AC292=0,"",AD292/AC292)</f>
        <v/>
      </c>
      <c r="AG292" s="23" t="n"/>
      <c r="AH292" s="58">
        <f>AH293</f>
        <v/>
      </c>
      <c r="AI292" s="58">
        <f>AI293</f>
        <v/>
      </c>
      <c r="AJ292" s="58">
        <f>AI292-AH292</f>
        <v/>
      </c>
      <c r="AK292" s="59">
        <f>IF(AH292=0,"",AI292/AH292)</f>
        <v/>
      </c>
      <c r="AL292" s="23" t="n"/>
      <c r="AM292" s="58">
        <f>AM293</f>
        <v/>
      </c>
      <c r="AN292" s="58">
        <f>AN293</f>
        <v/>
      </c>
      <c r="AO292" s="58">
        <f>AN292-AM292</f>
        <v/>
      </c>
      <c r="AP292" s="59">
        <f>IF(AM292=0,"",AN292/AM292)</f>
        <v/>
      </c>
      <c r="AQ292" s="23" t="n"/>
      <c r="AR292" s="58">
        <f>AR293</f>
        <v/>
      </c>
      <c r="AS292" s="58">
        <f>AS293</f>
        <v/>
      </c>
      <c r="AT292" s="58">
        <f>AS292-AR292</f>
        <v/>
      </c>
      <c r="AU292" s="59">
        <f>IF(AR292=0,"",AS292/AR292)</f>
        <v/>
      </c>
      <c r="AV292" s="23" t="n"/>
      <c r="AW292" s="58">
        <f>AW293</f>
        <v/>
      </c>
      <c r="AX292" s="58">
        <f>AX293</f>
        <v/>
      </c>
      <c r="AY292" s="58">
        <f>AX292-AW292</f>
        <v/>
      </c>
      <c r="AZ292" s="59">
        <f>IF(AW292=0,"",AX292/AW292)</f>
        <v/>
      </c>
      <c r="BA292" s="23" t="n"/>
      <c r="BB292" s="58">
        <f>BB293</f>
        <v/>
      </c>
      <c r="BC292" s="58">
        <f>BC293</f>
        <v/>
      </c>
      <c r="BD292" s="58">
        <f>BC292-BB292</f>
        <v/>
      </c>
      <c r="BE292" s="59">
        <f>IF(BB292=0,"",BC292/BB292)</f>
        <v/>
      </c>
      <c r="BF292" s="23" t="n"/>
      <c r="BG292" s="58">
        <f>BG293</f>
        <v/>
      </c>
      <c r="BH292" s="58">
        <f>BH293</f>
        <v/>
      </c>
      <c r="BI292" s="58">
        <f>BH292-BG292</f>
        <v/>
      </c>
      <c r="BJ292" s="59">
        <f>IF(BG292=0,"",BH292/BG292)</f>
        <v/>
      </c>
      <c r="BK292" s="23" t="n"/>
      <c r="BL292" s="58">
        <f>BL293</f>
        <v/>
      </c>
      <c r="BM292" s="58">
        <f>BM293</f>
        <v/>
      </c>
      <c r="BN292" s="58">
        <f>BM292-BL292</f>
        <v/>
      </c>
      <c r="BO292" s="59">
        <f>IF(BL292=0,"",BM292/BL292)</f>
        <v/>
      </c>
      <c r="BP292" s="23" t="n"/>
      <c r="BQ292" s="58">
        <f>BQ293</f>
        <v/>
      </c>
      <c r="BR292" s="58">
        <f>BR293</f>
        <v/>
      </c>
      <c r="BS292" s="58">
        <f>BR292-BQ292</f>
        <v/>
      </c>
      <c r="BT292" s="59">
        <f>IF(BQ292=0,"",BR292/BQ292)</f>
        <v/>
      </c>
      <c r="BU292" s="23" t="n"/>
      <c r="BV292" s="58">
        <f>BV293</f>
        <v/>
      </c>
      <c r="BW292" s="58">
        <f>BW293</f>
        <v/>
      </c>
      <c r="BX292" s="58">
        <f>BW292-BV292</f>
        <v/>
      </c>
      <c r="BY292" s="59">
        <f>IF(BV292=0,"",BW292/BV292)</f>
        <v/>
      </c>
      <c r="BZ292" s="23" t="n"/>
      <c r="CA292" s="58">
        <f>CA293</f>
        <v/>
      </c>
      <c r="CB292" s="58">
        <f>CB293</f>
        <v/>
      </c>
      <c r="CC292" s="58">
        <f>CB292-CA292</f>
        <v/>
      </c>
      <c r="CD292" s="59">
        <f>IF(CA292=0,"",CB292/CA292)</f>
        <v/>
      </c>
      <c r="CE292" s="23" t="n"/>
      <c r="CF292" s="58">
        <f>CF293</f>
        <v/>
      </c>
      <c r="CG292" s="58">
        <f>CG293</f>
        <v/>
      </c>
      <c r="CH292" s="58">
        <f>CG292-CF292</f>
        <v/>
      </c>
      <c r="CI292" s="59">
        <f>IF(CF292=0,"",CG292/CF292)</f>
        <v/>
      </c>
      <c r="CJ292" s="23" t="n"/>
      <c r="CK292" s="58">
        <f>CK293</f>
        <v/>
      </c>
      <c r="CL292" s="58">
        <f>CL293</f>
        <v/>
      </c>
      <c r="CM292" s="58">
        <f>CL292-CK292</f>
        <v/>
      </c>
      <c r="CN292" s="59">
        <f>IF(CK292=0,"",CL292/CK292)</f>
        <v/>
      </c>
      <c r="CO292" s="23" t="n"/>
      <c r="CP292" s="58">
        <f>CP293</f>
        <v/>
      </c>
      <c r="CQ292" s="58">
        <f>CQ293</f>
        <v/>
      </c>
      <c r="CR292" s="58">
        <f>CQ292-CP292</f>
        <v/>
      </c>
      <c r="CS292" s="59">
        <f>IF(CP292=0,"",CQ292/CP292)</f>
        <v/>
      </c>
      <c r="CT292" s="23" t="n"/>
      <c r="CU292" s="58">
        <f>CU293</f>
        <v/>
      </c>
      <c r="CV292" s="58">
        <f>CV293</f>
        <v/>
      </c>
      <c r="CW292" s="58">
        <f>CV292-CU292</f>
        <v/>
      </c>
      <c r="CX292" s="59">
        <f>IF(CU292=0,"",CV292/CU292)</f>
        <v/>
      </c>
      <c r="CY292" s="23" t="n"/>
      <c r="CZ292" s="58">
        <f>CZ293</f>
        <v/>
      </c>
      <c r="DA292" s="58">
        <f>DA293</f>
        <v/>
      </c>
      <c r="DB292" s="58">
        <f>DA292-CZ292</f>
        <v/>
      </c>
      <c r="DC292" s="59">
        <f>IF(CZ292=0,"",DA292/CZ292)</f>
        <v/>
      </c>
      <c r="DD292" s="23" t="n"/>
      <c r="DE292" s="58">
        <f>DE293</f>
        <v/>
      </c>
      <c r="DF292" s="58">
        <f>DF293</f>
        <v/>
      </c>
      <c r="DG292" s="58">
        <f>DF292-DE292</f>
        <v/>
      </c>
      <c r="DH292" s="59">
        <f>IF(DE292=0,"",DF292/DE292)</f>
        <v/>
      </c>
      <c r="DI292" s="23" t="n"/>
      <c r="DJ292" s="58">
        <f>DJ293</f>
        <v/>
      </c>
      <c r="DK292" s="58">
        <f>DK293</f>
        <v/>
      </c>
      <c r="DL292" s="58">
        <f>DK292-DJ292</f>
        <v/>
      </c>
      <c r="DM292" s="59">
        <f>IF(DJ292=0,"",DK292/DJ292)</f>
        <v/>
      </c>
      <c r="DN292" s="23" t="n"/>
      <c r="DO292" s="58">
        <f>DO293</f>
        <v/>
      </c>
    </row>
    <row r="293" outlineLevel="1" ht="15" customHeight="1">
      <c r="A293" s="24" t="n"/>
      <c r="B293" s="24" t="n"/>
      <c r="C293" s="24" t="n"/>
      <c r="D293" s="60" t="n"/>
      <c r="E293" s="60" t="n"/>
      <c r="F293" s="60">
        <f>E293-D293</f>
        <v/>
      </c>
      <c r="G293" s="61">
        <f>IF(D293=0,"",E293/D293)</f>
        <v/>
      </c>
      <c r="H293" s="27" t="n"/>
      <c r="I293" s="60" t="n"/>
      <c r="J293" s="60" t="n"/>
      <c r="K293" s="60">
        <f>J293-I293</f>
        <v/>
      </c>
      <c r="L293" s="61">
        <f>IF(I293=0,"",J293/I293)</f>
        <v/>
      </c>
      <c r="M293" s="27" t="n"/>
      <c r="N293" s="62" t="n"/>
      <c r="O293" s="62" t="n"/>
      <c r="P293" s="62">
        <f>O293-N293</f>
        <v/>
      </c>
      <c r="Q293" s="64">
        <f>IF(N293=0,"",O293/N293)</f>
        <v/>
      </c>
      <c r="R293" s="31" t="n"/>
      <c r="S293" s="60" t="n"/>
      <c r="T293" s="60" t="n"/>
      <c r="U293" s="60">
        <f>T293-S293</f>
        <v/>
      </c>
      <c r="V293" s="61">
        <f>IF(S293=0,"",T293/S293)</f>
        <v/>
      </c>
      <c r="W293" s="27" t="n"/>
      <c r="X293" s="62" t="n"/>
      <c r="Y293" s="62" t="n"/>
      <c r="Z293" s="62">
        <f>Y293-X293</f>
        <v/>
      </c>
      <c r="AA293" s="64">
        <f>IF(X293=0,"",Y293/X293)</f>
        <v/>
      </c>
      <c r="AB293" s="31" t="n"/>
      <c r="AC293" s="60" t="n"/>
      <c r="AD293" s="60" t="n"/>
      <c r="AE293" s="60">
        <f>AD293-AC293</f>
        <v/>
      </c>
      <c r="AF293" s="61">
        <f>IF(AC293=0,"",AD293/AC293)</f>
        <v/>
      </c>
      <c r="AG293" s="27" t="n"/>
      <c r="AH293" s="62" t="n"/>
      <c r="AI293" s="62" t="n"/>
      <c r="AJ293" s="62">
        <f>AI293-AH293</f>
        <v/>
      </c>
      <c r="AK293" s="64">
        <f>IF(AH293=0,"",AI293/AH293)</f>
        <v/>
      </c>
      <c r="AL293" s="31" t="n"/>
      <c r="AM293" s="60" t="n"/>
      <c r="AN293" s="60" t="n"/>
      <c r="AO293" s="60">
        <f>AN293-AM293</f>
        <v/>
      </c>
      <c r="AP293" s="61">
        <f>IF(AM293=0,"",AN293/AM293)</f>
        <v/>
      </c>
      <c r="AQ293" s="27" t="n"/>
      <c r="AR293" s="62" t="n"/>
      <c r="AS293" s="62" t="n"/>
      <c r="AT293" s="62">
        <f>AS293-AR293</f>
        <v/>
      </c>
      <c r="AU293" s="64">
        <f>IF(AR293=0,"",AS293/AR293)</f>
        <v/>
      </c>
      <c r="AV293" s="31" t="n"/>
      <c r="AW293" s="60" t="n"/>
      <c r="AX293" s="60" t="n"/>
      <c r="AY293" s="60">
        <f>AX293-AW293</f>
        <v/>
      </c>
      <c r="AZ293" s="61">
        <f>IF(AW293=0,"",AX293/AW293)</f>
        <v/>
      </c>
      <c r="BA293" s="27" t="n"/>
      <c r="BB293" s="62" t="n"/>
      <c r="BC293" s="62" t="n"/>
      <c r="BD293" s="62">
        <f>BC293-BB293</f>
        <v/>
      </c>
      <c r="BE293" s="64">
        <f>IF(BB293=0,"",BC293/BB293)</f>
        <v/>
      </c>
      <c r="BF293" s="31" t="n"/>
      <c r="BG293" s="60" t="n"/>
      <c r="BH293" s="60" t="n"/>
      <c r="BI293" s="60">
        <f>BH293-BG293</f>
        <v/>
      </c>
      <c r="BJ293" s="61">
        <f>IF(BG293=0,"",BH293/BG293)</f>
        <v/>
      </c>
      <c r="BK293" s="27" t="n"/>
      <c r="BL293" s="62" t="n"/>
      <c r="BM293" s="62" t="n"/>
      <c r="BN293" s="62">
        <f>BM293-BL293</f>
        <v/>
      </c>
      <c r="BO293" s="64">
        <f>IF(BL293=0,"",BM293/BL293)</f>
        <v/>
      </c>
      <c r="BP293" s="31" t="n"/>
      <c r="BQ293" s="60" t="n"/>
      <c r="BR293" s="60" t="n"/>
      <c r="BS293" s="60">
        <f>BR293-BQ293</f>
        <v/>
      </c>
      <c r="BT293" s="61">
        <f>IF(BQ293=0,"",BR293/BQ293)</f>
        <v/>
      </c>
      <c r="BU293" s="27" t="n"/>
      <c r="BV293" s="62" t="n"/>
      <c r="BW293" s="62" t="n"/>
      <c r="BX293" s="62">
        <f>BW293-BV293</f>
        <v/>
      </c>
      <c r="BY293" s="64">
        <f>IF(BV293=0,"",BW293/BV293)</f>
        <v/>
      </c>
      <c r="BZ293" s="31" t="n"/>
      <c r="CA293" s="60" t="n"/>
      <c r="CB293" s="60" t="n"/>
      <c r="CC293" s="60">
        <f>CB293-CA293</f>
        <v/>
      </c>
      <c r="CD293" s="61">
        <f>IF(CA293=0,"",CB293/CA293)</f>
        <v/>
      </c>
      <c r="CE293" s="27" t="n"/>
      <c r="CF293" s="62" t="n"/>
      <c r="CG293" s="62" t="n"/>
      <c r="CH293" s="62">
        <f>CG293-CF293</f>
        <v/>
      </c>
      <c r="CI293" s="64">
        <f>IF(CF293=0,"",CG293/CF293)</f>
        <v/>
      </c>
      <c r="CJ293" s="31" t="n"/>
      <c r="CK293" s="60" t="n"/>
      <c r="CL293" s="60" t="n"/>
      <c r="CM293" s="60">
        <f>CL293-CK293</f>
        <v/>
      </c>
      <c r="CN293" s="61">
        <f>IF(CK293=0,"",CL293/CK293)</f>
        <v/>
      </c>
      <c r="CO293" s="27" t="n"/>
      <c r="CP293" s="62" t="n"/>
      <c r="CQ293" s="62" t="n"/>
      <c r="CR293" s="62">
        <f>CQ293-CP293</f>
        <v/>
      </c>
      <c r="CS293" s="64">
        <f>IF(CP293=0,"",CQ293/CP293)</f>
        <v/>
      </c>
      <c r="CT293" s="31" t="n"/>
      <c r="CU293" s="60" t="n"/>
      <c r="CV293" s="60" t="n"/>
      <c r="CW293" s="60">
        <f>CV293-CU293</f>
        <v/>
      </c>
      <c r="CX293" s="61">
        <f>IF(CU293=0,"",CV293/CU293)</f>
        <v/>
      </c>
      <c r="CY293" s="27" t="n"/>
      <c r="CZ293" s="62" t="n"/>
      <c r="DA293" s="62" t="n"/>
      <c r="DB293" s="62">
        <f>DA293-CZ293</f>
        <v/>
      </c>
      <c r="DC293" s="64">
        <f>IF(CZ293=0,"",DA293/CZ293)</f>
        <v/>
      </c>
      <c r="DD293" s="31" t="n"/>
      <c r="DE293" s="60" t="n"/>
      <c r="DF293" s="60" t="n"/>
      <c r="DG293" s="60">
        <f>DF293-DE293</f>
        <v/>
      </c>
      <c r="DH293" s="61">
        <f>IF(DE293=0,"",DF293/DE293)</f>
        <v/>
      </c>
      <c r="DI293" s="27" t="n"/>
      <c r="DJ293" s="62" t="n"/>
      <c r="DK293" s="62" t="n"/>
      <c r="DL293" s="62">
        <f>DK293-DJ293</f>
        <v/>
      </c>
      <c r="DM293" s="64">
        <f>IF(DJ293=0,"",DK293/DJ293)</f>
        <v/>
      </c>
      <c r="DN293" s="31" t="n"/>
      <c r="DO293" s="60" t="n"/>
    </row>
    <row r="294" ht="15" customHeight="1">
      <c r="A294" s="19" t="n"/>
      <c r="B294" s="20" t="n"/>
      <c r="C294" s="19" t="n"/>
      <c r="D294" s="58">
        <f>D295+D296+D297+D298+D299+D300+D301+D302</f>
        <v/>
      </c>
      <c r="E294" s="58">
        <f>E295+E296+E297+E298+E299+E300+E301+E302</f>
        <v/>
      </c>
      <c r="F294" s="58">
        <f>E294-D294</f>
        <v/>
      </c>
      <c r="G294" s="59">
        <f>IF(D294=0,"",E294/D294)</f>
        <v/>
      </c>
      <c r="H294" s="23" t="n"/>
      <c r="I294" s="58">
        <f>I295+I296+I297+I298+I299+I300+I301+I302</f>
        <v/>
      </c>
      <c r="J294" s="58">
        <f>J295+J296+J297+J298+J299+J300+J301+J302</f>
        <v/>
      </c>
      <c r="K294" s="58">
        <f>J294-I294</f>
        <v/>
      </c>
      <c r="L294" s="59">
        <f>IF(I294=0,"",J294/I294)</f>
        <v/>
      </c>
      <c r="M294" s="23" t="n"/>
      <c r="N294" s="58">
        <f>N295+N296+N297+N298+N299+N300+N301+N302</f>
        <v/>
      </c>
      <c r="O294" s="58">
        <f>O295+O296+O297+O298+O299+O300+O301+O302</f>
        <v/>
      </c>
      <c r="P294" s="58">
        <f>O294-N294</f>
        <v/>
      </c>
      <c r="Q294" s="59">
        <f>IF(N294=0,"",O294/N294)</f>
        <v/>
      </c>
      <c r="R294" s="23" t="n"/>
      <c r="S294" s="58">
        <f>S295+S296+S297+S298+S299+S300+S301+S302</f>
        <v/>
      </c>
      <c r="T294" s="58">
        <f>T295+T296+T297+T298+T299+T300+T301+T302</f>
        <v/>
      </c>
      <c r="U294" s="58">
        <f>T294-S294</f>
        <v/>
      </c>
      <c r="V294" s="59">
        <f>IF(S294=0,"",T294/S294)</f>
        <v/>
      </c>
      <c r="W294" s="23" t="n"/>
      <c r="X294" s="58">
        <f>X295+X296+X297+X298+X299+X300+X301+X302</f>
        <v/>
      </c>
      <c r="Y294" s="58">
        <f>Y295+Y296+Y297+Y298+Y299+Y300+Y301+Y302</f>
        <v/>
      </c>
      <c r="Z294" s="58">
        <f>Y294-X294</f>
        <v/>
      </c>
      <c r="AA294" s="59">
        <f>IF(X294=0,"",Y294/X294)</f>
        <v/>
      </c>
      <c r="AB294" s="23" t="n"/>
      <c r="AC294" s="58">
        <f>AC295+AC296+AC297+AC298+AC299+AC300+AC301+AC302</f>
        <v/>
      </c>
      <c r="AD294" s="58">
        <f>AD295+AD296+AD297+AD298+AD299+AD300+AD301+AD302</f>
        <v/>
      </c>
      <c r="AE294" s="58">
        <f>AD294-AC294</f>
        <v/>
      </c>
      <c r="AF294" s="59">
        <f>IF(AC294=0,"",AD294/AC294)</f>
        <v/>
      </c>
      <c r="AG294" s="23" t="n"/>
      <c r="AH294" s="58">
        <f>AH295+AH296+AH297+AH298+AH299+AH300+AH301+AH302</f>
        <v/>
      </c>
      <c r="AI294" s="58">
        <f>AI295+AI296+AI297+AI298+AI299+AI300+AI301+AI302</f>
        <v/>
      </c>
      <c r="AJ294" s="58">
        <f>AI294-AH294</f>
        <v/>
      </c>
      <c r="AK294" s="59">
        <f>IF(AH294=0,"",AI294/AH294)</f>
        <v/>
      </c>
      <c r="AL294" s="23" t="n"/>
      <c r="AM294" s="58">
        <f>AM295+AM296+AM297+AM298+AM299+AM300+AM301+AM302</f>
        <v/>
      </c>
      <c r="AN294" s="58">
        <f>AN295+AN296+AN297+AN298+AN299+AN300+AN301+AN302</f>
        <v/>
      </c>
      <c r="AO294" s="58">
        <f>AN294-AM294</f>
        <v/>
      </c>
      <c r="AP294" s="59">
        <f>IF(AM294=0,"",AN294/AM294)</f>
        <v/>
      </c>
      <c r="AQ294" s="23" t="n"/>
      <c r="AR294" s="58">
        <f>AR295+AR296+AR297+AR298+AR299+AR300+AR301+AR302</f>
        <v/>
      </c>
      <c r="AS294" s="58">
        <f>AS295+AS296+AS297+AS298+AS299+AS300+AS301+AS302</f>
        <v/>
      </c>
      <c r="AT294" s="58">
        <f>AS294-AR294</f>
        <v/>
      </c>
      <c r="AU294" s="59">
        <f>IF(AR294=0,"",AS294/AR294)</f>
        <v/>
      </c>
      <c r="AV294" s="23" t="n"/>
      <c r="AW294" s="58">
        <f>AW295+AW296+AW297+AW298+AW299+AW300+AW301+AW302</f>
        <v/>
      </c>
      <c r="AX294" s="58">
        <f>AX295+AX296+AX297+AX298+AX299+AX300+AX301+AX302</f>
        <v/>
      </c>
      <c r="AY294" s="58">
        <f>AX294-AW294</f>
        <v/>
      </c>
      <c r="AZ294" s="59">
        <f>IF(AW294=0,"",AX294/AW294)</f>
        <v/>
      </c>
      <c r="BA294" s="23" t="n"/>
      <c r="BB294" s="58">
        <f>BB295+BB296+BB297+BB298+BB299+BB300+BB301+BB302</f>
        <v/>
      </c>
      <c r="BC294" s="58">
        <f>BC295+BC296+BC297+BC298+BC299+BC300+BC301+BC302</f>
        <v/>
      </c>
      <c r="BD294" s="58">
        <f>BC294-BB294</f>
        <v/>
      </c>
      <c r="BE294" s="59">
        <f>IF(BB294=0,"",BC294/BB294)</f>
        <v/>
      </c>
      <c r="BF294" s="23" t="n"/>
      <c r="BG294" s="58">
        <f>BG295+BG296+BG297+BG298+BG299+BG300+BG301+BG302</f>
        <v/>
      </c>
      <c r="BH294" s="58">
        <f>BH295+BH296+BH297+BH298+BH299+BH300+BH301+BH302</f>
        <v/>
      </c>
      <c r="BI294" s="58">
        <f>BH294-BG294</f>
        <v/>
      </c>
      <c r="BJ294" s="59">
        <f>IF(BG294=0,"",BH294/BG294)</f>
        <v/>
      </c>
      <c r="BK294" s="23" t="n"/>
      <c r="BL294" s="58">
        <f>BL295+BL296+BL297+BL298+BL299+BL300+BL301+BL302</f>
        <v/>
      </c>
      <c r="BM294" s="58">
        <f>BM295+BM296+BM297+BM298+BM299+BM300+BM301+BM302</f>
        <v/>
      </c>
      <c r="BN294" s="58">
        <f>BM294-BL294</f>
        <v/>
      </c>
      <c r="BO294" s="59">
        <f>IF(BL294=0,"",BM294/BL294)</f>
        <v/>
      </c>
      <c r="BP294" s="23" t="n"/>
      <c r="BQ294" s="58">
        <f>BQ295+BQ296+BQ297+BQ298+BQ299+BQ300+BQ301+BQ302</f>
        <v/>
      </c>
      <c r="BR294" s="58">
        <f>BR295+BR296+BR297+BR298+BR299+BR300+BR301+BR302</f>
        <v/>
      </c>
      <c r="BS294" s="58">
        <f>BR294-BQ294</f>
        <v/>
      </c>
      <c r="BT294" s="59">
        <f>IF(BQ294=0,"",BR294/BQ294)</f>
        <v/>
      </c>
      <c r="BU294" s="23" t="n"/>
      <c r="BV294" s="58">
        <f>BV295+BV296+BV297+BV298+BV299+BV300+BV301+BV302</f>
        <v/>
      </c>
      <c r="BW294" s="58">
        <f>BW295+BW296+BW297+BW298+BW299+BW300+BW301+BW302</f>
        <v/>
      </c>
      <c r="BX294" s="58">
        <f>BW294-BV294</f>
        <v/>
      </c>
      <c r="BY294" s="59">
        <f>IF(BV294=0,"",BW294/BV294)</f>
        <v/>
      </c>
      <c r="BZ294" s="23" t="n"/>
      <c r="CA294" s="58">
        <f>CA295+CA296+CA297+CA298+CA299+CA300+CA301+CA302</f>
        <v/>
      </c>
      <c r="CB294" s="58">
        <f>CB295+CB296+CB297+CB298+CB299+CB300+CB301+CB302</f>
        <v/>
      </c>
      <c r="CC294" s="58">
        <f>CB294-CA294</f>
        <v/>
      </c>
      <c r="CD294" s="59">
        <f>IF(CA294=0,"",CB294/CA294)</f>
        <v/>
      </c>
      <c r="CE294" s="23" t="n"/>
      <c r="CF294" s="58">
        <f>CF295+CF296+CF297+CF298+CF299+CF300+CF301+CF302</f>
        <v/>
      </c>
      <c r="CG294" s="58">
        <f>CG295+CG296+CG297+CG298+CG299+CG300+CG301+CG302</f>
        <v/>
      </c>
      <c r="CH294" s="58">
        <f>CG294-CF294</f>
        <v/>
      </c>
      <c r="CI294" s="59">
        <f>IF(CF294=0,"",CG294/CF294)</f>
        <v/>
      </c>
      <c r="CJ294" s="23" t="n"/>
      <c r="CK294" s="58">
        <f>CK295+CK296+CK297+CK298+CK299+CK300+CK301+CK302</f>
        <v/>
      </c>
      <c r="CL294" s="58">
        <f>CL295+CL296+CL297+CL298+CL299+CL300+CL301+CL302</f>
        <v/>
      </c>
      <c r="CM294" s="58">
        <f>CL294-CK294</f>
        <v/>
      </c>
      <c r="CN294" s="59">
        <f>IF(CK294=0,"",CL294/CK294)</f>
        <v/>
      </c>
      <c r="CO294" s="23" t="n"/>
      <c r="CP294" s="58">
        <f>CP295+CP296+CP297+CP298+CP299+CP300+CP301+CP302</f>
        <v/>
      </c>
      <c r="CQ294" s="58">
        <f>CQ295+CQ296+CQ297+CQ298+CQ299+CQ300+CQ301+CQ302</f>
        <v/>
      </c>
      <c r="CR294" s="58">
        <f>CQ294-CP294</f>
        <v/>
      </c>
      <c r="CS294" s="59">
        <f>IF(CP294=0,"",CQ294/CP294)</f>
        <v/>
      </c>
      <c r="CT294" s="23" t="n"/>
      <c r="CU294" s="58">
        <f>CU295+CU296+CU297+CU298+CU299+CU300+CU301+CU302</f>
        <v/>
      </c>
      <c r="CV294" s="58">
        <f>CV295+CV296+CV297+CV298+CV299+CV300+CV301+CV302</f>
        <v/>
      </c>
      <c r="CW294" s="58">
        <f>CV294-CU294</f>
        <v/>
      </c>
      <c r="CX294" s="59">
        <f>IF(CU294=0,"",CV294/CU294)</f>
        <v/>
      </c>
      <c r="CY294" s="23" t="n"/>
      <c r="CZ294" s="58">
        <f>CZ295+CZ296+CZ297+CZ298+CZ299+CZ300+CZ301+CZ302</f>
        <v/>
      </c>
      <c r="DA294" s="58">
        <f>DA295+DA296+DA297+DA298+DA299+DA300+DA301+DA302</f>
        <v/>
      </c>
      <c r="DB294" s="58">
        <f>DA294-CZ294</f>
        <v/>
      </c>
      <c r="DC294" s="59">
        <f>IF(CZ294=0,"",DA294/CZ294)</f>
        <v/>
      </c>
      <c r="DD294" s="23" t="n"/>
      <c r="DE294" s="58">
        <f>DE295+DE296+DE297+DE298+DE299+DE300+DE301+DE302</f>
        <v/>
      </c>
      <c r="DF294" s="58">
        <f>DF295+DF296+DF297+DF298+DF299+DF300+DF301+DF302</f>
        <v/>
      </c>
      <c r="DG294" s="58">
        <f>DF294-DE294</f>
        <v/>
      </c>
      <c r="DH294" s="59">
        <f>IF(DE294=0,"",DF294/DE294)</f>
        <v/>
      </c>
      <c r="DI294" s="23" t="n"/>
      <c r="DJ294" s="58">
        <f>DJ295+DJ296+DJ297+DJ298+DJ299+DJ300+DJ301+DJ302</f>
        <v/>
      </c>
      <c r="DK294" s="58">
        <f>DK295+DK296+DK297+DK298+DK299+DK300+DK301+DK302</f>
        <v/>
      </c>
      <c r="DL294" s="58">
        <f>DK294-DJ294</f>
        <v/>
      </c>
      <c r="DM294" s="59">
        <f>IF(DJ294=0,"",DK294/DJ294)</f>
        <v/>
      </c>
      <c r="DN294" s="23" t="n"/>
      <c r="DO294" s="58">
        <f>DO295+DO296+DO297+DO298+DO299+DO300+DO301+DO302</f>
        <v/>
      </c>
    </row>
    <row r="295" outlineLevel="1" ht="15" customHeight="1">
      <c r="A295" s="24" t="n"/>
      <c r="B295" s="24" t="n"/>
      <c r="C295" s="24" t="n"/>
      <c r="D295" s="60" t="n"/>
      <c r="E295" s="60" t="n"/>
      <c r="F295" s="60">
        <f>E295-D295</f>
        <v/>
      </c>
      <c r="G295" s="61">
        <f>IF(D295=0,"",E295/D295)</f>
        <v/>
      </c>
      <c r="H295" s="27" t="n"/>
      <c r="I295" s="60" t="n"/>
      <c r="J295" s="60" t="n"/>
      <c r="K295" s="60">
        <f>J295-I295</f>
        <v/>
      </c>
      <c r="L295" s="61">
        <f>IF(I295=0,"",J295/I295)</f>
        <v/>
      </c>
      <c r="M295" s="27" t="n"/>
      <c r="N295" s="62" t="n"/>
      <c r="O295" s="62" t="n"/>
      <c r="P295" s="62">
        <f>O295-N295</f>
        <v/>
      </c>
      <c r="Q295" s="64">
        <f>IF(N295=0,"",O295/N295)</f>
        <v/>
      </c>
      <c r="R295" s="31" t="n"/>
      <c r="S295" s="60" t="n"/>
      <c r="T295" s="60" t="n"/>
      <c r="U295" s="60">
        <f>T295-S295</f>
        <v/>
      </c>
      <c r="V295" s="61">
        <f>IF(S295=0,"",T295/S295)</f>
        <v/>
      </c>
      <c r="W295" s="27" t="n"/>
      <c r="X295" s="62" t="n"/>
      <c r="Y295" s="62" t="n"/>
      <c r="Z295" s="62">
        <f>Y295-X295</f>
        <v/>
      </c>
      <c r="AA295" s="64">
        <f>IF(X295=0,"",Y295/X295)</f>
        <v/>
      </c>
      <c r="AB295" s="31" t="n"/>
      <c r="AC295" s="60" t="n"/>
      <c r="AD295" s="60" t="n"/>
      <c r="AE295" s="60">
        <f>AD295-AC295</f>
        <v/>
      </c>
      <c r="AF295" s="61">
        <f>IF(AC295=0,"",AD295/AC295)</f>
        <v/>
      </c>
      <c r="AG295" s="27" t="n"/>
      <c r="AH295" s="62" t="n"/>
      <c r="AI295" s="62" t="n"/>
      <c r="AJ295" s="62">
        <f>AI295-AH295</f>
        <v/>
      </c>
      <c r="AK295" s="64">
        <f>IF(AH295=0,"",AI295/AH295)</f>
        <v/>
      </c>
      <c r="AL295" s="31" t="n"/>
      <c r="AM295" s="60" t="n"/>
      <c r="AN295" s="60" t="n"/>
      <c r="AO295" s="60">
        <f>AN295-AM295</f>
        <v/>
      </c>
      <c r="AP295" s="61">
        <f>IF(AM295=0,"",AN295/AM295)</f>
        <v/>
      </c>
      <c r="AQ295" s="27" t="n"/>
      <c r="AR295" s="62" t="n"/>
      <c r="AS295" s="62" t="n"/>
      <c r="AT295" s="62">
        <f>AS295-AR295</f>
        <v/>
      </c>
      <c r="AU295" s="64">
        <f>IF(AR295=0,"",AS295/AR295)</f>
        <v/>
      </c>
      <c r="AV295" s="31" t="n"/>
      <c r="AW295" s="60" t="n"/>
      <c r="AX295" s="60" t="n"/>
      <c r="AY295" s="60">
        <f>AX295-AW295</f>
        <v/>
      </c>
      <c r="AZ295" s="61">
        <f>IF(AW295=0,"",AX295/AW295)</f>
        <v/>
      </c>
      <c r="BA295" s="27" t="n"/>
      <c r="BB295" s="62" t="n"/>
      <c r="BC295" s="62" t="n"/>
      <c r="BD295" s="62">
        <f>BC295-BB295</f>
        <v/>
      </c>
      <c r="BE295" s="64">
        <f>IF(BB295=0,"",BC295/BB295)</f>
        <v/>
      </c>
      <c r="BF295" s="31" t="n"/>
      <c r="BG295" s="60" t="n"/>
      <c r="BH295" s="60" t="n"/>
      <c r="BI295" s="60">
        <f>BH295-BG295</f>
        <v/>
      </c>
      <c r="BJ295" s="61">
        <f>IF(BG295=0,"",BH295/BG295)</f>
        <v/>
      </c>
      <c r="BK295" s="27" t="n"/>
      <c r="BL295" s="62" t="n"/>
      <c r="BM295" s="62" t="n"/>
      <c r="BN295" s="62">
        <f>BM295-BL295</f>
        <v/>
      </c>
      <c r="BO295" s="64">
        <f>IF(BL295=0,"",BM295/BL295)</f>
        <v/>
      </c>
      <c r="BP295" s="31" t="n"/>
      <c r="BQ295" s="60" t="n"/>
      <c r="BR295" s="60" t="n"/>
      <c r="BS295" s="60">
        <f>BR295-BQ295</f>
        <v/>
      </c>
      <c r="BT295" s="61">
        <f>IF(BQ295=0,"",BR295/BQ295)</f>
        <v/>
      </c>
      <c r="BU295" s="27" t="n"/>
      <c r="BV295" s="62" t="n"/>
      <c r="BW295" s="62" t="n"/>
      <c r="BX295" s="62">
        <f>BW295-BV295</f>
        <v/>
      </c>
      <c r="BY295" s="64">
        <f>IF(BV295=0,"",BW295/BV295)</f>
        <v/>
      </c>
      <c r="BZ295" s="31" t="n"/>
      <c r="CA295" s="60" t="n"/>
      <c r="CB295" s="60" t="n"/>
      <c r="CC295" s="60">
        <f>CB295-CA295</f>
        <v/>
      </c>
      <c r="CD295" s="61">
        <f>IF(CA295=0,"",CB295/CA295)</f>
        <v/>
      </c>
      <c r="CE295" s="27" t="n"/>
      <c r="CF295" s="62" t="n"/>
      <c r="CG295" s="62" t="n"/>
      <c r="CH295" s="62">
        <f>CG295-CF295</f>
        <v/>
      </c>
      <c r="CI295" s="64">
        <f>IF(CF295=0,"",CG295/CF295)</f>
        <v/>
      </c>
      <c r="CJ295" s="31" t="n"/>
      <c r="CK295" s="60" t="n"/>
      <c r="CL295" s="60" t="n"/>
      <c r="CM295" s="60">
        <f>CL295-CK295</f>
        <v/>
      </c>
      <c r="CN295" s="61">
        <f>IF(CK295=0,"",CL295/CK295)</f>
        <v/>
      </c>
      <c r="CO295" s="27" t="n"/>
      <c r="CP295" s="62" t="n"/>
      <c r="CQ295" s="62" t="n"/>
      <c r="CR295" s="62">
        <f>CQ295-CP295</f>
        <v/>
      </c>
      <c r="CS295" s="64">
        <f>IF(CP295=0,"",CQ295/CP295)</f>
        <v/>
      </c>
      <c r="CT295" s="31" t="n"/>
      <c r="CU295" s="60" t="n"/>
      <c r="CV295" s="60" t="n"/>
      <c r="CW295" s="60">
        <f>CV295-CU295</f>
        <v/>
      </c>
      <c r="CX295" s="61">
        <f>IF(CU295=0,"",CV295/CU295)</f>
        <v/>
      </c>
      <c r="CY295" s="27" t="n"/>
      <c r="CZ295" s="62" t="n"/>
      <c r="DA295" s="62" t="n"/>
      <c r="DB295" s="62">
        <f>DA295-CZ295</f>
        <v/>
      </c>
      <c r="DC295" s="64">
        <f>IF(CZ295=0,"",DA295/CZ295)</f>
        <v/>
      </c>
      <c r="DD295" s="31" t="n"/>
      <c r="DE295" s="60" t="n"/>
      <c r="DF295" s="60" t="n"/>
      <c r="DG295" s="60">
        <f>DF295-DE295</f>
        <v/>
      </c>
      <c r="DH295" s="61">
        <f>IF(DE295=0,"",DF295/DE295)</f>
        <v/>
      </c>
      <c r="DI295" s="27" t="n"/>
      <c r="DJ295" s="62" t="n"/>
      <c r="DK295" s="62" t="n"/>
      <c r="DL295" s="62">
        <f>DK295-DJ295</f>
        <v/>
      </c>
      <c r="DM295" s="64">
        <f>IF(DJ295=0,"",DK295/DJ295)</f>
        <v/>
      </c>
      <c r="DN295" s="31" t="n"/>
      <c r="DO295" s="60" t="n"/>
    </row>
    <row r="296" outlineLevel="1" ht="15" customHeight="1">
      <c r="A296" s="24" t="n"/>
      <c r="B296" s="24" t="n"/>
      <c r="C296" s="24" t="n"/>
      <c r="D296" s="60" t="n"/>
      <c r="E296" s="60" t="n"/>
      <c r="F296" s="60">
        <f>E296-D296</f>
        <v/>
      </c>
      <c r="G296" s="61">
        <f>IF(D296=0,"",E296/D296)</f>
        <v/>
      </c>
      <c r="H296" s="27" t="n"/>
      <c r="I296" s="60" t="n"/>
      <c r="J296" s="60" t="n"/>
      <c r="K296" s="60">
        <f>J296-I296</f>
        <v/>
      </c>
      <c r="L296" s="61">
        <f>IF(I296=0,"",J296/I296)</f>
        <v/>
      </c>
      <c r="M296" s="27" t="n"/>
      <c r="N296" s="62" t="n"/>
      <c r="O296" s="62" t="n"/>
      <c r="P296" s="62">
        <f>O296-N296</f>
        <v/>
      </c>
      <c r="Q296" s="64">
        <f>IF(N296=0,"",O296/N296)</f>
        <v/>
      </c>
      <c r="R296" s="31" t="n"/>
      <c r="S296" s="60" t="n"/>
      <c r="T296" s="60" t="n"/>
      <c r="U296" s="60">
        <f>T296-S296</f>
        <v/>
      </c>
      <c r="V296" s="61">
        <f>IF(S296=0,"",T296/S296)</f>
        <v/>
      </c>
      <c r="W296" s="27" t="n"/>
      <c r="X296" s="62" t="n"/>
      <c r="Y296" s="62" t="n"/>
      <c r="Z296" s="62">
        <f>Y296-X296</f>
        <v/>
      </c>
      <c r="AA296" s="64">
        <f>IF(X296=0,"",Y296/X296)</f>
        <v/>
      </c>
      <c r="AB296" s="31" t="n"/>
      <c r="AC296" s="60" t="n"/>
      <c r="AD296" s="60" t="n"/>
      <c r="AE296" s="60">
        <f>AD296-AC296</f>
        <v/>
      </c>
      <c r="AF296" s="61">
        <f>IF(AC296=0,"",AD296/AC296)</f>
        <v/>
      </c>
      <c r="AG296" s="27" t="n"/>
      <c r="AH296" s="62" t="n"/>
      <c r="AI296" s="62" t="n"/>
      <c r="AJ296" s="62">
        <f>AI296-AH296</f>
        <v/>
      </c>
      <c r="AK296" s="64">
        <f>IF(AH296=0,"",AI296/AH296)</f>
        <v/>
      </c>
      <c r="AL296" s="31" t="n"/>
      <c r="AM296" s="60" t="n"/>
      <c r="AN296" s="60" t="n"/>
      <c r="AO296" s="60">
        <f>AN296-AM296</f>
        <v/>
      </c>
      <c r="AP296" s="61">
        <f>IF(AM296=0,"",AN296/AM296)</f>
        <v/>
      </c>
      <c r="AQ296" s="27" t="n"/>
      <c r="AR296" s="62" t="n"/>
      <c r="AS296" s="62" t="n"/>
      <c r="AT296" s="62">
        <f>AS296-AR296</f>
        <v/>
      </c>
      <c r="AU296" s="64">
        <f>IF(AR296=0,"",AS296/AR296)</f>
        <v/>
      </c>
      <c r="AV296" s="31" t="n"/>
      <c r="AW296" s="60" t="n"/>
      <c r="AX296" s="60" t="n"/>
      <c r="AY296" s="60">
        <f>AX296-AW296</f>
        <v/>
      </c>
      <c r="AZ296" s="61">
        <f>IF(AW296=0,"",AX296/AW296)</f>
        <v/>
      </c>
      <c r="BA296" s="27" t="n"/>
      <c r="BB296" s="62" t="n"/>
      <c r="BC296" s="62" t="n"/>
      <c r="BD296" s="62">
        <f>BC296-BB296</f>
        <v/>
      </c>
      <c r="BE296" s="64">
        <f>IF(BB296=0,"",BC296/BB296)</f>
        <v/>
      </c>
      <c r="BF296" s="31" t="n"/>
      <c r="BG296" s="60" t="n"/>
      <c r="BH296" s="60" t="n"/>
      <c r="BI296" s="60">
        <f>BH296-BG296</f>
        <v/>
      </c>
      <c r="BJ296" s="61">
        <f>IF(BG296=0,"",BH296/BG296)</f>
        <v/>
      </c>
      <c r="BK296" s="27" t="n"/>
      <c r="BL296" s="62" t="n"/>
      <c r="BM296" s="62" t="n"/>
      <c r="BN296" s="62">
        <f>BM296-BL296</f>
        <v/>
      </c>
      <c r="BO296" s="64">
        <f>IF(BL296=0,"",BM296/BL296)</f>
        <v/>
      </c>
      <c r="BP296" s="31" t="n"/>
      <c r="BQ296" s="60" t="n"/>
      <c r="BR296" s="60" t="n"/>
      <c r="BS296" s="60">
        <f>BR296-BQ296</f>
        <v/>
      </c>
      <c r="BT296" s="61">
        <f>IF(BQ296=0,"",BR296/BQ296)</f>
        <v/>
      </c>
      <c r="BU296" s="27" t="n"/>
      <c r="BV296" s="62" t="n"/>
      <c r="BW296" s="62" t="n"/>
      <c r="BX296" s="62">
        <f>BW296-BV296</f>
        <v/>
      </c>
      <c r="BY296" s="64">
        <f>IF(BV296=0,"",BW296/BV296)</f>
        <v/>
      </c>
      <c r="BZ296" s="31" t="n"/>
      <c r="CA296" s="60" t="n"/>
      <c r="CB296" s="60" t="n"/>
      <c r="CC296" s="60">
        <f>CB296-CA296</f>
        <v/>
      </c>
      <c r="CD296" s="61">
        <f>IF(CA296=0,"",CB296/CA296)</f>
        <v/>
      </c>
      <c r="CE296" s="27" t="n"/>
      <c r="CF296" s="62" t="n"/>
      <c r="CG296" s="62" t="n"/>
      <c r="CH296" s="62">
        <f>CG296-CF296</f>
        <v/>
      </c>
      <c r="CI296" s="64">
        <f>IF(CF296=0,"",CG296/CF296)</f>
        <v/>
      </c>
      <c r="CJ296" s="31" t="n"/>
      <c r="CK296" s="60" t="n"/>
      <c r="CL296" s="60" t="n"/>
      <c r="CM296" s="60">
        <f>CL296-CK296</f>
        <v/>
      </c>
      <c r="CN296" s="61">
        <f>IF(CK296=0,"",CL296/CK296)</f>
        <v/>
      </c>
      <c r="CO296" s="27" t="n"/>
      <c r="CP296" s="62" t="n"/>
      <c r="CQ296" s="62" t="n"/>
      <c r="CR296" s="62">
        <f>CQ296-CP296</f>
        <v/>
      </c>
      <c r="CS296" s="64">
        <f>IF(CP296=0,"",CQ296/CP296)</f>
        <v/>
      </c>
      <c r="CT296" s="31" t="n"/>
      <c r="CU296" s="60" t="n"/>
      <c r="CV296" s="60" t="n"/>
      <c r="CW296" s="60">
        <f>CV296-CU296</f>
        <v/>
      </c>
      <c r="CX296" s="61">
        <f>IF(CU296=0,"",CV296/CU296)</f>
        <v/>
      </c>
      <c r="CY296" s="27" t="n"/>
      <c r="CZ296" s="62" t="n"/>
      <c r="DA296" s="62" t="n"/>
      <c r="DB296" s="62">
        <f>DA296-CZ296</f>
        <v/>
      </c>
      <c r="DC296" s="64">
        <f>IF(CZ296=0,"",DA296/CZ296)</f>
        <v/>
      </c>
      <c r="DD296" s="31" t="n"/>
      <c r="DE296" s="60" t="n"/>
      <c r="DF296" s="60" t="n"/>
      <c r="DG296" s="60">
        <f>DF296-DE296</f>
        <v/>
      </c>
      <c r="DH296" s="61">
        <f>IF(DE296=0,"",DF296/DE296)</f>
        <v/>
      </c>
      <c r="DI296" s="27" t="n"/>
      <c r="DJ296" s="62" t="n"/>
      <c r="DK296" s="62" t="n"/>
      <c r="DL296" s="62">
        <f>DK296-DJ296</f>
        <v/>
      </c>
      <c r="DM296" s="64">
        <f>IF(DJ296=0,"",DK296/DJ296)</f>
        <v/>
      </c>
      <c r="DN296" s="31" t="n"/>
      <c r="DO296" s="60" t="n"/>
    </row>
    <row r="297" outlineLevel="1" ht="15" customHeight="1">
      <c r="A297" s="24" t="n"/>
      <c r="B297" s="24" t="n"/>
      <c r="C297" s="24" t="n"/>
      <c r="D297" s="60" t="n"/>
      <c r="E297" s="60" t="n"/>
      <c r="F297" s="60">
        <f>E297-D297</f>
        <v/>
      </c>
      <c r="G297" s="61">
        <f>IF(D297=0,"",E297/D297)</f>
        <v/>
      </c>
      <c r="H297" s="27" t="n"/>
      <c r="I297" s="60" t="n"/>
      <c r="J297" s="60" t="n"/>
      <c r="K297" s="60">
        <f>J297-I297</f>
        <v/>
      </c>
      <c r="L297" s="61">
        <f>IF(I297=0,"",J297/I297)</f>
        <v/>
      </c>
      <c r="M297" s="27" t="n"/>
      <c r="N297" s="62" t="n"/>
      <c r="O297" s="62" t="n"/>
      <c r="P297" s="62">
        <f>O297-N297</f>
        <v/>
      </c>
      <c r="Q297" s="64">
        <f>IF(N297=0,"",O297/N297)</f>
        <v/>
      </c>
      <c r="R297" s="31" t="n"/>
      <c r="S297" s="60" t="n"/>
      <c r="T297" s="60" t="n"/>
      <c r="U297" s="60">
        <f>T297-S297</f>
        <v/>
      </c>
      <c r="V297" s="61">
        <f>IF(S297=0,"",T297/S297)</f>
        <v/>
      </c>
      <c r="W297" s="27" t="n"/>
      <c r="X297" s="62" t="n"/>
      <c r="Y297" s="62" t="n"/>
      <c r="Z297" s="62">
        <f>Y297-X297</f>
        <v/>
      </c>
      <c r="AA297" s="64">
        <f>IF(X297=0,"",Y297/X297)</f>
        <v/>
      </c>
      <c r="AB297" s="31" t="n"/>
      <c r="AC297" s="60" t="n"/>
      <c r="AD297" s="60" t="n"/>
      <c r="AE297" s="60">
        <f>AD297-AC297</f>
        <v/>
      </c>
      <c r="AF297" s="61">
        <f>IF(AC297=0,"",AD297/AC297)</f>
        <v/>
      </c>
      <c r="AG297" s="27" t="n"/>
      <c r="AH297" s="62" t="n"/>
      <c r="AI297" s="62" t="n"/>
      <c r="AJ297" s="62">
        <f>AI297-AH297</f>
        <v/>
      </c>
      <c r="AK297" s="64">
        <f>IF(AH297=0,"",AI297/AH297)</f>
        <v/>
      </c>
      <c r="AL297" s="31" t="n"/>
      <c r="AM297" s="60" t="n"/>
      <c r="AN297" s="60" t="n"/>
      <c r="AO297" s="60">
        <f>AN297-AM297</f>
        <v/>
      </c>
      <c r="AP297" s="61">
        <f>IF(AM297=0,"",AN297/AM297)</f>
        <v/>
      </c>
      <c r="AQ297" s="27" t="n"/>
      <c r="AR297" s="62" t="n"/>
      <c r="AS297" s="62" t="n"/>
      <c r="AT297" s="62">
        <f>AS297-AR297</f>
        <v/>
      </c>
      <c r="AU297" s="64">
        <f>IF(AR297=0,"",AS297/AR297)</f>
        <v/>
      </c>
      <c r="AV297" s="31" t="n"/>
      <c r="AW297" s="60" t="n"/>
      <c r="AX297" s="60" t="n"/>
      <c r="AY297" s="60">
        <f>AX297-AW297</f>
        <v/>
      </c>
      <c r="AZ297" s="61">
        <f>IF(AW297=0,"",AX297/AW297)</f>
        <v/>
      </c>
      <c r="BA297" s="27" t="n"/>
      <c r="BB297" s="62" t="n"/>
      <c r="BC297" s="62" t="n"/>
      <c r="BD297" s="62">
        <f>BC297-BB297</f>
        <v/>
      </c>
      <c r="BE297" s="64">
        <f>IF(BB297=0,"",BC297/BB297)</f>
        <v/>
      </c>
      <c r="BF297" s="31" t="n"/>
      <c r="BG297" s="60" t="n"/>
      <c r="BH297" s="60" t="n"/>
      <c r="BI297" s="60">
        <f>BH297-BG297</f>
        <v/>
      </c>
      <c r="BJ297" s="61">
        <f>IF(BG297=0,"",BH297/BG297)</f>
        <v/>
      </c>
      <c r="BK297" s="27" t="n"/>
      <c r="BL297" s="62" t="n"/>
      <c r="BM297" s="62" t="n"/>
      <c r="BN297" s="62">
        <f>BM297-BL297</f>
        <v/>
      </c>
      <c r="BO297" s="64">
        <f>IF(BL297=0,"",BM297/BL297)</f>
        <v/>
      </c>
      <c r="BP297" s="31" t="n"/>
      <c r="BQ297" s="60" t="n"/>
      <c r="BR297" s="60" t="n"/>
      <c r="BS297" s="60">
        <f>BR297-BQ297</f>
        <v/>
      </c>
      <c r="BT297" s="61">
        <f>IF(BQ297=0,"",BR297/BQ297)</f>
        <v/>
      </c>
      <c r="BU297" s="27" t="n"/>
      <c r="BV297" s="62" t="n"/>
      <c r="BW297" s="62" t="n"/>
      <c r="BX297" s="62">
        <f>BW297-BV297</f>
        <v/>
      </c>
      <c r="BY297" s="64">
        <f>IF(BV297=0,"",BW297/BV297)</f>
        <v/>
      </c>
      <c r="BZ297" s="31" t="n"/>
      <c r="CA297" s="60" t="n"/>
      <c r="CB297" s="60" t="n"/>
      <c r="CC297" s="60">
        <f>CB297-CA297</f>
        <v/>
      </c>
      <c r="CD297" s="61">
        <f>IF(CA297=0,"",CB297/CA297)</f>
        <v/>
      </c>
      <c r="CE297" s="27" t="n"/>
      <c r="CF297" s="62" t="n"/>
      <c r="CG297" s="62" t="n"/>
      <c r="CH297" s="62">
        <f>CG297-CF297</f>
        <v/>
      </c>
      <c r="CI297" s="64">
        <f>IF(CF297=0,"",CG297/CF297)</f>
        <v/>
      </c>
      <c r="CJ297" s="31" t="n"/>
      <c r="CK297" s="60" t="n"/>
      <c r="CL297" s="60" t="n"/>
      <c r="CM297" s="60">
        <f>CL297-CK297</f>
        <v/>
      </c>
      <c r="CN297" s="61">
        <f>IF(CK297=0,"",CL297/CK297)</f>
        <v/>
      </c>
      <c r="CO297" s="27" t="n"/>
      <c r="CP297" s="62" t="n"/>
      <c r="CQ297" s="62" t="n"/>
      <c r="CR297" s="62">
        <f>CQ297-CP297</f>
        <v/>
      </c>
      <c r="CS297" s="64">
        <f>IF(CP297=0,"",CQ297/CP297)</f>
        <v/>
      </c>
      <c r="CT297" s="31" t="n"/>
      <c r="CU297" s="60" t="n"/>
      <c r="CV297" s="60" t="n"/>
      <c r="CW297" s="60">
        <f>CV297-CU297</f>
        <v/>
      </c>
      <c r="CX297" s="61">
        <f>IF(CU297=0,"",CV297/CU297)</f>
        <v/>
      </c>
      <c r="CY297" s="27" t="n"/>
      <c r="CZ297" s="62" t="n"/>
      <c r="DA297" s="62" t="n"/>
      <c r="DB297" s="62">
        <f>DA297-CZ297</f>
        <v/>
      </c>
      <c r="DC297" s="64">
        <f>IF(CZ297=0,"",DA297/CZ297)</f>
        <v/>
      </c>
      <c r="DD297" s="31" t="n"/>
      <c r="DE297" s="60" t="n"/>
      <c r="DF297" s="60" t="n"/>
      <c r="DG297" s="60">
        <f>DF297-DE297</f>
        <v/>
      </c>
      <c r="DH297" s="61">
        <f>IF(DE297=0,"",DF297/DE297)</f>
        <v/>
      </c>
      <c r="DI297" s="27" t="n"/>
      <c r="DJ297" s="62" t="n"/>
      <c r="DK297" s="62" t="n"/>
      <c r="DL297" s="62">
        <f>DK297-DJ297</f>
        <v/>
      </c>
      <c r="DM297" s="64">
        <f>IF(DJ297=0,"",DK297/DJ297)</f>
        <v/>
      </c>
      <c r="DN297" s="31" t="n"/>
      <c r="DO297" s="60" t="n"/>
    </row>
    <row r="298" outlineLevel="1" ht="15" customHeight="1">
      <c r="A298" s="24" t="n"/>
      <c r="B298" s="24" t="n"/>
      <c r="C298" s="24" t="n"/>
      <c r="D298" s="60" t="n"/>
      <c r="E298" s="60" t="n"/>
      <c r="F298" s="60">
        <f>E298-D298</f>
        <v/>
      </c>
      <c r="G298" s="61">
        <f>IF(D298=0,"",E298/D298)</f>
        <v/>
      </c>
      <c r="H298" s="27" t="n"/>
      <c r="I298" s="60" t="n"/>
      <c r="J298" s="60" t="n"/>
      <c r="K298" s="60">
        <f>J298-I298</f>
        <v/>
      </c>
      <c r="L298" s="61">
        <f>IF(I298=0,"",J298/I298)</f>
        <v/>
      </c>
      <c r="M298" s="27" t="n"/>
      <c r="N298" s="62" t="n"/>
      <c r="O298" s="62" t="n"/>
      <c r="P298" s="62">
        <f>O298-N298</f>
        <v/>
      </c>
      <c r="Q298" s="64">
        <f>IF(N298=0,"",O298/N298)</f>
        <v/>
      </c>
      <c r="R298" s="31" t="n"/>
      <c r="S298" s="60" t="n"/>
      <c r="T298" s="60" t="n"/>
      <c r="U298" s="60">
        <f>T298-S298</f>
        <v/>
      </c>
      <c r="V298" s="61">
        <f>IF(S298=0,"",T298/S298)</f>
        <v/>
      </c>
      <c r="W298" s="27" t="n"/>
      <c r="X298" s="62" t="n"/>
      <c r="Y298" s="62" t="n"/>
      <c r="Z298" s="62">
        <f>Y298-X298</f>
        <v/>
      </c>
      <c r="AA298" s="64">
        <f>IF(X298=0,"",Y298/X298)</f>
        <v/>
      </c>
      <c r="AB298" s="31" t="n"/>
      <c r="AC298" s="60" t="n"/>
      <c r="AD298" s="60" t="n"/>
      <c r="AE298" s="60">
        <f>AD298-AC298</f>
        <v/>
      </c>
      <c r="AF298" s="61">
        <f>IF(AC298=0,"",AD298/AC298)</f>
        <v/>
      </c>
      <c r="AG298" s="27" t="n"/>
      <c r="AH298" s="62" t="n"/>
      <c r="AI298" s="62" t="n"/>
      <c r="AJ298" s="62">
        <f>AI298-AH298</f>
        <v/>
      </c>
      <c r="AK298" s="64">
        <f>IF(AH298=0,"",AI298/AH298)</f>
        <v/>
      </c>
      <c r="AL298" s="31" t="n"/>
      <c r="AM298" s="60" t="n"/>
      <c r="AN298" s="60" t="n"/>
      <c r="AO298" s="60">
        <f>AN298-AM298</f>
        <v/>
      </c>
      <c r="AP298" s="61">
        <f>IF(AM298=0,"",AN298/AM298)</f>
        <v/>
      </c>
      <c r="AQ298" s="27" t="n"/>
      <c r="AR298" s="62" t="n"/>
      <c r="AS298" s="62" t="n"/>
      <c r="AT298" s="62">
        <f>AS298-AR298</f>
        <v/>
      </c>
      <c r="AU298" s="64">
        <f>IF(AR298=0,"",AS298/AR298)</f>
        <v/>
      </c>
      <c r="AV298" s="31" t="n"/>
      <c r="AW298" s="60" t="n"/>
      <c r="AX298" s="60" t="n"/>
      <c r="AY298" s="60">
        <f>AX298-AW298</f>
        <v/>
      </c>
      <c r="AZ298" s="61">
        <f>IF(AW298=0,"",AX298/AW298)</f>
        <v/>
      </c>
      <c r="BA298" s="27" t="n"/>
      <c r="BB298" s="62" t="n"/>
      <c r="BC298" s="62" t="n"/>
      <c r="BD298" s="62">
        <f>BC298-BB298</f>
        <v/>
      </c>
      <c r="BE298" s="64">
        <f>IF(BB298=0,"",BC298/BB298)</f>
        <v/>
      </c>
      <c r="BF298" s="31" t="n"/>
      <c r="BG298" s="60" t="n"/>
      <c r="BH298" s="60" t="n"/>
      <c r="BI298" s="60">
        <f>BH298-BG298</f>
        <v/>
      </c>
      <c r="BJ298" s="61">
        <f>IF(BG298=0,"",BH298/BG298)</f>
        <v/>
      </c>
      <c r="BK298" s="27" t="n"/>
      <c r="BL298" s="62" t="n"/>
      <c r="BM298" s="62" t="n"/>
      <c r="BN298" s="62">
        <f>BM298-BL298</f>
        <v/>
      </c>
      <c r="BO298" s="64">
        <f>IF(BL298=0,"",BM298/BL298)</f>
        <v/>
      </c>
      <c r="BP298" s="31" t="n"/>
      <c r="BQ298" s="60" t="n"/>
      <c r="BR298" s="60" t="n"/>
      <c r="BS298" s="60">
        <f>BR298-BQ298</f>
        <v/>
      </c>
      <c r="BT298" s="61">
        <f>IF(BQ298=0,"",BR298/BQ298)</f>
        <v/>
      </c>
      <c r="BU298" s="27" t="n"/>
      <c r="BV298" s="62" t="n"/>
      <c r="BW298" s="62" t="n"/>
      <c r="BX298" s="62">
        <f>BW298-BV298</f>
        <v/>
      </c>
      <c r="BY298" s="64">
        <f>IF(BV298=0,"",BW298/BV298)</f>
        <v/>
      </c>
      <c r="BZ298" s="31" t="n"/>
      <c r="CA298" s="60" t="n"/>
      <c r="CB298" s="60" t="n"/>
      <c r="CC298" s="60">
        <f>CB298-CA298</f>
        <v/>
      </c>
      <c r="CD298" s="61">
        <f>IF(CA298=0,"",CB298/CA298)</f>
        <v/>
      </c>
      <c r="CE298" s="27" t="n"/>
      <c r="CF298" s="62" t="n"/>
      <c r="CG298" s="62" t="n"/>
      <c r="CH298" s="62">
        <f>CG298-CF298</f>
        <v/>
      </c>
      <c r="CI298" s="64">
        <f>IF(CF298=0,"",CG298/CF298)</f>
        <v/>
      </c>
      <c r="CJ298" s="31" t="n"/>
      <c r="CK298" s="60" t="n"/>
      <c r="CL298" s="60" t="n"/>
      <c r="CM298" s="60">
        <f>CL298-CK298</f>
        <v/>
      </c>
      <c r="CN298" s="61">
        <f>IF(CK298=0,"",CL298/CK298)</f>
        <v/>
      </c>
      <c r="CO298" s="27" t="n"/>
      <c r="CP298" s="62" t="n"/>
      <c r="CQ298" s="62" t="n"/>
      <c r="CR298" s="62">
        <f>CQ298-CP298</f>
        <v/>
      </c>
      <c r="CS298" s="64">
        <f>IF(CP298=0,"",CQ298/CP298)</f>
        <v/>
      </c>
      <c r="CT298" s="31" t="n"/>
      <c r="CU298" s="60" t="n"/>
      <c r="CV298" s="60" t="n"/>
      <c r="CW298" s="60">
        <f>CV298-CU298</f>
        <v/>
      </c>
      <c r="CX298" s="61">
        <f>IF(CU298=0,"",CV298/CU298)</f>
        <v/>
      </c>
      <c r="CY298" s="27" t="n"/>
      <c r="CZ298" s="62" t="n"/>
      <c r="DA298" s="62" t="n"/>
      <c r="DB298" s="62">
        <f>DA298-CZ298</f>
        <v/>
      </c>
      <c r="DC298" s="64">
        <f>IF(CZ298=0,"",DA298/CZ298)</f>
        <v/>
      </c>
      <c r="DD298" s="31" t="n"/>
      <c r="DE298" s="60" t="n"/>
      <c r="DF298" s="60" t="n"/>
      <c r="DG298" s="60">
        <f>DF298-DE298</f>
        <v/>
      </c>
      <c r="DH298" s="61">
        <f>IF(DE298=0,"",DF298/DE298)</f>
        <v/>
      </c>
      <c r="DI298" s="27" t="n"/>
      <c r="DJ298" s="62" t="n"/>
      <c r="DK298" s="62" t="n"/>
      <c r="DL298" s="62">
        <f>DK298-DJ298</f>
        <v/>
      </c>
      <c r="DM298" s="64">
        <f>IF(DJ298=0,"",DK298/DJ298)</f>
        <v/>
      </c>
      <c r="DN298" s="31" t="n"/>
      <c r="DO298" s="60" t="n"/>
    </row>
    <row r="299" outlineLevel="1" ht="15" customHeight="1">
      <c r="A299" s="24" t="n"/>
      <c r="B299" s="24" t="n"/>
      <c r="C299" s="24" t="n"/>
      <c r="D299" s="60" t="n"/>
      <c r="E299" s="60" t="n"/>
      <c r="F299" s="60">
        <f>E299-D299</f>
        <v/>
      </c>
      <c r="G299" s="61">
        <f>IF(D299=0,"",E299/D299)</f>
        <v/>
      </c>
      <c r="H299" s="27" t="n"/>
      <c r="I299" s="60" t="n"/>
      <c r="J299" s="60" t="n"/>
      <c r="K299" s="60">
        <f>J299-I299</f>
        <v/>
      </c>
      <c r="L299" s="61">
        <f>IF(I299=0,"",J299/I299)</f>
        <v/>
      </c>
      <c r="M299" s="27" t="n"/>
      <c r="N299" s="62" t="n"/>
      <c r="O299" s="62" t="n"/>
      <c r="P299" s="62">
        <f>O299-N299</f>
        <v/>
      </c>
      <c r="Q299" s="64">
        <f>IF(N299=0,"",O299/N299)</f>
        <v/>
      </c>
      <c r="R299" s="31" t="n"/>
      <c r="S299" s="60" t="n"/>
      <c r="T299" s="60" t="n"/>
      <c r="U299" s="60">
        <f>T299-S299</f>
        <v/>
      </c>
      <c r="V299" s="61">
        <f>IF(S299=0,"",T299/S299)</f>
        <v/>
      </c>
      <c r="W299" s="27" t="n"/>
      <c r="X299" s="62" t="n"/>
      <c r="Y299" s="62" t="n"/>
      <c r="Z299" s="62">
        <f>Y299-X299</f>
        <v/>
      </c>
      <c r="AA299" s="64">
        <f>IF(X299=0,"",Y299/X299)</f>
        <v/>
      </c>
      <c r="AB299" s="31" t="n"/>
      <c r="AC299" s="60" t="n"/>
      <c r="AD299" s="60" t="n"/>
      <c r="AE299" s="60">
        <f>AD299-AC299</f>
        <v/>
      </c>
      <c r="AF299" s="61">
        <f>IF(AC299=0,"",AD299/AC299)</f>
        <v/>
      </c>
      <c r="AG299" s="27" t="n"/>
      <c r="AH299" s="62" t="n"/>
      <c r="AI299" s="62" t="n"/>
      <c r="AJ299" s="62">
        <f>AI299-AH299</f>
        <v/>
      </c>
      <c r="AK299" s="64">
        <f>IF(AH299=0,"",AI299/AH299)</f>
        <v/>
      </c>
      <c r="AL299" s="31" t="n"/>
      <c r="AM299" s="60" t="n"/>
      <c r="AN299" s="60" t="n"/>
      <c r="AO299" s="60">
        <f>AN299-AM299</f>
        <v/>
      </c>
      <c r="AP299" s="61">
        <f>IF(AM299=0,"",AN299/AM299)</f>
        <v/>
      </c>
      <c r="AQ299" s="27" t="n"/>
      <c r="AR299" s="62" t="n"/>
      <c r="AS299" s="62" t="n"/>
      <c r="AT299" s="62">
        <f>AS299-AR299</f>
        <v/>
      </c>
      <c r="AU299" s="64">
        <f>IF(AR299=0,"",AS299/AR299)</f>
        <v/>
      </c>
      <c r="AV299" s="31" t="n"/>
      <c r="AW299" s="60" t="n"/>
      <c r="AX299" s="60" t="n"/>
      <c r="AY299" s="60">
        <f>AX299-AW299</f>
        <v/>
      </c>
      <c r="AZ299" s="61">
        <f>IF(AW299=0,"",AX299/AW299)</f>
        <v/>
      </c>
      <c r="BA299" s="27" t="n"/>
      <c r="BB299" s="62" t="n"/>
      <c r="BC299" s="62" t="n"/>
      <c r="BD299" s="62">
        <f>BC299-BB299</f>
        <v/>
      </c>
      <c r="BE299" s="64">
        <f>IF(BB299=0,"",BC299/BB299)</f>
        <v/>
      </c>
      <c r="BF299" s="31" t="n"/>
      <c r="BG299" s="60" t="n"/>
      <c r="BH299" s="60" t="n"/>
      <c r="BI299" s="60">
        <f>BH299-BG299</f>
        <v/>
      </c>
      <c r="BJ299" s="61">
        <f>IF(BG299=0,"",BH299/BG299)</f>
        <v/>
      </c>
      <c r="BK299" s="27" t="n"/>
      <c r="BL299" s="62" t="n"/>
      <c r="BM299" s="62" t="n"/>
      <c r="BN299" s="62">
        <f>BM299-BL299</f>
        <v/>
      </c>
      <c r="BO299" s="64">
        <f>IF(BL299=0,"",BM299/BL299)</f>
        <v/>
      </c>
      <c r="BP299" s="31" t="n"/>
      <c r="BQ299" s="60" t="n"/>
      <c r="BR299" s="60" t="n"/>
      <c r="BS299" s="60">
        <f>BR299-BQ299</f>
        <v/>
      </c>
      <c r="BT299" s="61">
        <f>IF(BQ299=0,"",BR299/BQ299)</f>
        <v/>
      </c>
      <c r="BU299" s="27" t="n"/>
      <c r="BV299" s="62" t="n"/>
      <c r="BW299" s="62" t="n"/>
      <c r="BX299" s="62">
        <f>BW299-BV299</f>
        <v/>
      </c>
      <c r="BY299" s="64">
        <f>IF(BV299=0,"",BW299/BV299)</f>
        <v/>
      </c>
      <c r="BZ299" s="31" t="n"/>
      <c r="CA299" s="60" t="n"/>
      <c r="CB299" s="60" t="n"/>
      <c r="CC299" s="60">
        <f>CB299-CA299</f>
        <v/>
      </c>
      <c r="CD299" s="61">
        <f>IF(CA299=0,"",CB299/CA299)</f>
        <v/>
      </c>
      <c r="CE299" s="27" t="n"/>
      <c r="CF299" s="62" t="n"/>
      <c r="CG299" s="62" t="n"/>
      <c r="CH299" s="62">
        <f>CG299-CF299</f>
        <v/>
      </c>
      <c r="CI299" s="64">
        <f>IF(CF299=0,"",CG299/CF299)</f>
        <v/>
      </c>
      <c r="CJ299" s="31" t="n"/>
      <c r="CK299" s="60" t="n"/>
      <c r="CL299" s="60" t="n"/>
      <c r="CM299" s="60">
        <f>CL299-CK299</f>
        <v/>
      </c>
      <c r="CN299" s="61">
        <f>IF(CK299=0,"",CL299/CK299)</f>
        <v/>
      </c>
      <c r="CO299" s="27" t="n"/>
      <c r="CP299" s="62" t="n"/>
      <c r="CQ299" s="62" t="n"/>
      <c r="CR299" s="62">
        <f>CQ299-CP299</f>
        <v/>
      </c>
      <c r="CS299" s="64">
        <f>IF(CP299=0,"",CQ299/CP299)</f>
        <v/>
      </c>
      <c r="CT299" s="31" t="n"/>
      <c r="CU299" s="60" t="n"/>
      <c r="CV299" s="60" t="n"/>
      <c r="CW299" s="60">
        <f>CV299-CU299</f>
        <v/>
      </c>
      <c r="CX299" s="61">
        <f>IF(CU299=0,"",CV299/CU299)</f>
        <v/>
      </c>
      <c r="CY299" s="27" t="n"/>
      <c r="CZ299" s="62" t="n"/>
      <c r="DA299" s="62" t="n"/>
      <c r="DB299" s="62">
        <f>DA299-CZ299</f>
        <v/>
      </c>
      <c r="DC299" s="64">
        <f>IF(CZ299=0,"",DA299/CZ299)</f>
        <v/>
      </c>
      <c r="DD299" s="31" t="n"/>
      <c r="DE299" s="60" t="n"/>
      <c r="DF299" s="60" t="n"/>
      <c r="DG299" s="60">
        <f>DF299-DE299</f>
        <v/>
      </c>
      <c r="DH299" s="61">
        <f>IF(DE299=0,"",DF299/DE299)</f>
        <v/>
      </c>
      <c r="DI299" s="27" t="n"/>
      <c r="DJ299" s="62" t="n"/>
      <c r="DK299" s="62" t="n"/>
      <c r="DL299" s="62">
        <f>DK299-DJ299</f>
        <v/>
      </c>
      <c r="DM299" s="64">
        <f>IF(DJ299=0,"",DK299/DJ299)</f>
        <v/>
      </c>
      <c r="DN299" s="31" t="n"/>
      <c r="DO299" s="60" t="n"/>
    </row>
    <row r="300" outlineLevel="1" ht="15" customHeight="1">
      <c r="A300" s="24" t="n"/>
      <c r="B300" s="24" t="n"/>
      <c r="C300" s="24" t="n"/>
      <c r="D300" s="60" t="n"/>
      <c r="E300" s="60" t="n"/>
      <c r="F300" s="60">
        <f>E300-D300</f>
        <v/>
      </c>
      <c r="G300" s="61">
        <f>IF(D300=0,"",E300/D300)</f>
        <v/>
      </c>
      <c r="H300" s="27" t="n"/>
      <c r="I300" s="60" t="n"/>
      <c r="J300" s="60" t="n"/>
      <c r="K300" s="60">
        <f>J300-I300</f>
        <v/>
      </c>
      <c r="L300" s="61">
        <f>IF(I300=0,"",J300/I300)</f>
        <v/>
      </c>
      <c r="M300" s="27" t="n"/>
      <c r="N300" s="62" t="n"/>
      <c r="O300" s="62" t="n"/>
      <c r="P300" s="62">
        <f>O300-N300</f>
        <v/>
      </c>
      <c r="Q300" s="64">
        <f>IF(N300=0,"",O300/N300)</f>
        <v/>
      </c>
      <c r="R300" s="31" t="n"/>
      <c r="S300" s="60" t="n"/>
      <c r="T300" s="60" t="n"/>
      <c r="U300" s="60">
        <f>T300-S300</f>
        <v/>
      </c>
      <c r="V300" s="61">
        <f>IF(S300=0,"",T300/S300)</f>
        <v/>
      </c>
      <c r="W300" s="27" t="n"/>
      <c r="X300" s="62" t="n"/>
      <c r="Y300" s="62" t="n"/>
      <c r="Z300" s="62">
        <f>Y300-X300</f>
        <v/>
      </c>
      <c r="AA300" s="64">
        <f>IF(X300=0,"",Y300/X300)</f>
        <v/>
      </c>
      <c r="AB300" s="31" t="n"/>
      <c r="AC300" s="60" t="n"/>
      <c r="AD300" s="60" t="n"/>
      <c r="AE300" s="60">
        <f>AD300-AC300</f>
        <v/>
      </c>
      <c r="AF300" s="61">
        <f>IF(AC300=0,"",AD300/AC300)</f>
        <v/>
      </c>
      <c r="AG300" s="27" t="n"/>
      <c r="AH300" s="62" t="n"/>
      <c r="AI300" s="62" t="n"/>
      <c r="AJ300" s="62">
        <f>AI300-AH300</f>
        <v/>
      </c>
      <c r="AK300" s="64">
        <f>IF(AH300=0,"",AI300/AH300)</f>
        <v/>
      </c>
      <c r="AL300" s="31" t="n"/>
      <c r="AM300" s="60" t="n"/>
      <c r="AN300" s="60" t="n"/>
      <c r="AO300" s="60">
        <f>AN300-AM300</f>
        <v/>
      </c>
      <c r="AP300" s="61">
        <f>IF(AM300=0,"",AN300/AM300)</f>
        <v/>
      </c>
      <c r="AQ300" s="27" t="n"/>
      <c r="AR300" s="62" t="n"/>
      <c r="AS300" s="62" t="n"/>
      <c r="AT300" s="62">
        <f>AS300-AR300</f>
        <v/>
      </c>
      <c r="AU300" s="64">
        <f>IF(AR300=0,"",AS300/AR300)</f>
        <v/>
      </c>
      <c r="AV300" s="31" t="n"/>
      <c r="AW300" s="60" t="n"/>
      <c r="AX300" s="60" t="n"/>
      <c r="AY300" s="60">
        <f>AX300-AW300</f>
        <v/>
      </c>
      <c r="AZ300" s="61">
        <f>IF(AW300=0,"",AX300/AW300)</f>
        <v/>
      </c>
      <c r="BA300" s="27" t="n"/>
      <c r="BB300" s="62" t="n"/>
      <c r="BC300" s="62" t="n"/>
      <c r="BD300" s="62">
        <f>BC300-BB300</f>
        <v/>
      </c>
      <c r="BE300" s="64">
        <f>IF(BB300=0,"",BC300/BB300)</f>
        <v/>
      </c>
      <c r="BF300" s="31" t="n"/>
      <c r="BG300" s="60" t="n"/>
      <c r="BH300" s="60" t="n"/>
      <c r="BI300" s="60">
        <f>BH300-BG300</f>
        <v/>
      </c>
      <c r="BJ300" s="61">
        <f>IF(BG300=0,"",BH300/BG300)</f>
        <v/>
      </c>
      <c r="BK300" s="27" t="n"/>
      <c r="BL300" s="62" t="n"/>
      <c r="BM300" s="62" t="n"/>
      <c r="BN300" s="62">
        <f>BM300-BL300</f>
        <v/>
      </c>
      <c r="BO300" s="64">
        <f>IF(BL300=0,"",BM300/BL300)</f>
        <v/>
      </c>
      <c r="BP300" s="31" t="n"/>
      <c r="BQ300" s="60" t="n"/>
      <c r="BR300" s="60" t="n"/>
      <c r="BS300" s="60">
        <f>BR300-BQ300</f>
        <v/>
      </c>
      <c r="BT300" s="61">
        <f>IF(BQ300=0,"",BR300/BQ300)</f>
        <v/>
      </c>
      <c r="BU300" s="27" t="n"/>
      <c r="BV300" s="62" t="n"/>
      <c r="BW300" s="62" t="n"/>
      <c r="BX300" s="62">
        <f>BW300-BV300</f>
        <v/>
      </c>
      <c r="BY300" s="64">
        <f>IF(BV300=0,"",BW300/BV300)</f>
        <v/>
      </c>
      <c r="BZ300" s="31" t="n"/>
      <c r="CA300" s="60" t="n"/>
      <c r="CB300" s="60" t="n"/>
      <c r="CC300" s="60">
        <f>CB300-CA300</f>
        <v/>
      </c>
      <c r="CD300" s="61">
        <f>IF(CA300=0,"",CB300/CA300)</f>
        <v/>
      </c>
      <c r="CE300" s="27" t="n"/>
      <c r="CF300" s="62" t="n"/>
      <c r="CG300" s="62" t="n"/>
      <c r="CH300" s="62">
        <f>CG300-CF300</f>
        <v/>
      </c>
      <c r="CI300" s="64">
        <f>IF(CF300=0,"",CG300/CF300)</f>
        <v/>
      </c>
      <c r="CJ300" s="31" t="n"/>
      <c r="CK300" s="60" t="n"/>
      <c r="CL300" s="60" t="n"/>
      <c r="CM300" s="60">
        <f>CL300-CK300</f>
        <v/>
      </c>
      <c r="CN300" s="61">
        <f>IF(CK300=0,"",CL300/CK300)</f>
        <v/>
      </c>
      <c r="CO300" s="27" t="n"/>
      <c r="CP300" s="62" t="n"/>
      <c r="CQ300" s="62" t="n"/>
      <c r="CR300" s="62">
        <f>CQ300-CP300</f>
        <v/>
      </c>
      <c r="CS300" s="64">
        <f>IF(CP300=0,"",CQ300/CP300)</f>
        <v/>
      </c>
      <c r="CT300" s="31" t="n"/>
      <c r="CU300" s="60" t="n"/>
      <c r="CV300" s="60" t="n"/>
      <c r="CW300" s="60">
        <f>CV300-CU300</f>
        <v/>
      </c>
      <c r="CX300" s="61">
        <f>IF(CU300=0,"",CV300/CU300)</f>
        <v/>
      </c>
      <c r="CY300" s="27" t="n"/>
      <c r="CZ300" s="62" t="n"/>
      <c r="DA300" s="62" t="n"/>
      <c r="DB300" s="62">
        <f>DA300-CZ300</f>
        <v/>
      </c>
      <c r="DC300" s="64">
        <f>IF(CZ300=0,"",DA300/CZ300)</f>
        <v/>
      </c>
      <c r="DD300" s="31" t="n"/>
      <c r="DE300" s="60" t="n"/>
      <c r="DF300" s="60" t="n"/>
      <c r="DG300" s="60">
        <f>DF300-DE300</f>
        <v/>
      </c>
      <c r="DH300" s="61">
        <f>IF(DE300=0,"",DF300/DE300)</f>
        <v/>
      </c>
      <c r="DI300" s="27" t="n"/>
      <c r="DJ300" s="62" t="n"/>
      <c r="DK300" s="62" t="n"/>
      <c r="DL300" s="62">
        <f>DK300-DJ300</f>
        <v/>
      </c>
      <c r="DM300" s="64">
        <f>IF(DJ300=0,"",DK300/DJ300)</f>
        <v/>
      </c>
      <c r="DN300" s="31" t="n"/>
      <c r="DO300" s="60" t="n"/>
    </row>
    <row r="301" outlineLevel="1" ht="15" customHeight="1">
      <c r="A301" s="24" t="n"/>
      <c r="B301" s="24" t="n"/>
      <c r="C301" s="24" t="n"/>
      <c r="D301" s="60" t="n"/>
      <c r="E301" s="60" t="n"/>
      <c r="F301" s="60">
        <f>E301-D301</f>
        <v/>
      </c>
      <c r="G301" s="61">
        <f>IF(D301=0,"",E301/D301)</f>
        <v/>
      </c>
      <c r="H301" s="27" t="n"/>
      <c r="I301" s="60" t="n"/>
      <c r="J301" s="60" t="n"/>
      <c r="K301" s="60">
        <f>J301-I301</f>
        <v/>
      </c>
      <c r="L301" s="61">
        <f>IF(I301=0,"",J301/I301)</f>
        <v/>
      </c>
      <c r="M301" s="27" t="n"/>
      <c r="N301" s="62" t="n"/>
      <c r="O301" s="62" t="n"/>
      <c r="P301" s="62">
        <f>O301-N301</f>
        <v/>
      </c>
      <c r="Q301" s="64">
        <f>IF(N301=0,"",O301/N301)</f>
        <v/>
      </c>
      <c r="R301" s="31" t="n"/>
      <c r="S301" s="60" t="n"/>
      <c r="T301" s="60" t="n"/>
      <c r="U301" s="60">
        <f>T301-S301</f>
        <v/>
      </c>
      <c r="V301" s="61">
        <f>IF(S301=0,"",T301/S301)</f>
        <v/>
      </c>
      <c r="W301" s="27" t="n"/>
      <c r="X301" s="62" t="n"/>
      <c r="Y301" s="62" t="n"/>
      <c r="Z301" s="63">
        <f>Y301-X301</f>
        <v/>
      </c>
      <c r="AA301" s="64">
        <f>IF(X301=0,"",Y301/X301)</f>
        <v/>
      </c>
      <c r="AB301" s="31" t="n"/>
      <c r="AC301" s="60" t="n"/>
      <c r="AD301" s="60" t="n"/>
      <c r="AE301" s="60">
        <f>AD301-AC301</f>
        <v/>
      </c>
      <c r="AF301" s="61">
        <f>IF(AC301=0,"",AD301/AC301)</f>
        <v/>
      </c>
      <c r="AG301" s="27" t="n"/>
      <c r="AH301" s="62" t="n"/>
      <c r="AI301" s="62" t="n"/>
      <c r="AJ301" s="62">
        <f>AI301-AH301</f>
        <v/>
      </c>
      <c r="AK301" s="64">
        <f>IF(AH301=0,"",AI301/AH301)</f>
        <v/>
      </c>
      <c r="AL301" s="31" t="n"/>
      <c r="AM301" s="60" t="n"/>
      <c r="AN301" s="60" t="n"/>
      <c r="AO301" s="60">
        <f>AN301-AM301</f>
        <v/>
      </c>
      <c r="AP301" s="61">
        <f>IF(AM301=0,"",AN301/AM301)</f>
        <v/>
      </c>
      <c r="AQ301" s="27" t="n"/>
      <c r="AR301" s="62" t="n"/>
      <c r="AS301" s="62" t="n"/>
      <c r="AT301" s="62">
        <f>AS301-AR301</f>
        <v/>
      </c>
      <c r="AU301" s="64">
        <f>IF(AR301=0,"",AS301/AR301)</f>
        <v/>
      </c>
      <c r="AV301" s="31" t="n"/>
      <c r="AW301" s="60" t="n"/>
      <c r="AX301" s="60" t="n"/>
      <c r="AY301" s="60">
        <f>AX301-AW301</f>
        <v/>
      </c>
      <c r="AZ301" s="61">
        <f>IF(AW301=0,"",AX301/AW301)</f>
        <v/>
      </c>
      <c r="BA301" s="27" t="n"/>
      <c r="BB301" s="62" t="n"/>
      <c r="BC301" s="62" t="n"/>
      <c r="BD301" s="62">
        <f>BC301-BB301</f>
        <v/>
      </c>
      <c r="BE301" s="64">
        <f>IF(BB301=0,"",BC301/BB301)</f>
        <v/>
      </c>
      <c r="BF301" s="31" t="n"/>
      <c r="BG301" s="60" t="n"/>
      <c r="BH301" s="60" t="n"/>
      <c r="BI301" s="60">
        <f>BH301-BG301</f>
        <v/>
      </c>
      <c r="BJ301" s="61">
        <f>IF(BG301=0,"",BH301/BG301)</f>
        <v/>
      </c>
      <c r="BK301" s="27" t="n"/>
      <c r="BL301" s="62" t="n"/>
      <c r="BM301" s="62" t="n"/>
      <c r="BN301" s="62">
        <f>BM301-BL301</f>
        <v/>
      </c>
      <c r="BO301" s="64">
        <f>IF(BL301=0,"",BM301/BL301)</f>
        <v/>
      </c>
      <c r="BP301" s="31" t="n"/>
      <c r="BQ301" s="60" t="n"/>
      <c r="BR301" s="60" t="n"/>
      <c r="BS301" s="60">
        <f>BR301-BQ301</f>
        <v/>
      </c>
      <c r="BT301" s="61">
        <f>IF(BQ301=0,"",BR301/BQ301)</f>
        <v/>
      </c>
      <c r="BU301" s="27" t="n"/>
      <c r="BV301" s="62" t="n"/>
      <c r="BW301" s="62" t="n"/>
      <c r="BX301" s="62">
        <f>BW301-BV301</f>
        <v/>
      </c>
      <c r="BY301" s="64">
        <f>IF(BV301=0,"",BW301/BV301)</f>
        <v/>
      </c>
      <c r="BZ301" s="31" t="n"/>
      <c r="CA301" s="60" t="n"/>
      <c r="CB301" s="60" t="n"/>
      <c r="CC301" s="60">
        <f>CB301-CA301</f>
        <v/>
      </c>
      <c r="CD301" s="61">
        <f>IF(CA301=0,"",CB301/CA301)</f>
        <v/>
      </c>
      <c r="CE301" s="27" t="n"/>
      <c r="CF301" s="62" t="n"/>
      <c r="CG301" s="62" t="n"/>
      <c r="CH301" s="62">
        <f>CG301-CF301</f>
        <v/>
      </c>
      <c r="CI301" s="64">
        <f>IF(CF301=0,"",CG301/CF301)</f>
        <v/>
      </c>
      <c r="CJ301" s="31" t="n"/>
      <c r="CK301" s="60" t="n"/>
      <c r="CL301" s="60" t="n"/>
      <c r="CM301" s="60">
        <f>CL301-CK301</f>
        <v/>
      </c>
      <c r="CN301" s="61">
        <f>IF(CK301=0,"",CL301/CK301)</f>
        <v/>
      </c>
      <c r="CO301" s="27" t="n"/>
      <c r="CP301" s="62" t="n"/>
      <c r="CQ301" s="62" t="n"/>
      <c r="CR301" s="62">
        <f>CQ301-CP301</f>
        <v/>
      </c>
      <c r="CS301" s="64">
        <f>IF(CP301=0,"",CQ301/CP301)</f>
        <v/>
      </c>
      <c r="CT301" s="31" t="n"/>
      <c r="CU301" s="60" t="n"/>
      <c r="CV301" s="60" t="n"/>
      <c r="CW301" s="60">
        <f>CV301-CU301</f>
        <v/>
      </c>
      <c r="CX301" s="61">
        <f>IF(CU301=0,"",CV301/CU301)</f>
        <v/>
      </c>
      <c r="CY301" s="27" t="n"/>
      <c r="CZ301" s="62" t="n"/>
      <c r="DA301" s="62" t="n"/>
      <c r="DB301" s="62">
        <f>DA301-CZ301</f>
        <v/>
      </c>
      <c r="DC301" s="64">
        <f>IF(CZ301=0,"",DA301/CZ301)</f>
        <v/>
      </c>
      <c r="DD301" s="31" t="n"/>
      <c r="DE301" s="60" t="n"/>
      <c r="DF301" s="60" t="n"/>
      <c r="DG301" s="60">
        <f>DF301-DE301</f>
        <v/>
      </c>
      <c r="DH301" s="61">
        <f>IF(DE301=0,"",DF301/DE301)</f>
        <v/>
      </c>
      <c r="DI301" s="27" t="n"/>
      <c r="DJ301" s="62" t="n"/>
      <c r="DK301" s="62" t="n"/>
      <c r="DL301" s="62">
        <f>DK301-DJ301</f>
        <v/>
      </c>
      <c r="DM301" s="64">
        <f>IF(DJ301=0,"",DK301/DJ301)</f>
        <v/>
      </c>
      <c r="DN301" s="31" t="n"/>
      <c r="DO301" s="60" t="n"/>
    </row>
    <row r="302" outlineLevel="1" ht="15" customHeight="1">
      <c r="A302" s="24" t="n"/>
      <c r="B302" s="24" t="n"/>
      <c r="C302" s="24" t="n"/>
      <c r="D302" s="60" t="n"/>
      <c r="E302" s="60" t="n"/>
      <c r="F302" s="60">
        <f>E302-D302</f>
        <v/>
      </c>
      <c r="G302" s="61">
        <f>IF(D302=0,"",E302/D302)</f>
        <v/>
      </c>
      <c r="H302" s="27" t="n"/>
      <c r="I302" s="60" t="n"/>
      <c r="J302" s="60" t="n"/>
      <c r="K302" s="60">
        <f>J302-I302</f>
        <v/>
      </c>
      <c r="L302" s="61">
        <f>IF(I302=0,"",J302/I302)</f>
        <v/>
      </c>
      <c r="M302" s="27" t="n"/>
      <c r="N302" s="62" t="n"/>
      <c r="O302" s="62" t="n"/>
      <c r="P302" s="62">
        <f>O302-N302</f>
        <v/>
      </c>
      <c r="Q302" s="64">
        <f>IF(N302=0,"",O302/N302)</f>
        <v/>
      </c>
      <c r="R302" s="31" t="n"/>
      <c r="S302" s="60" t="n"/>
      <c r="T302" s="60" t="n"/>
      <c r="U302" s="60">
        <f>T302-S302</f>
        <v/>
      </c>
      <c r="V302" s="61">
        <f>IF(S302=0,"",T302/S302)</f>
        <v/>
      </c>
      <c r="W302" s="27" t="n"/>
      <c r="X302" s="62" t="n"/>
      <c r="Y302" s="62" t="n"/>
      <c r="Z302" s="62">
        <f>Y302-X302</f>
        <v/>
      </c>
      <c r="AA302" s="64">
        <f>IF(X302=0,"",Y302/X302)</f>
        <v/>
      </c>
      <c r="AB302" s="31" t="n"/>
      <c r="AC302" s="60" t="n"/>
      <c r="AD302" s="60" t="n"/>
      <c r="AE302" s="60">
        <f>AD302-AC302</f>
        <v/>
      </c>
      <c r="AF302" s="61">
        <f>IF(AC302=0,"",AD302/AC302)</f>
        <v/>
      </c>
      <c r="AG302" s="27" t="n"/>
      <c r="AH302" s="62" t="n"/>
      <c r="AI302" s="62" t="n"/>
      <c r="AJ302" s="62">
        <f>AI302-AH302</f>
        <v/>
      </c>
      <c r="AK302" s="64">
        <f>IF(AH302=0,"",AI302/AH302)</f>
        <v/>
      </c>
      <c r="AL302" s="31" t="n"/>
      <c r="AM302" s="60" t="n"/>
      <c r="AN302" s="60" t="n"/>
      <c r="AO302" s="60">
        <f>AN302-AM302</f>
        <v/>
      </c>
      <c r="AP302" s="61">
        <f>IF(AM302=0,"",AN302/AM302)</f>
        <v/>
      </c>
      <c r="AQ302" s="27" t="n"/>
      <c r="AR302" s="62" t="n"/>
      <c r="AS302" s="62" t="n"/>
      <c r="AT302" s="62">
        <f>AS302-AR302</f>
        <v/>
      </c>
      <c r="AU302" s="64">
        <f>IF(AR302=0,"",AS302/AR302)</f>
        <v/>
      </c>
      <c r="AV302" s="31" t="n"/>
      <c r="AW302" s="60" t="n"/>
      <c r="AX302" s="60" t="n"/>
      <c r="AY302" s="60">
        <f>AX302-AW302</f>
        <v/>
      </c>
      <c r="AZ302" s="61">
        <f>IF(AW302=0,"",AX302/AW302)</f>
        <v/>
      </c>
      <c r="BA302" s="27" t="n"/>
      <c r="BB302" s="62" t="n"/>
      <c r="BC302" s="62" t="n"/>
      <c r="BD302" s="62">
        <f>BC302-BB302</f>
        <v/>
      </c>
      <c r="BE302" s="64">
        <f>IF(BB302=0,"",BC302/BB302)</f>
        <v/>
      </c>
      <c r="BF302" s="31" t="n"/>
      <c r="BG302" s="60" t="n"/>
      <c r="BH302" s="60" t="n"/>
      <c r="BI302" s="60">
        <f>BH302-BG302</f>
        <v/>
      </c>
      <c r="BJ302" s="61">
        <f>IF(BG302=0,"",BH302/BG302)</f>
        <v/>
      </c>
      <c r="BK302" s="27" t="n"/>
      <c r="BL302" s="62" t="n"/>
      <c r="BM302" s="62" t="n"/>
      <c r="BN302" s="62">
        <f>BM302-BL302</f>
        <v/>
      </c>
      <c r="BO302" s="64">
        <f>IF(BL302=0,"",BM302/BL302)</f>
        <v/>
      </c>
      <c r="BP302" s="31" t="n"/>
      <c r="BQ302" s="60" t="n"/>
      <c r="BR302" s="60" t="n"/>
      <c r="BS302" s="60">
        <f>BR302-BQ302</f>
        <v/>
      </c>
      <c r="BT302" s="61">
        <f>IF(BQ302=0,"",BR302/BQ302)</f>
        <v/>
      </c>
      <c r="BU302" s="27" t="n"/>
      <c r="BV302" s="62" t="n"/>
      <c r="BW302" s="62" t="n"/>
      <c r="BX302" s="62">
        <f>BW302-BV302</f>
        <v/>
      </c>
      <c r="BY302" s="64">
        <f>IF(BV302=0,"",BW302/BV302)</f>
        <v/>
      </c>
      <c r="BZ302" s="31" t="n"/>
      <c r="CA302" s="60" t="n"/>
      <c r="CB302" s="60" t="n"/>
      <c r="CC302" s="60">
        <f>CB302-CA302</f>
        <v/>
      </c>
      <c r="CD302" s="61">
        <f>IF(CA302=0,"",CB302/CA302)</f>
        <v/>
      </c>
      <c r="CE302" s="27" t="n"/>
      <c r="CF302" s="62" t="n"/>
      <c r="CG302" s="62" t="n"/>
      <c r="CH302" s="62">
        <f>CG302-CF302</f>
        <v/>
      </c>
      <c r="CI302" s="64">
        <f>IF(CF302=0,"",CG302/CF302)</f>
        <v/>
      </c>
      <c r="CJ302" s="31" t="n"/>
      <c r="CK302" s="60" t="n"/>
      <c r="CL302" s="60" t="n"/>
      <c r="CM302" s="60">
        <f>CL302-CK302</f>
        <v/>
      </c>
      <c r="CN302" s="61">
        <f>IF(CK302=0,"",CL302/CK302)</f>
        <v/>
      </c>
      <c r="CO302" s="27" t="n"/>
      <c r="CP302" s="62" t="n"/>
      <c r="CQ302" s="62" t="n"/>
      <c r="CR302" s="62">
        <f>CQ302-CP302</f>
        <v/>
      </c>
      <c r="CS302" s="64">
        <f>IF(CP302=0,"",CQ302/CP302)</f>
        <v/>
      </c>
      <c r="CT302" s="31" t="n"/>
      <c r="CU302" s="60" t="n"/>
      <c r="CV302" s="60" t="n"/>
      <c r="CW302" s="60">
        <f>CV302-CU302</f>
        <v/>
      </c>
      <c r="CX302" s="61">
        <f>IF(CU302=0,"",CV302/CU302)</f>
        <v/>
      </c>
      <c r="CY302" s="27" t="n"/>
      <c r="CZ302" s="62" t="n"/>
      <c r="DA302" s="62" t="n"/>
      <c r="DB302" s="62">
        <f>DA302-CZ302</f>
        <v/>
      </c>
      <c r="DC302" s="64">
        <f>IF(CZ302=0,"",DA302/CZ302)</f>
        <v/>
      </c>
      <c r="DD302" s="31" t="n"/>
      <c r="DE302" s="60" t="n"/>
      <c r="DF302" s="60" t="n"/>
      <c r="DG302" s="60">
        <f>DF302-DE302</f>
        <v/>
      </c>
      <c r="DH302" s="61">
        <f>IF(DE302=0,"",DF302/DE302)</f>
        <v/>
      </c>
      <c r="DI302" s="27" t="n"/>
      <c r="DJ302" s="62" t="n"/>
      <c r="DK302" s="62" t="n"/>
      <c r="DL302" s="62">
        <f>DK302-DJ302</f>
        <v/>
      </c>
      <c r="DM302" s="64">
        <f>IF(DJ302=0,"",DK302/DJ302)</f>
        <v/>
      </c>
      <c r="DN302" s="31" t="n"/>
      <c r="DO302" s="60" t="n"/>
    </row>
    <row r="303" ht="15" customHeight="1">
      <c r="A303" s="15" t="n"/>
      <c r="B303" s="15" t="n"/>
      <c r="C303" s="15" t="n"/>
      <c r="D303" s="56">
        <f>D5+D123</f>
        <v/>
      </c>
      <c r="E303" s="56">
        <f>E5+E123</f>
        <v/>
      </c>
      <c r="F303" s="56">
        <f>E303-D303</f>
        <v/>
      </c>
      <c r="G303" s="57">
        <f>IF(D303=0,"",E303/D303)</f>
        <v/>
      </c>
      <c r="H303" s="18" t="n"/>
      <c r="I303" s="56">
        <f>I5+I123</f>
        <v/>
      </c>
      <c r="J303" s="56">
        <f>J5+J123</f>
        <v/>
      </c>
      <c r="K303" s="56">
        <f>J303-I303</f>
        <v/>
      </c>
      <c r="L303" s="57">
        <f>IF(I303=0,"",J303/I303)</f>
        <v/>
      </c>
      <c r="M303" s="18" t="n"/>
      <c r="N303" s="56">
        <f>N5+N123</f>
        <v/>
      </c>
      <c r="O303" s="56">
        <f>O5+O123</f>
        <v/>
      </c>
      <c r="P303" s="56">
        <f>O303-N303</f>
        <v/>
      </c>
      <c r="Q303" s="57">
        <f>IF(N303=0,"",O303/N303)</f>
        <v/>
      </c>
      <c r="R303" s="18" t="n"/>
      <c r="S303" s="56">
        <f>S5+S123</f>
        <v/>
      </c>
      <c r="T303" s="56">
        <f>T5+T123</f>
        <v/>
      </c>
      <c r="U303" s="56">
        <f>T303-S303</f>
        <v/>
      </c>
      <c r="V303" s="57">
        <f>IF(S303=0,"",T303/S303)</f>
        <v/>
      </c>
      <c r="W303" s="18" t="n"/>
      <c r="X303" s="56">
        <f>X5+X123</f>
        <v/>
      </c>
      <c r="Y303" s="56">
        <f>Y5+Y123</f>
        <v/>
      </c>
      <c r="Z303" s="56">
        <f>Y303-X303</f>
        <v/>
      </c>
      <c r="AA303" s="57">
        <f>IF(X303=0,"",Y303/X303)</f>
        <v/>
      </c>
      <c r="AB303" s="18" t="n"/>
      <c r="AC303" s="56">
        <f>AC5+AC123</f>
        <v/>
      </c>
      <c r="AD303" s="56">
        <f>AD5+AD123</f>
        <v/>
      </c>
      <c r="AE303" s="56">
        <f>AD303-AC303</f>
        <v/>
      </c>
      <c r="AF303" s="57">
        <f>IF(AC303=0,"",AD303/AC303)</f>
        <v/>
      </c>
      <c r="AG303" s="18" t="n"/>
      <c r="AH303" s="56">
        <f>AH5+AH123</f>
        <v/>
      </c>
      <c r="AI303" s="56">
        <f>AI5+AI123</f>
        <v/>
      </c>
      <c r="AJ303" s="56">
        <f>AI303-AH303</f>
        <v/>
      </c>
      <c r="AK303" s="57">
        <f>IF(AH303=0,"",AI303/AH303)</f>
        <v/>
      </c>
      <c r="AL303" s="18" t="n"/>
      <c r="AM303" s="56">
        <f>AM5+AM123</f>
        <v/>
      </c>
      <c r="AN303" s="56">
        <f>AN5+AN123</f>
        <v/>
      </c>
      <c r="AO303" s="56">
        <f>AN303-AM303</f>
        <v/>
      </c>
      <c r="AP303" s="57">
        <f>IF(AM303=0,"",AN303/AM303)</f>
        <v/>
      </c>
      <c r="AQ303" s="18" t="n"/>
      <c r="AR303" s="56">
        <f>AR5+AR123</f>
        <v/>
      </c>
      <c r="AS303" s="56">
        <f>AS5+AS123</f>
        <v/>
      </c>
      <c r="AT303" s="56">
        <f>AS303-AR303</f>
        <v/>
      </c>
      <c r="AU303" s="57">
        <f>IF(AR303=0,"",AS303/AR303)</f>
        <v/>
      </c>
      <c r="AV303" s="18" t="n"/>
      <c r="AW303" s="56">
        <f>AW5+AW123</f>
        <v/>
      </c>
      <c r="AX303" s="56">
        <f>AX5+AX123</f>
        <v/>
      </c>
      <c r="AY303" s="56">
        <f>AX303-AW303</f>
        <v/>
      </c>
      <c r="AZ303" s="57">
        <f>IF(AW303=0,"",AX303/AW303)</f>
        <v/>
      </c>
      <c r="BA303" s="18" t="n"/>
      <c r="BB303" s="56">
        <f>BB5+BB123</f>
        <v/>
      </c>
      <c r="BC303" s="56">
        <f>BC5+BC123</f>
        <v/>
      </c>
      <c r="BD303" s="56">
        <f>BC303-BB303</f>
        <v/>
      </c>
      <c r="BE303" s="57">
        <f>IF(BB303=0,"",BC303/BB303)</f>
        <v/>
      </c>
      <c r="BF303" s="18" t="n"/>
      <c r="BG303" s="56">
        <f>BG5+BG123</f>
        <v/>
      </c>
      <c r="BH303" s="56">
        <f>BH5+BH123</f>
        <v/>
      </c>
      <c r="BI303" s="56">
        <f>BH303-BG303</f>
        <v/>
      </c>
      <c r="BJ303" s="57">
        <f>IF(BG303=0,"",BH303/BG303)</f>
        <v/>
      </c>
      <c r="BK303" s="18" t="n"/>
      <c r="BL303" s="56">
        <f>BL5+BL123</f>
        <v/>
      </c>
      <c r="BM303" s="56">
        <f>BM5+BM123</f>
        <v/>
      </c>
      <c r="BN303" s="56">
        <f>BM303-BL303</f>
        <v/>
      </c>
      <c r="BO303" s="57">
        <f>IF(BL303=0,"",BM303/BL303)</f>
        <v/>
      </c>
      <c r="BP303" s="18" t="n"/>
      <c r="BQ303" s="56">
        <f>BQ5+BQ123</f>
        <v/>
      </c>
      <c r="BR303" s="56">
        <f>BR5+BR123</f>
        <v/>
      </c>
      <c r="BS303" s="56">
        <f>BR303-BQ303</f>
        <v/>
      </c>
      <c r="BT303" s="57">
        <f>IF(BQ303=0,"",BR303/BQ303)</f>
        <v/>
      </c>
      <c r="BU303" s="18" t="n"/>
      <c r="BV303" s="56">
        <f>BV5+BV123</f>
        <v/>
      </c>
      <c r="BW303" s="56">
        <f>BW5+BW123</f>
        <v/>
      </c>
      <c r="BX303" s="56">
        <f>BW303-BV303</f>
        <v/>
      </c>
      <c r="BY303" s="57">
        <f>IF(BV303=0,"",BW303/BV303)</f>
        <v/>
      </c>
      <c r="BZ303" s="18" t="n"/>
      <c r="CA303" s="56">
        <f>CA5+CA123</f>
        <v/>
      </c>
      <c r="CB303" s="56">
        <f>CB5+CB123</f>
        <v/>
      </c>
      <c r="CC303" s="56">
        <f>CB303-CA303</f>
        <v/>
      </c>
      <c r="CD303" s="57">
        <f>IF(CA303=0,"",CB303/CA303)</f>
        <v/>
      </c>
      <c r="CE303" s="18" t="n"/>
      <c r="CF303" s="56">
        <f>CF5+CF123</f>
        <v/>
      </c>
      <c r="CG303" s="56">
        <f>CG5+CG123</f>
        <v/>
      </c>
      <c r="CH303" s="56">
        <f>CG303-CF303</f>
        <v/>
      </c>
      <c r="CI303" s="57">
        <f>IF(CF303=0,"",CG303/CF303)</f>
        <v/>
      </c>
      <c r="CJ303" s="18" t="n"/>
      <c r="CK303" s="56">
        <f>CK5+CK123</f>
        <v/>
      </c>
      <c r="CL303" s="56">
        <f>CL5+CL123</f>
        <v/>
      </c>
      <c r="CM303" s="56">
        <f>CL303-CK303</f>
        <v/>
      </c>
      <c r="CN303" s="57">
        <f>IF(CK303=0,"",CL303/CK303)</f>
        <v/>
      </c>
      <c r="CO303" s="18" t="n"/>
      <c r="CP303" s="56">
        <f>CP5+CP123</f>
        <v/>
      </c>
      <c r="CQ303" s="56">
        <f>CQ5+CQ123</f>
        <v/>
      </c>
      <c r="CR303" s="56">
        <f>CQ303-CP303</f>
        <v/>
      </c>
      <c r="CS303" s="57">
        <f>IF(CP303=0,"",CQ303/CP303)</f>
        <v/>
      </c>
      <c r="CT303" s="18" t="n"/>
      <c r="CU303" s="56">
        <f>CU5+CU123</f>
        <v/>
      </c>
      <c r="CV303" s="56">
        <f>CV5+CV123</f>
        <v/>
      </c>
      <c r="CW303" s="56">
        <f>CV303-CU303</f>
        <v/>
      </c>
      <c r="CX303" s="57">
        <f>IF(CU303=0,"",CV303/CU303)</f>
        <v/>
      </c>
      <c r="CY303" s="18" t="n"/>
      <c r="CZ303" s="56">
        <f>CZ5+CZ123</f>
        <v/>
      </c>
      <c r="DA303" s="56">
        <f>DA5+DA123</f>
        <v/>
      </c>
      <c r="DB303" s="56">
        <f>DA303-CZ303</f>
        <v/>
      </c>
      <c r="DC303" s="57">
        <f>IF(CZ303=0,"",DA303/CZ303)</f>
        <v/>
      </c>
      <c r="DD303" s="18" t="n"/>
      <c r="DE303" s="56">
        <f>DE5+DE123</f>
        <v/>
      </c>
      <c r="DF303" s="56">
        <f>DF5+DF123</f>
        <v/>
      </c>
      <c r="DG303" s="56">
        <f>DF303-DE303</f>
        <v/>
      </c>
      <c r="DH303" s="57">
        <f>IF(DE303=0,"",DF303/DE303)</f>
        <v/>
      </c>
      <c r="DI303" s="18" t="n"/>
      <c r="DJ303" s="56">
        <f>DJ5+DJ123</f>
        <v/>
      </c>
      <c r="DK303" s="56">
        <f>DK5+DK123</f>
        <v/>
      </c>
      <c r="DL303" s="56">
        <f>DK303-DJ303</f>
        <v/>
      </c>
      <c r="DM303" s="57">
        <f>IF(DJ303=0,"",DK303/DJ303)</f>
        <v/>
      </c>
      <c r="DN303" s="18" t="n"/>
      <c r="DO303" s="56">
        <f>DO5+DO123</f>
        <v/>
      </c>
    </row>
  </sheetData>
  <mergeCells count="28">
    <mergeCell ref="DO3:DO4"/>
    <mergeCell ref="BG3:BK3"/>
    <mergeCell ref="AH3:AL3"/>
    <mergeCell ref="B3:B4"/>
    <mergeCell ref="BB3:BF3"/>
    <mergeCell ref="S3:W3"/>
    <mergeCell ref="AC3:AG3"/>
    <mergeCell ref="N3:R3"/>
    <mergeCell ref="AW3:BA3"/>
    <mergeCell ref="A3:A4"/>
    <mergeCell ref="DJ3:DN3"/>
    <mergeCell ref="X3:AB3"/>
    <mergeCell ref="I3:M3"/>
    <mergeCell ref="DE3:DI3"/>
    <mergeCell ref="CP3:CT3"/>
    <mergeCell ref="CF3:CJ3"/>
    <mergeCell ref="BQ3:BU3"/>
    <mergeCell ref="CZ3:DD3"/>
    <mergeCell ref="D3:H3"/>
    <mergeCell ref="A1:DO1"/>
    <mergeCell ref="AM3:AQ3"/>
    <mergeCell ref="CA3:CE3"/>
    <mergeCell ref="C3:C4"/>
    <mergeCell ref="BL3:BP3"/>
    <mergeCell ref="CU3:CY3"/>
    <mergeCell ref="CK3:CO3"/>
    <mergeCell ref="BV3:BZ3"/>
    <mergeCell ref="AR3:AV3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R124"/>
  <sheetViews>
    <sheetView showGridLines="0" zoomScaleNormal="100" workbookViewId="0">
      <pane xSplit="6" ySplit="4" topLeftCell="G5" activePane="bottomRight" state="frozen"/>
      <selection pane="topRight" activeCell="DC1" sqref="DC1"/>
      <selection pane="bottomLeft" activeCell="A5" sqref="A5"/>
      <selection pane="bottomRight" activeCell="G5" sqref="G5"/>
    </sheetView>
  </sheetViews>
  <sheetFormatPr baseColWidth="8" defaultColWidth="8.7109375" defaultRowHeight="15" outlineLevelRow="1"/>
  <cols>
    <col width="28" customWidth="1" min="1" max="1"/>
    <col width="13" customWidth="1" min="2" max="2"/>
    <col width="16" customWidth="1" min="3" max="4"/>
    <col width="14" customWidth="1" min="5" max="5"/>
    <col width="22" customWidth="1" min="6" max="6"/>
    <col width="10" customWidth="1" min="7" max="9"/>
    <col width="7" customWidth="1" min="10" max="10"/>
    <col width="10" customWidth="1" min="11" max="14"/>
    <col width="7" customWidth="1" min="15" max="15"/>
    <col width="10" customWidth="1" min="16" max="19"/>
    <col width="7" customWidth="1" min="20" max="20"/>
    <col width="10" customWidth="1" min="21" max="24"/>
    <col width="7" customWidth="1" min="25" max="25"/>
    <col width="10" customWidth="1" min="26" max="29"/>
    <col width="7" customWidth="1" min="30" max="30"/>
    <col width="10" customWidth="1" min="31" max="34"/>
    <col width="7" customWidth="1" min="35" max="35"/>
    <col width="10" customWidth="1" min="36" max="39"/>
    <col width="7" customWidth="1" min="40" max="40"/>
    <col width="10" customWidth="1" min="41" max="44"/>
    <col width="7" customWidth="1" min="45" max="45"/>
    <col width="10" customWidth="1" min="46" max="49"/>
    <col width="7" customWidth="1" min="50" max="50"/>
    <col width="10" customWidth="1" min="51" max="54"/>
    <col width="7" customWidth="1" min="55" max="55"/>
    <col width="10" customWidth="1" min="56" max="59"/>
    <col width="7" customWidth="1" min="60" max="60"/>
    <col width="10" customWidth="1" min="61" max="64"/>
    <col width="7" customWidth="1" min="65" max="65"/>
    <col width="10" customWidth="1" min="66" max="69"/>
    <col width="7" customWidth="1" min="70" max="70"/>
    <col width="10" customWidth="1" min="71" max="74"/>
    <col width="7" customWidth="1" min="75" max="75"/>
    <col width="10" customWidth="1" min="76" max="79"/>
    <col width="7" customWidth="1" min="80" max="80"/>
    <col width="10" customWidth="1" min="81" max="84"/>
    <col width="7" customWidth="1" min="85" max="85"/>
    <col width="10" customWidth="1" min="86" max="89"/>
    <col width="7" customWidth="1" min="90" max="90"/>
    <col width="10" customWidth="1" min="91" max="94"/>
    <col width="7" customWidth="1" min="95" max="95"/>
    <col width="10" customWidth="1" min="96" max="99"/>
    <col width="7" customWidth="1" min="100" max="100"/>
    <col width="10" customWidth="1" min="101" max="104"/>
    <col width="7" customWidth="1" min="105" max="105"/>
    <col width="10" customWidth="1" min="106" max="109"/>
    <col width="7" customWidth="1" min="110" max="110"/>
    <col width="10" customWidth="1" min="111" max="114"/>
    <col width="7" customWidth="1" min="115" max="115"/>
    <col width="10" customWidth="1" min="116" max="119"/>
    <col width="7" customWidth="1" min="120" max="120"/>
    <col width="10" customWidth="1" min="121" max="121"/>
    <col width="11" customWidth="1" min="122" max="122"/>
  </cols>
  <sheetData>
    <row r="1" ht="24" customHeight="1">
      <c r="A1" s="10" t="n"/>
    </row>
    <row r="2" ht="13.5" customHeight="1">
      <c r="A2" s="11" t="n"/>
    </row>
    <row r="3" ht="19.5" customHeight="1">
      <c r="A3" s="12" t="n"/>
      <c r="B3" s="9" t="n"/>
      <c r="C3" s="12" t="n"/>
      <c r="D3" s="12" t="n"/>
      <c r="E3" s="9" t="n"/>
      <c r="F3" s="12" t="n"/>
      <c r="G3" s="9" t="n"/>
      <c r="H3" s="53" t="n"/>
      <c r="I3" s="53" t="n"/>
      <c r="J3" s="53" t="n"/>
      <c r="K3" s="54" t="n"/>
      <c r="L3" s="9" t="n"/>
      <c r="M3" s="53" t="n"/>
      <c r="N3" s="53" t="n"/>
      <c r="O3" s="53" t="n"/>
      <c r="P3" s="54" t="n"/>
      <c r="Q3" s="7" t="n"/>
      <c r="R3" s="53" t="n"/>
      <c r="S3" s="53" t="n"/>
      <c r="T3" s="53" t="n"/>
      <c r="U3" s="54" t="n"/>
      <c r="V3" s="9" t="n"/>
      <c r="W3" s="53" t="n"/>
      <c r="X3" s="53" t="n"/>
      <c r="Y3" s="53" t="n"/>
      <c r="Z3" s="54" t="n"/>
      <c r="AA3" s="7" t="n"/>
      <c r="AB3" s="53" t="n"/>
      <c r="AC3" s="53" t="n"/>
      <c r="AD3" s="53" t="n"/>
      <c r="AE3" s="54" t="n"/>
      <c r="AF3" s="9" t="n"/>
      <c r="AG3" s="53" t="n"/>
      <c r="AH3" s="53" t="n"/>
      <c r="AI3" s="53" t="n"/>
      <c r="AJ3" s="54" t="n"/>
      <c r="AK3" s="7" t="n"/>
      <c r="AL3" s="53" t="n"/>
      <c r="AM3" s="53" t="n"/>
      <c r="AN3" s="53" t="n"/>
      <c r="AO3" s="54" t="n"/>
      <c r="AP3" s="9" t="n"/>
      <c r="AQ3" s="53" t="n"/>
      <c r="AR3" s="53" t="n"/>
      <c r="AS3" s="53" t="n"/>
      <c r="AT3" s="54" t="n"/>
      <c r="AU3" s="7" t="n"/>
      <c r="AV3" s="53" t="n"/>
      <c r="AW3" s="53" t="n"/>
      <c r="AX3" s="53" t="n"/>
      <c r="AY3" s="54" t="n"/>
      <c r="AZ3" s="9" t="n"/>
      <c r="BA3" s="53" t="n"/>
      <c r="BB3" s="53" t="n"/>
      <c r="BC3" s="53" t="n"/>
      <c r="BD3" s="54" t="n"/>
      <c r="BE3" s="7" t="n"/>
      <c r="BF3" s="53" t="n"/>
      <c r="BG3" s="53" t="n"/>
      <c r="BH3" s="53" t="n"/>
      <c r="BI3" s="54" t="n"/>
      <c r="BJ3" s="9" t="n"/>
      <c r="BK3" s="53" t="n"/>
      <c r="BL3" s="53" t="n"/>
      <c r="BM3" s="53" t="n"/>
      <c r="BN3" s="54" t="n"/>
      <c r="BO3" s="7" t="n"/>
      <c r="BP3" s="53" t="n"/>
      <c r="BQ3" s="53" t="n"/>
      <c r="BR3" s="53" t="n"/>
      <c r="BS3" s="54" t="n"/>
      <c r="BT3" s="9" t="n"/>
      <c r="BU3" s="53" t="n"/>
      <c r="BV3" s="53" t="n"/>
      <c r="BW3" s="53" t="n"/>
      <c r="BX3" s="54" t="n"/>
      <c r="BY3" s="7" t="n"/>
      <c r="BZ3" s="53" t="n"/>
      <c r="CA3" s="53" t="n"/>
      <c r="CB3" s="53" t="n"/>
      <c r="CC3" s="54" t="n"/>
      <c r="CD3" s="9" t="n"/>
      <c r="CE3" s="53" t="n"/>
      <c r="CF3" s="53" t="n"/>
      <c r="CG3" s="53" t="n"/>
      <c r="CH3" s="54" t="n"/>
      <c r="CI3" s="7" t="n"/>
      <c r="CJ3" s="53" t="n"/>
      <c r="CK3" s="53" t="n"/>
      <c r="CL3" s="53" t="n"/>
      <c r="CM3" s="54" t="n"/>
      <c r="CN3" s="9" t="n"/>
      <c r="CO3" s="53" t="n"/>
      <c r="CP3" s="53" t="n"/>
      <c r="CQ3" s="53" t="n"/>
      <c r="CR3" s="54" t="n"/>
      <c r="CS3" s="7" t="n"/>
      <c r="CT3" s="53" t="n"/>
      <c r="CU3" s="53" t="n"/>
      <c r="CV3" s="53" t="n"/>
      <c r="CW3" s="54" t="n"/>
      <c r="CX3" s="9" t="n"/>
      <c r="CY3" s="53" t="n"/>
      <c r="CZ3" s="53" t="n"/>
      <c r="DA3" s="53" t="n"/>
      <c r="DB3" s="54" t="n"/>
      <c r="DC3" s="7" t="n"/>
      <c r="DD3" s="53" t="n"/>
      <c r="DE3" s="53" t="n"/>
      <c r="DF3" s="53" t="n"/>
      <c r="DG3" s="54" t="n"/>
      <c r="DH3" s="9" t="n"/>
      <c r="DI3" s="53" t="n"/>
      <c r="DJ3" s="53" t="n"/>
      <c r="DK3" s="53" t="n"/>
      <c r="DL3" s="54" t="n"/>
      <c r="DM3" s="7" t="n"/>
      <c r="DN3" s="53" t="n"/>
      <c r="DO3" s="53" t="n"/>
      <c r="DP3" s="53" t="n"/>
      <c r="DQ3" s="54" t="n"/>
      <c r="DR3" s="9" t="n"/>
    </row>
    <row r="4" ht="33.75" customHeight="1">
      <c r="A4" s="55" t="n"/>
      <c r="B4" s="55" t="n"/>
      <c r="C4" s="55" t="n"/>
      <c r="D4" s="55" t="n"/>
      <c r="E4" s="55" t="n"/>
      <c r="F4" s="55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4" t="n"/>
      <c r="R4" s="14" t="n"/>
      <c r="S4" s="14" t="n"/>
      <c r="T4" s="14" t="n"/>
      <c r="U4" s="14" t="n"/>
      <c r="V4" s="13" t="n"/>
      <c r="W4" s="13" t="n"/>
      <c r="X4" s="13" t="n"/>
      <c r="Y4" s="13" t="n"/>
      <c r="Z4" s="13" t="n"/>
      <c r="AA4" s="14" t="n"/>
      <c r="AB4" s="14" t="n"/>
      <c r="AC4" s="14" t="n"/>
      <c r="AD4" s="14" t="n"/>
      <c r="AE4" s="14" t="n"/>
      <c r="AF4" s="13" t="n"/>
      <c r="AG4" s="13" t="n"/>
      <c r="AH4" s="13" t="n"/>
      <c r="AI4" s="13" t="n"/>
      <c r="AJ4" s="13" t="n"/>
      <c r="AK4" s="14" t="n"/>
      <c r="AL4" s="14" t="n"/>
      <c r="AM4" s="14" t="n"/>
      <c r="AN4" s="14" t="n"/>
      <c r="AO4" s="14" t="n"/>
      <c r="AP4" s="13" t="n"/>
      <c r="AQ4" s="13" t="n"/>
      <c r="AR4" s="13" t="n"/>
      <c r="AS4" s="13" t="n"/>
      <c r="AT4" s="13" t="n"/>
      <c r="AU4" s="14" t="n"/>
      <c r="AV4" s="14" t="n"/>
      <c r="AW4" s="14" t="n"/>
      <c r="AX4" s="14" t="n"/>
      <c r="AY4" s="14" t="n"/>
      <c r="AZ4" s="13" t="n"/>
      <c r="BA4" s="13" t="n"/>
      <c r="BB4" s="13" t="n"/>
      <c r="BC4" s="13" t="n"/>
      <c r="BD4" s="13" t="n"/>
      <c r="BE4" s="14" t="n"/>
      <c r="BF4" s="14" t="n"/>
      <c r="BG4" s="14" t="n"/>
      <c r="BH4" s="14" t="n"/>
      <c r="BI4" s="14" t="n"/>
      <c r="BJ4" s="13" t="n"/>
      <c r="BK4" s="13" t="n"/>
      <c r="BL4" s="13" t="n"/>
      <c r="BM4" s="13" t="n"/>
      <c r="BN4" s="13" t="n"/>
      <c r="BO4" s="14" t="n"/>
      <c r="BP4" s="14" t="n"/>
      <c r="BQ4" s="14" t="n"/>
      <c r="BR4" s="14" t="n"/>
      <c r="BS4" s="14" t="n"/>
      <c r="BT4" s="13" t="n"/>
      <c r="BU4" s="13" t="n"/>
      <c r="BV4" s="13" t="n"/>
      <c r="BW4" s="13" t="n"/>
      <c r="BX4" s="13" t="n"/>
      <c r="BY4" s="14" t="n"/>
      <c r="BZ4" s="14" t="n"/>
      <c r="CA4" s="14" t="n"/>
      <c r="CB4" s="14" t="n"/>
      <c r="CC4" s="14" t="n"/>
      <c r="CD4" s="13" t="n"/>
      <c r="CE4" s="13" t="n"/>
      <c r="CF4" s="13" t="n"/>
      <c r="CG4" s="13" t="n"/>
      <c r="CH4" s="13" t="n"/>
      <c r="CI4" s="14" t="n"/>
      <c r="CJ4" s="14" t="n"/>
      <c r="CK4" s="14" t="n"/>
      <c r="CL4" s="14" t="n"/>
      <c r="CM4" s="14" t="n"/>
      <c r="CN4" s="13" t="n"/>
      <c r="CO4" s="13" t="n"/>
      <c r="CP4" s="13" t="n"/>
      <c r="CQ4" s="13" t="n"/>
      <c r="CR4" s="13" t="n"/>
      <c r="CS4" s="14" t="n"/>
      <c r="CT4" s="14" t="n"/>
      <c r="CU4" s="14" t="n"/>
      <c r="CV4" s="14" t="n"/>
      <c r="CW4" s="14" t="n"/>
      <c r="CX4" s="13" t="n"/>
      <c r="CY4" s="13" t="n"/>
      <c r="CZ4" s="13" t="n"/>
      <c r="DA4" s="13" t="n"/>
      <c r="DB4" s="13" t="n"/>
      <c r="DC4" s="14" t="n"/>
      <c r="DD4" s="14" t="n"/>
      <c r="DE4" s="14" t="n"/>
      <c r="DF4" s="14" t="n"/>
      <c r="DG4" s="14" t="n"/>
      <c r="DH4" s="13" t="n"/>
      <c r="DI4" s="13" t="n"/>
      <c r="DJ4" s="13" t="n"/>
      <c r="DK4" s="13" t="n"/>
      <c r="DL4" s="13" t="n"/>
      <c r="DM4" s="14" t="n"/>
      <c r="DN4" s="14" t="n"/>
      <c r="DO4" s="14" t="n"/>
      <c r="DP4" s="14" t="n"/>
      <c r="DQ4" s="14" t="n"/>
      <c r="DR4" s="55" t="n"/>
    </row>
    <row r="5" ht="15" customHeight="1">
      <c r="A5" s="15" t="n"/>
      <c r="B5" s="15" t="n"/>
      <c r="C5" s="15" t="n"/>
      <c r="D5" s="15" t="n"/>
      <c r="E5" s="15" t="n"/>
      <c r="F5" s="15" t="n"/>
      <c r="G5" s="56">
        <f>G6+G22+G33+G37+G43</f>
        <v/>
      </c>
      <c r="H5" s="56">
        <f>H6+H22+H33+H37+H43</f>
        <v/>
      </c>
      <c r="I5" s="56">
        <f>H5-G5</f>
        <v/>
      </c>
      <c r="J5" s="57">
        <f>IF(G5=0,"",H5/G5)</f>
        <v/>
      </c>
      <c r="K5" s="18" t="n"/>
      <c r="L5" s="56">
        <f>L6+L22+L33+L37+L43</f>
        <v/>
      </c>
      <c r="M5" s="56">
        <f>M6+M22+M33+M37+M43</f>
        <v/>
      </c>
      <c r="N5" s="56">
        <f>M5-L5</f>
        <v/>
      </c>
      <c r="O5" s="57">
        <f>IF(L5=0,"",M5/L5)</f>
        <v/>
      </c>
      <c r="P5" s="18" t="n"/>
      <c r="Q5" s="56">
        <f>Q6+Q22+Q33+Q37+Q43</f>
        <v/>
      </c>
      <c r="R5" s="56">
        <f>R6+R22+R33+R37+R43</f>
        <v/>
      </c>
      <c r="S5" s="56">
        <f>R5-Q5</f>
        <v/>
      </c>
      <c r="T5" s="57">
        <f>IF(Q5=0,"",R5/Q5)</f>
        <v/>
      </c>
      <c r="U5" s="18" t="n"/>
      <c r="V5" s="56">
        <f>V6+V22+V33+V37+V43</f>
        <v/>
      </c>
      <c r="W5" s="56">
        <f>W6+W22+W33+W37+W43</f>
        <v/>
      </c>
      <c r="X5" s="56">
        <f>W5-V5</f>
        <v/>
      </c>
      <c r="Y5" s="57">
        <f>IF(V5=0,"",W5/V5)</f>
        <v/>
      </c>
      <c r="Z5" s="18" t="n"/>
      <c r="AA5" s="56">
        <f>AA6+AA22+AA33+AA37+AA43</f>
        <v/>
      </c>
      <c r="AB5" s="56">
        <f>AB6+AB22+AB33+AB37+AB43</f>
        <v/>
      </c>
      <c r="AC5" s="56">
        <f>AB5-AA5</f>
        <v/>
      </c>
      <c r="AD5" s="57">
        <f>IF(AA5=0,"",AB5/AA5)</f>
        <v/>
      </c>
      <c r="AE5" s="18" t="n"/>
      <c r="AF5" s="56">
        <f>AF6+AF22+AF33+AF37+AF43</f>
        <v/>
      </c>
      <c r="AG5" s="56">
        <f>AG6+AG22+AG33+AG37+AG43</f>
        <v/>
      </c>
      <c r="AH5" s="56">
        <f>AG5-AF5</f>
        <v/>
      </c>
      <c r="AI5" s="57">
        <f>IF(AF5=0,"",AG5/AF5)</f>
        <v/>
      </c>
      <c r="AJ5" s="18" t="n"/>
      <c r="AK5" s="56">
        <f>AK6+AK22+AK33+AK37+AK43</f>
        <v/>
      </c>
      <c r="AL5" s="56">
        <f>AL6+AL22+AL33+AL37+AL43</f>
        <v/>
      </c>
      <c r="AM5" s="56">
        <f>AL5-AK5</f>
        <v/>
      </c>
      <c r="AN5" s="57">
        <f>IF(AK5=0,"",AL5/AK5)</f>
        <v/>
      </c>
      <c r="AO5" s="18" t="n"/>
      <c r="AP5" s="56">
        <f>AP6+AP22+AP33+AP37+AP43</f>
        <v/>
      </c>
      <c r="AQ5" s="56">
        <f>AQ6+AQ22+AQ33+AQ37+AQ43</f>
        <v/>
      </c>
      <c r="AR5" s="56">
        <f>AQ5-AP5</f>
        <v/>
      </c>
      <c r="AS5" s="57">
        <f>IF(AP5=0,"",AQ5/AP5)</f>
        <v/>
      </c>
      <c r="AT5" s="18" t="n"/>
      <c r="AU5" s="56">
        <f>AU6+AU22+AU33+AU37+AU43</f>
        <v/>
      </c>
      <c r="AV5" s="56">
        <f>AV6+AV22+AV33+AV37+AV43</f>
        <v/>
      </c>
      <c r="AW5" s="56">
        <f>AV5-AU5</f>
        <v/>
      </c>
      <c r="AX5" s="57">
        <f>IF(AU5=0,"",AV5/AU5)</f>
        <v/>
      </c>
      <c r="AY5" s="18" t="n"/>
      <c r="AZ5" s="56">
        <f>AZ6+AZ22+AZ33+AZ37+AZ43</f>
        <v/>
      </c>
      <c r="BA5" s="56">
        <f>BA6+BA22+BA33+BA37+BA43</f>
        <v/>
      </c>
      <c r="BB5" s="56">
        <f>BA5-AZ5</f>
        <v/>
      </c>
      <c r="BC5" s="57">
        <f>IF(AZ5=0,"",BA5/AZ5)</f>
        <v/>
      </c>
      <c r="BD5" s="18" t="n"/>
      <c r="BE5" s="56">
        <f>BE6+BE22+BE33+BE37+BE43</f>
        <v/>
      </c>
      <c r="BF5" s="56">
        <f>BF6+BF22+BF33+BF37+BF43</f>
        <v/>
      </c>
      <c r="BG5" s="56">
        <f>BF5-BE5</f>
        <v/>
      </c>
      <c r="BH5" s="57">
        <f>IF(BE5=0,"",BF5/BE5)</f>
        <v/>
      </c>
      <c r="BI5" s="18" t="n"/>
      <c r="BJ5" s="56">
        <f>BJ6+BJ22+BJ33+BJ37+BJ43</f>
        <v/>
      </c>
      <c r="BK5" s="56">
        <f>BK6+BK22+BK33+BK37+BK43</f>
        <v/>
      </c>
      <c r="BL5" s="56">
        <f>BK5-BJ5</f>
        <v/>
      </c>
      <c r="BM5" s="57">
        <f>IF(BJ5=0,"",BK5/BJ5)</f>
        <v/>
      </c>
      <c r="BN5" s="18" t="n"/>
      <c r="BO5" s="56">
        <f>BO6+BO22+BO33+BO37+BO43</f>
        <v/>
      </c>
      <c r="BP5" s="56">
        <f>BP6+BP22+BP33+BP37+BP43</f>
        <v/>
      </c>
      <c r="BQ5" s="56">
        <f>BP5-BO5</f>
        <v/>
      </c>
      <c r="BR5" s="57">
        <f>IF(BO5=0,"",BP5/BO5)</f>
        <v/>
      </c>
      <c r="BS5" s="18" t="n"/>
      <c r="BT5" s="56">
        <f>BT6+BT22+BT33+BT37+BT43</f>
        <v/>
      </c>
      <c r="BU5" s="56">
        <f>BU6+BU22+BU33+BU37+BU43</f>
        <v/>
      </c>
      <c r="BV5" s="56">
        <f>BU5-BT5</f>
        <v/>
      </c>
      <c r="BW5" s="57">
        <f>IF(BT5=0,"",BU5/BT5)</f>
        <v/>
      </c>
      <c r="BX5" s="18" t="n"/>
      <c r="BY5" s="56">
        <f>BY6+BY22+BY33+BY37+BY43</f>
        <v/>
      </c>
      <c r="BZ5" s="56">
        <f>BZ6+BZ22+BZ33+BZ37+BZ43</f>
        <v/>
      </c>
      <c r="CA5" s="56">
        <f>BZ5-BY5</f>
        <v/>
      </c>
      <c r="CB5" s="57">
        <f>IF(BY5=0,"",BZ5/BY5)</f>
        <v/>
      </c>
      <c r="CC5" s="18" t="n"/>
      <c r="CD5" s="56">
        <f>CD6+CD22+CD33+CD37+CD43</f>
        <v/>
      </c>
      <c r="CE5" s="56">
        <f>CE6+CE22+CE33+CE37+CE43</f>
        <v/>
      </c>
      <c r="CF5" s="56">
        <f>CE5-CD5</f>
        <v/>
      </c>
      <c r="CG5" s="57">
        <f>IF(CD5=0,"",CE5/CD5)</f>
        <v/>
      </c>
      <c r="CH5" s="18" t="n"/>
      <c r="CI5" s="56">
        <f>CI6+CI22+CI33+CI37+CI43</f>
        <v/>
      </c>
      <c r="CJ5" s="56">
        <f>CJ6+CJ22+CJ33+CJ37+CJ43</f>
        <v/>
      </c>
      <c r="CK5" s="56">
        <f>CJ5-CI5</f>
        <v/>
      </c>
      <c r="CL5" s="57">
        <f>IF(CI5=0,"",CJ5/CI5)</f>
        <v/>
      </c>
      <c r="CM5" s="18" t="n"/>
      <c r="CN5" s="56">
        <f>CN6+CN22+CN33+CN37+CN43</f>
        <v/>
      </c>
      <c r="CO5" s="56">
        <f>CO6+CO22+CO33+CO37+CO43</f>
        <v/>
      </c>
      <c r="CP5" s="56">
        <f>CO5-CN5</f>
        <v/>
      </c>
      <c r="CQ5" s="57">
        <f>IF(CN5=0,"",CO5/CN5)</f>
        <v/>
      </c>
      <c r="CR5" s="18" t="n"/>
      <c r="CS5" s="56">
        <f>CS6+CS22+CS33+CS37+CS43</f>
        <v/>
      </c>
      <c r="CT5" s="56">
        <f>CT6+CT22+CT33+CT37+CT43</f>
        <v/>
      </c>
      <c r="CU5" s="56">
        <f>CT5-CS5</f>
        <v/>
      </c>
      <c r="CV5" s="57">
        <f>IF(CS5=0,"",CT5/CS5)</f>
        <v/>
      </c>
      <c r="CW5" s="18" t="n"/>
      <c r="CX5" s="56">
        <f>CX6+CX22+CX33+CX37+CX43</f>
        <v/>
      </c>
      <c r="CY5" s="56">
        <f>CY6+CY22+CY33+CY37+CY43</f>
        <v/>
      </c>
      <c r="CZ5" s="56">
        <f>CY5-CX5</f>
        <v/>
      </c>
      <c r="DA5" s="57">
        <f>IF(CX5=0,"",CY5/CX5)</f>
        <v/>
      </c>
      <c r="DB5" s="18" t="n"/>
      <c r="DC5" s="56">
        <f>DC6+DC22+DC33+DC37+DC43</f>
        <v/>
      </c>
      <c r="DD5" s="56">
        <f>DD6+DD22+DD33+DD37+DD43</f>
        <v/>
      </c>
      <c r="DE5" s="56">
        <f>DD5-DC5</f>
        <v/>
      </c>
      <c r="DF5" s="57">
        <f>IF(DC5=0,"",DD5/DC5)</f>
        <v/>
      </c>
      <c r="DG5" s="18" t="n"/>
      <c r="DH5" s="56">
        <f>DH6+DH22+DH33+DH37+DH43</f>
        <v/>
      </c>
      <c r="DI5" s="56">
        <f>DI6+DI22+DI33+DI37+DI43</f>
        <v/>
      </c>
      <c r="DJ5" s="56">
        <f>DI5-DH5</f>
        <v/>
      </c>
      <c r="DK5" s="57">
        <f>IF(DH5=0,"",DI5/DH5)</f>
        <v/>
      </c>
      <c r="DL5" s="18" t="n"/>
      <c r="DM5" s="56">
        <f>DM6+DM22+DM33+DM37+DM43</f>
        <v/>
      </c>
      <c r="DN5" s="56">
        <f>DN6+DN22+DN33+DN37+DN43</f>
        <v/>
      </c>
      <c r="DO5" s="56">
        <f>DN5-DM5</f>
        <v/>
      </c>
      <c r="DP5" s="57">
        <f>IF(DM5=0,"",DN5/DM5)</f>
        <v/>
      </c>
      <c r="DQ5" s="18" t="n"/>
      <c r="DR5" s="56">
        <f>DR6+DR22+DR33+DR37+DR43</f>
        <v/>
      </c>
    </row>
    <row r="6" ht="15" customHeight="1">
      <c r="A6" s="32" t="n"/>
      <c r="B6" s="32" t="n"/>
      <c r="C6" s="32" t="n"/>
      <c r="D6" s="32" t="n"/>
      <c r="E6" s="32" t="n"/>
      <c r="F6" s="32" t="n"/>
      <c r="G6" s="65">
        <f>G7+G8+G9+G10+G11+G12+G13+G14+G15+G16+G17+G18+G19+G20+G21</f>
        <v/>
      </c>
      <c r="H6" s="65">
        <f>H7+H8+H9+H10+H11+H12+H13+H14+H15+H16+H17+H18+H19+H20+H21</f>
        <v/>
      </c>
      <c r="I6" s="65">
        <f>H6-G6</f>
        <v/>
      </c>
      <c r="J6" s="66">
        <f>IF(G6=0,"",H6/G6)</f>
        <v/>
      </c>
      <c r="K6" s="35" t="n"/>
      <c r="L6" s="65">
        <f>L7+L8+L9+L10+L11+L12+L13+L14+L15+L16+L17+L18+L19+L20+L21</f>
        <v/>
      </c>
      <c r="M6" s="65">
        <f>M7+M8+M9+M10+M11+M12+M13+M14+M15+M16+M17+M18+M19+M20+M21</f>
        <v/>
      </c>
      <c r="N6" s="65">
        <f>M6-L6</f>
        <v/>
      </c>
      <c r="O6" s="66">
        <f>IF(L6=0,"",M6/L6)</f>
        <v/>
      </c>
      <c r="P6" s="35" t="n"/>
      <c r="Q6" s="65">
        <f>Q7+Q8+Q9+Q10+Q11+Q12+Q13+Q14+Q15+Q16+Q17+Q18+Q19+Q20+Q21</f>
        <v/>
      </c>
      <c r="R6" s="65">
        <f>R7+R8+R9+R10+R11+R12+R13+R14+R15+R16+R17+R18+R19+R20+R21</f>
        <v/>
      </c>
      <c r="S6" s="65">
        <f>R6-Q6</f>
        <v/>
      </c>
      <c r="T6" s="66">
        <f>IF(Q6=0,"",R6/Q6)</f>
        <v/>
      </c>
      <c r="U6" s="35" t="n"/>
      <c r="V6" s="65">
        <f>V7+V8+V9+V10+V11+V12+V13+V14+V15+V16+V17+V18+V19+V20+V21</f>
        <v/>
      </c>
      <c r="W6" s="65">
        <f>W7+W8+W9+W10+W11+W12+W13+W14+W15+W16+W17+W18+W19+W20+W21</f>
        <v/>
      </c>
      <c r="X6" s="65">
        <f>W6-V6</f>
        <v/>
      </c>
      <c r="Y6" s="66">
        <f>IF(V6=0,"",W6/V6)</f>
        <v/>
      </c>
      <c r="Z6" s="35" t="n"/>
      <c r="AA6" s="65">
        <f>AA7+AA8+AA9+AA10+AA11+AA12+AA13+AA14+AA15+AA16+AA17+AA18+AA19+AA20+AA21</f>
        <v/>
      </c>
      <c r="AB6" s="65">
        <f>AB7+AB8+AB9+AB10+AB11+AB12+AB13+AB14+AB15+AB16+AB17+AB18+AB19+AB20+AB21</f>
        <v/>
      </c>
      <c r="AC6" s="65">
        <f>AB6-AA6</f>
        <v/>
      </c>
      <c r="AD6" s="66">
        <f>IF(AA6=0,"",AB6/AA6)</f>
        <v/>
      </c>
      <c r="AE6" s="35" t="n"/>
      <c r="AF6" s="65">
        <f>AF7+AF8+AF9+AF10+AF11+AF12+AF13+AF14+AF15+AF16+AF17+AF18+AF19+AF20+AF21</f>
        <v/>
      </c>
      <c r="AG6" s="65">
        <f>AG7+AG8+AG9+AG10+AG11+AG12+AG13+AG14+AG15+AG16+AG17+AG18+AG19+AG20+AG21</f>
        <v/>
      </c>
      <c r="AH6" s="65">
        <f>AG6-AF6</f>
        <v/>
      </c>
      <c r="AI6" s="66">
        <f>IF(AF6=0,"",AG6/AF6)</f>
        <v/>
      </c>
      <c r="AJ6" s="35" t="n"/>
      <c r="AK6" s="65">
        <f>AK7+AK8+AK9+AK10+AK11+AK12+AK13+AK14+AK15+AK16+AK17+AK18+AK19+AK20+AK21</f>
        <v/>
      </c>
      <c r="AL6" s="65">
        <f>AL7+AL8+AL9+AL10+AL11+AL12+AL13+AL14+AL15+AL16+AL17+AL18+AL19+AL20+AL21</f>
        <v/>
      </c>
      <c r="AM6" s="65">
        <f>AL6-AK6</f>
        <v/>
      </c>
      <c r="AN6" s="66">
        <f>IF(AK6=0,"",AL6/AK6)</f>
        <v/>
      </c>
      <c r="AO6" s="35" t="n"/>
      <c r="AP6" s="65">
        <f>AP7+AP8+AP9+AP10+AP11+AP12+AP13+AP14+AP15+AP16+AP17+AP18+AP19+AP20+AP21</f>
        <v/>
      </c>
      <c r="AQ6" s="65">
        <f>AQ7+AQ8+AQ9+AQ10+AQ11+AQ12+AQ13+AQ14+AQ15+AQ16+AQ17+AQ18+AQ19+AQ20+AQ21</f>
        <v/>
      </c>
      <c r="AR6" s="65">
        <f>AQ6-AP6</f>
        <v/>
      </c>
      <c r="AS6" s="66">
        <f>IF(AP6=0,"",AQ6/AP6)</f>
        <v/>
      </c>
      <c r="AT6" s="35" t="n"/>
      <c r="AU6" s="65">
        <f>AU7+AU8+AU9+AU10+AU11+AU12+AU13+AU14+AU15+AU16+AU17+AU18+AU19+AU20+AU21</f>
        <v/>
      </c>
      <c r="AV6" s="65">
        <f>AV7+AV8+AV9+AV10+AV11+AV12+AV13+AV14+AV15+AV16+AV17+AV18+AV19+AV20+AV21</f>
        <v/>
      </c>
      <c r="AW6" s="65">
        <f>AV6-AU6</f>
        <v/>
      </c>
      <c r="AX6" s="66">
        <f>IF(AU6=0,"",AV6/AU6)</f>
        <v/>
      </c>
      <c r="AY6" s="35" t="n"/>
      <c r="AZ6" s="65">
        <f>AZ7+AZ8+AZ9+AZ10+AZ11+AZ12+AZ13+AZ14+AZ15+AZ16+AZ17+AZ18+AZ19+AZ20+AZ21</f>
        <v/>
      </c>
      <c r="BA6" s="65">
        <f>BA7+BA8+BA9+BA10+BA11+BA12+BA13+BA14+BA15+BA16+BA17+BA18+BA19+BA20+BA21</f>
        <v/>
      </c>
      <c r="BB6" s="65">
        <f>BA6-AZ6</f>
        <v/>
      </c>
      <c r="BC6" s="66">
        <f>IF(AZ6=0,"",BA6/AZ6)</f>
        <v/>
      </c>
      <c r="BD6" s="35" t="n"/>
      <c r="BE6" s="65">
        <f>BE7+BE8+BE9+BE10+BE11+BE12+BE13+BE14+BE15+BE16+BE17+BE18+BE19+BE20+BE21</f>
        <v/>
      </c>
      <c r="BF6" s="65">
        <f>BF7+BF8+BF9+BF10+BF11+BF12+BF13+BF14+BF15+BF16+BF17+BF18+BF19+BF20+BF21</f>
        <v/>
      </c>
      <c r="BG6" s="65">
        <f>BF6-BE6</f>
        <v/>
      </c>
      <c r="BH6" s="66">
        <f>IF(BE6=0,"",BF6/BE6)</f>
        <v/>
      </c>
      <c r="BI6" s="35" t="n"/>
      <c r="BJ6" s="65">
        <f>BJ7+BJ8+BJ9+BJ10+BJ11+BJ12+BJ13+BJ14+BJ15+BJ16+BJ17+BJ18+BJ19+BJ20+BJ21</f>
        <v/>
      </c>
      <c r="BK6" s="65">
        <f>BK7+BK8+BK9+BK10+BK11+BK12+BK13+BK14+BK15+BK16+BK17+BK18+BK19+BK20+BK21</f>
        <v/>
      </c>
      <c r="BL6" s="65">
        <f>BK6-BJ6</f>
        <v/>
      </c>
      <c r="BM6" s="66">
        <f>IF(BJ6=0,"",BK6/BJ6)</f>
        <v/>
      </c>
      <c r="BN6" s="35" t="n"/>
      <c r="BO6" s="65">
        <f>BO7+BO8+BO9+BO10+BO11+BO12+BO13+BO14+BO15+BO16+BO17+BO18+BO19+BO20+BO21</f>
        <v/>
      </c>
      <c r="BP6" s="65">
        <f>BP7+BP8+BP9+BP10+BP11+BP12+BP13+BP14+BP15+BP16+BP17+BP18+BP19+BP20+BP21</f>
        <v/>
      </c>
      <c r="BQ6" s="65">
        <f>BP6-BO6</f>
        <v/>
      </c>
      <c r="BR6" s="66">
        <f>IF(BO6=0,"",BP6/BO6)</f>
        <v/>
      </c>
      <c r="BS6" s="35" t="n"/>
      <c r="BT6" s="65">
        <f>BT7+BT8+BT9+BT10+BT11+BT12+BT13+BT14+BT15+BT16+BT17+BT18+BT19+BT20+BT21</f>
        <v/>
      </c>
      <c r="BU6" s="65">
        <f>BU7+BU8+BU9+BU10+BU11+BU12+BU13+BU14+BU15+BU16+BU17+BU18+BU19+BU20+BU21</f>
        <v/>
      </c>
      <c r="BV6" s="65">
        <f>BU6-BT6</f>
        <v/>
      </c>
      <c r="BW6" s="66">
        <f>IF(BT6=0,"",BU6/BT6)</f>
        <v/>
      </c>
      <c r="BX6" s="35" t="n"/>
      <c r="BY6" s="65">
        <f>BY7+BY8+BY9+BY10+BY11+BY12+BY13+BY14+BY15+BY16+BY17+BY18+BY19+BY20+BY21</f>
        <v/>
      </c>
      <c r="BZ6" s="65">
        <f>BZ7+BZ8+BZ9+BZ10+BZ11+BZ12+BZ13+BZ14+BZ15+BZ16+BZ17+BZ18+BZ19+BZ20+BZ21</f>
        <v/>
      </c>
      <c r="CA6" s="65">
        <f>BZ6-BY6</f>
        <v/>
      </c>
      <c r="CB6" s="66">
        <f>IF(BY6=0,"",BZ6/BY6)</f>
        <v/>
      </c>
      <c r="CC6" s="35" t="n"/>
      <c r="CD6" s="65">
        <f>CD7+CD8+CD9+CD10+CD11+CD12+CD13+CD14+CD15+CD16+CD17+CD18+CD19+CD20+CD21</f>
        <v/>
      </c>
      <c r="CE6" s="65">
        <f>CE7+CE8+CE9+CE10+CE11+CE12+CE13+CE14+CE15+CE16+CE17+CE18+CE19+CE20+CE21</f>
        <v/>
      </c>
      <c r="CF6" s="65">
        <f>CE6-CD6</f>
        <v/>
      </c>
      <c r="CG6" s="66">
        <f>IF(CD6=0,"",CE6/CD6)</f>
        <v/>
      </c>
      <c r="CH6" s="35" t="n"/>
      <c r="CI6" s="65">
        <f>CI7+CI8+CI9+CI10+CI11+CI12+CI13+CI14+CI15+CI16+CI17+CI18+CI19+CI20+CI21</f>
        <v/>
      </c>
      <c r="CJ6" s="65">
        <f>CJ7+CJ8+CJ9+CJ10+CJ11+CJ12+CJ13+CJ14+CJ15+CJ16+CJ17+CJ18+CJ19+CJ20+CJ21</f>
        <v/>
      </c>
      <c r="CK6" s="65">
        <f>CJ6-CI6</f>
        <v/>
      </c>
      <c r="CL6" s="66">
        <f>IF(CI6=0,"",CJ6/CI6)</f>
        <v/>
      </c>
      <c r="CM6" s="35" t="n"/>
      <c r="CN6" s="65">
        <f>CN7+CN8+CN9+CN10+CN11+CN12+CN13+CN14+CN15+CN16+CN17+CN18+CN19+CN20+CN21</f>
        <v/>
      </c>
      <c r="CO6" s="65">
        <f>CO7+CO8+CO9+CO10+CO11+CO12+CO13+CO14+CO15+CO16+CO17+CO18+CO19+CO20+CO21</f>
        <v/>
      </c>
      <c r="CP6" s="65">
        <f>CO6-CN6</f>
        <v/>
      </c>
      <c r="CQ6" s="66">
        <f>IF(CN6=0,"",CO6/CN6)</f>
        <v/>
      </c>
      <c r="CR6" s="35" t="n"/>
      <c r="CS6" s="65">
        <f>CS7+CS8+CS9+CS10+CS11+CS12+CS13+CS14+CS15+CS16+CS17+CS18+CS19+CS20+CS21</f>
        <v/>
      </c>
      <c r="CT6" s="65">
        <f>CT7+CT8+CT9+CT10+CT11+CT12+CT13+CT14+CT15+CT16+CT17+CT18+CT19+CT20+CT21</f>
        <v/>
      </c>
      <c r="CU6" s="65">
        <f>CT6-CS6</f>
        <v/>
      </c>
      <c r="CV6" s="66">
        <f>IF(CS6=0,"",CT6/CS6)</f>
        <v/>
      </c>
      <c r="CW6" s="35" t="n"/>
      <c r="CX6" s="65">
        <f>CX7+CX8+CX9+CX10+CX11+CX12+CX13+CX14+CX15+CX16+CX17+CX18+CX19+CX20+CX21</f>
        <v/>
      </c>
      <c r="CY6" s="65">
        <f>CY7+CY8+CY9+CY10+CY11+CY12+CY13+CY14+CY15+CY16+CY17+CY18+CY19+CY20+CY21</f>
        <v/>
      </c>
      <c r="CZ6" s="65">
        <f>CY6-CX6</f>
        <v/>
      </c>
      <c r="DA6" s="66">
        <f>IF(CX6=0,"",CY6/CX6)</f>
        <v/>
      </c>
      <c r="DB6" s="35" t="n"/>
      <c r="DC6" s="65">
        <f>DC7+DC8+DC9+DC10+DC11+DC12+DC13+DC14+DC15+DC16+DC17+DC18+DC19+DC20+DC21</f>
        <v/>
      </c>
      <c r="DD6" s="65">
        <f>DD7+DD8+DD9+DD10+DD11+DD12+DD13+DD14+DD15+DD16+DD17+DD18+DD19+DD20+DD21</f>
        <v/>
      </c>
      <c r="DE6" s="65">
        <f>DD6-DC6</f>
        <v/>
      </c>
      <c r="DF6" s="66">
        <f>IF(DC6=0,"",DD6/DC6)</f>
        <v/>
      </c>
      <c r="DG6" s="35" t="n"/>
      <c r="DH6" s="65">
        <f>DH7+DH8+DH9+DH10+DH11+DH12+DH13+DH14+DH15+DH16+DH17+DH18+DH19+DH20+DH21</f>
        <v/>
      </c>
      <c r="DI6" s="65">
        <f>DI7+DI8+DI9+DI10+DI11+DI12+DI13+DI14+DI15+DI16+DI17+DI18+DI19+DI20+DI21</f>
        <v/>
      </c>
      <c r="DJ6" s="65">
        <f>DI6-DH6</f>
        <v/>
      </c>
      <c r="DK6" s="66">
        <f>IF(DH6=0,"",DI6/DH6)</f>
        <v/>
      </c>
      <c r="DL6" s="35" t="n"/>
      <c r="DM6" s="65">
        <f>DM7+DM8+DM9+DM10+DM11+DM12+DM13+DM14+DM15+DM16+DM17+DM18+DM19+DM20+DM21</f>
        <v/>
      </c>
      <c r="DN6" s="65">
        <f>DN7+DN8+DN9+DN10+DN11+DN12+DN13+DN14+DN15+DN16+DN17+DN18+DN19+DN20+DN21</f>
        <v/>
      </c>
      <c r="DO6" s="65">
        <f>DN6-DM6</f>
        <v/>
      </c>
      <c r="DP6" s="66">
        <f>IF(DM6=0,"",DN6/DM6)</f>
        <v/>
      </c>
      <c r="DQ6" s="35" t="n"/>
      <c r="DR6" s="65">
        <f>DR7+DR8+DR9+DR10+DR11+DR12+DR13+DR14+DR15+DR16+DR17+DR18+DR19+DR20+DR21</f>
        <v/>
      </c>
    </row>
    <row r="7" outlineLevel="1" ht="15" customHeight="1">
      <c r="A7" s="24" t="n"/>
      <c r="B7" s="24" t="n"/>
      <c r="C7" s="24" t="n"/>
      <c r="D7" s="24" t="n"/>
      <c r="E7" s="24" t="n"/>
      <c r="F7" s="24" t="n"/>
      <c r="G7" s="60" t="n"/>
      <c r="H7" s="60" t="n"/>
      <c r="I7" s="60">
        <f>H7-G7</f>
        <v/>
      </c>
      <c r="J7" s="61">
        <f>IF(G7=0,"",H7/G7)</f>
        <v/>
      </c>
      <c r="K7" s="27" t="n"/>
      <c r="L7" s="60" t="n"/>
      <c r="M7" s="60" t="n"/>
      <c r="N7" s="60">
        <f>M7-L7</f>
        <v/>
      </c>
      <c r="O7" s="61">
        <f>IF(L7=0,"",M7/L7)</f>
        <v/>
      </c>
      <c r="P7" s="27" t="n"/>
      <c r="Q7" s="62" t="n"/>
      <c r="R7" s="62" t="n"/>
      <c r="S7" s="62">
        <f>R7-Q7</f>
        <v/>
      </c>
      <c r="T7" s="64">
        <f>IF(Q7=0,"",R7/Q7)</f>
        <v/>
      </c>
      <c r="U7" s="31" t="n"/>
      <c r="V7" s="60" t="n"/>
      <c r="W7" s="60" t="n"/>
      <c r="X7" s="60">
        <f>W7-V7</f>
        <v/>
      </c>
      <c r="Y7" s="61">
        <f>IF(V7=0,"",W7/V7)</f>
        <v/>
      </c>
      <c r="Z7" s="27" t="n"/>
      <c r="AA7" s="62" t="n"/>
      <c r="AB7" s="62" t="n"/>
      <c r="AC7" s="62">
        <f>AB7-AA7</f>
        <v/>
      </c>
      <c r="AD7" s="64">
        <f>IF(AA7=0,"",AB7/AA7)</f>
        <v/>
      </c>
      <c r="AE7" s="31" t="n"/>
      <c r="AF7" s="60" t="n"/>
      <c r="AG7" s="60" t="n"/>
      <c r="AH7" s="60">
        <f>AG7-AF7</f>
        <v/>
      </c>
      <c r="AI7" s="61">
        <f>IF(AF7=0,"",AG7/AF7)</f>
        <v/>
      </c>
      <c r="AJ7" s="27" t="n"/>
      <c r="AK7" s="62" t="n"/>
      <c r="AL7" s="62" t="n"/>
      <c r="AM7" s="62">
        <f>AL7-AK7</f>
        <v/>
      </c>
      <c r="AN7" s="64">
        <f>IF(AK7=0,"",AL7/AK7)</f>
        <v/>
      </c>
      <c r="AO7" s="31" t="n"/>
      <c r="AP7" s="60" t="n"/>
      <c r="AQ7" s="60" t="n"/>
      <c r="AR7" s="60">
        <f>AQ7-AP7</f>
        <v/>
      </c>
      <c r="AS7" s="61">
        <f>IF(AP7=0,"",AQ7/AP7)</f>
        <v/>
      </c>
      <c r="AT7" s="27" t="n"/>
      <c r="AU7" s="62" t="n"/>
      <c r="AV7" s="62" t="n"/>
      <c r="AW7" s="62">
        <f>AV7-AU7</f>
        <v/>
      </c>
      <c r="AX7" s="64">
        <f>IF(AU7=0,"",AV7/AU7)</f>
        <v/>
      </c>
      <c r="AY7" s="31" t="n"/>
      <c r="AZ7" s="60" t="n"/>
      <c r="BA7" s="60" t="n"/>
      <c r="BB7" s="60">
        <f>BA7-AZ7</f>
        <v/>
      </c>
      <c r="BC7" s="61">
        <f>IF(AZ7=0,"",BA7/AZ7)</f>
        <v/>
      </c>
      <c r="BD7" s="27" t="n"/>
      <c r="BE7" s="62" t="n"/>
      <c r="BF7" s="62" t="n"/>
      <c r="BG7" s="62">
        <f>BF7-BE7</f>
        <v/>
      </c>
      <c r="BH7" s="64">
        <f>IF(BE7=0,"",BF7/BE7)</f>
        <v/>
      </c>
      <c r="BI7" s="31" t="n"/>
      <c r="BJ7" s="60" t="n"/>
      <c r="BK7" s="60" t="n"/>
      <c r="BL7" s="60">
        <f>BK7-BJ7</f>
        <v/>
      </c>
      <c r="BM7" s="61">
        <f>IF(BJ7=0,"",BK7/BJ7)</f>
        <v/>
      </c>
      <c r="BN7" s="27" t="n"/>
      <c r="BO7" s="62" t="n"/>
      <c r="BP7" s="62" t="n"/>
      <c r="BQ7" s="62">
        <f>BP7-BO7</f>
        <v/>
      </c>
      <c r="BR7" s="64">
        <f>IF(BO7=0,"",BP7/BO7)</f>
        <v/>
      </c>
      <c r="BS7" s="31" t="n"/>
      <c r="BT7" s="60" t="n"/>
      <c r="BU7" s="60" t="n"/>
      <c r="BV7" s="60">
        <f>BU7-BT7</f>
        <v/>
      </c>
      <c r="BW7" s="61">
        <f>IF(BT7=0,"",BU7/BT7)</f>
        <v/>
      </c>
      <c r="BX7" s="27" t="n"/>
      <c r="BY7" s="62" t="n"/>
      <c r="BZ7" s="62" t="n"/>
      <c r="CA7" s="62">
        <f>BZ7-BY7</f>
        <v/>
      </c>
      <c r="CB7" s="64">
        <f>IF(BY7=0,"",BZ7/BY7)</f>
        <v/>
      </c>
      <c r="CC7" s="31" t="n"/>
      <c r="CD7" s="60" t="n"/>
      <c r="CE7" s="60" t="n"/>
      <c r="CF7" s="60">
        <f>CE7-CD7</f>
        <v/>
      </c>
      <c r="CG7" s="61">
        <f>IF(CD7=0,"",CE7/CD7)</f>
        <v/>
      </c>
      <c r="CH7" s="27" t="n"/>
      <c r="CI7" s="62" t="n"/>
      <c r="CJ7" s="62" t="n"/>
      <c r="CK7" s="62">
        <f>CJ7-CI7</f>
        <v/>
      </c>
      <c r="CL7" s="64">
        <f>IF(CI7=0,"",CJ7/CI7)</f>
        <v/>
      </c>
      <c r="CM7" s="31" t="n"/>
      <c r="CN7" s="60" t="n"/>
      <c r="CO7" s="60" t="n"/>
      <c r="CP7" s="60">
        <f>CO7-CN7</f>
        <v/>
      </c>
      <c r="CQ7" s="61">
        <f>IF(CN7=0,"",CO7/CN7)</f>
        <v/>
      </c>
      <c r="CR7" s="27" t="n"/>
      <c r="CS7" s="62" t="n"/>
      <c r="CT7" s="62" t="n"/>
      <c r="CU7" s="62">
        <f>CT7-CS7</f>
        <v/>
      </c>
      <c r="CV7" s="64">
        <f>IF(CS7=0,"",CT7/CS7)</f>
        <v/>
      </c>
      <c r="CW7" s="31" t="n"/>
      <c r="CX7" s="60" t="n"/>
      <c r="CY7" s="60" t="n"/>
      <c r="CZ7" s="60">
        <f>CY7-CX7</f>
        <v/>
      </c>
      <c r="DA7" s="61">
        <f>IF(CX7=0,"",CY7/CX7)</f>
        <v/>
      </c>
      <c r="DB7" s="27" t="n"/>
      <c r="DC7" s="62" t="n"/>
      <c r="DD7" s="62" t="n"/>
      <c r="DE7" s="62">
        <f>DD7-DC7</f>
        <v/>
      </c>
      <c r="DF7" s="64">
        <f>IF(DC7=0,"",DD7/DC7)</f>
        <v/>
      </c>
      <c r="DG7" s="31" t="n"/>
      <c r="DH7" s="60" t="n"/>
      <c r="DI7" s="60" t="n"/>
      <c r="DJ7" s="60">
        <f>DI7-DH7</f>
        <v/>
      </c>
      <c r="DK7" s="61">
        <f>IF(DH7=0,"",DI7/DH7)</f>
        <v/>
      </c>
      <c r="DL7" s="27" t="n"/>
      <c r="DM7" s="62" t="n"/>
      <c r="DN7" s="62" t="n"/>
      <c r="DO7" s="62">
        <f>DN7-DM7</f>
        <v/>
      </c>
      <c r="DP7" s="64">
        <f>IF(DM7=0,"",DN7/DM7)</f>
        <v/>
      </c>
      <c r="DQ7" s="31" t="n"/>
      <c r="DR7" s="60" t="n"/>
    </row>
    <row r="8" outlineLevel="1" ht="15" customHeight="1">
      <c r="A8" s="55" t="n"/>
      <c r="B8" s="55" t="n"/>
      <c r="C8" s="55" t="n"/>
      <c r="D8" s="24" t="n"/>
      <c r="E8" s="24" t="n"/>
      <c r="F8" s="24" t="n"/>
      <c r="G8" s="60" t="n"/>
      <c r="H8" s="60" t="n"/>
      <c r="I8" s="60">
        <f>H8-G8</f>
        <v/>
      </c>
      <c r="J8" s="61">
        <f>IF(G8=0,"",H8/G8)</f>
        <v/>
      </c>
      <c r="K8" s="27" t="n"/>
      <c r="L8" s="60" t="n"/>
      <c r="M8" s="60" t="n"/>
      <c r="N8" s="60">
        <f>M8-L8</f>
        <v/>
      </c>
      <c r="O8" s="61">
        <f>IF(L8=0,"",M8/L8)</f>
        <v/>
      </c>
      <c r="P8" s="27" t="n"/>
      <c r="Q8" s="62" t="n"/>
      <c r="R8" s="62" t="n"/>
      <c r="S8" s="63">
        <f>R8-Q8</f>
        <v/>
      </c>
      <c r="T8" s="64">
        <f>IF(Q8=0,"",R8/Q8)</f>
        <v/>
      </c>
      <c r="U8" s="31" t="n"/>
      <c r="V8" s="60" t="n"/>
      <c r="W8" s="60" t="n"/>
      <c r="X8" s="60">
        <f>W8-V8</f>
        <v/>
      </c>
      <c r="Y8" s="61">
        <f>IF(V8=0,"",W8/V8)</f>
        <v/>
      </c>
      <c r="Z8" s="27" t="n"/>
      <c r="AA8" s="62" t="n"/>
      <c r="AB8" s="62" t="n"/>
      <c r="AC8" s="63">
        <f>AB8-AA8</f>
        <v/>
      </c>
      <c r="AD8" s="64">
        <f>IF(AA8=0,"",AB8/AA8)</f>
        <v/>
      </c>
      <c r="AE8" s="31" t="n"/>
      <c r="AF8" s="60" t="n"/>
      <c r="AG8" s="60" t="n"/>
      <c r="AH8" s="60">
        <f>AG8-AF8</f>
        <v/>
      </c>
      <c r="AI8" s="61">
        <f>IF(AF8=0,"",AG8/AF8)</f>
        <v/>
      </c>
      <c r="AJ8" s="27" t="n"/>
      <c r="AK8" s="62" t="n"/>
      <c r="AL8" s="62" t="n"/>
      <c r="AM8" s="62">
        <f>AL8-AK8</f>
        <v/>
      </c>
      <c r="AN8" s="64">
        <f>IF(AK8=0,"",AL8/AK8)</f>
        <v/>
      </c>
      <c r="AO8" s="31" t="n"/>
      <c r="AP8" s="60" t="n"/>
      <c r="AQ8" s="60" t="n"/>
      <c r="AR8" s="60">
        <f>AQ8-AP8</f>
        <v/>
      </c>
      <c r="AS8" s="61">
        <f>IF(AP8=0,"",AQ8/AP8)</f>
        <v/>
      </c>
      <c r="AT8" s="27" t="n"/>
      <c r="AU8" s="62" t="n"/>
      <c r="AV8" s="62" t="n"/>
      <c r="AW8" s="62">
        <f>AV8-AU8</f>
        <v/>
      </c>
      <c r="AX8" s="64">
        <f>IF(AU8=0,"",AV8/AU8)</f>
        <v/>
      </c>
      <c r="AY8" s="31" t="n"/>
      <c r="AZ8" s="60" t="n"/>
      <c r="BA8" s="60" t="n"/>
      <c r="BB8" s="60">
        <f>BA8-AZ8</f>
        <v/>
      </c>
      <c r="BC8" s="61">
        <f>IF(AZ8=0,"",BA8/AZ8)</f>
        <v/>
      </c>
      <c r="BD8" s="27" t="n"/>
      <c r="BE8" s="62" t="n"/>
      <c r="BF8" s="62" t="n"/>
      <c r="BG8" s="62">
        <f>BF8-BE8</f>
        <v/>
      </c>
      <c r="BH8" s="64">
        <f>IF(BE8=0,"",BF8/BE8)</f>
        <v/>
      </c>
      <c r="BI8" s="31" t="n"/>
      <c r="BJ8" s="60" t="n"/>
      <c r="BK8" s="60" t="n"/>
      <c r="BL8" s="60">
        <f>BK8-BJ8</f>
        <v/>
      </c>
      <c r="BM8" s="61">
        <f>IF(BJ8=0,"",BK8/BJ8)</f>
        <v/>
      </c>
      <c r="BN8" s="27" t="n"/>
      <c r="BO8" s="62" t="n"/>
      <c r="BP8" s="62" t="n"/>
      <c r="BQ8" s="62">
        <f>BP8-BO8</f>
        <v/>
      </c>
      <c r="BR8" s="64">
        <f>IF(BO8=0,"",BP8/BO8)</f>
        <v/>
      </c>
      <c r="BS8" s="31" t="n"/>
      <c r="BT8" s="60" t="n"/>
      <c r="BU8" s="60" t="n"/>
      <c r="BV8" s="60">
        <f>BU8-BT8</f>
        <v/>
      </c>
      <c r="BW8" s="61">
        <f>IF(BT8=0,"",BU8/BT8)</f>
        <v/>
      </c>
      <c r="BX8" s="27" t="n"/>
      <c r="BY8" s="62" t="n"/>
      <c r="BZ8" s="62" t="n"/>
      <c r="CA8" s="62">
        <f>BZ8-BY8</f>
        <v/>
      </c>
      <c r="CB8" s="64">
        <f>IF(BY8=0,"",BZ8/BY8)</f>
        <v/>
      </c>
      <c r="CC8" s="31" t="n"/>
      <c r="CD8" s="60" t="n"/>
      <c r="CE8" s="60" t="n"/>
      <c r="CF8" s="60">
        <f>CE8-CD8</f>
        <v/>
      </c>
      <c r="CG8" s="61">
        <f>IF(CD8=0,"",CE8/CD8)</f>
        <v/>
      </c>
      <c r="CH8" s="27" t="n"/>
      <c r="CI8" s="62" t="n"/>
      <c r="CJ8" s="62" t="n"/>
      <c r="CK8" s="62">
        <f>CJ8-CI8</f>
        <v/>
      </c>
      <c r="CL8" s="64">
        <f>IF(CI8=0,"",CJ8/CI8)</f>
        <v/>
      </c>
      <c r="CM8" s="31" t="n"/>
      <c r="CN8" s="60" t="n"/>
      <c r="CO8" s="60" t="n"/>
      <c r="CP8" s="60">
        <f>CO8-CN8</f>
        <v/>
      </c>
      <c r="CQ8" s="61">
        <f>IF(CN8=0,"",CO8/CN8)</f>
        <v/>
      </c>
      <c r="CR8" s="27" t="n"/>
      <c r="CS8" s="62" t="n"/>
      <c r="CT8" s="62" t="n"/>
      <c r="CU8" s="62">
        <f>CT8-CS8</f>
        <v/>
      </c>
      <c r="CV8" s="64">
        <f>IF(CS8=0,"",CT8/CS8)</f>
        <v/>
      </c>
      <c r="CW8" s="31" t="n"/>
      <c r="CX8" s="60" t="n"/>
      <c r="CY8" s="60" t="n"/>
      <c r="CZ8" s="60">
        <f>CY8-CX8</f>
        <v/>
      </c>
      <c r="DA8" s="61">
        <f>IF(CX8=0,"",CY8/CX8)</f>
        <v/>
      </c>
      <c r="DB8" s="27" t="n"/>
      <c r="DC8" s="62" t="n"/>
      <c r="DD8" s="62" t="n"/>
      <c r="DE8" s="62">
        <f>DD8-DC8</f>
        <v/>
      </c>
      <c r="DF8" s="64">
        <f>IF(DC8=0,"",DD8/DC8)</f>
        <v/>
      </c>
      <c r="DG8" s="31" t="n"/>
      <c r="DH8" s="60" t="n"/>
      <c r="DI8" s="60" t="n"/>
      <c r="DJ8" s="60">
        <f>DI8-DH8</f>
        <v/>
      </c>
      <c r="DK8" s="61">
        <f>IF(DH8=0,"",DI8/DH8)</f>
        <v/>
      </c>
      <c r="DL8" s="27" t="n"/>
      <c r="DM8" s="62" t="n"/>
      <c r="DN8" s="62" t="n"/>
      <c r="DO8" s="62">
        <f>DN8-DM8</f>
        <v/>
      </c>
      <c r="DP8" s="64">
        <f>IF(DM8=0,"",DN8/DM8)</f>
        <v/>
      </c>
      <c r="DQ8" s="31" t="n"/>
      <c r="DR8" s="60" t="n"/>
    </row>
    <row r="9" outlineLevel="1" ht="15" customHeight="1">
      <c r="A9" s="24" t="n"/>
      <c r="B9" s="24" t="n"/>
      <c r="C9" s="24" t="n"/>
      <c r="D9" s="24" t="n"/>
      <c r="E9" s="24" t="n"/>
      <c r="F9" s="24" t="n"/>
      <c r="G9" s="60" t="n"/>
      <c r="H9" s="60" t="n"/>
      <c r="I9" s="60">
        <f>H9-G9</f>
        <v/>
      </c>
      <c r="J9" s="61">
        <f>IF(G9=0,"",H9/G9)</f>
        <v/>
      </c>
      <c r="K9" s="27" t="n"/>
      <c r="L9" s="60" t="n"/>
      <c r="M9" s="60" t="n"/>
      <c r="N9" s="60">
        <f>M9-L9</f>
        <v/>
      </c>
      <c r="O9" s="61">
        <f>IF(L9=0,"",M9/L9)</f>
        <v/>
      </c>
      <c r="P9" s="27" t="n"/>
      <c r="Q9" s="62" t="n"/>
      <c r="R9" s="62" t="n"/>
      <c r="S9" s="62">
        <f>R9-Q9</f>
        <v/>
      </c>
      <c r="T9" s="64">
        <f>IF(Q9=0,"",R9/Q9)</f>
        <v/>
      </c>
      <c r="U9" s="31" t="n"/>
      <c r="V9" s="60" t="n"/>
      <c r="W9" s="60" t="n"/>
      <c r="X9" s="60">
        <f>W9-V9</f>
        <v/>
      </c>
      <c r="Y9" s="61">
        <f>IF(V9=0,"",W9/V9)</f>
        <v/>
      </c>
      <c r="Z9" s="27" t="n"/>
      <c r="AA9" s="62" t="n"/>
      <c r="AB9" s="62" t="n"/>
      <c r="AC9" s="62">
        <f>AB9-AA9</f>
        <v/>
      </c>
      <c r="AD9" s="64">
        <f>IF(AA9=0,"",AB9/AA9)</f>
        <v/>
      </c>
      <c r="AE9" s="31" t="n"/>
      <c r="AF9" s="60" t="n"/>
      <c r="AG9" s="60" t="n"/>
      <c r="AH9" s="60">
        <f>AG9-AF9</f>
        <v/>
      </c>
      <c r="AI9" s="61">
        <f>IF(AF9=0,"",AG9/AF9)</f>
        <v/>
      </c>
      <c r="AJ9" s="27" t="n"/>
      <c r="AK9" s="62" t="n"/>
      <c r="AL9" s="62" t="n"/>
      <c r="AM9" s="62">
        <f>AL9-AK9</f>
        <v/>
      </c>
      <c r="AN9" s="64">
        <f>IF(AK9=0,"",AL9/AK9)</f>
        <v/>
      </c>
      <c r="AO9" s="31" t="n"/>
      <c r="AP9" s="60" t="n"/>
      <c r="AQ9" s="60" t="n"/>
      <c r="AR9" s="60">
        <f>AQ9-AP9</f>
        <v/>
      </c>
      <c r="AS9" s="61">
        <f>IF(AP9=0,"",AQ9/AP9)</f>
        <v/>
      </c>
      <c r="AT9" s="27" t="n"/>
      <c r="AU9" s="62" t="n"/>
      <c r="AV9" s="62" t="n"/>
      <c r="AW9" s="62">
        <f>AV9-AU9</f>
        <v/>
      </c>
      <c r="AX9" s="64">
        <f>IF(AU9=0,"",AV9/AU9)</f>
        <v/>
      </c>
      <c r="AY9" s="31" t="n"/>
      <c r="AZ9" s="60" t="n"/>
      <c r="BA9" s="60" t="n"/>
      <c r="BB9" s="60">
        <f>BA9-AZ9</f>
        <v/>
      </c>
      <c r="BC9" s="61">
        <f>IF(AZ9=0,"",BA9/AZ9)</f>
        <v/>
      </c>
      <c r="BD9" s="27" t="n"/>
      <c r="BE9" s="62" t="n"/>
      <c r="BF9" s="62" t="n"/>
      <c r="BG9" s="62">
        <f>BF9-BE9</f>
        <v/>
      </c>
      <c r="BH9" s="64">
        <f>IF(BE9=0,"",BF9/BE9)</f>
        <v/>
      </c>
      <c r="BI9" s="31" t="n"/>
      <c r="BJ9" s="60" t="n"/>
      <c r="BK9" s="60" t="n"/>
      <c r="BL9" s="60">
        <f>BK9-BJ9</f>
        <v/>
      </c>
      <c r="BM9" s="61">
        <f>IF(BJ9=0,"",BK9/BJ9)</f>
        <v/>
      </c>
      <c r="BN9" s="27" t="n"/>
      <c r="BO9" s="62" t="n"/>
      <c r="BP9" s="62" t="n"/>
      <c r="BQ9" s="62">
        <f>BP9-BO9</f>
        <v/>
      </c>
      <c r="BR9" s="64">
        <f>IF(BO9=0,"",BP9/BO9)</f>
        <v/>
      </c>
      <c r="BS9" s="31" t="n"/>
      <c r="BT9" s="60" t="n"/>
      <c r="BU9" s="60" t="n"/>
      <c r="BV9" s="60">
        <f>BU9-BT9</f>
        <v/>
      </c>
      <c r="BW9" s="61">
        <f>IF(BT9=0,"",BU9/BT9)</f>
        <v/>
      </c>
      <c r="BX9" s="27" t="n"/>
      <c r="BY9" s="62" t="n"/>
      <c r="BZ9" s="62" t="n"/>
      <c r="CA9" s="62">
        <f>BZ9-BY9</f>
        <v/>
      </c>
      <c r="CB9" s="64">
        <f>IF(BY9=0,"",BZ9/BY9)</f>
        <v/>
      </c>
      <c r="CC9" s="31" t="n"/>
      <c r="CD9" s="60" t="n"/>
      <c r="CE9" s="60" t="n"/>
      <c r="CF9" s="60">
        <f>CE9-CD9</f>
        <v/>
      </c>
      <c r="CG9" s="61">
        <f>IF(CD9=0,"",CE9/CD9)</f>
        <v/>
      </c>
      <c r="CH9" s="27" t="n"/>
      <c r="CI9" s="62" t="n"/>
      <c r="CJ9" s="62" t="n"/>
      <c r="CK9" s="62">
        <f>CJ9-CI9</f>
        <v/>
      </c>
      <c r="CL9" s="64">
        <f>IF(CI9=0,"",CJ9/CI9)</f>
        <v/>
      </c>
      <c r="CM9" s="31" t="n"/>
      <c r="CN9" s="60" t="n"/>
      <c r="CO9" s="60" t="n"/>
      <c r="CP9" s="60">
        <f>CO9-CN9</f>
        <v/>
      </c>
      <c r="CQ9" s="61">
        <f>IF(CN9=0,"",CO9/CN9)</f>
        <v/>
      </c>
      <c r="CR9" s="27" t="n"/>
      <c r="CS9" s="62" t="n"/>
      <c r="CT9" s="62" t="n"/>
      <c r="CU9" s="62">
        <f>CT9-CS9</f>
        <v/>
      </c>
      <c r="CV9" s="64">
        <f>IF(CS9=0,"",CT9/CS9)</f>
        <v/>
      </c>
      <c r="CW9" s="31" t="n"/>
      <c r="CX9" s="60" t="n"/>
      <c r="CY9" s="60" t="n"/>
      <c r="CZ9" s="60">
        <f>CY9-CX9</f>
        <v/>
      </c>
      <c r="DA9" s="61">
        <f>IF(CX9=0,"",CY9/CX9)</f>
        <v/>
      </c>
      <c r="DB9" s="27" t="n"/>
      <c r="DC9" s="62" t="n"/>
      <c r="DD9" s="62" t="n"/>
      <c r="DE9" s="62">
        <f>DD9-DC9</f>
        <v/>
      </c>
      <c r="DF9" s="64">
        <f>IF(DC9=0,"",DD9/DC9)</f>
        <v/>
      </c>
      <c r="DG9" s="31" t="n"/>
      <c r="DH9" s="60" t="n"/>
      <c r="DI9" s="60" t="n"/>
      <c r="DJ9" s="60">
        <f>DI9-DH9</f>
        <v/>
      </c>
      <c r="DK9" s="61">
        <f>IF(DH9=0,"",DI9/DH9)</f>
        <v/>
      </c>
      <c r="DL9" s="27" t="n"/>
      <c r="DM9" s="62" t="n"/>
      <c r="DN9" s="62" t="n"/>
      <c r="DO9" s="62">
        <f>DN9-DM9</f>
        <v/>
      </c>
      <c r="DP9" s="64">
        <f>IF(DM9=0,"",DN9/DM9)</f>
        <v/>
      </c>
      <c r="DQ9" s="31" t="n"/>
      <c r="DR9" s="60" t="n"/>
    </row>
    <row r="10" outlineLevel="1" ht="15" customHeight="1">
      <c r="A10" s="55" t="n"/>
      <c r="B10" s="55" t="n"/>
      <c r="C10" s="55" t="n"/>
      <c r="D10" s="24" t="n"/>
      <c r="E10" s="24" t="n"/>
      <c r="F10" s="24" t="n"/>
      <c r="G10" s="60" t="n"/>
      <c r="H10" s="60" t="n"/>
      <c r="I10" s="60">
        <f>H10-G10</f>
        <v/>
      </c>
      <c r="J10" s="61">
        <f>IF(G10=0,"",H10/G10)</f>
        <v/>
      </c>
      <c r="K10" s="27" t="n"/>
      <c r="L10" s="60" t="n"/>
      <c r="M10" s="60" t="n"/>
      <c r="N10" s="60">
        <f>M10-L10</f>
        <v/>
      </c>
      <c r="O10" s="61">
        <f>IF(L10=0,"",M10/L10)</f>
        <v/>
      </c>
      <c r="P10" s="27" t="n"/>
      <c r="Q10" s="62" t="n"/>
      <c r="R10" s="62" t="n"/>
      <c r="S10" s="62">
        <f>R10-Q10</f>
        <v/>
      </c>
      <c r="T10" s="64">
        <f>IF(Q10=0,"",R10/Q10)</f>
        <v/>
      </c>
      <c r="U10" s="31" t="n"/>
      <c r="V10" s="60" t="n"/>
      <c r="W10" s="60" t="n"/>
      <c r="X10" s="60">
        <f>W10-V10</f>
        <v/>
      </c>
      <c r="Y10" s="61">
        <f>IF(V10=0,"",W10/V10)</f>
        <v/>
      </c>
      <c r="Z10" s="27" t="n"/>
      <c r="AA10" s="62" t="n"/>
      <c r="AB10" s="62" t="n"/>
      <c r="AC10" s="62">
        <f>AB10-AA10</f>
        <v/>
      </c>
      <c r="AD10" s="64">
        <f>IF(AA10=0,"",AB10/AA10)</f>
        <v/>
      </c>
      <c r="AE10" s="31" t="n"/>
      <c r="AF10" s="60" t="n"/>
      <c r="AG10" s="60" t="n"/>
      <c r="AH10" s="60">
        <f>AG10-AF10</f>
        <v/>
      </c>
      <c r="AI10" s="61">
        <f>IF(AF10=0,"",AG10/AF10)</f>
        <v/>
      </c>
      <c r="AJ10" s="27" t="n"/>
      <c r="AK10" s="62" t="n"/>
      <c r="AL10" s="62" t="n"/>
      <c r="AM10" s="62">
        <f>AL10-AK10</f>
        <v/>
      </c>
      <c r="AN10" s="64">
        <f>IF(AK10=0,"",AL10/AK10)</f>
        <v/>
      </c>
      <c r="AO10" s="31" t="n"/>
      <c r="AP10" s="60" t="n"/>
      <c r="AQ10" s="60" t="n"/>
      <c r="AR10" s="60">
        <f>AQ10-AP10</f>
        <v/>
      </c>
      <c r="AS10" s="61">
        <f>IF(AP10=0,"",AQ10/AP10)</f>
        <v/>
      </c>
      <c r="AT10" s="27" t="n"/>
      <c r="AU10" s="62" t="n"/>
      <c r="AV10" s="62" t="n"/>
      <c r="AW10" s="62">
        <f>AV10-AU10</f>
        <v/>
      </c>
      <c r="AX10" s="64">
        <f>IF(AU10=0,"",AV10/AU10)</f>
        <v/>
      </c>
      <c r="AY10" s="31" t="n"/>
      <c r="AZ10" s="60" t="n"/>
      <c r="BA10" s="60" t="n"/>
      <c r="BB10" s="60">
        <f>BA10-AZ10</f>
        <v/>
      </c>
      <c r="BC10" s="61">
        <f>IF(AZ10=0,"",BA10/AZ10)</f>
        <v/>
      </c>
      <c r="BD10" s="27" t="n"/>
      <c r="BE10" s="62" t="n"/>
      <c r="BF10" s="62" t="n"/>
      <c r="BG10" s="62">
        <f>BF10-BE10</f>
        <v/>
      </c>
      <c r="BH10" s="64">
        <f>IF(BE10=0,"",BF10/BE10)</f>
        <v/>
      </c>
      <c r="BI10" s="31" t="n"/>
      <c r="BJ10" s="60" t="n"/>
      <c r="BK10" s="60" t="n"/>
      <c r="BL10" s="60">
        <f>BK10-BJ10</f>
        <v/>
      </c>
      <c r="BM10" s="61">
        <f>IF(BJ10=0,"",BK10/BJ10)</f>
        <v/>
      </c>
      <c r="BN10" s="27" t="n"/>
      <c r="BO10" s="62" t="n"/>
      <c r="BP10" s="62" t="n"/>
      <c r="BQ10" s="62">
        <f>BP10-BO10</f>
        <v/>
      </c>
      <c r="BR10" s="64">
        <f>IF(BO10=0,"",BP10/BO10)</f>
        <v/>
      </c>
      <c r="BS10" s="31" t="n"/>
      <c r="BT10" s="60" t="n"/>
      <c r="BU10" s="60" t="n"/>
      <c r="BV10" s="60">
        <f>BU10-BT10</f>
        <v/>
      </c>
      <c r="BW10" s="61">
        <f>IF(BT10=0,"",BU10/BT10)</f>
        <v/>
      </c>
      <c r="BX10" s="27" t="n"/>
      <c r="BY10" s="62" t="n"/>
      <c r="BZ10" s="62" t="n"/>
      <c r="CA10" s="62">
        <f>BZ10-BY10</f>
        <v/>
      </c>
      <c r="CB10" s="64">
        <f>IF(BY10=0,"",BZ10/BY10)</f>
        <v/>
      </c>
      <c r="CC10" s="31" t="n"/>
      <c r="CD10" s="60" t="n"/>
      <c r="CE10" s="60" t="n"/>
      <c r="CF10" s="60">
        <f>CE10-CD10</f>
        <v/>
      </c>
      <c r="CG10" s="61">
        <f>IF(CD10=0,"",CE10/CD10)</f>
        <v/>
      </c>
      <c r="CH10" s="27" t="n"/>
      <c r="CI10" s="62" t="n"/>
      <c r="CJ10" s="62" t="n"/>
      <c r="CK10" s="62">
        <f>CJ10-CI10</f>
        <v/>
      </c>
      <c r="CL10" s="64">
        <f>IF(CI10=0,"",CJ10/CI10)</f>
        <v/>
      </c>
      <c r="CM10" s="31" t="n"/>
      <c r="CN10" s="60" t="n"/>
      <c r="CO10" s="60" t="n"/>
      <c r="CP10" s="60">
        <f>CO10-CN10</f>
        <v/>
      </c>
      <c r="CQ10" s="61">
        <f>IF(CN10=0,"",CO10/CN10)</f>
        <v/>
      </c>
      <c r="CR10" s="27" t="n"/>
      <c r="CS10" s="62" t="n"/>
      <c r="CT10" s="62" t="n"/>
      <c r="CU10" s="62">
        <f>CT10-CS10</f>
        <v/>
      </c>
      <c r="CV10" s="64">
        <f>IF(CS10=0,"",CT10/CS10)</f>
        <v/>
      </c>
      <c r="CW10" s="31" t="n"/>
      <c r="CX10" s="60" t="n"/>
      <c r="CY10" s="60" t="n"/>
      <c r="CZ10" s="60">
        <f>CY10-CX10</f>
        <v/>
      </c>
      <c r="DA10" s="61">
        <f>IF(CX10=0,"",CY10/CX10)</f>
        <v/>
      </c>
      <c r="DB10" s="27" t="n"/>
      <c r="DC10" s="62" t="n"/>
      <c r="DD10" s="62" t="n"/>
      <c r="DE10" s="62">
        <f>DD10-DC10</f>
        <v/>
      </c>
      <c r="DF10" s="64">
        <f>IF(DC10=0,"",DD10/DC10)</f>
        <v/>
      </c>
      <c r="DG10" s="31" t="n"/>
      <c r="DH10" s="60" t="n"/>
      <c r="DI10" s="60" t="n"/>
      <c r="DJ10" s="60">
        <f>DI10-DH10</f>
        <v/>
      </c>
      <c r="DK10" s="61">
        <f>IF(DH10=0,"",DI10/DH10)</f>
        <v/>
      </c>
      <c r="DL10" s="27" t="n"/>
      <c r="DM10" s="62" t="n"/>
      <c r="DN10" s="62" t="n"/>
      <c r="DO10" s="62">
        <f>DN10-DM10</f>
        <v/>
      </c>
      <c r="DP10" s="64">
        <f>IF(DM10=0,"",DN10/DM10)</f>
        <v/>
      </c>
      <c r="DQ10" s="31" t="n"/>
      <c r="DR10" s="60" t="n"/>
    </row>
    <row r="11" outlineLevel="1" ht="15" customHeight="1">
      <c r="A11" s="24" t="n"/>
      <c r="B11" s="24" t="n"/>
      <c r="C11" s="36" t="n"/>
      <c r="D11" s="24" t="n"/>
      <c r="E11" s="24" t="n"/>
      <c r="F11" s="24" t="n"/>
      <c r="G11" s="60" t="n"/>
      <c r="H11" s="60" t="n"/>
      <c r="I11" s="60">
        <f>H11-G11</f>
        <v/>
      </c>
      <c r="J11" s="61">
        <f>IF(G11=0,"",H11/G11)</f>
        <v/>
      </c>
      <c r="K11" s="27" t="n"/>
      <c r="L11" s="60" t="n"/>
      <c r="M11" s="60" t="n"/>
      <c r="N11" s="60">
        <f>M11-L11</f>
        <v/>
      </c>
      <c r="O11" s="61">
        <f>IF(L11=0,"",M11/L11)</f>
        <v/>
      </c>
      <c r="P11" s="27" t="n"/>
      <c r="Q11" s="62" t="n"/>
      <c r="R11" s="62" t="n"/>
      <c r="S11" s="63">
        <f>R11-Q11</f>
        <v/>
      </c>
      <c r="T11" s="64">
        <f>IF(Q11=0,"",R11/Q11)</f>
        <v/>
      </c>
      <c r="U11" s="31" t="n"/>
      <c r="V11" s="60" t="n"/>
      <c r="W11" s="60" t="n"/>
      <c r="X11" s="60">
        <f>W11-V11</f>
        <v/>
      </c>
      <c r="Y11" s="61">
        <f>IF(V11=0,"",W11/V11)</f>
        <v/>
      </c>
      <c r="Z11" s="27" t="n"/>
      <c r="AA11" s="62" t="n"/>
      <c r="AB11" s="62" t="n"/>
      <c r="AC11" s="63">
        <f>AB11-AA11</f>
        <v/>
      </c>
      <c r="AD11" s="64">
        <f>IF(AA11=0,"",AB11/AA11)</f>
        <v/>
      </c>
      <c r="AE11" s="31" t="n"/>
      <c r="AF11" s="60" t="n"/>
      <c r="AG11" s="60" t="n"/>
      <c r="AH11" s="60">
        <f>AG11-AF11</f>
        <v/>
      </c>
      <c r="AI11" s="61">
        <f>IF(AF11=0,"",AG11/AF11)</f>
        <v/>
      </c>
      <c r="AJ11" s="27" t="n"/>
      <c r="AK11" s="62" t="n"/>
      <c r="AL11" s="62" t="n"/>
      <c r="AM11" s="62">
        <f>AL11-AK11</f>
        <v/>
      </c>
      <c r="AN11" s="64">
        <f>IF(AK11=0,"",AL11/AK11)</f>
        <v/>
      </c>
      <c r="AO11" s="31" t="n"/>
      <c r="AP11" s="60" t="n"/>
      <c r="AQ11" s="60" t="n"/>
      <c r="AR11" s="60">
        <f>AQ11-AP11</f>
        <v/>
      </c>
      <c r="AS11" s="61">
        <f>IF(AP11=0,"",AQ11/AP11)</f>
        <v/>
      </c>
      <c r="AT11" s="27" t="n"/>
      <c r="AU11" s="62" t="n"/>
      <c r="AV11" s="62" t="n"/>
      <c r="AW11" s="62">
        <f>AV11-AU11</f>
        <v/>
      </c>
      <c r="AX11" s="64">
        <f>IF(AU11=0,"",AV11/AU11)</f>
        <v/>
      </c>
      <c r="AY11" s="31" t="n"/>
      <c r="AZ11" s="60" t="n"/>
      <c r="BA11" s="60" t="n"/>
      <c r="BB11" s="60">
        <f>BA11-AZ11</f>
        <v/>
      </c>
      <c r="BC11" s="61">
        <f>IF(AZ11=0,"",BA11/AZ11)</f>
        <v/>
      </c>
      <c r="BD11" s="27" t="n"/>
      <c r="BE11" s="62" t="n"/>
      <c r="BF11" s="62" t="n"/>
      <c r="BG11" s="62">
        <f>BF11-BE11</f>
        <v/>
      </c>
      <c r="BH11" s="64">
        <f>IF(BE11=0,"",BF11/BE11)</f>
        <v/>
      </c>
      <c r="BI11" s="31" t="n"/>
      <c r="BJ11" s="60" t="n"/>
      <c r="BK11" s="60" t="n"/>
      <c r="BL11" s="60">
        <f>BK11-BJ11</f>
        <v/>
      </c>
      <c r="BM11" s="61">
        <f>IF(BJ11=0,"",BK11/BJ11)</f>
        <v/>
      </c>
      <c r="BN11" s="27" t="n"/>
      <c r="BO11" s="62" t="n"/>
      <c r="BP11" s="62" t="n"/>
      <c r="BQ11" s="62">
        <f>BP11-BO11</f>
        <v/>
      </c>
      <c r="BR11" s="64">
        <f>IF(BO11=0,"",BP11/BO11)</f>
        <v/>
      </c>
      <c r="BS11" s="31" t="n"/>
      <c r="BT11" s="60" t="n"/>
      <c r="BU11" s="60" t="n"/>
      <c r="BV11" s="60">
        <f>BU11-BT11</f>
        <v/>
      </c>
      <c r="BW11" s="61">
        <f>IF(BT11=0,"",BU11/BT11)</f>
        <v/>
      </c>
      <c r="BX11" s="27" t="n"/>
      <c r="BY11" s="62" t="n"/>
      <c r="BZ11" s="62" t="n"/>
      <c r="CA11" s="62">
        <f>BZ11-BY11</f>
        <v/>
      </c>
      <c r="CB11" s="64">
        <f>IF(BY11=0,"",BZ11/BY11)</f>
        <v/>
      </c>
      <c r="CC11" s="31" t="n"/>
      <c r="CD11" s="60" t="n"/>
      <c r="CE11" s="60" t="n"/>
      <c r="CF11" s="60">
        <f>CE11-CD11</f>
        <v/>
      </c>
      <c r="CG11" s="61">
        <f>IF(CD11=0,"",CE11/CD11)</f>
        <v/>
      </c>
      <c r="CH11" s="27" t="n"/>
      <c r="CI11" s="62" t="n"/>
      <c r="CJ11" s="62" t="n"/>
      <c r="CK11" s="62">
        <f>CJ11-CI11</f>
        <v/>
      </c>
      <c r="CL11" s="64">
        <f>IF(CI11=0,"",CJ11/CI11)</f>
        <v/>
      </c>
      <c r="CM11" s="31" t="n"/>
      <c r="CN11" s="60" t="n"/>
      <c r="CO11" s="60" t="n"/>
      <c r="CP11" s="60">
        <f>CO11-CN11</f>
        <v/>
      </c>
      <c r="CQ11" s="61">
        <f>IF(CN11=0,"",CO11/CN11)</f>
        <v/>
      </c>
      <c r="CR11" s="27" t="n"/>
      <c r="CS11" s="62" t="n"/>
      <c r="CT11" s="62" t="n"/>
      <c r="CU11" s="62">
        <f>CT11-CS11</f>
        <v/>
      </c>
      <c r="CV11" s="64">
        <f>IF(CS11=0,"",CT11/CS11)</f>
        <v/>
      </c>
      <c r="CW11" s="31" t="n"/>
      <c r="CX11" s="60" t="n"/>
      <c r="CY11" s="60" t="n"/>
      <c r="CZ11" s="60">
        <f>CY11-CX11</f>
        <v/>
      </c>
      <c r="DA11" s="61">
        <f>IF(CX11=0,"",CY11/CX11)</f>
        <v/>
      </c>
      <c r="DB11" s="27" t="n"/>
      <c r="DC11" s="62" t="n"/>
      <c r="DD11" s="62" t="n"/>
      <c r="DE11" s="62">
        <f>DD11-DC11</f>
        <v/>
      </c>
      <c r="DF11" s="64">
        <f>IF(DC11=0,"",DD11/DC11)</f>
        <v/>
      </c>
      <c r="DG11" s="31" t="n"/>
      <c r="DH11" s="60" t="n"/>
      <c r="DI11" s="60" t="n"/>
      <c r="DJ11" s="60">
        <f>DI11-DH11</f>
        <v/>
      </c>
      <c r="DK11" s="61">
        <f>IF(DH11=0,"",DI11/DH11)</f>
        <v/>
      </c>
      <c r="DL11" s="27" t="n"/>
      <c r="DM11" s="62" t="n"/>
      <c r="DN11" s="62" t="n"/>
      <c r="DO11" s="62">
        <f>DN11-DM11</f>
        <v/>
      </c>
      <c r="DP11" s="64">
        <f>IF(DM11=0,"",DN11/DM11)</f>
        <v/>
      </c>
      <c r="DQ11" s="31" t="n"/>
      <c r="DR11" s="60" t="n"/>
    </row>
    <row r="12" outlineLevel="1" ht="15" customHeight="1">
      <c r="A12" s="67" t="n"/>
      <c r="B12" s="67" t="n"/>
      <c r="C12" s="67" t="n"/>
      <c r="D12" s="24" t="n"/>
      <c r="E12" s="24" t="n"/>
      <c r="F12" s="24" t="n"/>
      <c r="G12" s="60" t="n"/>
      <c r="H12" s="60" t="n"/>
      <c r="I12" s="60">
        <f>H12-G12</f>
        <v/>
      </c>
      <c r="J12" s="61">
        <f>IF(G12=0,"",H12/G12)</f>
        <v/>
      </c>
      <c r="K12" s="27" t="n"/>
      <c r="L12" s="60" t="n"/>
      <c r="M12" s="60" t="n"/>
      <c r="N12" s="60">
        <f>M12-L12</f>
        <v/>
      </c>
      <c r="O12" s="61">
        <f>IF(L12=0,"",M12/L12)</f>
        <v/>
      </c>
      <c r="P12" s="27" t="n"/>
      <c r="Q12" s="62" t="n"/>
      <c r="R12" s="62" t="n"/>
      <c r="S12" s="62">
        <f>R12-Q12</f>
        <v/>
      </c>
      <c r="T12" s="64">
        <f>IF(Q12=0,"",R12/Q12)</f>
        <v/>
      </c>
      <c r="U12" s="31" t="n"/>
      <c r="V12" s="60" t="n"/>
      <c r="W12" s="60" t="n"/>
      <c r="X12" s="60">
        <f>W12-V12</f>
        <v/>
      </c>
      <c r="Y12" s="61">
        <f>IF(V12=0,"",W12/V12)</f>
        <v/>
      </c>
      <c r="Z12" s="27" t="n"/>
      <c r="AA12" s="62" t="n"/>
      <c r="AB12" s="62" t="n"/>
      <c r="AC12" s="62">
        <f>AB12-AA12</f>
        <v/>
      </c>
      <c r="AD12" s="64">
        <f>IF(AA12=0,"",AB12/AA12)</f>
        <v/>
      </c>
      <c r="AE12" s="31" t="n"/>
      <c r="AF12" s="60" t="n"/>
      <c r="AG12" s="60" t="n"/>
      <c r="AH12" s="60">
        <f>AG12-AF12</f>
        <v/>
      </c>
      <c r="AI12" s="61">
        <f>IF(AF12=0,"",AG12/AF12)</f>
        <v/>
      </c>
      <c r="AJ12" s="27" t="n"/>
      <c r="AK12" s="62" t="n"/>
      <c r="AL12" s="62" t="n"/>
      <c r="AM12" s="62">
        <f>AL12-AK12</f>
        <v/>
      </c>
      <c r="AN12" s="64">
        <f>IF(AK12=0,"",AL12/AK12)</f>
        <v/>
      </c>
      <c r="AO12" s="31" t="n"/>
      <c r="AP12" s="60" t="n"/>
      <c r="AQ12" s="60" t="n"/>
      <c r="AR12" s="60">
        <f>AQ12-AP12</f>
        <v/>
      </c>
      <c r="AS12" s="61">
        <f>IF(AP12=0,"",AQ12/AP12)</f>
        <v/>
      </c>
      <c r="AT12" s="27" t="n"/>
      <c r="AU12" s="62" t="n"/>
      <c r="AV12" s="62" t="n"/>
      <c r="AW12" s="62">
        <f>AV12-AU12</f>
        <v/>
      </c>
      <c r="AX12" s="64">
        <f>IF(AU12=0,"",AV12/AU12)</f>
        <v/>
      </c>
      <c r="AY12" s="31" t="n"/>
      <c r="AZ12" s="60" t="n"/>
      <c r="BA12" s="60" t="n"/>
      <c r="BB12" s="60">
        <f>BA12-AZ12</f>
        <v/>
      </c>
      <c r="BC12" s="61">
        <f>IF(AZ12=0,"",BA12/AZ12)</f>
        <v/>
      </c>
      <c r="BD12" s="27" t="n"/>
      <c r="BE12" s="62" t="n"/>
      <c r="BF12" s="62" t="n"/>
      <c r="BG12" s="62">
        <f>BF12-BE12</f>
        <v/>
      </c>
      <c r="BH12" s="64">
        <f>IF(BE12=0,"",BF12/BE12)</f>
        <v/>
      </c>
      <c r="BI12" s="31" t="n"/>
      <c r="BJ12" s="60" t="n"/>
      <c r="BK12" s="60" t="n"/>
      <c r="BL12" s="60">
        <f>BK12-BJ12</f>
        <v/>
      </c>
      <c r="BM12" s="61">
        <f>IF(BJ12=0,"",BK12/BJ12)</f>
        <v/>
      </c>
      <c r="BN12" s="27" t="n"/>
      <c r="BO12" s="62" t="n"/>
      <c r="BP12" s="62" t="n"/>
      <c r="BQ12" s="62">
        <f>BP12-BO12</f>
        <v/>
      </c>
      <c r="BR12" s="64">
        <f>IF(BO12=0,"",BP12/BO12)</f>
        <v/>
      </c>
      <c r="BS12" s="31" t="n"/>
      <c r="BT12" s="60" t="n"/>
      <c r="BU12" s="60" t="n"/>
      <c r="BV12" s="60">
        <f>BU12-BT12</f>
        <v/>
      </c>
      <c r="BW12" s="61">
        <f>IF(BT12=0,"",BU12/BT12)</f>
        <v/>
      </c>
      <c r="BX12" s="27" t="n"/>
      <c r="BY12" s="62" t="n"/>
      <c r="BZ12" s="62" t="n"/>
      <c r="CA12" s="62">
        <f>BZ12-BY12</f>
        <v/>
      </c>
      <c r="CB12" s="64">
        <f>IF(BY12=0,"",BZ12/BY12)</f>
        <v/>
      </c>
      <c r="CC12" s="31" t="n"/>
      <c r="CD12" s="60" t="n"/>
      <c r="CE12" s="60" t="n"/>
      <c r="CF12" s="60">
        <f>CE12-CD12</f>
        <v/>
      </c>
      <c r="CG12" s="61">
        <f>IF(CD12=0,"",CE12/CD12)</f>
        <v/>
      </c>
      <c r="CH12" s="27" t="n"/>
      <c r="CI12" s="62" t="n"/>
      <c r="CJ12" s="62" t="n"/>
      <c r="CK12" s="62">
        <f>CJ12-CI12</f>
        <v/>
      </c>
      <c r="CL12" s="64">
        <f>IF(CI12=0,"",CJ12/CI12)</f>
        <v/>
      </c>
      <c r="CM12" s="31" t="n"/>
      <c r="CN12" s="60" t="n"/>
      <c r="CO12" s="60" t="n"/>
      <c r="CP12" s="60">
        <f>CO12-CN12</f>
        <v/>
      </c>
      <c r="CQ12" s="61">
        <f>IF(CN12=0,"",CO12/CN12)</f>
        <v/>
      </c>
      <c r="CR12" s="27" t="n"/>
      <c r="CS12" s="62" t="n"/>
      <c r="CT12" s="62" t="n"/>
      <c r="CU12" s="62">
        <f>CT12-CS12</f>
        <v/>
      </c>
      <c r="CV12" s="64">
        <f>IF(CS12=0,"",CT12/CS12)</f>
        <v/>
      </c>
      <c r="CW12" s="31" t="n"/>
      <c r="CX12" s="60" t="n"/>
      <c r="CY12" s="60" t="n"/>
      <c r="CZ12" s="60">
        <f>CY12-CX12</f>
        <v/>
      </c>
      <c r="DA12" s="61">
        <f>IF(CX12=0,"",CY12/CX12)</f>
        <v/>
      </c>
      <c r="DB12" s="27" t="n"/>
      <c r="DC12" s="62" t="n"/>
      <c r="DD12" s="62" t="n"/>
      <c r="DE12" s="62">
        <f>DD12-DC12</f>
        <v/>
      </c>
      <c r="DF12" s="64">
        <f>IF(DC12=0,"",DD12/DC12)</f>
        <v/>
      </c>
      <c r="DG12" s="31" t="n"/>
      <c r="DH12" s="60" t="n"/>
      <c r="DI12" s="60" t="n"/>
      <c r="DJ12" s="60">
        <f>DI12-DH12</f>
        <v/>
      </c>
      <c r="DK12" s="61">
        <f>IF(DH12=0,"",DI12/DH12)</f>
        <v/>
      </c>
      <c r="DL12" s="27" t="n"/>
      <c r="DM12" s="62" t="n"/>
      <c r="DN12" s="62" t="n"/>
      <c r="DO12" s="62">
        <f>DN12-DM12</f>
        <v/>
      </c>
      <c r="DP12" s="64">
        <f>IF(DM12=0,"",DN12/DM12)</f>
        <v/>
      </c>
      <c r="DQ12" s="31" t="n"/>
      <c r="DR12" s="60" t="n"/>
    </row>
    <row r="13" outlineLevel="1" ht="15" customHeight="1">
      <c r="A13" s="55" t="n"/>
      <c r="B13" s="55" t="n"/>
      <c r="C13" s="55" t="n"/>
      <c r="D13" s="24" t="n"/>
      <c r="E13" s="24" t="n"/>
      <c r="F13" s="24" t="n"/>
      <c r="G13" s="60" t="n"/>
      <c r="H13" s="60" t="n"/>
      <c r="I13" s="60">
        <f>H13-G13</f>
        <v/>
      </c>
      <c r="J13" s="61">
        <f>IF(G13=0,"",H13/G13)</f>
        <v/>
      </c>
      <c r="K13" s="27" t="n"/>
      <c r="L13" s="60" t="n"/>
      <c r="M13" s="60" t="n"/>
      <c r="N13" s="60">
        <f>M13-L13</f>
        <v/>
      </c>
      <c r="O13" s="61">
        <f>IF(L13=0,"",M13/L13)</f>
        <v/>
      </c>
      <c r="P13" s="27" t="n"/>
      <c r="Q13" s="62" t="n"/>
      <c r="R13" s="62" t="n"/>
      <c r="S13" s="62">
        <f>R13-Q13</f>
        <v/>
      </c>
      <c r="T13" s="64">
        <f>IF(Q13=0,"",R13/Q13)</f>
        <v/>
      </c>
      <c r="U13" s="31" t="n"/>
      <c r="V13" s="60" t="n"/>
      <c r="W13" s="60" t="n"/>
      <c r="X13" s="60">
        <f>W13-V13</f>
        <v/>
      </c>
      <c r="Y13" s="61">
        <f>IF(V13=0,"",W13/V13)</f>
        <v/>
      </c>
      <c r="Z13" s="27" t="n"/>
      <c r="AA13" s="62" t="n"/>
      <c r="AB13" s="62" t="n"/>
      <c r="AC13" s="62">
        <f>AB13-AA13</f>
        <v/>
      </c>
      <c r="AD13" s="64">
        <f>IF(AA13=0,"",AB13/AA13)</f>
        <v/>
      </c>
      <c r="AE13" s="31" t="n"/>
      <c r="AF13" s="60" t="n"/>
      <c r="AG13" s="60" t="n"/>
      <c r="AH13" s="60">
        <f>AG13-AF13</f>
        <v/>
      </c>
      <c r="AI13" s="61">
        <f>IF(AF13=0,"",AG13/AF13)</f>
        <v/>
      </c>
      <c r="AJ13" s="27" t="n"/>
      <c r="AK13" s="62" t="n"/>
      <c r="AL13" s="62" t="n"/>
      <c r="AM13" s="62">
        <f>AL13-AK13</f>
        <v/>
      </c>
      <c r="AN13" s="64">
        <f>IF(AK13=0,"",AL13/AK13)</f>
        <v/>
      </c>
      <c r="AO13" s="31" t="n"/>
      <c r="AP13" s="60" t="n"/>
      <c r="AQ13" s="60" t="n"/>
      <c r="AR13" s="60">
        <f>AQ13-AP13</f>
        <v/>
      </c>
      <c r="AS13" s="61">
        <f>IF(AP13=0,"",AQ13/AP13)</f>
        <v/>
      </c>
      <c r="AT13" s="27" t="n"/>
      <c r="AU13" s="62" t="n"/>
      <c r="AV13" s="62" t="n"/>
      <c r="AW13" s="62">
        <f>AV13-AU13</f>
        <v/>
      </c>
      <c r="AX13" s="64">
        <f>IF(AU13=0,"",AV13/AU13)</f>
        <v/>
      </c>
      <c r="AY13" s="31" t="n"/>
      <c r="AZ13" s="60" t="n"/>
      <c r="BA13" s="60" t="n"/>
      <c r="BB13" s="60">
        <f>BA13-AZ13</f>
        <v/>
      </c>
      <c r="BC13" s="61">
        <f>IF(AZ13=0,"",BA13/AZ13)</f>
        <v/>
      </c>
      <c r="BD13" s="27" t="n"/>
      <c r="BE13" s="62" t="n"/>
      <c r="BF13" s="62" t="n"/>
      <c r="BG13" s="62">
        <f>BF13-BE13</f>
        <v/>
      </c>
      <c r="BH13" s="64">
        <f>IF(BE13=0,"",BF13/BE13)</f>
        <v/>
      </c>
      <c r="BI13" s="31" t="n"/>
      <c r="BJ13" s="60" t="n"/>
      <c r="BK13" s="60" t="n"/>
      <c r="BL13" s="60">
        <f>BK13-BJ13</f>
        <v/>
      </c>
      <c r="BM13" s="61">
        <f>IF(BJ13=0,"",BK13/BJ13)</f>
        <v/>
      </c>
      <c r="BN13" s="27" t="n"/>
      <c r="BO13" s="62" t="n"/>
      <c r="BP13" s="62" t="n"/>
      <c r="BQ13" s="62">
        <f>BP13-BO13</f>
        <v/>
      </c>
      <c r="BR13" s="64">
        <f>IF(BO13=0,"",BP13/BO13)</f>
        <v/>
      </c>
      <c r="BS13" s="31" t="n"/>
      <c r="BT13" s="60" t="n"/>
      <c r="BU13" s="60" t="n"/>
      <c r="BV13" s="60">
        <f>BU13-BT13</f>
        <v/>
      </c>
      <c r="BW13" s="61">
        <f>IF(BT13=0,"",BU13/BT13)</f>
        <v/>
      </c>
      <c r="BX13" s="27" t="n"/>
      <c r="BY13" s="62" t="n"/>
      <c r="BZ13" s="62" t="n"/>
      <c r="CA13" s="62">
        <f>BZ13-BY13</f>
        <v/>
      </c>
      <c r="CB13" s="64">
        <f>IF(BY13=0,"",BZ13/BY13)</f>
        <v/>
      </c>
      <c r="CC13" s="31" t="n"/>
      <c r="CD13" s="60" t="n"/>
      <c r="CE13" s="60" t="n"/>
      <c r="CF13" s="60">
        <f>CE13-CD13</f>
        <v/>
      </c>
      <c r="CG13" s="61">
        <f>IF(CD13=0,"",CE13/CD13)</f>
        <v/>
      </c>
      <c r="CH13" s="27" t="n"/>
      <c r="CI13" s="62" t="n"/>
      <c r="CJ13" s="62" t="n"/>
      <c r="CK13" s="62">
        <f>CJ13-CI13</f>
        <v/>
      </c>
      <c r="CL13" s="64">
        <f>IF(CI13=0,"",CJ13/CI13)</f>
        <v/>
      </c>
      <c r="CM13" s="31" t="n"/>
      <c r="CN13" s="60" t="n"/>
      <c r="CO13" s="60" t="n"/>
      <c r="CP13" s="60">
        <f>CO13-CN13</f>
        <v/>
      </c>
      <c r="CQ13" s="61">
        <f>IF(CN13=0,"",CO13/CN13)</f>
        <v/>
      </c>
      <c r="CR13" s="27" t="n"/>
      <c r="CS13" s="62" t="n"/>
      <c r="CT13" s="62" t="n"/>
      <c r="CU13" s="62">
        <f>CT13-CS13</f>
        <v/>
      </c>
      <c r="CV13" s="64">
        <f>IF(CS13=0,"",CT13/CS13)</f>
        <v/>
      </c>
      <c r="CW13" s="31" t="n"/>
      <c r="CX13" s="60" t="n"/>
      <c r="CY13" s="60" t="n"/>
      <c r="CZ13" s="60">
        <f>CY13-CX13</f>
        <v/>
      </c>
      <c r="DA13" s="61">
        <f>IF(CX13=0,"",CY13/CX13)</f>
        <v/>
      </c>
      <c r="DB13" s="27" t="n"/>
      <c r="DC13" s="62" t="n"/>
      <c r="DD13" s="62" t="n"/>
      <c r="DE13" s="62">
        <f>DD13-DC13</f>
        <v/>
      </c>
      <c r="DF13" s="64">
        <f>IF(DC13=0,"",DD13/DC13)</f>
        <v/>
      </c>
      <c r="DG13" s="31" t="n"/>
      <c r="DH13" s="60" t="n"/>
      <c r="DI13" s="60" t="n"/>
      <c r="DJ13" s="60">
        <f>DI13-DH13</f>
        <v/>
      </c>
      <c r="DK13" s="61">
        <f>IF(DH13=0,"",DI13/DH13)</f>
        <v/>
      </c>
      <c r="DL13" s="27" t="n"/>
      <c r="DM13" s="62" t="n"/>
      <c r="DN13" s="62" t="n"/>
      <c r="DO13" s="62">
        <f>DN13-DM13</f>
        <v/>
      </c>
      <c r="DP13" s="64">
        <f>IF(DM13=0,"",DN13/DM13)</f>
        <v/>
      </c>
      <c r="DQ13" s="31" t="n"/>
      <c r="DR13" s="60" t="n"/>
    </row>
    <row r="14" outlineLevel="1" ht="15" customHeight="1">
      <c r="A14" s="24" t="n"/>
      <c r="B14" s="24" t="n"/>
      <c r="C14" s="36" t="n"/>
      <c r="D14" s="24" t="n"/>
      <c r="E14" s="24" t="n"/>
      <c r="F14" s="24" t="n"/>
      <c r="G14" s="60" t="n"/>
      <c r="H14" s="60" t="n"/>
      <c r="I14" s="60">
        <f>H14-G14</f>
        <v/>
      </c>
      <c r="J14" s="61">
        <f>IF(G14=0,"",H14/G14)</f>
        <v/>
      </c>
      <c r="K14" s="27" t="n"/>
      <c r="L14" s="60" t="n"/>
      <c r="M14" s="60" t="n"/>
      <c r="N14" s="60">
        <f>M14-L14</f>
        <v/>
      </c>
      <c r="O14" s="61">
        <f>IF(L14=0,"",M14/L14)</f>
        <v/>
      </c>
      <c r="P14" s="27" t="n"/>
      <c r="Q14" s="62" t="n"/>
      <c r="R14" s="62" t="n"/>
      <c r="S14" s="62">
        <f>R14-Q14</f>
        <v/>
      </c>
      <c r="T14" s="64">
        <f>IF(Q14=0,"",R14/Q14)</f>
        <v/>
      </c>
      <c r="U14" s="31" t="n"/>
      <c r="V14" s="60" t="n"/>
      <c r="W14" s="60" t="n"/>
      <c r="X14" s="60">
        <f>W14-V14</f>
        <v/>
      </c>
      <c r="Y14" s="61">
        <f>IF(V14=0,"",W14/V14)</f>
        <v/>
      </c>
      <c r="Z14" s="27" t="n"/>
      <c r="AA14" s="62" t="n"/>
      <c r="AB14" s="62" t="n"/>
      <c r="AC14" s="62">
        <f>AB14-AA14</f>
        <v/>
      </c>
      <c r="AD14" s="64">
        <f>IF(AA14=0,"",AB14/AA14)</f>
        <v/>
      </c>
      <c r="AE14" s="31" t="n"/>
      <c r="AF14" s="60" t="n"/>
      <c r="AG14" s="60" t="n"/>
      <c r="AH14" s="60">
        <f>AG14-AF14</f>
        <v/>
      </c>
      <c r="AI14" s="61">
        <f>IF(AF14=0,"",AG14/AF14)</f>
        <v/>
      </c>
      <c r="AJ14" s="27" t="n"/>
      <c r="AK14" s="62" t="n"/>
      <c r="AL14" s="62" t="n"/>
      <c r="AM14" s="62">
        <f>AL14-AK14</f>
        <v/>
      </c>
      <c r="AN14" s="64">
        <f>IF(AK14=0,"",AL14/AK14)</f>
        <v/>
      </c>
      <c r="AO14" s="31" t="n"/>
      <c r="AP14" s="60" t="n"/>
      <c r="AQ14" s="60" t="n"/>
      <c r="AR14" s="60">
        <f>AQ14-AP14</f>
        <v/>
      </c>
      <c r="AS14" s="61">
        <f>IF(AP14=0,"",AQ14/AP14)</f>
        <v/>
      </c>
      <c r="AT14" s="27" t="n"/>
      <c r="AU14" s="62" t="n"/>
      <c r="AV14" s="62" t="n"/>
      <c r="AW14" s="62">
        <f>AV14-AU14</f>
        <v/>
      </c>
      <c r="AX14" s="64">
        <f>IF(AU14=0,"",AV14/AU14)</f>
        <v/>
      </c>
      <c r="AY14" s="31" t="n"/>
      <c r="AZ14" s="60" t="n"/>
      <c r="BA14" s="60" t="n"/>
      <c r="BB14" s="60">
        <f>BA14-AZ14</f>
        <v/>
      </c>
      <c r="BC14" s="61">
        <f>IF(AZ14=0,"",BA14/AZ14)</f>
        <v/>
      </c>
      <c r="BD14" s="27" t="n"/>
      <c r="BE14" s="62" t="n"/>
      <c r="BF14" s="62" t="n"/>
      <c r="BG14" s="62">
        <f>BF14-BE14</f>
        <v/>
      </c>
      <c r="BH14" s="64">
        <f>IF(BE14=0,"",BF14/BE14)</f>
        <v/>
      </c>
      <c r="BI14" s="31" t="n"/>
      <c r="BJ14" s="60" t="n"/>
      <c r="BK14" s="60" t="n"/>
      <c r="BL14" s="60">
        <f>BK14-BJ14</f>
        <v/>
      </c>
      <c r="BM14" s="61">
        <f>IF(BJ14=0,"",BK14/BJ14)</f>
        <v/>
      </c>
      <c r="BN14" s="27" t="n"/>
      <c r="BO14" s="62" t="n"/>
      <c r="BP14" s="62" t="n"/>
      <c r="BQ14" s="62">
        <f>BP14-BO14</f>
        <v/>
      </c>
      <c r="BR14" s="64">
        <f>IF(BO14=0,"",BP14/BO14)</f>
        <v/>
      </c>
      <c r="BS14" s="31" t="n"/>
      <c r="BT14" s="60" t="n"/>
      <c r="BU14" s="60" t="n"/>
      <c r="BV14" s="60">
        <f>BU14-BT14</f>
        <v/>
      </c>
      <c r="BW14" s="61">
        <f>IF(BT14=0,"",BU14/BT14)</f>
        <v/>
      </c>
      <c r="BX14" s="27" t="n"/>
      <c r="BY14" s="62" t="n"/>
      <c r="BZ14" s="62" t="n"/>
      <c r="CA14" s="62">
        <f>BZ14-BY14</f>
        <v/>
      </c>
      <c r="CB14" s="64">
        <f>IF(BY14=0,"",BZ14/BY14)</f>
        <v/>
      </c>
      <c r="CC14" s="31" t="n"/>
      <c r="CD14" s="60" t="n"/>
      <c r="CE14" s="60" t="n"/>
      <c r="CF14" s="60">
        <f>CE14-CD14</f>
        <v/>
      </c>
      <c r="CG14" s="61">
        <f>IF(CD14=0,"",CE14/CD14)</f>
        <v/>
      </c>
      <c r="CH14" s="27" t="n"/>
      <c r="CI14" s="62" t="n"/>
      <c r="CJ14" s="62" t="n"/>
      <c r="CK14" s="62">
        <f>CJ14-CI14</f>
        <v/>
      </c>
      <c r="CL14" s="64">
        <f>IF(CI14=0,"",CJ14/CI14)</f>
        <v/>
      </c>
      <c r="CM14" s="31" t="n"/>
      <c r="CN14" s="60" t="n"/>
      <c r="CO14" s="60" t="n"/>
      <c r="CP14" s="60">
        <f>CO14-CN14</f>
        <v/>
      </c>
      <c r="CQ14" s="61">
        <f>IF(CN14=0,"",CO14/CN14)</f>
        <v/>
      </c>
      <c r="CR14" s="27" t="n"/>
      <c r="CS14" s="62" t="n"/>
      <c r="CT14" s="62" t="n"/>
      <c r="CU14" s="62">
        <f>CT14-CS14</f>
        <v/>
      </c>
      <c r="CV14" s="64">
        <f>IF(CS14=0,"",CT14/CS14)</f>
        <v/>
      </c>
      <c r="CW14" s="31" t="n"/>
      <c r="CX14" s="60" t="n"/>
      <c r="CY14" s="60" t="n"/>
      <c r="CZ14" s="60">
        <f>CY14-CX14</f>
        <v/>
      </c>
      <c r="DA14" s="61">
        <f>IF(CX14=0,"",CY14/CX14)</f>
        <v/>
      </c>
      <c r="DB14" s="27" t="n"/>
      <c r="DC14" s="62" t="n"/>
      <c r="DD14" s="62" t="n"/>
      <c r="DE14" s="62">
        <f>DD14-DC14</f>
        <v/>
      </c>
      <c r="DF14" s="64">
        <f>IF(DC14=0,"",DD14/DC14)</f>
        <v/>
      </c>
      <c r="DG14" s="31" t="n"/>
      <c r="DH14" s="60" t="n"/>
      <c r="DI14" s="60" t="n"/>
      <c r="DJ14" s="60">
        <f>DI14-DH14</f>
        <v/>
      </c>
      <c r="DK14" s="61">
        <f>IF(DH14=0,"",DI14/DH14)</f>
        <v/>
      </c>
      <c r="DL14" s="27" t="n"/>
      <c r="DM14" s="62" t="n"/>
      <c r="DN14" s="62" t="n"/>
      <c r="DO14" s="62">
        <f>DN14-DM14</f>
        <v/>
      </c>
      <c r="DP14" s="64">
        <f>IF(DM14=0,"",DN14/DM14)</f>
        <v/>
      </c>
      <c r="DQ14" s="31" t="n"/>
      <c r="DR14" s="60" t="n"/>
    </row>
    <row r="15" outlineLevel="1" ht="15" customHeight="1">
      <c r="A15" s="55" t="n"/>
      <c r="B15" s="55" t="n"/>
      <c r="C15" s="55" t="n"/>
      <c r="D15" s="24" t="n"/>
      <c r="E15" s="24" t="n"/>
      <c r="F15" s="24" t="n"/>
      <c r="G15" s="60" t="n"/>
      <c r="H15" s="60" t="n"/>
      <c r="I15" s="60">
        <f>H15-G15</f>
        <v/>
      </c>
      <c r="J15" s="61">
        <f>IF(G15=0,"",H15/G15)</f>
        <v/>
      </c>
      <c r="K15" s="27" t="n"/>
      <c r="L15" s="60" t="n"/>
      <c r="M15" s="60" t="n"/>
      <c r="N15" s="60">
        <f>M15-L15</f>
        <v/>
      </c>
      <c r="O15" s="61">
        <f>IF(L15=0,"",M15/L15)</f>
        <v/>
      </c>
      <c r="P15" s="27" t="n"/>
      <c r="Q15" s="62" t="n"/>
      <c r="R15" s="62" t="n"/>
      <c r="S15" s="62">
        <f>R15-Q15</f>
        <v/>
      </c>
      <c r="T15" s="64">
        <f>IF(Q15=0,"",R15/Q15)</f>
        <v/>
      </c>
      <c r="U15" s="31" t="n"/>
      <c r="V15" s="60" t="n"/>
      <c r="W15" s="60" t="n"/>
      <c r="X15" s="60">
        <f>W15-V15</f>
        <v/>
      </c>
      <c r="Y15" s="61">
        <f>IF(V15=0,"",W15/V15)</f>
        <v/>
      </c>
      <c r="Z15" s="27" t="n"/>
      <c r="AA15" s="62" t="n"/>
      <c r="AB15" s="62" t="n"/>
      <c r="AC15" s="62">
        <f>AB15-AA15</f>
        <v/>
      </c>
      <c r="AD15" s="64">
        <f>IF(AA15=0,"",AB15/AA15)</f>
        <v/>
      </c>
      <c r="AE15" s="31" t="n"/>
      <c r="AF15" s="60" t="n"/>
      <c r="AG15" s="60" t="n"/>
      <c r="AH15" s="60">
        <f>AG15-AF15</f>
        <v/>
      </c>
      <c r="AI15" s="61">
        <f>IF(AF15=0,"",AG15/AF15)</f>
        <v/>
      </c>
      <c r="AJ15" s="27" t="n"/>
      <c r="AK15" s="62" t="n"/>
      <c r="AL15" s="62" t="n"/>
      <c r="AM15" s="62">
        <f>AL15-AK15</f>
        <v/>
      </c>
      <c r="AN15" s="64">
        <f>IF(AK15=0,"",AL15/AK15)</f>
        <v/>
      </c>
      <c r="AO15" s="31" t="n"/>
      <c r="AP15" s="60" t="n"/>
      <c r="AQ15" s="60" t="n"/>
      <c r="AR15" s="60">
        <f>AQ15-AP15</f>
        <v/>
      </c>
      <c r="AS15" s="61">
        <f>IF(AP15=0,"",AQ15/AP15)</f>
        <v/>
      </c>
      <c r="AT15" s="27" t="n"/>
      <c r="AU15" s="62" t="n"/>
      <c r="AV15" s="62" t="n"/>
      <c r="AW15" s="62">
        <f>AV15-AU15</f>
        <v/>
      </c>
      <c r="AX15" s="64">
        <f>IF(AU15=0,"",AV15/AU15)</f>
        <v/>
      </c>
      <c r="AY15" s="31" t="n"/>
      <c r="AZ15" s="60" t="n"/>
      <c r="BA15" s="60" t="n"/>
      <c r="BB15" s="60">
        <f>BA15-AZ15</f>
        <v/>
      </c>
      <c r="BC15" s="61">
        <f>IF(AZ15=0,"",BA15/AZ15)</f>
        <v/>
      </c>
      <c r="BD15" s="27" t="n"/>
      <c r="BE15" s="62" t="n"/>
      <c r="BF15" s="62" t="n"/>
      <c r="BG15" s="62">
        <f>BF15-BE15</f>
        <v/>
      </c>
      <c r="BH15" s="64">
        <f>IF(BE15=0,"",BF15/BE15)</f>
        <v/>
      </c>
      <c r="BI15" s="31" t="n"/>
      <c r="BJ15" s="60" t="n"/>
      <c r="BK15" s="60" t="n"/>
      <c r="BL15" s="60">
        <f>BK15-BJ15</f>
        <v/>
      </c>
      <c r="BM15" s="61">
        <f>IF(BJ15=0,"",BK15/BJ15)</f>
        <v/>
      </c>
      <c r="BN15" s="27" t="n"/>
      <c r="BO15" s="62" t="n"/>
      <c r="BP15" s="62" t="n"/>
      <c r="BQ15" s="62">
        <f>BP15-BO15</f>
        <v/>
      </c>
      <c r="BR15" s="64">
        <f>IF(BO15=0,"",BP15/BO15)</f>
        <v/>
      </c>
      <c r="BS15" s="31" t="n"/>
      <c r="BT15" s="60" t="n"/>
      <c r="BU15" s="60" t="n"/>
      <c r="BV15" s="60">
        <f>BU15-BT15</f>
        <v/>
      </c>
      <c r="BW15" s="61">
        <f>IF(BT15=0,"",BU15/BT15)</f>
        <v/>
      </c>
      <c r="BX15" s="27" t="n"/>
      <c r="BY15" s="62" t="n"/>
      <c r="BZ15" s="62" t="n"/>
      <c r="CA15" s="62">
        <f>BZ15-BY15</f>
        <v/>
      </c>
      <c r="CB15" s="64">
        <f>IF(BY15=0,"",BZ15/BY15)</f>
        <v/>
      </c>
      <c r="CC15" s="31" t="n"/>
      <c r="CD15" s="60" t="n"/>
      <c r="CE15" s="60" t="n"/>
      <c r="CF15" s="60">
        <f>CE15-CD15</f>
        <v/>
      </c>
      <c r="CG15" s="61">
        <f>IF(CD15=0,"",CE15/CD15)</f>
        <v/>
      </c>
      <c r="CH15" s="27" t="n"/>
      <c r="CI15" s="62" t="n"/>
      <c r="CJ15" s="62" t="n"/>
      <c r="CK15" s="62">
        <f>CJ15-CI15</f>
        <v/>
      </c>
      <c r="CL15" s="64">
        <f>IF(CI15=0,"",CJ15/CI15)</f>
        <v/>
      </c>
      <c r="CM15" s="31" t="n"/>
      <c r="CN15" s="60" t="n"/>
      <c r="CO15" s="60" t="n"/>
      <c r="CP15" s="60">
        <f>CO15-CN15</f>
        <v/>
      </c>
      <c r="CQ15" s="61">
        <f>IF(CN15=0,"",CO15/CN15)</f>
        <v/>
      </c>
      <c r="CR15" s="27" t="n"/>
      <c r="CS15" s="62" t="n"/>
      <c r="CT15" s="62" t="n"/>
      <c r="CU15" s="62">
        <f>CT15-CS15</f>
        <v/>
      </c>
      <c r="CV15" s="64">
        <f>IF(CS15=0,"",CT15/CS15)</f>
        <v/>
      </c>
      <c r="CW15" s="31" t="n"/>
      <c r="CX15" s="60" t="n"/>
      <c r="CY15" s="60" t="n"/>
      <c r="CZ15" s="60">
        <f>CY15-CX15</f>
        <v/>
      </c>
      <c r="DA15" s="61">
        <f>IF(CX15=0,"",CY15/CX15)</f>
        <v/>
      </c>
      <c r="DB15" s="27" t="n"/>
      <c r="DC15" s="62" t="n"/>
      <c r="DD15" s="62" t="n"/>
      <c r="DE15" s="62">
        <f>DD15-DC15</f>
        <v/>
      </c>
      <c r="DF15" s="64">
        <f>IF(DC15=0,"",DD15/DC15)</f>
        <v/>
      </c>
      <c r="DG15" s="31" t="n"/>
      <c r="DH15" s="60" t="n"/>
      <c r="DI15" s="60" t="n"/>
      <c r="DJ15" s="60">
        <f>DI15-DH15</f>
        <v/>
      </c>
      <c r="DK15" s="61">
        <f>IF(DH15=0,"",DI15/DH15)</f>
        <v/>
      </c>
      <c r="DL15" s="27" t="n"/>
      <c r="DM15" s="62" t="n"/>
      <c r="DN15" s="62" t="n"/>
      <c r="DO15" s="62">
        <f>DN15-DM15</f>
        <v/>
      </c>
      <c r="DP15" s="64">
        <f>IF(DM15=0,"",DN15/DM15)</f>
        <v/>
      </c>
      <c r="DQ15" s="31" t="n"/>
      <c r="DR15" s="60" t="n"/>
    </row>
    <row r="16" outlineLevel="1" ht="15" customHeight="1">
      <c r="A16" s="24" t="n"/>
      <c r="B16" s="24" t="n"/>
      <c r="C16" s="36" t="n"/>
      <c r="D16" s="24" t="n"/>
      <c r="E16" s="24" t="n"/>
      <c r="F16" s="24" t="n"/>
      <c r="G16" s="60" t="n"/>
      <c r="H16" s="60" t="n"/>
      <c r="I16" s="60">
        <f>H16-G16</f>
        <v/>
      </c>
      <c r="J16" s="61">
        <f>IF(G16=0,"",H16/G16)</f>
        <v/>
      </c>
      <c r="K16" s="27" t="n"/>
      <c r="L16" s="60" t="n"/>
      <c r="M16" s="60" t="n"/>
      <c r="N16" s="60">
        <f>M16-L16</f>
        <v/>
      </c>
      <c r="O16" s="61">
        <f>IF(L16=0,"",M16/L16)</f>
        <v/>
      </c>
      <c r="P16" s="27" t="n"/>
      <c r="Q16" s="62" t="n"/>
      <c r="R16" s="62" t="n"/>
      <c r="S16" s="62">
        <f>R16-Q16</f>
        <v/>
      </c>
      <c r="T16" s="64">
        <f>IF(Q16=0,"",R16/Q16)</f>
        <v/>
      </c>
      <c r="U16" s="31" t="n"/>
      <c r="V16" s="60" t="n"/>
      <c r="W16" s="60" t="n"/>
      <c r="X16" s="60">
        <f>W16-V16</f>
        <v/>
      </c>
      <c r="Y16" s="61">
        <f>IF(V16=0,"",W16/V16)</f>
        <v/>
      </c>
      <c r="Z16" s="27" t="n"/>
      <c r="AA16" s="62" t="n"/>
      <c r="AB16" s="62" t="n"/>
      <c r="AC16" s="62">
        <f>AB16-AA16</f>
        <v/>
      </c>
      <c r="AD16" s="64">
        <f>IF(AA16=0,"",AB16/AA16)</f>
        <v/>
      </c>
      <c r="AE16" s="31" t="n"/>
      <c r="AF16" s="60" t="n"/>
      <c r="AG16" s="60" t="n"/>
      <c r="AH16" s="60">
        <f>AG16-AF16</f>
        <v/>
      </c>
      <c r="AI16" s="61">
        <f>IF(AF16=0,"",AG16/AF16)</f>
        <v/>
      </c>
      <c r="AJ16" s="27" t="n"/>
      <c r="AK16" s="62" t="n"/>
      <c r="AL16" s="62" t="n"/>
      <c r="AM16" s="62">
        <f>AL16-AK16</f>
        <v/>
      </c>
      <c r="AN16" s="64">
        <f>IF(AK16=0,"",AL16/AK16)</f>
        <v/>
      </c>
      <c r="AO16" s="31" t="n"/>
      <c r="AP16" s="60" t="n"/>
      <c r="AQ16" s="60" t="n"/>
      <c r="AR16" s="60">
        <f>AQ16-AP16</f>
        <v/>
      </c>
      <c r="AS16" s="61">
        <f>IF(AP16=0,"",AQ16/AP16)</f>
        <v/>
      </c>
      <c r="AT16" s="27" t="n"/>
      <c r="AU16" s="62" t="n"/>
      <c r="AV16" s="62" t="n"/>
      <c r="AW16" s="62">
        <f>AV16-AU16</f>
        <v/>
      </c>
      <c r="AX16" s="64">
        <f>IF(AU16=0,"",AV16/AU16)</f>
        <v/>
      </c>
      <c r="AY16" s="31" t="n"/>
      <c r="AZ16" s="60" t="n"/>
      <c r="BA16" s="60" t="n"/>
      <c r="BB16" s="60">
        <f>BA16-AZ16</f>
        <v/>
      </c>
      <c r="BC16" s="61">
        <f>IF(AZ16=0,"",BA16/AZ16)</f>
        <v/>
      </c>
      <c r="BD16" s="27" t="n"/>
      <c r="BE16" s="62" t="n"/>
      <c r="BF16" s="62" t="n"/>
      <c r="BG16" s="62">
        <f>BF16-BE16</f>
        <v/>
      </c>
      <c r="BH16" s="64">
        <f>IF(BE16=0,"",BF16/BE16)</f>
        <v/>
      </c>
      <c r="BI16" s="31" t="n"/>
      <c r="BJ16" s="60" t="n"/>
      <c r="BK16" s="60" t="n"/>
      <c r="BL16" s="60">
        <f>BK16-BJ16</f>
        <v/>
      </c>
      <c r="BM16" s="61">
        <f>IF(BJ16=0,"",BK16/BJ16)</f>
        <v/>
      </c>
      <c r="BN16" s="27" t="n"/>
      <c r="BO16" s="62" t="n"/>
      <c r="BP16" s="62" t="n"/>
      <c r="BQ16" s="62">
        <f>BP16-BO16</f>
        <v/>
      </c>
      <c r="BR16" s="64">
        <f>IF(BO16=0,"",BP16/BO16)</f>
        <v/>
      </c>
      <c r="BS16" s="31" t="n"/>
      <c r="BT16" s="60" t="n"/>
      <c r="BU16" s="60" t="n"/>
      <c r="BV16" s="60">
        <f>BU16-BT16</f>
        <v/>
      </c>
      <c r="BW16" s="61">
        <f>IF(BT16=0,"",BU16/BT16)</f>
        <v/>
      </c>
      <c r="BX16" s="27" t="n"/>
      <c r="BY16" s="62" t="n"/>
      <c r="BZ16" s="62" t="n"/>
      <c r="CA16" s="62">
        <f>BZ16-BY16</f>
        <v/>
      </c>
      <c r="CB16" s="64">
        <f>IF(BY16=0,"",BZ16/BY16)</f>
        <v/>
      </c>
      <c r="CC16" s="31" t="n"/>
      <c r="CD16" s="60" t="n"/>
      <c r="CE16" s="60" t="n"/>
      <c r="CF16" s="60">
        <f>CE16-CD16</f>
        <v/>
      </c>
      <c r="CG16" s="61">
        <f>IF(CD16=0,"",CE16/CD16)</f>
        <v/>
      </c>
      <c r="CH16" s="27" t="n"/>
      <c r="CI16" s="62" t="n"/>
      <c r="CJ16" s="62" t="n"/>
      <c r="CK16" s="62">
        <f>CJ16-CI16</f>
        <v/>
      </c>
      <c r="CL16" s="64">
        <f>IF(CI16=0,"",CJ16/CI16)</f>
        <v/>
      </c>
      <c r="CM16" s="31" t="n"/>
      <c r="CN16" s="60" t="n"/>
      <c r="CO16" s="60" t="n"/>
      <c r="CP16" s="60">
        <f>CO16-CN16</f>
        <v/>
      </c>
      <c r="CQ16" s="61">
        <f>IF(CN16=0,"",CO16/CN16)</f>
        <v/>
      </c>
      <c r="CR16" s="27" t="n"/>
      <c r="CS16" s="62" t="n"/>
      <c r="CT16" s="62" t="n"/>
      <c r="CU16" s="62">
        <f>CT16-CS16</f>
        <v/>
      </c>
      <c r="CV16" s="64">
        <f>IF(CS16=0,"",CT16/CS16)</f>
        <v/>
      </c>
      <c r="CW16" s="31" t="n"/>
      <c r="CX16" s="60" t="n"/>
      <c r="CY16" s="60" t="n"/>
      <c r="CZ16" s="60">
        <f>CY16-CX16</f>
        <v/>
      </c>
      <c r="DA16" s="61">
        <f>IF(CX16=0,"",CY16/CX16)</f>
        <v/>
      </c>
      <c r="DB16" s="27" t="n"/>
      <c r="DC16" s="62" t="n"/>
      <c r="DD16" s="62" t="n"/>
      <c r="DE16" s="62">
        <f>DD16-DC16</f>
        <v/>
      </c>
      <c r="DF16" s="64">
        <f>IF(DC16=0,"",DD16/DC16)</f>
        <v/>
      </c>
      <c r="DG16" s="31" t="n"/>
      <c r="DH16" s="60" t="n"/>
      <c r="DI16" s="60" t="n"/>
      <c r="DJ16" s="60">
        <f>DI16-DH16</f>
        <v/>
      </c>
      <c r="DK16" s="61">
        <f>IF(DH16=0,"",DI16/DH16)</f>
        <v/>
      </c>
      <c r="DL16" s="27" t="n"/>
      <c r="DM16" s="62" t="n"/>
      <c r="DN16" s="62" t="n"/>
      <c r="DO16" s="62">
        <f>DN16-DM16</f>
        <v/>
      </c>
      <c r="DP16" s="64">
        <f>IF(DM16=0,"",DN16/DM16)</f>
        <v/>
      </c>
      <c r="DQ16" s="31" t="n"/>
      <c r="DR16" s="60" t="n"/>
    </row>
    <row r="17" outlineLevel="1" ht="15" customHeight="1">
      <c r="A17" s="24" t="n"/>
      <c r="B17" s="24" t="n"/>
      <c r="C17" s="36" t="n"/>
      <c r="D17" s="24" t="n"/>
      <c r="E17" s="24" t="n"/>
      <c r="F17" s="24" t="n"/>
      <c r="G17" s="60" t="n"/>
      <c r="H17" s="60" t="n"/>
      <c r="I17" s="60">
        <f>H17-G17</f>
        <v/>
      </c>
      <c r="J17" s="61">
        <f>IF(G17=0,"",H17/G17)</f>
        <v/>
      </c>
      <c r="K17" s="27" t="n"/>
      <c r="L17" s="60" t="n"/>
      <c r="M17" s="60" t="n"/>
      <c r="N17" s="60">
        <f>M17-L17</f>
        <v/>
      </c>
      <c r="O17" s="61">
        <f>IF(L17=0,"",M17/L17)</f>
        <v/>
      </c>
      <c r="P17" s="27" t="n"/>
      <c r="Q17" s="62" t="n"/>
      <c r="R17" s="62" t="n"/>
      <c r="S17" s="62">
        <f>R17-Q17</f>
        <v/>
      </c>
      <c r="T17" s="64">
        <f>IF(Q17=0,"",R17/Q17)</f>
        <v/>
      </c>
      <c r="U17" s="31" t="n"/>
      <c r="V17" s="60" t="n"/>
      <c r="W17" s="60" t="n"/>
      <c r="X17" s="60">
        <f>W17-V17</f>
        <v/>
      </c>
      <c r="Y17" s="61">
        <f>IF(V17=0,"",W17/V17)</f>
        <v/>
      </c>
      <c r="Z17" s="27" t="n"/>
      <c r="AA17" s="62" t="n"/>
      <c r="AB17" s="62" t="n"/>
      <c r="AC17" s="62">
        <f>AB17-AA17</f>
        <v/>
      </c>
      <c r="AD17" s="64">
        <f>IF(AA17=0,"",AB17/AA17)</f>
        <v/>
      </c>
      <c r="AE17" s="31" t="n"/>
      <c r="AF17" s="60" t="n"/>
      <c r="AG17" s="60" t="n"/>
      <c r="AH17" s="60">
        <f>AG17-AF17</f>
        <v/>
      </c>
      <c r="AI17" s="61">
        <f>IF(AF17=0,"",AG17/AF17)</f>
        <v/>
      </c>
      <c r="AJ17" s="27" t="n"/>
      <c r="AK17" s="62" t="n"/>
      <c r="AL17" s="62" t="n"/>
      <c r="AM17" s="62">
        <f>AL17-AK17</f>
        <v/>
      </c>
      <c r="AN17" s="64">
        <f>IF(AK17=0,"",AL17/AK17)</f>
        <v/>
      </c>
      <c r="AO17" s="31" t="n"/>
      <c r="AP17" s="60" t="n"/>
      <c r="AQ17" s="60" t="n"/>
      <c r="AR17" s="60">
        <f>AQ17-AP17</f>
        <v/>
      </c>
      <c r="AS17" s="61">
        <f>IF(AP17=0,"",AQ17/AP17)</f>
        <v/>
      </c>
      <c r="AT17" s="27" t="n"/>
      <c r="AU17" s="62" t="n"/>
      <c r="AV17" s="62" t="n"/>
      <c r="AW17" s="62">
        <f>AV17-AU17</f>
        <v/>
      </c>
      <c r="AX17" s="64">
        <f>IF(AU17=0,"",AV17/AU17)</f>
        <v/>
      </c>
      <c r="AY17" s="31" t="n"/>
      <c r="AZ17" s="60" t="n"/>
      <c r="BA17" s="60" t="n"/>
      <c r="BB17" s="60">
        <f>BA17-AZ17</f>
        <v/>
      </c>
      <c r="BC17" s="61">
        <f>IF(AZ17=0,"",BA17/AZ17)</f>
        <v/>
      </c>
      <c r="BD17" s="27" t="n"/>
      <c r="BE17" s="62" t="n"/>
      <c r="BF17" s="62" t="n"/>
      <c r="BG17" s="62">
        <f>BF17-BE17</f>
        <v/>
      </c>
      <c r="BH17" s="64">
        <f>IF(BE17=0,"",BF17/BE17)</f>
        <v/>
      </c>
      <c r="BI17" s="31" t="n"/>
      <c r="BJ17" s="60" t="n"/>
      <c r="BK17" s="60" t="n"/>
      <c r="BL17" s="60">
        <f>BK17-BJ17</f>
        <v/>
      </c>
      <c r="BM17" s="61">
        <f>IF(BJ17=0,"",BK17/BJ17)</f>
        <v/>
      </c>
      <c r="BN17" s="27" t="n"/>
      <c r="BO17" s="62" t="n"/>
      <c r="BP17" s="62" t="n"/>
      <c r="BQ17" s="62">
        <f>BP17-BO17</f>
        <v/>
      </c>
      <c r="BR17" s="64">
        <f>IF(BO17=0,"",BP17/BO17)</f>
        <v/>
      </c>
      <c r="BS17" s="31" t="n"/>
      <c r="BT17" s="60" t="n"/>
      <c r="BU17" s="60" t="n"/>
      <c r="BV17" s="60">
        <f>BU17-BT17</f>
        <v/>
      </c>
      <c r="BW17" s="61">
        <f>IF(BT17=0,"",BU17/BT17)</f>
        <v/>
      </c>
      <c r="BX17" s="27" t="n"/>
      <c r="BY17" s="62" t="n"/>
      <c r="BZ17" s="62" t="n"/>
      <c r="CA17" s="62">
        <f>BZ17-BY17</f>
        <v/>
      </c>
      <c r="CB17" s="64">
        <f>IF(BY17=0,"",BZ17/BY17)</f>
        <v/>
      </c>
      <c r="CC17" s="31" t="n"/>
      <c r="CD17" s="60" t="n"/>
      <c r="CE17" s="60" t="n"/>
      <c r="CF17" s="60">
        <f>CE17-CD17</f>
        <v/>
      </c>
      <c r="CG17" s="61">
        <f>IF(CD17=0,"",CE17/CD17)</f>
        <v/>
      </c>
      <c r="CH17" s="27" t="n"/>
      <c r="CI17" s="62" t="n"/>
      <c r="CJ17" s="62" t="n"/>
      <c r="CK17" s="62">
        <f>CJ17-CI17</f>
        <v/>
      </c>
      <c r="CL17" s="64">
        <f>IF(CI17=0,"",CJ17/CI17)</f>
        <v/>
      </c>
      <c r="CM17" s="31" t="n"/>
      <c r="CN17" s="60" t="n"/>
      <c r="CO17" s="60" t="n"/>
      <c r="CP17" s="60">
        <f>CO17-CN17</f>
        <v/>
      </c>
      <c r="CQ17" s="61">
        <f>IF(CN17=0,"",CO17/CN17)</f>
        <v/>
      </c>
      <c r="CR17" s="27" t="n"/>
      <c r="CS17" s="62" t="n"/>
      <c r="CT17" s="62" t="n"/>
      <c r="CU17" s="62">
        <f>CT17-CS17</f>
        <v/>
      </c>
      <c r="CV17" s="64">
        <f>IF(CS17=0,"",CT17/CS17)</f>
        <v/>
      </c>
      <c r="CW17" s="31" t="n"/>
      <c r="CX17" s="60" t="n"/>
      <c r="CY17" s="60" t="n"/>
      <c r="CZ17" s="60">
        <f>CY17-CX17</f>
        <v/>
      </c>
      <c r="DA17" s="61">
        <f>IF(CX17=0,"",CY17/CX17)</f>
        <v/>
      </c>
      <c r="DB17" s="27" t="n"/>
      <c r="DC17" s="62" t="n"/>
      <c r="DD17" s="62" t="n"/>
      <c r="DE17" s="62">
        <f>DD17-DC17</f>
        <v/>
      </c>
      <c r="DF17" s="64">
        <f>IF(DC17=0,"",DD17/DC17)</f>
        <v/>
      </c>
      <c r="DG17" s="31" t="n"/>
      <c r="DH17" s="60" t="n"/>
      <c r="DI17" s="60" t="n"/>
      <c r="DJ17" s="60">
        <f>DI17-DH17</f>
        <v/>
      </c>
      <c r="DK17" s="61">
        <f>IF(DH17=0,"",DI17/DH17)</f>
        <v/>
      </c>
      <c r="DL17" s="27" t="n"/>
      <c r="DM17" s="62" t="n"/>
      <c r="DN17" s="62" t="n"/>
      <c r="DO17" s="62">
        <f>DN17-DM17</f>
        <v/>
      </c>
      <c r="DP17" s="64">
        <f>IF(DM17=0,"",DN17/DM17)</f>
        <v/>
      </c>
      <c r="DQ17" s="31" t="n"/>
      <c r="DR17" s="60" t="n"/>
    </row>
    <row r="18" outlineLevel="1" ht="15" customHeight="1">
      <c r="A18" s="55" t="n"/>
      <c r="B18" s="55" t="n"/>
      <c r="C18" s="55" t="n"/>
      <c r="D18" s="24" t="n"/>
      <c r="E18" s="24" t="n"/>
      <c r="F18" s="24" t="n"/>
      <c r="G18" s="60" t="n"/>
      <c r="H18" s="60" t="n"/>
      <c r="I18" s="60">
        <f>H18-G18</f>
        <v/>
      </c>
      <c r="J18" s="61">
        <f>IF(G18=0,"",H18/G18)</f>
        <v/>
      </c>
      <c r="K18" s="27" t="n"/>
      <c r="L18" s="60" t="n"/>
      <c r="M18" s="60" t="n"/>
      <c r="N18" s="60">
        <f>M18-L18</f>
        <v/>
      </c>
      <c r="O18" s="61">
        <f>IF(L18=0,"",M18/L18)</f>
        <v/>
      </c>
      <c r="P18" s="27" t="n"/>
      <c r="Q18" s="62" t="n"/>
      <c r="R18" s="62" t="n"/>
      <c r="S18" s="63">
        <f>R18-Q18</f>
        <v/>
      </c>
      <c r="T18" s="64">
        <f>IF(Q18=0,"",R18/Q18)</f>
        <v/>
      </c>
      <c r="U18" s="31" t="n"/>
      <c r="V18" s="60" t="n"/>
      <c r="W18" s="60" t="n"/>
      <c r="X18" s="60">
        <f>W18-V18</f>
        <v/>
      </c>
      <c r="Y18" s="61">
        <f>IF(V18=0,"",W18/V18)</f>
        <v/>
      </c>
      <c r="Z18" s="27" t="n"/>
      <c r="AA18" s="62" t="n"/>
      <c r="AB18" s="62" t="n"/>
      <c r="AC18" s="63">
        <f>AB18-AA18</f>
        <v/>
      </c>
      <c r="AD18" s="64">
        <f>IF(AA18=0,"",AB18/AA18)</f>
        <v/>
      </c>
      <c r="AE18" s="31" t="n"/>
      <c r="AF18" s="60" t="n"/>
      <c r="AG18" s="60" t="n"/>
      <c r="AH18" s="60">
        <f>AG18-AF18</f>
        <v/>
      </c>
      <c r="AI18" s="61">
        <f>IF(AF18=0,"",AG18/AF18)</f>
        <v/>
      </c>
      <c r="AJ18" s="27" t="n"/>
      <c r="AK18" s="62" t="n"/>
      <c r="AL18" s="62" t="n"/>
      <c r="AM18" s="62">
        <f>AL18-AK18</f>
        <v/>
      </c>
      <c r="AN18" s="64">
        <f>IF(AK18=0,"",AL18/AK18)</f>
        <v/>
      </c>
      <c r="AO18" s="31" t="n"/>
      <c r="AP18" s="60" t="n"/>
      <c r="AQ18" s="60" t="n"/>
      <c r="AR18" s="60">
        <f>AQ18-AP18</f>
        <v/>
      </c>
      <c r="AS18" s="61">
        <f>IF(AP18=0,"",AQ18/AP18)</f>
        <v/>
      </c>
      <c r="AT18" s="27" t="n"/>
      <c r="AU18" s="62" t="n"/>
      <c r="AV18" s="62" t="n"/>
      <c r="AW18" s="62">
        <f>AV18-AU18</f>
        <v/>
      </c>
      <c r="AX18" s="64">
        <f>IF(AU18=0,"",AV18/AU18)</f>
        <v/>
      </c>
      <c r="AY18" s="31" t="n"/>
      <c r="AZ18" s="60" t="n"/>
      <c r="BA18" s="60" t="n"/>
      <c r="BB18" s="60">
        <f>BA18-AZ18</f>
        <v/>
      </c>
      <c r="BC18" s="61">
        <f>IF(AZ18=0,"",BA18/AZ18)</f>
        <v/>
      </c>
      <c r="BD18" s="27" t="n"/>
      <c r="BE18" s="62" t="n"/>
      <c r="BF18" s="62" t="n"/>
      <c r="BG18" s="62">
        <f>BF18-BE18</f>
        <v/>
      </c>
      <c r="BH18" s="64">
        <f>IF(BE18=0,"",BF18/BE18)</f>
        <v/>
      </c>
      <c r="BI18" s="31" t="n"/>
      <c r="BJ18" s="60" t="n"/>
      <c r="BK18" s="60" t="n"/>
      <c r="BL18" s="60">
        <f>BK18-BJ18</f>
        <v/>
      </c>
      <c r="BM18" s="61">
        <f>IF(BJ18=0,"",BK18/BJ18)</f>
        <v/>
      </c>
      <c r="BN18" s="27" t="n"/>
      <c r="BO18" s="62" t="n"/>
      <c r="BP18" s="62" t="n"/>
      <c r="BQ18" s="62">
        <f>BP18-BO18</f>
        <v/>
      </c>
      <c r="BR18" s="64">
        <f>IF(BO18=0,"",BP18/BO18)</f>
        <v/>
      </c>
      <c r="BS18" s="31" t="n"/>
      <c r="BT18" s="60" t="n"/>
      <c r="BU18" s="60" t="n"/>
      <c r="BV18" s="60">
        <f>BU18-BT18</f>
        <v/>
      </c>
      <c r="BW18" s="61">
        <f>IF(BT18=0,"",BU18/BT18)</f>
        <v/>
      </c>
      <c r="BX18" s="27" t="n"/>
      <c r="BY18" s="62" t="n"/>
      <c r="BZ18" s="62" t="n"/>
      <c r="CA18" s="62">
        <f>BZ18-BY18</f>
        <v/>
      </c>
      <c r="CB18" s="64">
        <f>IF(BY18=0,"",BZ18/BY18)</f>
        <v/>
      </c>
      <c r="CC18" s="31" t="n"/>
      <c r="CD18" s="60" t="n"/>
      <c r="CE18" s="60" t="n"/>
      <c r="CF18" s="60">
        <f>CE18-CD18</f>
        <v/>
      </c>
      <c r="CG18" s="61">
        <f>IF(CD18=0,"",CE18/CD18)</f>
        <v/>
      </c>
      <c r="CH18" s="27" t="n"/>
      <c r="CI18" s="62" t="n"/>
      <c r="CJ18" s="62" t="n"/>
      <c r="CK18" s="62">
        <f>CJ18-CI18</f>
        <v/>
      </c>
      <c r="CL18" s="64">
        <f>IF(CI18=0,"",CJ18/CI18)</f>
        <v/>
      </c>
      <c r="CM18" s="31" t="n"/>
      <c r="CN18" s="60" t="n"/>
      <c r="CO18" s="60" t="n"/>
      <c r="CP18" s="60">
        <f>CO18-CN18</f>
        <v/>
      </c>
      <c r="CQ18" s="61">
        <f>IF(CN18=0,"",CO18/CN18)</f>
        <v/>
      </c>
      <c r="CR18" s="27" t="n"/>
      <c r="CS18" s="62" t="n"/>
      <c r="CT18" s="62" t="n"/>
      <c r="CU18" s="62">
        <f>CT18-CS18</f>
        <v/>
      </c>
      <c r="CV18" s="64">
        <f>IF(CS18=0,"",CT18/CS18)</f>
        <v/>
      </c>
      <c r="CW18" s="31" t="n"/>
      <c r="CX18" s="60" t="n"/>
      <c r="CY18" s="60" t="n"/>
      <c r="CZ18" s="60">
        <f>CY18-CX18</f>
        <v/>
      </c>
      <c r="DA18" s="61">
        <f>IF(CX18=0,"",CY18/CX18)</f>
        <v/>
      </c>
      <c r="DB18" s="27" t="n"/>
      <c r="DC18" s="62" t="n"/>
      <c r="DD18" s="62" t="n"/>
      <c r="DE18" s="62">
        <f>DD18-DC18</f>
        <v/>
      </c>
      <c r="DF18" s="64">
        <f>IF(DC18=0,"",DD18/DC18)</f>
        <v/>
      </c>
      <c r="DG18" s="31" t="n"/>
      <c r="DH18" s="60" t="n"/>
      <c r="DI18" s="60" t="n"/>
      <c r="DJ18" s="60">
        <f>DI18-DH18</f>
        <v/>
      </c>
      <c r="DK18" s="61">
        <f>IF(DH18=0,"",DI18/DH18)</f>
        <v/>
      </c>
      <c r="DL18" s="27" t="n"/>
      <c r="DM18" s="62" t="n"/>
      <c r="DN18" s="62" t="n"/>
      <c r="DO18" s="62">
        <f>DN18-DM18</f>
        <v/>
      </c>
      <c r="DP18" s="64">
        <f>IF(DM18=0,"",DN18/DM18)</f>
        <v/>
      </c>
      <c r="DQ18" s="31" t="n"/>
      <c r="DR18" s="60" t="n"/>
    </row>
    <row r="19" outlineLevel="1" ht="15" customHeight="1">
      <c r="A19" s="24" t="n"/>
      <c r="B19" s="24" t="n"/>
      <c r="C19" s="36" t="n"/>
      <c r="D19" s="24" t="n"/>
      <c r="E19" s="24" t="n"/>
      <c r="F19" s="24" t="n"/>
      <c r="G19" s="60" t="n"/>
      <c r="H19" s="60" t="n"/>
      <c r="I19" s="60">
        <f>H19-G19</f>
        <v/>
      </c>
      <c r="J19" s="61">
        <f>IF(G19=0,"",H19/G19)</f>
        <v/>
      </c>
      <c r="K19" s="27" t="n"/>
      <c r="L19" s="60" t="n"/>
      <c r="M19" s="60" t="n"/>
      <c r="N19" s="60">
        <f>M19-L19</f>
        <v/>
      </c>
      <c r="O19" s="61">
        <f>IF(L19=0,"",M19/L19)</f>
        <v/>
      </c>
      <c r="P19" s="27" t="n"/>
      <c r="Q19" s="62" t="n"/>
      <c r="R19" s="62" t="n"/>
      <c r="S19" s="62">
        <f>R19-Q19</f>
        <v/>
      </c>
      <c r="T19" s="64">
        <f>IF(Q19=0,"",R19/Q19)</f>
        <v/>
      </c>
      <c r="U19" s="31" t="n"/>
      <c r="V19" s="60" t="n"/>
      <c r="W19" s="60" t="n"/>
      <c r="X19" s="60">
        <f>W19-V19</f>
        <v/>
      </c>
      <c r="Y19" s="61">
        <f>IF(V19=0,"",W19/V19)</f>
        <v/>
      </c>
      <c r="Z19" s="27" t="n"/>
      <c r="AA19" s="62" t="n"/>
      <c r="AB19" s="62" t="n"/>
      <c r="AC19" s="62">
        <f>AB19-AA19</f>
        <v/>
      </c>
      <c r="AD19" s="64">
        <f>IF(AA19=0,"",AB19/AA19)</f>
        <v/>
      </c>
      <c r="AE19" s="31" t="n"/>
      <c r="AF19" s="60" t="n"/>
      <c r="AG19" s="60" t="n"/>
      <c r="AH19" s="60">
        <f>AG19-AF19</f>
        <v/>
      </c>
      <c r="AI19" s="61">
        <f>IF(AF19=0,"",AG19/AF19)</f>
        <v/>
      </c>
      <c r="AJ19" s="27" t="n"/>
      <c r="AK19" s="62" t="n"/>
      <c r="AL19" s="62" t="n"/>
      <c r="AM19" s="62">
        <f>AL19-AK19</f>
        <v/>
      </c>
      <c r="AN19" s="64">
        <f>IF(AK19=0,"",AL19/AK19)</f>
        <v/>
      </c>
      <c r="AO19" s="31" t="n"/>
      <c r="AP19" s="60" t="n"/>
      <c r="AQ19" s="60" t="n"/>
      <c r="AR19" s="60">
        <f>AQ19-AP19</f>
        <v/>
      </c>
      <c r="AS19" s="61">
        <f>IF(AP19=0,"",AQ19/AP19)</f>
        <v/>
      </c>
      <c r="AT19" s="27" t="n"/>
      <c r="AU19" s="62" t="n"/>
      <c r="AV19" s="62" t="n"/>
      <c r="AW19" s="62">
        <f>AV19-AU19</f>
        <v/>
      </c>
      <c r="AX19" s="64">
        <f>IF(AU19=0,"",AV19/AU19)</f>
        <v/>
      </c>
      <c r="AY19" s="31" t="n"/>
      <c r="AZ19" s="60" t="n"/>
      <c r="BA19" s="60" t="n"/>
      <c r="BB19" s="60">
        <f>BA19-AZ19</f>
        <v/>
      </c>
      <c r="BC19" s="61">
        <f>IF(AZ19=0,"",BA19/AZ19)</f>
        <v/>
      </c>
      <c r="BD19" s="27" t="n"/>
      <c r="BE19" s="62" t="n"/>
      <c r="BF19" s="62" t="n"/>
      <c r="BG19" s="62">
        <f>BF19-BE19</f>
        <v/>
      </c>
      <c r="BH19" s="64">
        <f>IF(BE19=0,"",BF19/BE19)</f>
        <v/>
      </c>
      <c r="BI19" s="31" t="n"/>
      <c r="BJ19" s="60" t="n"/>
      <c r="BK19" s="60" t="n"/>
      <c r="BL19" s="60">
        <f>BK19-BJ19</f>
        <v/>
      </c>
      <c r="BM19" s="61">
        <f>IF(BJ19=0,"",BK19/BJ19)</f>
        <v/>
      </c>
      <c r="BN19" s="27" t="n"/>
      <c r="BO19" s="62" t="n"/>
      <c r="BP19" s="62" t="n"/>
      <c r="BQ19" s="62">
        <f>BP19-BO19</f>
        <v/>
      </c>
      <c r="BR19" s="64">
        <f>IF(BO19=0,"",BP19/BO19)</f>
        <v/>
      </c>
      <c r="BS19" s="31" t="n"/>
      <c r="BT19" s="60" t="n"/>
      <c r="BU19" s="60" t="n"/>
      <c r="BV19" s="60">
        <f>BU19-BT19</f>
        <v/>
      </c>
      <c r="BW19" s="61">
        <f>IF(BT19=0,"",BU19/BT19)</f>
        <v/>
      </c>
      <c r="BX19" s="27" t="n"/>
      <c r="BY19" s="62" t="n"/>
      <c r="BZ19" s="62" t="n"/>
      <c r="CA19" s="62">
        <f>BZ19-BY19</f>
        <v/>
      </c>
      <c r="CB19" s="64">
        <f>IF(BY19=0,"",BZ19/BY19)</f>
        <v/>
      </c>
      <c r="CC19" s="31" t="n"/>
      <c r="CD19" s="60" t="n"/>
      <c r="CE19" s="60" t="n"/>
      <c r="CF19" s="60">
        <f>CE19-CD19</f>
        <v/>
      </c>
      <c r="CG19" s="61">
        <f>IF(CD19=0,"",CE19/CD19)</f>
        <v/>
      </c>
      <c r="CH19" s="27" t="n"/>
      <c r="CI19" s="62" t="n"/>
      <c r="CJ19" s="62" t="n"/>
      <c r="CK19" s="62">
        <f>CJ19-CI19</f>
        <v/>
      </c>
      <c r="CL19" s="64">
        <f>IF(CI19=0,"",CJ19/CI19)</f>
        <v/>
      </c>
      <c r="CM19" s="31" t="n"/>
      <c r="CN19" s="60" t="n"/>
      <c r="CO19" s="60" t="n"/>
      <c r="CP19" s="60">
        <f>CO19-CN19</f>
        <v/>
      </c>
      <c r="CQ19" s="61">
        <f>IF(CN19=0,"",CO19/CN19)</f>
        <v/>
      </c>
      <c r="CR19" s="27" t="n"/>
      <c r="CS19" s="62" t="n"/>
      <c r="CT19" s="62" t="n"/>
      <c r="CU19" s="62">
        <f>CT19-CS19</f>
        <v/>
      </c>
      <c r="CV19" s="64">
        <f>IF(CS19=0,"",CT19/CS19)</f>
        <v/>
      </c>
      <c r="CW19" s="31" t="n"/>
      <c r="CX19" s="60" t="n"/>
      <c r="CY19" s="60" t="n"/>
      <c r="CZ19" s="60">
        <f>CY19-CX19</f>
        <v/>
      </c>
      <c r="DA19" s="61">
        <f>IF(CX19=0,"",CY19/CX19)</f>
        <v/>
      </c>
      <c r="DB19" s="27" t="n"/>
      <c r="DC19" s="62" t="n"/>
      <c r="DD19" s="62" t="n"/>
      <c r="DE19" s="62">
        <f>DD19-DC19</f>
        <v/>
      </c>
      <c r="DF19" s="64">
        <f>IF(DC19=0,"",DD19/DC19)</f>
        <v/>
      </c>
      <c r="DG19" s="31" t="n"/>
      <c r="DH19" s="60" t="n"/>
      <c r="DI19" s="60" t="n"/>
      <c r="DJ19" s="60">
        <f>DI19-DH19</f>
        <v/>
      </c>
      <c r="DK19" s="61">
        <f>IF(DH19=0,"",DI19/DH19)</f>
        <v/>
      </c>
      <c r="DL19" s="27" t="n"/>
      <c r="DM19" s="62" t="n"/>
      <c r="DN19" s="62" t="n"/>
      <c r="DO19" s="62">
        <f>DN19-DM19</f>
        <v/>
      </c>
      <c r="DP19" s="64">
        <f>IF(DM19=0,"",DN19/DM19)</f>
        <v/>
      </c>
      <c r="DQ19" s="31" t="n"/>
      <c r="DR19" s="60" t="n"/>
    </row>
    <row r="20" outlineLevel="1" ht="15" customHeight="1">
      <c r="A20" s="55" t="n"/>
      <c r="B20" s="55" t="n"/>
      <c r="C20" s="55" t="n"/>
      <c r="D20" s="24" t="n"/>
      <c r="E20" s="24" t="n"/>
      <c r="F20" s="24" t="n"/>
      <c r="G20" s="60" t="n"/>
      <c r="H20" s="60" t="n"/>
      <c r="I20" s="60">
        <f>H20-G20</f>
        <v/>
      </c>
      <c r="J20" s="61">
        <f>IF(G20=0,"",H20/G20)</f>
        <v/>
      </c>
      <c r="K20" s="27" t="n"/>
      <c r="L20" s="60" t="n"/>
      <c r="M20" s="60" t="n"/>
      <c r="N20" s="60">
        <f>M20-L20</f>
        <v/>
      </c>
      <c r="O20" s="61">
        <f>IF(L20=0,"",M20/L20)</f>
        <v/>
      </c>
      <c r="P20" s="27" t="n"/>
      <c r="Q20" s="62" t="n"/>
      <c r="R20" s="62" t="n"/>
      <c r="S20" s="62">
        <f>R20-Q20</f>
        <v/>
      </c>
      <c r="T20" s="64">
        <f>IF(Q20=0,"",R20/Q20)</f>
        <v/>
      </c>
      <c r="U20" s="31" t="n"/>
      <c r="V20" s="60" t="n"/>
      <c r="W20" s="60" t="n"/>
      <c r="X20" s="60">
        <f>W20-V20</f>
        <v/>
      </c>
      <c r="Y20" s="61">
        <f>IF(V20=0,"",W20/V20)</f>
        <v/>
      </c>
      <c r="Z20" s="27" t="n"/>
      <c r="AA20" s="62" t="n"/>
      <c r="AB20" s="62" t="n"/>
      <c r="AC20" s="62">
        <f>AB20-AA20</f>
        <v/>
      </c>
      <c r="AD20" s="64">
        <f>IF(AA20=0,"",AB20/AA20)</f>
        <v/>
      </c>
      <c r="AE20" s="31" t="n"/>
      <c r="AF20" s="60" t="n"/>
      <c r="AG20" s="60" t="n"/>
      <c r="AH20" s="60">
        <f>AG20-AF20</f>
        <v/>
      </c>
      <c r="AI20" s="61">
        <f>IF(AF20=0,"",AG20/AF20)</f>
        <v/>
      </c>
      <c r="AJ20" s="27" t="n"/>
      <c r="AK20" s="62" t="n"/>
      <c r="AL20" s="62" t="n"/>
      <c r="AM20" s="62">
        <f>AL20-AK20</f>
        <v/>
      </c>
      <c r="AN20" s="64">
        <f>IF(AK20=0,"",AL20/AK20)</f>
        <v/>
      </c>
      <c r="AO20" s="31" t="n"/>
      <c r="AP20" s="60" t="n"/>
      <c r="AQ20" s="60" t="n"/>
      <c r="AR20" s="60">
        <f>AQ20-AP20</f>
        <v/>
      </c>
      <c r="AS20" s="61">
        <f>IF(AP20=0,"",AQ20/AP20)</f>
        <v/>
      </c>
      <c r="AT20" s="27" t="n"/>
      <c r="AU20" s="62" t="n"/>
      <c r="AV20" s="62" t="n"/>
      <c r="AW20" s="62">
        <f>AV20-AU20</f>
        <v/>
      </c>
      <c r="AX20" s="64">
        <f>IF(AU20=0,"",AV20/AU20)</f>
        <v/>
      </c>
      <c r="AY20" s="31" t="n"/>
      <c r="AZ20" s="60" t="n"/>
      <c r="BA20" s="60" t="n"/>
      <c r="BB20" s="60">
        <f>BA20-AZ20</f>
        <v/>
      </c>
      <c r="BC20" s="61">
        <f>IF(AZ20=0,"",BA20/AZ20)</f>
        <v/>
      </c>
      <c r="BD20" s="27" t="n"/>
      <c r="BE20" s="62" t="n"/>
      <c r="BF20" s="62" t="n"/>
      <c r="BG20" s="62">
        <f>BF20-BE20</f>
        <v/>
      </c>
      <c r="BH20" s="64">
        <f>IF(BE20=0,"",BF20/BE20)</f>
        <v/>
      </c>
      <c r="BI20" s="31" t="n"/>
      <c r="BJ20" s="60" t="n"/>
      <c r="BK20" s="60" t="n"/>
      <c r="BL20" s="60">
        <f>BK20-BJ20</f>
        <v/>
      </c>
      <c r="BM20" s="61">
        <f>IF(BJ20=0,"",BK20/BJ20)</f>
        <v/>
      </c>
      <c r="BN20" s="27" t="n"/>
      <c r="BO20" s="62" t="n"/>
      <c r="BP20" s="62" t="n"/>
      <c r="BQ20" s="62">
        <f>BP20-BO20</f>
        <v/>
      </c>
      <c r="BR20" s="64">
        <f>IF(BO20=0,"",BP20/BO20)</f>
        <v/>
      </c>
      <c r="BS20" s="31" t="n"/>
      <c r="BT20" s="60" t="n"/>
      <c r="BU20" s="60" t="n"/>
      <c r="BV20" s="60">
        <f>BU20-BT20</f>
        <v/>
      </c>
      <c r="BW20" s="61">
        <f>IF(BT20=0,"",BU20/BT20)</f>
        <v/>
      </c>
      <c r="BX20" s="27" t="n"/>
      <c r="BY20" s="62" t="n"/>
      <c r="BZ20" s="62" t="n"/>
      <c r="CA20" s="62">
        <f>BZ20-BY20</f>
        <v/>
      </c>
      <c r="CB20" s="64">
        <f>IF(BY20=0,"",BZ20/BY20)</f>
        <v/>
      </c>
      <c r="CC20" s="31" t="n"/>
      <c r="CD20" s="60" t="n"/>
      <c r="CE20" s="60" t="n"/>
      <c r="CF20" s="60">
        <f>CE20-CD20</f>
        <v/>
      </c>
      <c r="CG20" s="61">
        <f>IF(CD20=0,"",CE20/CD20)</f>
        <v/>
      </c>
      <c r="CH20" s="27" t="n"/>
      <c r="CI20" s="62" t="n"/>
      <c r="CJ20" s="62" t="n"/>
      <c r="CK20" s="62">
        <f>CJ20-CI20</f>
        <v/>
      </c>
      <c r="CL20" s="64">
        <f>IF(CI20=0,"",CJ20/CI20)</f>
        <v/>
      </c>
      <c r="CM20" s="31" t="n"/>
      <c r="CN20" s="60" t="n"/>
      <c r="CO20" s="60" t="n"/>
      <c r="CP20" s="60">
        <f>CO20-CN20</f>
        <v/>
      </c>
      <c r="CQ20" s="61">
        <f>IF(CN20=0,"",CO20/CN20)</f>
        <v/>
      </c>
      <c r="CR20" s="27" t="n"/>
      <c r="CS20" s="62" t="n"/>
      <c r="CT20" s="62" t="n"/>
      <c r="CU20" s="62">
        <f>CT20-CS20</f>
        <v/>
      </c>
      <c r="CV20" s="64">
        <f>IF(CS20=0,"",CT20/CS20)</f>
        <v/>
      </c>
      <c r="CW20" s="31" t="n"/>
      <c r="CX20" s="60" t="n"/>
      <c r="CY20" s="60" t="n"/>
      <c r="CZ20" s="60">
        <f>CY20-CX20</f>
        <v/>
      </c>
      <c r="DA20" s="61">
        <f>IF(CX20=0,"",CY20/CX20)</f>
        <v/>
      </c>
      <c r="DB20" s="27" t="n"/>
      <c r="DC20" s="62" t="n"/>
      <c r="DD20" s="62" t="n"/>
      <c r="DE20" s="62">
        <f>DD20-DC20</f>
        <v/>
      </c>
      <c r="DF20" s="64">
        <f>IF(DC20=0,"",DD20/DC20)</f>
        <v/>
      </c>
      <c r="DG20" s="31" t="n"/>
      <c r="DH20" s="60" t="n"/>
      <c r="DI20" s="60" t="n"/>
      <c r="DJ20" s="60">
        <f>DI20-DH20</f>
        <v/>
      </c>
      <c r="DK20" s="61">
        <f>IF(DH20=0,"",DI20/DH20)</f>
        <v/>
      </c>
      <c r="DL20" s="27" t="n"/>
      <c r="DM20" s="62" t="n"/>
      <c r="DN20" s="62" t="n"/>
      <c r="DO20" s="62">
        <f>DN20-DM20</f>
        <v/>
      </c>
      <c r="DP20" s="64">
        <f>IF(DM20=0,"",DN20/DM20)</f>
        <v/>
      </c>
      <c r="DQ20" s="31" t="n"/>
      <c r="DR20" s="60" t="n"/>
    </row>
    <row r="21" outlineLevel="1" ht="15" customHeight="1">
      <c r="A21" s="24" t="n"/>
      <c r="B21" s="24" t="n"/>
      <c r="C21" s="36" t="n"/>
      <c r="D21" s="24" t="n"/>
      <c r="E21" s="24" t="n"/>
      <c r="F21" s="24" t="n"/>
      <c r="G21" s="60" t="n"/>
      <c r="H21" s="60" t="n"/>
      <c r="I21" s="60">
        <f>H21-G21</f>
        <v/>
      </c>
      <c r="J21" s="61">
        <f>IF(G21=0,"",H21/G21)</f>
        <v/>
      </c>
      <c r="K21" s="27" t="n"/>
      <c r="L21" s="60" t="n"/>
      <c r="M21" s="60" t="n"/>
      <c r="N21" s="60">
        <f>M21-L21</f>
        <v/>
      </c>
      <c r="O21" s="61">
        <f>IF(L21=0,"",M21/L21)</f>
        <v/>
      </c>
      <c r="P21" s="27" t="n"/>
      <c r="Q21" s="62" t="n"/>
      <c r="R21" s="62" t="n"/>
      <c r="S21" s="62">
        <f>R21-Q21</f>
        <v/>
      </c>
      <c r="T21" s="64">
        <f>IF(Q21=0,"",R21/Q21)</f>
        <v/>
      </c>
      <c r="U21" s="31" t="n"/>
      <c r="V21" s="60" t="n"/>
      <c r="W21" s="60" t="n"/>
      <c r="X21" s="60">
        <f>W21-V21</f>
        <v/>
      </c>
      <c r="Y21" s="61">
        <f>IF(V21=0,"",W21/V21)</f>
        <v/>
      </c>
      <c r="Z21" s="27" t="n"/>
      <c r="AA21" s="62" t="n"/>
      <c r="AB21" s="62" t="n"/>
      <c r="AC21" s="62">
        <f>AB21-AA21</f>
        <v/>
      </c>
      <c r="AD21" s="64">
        <f>IF(AA21=0,"",AB21/AA21)</f>
        <v/>
      </c>
      <c r="AE21" s="31" t="n"/>
      <c r="AF21" s="60" t="n"/>
      <c r="AG21" s="60" t="n"/>
      <c r="AH21" s="60">
        <f>AG21-AF21</f>
        <v/>
      </c>
      <c r="AI21" s="61">
        <f>IF(AF21=0,"",AG21/AF21)</f>
        <v/>
      </c>
      <c r="AJ21" s="27" t="n"/>
      <c r="AK21" s="62" t="n"/>
      <c r="AL21" s="62" t="n"/>
      <c r="AM21" s="62">
        <f>AL21-AK21</f>
        <v/>
      </c>
      <c r="AN21" s="64">
        <f>IF(AK21=0,"",AL21/AK21)</f>
        <v/>
      </c>
      <c r="AO21" s="31" t="n"/>
      <c r="AP21" s="60" t="n"/>
      <c r="AQ21" s="60" t="n"/>
      <c r="AR21" s="60">
        <f>AQ21-AP21</f>
        <v/>
      </c>
      <c r="AS21" s="61">
        <f>IF(AP21=0,"",AQ21/AP21)</f>
        <v/>
      </c>
      <c r="AT21" s="27" t="n"/>
      <c r="AU21" s="62" t="n"/>
      <c r="AV21" s="62" t="n"/>
      <c r="AW21" s="62">
        <f>AV21-AU21</f>
        <v/>
      </c>
      <c r="AX21" s="64">
        <f>IF(AU21=0,"",AV21/AU21)</f>
        <v/>
      </c>
      <c r="AY21" s="31" t="n"/>
      <c r="AZ21" s="60" t="n"/>
      <c r="BA21" s="60" t="n"/>
      <c r="BB21" s="60">
        <f>BA21-AZ21</f>
        <v/>
      </c>
      <c r="BC21" s="61">
        <f>IF(AZ21=0,"",BA21/AZ21)</f>
        <v/>
      </c>
      <c r="BD21" s="27" t="n"/>
      <c r="BE21" s="62" t="n"/>
      <c r="BF21" s="62" t="n"/>
      <c r="BG21" s="62">
        <f>BF21-BE21</f>
        <v/>
      </c>
      <c r="BH21" s="64">
        <f>IF(BE21=0,"",BF21/BE21)</f>
        <v/>
      </c>
      <c r="BI21" s="31" t="n"/>
      <c r="BJ21" s="60" t="n"/>
      <c r="BK21" s="60" t="n"/>
      <c r="BL21" s="60">
        <f>BK21-BJ21</f>
        <v/>
      </c>
      <c r="BM21" s="61">
        <f>IF(BJ21=0,"",BK21/BJ21)</f>
        <v/>
      </c>
      <c r="BN21" s="27" t="n"/>
      <c r="BO21" s="62" t="n"/>
      <c r="BP21" s="62" t="n"/>
      <c r="BQ21" s="62">
        <f>BP21-BO21</f>
        <v/>
      </c>
      <c r="BR21" s="64">
        <f>IF(BO21=0,"",BP21/BO21)</f>
        <v/>
      </c>
      <c r="BS21" s="31" t="n"/>
      <c r="BT21" s="60" t="n"/>
      <c r="BU21" s="60" t="n"/>
      <c r="BV21" s="60">
        <f>BU21-BT21</f>
        <v/>
      </c>
      <c r="BW21" s="61">
        <f>IF(BT21=0,"",BU21/BT21)</f>
        <v/>
      </c>
      <c r="BX21" s="27" t="n"/>
      <c r="BY21" s="62" t="n"/>
      <c r="BZ21" s="62" t="n"/>
      <c r="CA21" s="62">
        <f>BZ21-BY21</f>
        <v/>
      </c>
      <c r="CB21" s="64">
        <f>IF(BY21=0,"",BZ21/BY21)</f>
        <v/>
      </c>
      <c r="CC21" s="31" t="n"/>
      <c r="CD21" s="60" t="n"/>
      <c r="CE21" s="60" t="n"/>
      <c r="CF21" s="60">
        <f>CE21-CD21</f>
        <v/>
      </c>
      <c r="CG21" s="61">
        <f>IF(CD21=0,"",CE21/CD21)</f>
        <v/>
      </c>
      <c r="CH21" s="27" t="n"/>
      <c r="CI21" s="62" t="n"/>
      <c r="CJ21" s="62" t="n"/>
      <c r="CK21" s="62">
        <f>CJ21-CI21</f>
        <v/>
      </c>
      <c r="CL21" s="64">
        <f>IF(CI21=0,"",CJ21/CI21)</f>
        <v/>
      </c>
      <c r="CM21" s="31" t="n"/>
      <c r="CN21" s="60" t="n"/>
      <c r="CO21" s="60" t="n"/>
      <c r="CP21" s="60">
        <f>CO21-CN21</f>
        <v/>
      </c>
      <c r="CQ21" s="61">
        <f>IF(CN21=0,"",CO21/CN21)</f>
        <v/>
      </c>
      <c r="CR21" s="27" t="n"/>
      <c r="CS21" s="62" t="n"/>
      <c r="CT21" s="62" t="n"/>
      <c r="CU21" s="62">
        <f>CT21-CS21</f>
        <v/>
      </c>
      <c r="CV21" s="64">
        <f>IF(CS21=0,"",CT21/CS21)</f>
        <v/>
      </c>
      <c r="CW21" s="31" t="n"/>
      <c r="CX21" s="60" t="n"/>
      <c r="CY21" s="60" t="n"/>
      <c r="CZ21" s="60">
        <f>CY21-CX21</f>
        <v/>
      </c>
      <c r="DA21" s="61">
        <f>IF(CX21=0,"",CY21/CX21)</f>
        <v/>
      </c>
      <c r="DB21" s="27" t="n"/>
      <c r="DC21" s="62" t="n"/>
      <c r="DD21" s="62" t="n"/>
      <c r="DE21" s="62">
        <f>DD21-DC21</f>
        <v/>
      </c>
      <c r="DF21" s="64">
        <f>IF(DC21=0,"",DD21/DC21)</f>
        <v/>
      </c>
      <c r="DG21" s="31" t="n"/>
      <c r="DH21" s="60" t="n"/>
      <c r="DI21" s="60" t="n"/>
      <c r="DJ21" s="60">
        <f>DI21-DH21</f>
        <v/>
      </c>
      <c r="DK21" s="61">
        <f>IF(DH21=0,"",DI21/DH21)</f>
        <v/>
      </c>
      <c r="DL21" s="27" t="n"/>
      <c r="DM21" s="62" t="n"/>
      <c r="DN21" s="62" t="n"/>
      <c r="DO21" s="62">
        <f>DN21-DM21</f>
        <v/>
      </c>
      <c r="DP21" s="64">
        <f>IF(DM21=0,"",DN21/DM21)</f>
        <v/>
      </c>
      <c r="DQ21" s="31" t="n"/>
      <c r="DR21" s="60" t="n"/>
    </row>
    <row r="22" ht="15" customHeight="1">
      <c r="A22" s="32" t="n"/>
      <c r="B22" s="32" t="n"/>
      <c r="C22" s="32" t="n"/>
      <c r="D22" s="32" t="n"/>
      <c r="E22" s="32" t="n"/>
      <c r="F22" s="32" t="n"/>
      <c r="G22" s="65">
        <f>G23+G24+G25+G26+G27+G28+G29+G30+G31+G32</f>
        <v/>
      </c>
      <c r="H22" s="65">
        <f>H23+H24+H25+H26+H27+H28+H29+H30+H31+H32</f>
        <v/>
      </c>
      <c r="I22" s="65">
        <f>H22-G22</f>
        <v/>
      </c>
      <c r="J22" s="66">
        <f>IF(G22=0,"",H22/G22)</f>
        <v/>
      </c>
      <c r="K22" s="35" t="n"/>
      <c r="L22" s="65">
        <f>L23+L24+L25+L26+L27+L28+L29+L30+L31+L32</f>
        <v/>
      </c>
      <c r="M22" s="65">
        <f>M23+M24+M25+M26+M27+M28+M29+M30+M31+M32</f>
        <v/>
      </c>
      <c r="N22" s="65">
        <f>M22-L22</f>
        <v/>
      </c>
      <c r="O22" s="66">
        <f>IF(L22=0,"",M22/L22)</f>
        <v/>
      </c>
      <c r="P22" s="35" t="n"/>
      <c r="Q22" s="65">
        <f>Q23+Q24+Q25+Q26+Q27+Q28+Q29+Q30+Q31+Q32</f>
        <v/>
      </c>
      <c r="R22" s="65">
        <f>R23+R24+R25+R26+R27+R28+R29+R30+R31+R32</f>
        <v/>
      </c>
      <c r="S22" s="65">
        <f>R22-Q22</f>
        <v/>
      </c>
      <c r="T22" s="66">
        <f>IF(Q22=0,"",R22/Q22)</f>
        <v/>
      </c>
      <c r="U22" s="35" t="n"/>
      <c r="V22" s="65">
        <f>V23+V24+V25+V26+V27+V28+V29+V30+V31+V32</f>
        <v/>
      </c>
      <c r="W22" s="65">
        <f>W23+W24+W25+W26+W27+W28+W29+W30+W31+W32</f>
        <v/>
      </c>
      <c r="X22" s="65">
        <f>W22-V22</f>
        <v/>
      </c>
      <c r="Y22" s="66">
        <f>IF(V22=0,"",W22/V22)</f>
        <v/>
      </c>
      <c r="Z22" s="35" t="n"/>
      <c r="AA22" s="65">
        <f>AA23+AA24+AA25+AA26+AA27+AA28+AA29+AA30+AA31+AA32</f>
        <v/>
      </c>
      <c r="AB22" s="65">
        <f>AB23+AB24+AB25+AB26+AB27+AB28+AB29+AB30+AB31+AB32</f>
        <v/>
      </c>
      <c r="AC22" s="65">
        <f>AB22-AA22</f>
        <v/>
      </c>
      <c r="AD22" s="66">
        <f>IF(AA22=0,"",AB22/AA22)</f>
        <v/>
      </c>
      <c r="AE22" s="35" t="n"/>
      <c r="AF22" s="65">
        <f>AF23+AF24+AF25+AF26+AF27+AF28+AF29+AF30+AF31+AF32</f>
        <v/>
      </c>
      <c r="AG22" s="65">
        <f>AG23+AG24+AG25+AG26+AG27+AG28+AG29+AG30+AG31+AG32</f>
        <v/>
      </c>
      <c r="AH22" s="65">
        <f>AG22-AF22</f>
        <v/>
      </c>
      <c r="AI22" s="66">
        <f>IF(AF22=0,"",AG22/AF22)</f>
        <v/>
      </c>
      <c r="AJ22" s="35" t="n"/>
      <c r="AK22" s="65">
        <f>AK23+AK24+AK25+AK26+AK27+AK28+AK29+AK30+AK31+AK32</f>
        <v/>
      </c>
      <c r="AL22" s="65">
        <f>AL23+AL24+AL25+AL26+AL27+AL28+AL29+AL30+AL31+AL32</f>
        <v/>
      </c>
      <c r="AM22" s="65">
        <f>AL22-AK22</f>
        <v/>
      </c>
      <c r="AN22" s="66">
        <f>IF(AK22=0,"",AL22/AK22)</f>
        <v/>
      </c>
      <c r="AO22" s="35" t="n"/>
      <c r="AP22" s="65">
        <f>AP23+AP24+AP25+AP26+AP27+AP28+AP29+AP30+AP31+AP32</f>
        <v/>
      </c>
      <c r="AQ22" s="65">
        <f>AQ23+AQ24+AQ25+AQ26+AQ27+AQ28+AQ29+AQ30+AQ31+AQ32</f>
        <v/>
      </c>
      <c r="AR22" s="65">
        <f>AQ22-AP22</f>
        <v/>
      </c>
      <c r="AS22" s="66">
        <f>IF(AP22=0,"",AQ22/AP22)</f>
        <v/>
      </c>
      <c r="AT22" s="35" t="n"/>
      <c r="AU22" s="65">
        <f>AU23+AU24+AU25+AU26+AU27+AU28+AU29+AU30+AU31+AU32</f>
        <v/>
      </c>
      <c r="AV22" s="65">
        <f>AV23+AV24+AV25+AV26+AV27+AV28+AV29+AV30+AV31+AV32</f>
        <v/>
      </c>
      <c r="AW22" s="65">
        <f>AV22-AU22</f>
        <v/>
      </c>
      <c r="AX22" s="66">
        <f>IF(AU22=0,"",AV22/AU22)</f>
        <v/>
      </c>
      <c r="AY22" s="35" t="n"/>
      <c r="AZ22" s="65">
        <f>AZ23+AZ24+AZ25+AZ26+AZ27+AZ28+AZ29+AZ30+AZ31+AZ32</f>
        <v/>
      </c>
      <c r="BA22" s="65">
        <f>BA23+BA24+BA25+BA26+BA27+BA28+BA29+BA30+BA31+BA32</f>
        <v/>
      </c>
      <c r="BB22" s="65">
        <f>BA22-AZ22</f>
        <v/>
      </c>
      <c r="BC22" s="66">
        <f>IF(AZ22=0,"",BA22/AZ22)</f>
        <v/>
      </c>
      <c r="BD22" s="35" t="n"/>
      <c r="BE22" s="65">
        <f>BE23+BE24+BE25+BE26+BE27+BE28+BE29+BE30+BE31+BE32</f>
        <v/>
      </c>
      <c r="BF22" s="65">
        <f>BF23+BF24+BF25+BF26+BF27+BF28+BF29+BF30+BF31+BF32</f>
        <v/>
      </c>
      <c r="BG22" s="65">
        <f>BF22-BE22</f>
        <v/>
      </c>
      <c r="BH22" s="66">
        <f>IF(BE22=0,"",BF22/BE22)</f>
        <v/>
      </c>
      <c r="BI22" s="35" t="n"/>
      <c r="BJ22" s="65">
        <f>BJ23+BJ24+BJ25+BJ26+BJ27+BJ28+BJ29+BJ30+BJ31+BJ32</f>
        <v/>
      </c>
      <c r="BK22" s="65">
        <f>BK23+BK24+BK25+BK26+BK27+BK28+BK29+BK30+BK31+BK32</f>
        <v/>
      </c>
      <c r="BL22" s="65">
        <f>BK22-BJ22</f>
        <v/>
      </c>
      <c r="BM22" s="66">
        <f>IF(BJ22=0,"",BK22/BJ22)</f>
        <v/>
      </c>
      <c r="BN22" s="35" t="n"/>
      <c r="BO22" s="65">
        <f>BO23+BO24+BO25+BO26+BO27+BO28+BO29+BO30+BO31+BO32</f>
        <v/>
      </c>
      <c r="BP22" s="65">
        <f>BP23+BP24+BP25+BP26+BP27+BP28+BP29+BP30+BP31+BP32</f>
        <v/>
      </c>
      <c r="BQ22" s="65">
        <f>BP22-BO22</f>
        <v/>
      </c>
      <c r="BR22" s="66">
        <f>IF(BO22=0,"",BP22/BO22)</f>
        <v/>
      </c>
      <c r="BS22" s="35" t="n"/>
      <c r="BT22" s="65">
        <f>BT23+BT24+BT25+BT26+BT27+BT28+BT29+BT30+BT31+BT32</f>
        <v/>
      </c>
      <c r="BU22" s="65">
        <f>BU23+BU24+BU25+BU26+BU27+BU28+BU29+BU30+BU31+BU32</f>
        <v/>
      </c>
      <c r="BV22" s="65">
        <f>BU22-BT22</f>
        <v/>
      </c>
      <c r="BW22" s="66">
        <f>IF(BT22=0,"",BU22/BT22)</f>
        <v/>
      </c>
      <c r="BX22" s="35" t="n"/>
      <c r="BY22" s="65">
        <f>BY23+BY24+BY25+BY26+BY27+BY28+BY29+BY30+BY31+BY32</f>
        <v/>
      </c>
      <c r="BZ22" s="65">
        <f>BZ23+BZ24+BZ25+BZ26+BZ27+BZ28+BZ29+BZ30+BZ31+BZ32</f>
        <v/>
      </c>
      <c r="CA22" s="65">
        <f>BZ22-BY22</f>
        <v/>
      </c>
      <c r="CB22" s="66">
        <f>IF(BY22=0,"",BZ22/BY22)</f>
        <v/>
      </c>
      <c r="CC22" s="35" t="n"/>
      <c r="CD22" s="65">
        <f>CD23+CD24+CD25+CD26+CD27+CD28+CD29+CD30+CD31+CD32</f>
        <v/>
      </c>
      <c r="CE22" s="65">
        <f>CE23+CE24+CE25+CE26+CE27+CE28+CE29+CE30+CE31+CE32</f>
        <v/>
      </c>
      <c r="CF22" s="65">
        <f>CE22-CD22</f>
        <v/>
      </c>
      <c r="CG22" s="66">
        <f>IF(CD22=0,"",CE22/CD22)</f>
        <v/>
      </c>
      <c r="CH22" s="35" t="n"/>
      <c r="CI22" s="65">
        <f>CI23+CI24+CI25+CI26+CI27+CI28+CI29+CI30+CI31+CI32</f>
        <v/>
      </c>
      <c r="CJ22" s="65">
        <f>CJ23+CJ24+CJ25+CJ26+CJ27+CJ28+CJ29+CJ30+CJ31+CJ32</f>
        <v/>
      </c>
      <c r="CK22" s="65">
        <f>CJ22-CI22</f>
        <v/>
      </c>
      <c r="CL22" s="66">
        <f>IF(CI22=0,"",CJ22/CI22)</f>
        <v/>
      </c>
      <c r="CM22" s="35" t="n"/>
      <c r="CN22" s="65">
        <f>CN23+CN24+CN25+CN26+CN27+CN28+CN29+CN30+CN31+CN32</f>
        <v/>
      </c>
      <c r="CO22" s="65">
        <f>CO23+CO24+CO25+CO26+CO27+CO28+CO29+CO30+CO31+CO32</f>
        <v/>
      </c>
      <c r="CP22" s="65">
        <f>CO22-CN22</f>
        <v/>
      </c>
      <c r="CQ22" s="66">
        <f>IF(CN22=0,"",CO22/CN22)</f>
        <v/>
      </c>
      <c r="CR22" s="35" t="n"/>
      <c r="CS22" s="65">
        <f>CS23+CS24+CS25+CS26+CS27+CS28+CS29+CS30+CS31+CS32</f>
        <v/>
      </c>
      <c r="CT22" s="65">
        <f>CT23+CT24+CT25+CT26+CT27+CT28+CT29+CT30+CT31+CT32</f>
        <v/>
      </c>
      <c r="CU22" s="65">
        <f>CT22-CS22</f>
        <v/>
      </c>
      <c r="CV22" s="66">
        <f>IF(CS22=0,"",CT22/CS22)</f>
        <v/>
      </c>
      <c r="CW22" s="35" t="n"/>
      <c r="CX22" s="65">
        <f>CX23+CX24+CX25+CX26+CX27+CX28+CX29+CX30+CX31+CX32</f>
        <v/>
      </c>
      <c r="CY22" s="65">
        <f>CY23+CY24+CY25+CY26+CY27+CY28+CY29+CY30+CY31+CY32</f>
        <v/>
      </c>
      <c r="CZ22" s="65">
        <f>CY22-CX22</f>
        <v/>
      </c>
      <c r="DA22" s="66">
        <f>IF(CX22=0,"",CY22/CX22)</f>
        <v/>
      </c>
      <c r="DB22" s="35" t="n"/>
      <c r="DC22" s="65">
        <f>DC23+DC24+DC25+DC26+DC27+DC28+DC29+DC30+DC31+DC32</f>
        <v/>
      </c>
      <c r="DD22" s="65">
        <f>DD23+DD24+DD25+DD26+DD27+DD28+DD29+DD30+DD31+DD32</f>
        <v/>
      </c>
      <c r="DE22" s="65">
        <f>DD22-DC22</f>
        <v/>
      </c>
      <c r="DF22" s="66">
        <f>IF(DC22=0,"",DD22/DC22)</f>
        <v/>
      </c>
      <c r="DG22" s="35" t="n"/>
      <c r="DH22" s="65">
        <f>DH23+DH24+DH25+DH26+DH27+DH28+DH29+DH30+DH31+DH32</f>
        <v/>
      </c>
      <c r="DI22" s="65">
        <f>DI23+DI24+DI25+DI26+DI27+DI28+DI29+DI30+DI31+DI32</f>
        <v/>
      </c>
      <c r="DJ22" s="65">
        <f>DI22-DH22</f>
        <v/>
      </c>
      <c r="DK22" s="66">
        <f>IF(DH22=0,"",DI22/DH22)</f>
        <v/>
      </c>
      <c r="DL22" s="35" t="n"/>
      <c r="DM22" s="65">
        <f>DM23+DM24+DM25+DM26+DM27+DM28+DM29+DM30+DM31+DM32</f>
        <v/>
      </c>
      <c r="DN22" s="65">
        <f>DN23+DN24+DN25+DN26+DN27+DN28+DN29+DN30+DN31+DN32</f>
        <v/>
      </c>
      <c r="DO22" s="65">
        <f>DN22-DM22</f>
        <v/>
      </c>
      <c r="DP22" s="66">
        <f>IF(DM22=0,"",DN22/DM22)</f>
        <v/>
      </c>
      <c r="DQ22" s="35" t="n"/>
      <c r="DR22" s="65">
        <f>DR23+DR24+DR25+DR26+DR27+DR28+DR29+DR30+DR31+DR32</f>
        <v/>
      </c>
    </row>
    <row r="23" outlineLevel="1" ht="15" customHeight="1">
      <c r="A23" s="24" t="n"/>
      <c r="B23" s="24" t="n"/>
      <c r="C23" s="24" t="n"/>
      <c r="D23" s="24" t="n"/>
      <c r="E23" s="24" t="n"/>
      <c r="F23" s="24" t="n"/>
      <c r="G23" s="60" t="n"/>
      <c r="H23" s="60" t="n"/>
      <c r="I23" s="60">
        <f>H23-G23</f>
        <v/>
      </c>
      <c r="J23" s="61">
        <f>IF(G23=0,"",H23/G23)</f>
        <v/>
      </c>
      <c r="K23" s="27" t="n"/>
      <c r="L23" s="60" t="n"/>
      <c r="M23" s="60" t="n"/>
      <c r="N23" s="60">
        <f>M23-L23</f>
        <v/>
      </c>
      <c r="O23" s="61">
        <f>IF(L23=0,"",M23/L23)</f>
        <v/>
      </c>
      <c r="P23" s="27" t="n"/>
      <c r="Q23" s="62" t="n"/>
      <c r="R23" s="62" t="n"/>
      <c r="S23" s="62">
        <f>R23-Q23</f>
        <v/>
      </c>
      <c r="T23" s="64">
        <f>IF(Q23=0,"",R23/Q23)</f>
        <v/>
      </c>
      <c r="U23" s="31" t="n"/>
      <c r="V23" s="60" t="n"/>
      <c r="W23" s="60" t="n"/>
      <c r="X23" s="60">
        <f>W23-V23</f>
        <v/>
      </c>
      <c r="Y23" s="61">
        <f>IF(V23=0,"",W23/V23)</f>
        <v/>
      </c>
      <c r="Z23" s="27" t="n"/>
      <c r="AA23" s="62" t="n"/>
      <c r="AB23" s="62" t="n"/>
      <c r="AC23" s="62">
        <f>AB23-AA23</f>
        <v/>
      </c>
      <c r="AD23" s="64">
        <f>IF(AA23=0,"",AB23/AA23)</f>
        <v/>
      </c>
      <c r="AE23" s="31" t="n"/>
      <c r="AF23" s="60" t="n"/>
      <c r="AG23" s="60" t="n"/>
      <c r="AH23" s="60">
        <f>AG23-AF23</f>
        <v/>
      </c>
      <c r="AI23" s="61">
        <f>IF(AF23=0,"",AG23/AF23)</f>
        <v/>
      </c>
      <c r="AJ23" s="27" t="n"/>
      <c r="AK23" s="62" t="n"/>
      <c r="AL23" s="62" t="n"/>
      <c r="AM23" s="62">
        <f>AL23-AK23</f>
        <v/>
      </c>
      <c r="AN23" s="64">
        <f>IF(AK23=0,"",AL23/AK23)</f>
        <v/>
      </c>
      <c r="AO23" s="31" t="n"/>
      <c r="AP23" s="60" t="n"/>
      <c r="AQ23" s="60" t="n"/>
      <c r="AR23" s="60">
        <f>AQ23-AP23</f>
        <v/>
      </c>
      <c r="AS23" s="61">
        <f>IF(AP23=0,"",AQ23/AP23)</f>
        <v/>
      </c>
      <c r="AT23" s="27" t="n"/>
      <c r="AU23" s="62" t="n"/>
      <c r="AV23" s="62" t="n"/>
      <c r="AW23" s="62">
        <f>AV23-AU23</f>
        <v/>
      </c>
      <c r="AX23" s="64">
        <f>IF(AU23=0,"",AV23/AU23)</f>
        <v/>
      </c>
      <c r="AY23" s="31" t="n"/>
      <c r="AZ23" s="60" t="n"/>
      <c r="BA23" s="60" t="n"/>
      <c r="BB23" s="60">
        <f>BA23-AZ23</f>
        <v/>
      </c>
      <c r="BC23" s="61">
        <f>IF(AZ23=0,"",BA23/AZ23)</f>
        <v/>
      </c>
      <c r="BD23" s="27" t="n"/>
      <c r="BE23" s="62" t="n"/>
      <c r="BF23" s="62" t="n"/>
      <c r="BG23" s="62">
        <f>BF23-BE23</f>
        <v/>
      </c>
      <c r="BH23" s="64">
        <f>IF(BE23=0,"",BF23/BE23)</f>
        <v/>
      </c>
      <c r="BI23" s="31" t="n"/>
      <c r="BJ23" s="60" t="n"/>
      <c r="BK23" s="60" t="n"/>
      <c r="BL23" s="60">
        <f>BK23-BJ23</f>
        <v/>
      </c>
      <c r="BM23" s="61">
        <f>IF(BJ23=0,"",BK23/BJ23)</f>
        <v/>
      </c>
      <c r="BN23" s="27" t="n"/>
      <c r="BO23" s="62" t="n"/>
      <c r="BP23" s="62" t="n"/>
      <c r="BQ23" s="62">
        <f>BP23-BO23</f>
        <v/>
      </c>
      <c r="BR23" s="64">
        <f>IF(BO23=0,"",BP23/BO23)</f>
        <v/>
      </c>
      <c r="BS23" s="31" t="n"/>
      <c r="BT23" s="60" t="n"/>
      <c r="BU23" s="60" t="n"/>
      <c r="BV23" s="60">
        <f>BU23-BT23</f>
        <v/>
      </c>
      <c r="BW23" s="61">
        <f>IF(BT23=0,"",BU23/BT23)</f>
        <v/>
      </c>
      <c r="BX23" s="27" t="n"/>
      <c r="BY23" s="62" t="n"/>
      <c r="BZ23" s="62" t="n"/>
      <c r="CA23" s="62">
        <f>BZ23-BY23</f>
        <v/>
      </c>
      <c r="CB23" s="64">
        <f>IF(BY23=0,"",BZ23/BY23)</f>
        <v/>
      </c>
      <c r="CC23" s="31" t="n"/>
      <c r="CD23" s="60" t="n"/>
      <c r="CE23" s="60" t="n"/>
      <c r="CF23" s="60">
        <f>CE23-CD23</f>
        <v/>
      </c>
      <c r="CG23" s="61">
        <f>IF(CD23=0,"",CE23/CD23)</f>
        <v/>
      </c>
      <c r="CH23" s="27" t="n"/>
      <c r="CI23" s="62" t="n"/>
      <c r="CJ23" s="62" t="n"/>
      <c r="CK23" s="62">
        <f>CJ23-CI23</f>
        <v/>
      </c>
      <c r="CL23" s="64">
        <f>IF(CI23=0,"",CJ23/CI23)</f>
        <v/>
      </c>
      <c r="CM23" s="31" t="n"/>
      <c r="CN23" s="60" t="n"/>
      <c r="CO23" s="60" t="n"/>
      <c r="CP23" s="60">
        <f>CO23-CN23</f>
        <v/>
      </c>
      <c r="CQ23" s="61">
        <f>IF(CN23=0,"",CO23/CN23)</f>
        <v/>
      </c>
      <c r="CR23" s="27" t="n"/>
      <c r="CS23" s="62" t="n"/>
      <c r="CT23" s="62" t="n"/>
      <c r="CU23" s="62">
        <f>CT23-CS23</f>
        <v/>
      </c>
      <c r="CV23" s="64">
        <f>IF(CS23=0,"",CT23/CS23)</f>
        <v/>
      </c>
      <c r="CW23" s="31" t="n"/>
      <c r="CX23" s="60" t="n"/>
      <c r="CY23" s="60" t="n"/>
      <c r="CZ23" s="60">
        <f>CY23-CX23</f>
        <v/>
      </c>
      <c r="DA23" s="61">
        <f>IF(CX23=0,"",CY23/CX23)</f>
        <v/>
      </c>
      <c r="DB23" s="27" t="n"/>
      <c r="DC23" s="62" t="n"/>
      <c r="DD23" s="62" t="n"/>
      <c r="DE23" s="62">
        <f>DD23-DC23</f>
        <v/>
      </c>
      <c r="DF23" s="64">
        <f>IF(DC23=0,"",DD23/DC23)</f>
        <v/>
      </c>
      <c r="DG23" s="31" t="n"/>
      <c r="DH23" s="60" t="n"/>
      <c r="DI23" s="60" t="n"/>
      <c r="DJ23" s="60">
        <f>DI23-DH23</f>
        <v/>
      </c>
      <c r="DK23" s="61">
        <f>IF(DH23=0,"",DI23/DH23)</f>
        <v/>
      </c>
      <c r="DL23" s="27" t="n"/>
      <c r="DM23" s="62" t="n"/>
      <c r="DN23" s="62" t="n"/>
      <c r="DO23" s="62">
        <f>DN23-DM23</f>
        <v/>
      </c>
      <c r="DP23" s="64">
        <f>IF(DM23=0,"",DN23/DM23)</f>
        <v/>
      </c>
      <c r="DQ23" s="31" t="n"/>
      <c r="DR23" s="60" t="n"/>
    </row>
    <row r="24" outlineLevel="1" ht="15" customHeight="1">
      <c r="A24" s="55" t="n"/>
      <c r="B24" s="55" t="n"/>
      <c r="C24" s="55" t="n"/>
      <c r="D24" s="24" t="n"/>
      <c r="E24" s="24" t="n"/>
      <c r="F24" s="24" t="n"/>
      <c r="G24" s="60" t="n"/>
      <c r="H24" s="60" t="n"/>
      <c r="I24" s="60">
        <f>H24-G24</f>
        <v/>
      </c>
      <c r="J24" s="61">
        <f>IF(G24=0,"",H24/G24)</f>
        <v/>
      </c>
      <c r="K24" s="27" t="n"/>
      <c r="L24" s="60" t="n"/>
      <c r="M24" s="60" t="n"/>
      <c r="N24" s="60">
        <f>M24-L24</f>
        <v/>
      </c>
      <c r="O24" s="61">
        <f>IF(L24=0,"",M24/L24)</f>
        <v/>
      </c>
      <c r="P24" s="27" t="n"/>
      <c r="Q24" s="62" t="n"/>
      <c r="R24" s="62" t="n"/>
      <c r="S24" s="63">
        <f>R24-Q24</f>
        <v/>
      </c>
      <c r="T24" s="64">
        <f>IF(Q24=0,"",R24/Q24)</f>
        <v/>
      </c>
      <c r="U24" s="31" t="n"/>
      <c r="V24" s="60" t="n"/>
      <c r="W24" s="60" t="n"/>
      <c r="X24" s="60">
        <f>W24-V24</f>
        <v/>
      </c>
      <c r="Y24" s="61">
        <f>IF(V24=0,"",W24/V24)</f>
        <v/>
      </c>
      <c r="Z24" s="27" t="n"/>
      <c r="AA24" s="62" t="n"/>
      <c r="AB24" s="62" t="n"/>
      <c r="AC24" s="63">
        <f>AB24-AA24</f>
        <v/>
      </c>
      <c r="AD24" s="64">
        <f>IF(AA24=0,"",AB24/AA24)</f>
        <v/>
      </c>
      <c r="AE24" s="31" t="n"/>
      <c r="AF24" s="60" t="n"/>
      <c r="AG24" s="60" t="n"/>
      <c r="AH24" s="60">
        <f>AG24-AF24</f>
        <v/>
      </c>
      <c r="AI24" s="61">
        <f>IF(AF24=0,"",AG24/AF24)</f>
        <v/>
      </c>
      <c r="AJ24" s="27" t="n"/>
      <c r="AK24" s="62" t="n"/>
      <c r="AL24" s="62" t="n"/>
      <c r="AM24" s="62">
        <f>AL24-AK24</f>
        <v/>
      </c>
      <c r="AN24" s="64">
        <f>IF(AK24=0,"",AL24/AK24)</f>
        <v/>
      </c>
      <c r="AO24" s="31" t="n"/>
      <c r="AP24" s="60" t="n"/>
      <c r="AQ24" s="60" t="n"/>
      <c r="AR24" s="60">
        <f>AQ24-AP24</f>
        <v/>
      </c>
      <c r="AS24" s="61">
        <f>IF(AP24=0,"",AQ24/AP24)</f>
        <v/>
      </c>
      <c r="AT24" s="27" t="n"/>
      <c r="AU24" s="62" t="n"/>
      <c r="AV24" s="62" t="n"/>
      <c r="AW24" s="62">
        <f>AV24-AU24</f>
        <v/>
      </c>
      <c r="AX24" s="64">
        <f>IF(AU24=0,"",AV24/AU24)</f>
        <v/>
      </c>
      <c r="AY24" s="31" t="n"/>
      <c r="AZ24" s="60" t="n"/>
      <c r="BA24" s="60" t="n"/>
      <c r="BB24" s="60">
        <f>BA24-AZ24</f>
        <v/>
      </c>
      <c r="BC24" s="61">
        <f>IF(AZ24=0,"",BA24/AZ24)</f>
        <v/>
      </c>
      <c r="BD24" s="27" t="n"/>
      <c r="BE24" s="62" t="n"/>
      <c r="BF24" s="62" t="n"/>
      <c r="BG24" s="62">
        <f>BF24-BE24</f>
        <v/>
      </c>
      <c r="BH24" s="64">
        <f>IF(BE24=0,"",BF24/BE24)</f>
        <v/>
      </c>
      <c r="BI24" s="31" t="n"/>
      <c r="BJ24" s="60" t="n"/>
      <c r="BK24" s="60" t="n"/>
      <c r="BL24" s="60">
        <f>BK24-BJ24</f>
        <v/>
      </c>
      <c r="BM24" s="61">
        <f>IF(BJ24=0,"",BK24/BJ24)</f>
        <v/>
      </c>
      <c r="BN24" s="27" t="n"/>
      <c r="BO24" s="62" t="n"/>
      <c r="BP24" s="62" t="n"/>
      <c r="BQ24" s="62">
        <f>BP24-BO24</f>
        <v/>
      </c>
      <c r="BR24" s="64">
        <f>IF(BO24=0,"",BP24/BO24)</f>
        <v/>
      </c>
      <c r="BS24" s="31" t="n"/>
      <c r="BT24" s="60" t="n"/>
      <c r="BU24" s="60" t="n"/>
      <c r="BV24" s="60">
        <f>BU24-BT24</f>
        <v/>
      </c>
      <c r="BW24" s="61">
        <f>IF(BT24=0,"",BU24/BT24)</f>
        <v/>
      </c>
      <c r="BX24" s="27" t="n"/>
      <c r="BY24" s="62" t="n"/>
      <c r="BZ24" s="62" t="n"/>
      <c r="CA24" s="62">
        <f>BZ24-BY24</f>
        <v/>
      </c>
      <c r="CB24" s="64">
        <f>IF(BY24=0,"",BZ24/BY24)</f>
        <v/>
      </c>
      <c r="CC24" s="31" t="n"/>
      <c r="CD24" s="60" t="n"/>
      <c r="CE24" s="60" t="n"/>
      <c r="CF24" s="60">
        <f>CE24-CD24</f>
        <v/>
      </c>
      <c r="CG24" s="61">
        <f>IF(CD24=0,"",CE24/CD24)</f>
        <v/>
      </c>
      <c r="CH24" s="27" t="n"/>
      <c r="CI24" s="62" t="n"/>
      <c r="CJ24" s="62" t="n"/>
      <c r="CK24" s="62">
        <f>CJ24-CI24</f>
        <v/>
      </c>
      <c r="CL24" s="64">
        <f>IF(CI24=0,"",CJ24/CI24)</f>
        <v/>
      </c>
      <c r="CM24" s="31" t="n"/>
      <c r="CN24" s="60" t="n"/>
      <c r="CO24" s="60" t="n"/>
      <c r="CP24" s="60">
        <f>CO24-CN24</f>
        <v/>
      </c>
      <c r="CQ24" s="61">
        <f>IF(CN24=0,"",CO24/CN24)</f>
        <v/>
      </c>
      <c r="CR24" s="27" t="n"/>
      <c r="CS24" s="62" t="n"/>
      <c r="CT24" s="62" t="n"/>
      <c r="CU24" s="62">
        <f>CT24-CS24</f>
        <v/>
      </c>
      <c r="CV24" s="64">
        <f>IF(CS24=0,"",CT24/CS24)</f>
        <v/>
      </c>
      <c r="CW24" s="31" t="n"/>
      <c r="CX24" s="60" t="n"/>
      <c r="CY24" s="60" t="n"/>
      <c r="CZ24" s="60">
        <f>CY24-CX24</f>
        <v/>
      </c>
      <c r="DA24" s="61">
        <f>IF(CX24=0,"",CY24/CX24)</f>
        <v/>
      </c>
      <c r="DB24" s="27" t="n"/>
      <c r="DC24" s="62" t="n"/>
      <c r="DD24" s="62" t="n"/>
      <c r="DE24" s="62">
        <f>DD24-DC24</f>
        <v/>
      </c>
      <c r="DF24" s="64">
        <f>IF(DC24=0,"",DD24/DC24)</f>
        <v/>
      </c>
      <c r="DG24" s="31" t="n"/>
      <c r="DH24" s="60" t="n"/>
      <c r="DI24" s="60" t="n"/>
      <c r="DJ24" s="60">
        <f>DI24-DH24</f>
        <v/>
      </c>
      <c r="DK24" s="61">
        <f>IF(DH24=0,"",DI24/DH24)</f>
        <v/>
      </c>
      <c r="DL24" s="27" t="n"/>
      <c r="DM24" s="62" t="n"/>
      <c r="DN24" s="62" t="n"/>
      <c r="DO24" s="62">
        <f>DN24-DM24</f>
        <v/>
      </c>
      <c r="DP24" s="64">
        <f>IF(DM24=0,"",DN24/DM24)</f>
        <v/>
      </c>
      <c r="DQ24" s="31" t="n"/>
      <c r="DR24" s="60" t="n"/>
    </row>
    <row r="25" outlineLevel="1" ht="15" customHeight="1">
      <c r="A25" s="24" t="n"/>
      <c r="B25" s="24" t="n"/>
      <c r="C25" s="24" t="n"/>
      <c r="D25" s="24" t="n"/>
      <c r="E25" s="24" t="n"/>
      <c r="F25" s="24" t="n"/>
      <c r="G25" s="60" t="n"/>
      <c r="H25" s="60" t="n"/>
      <c r="I25" s="60">
        <f>H25-G25</f>
        <v/>
      </c>
      <c r="J25" s="61">
        <f>IF(G25=0,"",H25/G25)</f>
        <v/>
      </c>
      <c r="K25" s="27" t="n"/>
      <c r="L25" s="60" t="n"/>
      <c r="M25" s="60" t="n"/>
      <c r="N25" s="60">
        <f>M25-L25</f>
        <v/>
      </c>
      <c r="O25" s="61">
        <f>IF(L25=0,"",M25/L25)</f>
        <v/>
      </c>
      <c r="P25" s="27" t="n"/>
      <c r="Q25" s="62" t="n"/>
      <c r="R25" s="62" t="n"/>
      <c r="S25" s="62">
        <f>R25-Q25</f>
        <v/>
      </c>
      <c r="T25" s="64">
        <f>IF(Q25=0,"",R25/Q25)</f>
        <v/>
      </c>
      <c r="U25" s="31" t="n"/>
      <c r="V25" s="60" t="n"/>
      <c r="W25" s="60" t="n"/>
      <c r="X25" s="60">
        <f>W25-V25</f>
        <v/>
      </c>
      <c r="Y25" s="61">
        <f>IF(V25=0,"",W25/V25)</f>
        <v/>
      </c>
      <c r="Z25" s="27" t="n"/>
      <c r="AA25" s="62" t="n"/>
      <c r="AB25" s="62" t="n"/>
      <c r="AC25" s="62">
        <f>AB25-AA25</f>
        <v/>
      </c>
      <c r="AD25" s="64">
        <f>IF(AA25=0,"",AB25/AA25)</f>
        <v/>
      </c>
      <c r="AE25" s="31" t="n"/>
      <c r="AF25" s="60" t="n"/>
      <c r="AG25" s="60" t="n"/>
      <c r="AH25" s="60">
        <f>AG25-AF25</f>
        <v/>
      </c>
      <c r="AI25" s="61">
        <f>IF(AF25=0,"",AG25/AF25)</f>
        <v/>
      </c>
      <c r="AJ25" s="27" t="n"/>
      <c r="AK25" s="62" t="n"/>
      <c r="AL25" s="62" t="n"/>
      <c r="AM25" s="62">
        <f>AL25-AK25</f>
        <v/>
      </c>
      <c r="AN25" s="64">
        <f>IF(AK25=0,"",AL25/AK25)</f>
        <v/>
      </c>
      <c r="AO25" s="31" t="n"/>
      <c r="AP25" s="60" t="n"/>
      <c r="AQ25" s="60" t="n"/>
      <c r="AR25" s="60">
        <f>AQ25-AP25</f>
        <v/>
      </c>
      <c r="AS25" s="61">
        <f>IF(AP25=0,"",AQ25/AP25)</f>
        <v/>
      </c>
      <c r="AT25" s="27" t="n"/>
      <c r="AU25" s="62" t="n"/>
      <c r="AV25" s="62" t="n"/>
      <c r="AW25" s="62">
        <f>AV25-AU25</f>
        <v/>
      </c>
      <c r="AX25" s="64">
        <f>IF(AU25=0,"",AV25/AU25)</f>
        <v/>
      </c>
      <c r="AY25" s="31" t="n"/>
      <c r="AZ25" s="60" t="n"/>
      <c r="BA25" s="60" t="n"/>
      <c r="BB25" s="60">
        <f>BA25-AZ25</f>
        <v/>
      </c>
      <c r="BC25" s="61">
        <f>IF(AZ25=0,"",BA25/AZ25)</f>
        <v/>
      </c>
      <c r="BD25" s="27" t="n"/>
      <c r="BE25" s="62" t="n"/>
      <c r="BF25" s="62" t="n"/>
      <c r="BG25" s="62">
        <f>BF25-BE25</f>
        <v/>
      </c>
      <c r="BH25" s="64">
        <f>IF(BE25=0,"",BF25/BE25)</f>
        <v/>
      </c>
      <c r="BI25" s="31" t="n"/>
      <c r="BJ25" s="60" t="n"/>
      <c r="BK25" s="60" t="n"/>
      <c r="BL25" s="60">
        <f>BK25-BJ25</f>
        <v/>
      </c>
      <c r="BM25" s="61">
        <f>IF(BJ25=0,"",BK25/BJ25)</f>
        <v/>
      </c>
      <c r="BN25" s="27" t="n"/>
      <c r="BO25" s="62" t="n"/>
      <c r="BP25" s="62" t="n"/>
      <c r="BQ25" s="62">
        <f>BP25-BO25</f>
        <v/>
      </c>
      <c r="BR25" s="64">
        <f>IF(BO25=0,"",BP25/BO25)</f>
        <v/>
      </c>
      <c r="BS25" s="31" t="n"/>
      <c r="BT25" s="60" t="n"/>
      <c r="BU25" s="60" t="n"/>
      <c r="BV25" s="60">
        <f>BU25-BT25</f>
        <v/>
      </c>
      <c r="BW25" s="61">
        <f>IF(BT25=0,"",BU25/BT25)</f>
        <v/>
      </c>
      <c r="BX25" s="27" t="n"/>
      <c r="BY25" s="62" t="n"/>
      <c r="BZ25" s="62" t="n"/>
      <c r="CA25" s="62">
        <f>BZ25-BY25</f>
        <v/>
      </c>
      <c r="CB25" s="64">
        <f>IF(BY25=0,"",BZ25/BY25)</f>
        <v/>
      </c>
      <c r="CC25" s="31" t="n"/>
      <c r="CD25" s="60" t="n"/>
      <c r="CE25" s="60" t="n"/>
      <c r="CF25" s="60">
        <f>CE25-CD25</f>
        <v/>
      </c>
      <c r="CG25" s="61">
        <f>IF(CD25=0,"",CE25/CD25)</f>
        <v/>
      </c>
      <c r="CH25" s="27" t="n"/>
      <c r="CI25" s="62" t="n"/>
      <c r="CJ25" s="62" t="n"/>
      <c r="CK25" s="62">
        <f>CJ25-CI25</f>
        <v/>
      </c>
      <c r="CL25" s="64">
        <f>IF(CI25=0,"",CJ25/CI25)</f>
        <v/>
      </c>
      <c r="CM25" s="31" t="n"/>
      <c r="CN25" s="60" t="n"/>
      <c r="CO25" s="60" t="n"/>
      <c r="CP25" s="60">
        <f>CO25-CN25</f>
        <v/>
      </c>
      <c r="CQ25" s="61">
        <f>IF(CN25=0,"",CO25/CN25)</f>
        <v/>
      </c>
      <c r="CR25" s="27" t="n"/>
      <c r="CS25" s="62" t="n"/>
      <c r="CT25" s="62" t="n"/>
      <c r="CU25" s="62">
        <f>CT25-CS25</f>
        <v/>
      </c>
      <c r="CV25" s="64">
        <f>IF(CS25=0,"",CT25/CS25)</f>
        <v/>
      </c>
      <c r="CW25" s="31" t="n"/>
      <c r="CX25" s="60" t="n"/>
      <c r="CY25" s="60" t="n"/>
      <c r="CZ25" s="60">
        <f>CY25-CX25</f>
        <v/>
      </c>
      <c r="DA25" s="61">
        <f>IF(CX25=0,"",CY25/CX25)</f>
        <v/>
      </c>
      <c r="DB25" s="27" t="n"/>
      <c r="DC25" s="62" t="n"/>
      <c r="DD25" s="62" t="n"/>
      <c r="DE25" s="62">
        <f>DD25-DC25</f>
        <v/>
      </c>
      <c r="DF25" s="64">
        <f>IF(DC25=0,"",DD25/DC25)</f>
        <v/>
      </c>
      <c r="DG25" s="31" t="n"/>
      <c r="DH25" s="60" t="n"/>
      <c r="DI25" s="60" t="n"/>
      <c r="DJ25" s="60">
        <f>DI25-DH25</f>
        <v/>
      </c>
      <c r="DK25" s="61">
        <f>IF(DH25=0,"",DI25/DH25)</f>
        <v/>
      </c>
      <c r="DL25" s="27" t="n"/>
      <c r="DM25" s="62" t="n"/>
      <c r="DN25" s="62" t="n"/>
      <c r="DO25" s="62">
        <f>DN25-DM25</f>
        <v/>
      </c>
      <c r="DP25" s="64">
        <f>IF(DM25=0,"",DN25/DM25)</f>
        <v/>
      </c>
      <c r="DQ25" s="31" t="n"/>
      <c r="DR25" s="60" t="n"/>
    </row>
    <row r="26" outlineLevel="1" ht="15" customHeight="1">
      <c r="A26" s="55" t="n"/>
      <c r="B26" s="55" t="n"/>
      <c r="C26" s="55" t="n"/>
      <c r="D26" s="24" t="n"/>
      <c r="E26" s="24" t="n"/>
      <c r="F26" s="24" t="n"/>
      <c r="G26" s="60" t="n"/>
      <c r="H26" s="60" t="n"/>
      <c r="I26" s="60">
        <f>H26-G26</f>
        <v/>
      </c>
      <c r="J26" s="61">
        <f>IF(G26=0,"",H26/G26)</f>
        <v/>
      </c>
      <c r="K26" s="27" t="n"/>
      <c r="L26" s="60" t="n"/>
      <c r="M26" s="60" t="n"/>
      <c r="N26" s="60">
        <f>M26-L26</f>
        <v/>
      </c>
      <c r="O26" s="61">
        <f>IF(L26=0,"",M26/L26)</f>
        <v/>
      </c>
      <c r="P26" s="27" t="n"/>
      <c r="Q26" s="62" t="n"/>
      <c r="R26" s="62" t="n"/>
      <c r="S26" s="62">
        <f>R26-Q26</f>
        <v/>
      </c>
      <c r="T26" s="64">
        <f>IF(Q26=0,"",R26/Q26)</f>
        <v/>
      </c>
      <c r="U26" s="31" t="n"/>
      <c r="V26" s="60" t="n"/>
      <c r="W26" s="60" t="n"/>
      <c r="X26" s="60">
        <f>W26-V26</f>
        <v/>
      </c>
      <c r="Y26" s="61">
        <f>IF(V26=0,"",W26/V26)</f>
        <v/>
      </c>
      <c r="Z26" s="27" t="n"/>
      <c r="AA26" s="62" t="n"/>
      <c r="AB26" s="62" t="n"/>
      <c r="AC26" s="63">
        <f>AB26-AA26</f>
        <v/>
      </c>
      <c r="AD26" s="64">
        <f>IF(AA26=0,"",AB26/AA26)</f>
        <v/>
      </c>
      <c r="AE26" s="31" t="n"/>
      <c r="AF26" s="60" t="n"/>
      <c r="AG26" s="60" t="n"/>
      <c r="AH26" s="60">
        <f>AG26-AF26</f>
        <v/>
      </c>
      <c r="AI26" s="61">
        <f>IF(AF26=0,"",AG26/AF26)</f>
        <v/>
      </c>
      <c r="AJ26" s="27" t="n"/>
      <c r="AK26" s="62" t="n"/>
      <c r="AL26" s="62" t="n"/>
      <c r="AM26" s="62">
        <f>AL26-AK26</f>
        <v/>
      </c>
      <c r="AN26" s="64">
        <f>IF(AK26=0,"",AL26/AK26)</f>
        <v/>
      </c>
      <c r="AO26" s="31" t="n"/>
      <c r="AP26" s="60" t="n"/>
      <c r="AQ26" s="60" t="n"/>
      <c r="AR26" s="60">
        <f>AQ26-AP26</f>
        <v/>
      </c>
      <c r="AS26" s="61">
        <f>IF(AP26=0,"",AQ26/AP26)</f>
        <v/>
      </c>
      <c r="AT26" s="27" t="n"/>
      <c r="AU26" s="62" t="n"/>
      <c r="AV26" s="62" t="n"/>
      <c r="AW26" s="62">
        <f>AV26-AU26</f>
        <v/>
      </c>
      <c r="AX26" s="64">
        <f>IF(AU26=0,"",AV26/AU26)</f>
        <v/>
      </c>
      <c r="AY26" s="31" t="n"/>
      <c r="AZ26" s="60" t="n"/>
      <c r="BA26" s="60" t="n"/>
      <c r="BB26" s="60">
        <f>BA26-AZ26</f>
        <v/>
      </c>
      <c r="BC26" s="61">
        <f>IF(AZ26=0,"",BA26/AZ26)</f>
        <v/>
      </c>
      <c r="BD26" s="27" t="n"/>
      <c r="BE26" s="62" t="n"/>
      <c r="BF26" s="62" t="n"/>
      <c r="BG26" s="62">
        <f>BF26-BE26</f>
        <v/>
      </c>
      <c r="BH26" s="64">
        <f>IF(BE26=0,"",BF26/BE26)</f>
        <v/>
      </c>
      <c r="BI26" s="31" t="n"/>
      <c r="BJ26" s="60" t="n"/>
      <c r="BK26" s="60" t="n"/>
      <c r="BL26" s="60">
        <f>BK26-BJ26</f>
        <v/>
      </c>
      <c r="BM26" s="61">
        <f>IF(BJ26=0,"",BK26/BJ26)</f>
        <v/>
      </c>
      <c r="BN26" s="27" t="n"/>
      <c r="BO26" s="62" t="n"/>
      <c r="BP26" s="62" t="n"/>
      <c r="BQ26" s="62">
        <f>BP26-BO26</f>
        <v/>
      </c>
      <c r="BR26" s="64">
        <f>IF(BO26=0,"",BP26/BO26)</f>
        <v/>
      </c>
      <c r="BS26" s="31" t="n"/>
      <c r="BT26" s="60" t="n"/>
      <c r="BU26" s="60" t="n"/>
      <c r="BV26" s="60">
        <f>BU26-BT26</f>
        <v/>
      </c>
      <c r="BW26" s="61">
        <f>IF(BT26=0,"",BU26/BT26)</f>
        <v/>
      </c>
      <c r="BX26" s="27" t="n"/>
      <c r="BY26" s="62" t="n"/>
      <c r="BZ26" s="62" t="n"/>
      <c r="CA26" s="62">
        <f>BZ26-BY26</f>
        <v/>
      </c>
      <c r="CB26" s="64">
        <f>IF(BY26=0,"",BZ26/BY26)</f>
        <v/>
      </c>
      <c r="CC26" s="31" t="n"/>
      <c r="CD26" s="60" t="n"/>
      <c r="CE26" s="60" t="n"/>
      <c r="CF26" s="60">
        <f>CE26-CD26</f>
        <v/>
      </c>
      <c r="CG26" s="61">
        <f>IF(CD26=0,"",CE26/CD26)</f>
        <v/>
      </c>
      <c r="CH26" s="27" t="n"/>
      <c r="CI26" s="62" t="n"/>
      <c r="CJ26" s="62" t="n"/>
      <c r="CK26" s="62">
        <f>CJ26-CI26</f>
        <v/>
      </c>
      <c r="CL26" s="64">
        <f>IF(CI26=0,"",CJ26/CI26)</f>
        <v/>
      </c>
      <c r="CM26" s="31" t="n"/>
      <c r="CN26" s="60" t="n"/>
      <c r="CO26" s="60" t="n"/>
      <c r="CP26" s="60">
        <f>CO26-CN26</f>
        <v/>
      </c>
      <c r="CQ26" s="61">
        <f>IF(CN26=0,"",CO26/CN26)</f>
        <v/>
      </c>
      <c r="CR26" s="27" t="n"/>
      <c r="CS26" s="62" t="n"/>
      <c r="CT26" s="62" t="n"/>
      <c r="CU26" s="62">
        <f>CT26-CS26</f>
        <v/>
      </c>
      <c r="CV26" s="64">
        <f>IF(CS26=0,"",CT26/CS26)</f>
        <v/>
      </c>
      <c r="CW26" s="31" t="n"/>
      <c r="CX26" s="60" t="n"/>
      <c r="CY26" s="60" t="n"/>
      <c r="CZ26" s="60">
        <f>CY26-CX26</f>
        <v/>
      </c>
      <c r="DA26" s="61">
        <f>IF(CX26=0,"",CY26/CX26)</f>
        <v/>
      </c>
      <c r="DB26" s="27" t="n"/>
      <c r="DC26" s="62" t="n"/>
      <c r="DD26" s="62" t="n"/>
      <c r="DE26" s="62">
        <f>DD26-DC26</f>
        <v/>
      </c>
      <c r="DF26" s="64">
        <f>IF(DC26=0,"",DD26/DC26)</f>
        <v/>
      </c>
      <c r="DG26" s="31" t="n"/>
      <c r="DH26" s="60" t="n"/>
      <c r="DI26" s="60" t="n"/>
      <c r="DJ26" s="60">
        <f>DI26-DH26</f>
        <v/>
      </c>
      <c r="DK26" s="61">
        <f>IF(DH26=0,"",DI26/DH26)</f>
        <v/>
      </c>
      <c r="DL26" s="27" t="n"/>
      <c r="DM26" s="62" t="n"/>
      <c r="DN26" s="62" t="n"/>
      <c r="DO26" s="62">
        <f>DN26-DM26</f>
        <v/>
      </c>
      <c r="DP26" s="64">
        <f>IF(DM26=0,"",DN26/DM26)</f>
        <v/>
      </c>
      <c r="DQ26" s="31" t="n"/>
      <c r="DR26" s="60" t="n"/>
    </row>
    <row r="27" outlineLevel="1" ht="15" customHeight="1">
      <c r="A27" s="24" t="n"/>
      <c r="B27" s="24" t="n"/>
      <c r="C27" s="36" t="n"/>
      <c r="D27" s="24" t="n"/>
      <c r="E27" s="24" t="n"/>
      <c r="F27" s="24" t="n"/>
      <c r="G27" s="60" t="n"/>
      <c r="H27" s="60" t="n"/>
      <c r="I27" s="60">
        <f>H27-G27</f>
        <v/>
      </c>
      <c r="J27" s="61">
        <f>IF(G27=0,"",H27/G27)</f>
        <v/>
      </c>
      <c r="K27" s="27" t="n"/>
      <c r="L27" s="60" t="n"/>
      <c r="M27" s="60" t="n"/>
      <c r="N27" s="60">
        <f>M27-L27</f>
        <v/>
      </c>
      <c r="O27" s="61">
        <f>IF(L27=0,"",M27/L27)</f>
        <v/>
      </c>
      <c r="P27" s="27" t="n"/>
      <c r="Q27" s="62" t="n"/>
      <c r="R27" s="62" t="n"/>
      <c r="S27" s="62">
        <f>R27-Q27</f>
        <v/>
      </c>
      <c r="T27" s="64">
        <f>IF(Q27=0,"",R27/Q27)</f>
        <v/>
      </c>
      <c r="U27" s="31" t="n"/>
      <c r="V27" s="60" t="n"/>
      <c r="W27" s="60" t="n"/>
      <c r="X27" s="60">
        <f>W27-V27</f>
        <v/>
      </c>
      <c r="Y27" s="61">
        <f>IF(V27=0,"",W27/V27)</f>
        <v/>
      </c>
      <c r="Z27" s="27" t="n"/>
      <c r="AA27" s="62" t="n"/>
      <c r="AB27" s="62" t="n"/>
      <c r="AC27" s="62">
        <f>AB27-AA27</f>
        <v/>
      </c>
      <c r="AD27" s="64">
        <f>IF(AA27=0,"",AB27/AA27)</f>
        <v/>
      </c>
      <c r="AE27" s="31" t="n"/>
      <c r="AF27" s="60" t="n"/>
      <c r="AG27" s="60" t="n"/>
      <c r="AH27" s="60">
        <f>AG27-AF27</f>
        <v/>
      </c>
      <c r="AI27" s="61">
        <f>IF(AF27=0,"",AG27/AF27)</f>
        <v/>
      </c>
      <c r="AJ27" s="27" t="n"/>
      <c r="AK27" s="62" t="n"/>
      <c r="AL27" s="62" t="n"/>
      <c r="AM27" s="62">
        <f>AL27-AK27</f>
        <v/>
      </c>
      <c r="AN27" s="64">
        <f>IF(AK27=0,"",AL27/AK27)</f>
        <v/>
      </c>
      <c r="AO27" s="31" t="n"/>
      <c r="AP27" s="60" t="n"/>
      <c r="AQ27" s="60" t="n"/>
      <c r="AR27" s="60">
        <f>AQ27-AP27</f>
        <v/>
      </c>
      <c r="AS27" s="61">
        <f>IF(AP27=0,"",AQ27/AP27)</f>
        <v/>
      </c>
      <c r="AT27" s="27" t="n"/>
      <c r="AU27" s="62" t="n"/>
      <c r="AV27" s="62" t="n"/>
      <c r="AW27" s="62">
        <f>AV27-AU27</f>
        <v/>
      </c>
      <c r="AX27" s="64">
        <f>IF(AU27=0,"",AV27/AU27)</f>
        <v/>
      </c>
      <c r="AY27" s="31" t="n"/>
      <c r="AZ27" s="60" t="n"/>
      <c r="BA27" s="60" t="n"/>
      <c r="BB27" s="60">
        <f>BA27-AZ27</f>
        <v/>
      </c>
      <c r="BC27" s="61">
        <f>IF(AZ27=0,"",BA27/AZ27)</f>
        <v/>
      </c>
      <c r="BD27" s="27" t="n"/>
      <c r="BE27" s="62" t="n"/>
      <c r="BF27" s="62" t="n"/>
      <c r="BG27" s="62">
        <f>BF27-BE27</f>
        <v/>
      </c>
      <c r="BH27" s="64">
        <f>IF(BE27=0,"",BF27/BE27)</f>
        <v/>
      </c>
      <c r="BI27" s="31" t="n"/>
      <c r="BJ27" s="60" t="n"/>
      <c r="BK27" s="60" t="n"/>
      <c r="BL27" s="60">
        <f>BK27-BJ27</f>
        <v/>
      </c>
      <c r="BM27" s="61">
        <f>IF(BJ27=0,"",BK27/BJ27)</f>
        <v/>
      </c>
      <c r="BN27" s="27" t="n"/>
      <c r="BO27" s="62" t="n"/>
      <c r="BP27" s="62" t="n"/>
      <c r="BQ27" s="62">
        <f>BP27-BO27</f>
        <v/>
      </c>
      <c r="BR27" s="64">
        <f>IF(BO27=0,"",BP27/BO27)</f>
        <v/>
      </c>
      <c r="BS27" s="31" t="n"/>
      <c r="BT27" s="60" t="n"/>
      <c r="BU27" s="60" t="n"/>
      <c r="BV27" s="60">
        <f>BU27-BT27</f>
        <v/>
      </c>
      <c r="BW27" s="61">
        <f>IF(BT27=0,"",BU27/BT27)</f>
        <v/>
      </c>
      <c r="BX27" s="27" t="n"/>
      <c r="BY27" s="62" t="n"/>
      <c r="BZ27" s="62" t="n"/>
      <c r="CA27" s="62">
        <f>BZ27-BY27</f>
        <v/>
      </c>
      <c r="CB27" s="64">
        <f>IF(BY27=0,"",BZ27/BY27)</f>
        <v/>
      </c>
      <c r="CC27" s="31" t="n"/>
      <c r="CD27" s="60" t="n"/>
      <c r="CE27" s="60" t="n"/>
      <c r="CF27" s="60">
        <f>CE27-CD27</f>
        <v/>
      </c>
      <c r="CG27" s="61">
        <f>IF(CD27=0,"",CE27/CD27)</f>
        <v/>
      </c>
      <c r="CH27" s="27" t="n"/>
      <c r="CI27" s="62" t="n"/>
      <c r="CJ27" s="62" t="n"/>
      <c r="CK27" s="62">
        <f>CJ27-CI27</f>
        <v/>
      </c>
      <c r="CL27" s="64">
        <f>IF(CI27=0,"",CJ27/CI27)</f>
        <v/>
      </c>
      <c r="CM27" s="31" t="n"/>
      <c r="CN27" s="60" t="n"/>
      <c r="CO27" s="60" t="n"/>
      <c r="CP27" s="60">
        <f>CO27-CN27</f>
        <v/>
      </c>
      <c r="CQ27" s="61">
        <f>IF(CN27=0,"",CO27/CN27)</f>
        <v/>
      </c>
      <c r="CR27" s="27" t="n"/>
      <c r="CS27" s="62" t="n"/>
      <c r="CT27" s="62" t="n"/>
      <c r="CU27" s="62">
        <f>CT27-CS27</f>
        <v/>
      </c>
      <c r="CV27" s="64">
        <f>IF(CS27=0,"",CT27/CS27)</f>
        <v/>
      </c>
      <c r="CW27" s="31" t="n"/>
      <c r="CX27" s="60" t="n"/>
      <c r="CY27" s="60" t="n"/>
      <c r="CZ27" s="60">
        <f>CY27-CX27</f>
        <v/>
      </c>
      <c r="DA27" s="61">
        <f>IF(CX27=0,"",CY27/CX27)</f>
        <v/>
      </c>
      <c r="DB27" s="27" t="n"/>
      <c r="DC27" s="62" t="n"/>
      <c r="DD27" s="62" t="n"/>
      <c r="DE27" s="62">
        <f>DD27-DC27</f>
        <v/>
      </c>
      <c r="DF27" s="64">
        <f>IF(DC27=0,"",DD27/DC27)</f>
        <v/>
      </c>
      <c r="DG27" s="31" t="n"/>
      <c r="DH27" s="60" t="n"/>
      <c r="DI27" s="60" t="n"/>
      <c r="DJ27" s="60">
        <f>DI27-DH27</f>
        <v/>
      </c>
      <c r="DK27" s="61">
        <f>IF(DH27=0,"",DI27/DH27)</f>
        <v/>
      </c>
      <c r="DL27" s="27" t="n"/>
      <c r="DM27" s="62" t="n"/>
      <c r="DN27" s="62" t="n"/>
      <c r="DO27" s="62">
        <f>DN27-DM27</f>
        <v/>
      </c>
      <c r="DP27" s="64">
        <f>IF(DM27=0,"",DN27/DM27)</f>
        <v/>
      </c>
      <c r="DQ27" s="31" t="n"/>
      <c r="DR27" s="60" t="n"/>
    </row>
    <row r="28" outlineLevel="1" ht="15" customHeight="1">
      <c r="A28" s="55" t="n"/>
      <c r="B28" s="55" t="n"/>
      <c r="C28" s="55" t="n"/>
      <c r="D28" s="24" t="n"/>
      <c r="E28" s="24" t="n"/>
      <c r="F28" s="24" t="n"/>
      <c r="G28" s="60" t="n"/>
      <c r="H28" s="60" t="n"/>
      <c r="I28" s="60">
        <f>H28-G28</f>
        <v/>
      </c>
      <c r="J28" s="61">
        <f>IF(G28=0,"",H28/G28)</f>
        <v/>
      </c>
      <c r="K28" s="27" t="n"/>
      <c r="L28" s="60" t="n"/>
      <c r="M28" s="60" t="n"/>
      <c r="N28" s="60">
        <f>M28-L28</f>
        <v/>
      </c>
      <c r="O28" s="61">
        <f>IF(L28=0,"",M28/L28)</f>
        <v/>
      </c>
      <c r="P28" s="27" t="n"/>
      <c r="Q28" s="62" t="n"/>
      <c r="R28" s="62" t="n"/>
      <c r="S28" s="63">
        <f>R28-Q28</f>
        <v/>
      </c>
      <c r="T28" s="64">
        <f>IF(Q28=0,"",R28/Q28)</f>
        <v/>
      </c>
      <c r="U28" s="31" t="n"/>
      <c r="V28" s="60" t="n"/>
      <c r="W28" s="60" t="n"/>
      <c r="X28" s="60">
        <f>W28-V28</f>
        <v/>
      </c>
      <c r="Y28" s="61">
        <f>IF(V28=0,"",W28/V28)</f>
        <v/>
      </c>
      <c r="Z28" s="27" t="n"/>
      <c r="AA28" s="62" t="n"/>
      <c r="AB28" s="62" t="n"/>
      <c r="AC28" s="63">
        <f>AB28-AA28</f>
        <v/>
      </c>
      <c r="AD28" s="64">
        <f>IF(AA28=0,"",AB28/AA28)</f>
        <v/>
      </c>
      <c r="AE28" s="31" t="n"/>
      <c r="AF28" s="60" t="n"/>
      <c r="AG28" s="60" t="n"/>
      <c r="AH28" s="60">
        <f>AG28-AF28</f>
        <v/>
      </c>
      <c r="AI28" s="61">
        <f>IF(AF28=0,"",AG28/AF28)</f>
        <v/>
      </c>
      <c r="AJ28" s="27" t="n"/>
      <c r="AK28" s="62" t="n"/>
      <c r="AL28" s="62" t="n"/>
      <c r="AM28" s="62">
        <f>AL28-AK28</f>
        <v/>
      </c>
      <c r="AN28" s="64">
        <f>IF(AK28=0,"",AL28/AK28)</f>
        <v/>
      </c>
      <c r="AO28" s="31" t="n"/>
      <c r="AP28" s="60" t="n"/>
      <c r="AQ28" s="60" t="n"/>
      <c r="AR28" s="60">
        <f>AQ28-AP28</f>
        <v/>
      </c>
      <c r="AS28" s="61">
        <f>IF(AP28=0,"",AQ28/AP28)</f>
        <v/>
      </c>
      <c r="AT28" s="27" t="n"/>
      <c r="AU28" s="62" t="n"/>
      <c r="AV28" s="62" t="n"/>
      <c r="AW28" s="62">
        <f>AV28-AU28</f>
        <v/>
      </c>
      <c r="AX28" s="64">
        <f>IF(AU28=0,"",AV28/AU28)</f>
        <v/>
      </c>
      <c r="AY28" s="31" t="n"/>
      <c r="AZ28" s="60" t="n"/>
      <c r="BA28" s="60" t="n"/>
      <c r="BB28" s="60">
        <f>BA28-AZ28</f>
        <v/>
      </c>
      <c r="BC28" s="61">
        <f>IF(AZ28=0,"",BA28/AZ28)</f>
        <v/>
      </c>
      <c r="BD28" s="27" t="n"/>
      <c r="BE28" s="62" t="n"/>
      <c r="BF28" s="62" t="n"/>
      <c r="BG28" s="62">
        <f>BF28-BE28</f>
        <v/>
      </c>
      <c r="BH28" s="64">
        <f>IF(BE28=0,"",BF28/BE28)</f>
        <v/>
      </c>
      <c r="BI28" s="31" t="n"/>
      <c r="BJ28" s="60" t="n"/>
      <c r="BK28" s="60" t="n"/>
      <c r="BL28" s="60">
        <f>BK28-BJ28</f>
        <v/>
      </c>
      <c r="BM28" s="61">
        <f>IF(BJ28=0,"",BK28/BJ28)</f>
        <v/>
      </c>
      <c r="BN28" s="27" t="n"/>
      <c r="BO28" s="62" t="n"/>
      <c r="BP28" s="62" t="n"/>
      <c r="BQ28" s="62">
        <f>BP28-BO28</f>
        <v/>
      </c>
      <c r="BR28" s="64">
        <f>IF(BO28=0,"",BP28/BO28)</f>
        <v/>
      </c>
      <c r="BS28" s="31" t="n"/>
      <c r="BT28" s="60" t="n"/>
      <c r="BU28" s="60" t="n"/>
      <c r="BV28" s="60">
        <f>BU28-BT28</f>
        <v/>
      </c>
      <c r="BW28" s="61">
        <f>IF(BT28=0,"",BU28/BT28)</f>
        <v/>
      </c>
      <c r="BX28" s="27" t="n"/>
      <c r="BY28" s="62" t="n"/>
      <c r="BZ28" s="62" t="n"/>
      <c r="CA28" s="62">
        <f>BZ28-BY28</f>
        <v/>
      </c>
      <c r="CB28" s="64">
        <f>IF(BY28=0,"",BZ28/BY28)</f>
        <v/>
      </c>
      <c r="CC28" s="31" t="n"/>
      <c r="CD28" s="60" t="n"/>
      <c r="CE28" s="60" t="n"/>
      <c r="CF28" s="60">
        <f>CE28-CD28</f>
        <v/>
      </c>
      <c r="CG28" s="61">
        <f>IF(CD28=0,"",CE28/CD28)</f>
        <v/>
      </c>
      <c r="CH28" s="27" t="n"/>
      <c r="CI28" s="62" t="n"/>
      <c r="CJ28" s="62" t="n"/>
      <c r="CK28" s="62">
        <f>CJ28-CI28</f>
        <v/>
      </c>
      <c r="CL28" s="64">
        <f>IF(CI28=0,"",CJ28/CI28)</f>
        <v/>
      </c>
      <c r="CM28" s="31" t="n"/>
      <c r="CN28" s="60" t="n"/>
      <c r="CO28" s="60" t="n"/>
      <c r="CP28" s="60">
        <f>CO28-CN28</f>
        <v/>
      </c>
      <c r="CQ28" s="61">
        <f>IF(CN28=0,"",CO28/CN28)</f>
        <v/>
      </c>
      <c r="CR28" s="27" t="n"/>
      <c r="CS28" s="62" t="n"/>
      <c r="CT28" s="62" t="n"/>
      <c r="CU28" s="62">
        <f>CT28-CS28</f>
        <v/>
      </c>
      <c r="CV28" s="64">
        <f>IF(CS28=0,"",CT28/CS28)</f>
        <v/>
      </c>
      <c r="CW28" s="31" t="n"/>
      <c r="CX28" s="60" t="n"/>
      <c r="CY28" s="60" t="n"/>
      <c r="CZ28" s="60">
        <f>CY28-CX28</f>
        <v/>
      </c>
      <c r="DA28" s="61">
        <f>IF(CX28=0,"",CY28/CX28)</f>
        <v/>
      </c>
      <c r="DB28" s="27" t="n"/>
      <c r="DC28" s="62" t="n"/>
      <c r="DD28" s="62" t="n"/>
      <c r="DE28" s="62">
        <f>DD28-DC28</f>
        <v/>
      </c>
      <c r="DF28" s="64">
        <f>IF(DC28=0,"",DD28/DC28)</f>
        <v/>
      </c>
      <c r="DG28" s="31" t="n"/>
      <c r="DH28" s="60" t="n"/>
      <c r="DI28" s="60" t="n"/>
      <c r="DJ28" s="60">
        <f>DI28-DH28</f>
        <v/>
      </c>
      <c r="DK28" s="61">
        <f>IF(DH28=0,"",DI28/DH28)</f>
        <v/>
      </c>
      <c r="DL28" s="27" t="n"/>
      <c r="DM28" s="62" t="n"/>
      <c r="DN28" s="62" t="n"/>
      <c r="DO28" s="62">
        <f>DN28-DM28</f>
        <v/>
      </c>
      <c r="DP28" s="64">
        <f>IF(DM28=0,"",DN28/DM28)</f>
        <v/>
      </c>
      <c r="DQ28" s="31" t="n"/>
      <c r="DR28" s="60" t="n"/>
    </row>
    <row r="29" outlineLevel="1" ht="15" customHeight="1">
      <c r="A29" s="24" t="n"/>
      <c r="B29" s="24" t="n"/>
      <c r="C29" s="36" t="n"/>
      <c r="D29" s="24" t="n"/>
      <c r="E29" s="24" t="n"/>
      <c r="F29" s="24" t="n"/>
      <c r="G29" s="60" t="n"/>
      <c r="H29" s="60" t="n"/>
      <c r="I29" s="60">
        <f>H29-G29</f>
        <v/>
      </c>
      <c r="J29" s="61">
        <f>IF(G29=0,"",H29/G29)</f>
        <v/>
      </c>
      <c r="K29" s="27" t="n"/>
      <c r="L29" s="60" t="n"/>
      <c r="M29" s="60" t="n"/>
      <c r="N29" s="60">
        <f>M29-L29</f>
        <v/>
      </c>
      <c r="O29" s="61">
        <f>IF(L29=0,"",M29/L29)</f>
        <v/>
      </c>
      <c r="P29" s="27" t="n"/>
      <c r="Q29" s="62" t="n"/>
      <c r="R29" s="62" t="n"/>
      <c r="S29" s="62">
        <f>R29-Q29</f>
        <v/>
      </c>
      <c r="T29" s="64">
        <f>IF(Q29=0,"",R29/Q29)</f>
        <v/>
      </c>
      <c r="U29" s="31" t="n"/>
      <c r="V29" s="60" t="n"/>
      <c r="W29" s="60" t="n"/>
      <c r="X29" s="60">
        <f>W29-V29</f>
        <v/>
      </c>
      <c r="Y29" s="61">
        <f>IF(V29=0,"",W29/V29)</f>
        <v/>
      </c>
      <c r="Z29" s="27" t="n"/>
      <c r="AA29" s="62" t="n"/>
      <c r="AB29" s="62" t="n"/>
      <c r="AC29" s="62">
        <f>AB29-AA29</f>
        <v/>
      </c>
      <c r="AD29" s="64">
        <f>IF(AA29=0,"",AB29/AA29)</f>
        <v/>
      </c>
      <c r="AE29" s="31" t="n"/>
      <c r="AF29" s="60" t="n"/>
      <c r="AG29" s="60" t="n"/>
      <c r="AH29" s="60">
        <f>AG29-AF29</f>
        <v/>
      </c>
      <c r="AI29" s="61">
        <f>IF(AF29=0,"",AG29/AF29)</f>
        <v/>
      </c>
      <c r="AJ29" s="27" t="n"/>
      <c r="AK29" s="62" t="n"/>
      <c r="AL29" s="62" t="n"/>
      <c r="AM29" s="62">
        <f>AL29-AK29</f>
        <v/>
      </c>
      <c r="AN29" s="64">
        <f>IF(AK29=0,"",AL29/AK29)</f>
        <v/>
      </c>
      <c r="AO29" s="31" t="n"/>
      <c r="AP29" s="60" t="n"/>
      <c r="AQ29" s="60" t="n"/>
      <c r="AR29" s="60">
        <f>AQ29-AP29</f>
        <v/>
      </c>
      <c r="AS29" s="61">
        <f>IF(AP29=0,"",AQ29/AP29)</f>
        <v/>
      </c>
      <c r="AT29" s="27" t="n"/>
      <c r="AU29" s="62" t="n"/>
      <c r="AV29" s="62" t="n"/>
      <c r="AW29" s="62">
        <f>AV29-AU29</f>
        <v/>
      </c>
      <c r="AX29" s="64">
        <f>IF(AU29=0,"",AV29/AU29)</f>
        <v/>
      </c>
      <c r="AY29" s="31" t="n"/>
      <c r="AZ29" s="60" t="n"/>
      <c r="BA29" s="60" t="n"/>
      <c r="BB29" s="60">
        <f>BA29-AZ29</f>
        <v/>
      </c>
      <c r="BC29" s="61">
        <f>IF(AZ29=0,"",BA29/AZ29)</f>
        <v/>
      </c>
      <c r="BD29" s="27" t="n"/>
      <c r="BE29" s="62" t="n"/>
      <c r="BF29" s="62" t="n"/>
      <c r="BG29" s="62">
        <f>BF29-BE29</f>
        <v/>
      </c>
      <c r="BH29" s="64">
        <f>IF(BE29=0,"",BF29/BE29)</f>
        <v/>
      </c>
      <c r="BI29" s="31" t="n"/>
      <c r="BJ29" s="60" t="n"/>
      <c r="BK29" s="60" t="n"/>
      <c r="BL29" s="60">
        <f>BK29-BJ29</f>
        <v/>
      </c>
      <c r="BM29" s="61">
        <f>IF(BJ29=0,"",BK29/BJ29)</f>
        <v/>
      </c>
      <c r="BN29" s="27" t="n"/>
      <c r="BO29" s="62" t="n"/>
      <c r="BP29" s="62" t="n"/>
      <c r="BQ29" s="62">
        <f>BP29-BO29</f>
        <v/>
      </c>
      <c r="BR29" s="64">
        <f>IF(BO29=0,"",BP29/BO29)</f>
        <v/>
      </c>
      <c r="BS29" s="31" t="n"/>
      <c r="BT29" s="60" t="n"/>
      <c r="BU29" s="60" t="n"/>
      <c r="BV29" s="60">
        <f>BU29-BT29</f>
        <v/>
      </c>
      <c r="BW29" s="61">
        <f>IF(BT29=0,"",BU29/BT29)</f>
        <v/>
      </c>
      <c r="BX29" s="27" t="n"/>
      <c r="BY29" s="62" t="n"/>
      <c r="BZ29" s="62" t="n"/>
      <c r="CA29" s="62">
        <f>BZ29-BY29</f>
        <v/>
      </c>
      <c r="CB29" s="64">
        <f>IF(BY29=0,"",BZ29/BY29)</f>
        <v/>
      </c>
      <c r="CC29" s="31" t="n"/>
      <c r="CD29" s="60" t="n"/>
      <c r="CE29" s="60" t="n"/>
      <c r="CF29" s="60">
        <f>CE29-CD29</f>
        <v/>
      </c>
      <c r="CG29" s="61">
        <f>IF(CD29=0,"",CE29/CD29)</f>
        <v/>
      </c>
      <c r="CH29" s="27" t="n"/>
      <c r="CI29" s="62" t="n"/>
      <c r="CJ29" s="62" t="n"/>
      <c r="CK29" s="62">
        <f>CJ29-CI29</f>
        <v/>
      </c>
      <c r="CL29" s="64">
        <f>IF(CI29=0,"",CJ29/CI29)</f>
        <v/>
      </c>
      <c r="CM29" s="31" t="n"/>
      <c r="CN29" s="60" t="n"/>
      <c r="CO29" s="60" t="n"/>
      <c r="CP29" s="60">
        <f>CO29-CN29</f>
        <v/>
      </c>
      <c r="CQ29" s="61">
        <f>IF(CN29=0,"",CO29/CN29)</f>
        <v/>
      </c>
      <c r="CR29" s="27" t="n"/>
      <c r="CS29" s="62" t="n"/>
      <c r="CT29" s="62" t="n"/>
      <c r="CU29" s="62">
        <f>CT29-CS29</f>
        <v/>
      </c>
      <c r="CV29" s="64">
        <f>IF(CS29=0,"",CT29/CS29)</f>
        <v/>
      </c>
      <c r="CW29" s="31" t="n"/>
      <c r="CX29" s="60" t="n"/>
      <c r="CY29" s="60" t="n"/>
      <c r="CZ29" s="60">
        <f>CY29-CX29</f>
        <v/>
      </c>
      <c r="DA29" s="61">
        <f>IF(CX29=0,"",CY29/CX29)</f>
        <v/>
      </c>
      <c r="DB29" s="27" t="n"/>
      <c r="DC29" s="62" t="n"/>
      <c r="DD29" s="62" t="n"/>
      <c r="DE29" s="62">
        <f>DD29-DC29</f>
        <v/>
      </c>
      <c r="DF29" s="64">
        <f>IF(DC29=0,"",DD29/DC29)</f>
        <v/>
      </c>
      <c r="DG29" s="31" t="n"/>
      <c r="DH29" s="60" t="n"/>
      <c r="DI29" s="60" t="n"/>
      <c r="DJ29" s="60">
        <f>DI29-DH29</f>
        <v/>
      </c>
      <c r="DK29" s="61">
        <f>IF(DH29=0,"",DI29/DH29)</f>
        <v/>
      </c>
      <c r="DL29" s="27" t="n"/>
      <c r="DM29" s="62" t="n"/>
      <c r="DN29" s="62" t="n"/>
      <c r="DO29" s="62">
        <f>DN29-DM29</f>
        <v/>
      </c>
      <c r="DP29" s="64">
        <f>IF(DM29=0,"",DN29/DM29)</f>
        <v/>
      </c>
      <c r="DQ29" s="31" t="n"/>
      <c r="DR29" s="60" t="n"/>
    </row>
    <row r="30" outlineLevel="1" ht="15" customHeight="1">
      <c r="A30" s="55" t="n"/>
      <c r="B30" s="55" t="n"/>
      <c r="C30" s="55" t="n"/>
      <c r="D30" s="24" t="n"/>
      <c r="E30" s="24" t="n"/>
      <c r="F30" s="24" t="n"/>
      <c r="G30" s="60" t="n"/>
      <c r="H30" s="60" t="n"/>
      <c r="I30" s="60">
        <f>H30-G30</f>
        <v/>
      </c>
      <c r="J30" s="61">
        <f>IF(G30=0,"",H30/G30)</f>
        <v/>
      </c>
      <c r="K30" s="27" t="n"/>
      <c r="L30" s="60" t="n"/>
      <c r="M30" s="60" t="n"/>
      <c r="N30" s="60">
        <f>M30-L30</f>
        <v/>
      </c>
      <c r="O30" s="61">
        <f>IF(L30=0,"",M30/L30)</f>
        <v/>
      </c>
      <c r="P30" s="27" t="n"/>
      <c r="Q30" s="62" t="n"/>
      <c r="R30" s="62" t="n"/>
      <c r="S30" s="62">
        <f>R30-Q30</f>
        <v/>
      </c>
      <c r="T30" s="64">
        <f>IF(Q30=0,"",R30/Q30)</f>
        <v/>
      </c>
      <c r="U30" s="31" t="n"/>
      <c r="V30" s="60" t="n"/>
      <c r="W30" s="60" t="n"/>
      <c r="X30" s="60">
        <f>W30-V30</f>
        <v/>
      </c>
      <c r="Y30" s="61">
        <f>IF(V30=0,"",W30/V30)</f>
        <v/>
      </c>
      <c r="Z30" s="27" t="n"/>
      <c r="AA30" s="62" t="n"/>
      <c r="AB30" s="62" t="n"/>
      <c r="AC30" s="62">
        <f>AB30-AA30</f>
        <v/>
      </c>
      <c r="AD30" s="64">
        <f>IF(AA30=0,"",AB30/AA30)</f>
        <v/>
      </c>
      <c r="AE30" s="31" t="n"/>
      <c r="AF30" s="60" t="n"/>
      <c r="AG30" s="60" t="n"/>
      <c r="AH30" s="60">
        <f>AG30-AF30</f>
        <v/>
      </c>
      <c r="AI30" s="61">
        <f>IF(AF30=0,"",AG30/AF30)</f>
        <v/>
      </c>
      <c r="AJ30" s="27" t="n"/>
      <c r="AK30" s="62" t="n"/>
      <c r="AL30" s="62" t="n"/>
      <c r="AM30" s="62">
        <f>AL30-AK30</f>
        <v/>
      </c>
      <c r="AN30" s="64">
        <f>IF(AK30=0,"",AL30/AK30)</f>
        <v/>
      </c>
      <c r="AO30" s="31" t="n"/>
      <c r="AP30" s="60" t="n"/>
      <c r="AQ30" s="60" t="n"/>
      <c r="AR30" s="60">
        <f>AQ30-AP30</f>
        <v/>
      </c>
      <c r="AS30" s="61">
        <f>IF(AP30=0,"",AQ30/AP30)</f>
        <v/>
      </c>
      <c r="AT30" s="27" t="n"/>
      <c r="AU30" s="62" t="n"/>
      <c r="AV30" s="62" t="n"/>
      <c r="AW30" s="62">
        <f>AV30-AU30</f>
        <v/>
      </c>
      <c r="AX30" s="64">
        <f>IF(AU30=0,"",AV30/AU30)</f>
        <v/>
      </c>
      <c r="AY30" s="31" t="n"/>
      <c r="AZ30" s="60" t="n"/>
      <c r="BA30" s="60" t="n"/>
      <c r="BB30" s="60">
        <f>BA30-AZ30</f>
        <v/>
      </c>
      <c r="BC30" s="61">
        <f>IF(AZ30=0,"",BA30/AZ30)</f>
        <v/>
      </c>
      <c r="BD30" s="27" t="n"/>
      <c r="BE30" s="62" t="n"/>
      <c r="BF30" s="62" t="n"/>
      <c r="BG30" s="62">
        <f>BF30-BE30</f>
        <v/>
      </c>
      <c r="BH30" s="64">
        <f>IF(BE30=0,"",BF30/BE30)</f>
        <v/>
      </c>
      <c r="BI30" s="31" t="n"/>
      <c r="BJ30" s="60" t="n"/>
      <c r="BK30" s="60" t="n"/>
      <c r="BL30" s="60">
        <f>BK30-BJ30</f>
        <v/>
      </c>
      <c r="BM30" s="61">
        <f>IF(BJ30=0,"",BK30/BJ30)</f>
        <v/>
      </c>
      <c r="BN30" s="27" t="n"/>
      <c r="BO30" s="62" t="n"/>
      <c r="BP30" s="62" t="n"/>
      <c r="BQ30" s="62">
        <f>BP30-BO30</f>
        <v/>
      </c>
      <c r="BR30" s="64">
        <f>IF(BO30=0,"",BP30/BO30)</f>
        <v/>
      </c>
      <c r="BS30" s="31" t="n"/>
      <c r="BT30" s="60" t="n"/>
      <c r="BU30" s="60" t="n"/>
      <c r="BV30" s="60">
        <f>BU30-BT30</f>
        <v/>
      </c>
      <c r="BW30" s="61">
        <f>IF(BT30=0,"",BU30/BT30)</f>
        <v/>
      </c>
      <c r="BX30" s="27" t="n"/>
      <c r="BY30" s="62" t="n"/>
      <c r="BZ30" s="62" t="n"/>
      <c r="CA30" s="62">
        <f>BZ30-BY30</f>
        <v/>
      </c>
      <c r="CB30" s="64">
        <f>IF(BY30=0,"",BZ30/BY30)</f>
        <v/>
      </c>
      <c r="CC30" s="31" t="n"/>
      <c r="CD30" s="60" t="n"/>
      <c r="CE30" s="60" t="n"/>
      <c r="CF30" s="60">
        <f>CE30-CD30</f>
        <v/>
      </c>
      <c r="CG30" s="61">
        <f>IF(CD30=0,"",CE30/CD30)</f>
        <v/>
      </c>
      <c r="CH30" s="27" t="n"/>
      <c r="CI30" s="62" t="n"/>
      <c r="CJ30" s="62" t="n"/>
      <c r="CK30" s="62">
        <f>CJ30-CI30</f>
        <v/>
      </c>
      <c r="CL30" s="64">
        <f>IF(CI30=0,"",CJ30/CI30)</f>
        <v/>
      </c>
      <c r="CM30" s="31" t="n"/>
      <c r="CN30" s="60" t="n"/>
      <c r="CO30" s="60" t="n"/>
      <c r="CP30" s="60">
        <f>CO30-CN30</f>
        <v/>
      </c>
      <c r="CQ30" s="61">
        <f>IF(CN30=0,"",CO30/CN30)</f>
        <v/>
      </c>
      <c r="CR30" s="27" t="n"/>
      <c r="CS30" s="62" t="n"/>
      <c r="CT30" s="62" t="n"/>
      <c r="CU30" s="62">
        <f>CT30-CS30</f>
        <v/>
      </c>
      <c r="CV30" s="64">
        <f>IF(CS30=0,"",CT30/CS30)</f>
        <v/>
      </c>
      <c r="CW30" s="31" t="n"/>
      <c r="CX30" s="60" t="n"/>
      <c r="CY30" s="60" t="n"/>
      <c r="CZ30" s="60">
        <f>CY30-CX30</f>
        <v/>
      </c>
      <c r="DA30" s="61">
        <f>IF(CX30=0,"",CY30/CX30)</f>
        <v/>
      </c>
      <c r="DB30" s="27" t="n"/>
      <c r="DC30" s="62" t="n"/>
      <c r="DD30" s="62" t="n"/>
      <c r="DE30" s="62">
        <f>DD30-DC30</f>
        <v/>
      </c>
      <c r="DF30" s="64">
        <f>IF(DC30=0,"",DD30/DC30)</f>
        <v/>
      </c>
      <c r="DG30" s="31" t="n"/>
      <c r="DH30" s="60" t="n"/>
      <c r="DI30" s="60" t="n"/>
      <c r="DJ30" s="60">
        <f>DI30-DH30</f>
        <v/>
      </c>
      <c r="DK30" s="61">
        <f>IF(DH30=0,"",DI30/DH30)</f>
        <v/>
      </c>
      <c r="DL30" s="27" t="n"/>
      <c r="DM30" s="62" t="n"/>
      <c r="DN30" s="62" t="n"/>
      <c r="DO30" s="62">
        <f>DN30-DM30</f>
        <v/>
      </c>
      <c r="DP30" s="64">
        <f>IF(DM30=0,"",DN30/DM30)</f>
        <v/>
      </c>
      <c r="DQ30" s="31" t="n"/>
      <c r="DR30" s="60" t="n"/>
    </row>
    <row r="31" outlineLevel="1" ht="15" customHeight="1">
      <c r="A31" s="24" t="n"/>
      <c r="B31" s="24" t="n"/>
      <c r="C31" s="36" t="n"/>
      <c r="D31" s="24" t="n"/>
      <c r="E31" s="24" t="n"/>
      <c r="F31" s="24" t="n"/>
      <c r="G31" s="60" t="n"/>
      <c r="H31" s="60" t="n"/>
      <c r="I31" s="60">
        <f>H31-G31</f>
        <v/>
      </c>
      <c r="J31" s="61">
        <f>IF(G31=0,"",H31/G31)</f>
        <v/>
      </c>
      <c r="K31" s="27" t="n"/>
      <c r="L31" s="60" t="n"/>
      <c r="M31" s="60" t="n"/>
      <c r="N31" s="60">
        <f>M31-L31</f>
        <v/>
      </c>
      <c r="O31" s="61">
        <f>IF(L31=0,"",M31/L31)</f>
        <v/>
      </c>
      <c r="P31" s="27" t="n"/>
      <c r="Q31" s="62" t="n"/>
      <c r="R31" s="62" t="n"/>
      <c r="S31" s="62">
        <f>R31-Q31</f>
        <v/>
      </c>
      <c r="T31" s="64">
        <f>IF(Q31=0,"",R31/Q31)</f>
        <v/>
      </c>
      <c r="U31" s="31" t="n"/>
      <c r="V31" s="60" t="n"/>
      <c r="W31" s="60" t="n"/>
      <c r="X31" s="60">
        <f>W31-V31</f>
        <v/>
      </c>
      <c r="Y31" s="61">
        <f>IF(V31=0,"",W31/V31)</f>
        <v/>
      </c>
      <c r="Z31" s="27" t="n"/>
      <c r="AA31" s="62" t="n"/>
      <c r="AB31" s="62" t="n"/>
      <c r="AC31" s="62">
        <f>AB31-AA31</f>
        <v/>
      </c>
      <c r="AD31" s="64">
        <f>IF(AA31=0,"",AB31/AA31)</f>
        <v/>
      </c>
      <c r="AE31" s="31" t="n"/>
      <c r="AF31" s="60" t="n"/>
      <c r="AG31" s="60" t="n"/>
      <c r="AH31" s="60">
        <f>AG31-AF31</f>
        <v/>
      </c>
      <c r="AI31" s="61">
        <f>IF(AF31=0,"",AG31/AF31)</f>
        <v/>
      </c>
      <c r="AJ31" s="27" t="n"/>
      <c r="AK31" s="62" t="n"/>
      <c r="AL31" s="62" t="n"/>
      <c r="AM31" s="62">
        <f>AL31-AK31</f>
        <v/>
      </c>
      <c r="AN31" s="64">
        <f>IF(AK31=0,"",AL31/AK31)</f>
        <v/>
      </c>
      <c r="AO31" s="31" t="n"/>
      <c r="AP31" s="60" t="n"/>
      <c r="AQ31" s="60" t="n"/>
      <c r="AR31" s="60">
        <f>AQ31-AP31</f>
        <v/>
      </c>
      <c r="AS31" s="61">
        <f>IF(AP31=0,"",AQ31/AP31)</f>
        <v/>
      </c>
      <c r="AT31" s="27" t="n"/>
      <c r="AU31" s="62" t="n"/>
      <c r="AV31" s="62" t="n"/>
      <c r="AW31" s="62">
        <f>AV31-AU31</f>
        <v/>
      </c>
      <c r="AX31" s="64">
        <f>IF(AU31=0,"",AV31/AU31)</f>
        <v/>
      </c>
      <c r="AY31" s="31" t="n"/>
      <c r="AZ31" s="60" t="n"/>
      <c r="BA31" s="60" t="n"/>
      <c r="BB31" s="60">
        <f>BA31-AZ31</f>
        <v/>
      </c>
      <c r="BC31" s="61">
        <f>IF(AZ31=0,"",BA31/AZ31)</f>
        <v/>
      </c>
      <c r="BD31" s="27" t="n"/>
      <c r="BE31" s="62" t="n"/>
      <c r="BF31" s="62" t="n"/>
      <c r="BG31" s="62">
        <f>BF31-BE31</f>
        <v/>
      </c>
      <c r="BH31" s="64">
        <f>IF(BE31=0,"",BF31/BE31)</f>
        <v/>
      </c>
      <c r="BI31" s="31" t="n"/>
      <c r="BJ31" s="60" t="n"/>
      <c r="BK31" s="60" t="n"/>
      <c r="BL31" s="60">
        <f>BK31-BJ31</f>
        <v/>
      </c>
      <c r="BM31" s="61">
        <f>IF(BJ31=0,"",BK31/BJ31)</f>
        <v/>
      </c>
      <c r="BN31" s="27" t="n"/>
      <c r="BO31" s="62" t="n"/>
      <c r="BP31" s="62" t="n"/>
      <c r="BQ31" s="62">
        <f>BP31-BO31</f>
        <v/>
      </c>
      <c r="BR31" s="64">
        <f>IF(BO31=0,"",BP31/BO31)</f>
        <v/>
      </c>
      <c r="BS31" s="31" t="n"/>
      <c r="BT31" s="60" t="n"/>
      <c r="BU31" s="60" t="n"/>
      <c r="BV31" s="60">
        <f>BU31-BT31</f>
        <v/>
      </c>
      <c r="BW31" s="61">
        <f>IF(BT31=0,"",BU31/BT31)</f>
        <v/>
      </c>
      <c r="BX31" s="27" t="n"/>
      <c r="BY31" s="62" t="n"/>
      <c r="BZ31" s="62" t="n"/>
      <c r="CA31" s="62">
        <f>BZ31-BY31</f>
        <v/>
      </c>
      <c r="CB31" s="64">
        <f>IF(BY31=0,"",BZ31/BY31)</f>
        <v/>
      </c>
      <c r="CC31" s="31" t="n"/>
      <c r="CD31" s="60" t="n"/>
      <c r="CE31" s="60" t="n"/>
      <c r="CF31" s="60">
        <f>CE31-CD31</f>
        <v/>
      </c>
      <c r="CG31" s="61">
        <f>IF(CD31=0,"",CE31/CD31)</f>
        <v/>
      </c>
      <c r="CH31" s="27" t="n"/>
      <c r="CI31" s="62" t="n"/>
      <c r="CJ31" s="62" t="n"/>
      <c r="CK31" s="62">
        <f>CJ31-CI31</f>
        <v/>
      </c>
      <c r="CL31" s="64">
        <f>IF(CI31=0,"",CJ31/CI31)</f>
        <v/>
      </c>
      <c r="CM31" s="31" t="n"/>
      <c r="CN31" s="60" t="n"/>
      <c r="CO31" s="60" t="n"/>
      <c r="CP31" s="60">
        <f>CO31-CN31</f>
        <v/>
      </c>
      <c r="CQ31" s="61">
        <f>IF(CN31=0,"",CO31/CN31)</f>
        <v/>
      </c>
      <c r="CR31" s="27" t="n"/>
      <c r="CS31" s="62" t="n"/>
      <c r="CT31" s="62" t="n"/>
      <c r="CU31" s="62">
        <f>CT31-CS31</f>
        <v/>
      </c>
      <c r="CV31" s="64">
        <f>IF(CS31=0,"",CT31/CS31)</f>
        <v/>
      </c>
      <c r="CW31" s="31" t="n"/>
      <c r="CX31" s="60" t="n"/>
      <c r="CY31" s="60" t="n"/>
      <c r="CZ31" s="60">
        <f>CY31-CX31</f>
        <v/>
      </c>
      <c r="DA31" s="61">
        <f>IF(CX31=0,"",CY31/CX31)</f>
        <v/>
      </c>
      <c r="DB31" s="27" t="n"/>
      <c r="DC31" s="62" t="n"/>
      <c r="DD31" s="62" t="n"/>
      <c r="DE31" s="62">
        <f>DD31-DC31</f>
        <v/>
      </c>
      <c r="DF31" s="64">
        <f>IF(DC31=0,"",DD31/DC31)</f>
        <v/>
      </c>
      <c r="DG31" s="31" t="n"/>
      <c r="DH31" s="60" t="n"/>
      <c r="DI31" s="60" t="n"/>
      <c r="DJ31" s="60">
        <f>DI31-DH31</f>
        <v/>
      </c>
      <c r="DK31" s="61">
        <f>IF(DH31=0,"",DI31/DH31)</f>
        <v/>
      </c>
      <c r="DL31" s="27" t="n"/>
      <c r="DM31" s="62" t="n"/>
      <c r="DN31" s="62" t="n"/>
      <c r="DO31" s="62">
        <f>DN31-DM31</f>
        <v/>
      </c>
      <c r="DP31" s="64">
        <f>IF(DM31=0,"",DN31/DM31)</f>
        <v/>
      </c>
      <c r="DQ31" s="31" t="n"/>
      <c r="DR31" s="60" t="n"/>
    </row>
    <row r="32" outlineLevel="1" ht="15" customHeight="1">
      <c r="A32" s="24" t="n"/>
      <c r="B32" s="24" t="n"/>
      <c r="C32" s="36" t="n"/>
      <c r="D32" s="24" t="n"/>
      <c r="E32" s="24" t="n"/>
      <c r="F32" s="24" t="n"/>
      <c r="G32" s="60" t="n"/>
      <c r="H32" s="60" t="n"/>
      <c r="I32" s="60">
        <f>H32-G32</f>
        <v/>
      </c>
      <c r="J32" s="61">
        <f>IF(G32=0,"",H32/G32)</f>
        <v/>
      </c>
      <c r="K32" s="27" t="n"/>
      <c r="L32" s="60" t="n"/>
      <c r="M32" s="60" t="n"/>
      <c r="N32" s="60">
        <f>M32-L32</f>
        <v/>
      </c>
      <c r="O32" s="61">
        <f>IF(L32=0,"",M32/L32)</f>
        <v/>
      </c>
      <c r="P32" s="27" t="n"/>
      <c r="Q32" s="62" t="n"/>
      <c r="R32" s="62" t="n"/>
      <c r="S32" s="62">
        <f>R32-Q32</f>
        <v/>
      </c>
      <c r="T32" s="64">
        <f>IF(Q32=0,"",R32/Q32)</f>
        <v/>
      </c>
      <c r="U32" s="31" t="n"/>
      <c r="V32" s="60" t="n"/>
      <c r="W32" s="60" t="n"/>
      <c r="X32" s="60">
        <f>W32-V32</f>
        <v/>
      </c>
      <c r="Y32" s="61">
        <f>IF(V32=0,"",W32/V32)</f>
        <v/>
      </c>
      <c r="Z32" s="27" t="n"/>
      <c r="AA32" s="62" t="n"/>
      <c r="AB32" s="62" t="n"/>
      <c r="AC32" s="62">
        <f>AB32-AA32</f>
        <v/>
      </c>
      <c r="AD32" s="64">
        <f>IF(AA32=0,"",AB32/AA32)</f>
        <v/>
      </c>
      <c r="AE32" s="31" t="n"/>
      <c r="AF32" s="60" t="n"/>
      <c r="AG32" s="60" t="n"/>
      <c r="AH32" s="60">
        <f>AG32-AF32</f>
        <v/>
      </c>
      <c r="AI32" s="61">
        <f>IF(AF32=0,"",AG32/AF32)</f>
        <v/>
      </c>
      <c r="AJ32" s="27" t="n"/>
      <c r="AK32" s="62" t="n"/>
      <c r="AL32" s="62" t="n"/>
      <c r="AM32" s="62">
        <f>AL32-AK32</f>
        <v/>
      </c>
      <c r="AN32" s="64">
        <f>IF(AK32=0,"",AL32/AK32)</f>
        <v/>
      </c>
      <c r="AO32" s="31" t="n"/>
      <c r="AP32" s="60" t="n"/>
      <c r="AQ32" s="60" t="n"/>
      <c r="AR32" s="60">
        <f>AQ32-AP32</f>
        <v/>
      </c>
      <c r="AS32" s="61">
        <f>IF(AP32=0,"",AQ32/AP32)</f>
        <v/>
      </c>
      <c r="AT32" s="27" t="n"/>
      <c r="AU32" s="62" t="n"/>
      <c r="AV32" s="62" t="n"/>
      <c r="AW32" s="62">
        <f>AV32-AU32</f>
        <v/>
      </c>
      <c r="AX32" s="64">
        <f>IF(AU32=0,"",AV32/AU32)</f>
        <v/>
      </c>
      <c r="AY32" s="31" t="n"/>
      <c r="AZ32" s="60" t="n"/>
      <c r="BA32" s="60" t="n"/>
      <c r="BB32" s="60">
        <f>BA32-AZ32</f>
        <v/>
      </c>
      <c r="BC32" s="61">
        <f>IF(AZ32=0,"",BA32/AZ32)</f>
        <v/>
      </c>
      <c r="BD32" s="27" t="n"/>
      <c r="BE32" s="62" t="n"/>
      <c r="BF32" s="62" t="n"/>
      <c r="BG32" s="62">
        <f>BF32-BE32</f>
        <v/>
      </c>
      <c r="BH32" s="64">
        <f>IF(BE32=0,"",BF32/BE32)</f>
        <v/>
      </c>
      <c r="BI32" s="31" t="n"/>
      <c r="BJ32" s="60" t="n"/>
      <c r="BK32" s="60" t="n"/>
      <c r="BL32" s="60">
        <f>BK32-BJ32</f>
        <v/>
      </c>
      <c r="BM32" s="61">
        <f>IF(BJ32=0,"",BK32/BJ32)</f>
        <v/>
      </c>
      <c r="BN32" s="27" t="n"/>
      <c r="BO32" s="62" t="n"/>
      <c r="BP32" s="62" t="n"/>
      <c r="BQ32" s="62">
        <f>BP32-BO32</f>
        <v/>
      </c>
      <c r="BR32" s="64">
        <f>IF(BO32=0,"",BP32/BO32)</f>
        <v/>
      </c>
      <c r="BS32" s="31" t="n"/>
      <c r="BT32" s="60" t="n"/>
      <c r="BU32" s="60" t="n"/>
      <c r="BV32" s="60">
        <f>BU32-BT32</f>
        <v/>
      </c>
      <c r="BW32" s="61">
        <f>IF(BT32=0,"",BU32/BT32)</f>
        <v/>
      </c>
      <c r="BX32" s="27" t="n"/>
      <c r="BY32" s="62" t="n"/>
      <c r="BZ32" s="62" t="n"/>
      <c r="CA32" s="62">
        <f>BZ32-BY32</f>
        <v/>
      </c>
      <c r="CB32" s="64">
        <f>IF(BY32=0,"",BZ32/BY32)</f>
        <v/>
      </c>
      <c r="CC32" s="31" t="n"/>
      <c r="CD32" s="60" t="n"/>
      <c r="CE32" s="60" t="n"/>
      <c r="CF32" s="60">
        <f>CE32-CD32</f>
        <v/>
      </c>
      <c r="CG32" s="61">
        <f>IF(CD32=0,"",CE32/CD32)</f>
        <v/>
      </c>
      <c r="CH32" s="27" t="n"/>
      <c r="CI32" s="62" t="n"/>
      <c r="CJ32" s="62" t="n"/>
      <c r="CK32" s="62">
        <f>CJ32-CI32</f>
        <v/>
      </c>
      <c r="CL32" s="64">
        <f>IF(CI32=0,"",CJ32/CI32)</f>
        <v/>
      </c>
      <c r="CM32" s="31" t="n"/>
      <c r="CN32" s="60" t="n"/>
      <c r="CO32" s="60" t="n"/>
      <c r="CP32" s="60">
        <f>CO32-CN32</f>
        <v/>
      </c>
      <c r="CQ32" s="61">
        <f>IF(CN32=0,"",CO32/CN32)</f>
        <v/>
      </c>
      <c r="CR32" s="27" t="n"/>
      <c r="CS32" s="62" t="n"/>
      <c r="CT32" s="62" t="n"/>
      <c r="CU32" s="62">
        <f>CT32-CS32</f>
        <v/>
      </c>
      <c r="CV32" s="64">
        <f>IF(CS32=0,"",CT32/CS32)</f>
        <v/>
      </c>
      <c r="CW32" s="31" t="n"/>
      <c r="CX32" s="60" t="n"/>
      <c r="CY32" s="60" t="n"/>
      <c r="CZ32" s="60">
        <f>CY32-CX32</f>
        <v/>
      </c>
      <c r="DA32" s="61">
        <f>IF(CX32=0,"",CY32/CX32)</f>
        <v/>
      </c>
      <c r="DB32" s="27" t="n"/>
      <c r="DC32" s="62" t="n"/>
      <c r="DD32" s="62" t="n"/>
      <c r="DE32" s="62">
        <f>DD32-DC32</f>
        <v/>
      </c>
      <c r="DF32" s="64">
        <f>IF(DC32=0,"",DD32/DC32)</f>
        <v/>
      </c>
      <c r="DG32" s="31" t="n"/>
      <c r="DH32" s="60" t="n"/>
      <c r="DI32" s="60" t="n"/>
      <c r="DJ32" s="60">
        <f>DI32-DH32</f>
        <v/>
      </c>
      <c r="DK32" s="61">
        <f>IF(DH32=0,"",DI32/DH32)</f>
        <v/>
      </c>
      <c r="DL32" s="27" t="n"/>
      <c r="DM32" s="62" t="n"/>
      <c r="DN32" s="62" t="n"/>
      <c r="DO32" s="62">
        <f>DN32-DM32</f>
        <v/>
      </c>
      <c r="DP32" s="64">
        <f>IF(DM32=0,"",DN32/DM32)</f>
        <v/>
      </c>
      <c r="DQ32" s="31" t="n"/>
      <c r="DR32" s="60" t="n"/>
    </row>
    <row r="33" ht="15" customHeight="1">
      <c r="A33" s="32" t="n"/>
      <c r="B33" s="32" t="n"/>
      <c r="C33" s="32" t="n"/>
      <c r="D33" s="32" t="n"/>
      <c r="E33" s="32" t="n"/>
      <c r="F33" s="32" t="n"/>
      <c r="G33" s="65">
        <f>G34+G35+G36</f>
        <v/>
      </c>
      <c r="H33" s="65">
        <f>H34+H35+H36</f>
        <v/>
      </c>
      <c r="I33" s="65">
        <f>H33-G33</f>
        <v/>
      </c>
      <c r="J33" s="66">
        <f>IF(G33=0,"",H33/G33)</f>
        <v/>
      </c>
      <c r="K33" s="35" t="n"/>
      <c r="L33" s="65">
        <f>L34+L35+L36</f>
        <v/>
      </c>
      <c r="M33" s="65">
        <f>M34+M35+M36</f>
        <v/>
      </c>
      <c r="N33" s="65">
        <f>M33-L33</f>
        <v/>
      </c>
      <c r="O33" s="66">
        <f>IF(L33=0,"",M33/L33)</f>
        <v/>
      </c>
      <c r="P33" s="35" t="n"/>
      <c r="Q33" s="65">
        <f>Q34+Q35+Q36</f>
        <v/>
      </c>
      <c r="R33" s="65">
        <f>R34+R35+R36</f>
        <v/>
      </c>
      <c r="S33" s="65">
        <f>R33-Q33</f>
        <v/>
      </c>
      <c r="T33" s="66">
        <f>IF(Q33=0,"",R33/Q33)</f>
        <v/>
      </c>
      <c r="U33" s="35" t="n"/>
      <c r="V33" s="65">
        <f>V34+V35+V36</f>
        <v/>
      </c>
      <c r="W33" s="65">
        <f>W34+W35+W36</f>
        <v/>
      </c>
      <c r="X33" s="65">
        <f>W33-V33</f>
        <v/>
      </c>
      <c r="Y33" s="66">
        <f>IF(V33=0,"",W33/V33)</f>
        <v/>
      </c>
      <c r="Z33" s="35" t="n"/>
      <c r="AA33" s="65">
        <f>AA34+AA35+AA36</f>
        <v/>
      </c>
      <c r="AB33" s="65">
        <f>AB34+AB35+AB36</f>
        <v/>
      </c>
      <c r="AC33" s="65">
        <f>AB33-AA33</f>
        <v/>
      </c>
      <c r="AD33" s="66">
        <f>IF(AA33=0,"",AB33/AA33)</f>
        <v/>
      </c>
      <c r="AE33" s="35" t="n"/>
      <c r="AF33" s="65">
        <f>AF34+AF35+AF36</f>
        <v/>
      </c>
      <c r="AG33" s="65">
        <f>AG34+AG35+AG36</f>
        <v/>
      </c>
      <c r="AH33" s="65">
        <f>AG33-AF33</f>
        <v/>
      </c>
      <c r="AI33" s="66">
        <f>IF(AF33=0,"",AG33/AF33)</f>
        <v/>
      </c>
      <c r="AJ33" s="35" t="n"/>
      <c r="AK33" s="65">
        <f>AK34+AK35+AK36</f>
        <v/>
      </c>
      <c r="AL33" s="65">
        <f>AL34+AL35+AL36</f>
        <v/>
      </c>
      <c r="AM33" s="65">
        <f>AL33-AK33</f>
        <v/>
      </c>
      <c r="AN33" s="66">
        <f>IF(AK33=0,"",AL33/AK33)</f>
        <v/>
      </c>
      <c r="AO33" s="35" t="n"/>
      <c r="AP33" s="65">
        <f>AP34+AP35+AP36</f>
        <v/>
      </c>
      <c r="AQ33" s="65">
        <f>AQ34+AQ35+AQ36</f>
        <v/>
      </c>
      <c r="AR33" s="65">
        <f>AQ33-AP33</f>
        <v/>
      </c>
      <c r="AS33" s="66">
        <f>IF(AP33=0,"",AQ33/AP33)</f>
        <v/>
      </c>
      <c r="AT33" s="35" t="n"/>
      <c r="AU33" s="65">
        <f>AU34+AU35+AU36</f>
        <v/>
      </c>
      <c r="AV33" s="65">
        <f>AV34+AV35+AV36</f>
        <v/>
      </c>
      <c r="AW33" s="65">
        <f>AV33-AU33</f>
        <v/>
      </c>
      <c r="AX33" s="66">
        <f>IF(AU33=0,"",AV33/AU33)</f>
        <v/>
      </c>
      <c r="AY33" s="35" t="n"/>
      <c r="AZ33" s="65">
        <f>AZ34+AZ35+AZ36</f>
        <v/>
      </c>
      <c r="BA33" s="65">
        <f>BA34+BA35+BA36</f>
        <v/>
      </c>
      <c r="BB33" s="65">
        <f>BA33-AZ33</f>
        <v/>
      </c>
      <c r="BC33" s="66">
        <f>IF(AZ33=0,"",BA33/AZ33)</f>
        <v/>
      </c>
      <c r="BD33" s="35" t="n"/>
      <c r="BE33" s="65">
        <f>BE34+BE35+BE36</f>
        <v/>
      </c>
      <c r="BF33" s="65">
        <f>BF34+BF35+BF36</f>
        <v/>
      </c>
      <c r="BG33" s="65">
        <f>BF33-BE33</f>
        <v/>
      </c>
      <c r="BH33" s="66">
        <f>IF(BE33=0,"",BF33/BE33)</f>
        <v/>
      </c>
      <c r="BI33" s="35" t="n"/>
      <c r="BJ33" s="65">
        <f>BJ34+BJ35+BJ36</f>
        <v/>
      </c>
      <c r="BK33" s="65">
        <f>BK34+BK35+BK36</f>
        <v/>
      </c>
      <c r="BL33" s="65">
        <f>BK33-BJ33</f>
        <v/>
      </c>
      <c r="BM33" s="66">
        <f>IF(BJ33=0,"",BK33/BJ33)</f>
        <v/>
      </c>
      <c r="BN33" s="35" t="n"/>
      <c r="BO33" s="65">
        <f>BO34+BO35+BO36</f>
        <v/>
      </c>
      <c r="BP33" s="65">
        <f>BP34+BP35+BP36</f>
        <v/>
      </c>
      <c r="BQ33" s="65">
        <f>BP33-BO33</f>
        <v/>
      </c>
      <c r="BR33" s="66">
        <f>IF(BO33=0,"",BP33/BO33)</f>
        <v/>
      </c>
      <c r="BS33" s="35" t="n"/>
      <c r="BT33" s="65">
        <f>BT34+BT35+BT36</f>
        <v/>
      </c>
      <c r="BU33" s="65">
        <f>BU34+BU35+BU36</f>
        <v/>
      </c>
      <c r="BV33" s="65">
        <f>BU33-BT33</f>
        <v/>
      </c>
      <c r="BW33" s="66">
        <f>IF(BT33=0,"",BU33/BT33)</f>
        <v/>
      </c>
      <c r="BX33" s="35" t="n"/>
      <c r="BY33" s="65">
        <f>BY34+BY35+BY36</f>
        <v/>
      </c>
      <c r="BZ33" s="65">
        <f>BZ34+BZ35+BZ36</f>
        <v/>
      </c>
      <c r="CA33" s="65">
        <f>BZ33-BY33</f>
        <v/>
      </c>
      <c r="CB33" s="66">
        <f>IF(BY33=0,"",BZ33/BY33)</f>
        <v/>
      </c>
      <c r="CC33" s="35" t="n"/>
      <c r="CD33" s="65">
        <f>CD34+CD35+CD36</f>
        <v/>
      </c>
      <c r="CE33" s="65">
        <f>CE34+CE35+CE36</f>
        <v/>
      </c>
      <c r="CF33" s="65">
        <f>CE33-CD33</f>
        <v/>
      </c>
      <c r="CG33" s="66">
        <f>IF(CD33=0,"",CE33/CD33)</f>
        <v/>
      </c>
      <c r="CH33" s="35" t="n"/>
      <c r="CI33" s="65">
        <f>CI34+CI35+CI36</f>
        <v/>
      </c>
      <c r="CJ33" s="65">
        <f>CJ34+CJ35+CJ36</f>
        <v/>
      </c>
      <c r="CK33" s="65">
        <f>CJ33-CI33</f>
        <v/>
      </c>
      <c r="CL33" s="66">
        <f>IF(CI33=0,"",CJ33/CI33)</f>
        <v/>
      </c>
      <c r="CM33" s="35" t="n"/>
      <c r="CN33" s="65">
        <f>CN34+CN35+CN36</f>
        <v/>
      </c>
      <c r="CO33" s="65">
        <f>CO34+CO35+CO36</f>
        <v/>
      </c>
      <c r="CP33" s="65">
        <f>CO33-CN33</f>
        <v/>
      </c>
      <c r="CQ33" s="66">
        <f>IF(CN33=0,"",CO33/CN33)</f>
        <v/>
      </c>
      <c r="CR33" s="35" t="n"/>
      <c r="CS33" s="65">
        <f>CS34+CS35+CS36</f>
        <v/>
      </c>
      <c r="CT33" s="65">
        <f>CT34+CT35+CT36</f>
        <v/>
      </c>
      <c r="CU33" s="65">
        <f>CT33-CS33</f>
        <v/>
      </c>
      <c r="CV33" s="66">
        <f>IF(CS33=0,"",CT33/CS33)</f>
        <v/>
      </c>
      <c r="CW33" s="35" t="n"/>
      <c r="CX33" s="65">
        <f>CX34+CX35+CX36</f>
        <v/>
      </c>
      <c r="CY33" s="65">
        <f>CY34+CY35+CY36</f>
        <v/>
      </c>
      <c r="CZ33" s="65">
        <f>CY33-CX33</f>
        <v/>
      </c>
      <c r="DA33" s="66">
        <f>IF(CX33=0,"",CY33/CX33)</f>
        <v/>
      </c>
      <c r="DB33" s="35" t="n"/>
      <c r="DC33" s="65">
        <f>DC34+DC35+DC36</f>
        <v/>
      </c>
      <c r="DD33" s="65">
        <f>DD34+DD35+DD36</f>
        <v/>
      </c>
      <c r="DE33" s="65">
        <f>DD33-DC33</f>
        <v/>
      </c>
      <c r="DF33" s="66">
        <f>IF(DC33=0,"",DD33/DC33)</f>
        <v/>
      </c>
      <c r="DG33" s="35" t="n"/>
      <c r="DH33" s="65">
        <f>DH34+DH35+DH36</f>
        <v/>
      </c>
      <c r="DI33" s="65">
        <f>DI34+DI35+DI36</f>
        <v/>
      </c>
      <c r="DJ33" s="65">
        <f>DI33-DH33</f>
        <v/>
      </c>
      <c r="DK33" s="66">
        <f>IF(DH33=0,"",DI33/DH33)</f>
        <v/>
      </c>
      <c r="DL33" s="35" t="n"/>
      <c r="DM33" s="65">
        <f>DM34+DM35+DM36</f>
        <v/>
      </c>
      <c r="DN33" s="65">
        <f>DN34+DN35+DN36</f>
        <v/>
      </c>
      <c r="DO33" s="65">
        <f>DN33-DM33</f>
        <v/>
      </c>
      <c r="DP33" s="66">
        <f>IF(DM33=0,"",DN33/DM33)</f>
        <v/>
      </c>
      <c r="DQ33" s="35" t="n"/>
      <c r="DR33" s="65">
        <f>DR34+DR35+DR36</f>
        <v/>
      </c>
    </row>
    <row r="34" outlineLevel="1" ht="15" customHeight="1">
      <c r="A34" s="24" t="n"/>
      <c r="B34" s="24" t="n"/>
      <c r="C34" s="24" t="n"/>
      <c r="D34" s="24" t="n"/>
      <c r="E34" s="24" t="n"/>
      <c r="F34" s="24" t="n"/>
      <c r="G34" s="60" t="n"/>
      <c r="H34" s="60" t="n"/>
      <c r="I34" s="60">
        <f>H34-G34</f>
        <v/>
      </c>
      <c r="J34" s="61">
        <f>IF(G34=0,"",H34/G34)</f>
        <v/>
      </c>
      <c r="K34" s="27" t="n"/>
      <c r="L34" s="60" t="n"/>
      <c r="M34" s="60" t="n"/>
      <c r="N34" s="60">
        <f>M34-L34</f>
        <v/>
      </c>
      <c r="O34" s="61">
        <f>IF(L34=0,"",M34/L34)</f>
        <v/>
      </c>
      <c r="P34" s="27" t="n"/>
      <c r="Q34" s="62" t="n"/>
      <c r="R34" s="62" t="n"/>
      <c r="S34" s="62">
        <f>R34-Q34</f>
        <v/>
      </c>
      <c r="T34" s="64">
        <f>IF(Q34=0,"",R34/Q34)</f>
        <v/>
      </c>
      <c r="U34" s="31" t="n"/>
      <c r="V34" s="60" t="n"/>
      <c r="W34" s="60" t="n"/>
      <c r="X34" s="60">
        <f>W34-V34</f>
        <v/>
      </c>
      <c r="Y34" s="61">
        <f>IF(V34=0,"",W34/V34)</f>
        <v/>
      </c>
      <c r="Z34" s="27" t="n"/>
      <c r="AA34" s="62" t="n"/>
      <c r="AB34" s="62" t="n"/>
      <c r="AC34" s="62">
        <f>AB34-AA34</f>
        <v/>
      </c>
      <c r="AD34" s="64">
        <f>IF(AA34=0,"",AB34/AA34)</f>
        <v/>
      </c>
      <c r="AE34" s="31" t="n"/>
      <c r="AF34" s="60" t="n"/>
      <c r="AG34" s="60" t="n"/>
      <c r="AH34" s="60">
        <f>AG34-AF34</f>
        <v/>
      </c>
      <c r="AI34" s="61">
        <f>IF(AF34=0,"",AG34/AF34)</f>
        <v/>
      </c>
      <c r="AJ34" s="27" t="n"/>
      <c r="AK34" s="62" t="n"/>
      <c r="AL34" s="62" t="n"/>
      <c r="AM34" s="62">
        <f>AL34-AK34</f>
        <v/>
      </c>
      <c r="AN34" s="64">
        <f>IF(AK34=0,"",AL34/AK34)</f>
        <v/>
      </c>
      <c r="AO34" s="31" t="n"/>
      <c r="AP34" s="60" t="n"/>
      <c r="AQ34" s="60" t="n"/>
      <c r="AR34" s="60">
        <f>AQ34-AP34</f>
        <v/>
      </c>
      <c r="AS34" s="61">
        <f>IF(AP34=0,"",AQ34/AP34)</f>
        <v/>
      </c>
      <c r="AT34" s="27" t="n"/>
      <c r="AU34" s="62" t="n"/>
      <c r="AV34" s="62" t="n"/>
      <c r="AW34" s="62">
        <f>AV34-AU34</f>
        <v/>
      </c>
      <c r="AX34" s="64">
        <f>IF(AU34=0,"",AV34/AU34)</f>
        <v/>
      </c>
      <c r="AY34" s="31" t="n"/>
      <c r="AZ34" s="60" t="n"/>
      <c r="BA34" s="60" t="n"/>
      <c r="BB34" s="60">
        <f>BA34-AZ34</f>
        <v/>
      </c>
      <c r="BC34" s="61">
        <f>IF(AZ34=0,"",BA34/AZ34)</f>
        <v/>
      </c>
      <c r="BD34" s="27" t="n"/>
      <c r="BE34" s="62" t="n"/>
      <c r="BF34" s="62" t="n"/>
      <c r="BG34" s="62">
        <f>BF34-BE34</f>
        <v/>
      </c>
      <c r="BH34" s="64">
        <f>IF(BE34=0,"",BF34/BE34)</f>
        <v/>
      </c>
      <c r="BI34" s="31" t="n"/>
      <c r="BJ34" s="60" t="n"/>
      <c r="BK34" s="60" t="n"/>
      <c r="BL34" s="60">
        <f>BK34-BJ34</f>
        <v/>
      </c>
      <c r="BM34" s="61">
        <f>IF(BJ34=0,"",BK34/BJ34)</f>
        <v/>
      </c>
      <c r="BN34" s="27" t="n"/>
      <c r="BO34" s="62" t="n"/>
      <c r="BP34" s="62" t="n"/>
      <c r="BQ34" s="62">
        <f>BP34-BO34</f>
        <v/>
      </c>
      <c r="BR34" s="64">
        <f>IF(BO34=0,"",BP34/BO34)</f>
        <v/>
      </c>
      <c r="BS34" s="31" t="n"/>
      <c r="BT34" s="60" t="n"/>
      <c r="BU34" s="60" t="n"/>
      <c r="BV34" s="60">
        <f>BU34-BT34</f>
        <v/>
      </c>
      <c r="BW34" s="61">
        <f>IF(BT34=0,"",BU34/BT34)</f>
        <v/>
      </c>
      <c r="BX34" s="27" t="n"/>
      <c r="BY34" s="62" t="n"/>
      <c r="BZ34" s="62" t="n"/>
      <c r="CA34" s="62">
        <f>BZ34-BY34</f>
        <v/>
      </c>
      <c r="CB34" s="64">
        <f>IF(BY34=0,"",BZ34/BY34)</f>
        <v/>
      </c>
      <c r="CC34" s="31" t="n"/>
      <c r="CD34" s="60" t="n"/>
      <c r="CE34" s="60" t="n"/>
      <c r="CF34" s="60">
        <f>CE34-CD34</f>
        <v/>
      </c>
      <c r="CG34" s="61">
        <f>IF(CD34=0,"",CE34/CD34)</f>
        <v/>
      </c>
      <c r="CH34" s="27" t="n"/>
      <c r="CI34" s="62" t="n"/>
      <c r="CJ34" s="62" t="n"/>
      <c r="CK34" s="62">
        <f>CJ34-CI34</f>
        <v/>
      </c>
      <c r="CL34" s="64">
        <f>IF(CI34=0,"",CJ34/CI34)</f>
        <v/>
      </c>
      <c r="CM34" s="31" t="n"/>
      <c r="CN34" s="60" t="n"/>
      <c r="CO34" s="60" t="n"/>
      <c r="CP34" s="60">
        <f>CO34-CN34</f>
        <v/>
      </c>
      <c r="CQ34" s="61">
        <f>IF(CN34=0,"",CO34/CN34)</f>
        <v/>
      </c>
      <c r="CR34" s="27" t="n"/>
      <c r="CS34" s="62" t="n"/>
      <c r="CT34" s="62" t="n"/>
      <c r="CU34" s="62">
        <f>CT34-CS34</f>
        <v/>
      </c>
      <c r="CV34" s="64">
        <f>IF(CS34=0,"",CT34/CS34)</f>
        <v/>
      </c>
      <c r="CW34" s="31" t="n"/>
      <c r="CX34" s="60" t="n"/>
      <c r="CY34" s="60" t="n"/>
      <c r="CZ34" s="60">
        <f>CY34-CX34</f>
        <v/>
      </c>
      <c r="DA34" s="61">
        <f>IF(CX34=0,"",CY34/CX34)</f>
        <v/>
      </c>
      <c r="DB34" s="27" t="n"/>
      <c r="DC34" s="62" t="n"/>
      <c r="DD34" s="62" t="n"/>
      <c r="DE34" s="62">
        <f>DD34-DC34</f>
        <v/>
      </c>
      <c r="DF34" s="64">
        <f>IF(DC34=0,"",DD34/DC34)</f>
        <v/>
      </c>
      <c r="DG34" s="31" t="n"/>
      <c r="DH34" s="60" t="n"/>
      <c r="DI34" s="60" t="n"/>
      <c r="DJ34" s="60">
        <f>DI34-DH34</f>
        <v/>
      </c>
      <c r="DK34" s="61">
        <f>IF(DH34=0,"",DI34/DH34)</f>
        <v/>
      </c>
      <c r="DL34" s="27" t="n"/>
      <c r="DM34" s="62" t="n"/>
      <c r="DN34" s="62" t="n"/>
      <c r="DO34" s="62">
        <f>DN34-DM34</f>
        <v/>
      </c>
      <c r="DP34" s="64">
        <f>IF(DM34=0,"",DN34/DM34)</f>
        <v/>
      </c>
      <c r="DQ34" s="31" t="n"/>
      <c r="DR34" s="60" t="n"/>
    </row>
    <row r="35" outlineLevel="1" ht="15" customHeight="1">
      <c r="A35" s="67" t="n"/>
      <c r="B35" s="67" t="n"/>
      <c r="C35" s="67" t="n"/>
      <c r="D35" s="24" t="n"/>
      <c r="E35" s="24" t="n"/>
      <c r="F35" s="24" t="n"/>
      <c r="G35" s="60" t="n"/>
      <c r="H35" s="60" t="n"/>
      <c r="I35" s="60">
        <f>H35-G35</f>
        <v/>
      </c>
      <c r="J35" s="61">
        <f>IF(G35=0,"",H35/G35)</f>
        <v/>
      </c>
      <c r="K35" s="27" t="n"/>
      <c r="L35" s="60" t="n"/>
      <c r="M35" s="60" t="n"/>
      <c r="N35" s="60">
        <f>M35-L35</f>
        <v/>
      </c>
      <c r="O35" s="61">
        <f>IF(L35=0,"",M35/L35)</f>
        <v/>
      </c>
      <c r="P35" s="27" t="n"/>
      <c r="Q35" s="62" t="n"/>
      <c r="R35" s="62" t="n"/>
      <c r="S35" s="62">
        <f>R35-Q35</f>
        <v/>
      </c>
      <c r="T35" s="64">
        <f>IF(Q35=0,"",R35/Q35)</f>
        <v/>
      </c>
      <c r="U35" s="31" t="n"/>
      <c r="V35" s="60" t="n"/>
      <c r="W35" s="60" t="n"/>
      <c r="X35" s="60">
        <f>W35-V35</f>
        <v/>
      </c>
      <c r="Y35" s="61">
        <f>IF(V35=0,"",W35/V35)</f>
        <v/>
      </c>
      <c r="Z35" s="27" t="n"/>
      <c r="AA35" s="62" t="n"/>
      <c r="AB35" s="62" t="n"/>
      <c r="AC35" s="62">
        <f>AB35-AA35</f>
        <v/>
      </c>
      <c r="AD35" s="64">
        <f>IF(AA35=0,"",AB35/AA35)</f>
        <v/>
      </c>
      <c r="AE35" s="31" t="n"/>
      <c r="AF35" s="60" t="n"/>
      <c r="AG35" s="60" t="n"/>
      <c r="AH35" s="60">
        <f>AG35-AF35</f>
        <v/>
      </c>
      <c r="AI35" s="61">
        <f>IF(AF35=0,"",AG35/AF35)</f>
        <v/>
      </c>
      <c r="AJ35" s="27" t="n"/>
      <c r="AK35" s="62" t="n"/>
      <c r="AL35" s="62" t="n"/>
      <c r="AM35" s="62">
        <f>AL35-AK35</f>
        <v/>
      </c>
      <c r="AN35" s="64">
        <f>IF(AK35=0,"",AL35/AK35)</f>
        <v/>
      </c>
      <c r="AO35" s="31" t="n"/>
      <c r="AP35" s="60" t="n"/>
      <c r="AQ35" s="60" t="n"/>
      <c r="AR35" s="60">
        <f>AQ35-AP35</f>
        <v/>
      </c>
      <c r="AS35" s="61">
        <f>IF(AP35=0,"",AQ35/AP35)</f>
        <v/>
      </c>
      <c r="AT35" s="27" t="n"/>
      <c r="AU35" s="62" t="n"/>
      <c r="AV35" s="62" t="n"/>
      <c r="AW35" s="62">
        <f>AV35-AU35</f>
        <v/>
      </c>
      <c r="AX35" s="64">
        <f>IF(AU35=0,"",AV35/AU35)</f>
        <v/>
      </c>
      <c r="AY35" s="31" t="n"/>
      <c r="AZ35" s="60" t="n"/>
      <c r="BA35" s="60" t="n"/>
      <c r="BB35" s="60">
        <f>BA35-AZ35</f>
        <v/>
      </c>
      <c r="BC35" s="61">
        <f>IF(AZ35=0,"",BA35/AZ35)</f>
        <v/>
      </c>
      <c r="BD35" s="27" t="n"/>
      <c r="BE35" s="62" t="n"/>
      <c r="BF35" s="62" t="n"/>
      <c r="BG35" s="62">
        <f>BF35-BE35</f>
        <v/>
      </c>
      <c r="BH35" s="64">
        <f>IF(BE35=0,"",BF35/BE35)</f>
        <v/>
      </c>
      <c r="BI35" s="31" t="n"/>
      <c r="BJ35" s="60" t="n"/>
      <c r="BK35" s="60" t="n"/>
      <c r="BL35" s="60">
        <f>BK35-BJ35</f>
        <v/>
      </c>
      <c r="BM35" s="61">
        <f>IF(BJ35=0,"",BK35/BJ35)</f>
        <v/>
      </c>
      <c r="BN35" s="27" t="n"/>
      <c r="BO35" s="62" t="n"/>
      <c r="BP35" s="62" t="n"/>
      <c r="BQ35" s="62">
        <f>BP35-BO35</f>
        <v/>
      </c>
      <c r="BR35" s="64">
        <f>IF(BO35=0,"",BP35/BO35)</f>
        <v/>
      </c>
      <c r="BS35" s="31" t="n"/>
      <c r="BT35" s="60" t="n"/>
      <c r="BU35" s="60" t="n"/>
      <c r="BV35" s="60">
        <f>BU35-BT35</f>
        <v/>
      </c>
      <c r="BW35" s="61">
        <f>IF(BT35=0,"",BU35/BT35)</f>
        <v/>
      </c>
      <c r="BX35" s="27" t="n"/>
      <c r="BY35" s="62" t="n"/>
      <c r="BZ35" s="62" t="n"/>
      <c r="CA35" s="62">
        <f>BZ35-BY35</f>
        <v/>
      </c>
      <c r="CB35" s="64">
        <f>IF(BY35=0,"",BZ35/BY35)</f>
        <v/>
      </c>
      <c r="CC35" s="31" t="n"/>
      <c r="CD35" s="60" t="n"/>
      <c r="CE35" s="60" t="n"/>
      <c r="CF35" s="60">
        <f>CE35-CD35</f>
        <v/>
      </c>
      <c r="CG35" s="61">
        <f>IF(CD35=0,"",CE35/CD35)</f>
        <v/>
      </c>
      <c r="CH35" s="27" t="n"/>
      <c r="CI35" s="62" t="n"/>
      <c r="CJ35" s="62" t="n"/>
      <c r="CK35" s="62">
        <f>CJ35-CI35</f>
        <v/>
      </c>
      <c r="CL35" s="64">
        <f>IF(CI35=0,"",CJ35/CI35)</f>
        <v/>
      </c>
      <c r="CM35" s="31" t="n"/>
      <c r="CN35" s="60" t="n"/>
      <c r="CO35" s="60" t="n"/>
      <c r="CP35" s="60">
        <f>CO35-CN35</f>
        <v/>
      </c>
      <c r="CQ35" s="61">
        <f>IF(CN35=0,"",CO35/CN35)</f>
        <v/>
      </c>
      <c r="CR35" s="27" t="n"/>
      <c r="CS35" s="62" t="n"/>
      <c r="CT35" s="62" t="n"/>
      <c r="CU35" s="62">
        <f>CT35-CS35</f>
        <v/>
      </c>
      <c r="CV35" s="64">
        <f>IF(CS35=0,"",CT35/CS35)</f>
        <v/>
      </c>
      <c r="CW35" s="31" t="n"/>
      <c r="CX35" s="60" t="n"/>
      <c r="CY35" s="60" t="n"/>
      <c r="CZ35" s="60">
        <f>CY35-CX35</f>
        <v/>
      </c>
      <c r="DA35" s="61">
        <f>IF(CX35=0,"",CY35/CX35)</f>
        <v/>
      </c>
      <c r="DB35" s="27" t="n"/>
      <c r="DC35" s="62" t="n"/>
      <c r="DD35" s="62" t="n"/>
      <c r="DE35" s="62">
        <f>DD35-DC35</f>
        <v/>
      </c>
      <c r="DF35" s="64">
        <f>IF(DC35=0,"",DD35/DC35)</f>
        <v/>
      </c>
      <c r="DG35" s="31" t="n"/>
      <c r="DH35" s="60" t="n"/>
      <c r="DI35" s="60" t="n"/>
      <c r="DJ35" s="60">
        <f>DI35-DH35</f>
        <v/>
      </c>
      <c r="DK35" s="61">
        <f>IF(DH35=0,"",DI35/DH35)</f>
        <v/>
      </c>
      <c r="DL35" s="27" t="n"/>
      <c r="DM35" s="62" t="n"/>
      <c r="DN35" s="62" t="n"/>
      <c r="DO35" s="62">
        <f>DN35-DM35</f>
        <v/>
      </c>
      <c r="DP35" s="64">
        <f>IF(DM35=0,"",DN35/DM35)</f>
        <v/>
      </c>
      <c r="DQ35" s="31" t="n"/>
      <c r="DR35" s="60" t="n"/>
    </row>
    <row r="36" outlineLevel="1" ht="15" customHeight="1">
      <c r="A36" s="55" t="n"/>
      <c r="B36" s="55" t="n"/>
      <c r="C36" s="55" t="n"/>
      <c r="D36" s="24" t="n"/>
      <c r="E36" s="24" t="n"/>
      <c r="F36" s="24" t="n"/>
      <c r="G36" s="60" t="n"/>
      <c r="H36" s="60" t="n"/>
      <c r="I36" s="60">
        <f>H36-G36</f>
        <v/>
      </c>
      <c r="J36" s="61">
        <f>IF(G36=0,"",H36/G36)</f>
        <v/>
      </c>
      <c r="K36" s="27" t="n"/>
      <c r="L36" s="60" t="n"/>
      <c r="M36" s="60" t="n"/>
      <c r="N36" s="60">
        <f>M36-L36</f>
        <v/>
      </c>
      <c r="O36" s="61">
        <f>IF(L36=0,"",M36/L36)</f>
        <v/>
      </c>
      <c r="P36" s="27" t="n"/>
      <c r="Q36" s="62" t="n"/>
      <c r="R36" s="62" t="n"/>
      <c r="S36" s="62">
        <f>R36-Q36</f>
        <v/>
      </c>
      <c r="T36" s="64">
        <f>IF(Q36=0,"",R36/Q36)</f>
        <v/>
      </c>
      <c r="U36" s="31" t="n"/>
      <c r="V36" s="60" t="n"/>
      <c r="W36" s="60" t="n"/>
      <c r="X36" s="60">
        <f>W36-V36</f>
        <v/>
      </c>
      <c r="Y36" s="61">
        <f>IF(V36=0,"",W36/V36)</f>
        <v/>
      </c>
      <c r="Z36" s="27" t="n"/>
      <c r="AA36" s="62" t="n"/>
      <c r="AB36" s="62" t="n"/>
      <c r="AC36" s="63">
        <f>AB36-AA36</f>
        <v/>
      </c>
      <c r="AD36" s="64">
        <f>IF(AA36=0,"",AB36/AA36)</f>
        <v/>
      </c>
      <c r="AE36" s="31" t="n"/>
      <c r="AF36" s="60" t="n"/>
      <c r="AG36" s="60" t="n"/>
      <c r="AH36" s="60">
        <f>AG36-AF36</f>
        <v/>
      </c>
      <c r="AI36" s="61">
        <f>IF(AF36=0,"",AG36/AF36)</f>
        <v/>
      </c>
      <c r="AJ36" s="27" t="n"/>
      <c r="AK36" s="62" t="n"/>
      <c r="AL36" s="62" t="n"/>
      <c r="AM36" s="62">
        <f>AL36-AK36</f>
        <v/>
      </c>
      <c r="AN36" s="64">
        <f>IF(AK36=0,"",AL36/AK36)</f>
        <v/>
      </c>
      <c r="AO36" s="31" t="n"/>
      <c r="AP36" s="60" t="n"/>
      <c r="AQ36" s="60" t="n"/>
      <c r="AR36" s="60">
        <f>AQ36-AP36</f>
        <v/>
      </c>
      <c r="AS36" s="61">
        <f>IF(AP36=0,"",AQ36/AP36)</f>
        <v/>
      </c>
      <c r="AT36" s="27" t="n"/>
      <c r="AU36" s="62" t="n"/>
      <c r="AV36" s="62" t="n"/>
      <c r="AW36" s="62">
        <f>AV36-AU36</f>
        <v/>
      </c>
      <c r="AX36" s="64">
        <f>IF(AU36=0,"",AV36/AU36)</f>
        <v/>
      </c>
      <c r="AY36" s="31" t="n"/>
      <c r="AZ36" s="60" t="n"/>
      <c r="BA36" s="60" t="n"/>
      <c r="BB36" s="60">
        <f>BA36-AZ36</f>
        <v/>
      </c>
      <c r="BC36" s="61">
        <f>IF(AZ36=0,"",BA36/AZ36)</f>
        <v/>
      </c>
      <c r="BD36" s="27" t="n"/>
      <c r="BE36" s="62" t="n"/>
      <c r="BF36" s="62" t="n"/>
      <c r="BG36" s="62">
        <f>BF36-BE36</f>
        <v/>
      </c>
      <c r="BH36" s="64">
        <f>IF(BE36=0,"",BF36/BE36)</f>
        <v/>
      </c>
      <c r="BI36" s="31" t="n"/>
      <c r="BJ36" s="60" t="n"/>
      <c r="BK36" s="60" t="n"/>
      <c r="BL36" s="60">
        <f>BK36-BJ36</f>
        <v/>
      </c>
      <c r="BM36" s="61">
        <f>IF(BJ36=0,"",BK36/BJ36)</f>
        <v/>
      </c>
      <c r="BN36" s="27" t="n"/>
      <c r="BO36" s="62" t="n"/>
      <c r="BP36" s="62" t="n"/>
      <c r="BQ36" s="62">
        <f>BP36-BO36</f>
        <v/>
      </c>
      <c r="BR36" s="64">
        <f>IF(BO36=0,"",BP36/BO36)</f>
        <v/>
      </c>
      <c r="BS36" s="31" t="n"/>
      <c r="BT36" s="60" t="n"/>
      <c r="BU36" s="60" t="n"/>
      <c r="BV36" s="60">
        <f>BU36-BT36</f>
        <v/>
      </c>
      <c r="BW36" s="61">
        <f>IF(BT36=0,"",BU36/BT36)</f>
        <v/>
      </c>
      <c r="BX36" s="27" t="n"/>
      <c r="BY36" s="62" t="n"/>
      <c r="BZ36" s="62" t="n"/>
      <c r="CA36" s="62">
        <f>BZ36-BY36</f>
        <v/>
      </c>
      <c r="CB36" s="64">
        <f>IF(BY36=0,"",BZ36/BY36)</f>
        <v/>
      </c>
      <c r="CC36" s="31" t="n"/>
      <c r="CD36" s="60" t="n"/>
      <c r="CE36" s="60" t="n"/>
      <c r="CF36" s="60">
        <f>CE36-CD36</f>
        <v/>
      </c>
      <c r="CG36" s="61">
        <f>IF(CD36=0,"",CE36/CD36)</f>
        <v/>
      </c>
      <c r="CH36" s="27" t="n"/>
      <c r="CI36" s="62" t="n"/>
      <c r="CJ36" s="62" t="n"/>
      <c r="CK36" s="62">
        <f>CJ36-CI36</f>
        <v/>
      </c>
      <c r="CL36" s="64">
        <f>IF(CI36=0,"",CJ36/CI36)</f>
        <v/>
      </c>
      <c r="CM36" s="31" t="n"/>
      <c r="CN36" s="60" t="n"/>
      <c r="CO36" s="60" t="n"/>
      <c r="CP36" s="60">
        <f>CO36-CN36</f>
        <v/>
      </c>
      <c r="CQ36" s="61">
        <f>IF(CN36=0,"",CO36/CN36)</f>
        <v/>
      </c>
      <c r="CR36" s="27" t="n"/>
      <c r="CS36" s="62" t="n"/>
      <c r="CT36" s="62" t="n"/>
      <c r="CU36" s="62">
        <f>CT36-CS36</f>
        <v/>
      </c>
      <c r="CV36" s="64">
        <f>IF(CS36=0,"",CT36/CS36)</f>
        <v/>
      </c>
      <c r="CW36" s="31" t="n"/>
      <c r="CX36" s="60" t="n"/>
      <c r="CY36" s="60" t="n"/>
      <c r="CZ36" s="60">
        <f>CY36-CX36</f>
        <v/>
      </c>
      <c r="DA36" s="61">
        <f>IF(CX36=0,"",CY36/CX36)</f>
        <v/>
      </c>
      <c r="DB36" s="27" t="n"/>
      <c r="DC36" s="62" t="n"/>
      <c r="DD36" s="62" t="n"/>
      <c r="DE36" s="62">
        <f>DD36-DC36</f>
        <v/>
      </c>
      <c r="DF36" s="64">
        <f>IF(DC36=0,"",DD36/DC36)</f>
        <v/>
      </c>
      <c r="DG36" s="31" t="n"/>
      <c r="DH36" s="60" t="n"/>
      <c r="DI36" s="60" t="n"/>
      <c r="DJ36" s="60">
        <f>DI36-DH36</f>
        <v/>
      </c>
      <c r="DK36" s="61">
        <f>IF(DH36=0,"",DI36/DH36)</f>
        <v/>
      </c>
      <c r="DL36" s="27" t="n"/>
      <c r="DM36" s="62" t="n"/>
      <c r="DN36" s="62" t="n"/>
      <c r="DO36" s="62">
        <f>DN36-DM36</f>
        <v/>
      </c>
      <c r="DP36" s="64">
        <f>IF(DM36=0,"",DN36/DM36)</f>
        <v/>
      </c>
      <c r="DQ36" s="31" t="n"/>
      <c r="DR36" s="60" t="n"/>
    </row>
    <row r="37" ht="15" customHeight="1">
      <c r="A37" s="32" t="n"/>
      <c r="B37" s="32" t="n"/>
      <c r="C37" s="32" t="n"/>
      <c r="D37" s="32" t="n"/>
      <c r="E37" s="32" t="n"/>
      <c r="F37" s="32" t="n"/>
      <c r="G37" s="65">
        <f>G38+G39+G40+G41+G42</f>
        <v/>
      </c>
      <c r="H37" s="65">
        <f>H38+H39+H40+H41+H42</f>
        <v/>
      </c>
      <c r="I37" s="65">
        <f>H37-G37</f>
        <v/>
      </c>
      <c r="J37" s="66">
        <f>IF(G37=0,"",H37/G37)</f>
        <v/>
      </c>
      <c r="K37" s="35" t="n"/>
      <c r="L37" s="65">
        <f>L38+L39+L40+L41+L42</f>
        <v/>
      </c>
      <c r="M37" s="65">
        <f>M38+M39+M40+M41+M42</f>
        <v/>
      </c>
      <c r="N37" s="65">
        <f>M37-L37</f>
        <v/>
      </c>
      <c r="O37" s="66">
        <f>IF(L37=0,"",M37/L37)</f>
        <v/>
      </c>
      <c r="P37" s="35" t="n"/>
      <c r="Q37" s="65">
        <f>Q38+Q39+Q40+Q41+Q42</f>
        <v/>
      </c>
      <c r="R37" s="65">
        <f>R38+R39+R40+R41+R42</f>
        <v/>
      </c>
      <c r="S37" s="65">
        <f>R37-Q37</f>
        <v/>
      </c>
      <c r="T37" s="66">
        <f>IF(Q37=0,"",R37/Q37)</f>
        <v/>
      </c>
      <c r="U37" s="35" t="n"/>
      <c r="V37" s="65">
        <f>V38+V39+V40+V41+V42</f>
        <v/>
      </c>
      <c r="W37" s="65">
        <f>W38+W39+W40+W41+W42</f>
        <v/>
      </c>
      <c r="X37" s="65">
        <f>W37-V37</f>
        <v/>
      </c>
      <c r="Y37" s="66">
        <f>IF(V37=0,"",W37/V37)</f>
        <v/>
      </c>
      <c r="Z37" s="35" t="n"/>
      <c r="AA37" s="65">
        <f>AA38+AA39+AA40+AA41+AA42</f>
        <v/>
      </c>
      <c r="AB37" s="65">
        <f>AB38+AB39+AB40+AB41+AB42</f>
        <v/>
      </c>
      <c r="AC37" s="65">
        <f>AB37-AA37</f>
        <v/>
      </c>
      <c r="AD37" s="66">
        <f>IF(AA37=0,"",AB37/AA37)</f>
        <v/>
      </c>
      <c r="AE37" s="35" t="n"/>
      <c r="AF37" s="65">
        <f>AF38+AF39+AF40+AF41+AF42</f>
        <v/>
      </c>
      <c r="AG37" s="65">
        <f>AG38+AG39+AG40+AG41+AG42</f>
        <v/>
      </c>
      <c r="AH37" s="65">
        <f>AG37-AF37</f>
        <v/>
      </c>
      <c r="AI37" s="66">
        <f>IF(AF37=0,"",AG37/AF37)</f>
        <v/>
      </c>
      <c r="AJ37" s="35" t="n"/>
      <c r="AK37" s="65">
        <f>AK38+AK39+AK40+AK41+AK42</f>
        <v/>
      </c>
      <c r="AL37" s="65">
        <f>AL38+AL39+AL40+AL41+AL42</f>
        <v/>
      </c>
      <c r="AM37" s="65">
        <f>AL37-AK37</f>
        <v/>
      </c>
      <c r="AN37" s="66">
        <f>IF(AK37=0,"",AL37/AK37)</f>
        <v/>
      </c>
      <c r="AO37" s="35" t="n"/>
      <c r="AP37" s="65">
        <f>AP38+AP39+AP40+AP41+AP42</f>
        <v/>
      </c>
      <c r="AQ37" s="65">
        <f>AQ38+AQ39+AQ40+AQ41+AQ42</f>
        <v/>
      </c>
      <c r="AR37" s="65">
        <f>AQ37-AP37</f>
        <v/>
      </c>
      <c r="AS37" s="66">
        <f>IF(AP37=0,"",AQ37/AP37)</f>
        <v/>
      </c>
      <c r="AT37" s="35" t="n"/>
      <c r="AU37" s="65">
        <f>AU38+AU39+AU40+AU41+AU42</f>
        <v/>
      </c>
      <c r="AV37" s="65">
        <f>AV38+AV39+AV40+AV41+AV42</f>
        <v/>
      </c>
      <c r="AW37" s="65">
        <f>AV37-AU37</f>
        <v/>
      </c>
      <c r="AX37" s="66">
        <f>IF(AU37=0,"",AV37/AU37)</f>
        <v/>
      </c>
      <c r="AY37" s="35" t="n"/>
      <c r="AZ37" s="65">
        <f>AZ38+AZ39+AZ40+AZ41+AZ42</f>
        <v/>
      </c>
      <c r="BA37" s="65">
        <f>BA38+BA39+BA40+BA41+BA42</f>
        <v/>
      </c>
      <c r="BB37" s="65">
        <f>BA37-AZ37</f>
        <v/>
      </c>
      <c r="BC37" s="66">
        <f>IF(AZ37=0,"",BA37/AZ37)</f>
        <v/>
      </c>
      <c r="BD37" s="35" t="n"/>
      <c r="BE37" s="65">
        <f>BE38+BE39+BE40+BE41+BE42</f>
        <v/>
      </c>
      <c r="BF37" s="65">
        <f>BF38+BF39+BF40+BF41+BF42</f>
        <v/>
      </c>
      <c r="BG37" s="65">
        <f>BF37-BE37</f>
        <v/>
      </c>
      <c r="BH37" s="66">
        <f>IF(BE37=0,"",BF37/BE37)</f>
        <v/>
      </c>
      <c r="BI37" s="35" t="n"/>
      <c r="BJ37" s="65">
        <f>BJ38+BJ39+BJ40+BJ41+BJ42</f>
        <v/>
      </c>
      <c r="BK37" s="65">
        <f>BK38+BK39+BK40+BK41+BK42</f>
        <v/>
      </c>
      <c r="BL37" s="65">
        <f>BK37-BJ37</f>
        <v/>
      </c>
      <c r="BM37" s="66">
        <f>IF(BJ37=0,"",BK37/BJ37)</f>
        <v/>
      </c>
      <c r="BN37" s="35" t="n"/>
      <c r="BO37" s="65">
        <f>BO38+BO39+BO40+BO41+BO42</f>
        <v/>
      </c>
      <c r="BP37" s="65">
        <f>BP38+BP39+BP40+BP41+BP42</f>
        <v/>
      </c>
      <c r="BQ37" s="65">
        <f>BP37-BO37</f>
        <v/>
      </c>
      <c r="BR37" s="66">
        <f>IF(BO37=0,"",BP37/BO37)</f>
        <v/>
      </c>
      <c r="BS37" s="35" t="n"/>
      <c r="BT37" s="65">
        <f>BT38+BT39+BT40+BT41+BT42</f>
        <v/>
      </c>
      <c r="BU37" s="65">
        <f>BU38+BU39+BU40+BU41+BU42</f>
        <v/>
      </c>
      <c r="BV37" s="65">
        <f>BU37-BT37</f>
        <v/>
      </c>
      <c r="BW37" s="66">
        <f>IF(BT37=0,"",BU37/BT37)</f>
        <v/>
      </c>
      <c r="BX37" s="35" t="n"/>
      <c r="BY37" s="65">
        <f>BY38+BY39+BY40+BY41+BY42</f>
        <v/>
      </c>
      <c r="BZ37" s="65">
        <f>BZ38+BZ39+BZ40+BZ41+BZ42</f>
        <v/>
      </c>
      <c r="CA37" s="65">
        <f>BZ37-BY37</f>
        <v/>
      </c>
      <c r="CB37" s="66">
        <f>IF(BY37=0,"",BZ37/BY37)</f>
        <v/>
      </c>
      <c r="CC37" s="35" t="n"/>
      <c r="CD37" s="65">
        <f>CD38+CD39+CD40+CD41+CD42</f>
        <v/>
      </c>
      <c r="CE37" s="65">
        <f>CE38+CE39+CE40+CE41+CE42</f>
        <v/>
      </c>
      <c r="CF37" s="65">
        <f>CE37-CD37</f>
        <v/>
      </c>
      <c r="CG37" s="66">
        <f>IF(CD37=0,"",CE37/CD37)</f>
        <v/>
      </c>
      <c r="CH37" s="35" t="n"/>
      <c r="CI37" s="65">
        <f>CI38+CI39+CI40+CI41+CI42</f>
        <v/>
      </c>
      <c r="CJ37" s="65">
        <f>CJ38+CJ39+CJ40+CJ41+CJ42</f>
        <v/>
      </c>
      <c r="CK37" s="65">
        <f>CJ37-CI37</f>
        <v/>
      </c>
      <c r="CL37" s="66">
        <f>IF(CI37=0,"",CJ37/CI37)</f>
        <v/>
      </c>
      <c r="CM37" s="35" t="n"/>
      <c r="CN37" s="65">
        <f>CN38+CN39+CN40+CN41+CN42</f>
        <v/>
      </c>
      <c r="CO37" s="65">
        <f>CO38+CO39+CO40+CO41+CO42</f>
        <v/>
      </c>
      <c r="CP37" s="65">
        <f>CO37-CN37</f>
        <v/>
      </c>
      <c r="CQ37" s="66">
        <f>IF(CN37=0,"",CO37/CN37)</f>
        <v/>
      </c>
      <c r="CR37" s="35" t="n"/>
      <c r="CS37" s="65">
        <f>CS38+CS39+CS40+CS41+CS42</f>
        <v/>
      </c>
      <c r="CT37" s="65">
        <f>CT38+CT39+CT40+CT41+CT42</f>
        <v/>
      </c>
      <c r="CU37" s="65">
        <f>CT37-CS37</f>
        <v/>
      </c>
      <c r="CV37" s="66">
        <f>IF(CS37=0,"",CT37/CS37)</f>
        <v/>
      </c>
      <c r="CW37" s="35" t="n"/>
      <c r="CX37" s="65">
        <f>CX38+CX39+CX40+CX41+CX42</f>
        <v/>
      </c>
      <c r="CY37" s="65">
        <f>CY38+CY39+CY40+CY41+CY42</f>
        <v/>
      </c>
      <c r="CZ37" s="65">
        <f>CY37-CX37</f>
        <v/>
      </c>
      <c r="DA37" s="66">
        <f>IF(CX37=0,"",CY37/CX37)</f>
        <v/>
      </c>
      <c r="DB37" s="35" t="n"/>
      <c r="DC37" s="65">
        <f>DC38+DC39+DC40+DC41+DC42</f>
        <v/>
      </c>
      <c r="DD37" s="65">
        <f>DD38+DD39+DD40+DD41+DD42</f>
        <v/>
      </c>
      <c r="DE37" s="65">
        <f>DD37-DC37</f>
        <v/>
      </c>
      <c r="DF37" s="66">
        <f>IF(DC37=0,"",DD37/DC37)</f>
        <v/>
      </c>
      <c r="DG37" s="35" t="n"/>
      <c r="DH37" s="65">
        <f>DH38+DH39+DH40+DH41+DH42</f>
        <v/>
      </c>
      <c r="DI37" s="65">
        <f>DI38+DI39+DI40+DI41+DI42</f>
        <v/>
      </c>
      <c r="DJ37" s="65">
        <f>DI37-DH37</f>
        <v/>
      </c>
      <c r="DK37" s="66">
        <f>IF(DH37=0,"",DI37/DH37)</f>
        <v/>
      </c>
      <c r="DL37" s="35" t="n"/>
      <c r="DM37" s="65">
        <f>DM38+DM39+DM40+DM41+DM42</f>
        <v/>
      </c>
      <c r="DN37" s="65">
        <f>DN38+DN39+DN40+DN41+DN42</f>
        <v/>
      </c>
      <c r="DO37" s="65">
        <f>DN37-DM37</f>
        <v/>
      </c>
      <c r="DP37" s="66">
        <f>IF(DM37=0,"",DN37/DM37)</f>
        <v/>
      </c>
      <c r="DQ37" s="35" t="n"/>
      <c r="DR37" s="65">
        <f>DR38+DR39+DR40+DR41+DR42</f>
        <v/>
      </c>
    </row>
    <row r="38" outlineLevel="1" ht="15" customHeight="1">
      <c r="A38" s="24" t="n"/>
      <c r="B38" s="24" t="n"/>
      <c r="C38" s="24" t="n"/>
      <c r="D38" s="24" t="n"/>
      <c r="E38" s="24" t="n"/>
      <c r="F38" s="24" t="n"/>
      <c r="G38" s="60" t="n"/>
      <c r="H38" s="60" t="n"/>
      <c r="I38" s="60">
        <f>H38-G38</f>
        <v/>
      </c>
      <c r="J38" s="61">
        <f>IF(G38=0,"",H38/G38)</f>
        <v/>
      </c>
      <c r="K38" s="27" t="n"/>
      <c r="L38" s="60" t="n"/>
      <c r="M38" s="60" t="n"/>
      <c r="N38" s="60">
        <f>M38-L38</f>
        <v/>
      </c>
      <c r="O38" s="61">
        <f>IF(L38=0,"",M38/L38)</f>
        <v/>
      </c>
      <c r="P38" s="27" t="n"/>
      <c r="Q38" s="62" t="n"/>
      <c r="R38" s="62" t="n"/>
      <c r="S38" s="62">
        <f>R38-Q38</f>
        <v/>
      </c>
      <c r="T38" s="64">
        <f>IF(Q38=0,"",R38/Q38)</f>
        <v/>
      </c>
      <c r="U38" s="31" t="n"/>
      <c r="V38" s="60" t="n"/>
      <c r="W38" s="60" t="n"/>
      <c r="X38" s="60">
        <f>W38-V38</f>
        <v/>
      </c>
      <c r="Y38" s="61">
        <f>IF(V38=0,"",W38/V38)</f>
        <v/>
      </c>
      <c r="Z38" s="27" t="n"/>
      <c r="AA38" s="62" t="n"/>
      <c r="AB38" s="62" t="n"/>
      <c r="AC38" s="63">
        <f>AB38-AA38</f>
        <v/>
      </c>
      <c r="AD38" s="64">
        <f>IF(AA38=0,"",AB38/AA38)</f>
        <v/>
      </c>
      <c r="AE38" s="31" t="n"/>
      <c r="AF38" s="60" t="n"/>
      <c r="AG38" s="60" t="n"/>
      <c r="AH38" s="60">
        <f>AG38-AF38</f>
        <v/>
      </c>
      <c r="AI38" s="61">
        <f>IF(AF38=0,"",AG38/AF38)</f>
        <v/>
      </c>
      <c r="AJ38" s="27" t="n"/>
      <c r="AK38" s="62" t="n"/>
      <c r="AL38" s="62" t="n"/>
      <c r="AM38" s="62">
        <f>AL38-AK38</f>
        <v/>
      </c>
      <c r="AN38" s="64">
        <f>IF(AK38=0,"",AL38/AK38)</f>
        <v/>
      </c>
      <c r="AO38" s="31" t="n"/>
      <c r="AP38" s="60" t="n"/>
      <c r="AQ38" s="60" t="n"/>
      <c r="AR38" s="60">
        <f>AQ38-AP38</f>
        <v/>
      </c>
      <c r="AS38" s="61">
        <f>IF(AP38=0,"",AQ38/AP38)</f>
        <v/>
      </c>
      <c r="AT38" s="27" t="n"/>
      <c r="AU38" s="62" t="n"/>
      <c r="AV38" s="62" t="n"/>
      <c r="AW38" s="62">
        <f>AV38-AU38</f>
        <v/>
      </c>
      <c r="AX38" s="64">
        <f>IF(AU38=0,"",AV38/AU38)</f>
        <v/>
      </c>
      <c r="AY38" s="31" t="n"/>
      <c r="AZ38" s="60" t="n"/>
      <c r="BA38" s="60" t="n"/>
      <c r="BB38" s="60">
        <f>BA38-AZ38</f>
        <v/>
      </c>
      <c r="BC38" s="61">
        <f>IF(AZ38=0,"",BA38/AZ38)</f>
        <v/>
      </c>
      <c r="BD38" s="27" t="n"/>
      <c r="BE38" s="62" t="n"/>
      <c r="BF38" s="62" t="n"/>
      <c r="BG38" s="62">
        <f>BF38-BE38</f>
        <v/>
      </c>
      <c r="BH38" s="64">
        <f>IF(BE38=0,"",BF38/BE38)</f>
        <v/>
      </c>
      <c r="BI38" s="31" t="n"/>
      <c r="BJ38" s="60" t="n"/>
      <c r="BK38" s="60" t="n"/>
      <c r="BL38" s="60">
        <f>BK38-BJ38</f>
        <v/>
      </c>
      <c r="BM38" s="61">
        <f>IF(BJ38=0,"",BK38/BJ38)</f>
        <v/>
      </c>
      <c r="BN38" s="27" t="n"/>
      <c r="BO38" s="62" t="n"/>
      <c r="BP38" s="62" t="n"/>
      <c r="BQ38" s="62">
        <f>BP38-BO38</f>
        <v/>
      </c>
      <c r="BR38" s="64">
        <f>IF(BO38=0,"",BP38/BO38)</f>
        <v/>
      </c>
      <c r="BS38" s="31" t="n"/>
      <c r="BT38" s="60" t="n"/>
      <c r="BU38" s="60" t="n"/>
      <c r="BV38" s="60">
        <f>BU38-BT38</f>
        <v/>
      </c>
      <c r="BW38" s="61">
        <f>IF(BT38=0,"",BU38/BT38)</f>
        <v/>
      </c>
      <c r="BX38" s="27" t="n"/>
      <c r="BY38" s="62" t="n"/>
      <c r="BZ38" s="62" t="n"/>
      <c r="CA38" s="62">
        <f>BZ38-BY38</f>
        <v/>
      </c>
      <c r="CB38" s="64">
        <f>IF(BY38=0,"",BZ38/BY38)</f>
        <v/>
      </c>
      <c r="CC38" s="31" t="n"/>
      <c r="CD38" s="60" t="n"/>
      <c r="CE38" s="60" t="n"/>
      <c r="CF38" s="60">
        <f>CE38-CD38</f>
        <v/>
      </c>
      <c r="CG38" s="61">
        <f>IF(CD38=0,"",CE38/CD38)</f>
        <v/>
      </c>
      <c r="CH38" s="27" t="n"/>
      <c r="CI38" s="62" t="n"/>
      <c r="CJ38" s="62" t="n"/>
      <c r="CK38" s="62">
        <f>CJ38-CI38</f>
        <v/>
      </c>
      <c r="CL38" s="64">
        <f>IF(CI38=0,"",CJ38/CI38)</f>
        <v/>
      </c>
      <c r="CM38" s="31" t="n"/>
      <c r="CN38" s="60" t="n"/>
      <c r="CO38" s="60" t="n"/>
      <c r="CP38" s="60">
        <f>CO38-CN38</f>
        <v/>
      </c>
      <c r="CQ38" s="61">
        <f>IF(CN38=0,"",CO38/CN38)</f>
        <v/>
      </c>
      <c r="CR38" s="27" t="n"/>
      <c r="CS38" s="62" t="n"/>
      <c r="CT38" s="62" t="n"/>
      <c r="CU38" s="62">
        <f>CT38-CS38</f>
        <v/>
      </c>
      <c r="CV38" s="64">
        <f>IF(CS38=0,"",CT38/CS38)</f>
        <v/>
      </c>
      <c r="CW38" s="31" t="n"/>
      <c r="CX38" s="60" t="n"/>
      <c r="CY38" s="60" t="n"/>
      <c r="CZ38" s="60">
        <f>CY38-CX38</f>
        <v/>
      </c>
      <c r="DA38" s="61">
        <f>IF(CX38=0,"",CY38/CX38)</f>
        <v/>
      </c>
      <c r="DB38" s="27" t="n"/>
      <c r="DC38" s="62" t="n"/>
      <c r="DD38" s="62" t="n"/>
      <c r="DE38" s="62">
        <f>DD38-DC38</f>
        <v/>
      </c>
      <c r="DF38" s="64">
        <f>IF(DC38=0,"",DD38/DC38)</f>
        <v/>
      </c>
      <c r="DG38" s="31" t="n"/>
      <c r="DH38" s="60" t="n"/>
      <c r="DI38" s="60" t="n"/>
      <c r="DJ38" s="60">
        <f>DI38-DH38</f>
        <v/>
      </c>
      <c r="DK38" s="61">
        <f>IF(DH38=0,"",DI38/DH38)</f>
        <v/>
      </c>
      <c r="DL38" s="27" t="n"/>
      <c r="DM38" s="62" t="n"/>
      <c r="DN38" s="62" t="n"/>
      <c r="DO38" s="62">
        <f>DN38-DM38</f>
        <v/>
      </c>
      <c r="DP38" s="64">
        <f>IF(DM38=0,"",DN38/DM38)</f>
        <v/>
      </c>
      <c r="DQ38" s="31" t="n"/>
      <c r="DR38" s="60" t="n"/>
    </row>
    <row r="39" outlineLevel="1" ht="15" customHeight="1">
      <c r="A39" s="67" t="n"/>
      <c r="B39" s="67" t="n"/>
      <c r="C39" s="67" t="n"/>
      <c r="D39" s="24" t="n"/>
      <c r="E39" s="24" t="n"/>
      <c r="F39" s="24" t="n"/>
      <c r="G39" s="60" t="n"/>
      <c r="H39" s="60" t="n"/>
      <c r="I39" s="60">
        <f>H39-G39</f>
        <v/>
      </c>
      <c r="J39" s="61">
        <f>IF(G39=0,"",H39/G39)</f>
        <v/>
      </c>
      <c r="K39" s="27" t="n"/>
      <c r="L39" s="60" t="n"/>
      <c r="M39" s="60" t="n"/>
      <c r="N39" s="60">
        <f>M39-L39</f>
        <v/>
      </c>
      <c r="O39" s="61">
        <f>IF(L39=0,"",M39/L39)</f>
        <v/>
      </c>
      <c r="P39" s="27" t="n"/>
      <c r="Q39" s="62" t="n"/>
      <c r="R39" s="62" t="n"/>
      <c r="S39" s="63">
        <f>R39-Q39</f>
        <v/>
      </c>
      <c r="T39" s="64">
        <f>IF(Q39=0,"",R39/Q39)</f>
        <v/>
      </c>
      <c r="U39" s="31" t="n"/>
      <c r="V39" s="60" t="n"/>
      <c r="W39" s="60" t="n"/>
      <c r="X39" s="60">
        <f>W39-V39</f>
        <v/>
      </c>
      <c r="Y39" s="61">
        <f>IF(V39=0,"",W39/V39)</f>
        <v/>
      </c>
      <c r="Z39" s="27" t="n"/>
      <c r="AA39" s="62" t="n"/>
      <c r="AB39" s="62" t="n"/>
      <c r="AC39" s="63">
        <f>AB39-AA39</f>
        <v/>
      </c>
      <c r="AD39" s="64">
        <f>IF(AA39=0,"",AB39/AA39)</f>
        <v/>
      </c>
      <c r="AE39" s="31" t="n"/>
      <c r="AF39" s="60" t="n"/>
      <c r="AG39" s="60" t="n"/>
      <c r="AH39" s="60">
        <f>AG39-AF39</f>
        <v/>
      </c>
      <c r="AI39" s="61">
        <f>IF(AF39=0,"",AG39/AF39)</f>
        <v/>
      </c>
      <c r="AJ39" s="27" t="n"/>
      <c r="AK39" s="62" t="n"/>
      <c r="AL39" s="62" t="n"/>
      <c r="AM39" s="62">
        <f>AL39-AK39</f>
        <v/>
      </c>
      <c r="AN39" s="64">
        <f>IF(AK39=0,"",AL39/AK39)</f>
        <v/>
      </c>
      <c r="AO39" s="31" t="n"/>
      <c r="AP39" s="60" t="n"/>
      <c r="AQ39" s="60" t="n"/>
      <c r="AR39" s="60">
        <f>AQ39-AP39</f>
        <v/>
      </c>
      <c r="AS39" s="61">
        <f>IF(AP39=0,"",AQ39/AP39)</f>
        <v/>
      </c>
      <c r="AT39" s="27" t="n"/>
      <c r="AU39" s="62" t="n"/>
      <c r="AV39" s="62" t="n"/>
      <c r="AW39" s="62">
        <f>AV39-AU39</f>
        <v/>
      </c>
      <c r="AX39" s="64">
        <f>IF(AU39=0,"",AV39/AU39)</f>
        <v/>
      </c>
      <c r="AY39" s="31" t="n"/>
      <c r="AZ39" s="60" t="n"/>
      <c r="BA39" s="60" t="n"/>
      <c r="BB39" s="60">
        <f>BA39-AZ39</f>
        <v/>
      </c>
      <c r="BC39" s="61">
        <f>IF(AZ39=0,"",BA39/AZ39)</f>
        <v/>
      </c>
      <c r="BD39" s="27" t="n"/>
      <c r="BE39" s="62" t="n"/>
      <c r="BF39" s="62" t="n"/>
      <c r="BG39" s="62">
        <f>BF39-BE39</f>
        <v/>
      </c>
      <c r="BH39" s="64">
        <f>IF(BE39=0,"",BF39/BE39)</f>
        <v/>
      </c>
      <c r="BI39" s="31" t="n"/>
      <c r="BJ39" s="60" t="n"/>
      <c r="BK39" s="60" t="n"/>
      <c r="BL39" s="60">
        <f>BK39-BJ39</f>
        <v/>
      </c>
      <c r="BM39" s="61">
        <f>IF(BJ39=0,"",BK39/BJ39)</f>
        <v/>
      </c>
      <c r="BN39" s="27" t="n"/>
      <c r="BO39" s="62" t="n"/>
      <c r="BP39" s="62" t="n"/>
      <c r="BQ39" s="62">
        <f>BP39-BO39</f>
        <v/>
      </c>
      <c r="BR39" s="64">
        <f>IF(BO39=0,"",BP39/BO39)</f>
        <v/>
      </c>
      <c r="BS39" s="31" t="n"/>
      <c r="BT39" s="60" t="n"/>
      <c r="BU39" s="60" t="n"/>
      <c r="BV39" s="60">
        <f>BU39-BT39</f>
        <v/>
      </c>
      <c r="BW39" s="61">
        <f>IF(BT39=0,"",BU39/BT39)</f>
        <v/>
      </c>
      <c r="BX39" s="27" t="n"/>
      <c r="BY39" s="62" t="n"/>
      <c r="BZ39" s="62" t="n"/>
      <c r="CA39" s="62">
        <f>BZ39-BY39</f>
        <v/>
      </c>
      <c r="CB39" s="64">
        <f>IF(BY39=0,"",BZ39/BY39)</f>
        <v/>
      </c>
      <c r="CC39" s="31" t="n"/>
      <c r="CD39" s="60" t="n"/>
      <c r="CE39" s="60" t="n"/>
      <c r="CF39" s="60">
        <f>CE39-CD39</f>
        <v/>
      </c>
      <c r="CG39" s="61">
        <f>IF(CD39=0,"",CE39/CD39)</f>
        <v/>
      </c>
      <c r="CH39" s="27" t="n"/>
      <c r="CI39" s="62" t="n"/>
      <c r="CJ39" s="62" t="n"/>
      <c r="CK39" s="62">
        <f>CJ39-CI39</f>
        <v/>
      </c>
      <c r="CL39" s="64">
        <f>IF(CI39=0,"",CJ39/CI39)</f>
        <v/>
      </c>
      <c r="CM39" s="31" t="n"/>
      <c r="CN39" s="60" t="n"/>
      <c r="CO39" s="60" t="n"/>
      <c r="CP39" s="60">
        <f>CO39-CN39</f>
        <v/>
      </c>
      <c r="CQ39" s="61">
        <f>IF(CN39=0,"",CO39/CN39)</f>
        <v/>
      </c>
      <c r="CR39" s="27" t="n"/>
      <c r="CS39" s="62" t="n"/>
      <c r="CT39" s="62" t="n"/>
      <c r="CU39" s="62">
        <f>CT39-CS39</f>
        <v/>
      </c>
      <c r="CV39" s="64">
        <f>IF(CS39=0,"",CT39/CS39)</f>
        <v/>
      </c>
      <c r="CW39" s="31" t="n"/>
      <c r="CX39" s="60" t="n"/>
      <c r="CY39" s="60" t="n"/>
      <c r="CZ39" s="60">
        <f>CY39-CX39</f>
        <v/>
      </c>
      <c r="DA39" s="61">
        <f>IF(CX39=0,"",CY39/CX39)</f>
        <v/>
      </c>
      <c r="DB39" s="27" t="n"/>
      <c r="DC39" s="62" t="n"/>
      <c r="DD39" s="62" t="n"/>
      <c r="DE39" s="62">
        <f>DD39-DC39</f>
        <v/>
      </c>
      <c r="DF39" s="64">
        <f>IF(DC39=0,"",DD39/DC39)</f>
        <v/>
      </c>
      <c r="DG39" s="31" t="n"/>
      <c r="DH39" s="60" t="n"/>
      <c r="DI39" s="60" t="n"/>
      <c r="DJ39" s="60">
        <f>DI39-DH39</f>
        <v/>
      </c>
      <c r="DK39" s="61">
        <f>IF(DH39=0,"",DI39/DH39)</f>
        <v/>
      </c>
      <c r="DL39" s="27" t="n"/>
      <c r="DM39" s="62" t="n"/>
      <c r="DN39" s="62" t="n"/>
      <c r="DO39" s="62">
        <f>DN39-DM39</f>
        <v/>
      </c>
      <c r="DP39" s="64">
        <f>IF(DM39=0,"",DN39/DM39)</f>
        <v/>
      </c>
      <c r="DQ39" s="31" t="n"/>
      <c r="DR39" s="60" t="n"/>
    </row>
    <row r="40" outlineLevel="1" ht="15" customHeight="1">
      <c r="A40" s="55" t="n"/>
      <c r="B40" s="55" t="n"/>
      <c r="C40" s="55" t="n"/>
      <c r="D40" s="24" t="n"/>
      <c r="E40" s="24" t="n"/>
      <c r="F40" s="24" t="n"/>
      <c r="G40" s="60" t="n"/>
      <c r="H40" s="60" t="n"/>
      <c r="I40" s="60">
        <f>H40-G40</f>
        <v/>
      </c>
      <c r="J40" s="61">
        <f>IF(G40=0,"",H40/G40)</f>
        <v/>
      </c>
      <c r="K40" s="27" t="n"/>
      <c r="L40" s="60" t="n"/>
      <c r="M40" s="60" t="n"/>
      <c r="N40" s="60">
        <f>M40-L40</f>
        <v/>
      </c>
      <c r="O40" s="61">
        <f>IF(L40=0,"",M40/L40)</f>
        <v/>
      </c>
      <c r="P40" s="27" t="n"/>
      <c r="Q40" s="62" t="n"/>
      <c r="R40" s="62" t="n"/>
      <c r="S40" s="63">
        <f>R40-Q40</f>
        <v/>
      </c>
      <c r="T40" s="64">
        <f>IF(Q40=0,"",R40/Q40)</f>
        <v/>
      </c>
      <c r="U40" s="31" t="n"/>
      <c r="V40" s="60" t="n"/>
      <c r="W40" s="60" t="n"/>
      <c r="X40" s="60">
        <f>W40-V40</f>
        <v/>
      </c>
      <c r="Y40" s="61">
        <f>IF(V40=0,"",W40/V40)</f>
        <v/>
      </c>
      <c r="Z40" s="27" t="n"/>
      <c r="AA40" s="62" t="n"/>
      <c r="AB40" s="62" t="n"/>
      <c r="AC40" s="63">
        <f>AB40-AA40</f>
        <v/>
      </c>
      <c r="AD40" s="64">
        <f>IF(AA40=0,"",AB40/AA40)</f>
        <v/>
      </c>
      <c r="AE40" s="31" t="n"/>
      <c r="AF40" s="60" t="n"/>
      <c r="AG40" s="60" t="n"/>
      <c r="AH40" s="60">
        <f>AG40-AF40</f>
        <v/>
      </c>
      <c r="AI40" s="61">
        <f>IF(AF40=0,"",AG40/AF40)</f>
        <v/>
      </c>
      <c r="AJ40" s="27" t="n"/>
      <c r="AK40" s="62" t="n"/>
      <c r="AL40" s="62" t="n"/>
      <c r="AM40" s="62">
        <f>AL40-AK40</f>
        <v/>
      </c>
      <c r="AN40" s="64">
        <f>IF(AK40=0,"",AL40/AK40)</f>
        <v/>
      </c>
      <c r="AO40" s="31" t="n"/>
      <c r="AP40" s="60" t="n"/>
      <c r="AQ40" s="60" t="n"/>
      <c r="AR40" s="60">
        <f>AQ40-AP40</f>
        <v/>
      </c>
      <c r="AS40" s="61">
        <f>IF(AP40=0,"",AQ40/AP40)</f>
        <v/>
      </c>
      <c r="AT40" s="27" t="n"/>
      <c r="AU40" s="62" t="n"/>
      <c r="AV40" s="62" t="n"/>
      <c r="AW40" s="62">
        <f>AV40-AU40</f>
        <v/>
      </c>
      <c r="AX40" s="64">
        <f>IF(AU40=0,"",AV40/AU40)</f>
        <v/>
      </c>
      <c r="AY40" s="31" t="n"/>
      <c r="AZ40" s="60" t="n"/>
      <c r="BA40" s="60" t="n"/>
      <c r="BB40" s="60">
        <f>BA40-AZ40</f>
        <v/>
      </c>
      <c r="BC40" s="61">
        <f>IF(AZ40=0,"",BA40/AZ40)</f>
        <v/>
      </c>
      <c r="BD40" s="27" t="n"/>
      <c r="BE40" s="62" t="n"/>
      <c r="BF40" s="62" t="n"/>
      <c r="BG40" s="62">
        <f>BF40-BE40</f>
        <v/>
      </c>
      <c r="BH40" s="64">
        <f>IF(BE40=0,"",BF40/BE40)</f>
        <v/>
      </c>
      <c r="BI40" s="31" t="n"/>
      <c r="BJ40" s="60" t="n"/>
      <c r="BK40" s="60" t="n"/>
      <c r="BL40" s="60">
        <f>BK40-BJ40</f>
        <v/>
      </c>
      <c r="BM40" s="61">
        <f>IF(BJ40=0,"",BK40/BJ40)</f>
        <v/>
      </c>
      <c r="BN40" s="27" t="n"/>
      <c r="BO40" s="62" t="n"/>
      <c r="BP40" s="62" t="n"/>
      <c r="BQ40" s="62">
        <f>BP40-BO40</f>
        <v/>
      </c>
      <c r="BR40" s="64">
        <f>IF(BO40=0,"",BP40/BO40)</f>
        <v/>
      </c>
      <c r="BS40" s="31" t="n"/>
      <c r="BT40" s="60" t="n"/>
      <c r="BU40" s="60" t="n"/>
      <c r="BV40" s="60">
        <f>BU40-BT40</f>
        <v/>
      </c>
      <c r="BW40" s="61">
        <f>IF(BT40=0,"",BU40/BT40)</f>
        <v/>
      </c>
      <c r="BX40" s="27" t="n"/>
      <c r="BY40" s="62" t="n"/>
      <c r="BZ40" s="62" t="n"/>
      <c r="CA40" s="62">
        <f>BZ40-BY40</f>
        <v/>
      </c>
      <c r="CB40" s="64">
        <f>IF(BY40=0,"",BZ40/BY40)</f>
        <v/>
      </c>
      <c r="CC40" s="31" t="n"/>
      <c r="CD40" s="60" t="n"/>
      <c r="CE40" s="60" t="n"/>
      <c r="CF40" s="60">
        <f>CE40-CD40</f>
        <v/>
      </c>
      <c r="CG40" s="61">
        <f>IF(CD40=0,"",CE40/CD40)</f>
        <v/>
      </c>
      <c r="CH40" s="27" t="n"/>
      <c r="CI40" s="62" t="n"/>
      <c r="CJ40" s="62" t="n"/>
      <c r="CK40" s="62">
        <f>CJ40-CI40</f>
        <v/>
      </c>
      <c r="CL40" s="64">
        <f>IF(CI40=0,"",CJ40/CI40)</f>
        <v/>
      </c>
      <c r="CM40" s="31" t="n"/>
      <c r="CN40" s="60" t="n"/>
      <c r="CO40" s="60" t="n"/>
      <c r="CP40" s="60">
        <f>CO40-CN40</f>
        <v/>
      </c>
      <c r="CQ40" s="61">
        <f>IF(CN40=0,"",CO40/CN40)</f>
        <v/>
      </c>
      <c r="CR40" s="27" t="n"/>
      <c r="CS40" s="62" t="n"/>
      <c r="CT40" s="62" t="n"/>
      <c r="CU40" s="62">
        <f>CT40-CS40</f>
        <v/>
      </c>
      <c r="CV40" s="64">
        <f>IF(CS40=0,"",CT40/CS40)</f>
        <v/>
      </c>
      <c r="CW40" s="31" t="n"/>
      <c r="CX40" s="60" t="n"/>
      <c r="CY40" s="60" t="n"/>
      <c r="CZ40" s="60">
        <f>CY40-CX40</f>
        <v/>
      </c>
      <c r="DA40" s="61">
        <f>IF(CX40=0,"",CY40/CX40)</f>
        <v/>
      </c>
      <c r="DB40" s="27" t="n"/>
      <c r="DC40" s="62" t="n"/>
      <c r="DD40" s="62" t="n"/>
      <c r="DE40" s="62">
        <f>DD40-DC40</f>
        <v/>
      </c>
      <c r="DF40" s="64">
        <f>IF(DC40=0,"",DD40/DC40)</f>
        <v/>
      </c>
      <c r="DG40" s="31" t="n"/>
      <c r="DH40" s="60" t="n"/>
      <c r="DI40" s="60" t="n"/>
      <c r="DJ40" s="60">
        <f>DI40-DH40</f>
        <v/>
      </c>
      <c r="DK40" s="61">
        <f>IF(DH40=0,"",DI40/DH40)</f>
        <v/>
      </c>
      <c r="DL40" s="27" t="n"/>
      <c r="DM40" s="62" t="n"/>
      <c r="DN40" s="62" t="n"/>
      <c r="DO40" s="62">
        <f>DN40-DM40</f>
        <v/>
      </c>
      <c r="DP40" s="64">
        <f>IF(DM40=0,"",DN40/DM40)</f>
        <v/>
      </c>
      <c r="DQ40" s="31" t="n"/>
      <c r="DR40" s="60" t="n"/>
    </row>
    <row r="41" outlineLevel="1" ht="15" customHeight="1">
      <c r="A41" s="24" t="n"/>
      <c r="B41" s="24" t="n"/>
      <c r="C41" s="36" t="n"/>
      <c r="D41" s="24" t="n"/>
      <c r="E41" s="24" t="n"/>
      <c r="F41" s="24" t="n"/>
      <c r="G41" s="60" t="n"/>
      <c r="H41" s="60" t="n"/>
      <c r="I41" s="60">
        <f>H41-G41</f>
        <v/>
      </c>
      <c r="J41" s="61">
        <f>IF(G41=0,"",H41/G41)</f>
        <v/>
      </c>
      <c r="K41" s="27" t="n"/>
      <c r="L41" s="60" t="n"/>
      <c r="M41" s="60" t="n"/>
      <c r="N41" s="60">
        <f>M41-L41</f>
        <v/>
      </c>
      <c r="O41" s="61">
        <f>IF(L41=0,"",M41/L41)</f>
        <v/>
      </c>
      <c r="P41" s="27" t="n"/>
      <c r="Q41" s="62" t="n"/>
      <c r="R41" s="62" t="n"/>
      <c r="S41" s="62">
        <f>R41-Q41</f>
        <v/>
      </c>
      <c r="T41" s="64">
        <f>IF(Q41=0,"",R41/Q41)</f>
        <v/>
      </c>
      <c r="U41" s="31" t="n"/>
      <c r="V41" s="60" t="n"/>
      <c r="W41" s="60" t="n"/>
      <c r="X41" s="60">
        <f>W41-V41</f>
        <v/>
      </c>
      <c r="Y41" s="61">
        <f>IF(V41=0,"",W41/V41)</f>
        <v/>
      </c>
      <c r="Z41" s="27" t="n"/>
      <c r="AA41" s="62" t="n"/>
      <c r="AB41" s="62" t="n"/>
      <c r="AC41" s="62">
        <f>AB41-AA41</f>
        <v/>
      </c>
      <c r="AD41" s="64">
        <f>IF(AA41=0,"",AB41/AA41)</f>
        <v/>
      </c>
      <c r="AE41" s="31" t="n"/>
      <c r="AF41" s="60" t="n"/>
      <c r="AG41" s="60" t="n"/>
      <c r="AH41" s="60">
        <f>AG41-AF41</f>
        <v/>
      </c>
      <c r="AI41" s="61">
        <f>IF(AF41=0,"",AG41/AF41)</f>
        <v/>
      </c>
      <c r="AJ41" s="27" t="n"/>
      <c r="AK41" s="62" t="n"/>
      <c r="AL41" s="62" t="n"/>
      <c r="AM41" s="62">
        <f>AL41-AK41</f>
        <v/>
      </c>
      <c r="AN41" s="64">
        <f>IF(AK41=0,"",AL41/AK41)</f>
        <v/>
      </c>
      <c r="AO41" s="31" t="n"/>
      <c r="AP41" s="60" t="n"/>
      <c r="AQ41" s="60" t="n"/>
      <c r="AR41" s="60">
        <f>AQ41-AP41</f>
        <v/>
      </c>
      <c r="AS41" s="61">
        <f>IF(AP41=0,"",AQ41/AP41)</f>
        <v/>
      </c>
      <c r="AT41" s="27" t="n"/>
      <c r="AU41" s="62" t="n"/>
      <c r="AV41" s="62" t="n"/>
      <c r="AW41" s="62">
        <f>AV41-AU41</f>
        <v/>
      </c>
      <c r="AX41" s="64">
        <f>IF(AU41=0,"",AV41/AU41)</f>
        <v/>
      </c>
      <c r="AY41" s="31" t="n"/>
      <c r="AZ41" s="60" t="n"/>
      <c r="BA41" s="60" t="n"/>
      <c r="BB41" s="60">
        <f>BA41-AZ41</f>
        <v/>
      </c>
      <c r="BC41" s="61">
        <f>IF(AZ41=0,"",BA41/AZ41)</f>
        <v/>
      </c>
      <c r="BD41" s="27" t="n"/>
      <c r="BE41" s="62" t="n"/>
      <c r="BF41" s="62" t="n"/>
      <c r="BG41" s="62">
        <f>BF41-BE41</f>
        <v/>
      </c>
      <c r="BH41" s="64">
        <f>IF(BE41=0,"",BF41/BE41)</f>
        <v/>
      </c>
      <c r="BI41" s="31" t="n"/>
      <c r="BJ41" s="60" t="n"/>
      <c r="BK41" s="60" t="n"/>
      <c r="BL41" s="60">
        <f>BK41-BJ41</f>
        <v/>
      </c>
      <c r="BM41" s="61">
        <f>IF(BJ41=0,"",BK41/BJ41)</f>
        <v/>
      </c>
      <c r="BN41" s="27" t="n"/>
      <c r="BO41" s="62" t="n"/>
      <c r="BP41" s="62" t="n"/>
      <c r="BQ41" s="62">
        <f>BP41-BO41</f>
        <v/>
      </c>
      <c r="BR41" s="64">
        <f>IF(BO41=0,"",BP41/BO41)</f>
        <v/>
      </c>
      <c r="BS41" s="31" t="n"/>
      <c r="BT41" s="60" t="n"/>
      <c r="BU41" s="60" t="n"/>
      <c r="BV41" s="60">
        <f>BU41-BT41</f>
        <v/>
      </c>
      <c r="BW41" s="61">
        <f>IF(BT41=0,"",BU41/BT41)</f>
        <v/>
      </c>
      <c r="BX41" s="27" t="n"/>
      <c r="BY41" s="62" t="n"/>
      <c r="BZ41" s="62" t="n"/>
      <c r="CA41" s="62">
        <f>BZ41-BY41</f>
        <v/>
      </c>
      <c r="CB41" s="64">
        <f>IF(BY41=0,"",BZ41/BY41)</f>
        <v/>
      </c>
      <c r="CC41" s="31" t="n"/>
      <c r="CD41" s="60" t="n"/>
      <c r="CE41" s="60" t="n"/>
      <c r="CF41" s="60">
        <f>CE41-CD41</f>
        <v/>
      </c>
      <c r="CG41" s="61">
        <f>IF(CD41=0,"",CE41/CD41)</f>
        <v/>
      </c>
      <c r="CH41" s="27" t="n"/>
      <c r="CI41" s="62" t="n"/>
      <c r="CJ41" s="62" t="n"/>
      <c r="CK41" s="62">
        <f>CJ41-CI41</f>
        <v/>
      </c>
      <c r="CL41" s="64">
        <f>IF(CI41=0,"",CJ41/CI41)</f>
        <v/>
      </c>
      <c r="CM41" s="31" t="n"/>
      <c r="CN41" s="60" t="n"/>
      <c r="CO41" s="60" t="n"/>
      <c r="CP41" s="60">
        <f>CO41-CN41</f>
        <v/>
      </c>
      <c r="CQ41" s="61">
        <f>IF(CN41=0,"",CO41/CN41)</f>
        <v/>
      </c>
      <c r="CR41" s="27" t="n"/>
      <c r="CS41" s="62" t="n"/>
      <c r="CT41" s="62" t="n"/>
      <c r="CU41" s="62">
        <f>CT41-CS41</f>
        <v/>
      </c>
      <c r="CV41" s="64">
        <f>IF(CS41=0,"",CT41/CS41)</f>
        <v/>
      </c>
      <c r="CW41" s="31" t="n"/>
      <c r="CX41" s="60" t="n"/>
      <c r="CY41" s="60" t="n"/>
      <c r="CZ41" s="60">
        <f>CY41-CX41</f>
        <v/>
      </c>
      <c r="DA41" s="61">
        <f>IF(CX41=0,"",CY41/CX41)</f>
        <v/>
      </c>
      <c r="DB41" s="27" t="n"/>
      <c r="DC41" s="62" t="n"/>
      <c r="DD41" s="62" t="n"/>
      <c r="DE41" s="62">
        <f>DD41-DC41</f>
        <v/>
      </c>
      <c r="DF41" s="64">
        <f>IF(DC41=0,"",DD41/DC41)</f>
        <v/>
      </c>
      <c r="DG41" s="31" t="n"/>
      <c r="DH41" s="60" t="n"/>
      <c r="DI41" s="60" t="n"/>
      <c r="DJ41" s="60">
        <f>DI41-DH41</f>
        <v/>
      </c>
      <c r="DK41" s="61">
        <f>IF(DH41=0,"",DI41/DH41)</f>
        <v/>
      </c>
      <c r="DL41" s="27" t="n"/>
      <c r="DM41" s="62" t="n"/>
      <c r="DN41" s="62" t="n"/>
      <c r="DO41" s="62">
        <f>DN41-DM41</f>
        <v/>
      </c>
      <c r="DP41" s="64">
        <f>IF(DM41=0,"",DN41/DM41)</f>
        <v/>
      </c>
      <c r="DQ41" s="31" t="n"/>
      <c r="DR41" s="60" t="n"/>
    </row>
    <row r="42" outlineLevel="1" ht="15" customHeight="1">
      <c r="A42" s="55" t="n"/>
      <c r="B42" s="55" t="n"/>
      <c r="C42" s="55" t="n"/>
      <c r="D42" s="24" t="n"/>
      <c r="E42" s="24" t="n"/>
      <c r="F42" s="24" t="n"/>
      <c r="G42" s="60" t="n"/>
      <c r="H42" s="60" t="n"/>
      <c r="I42" s="60">
        <f>H42-G42</f>
        <v/>
      </c>
      <c r="J42" s="61">
        <f>IF(G42=0,"",H42/G42)</f>
        <v/>
      </c>
      <c r="K42" s="27" t="n"/>
      <c r="L42" s="60" t="n"/>
      <c r="M42" s="60" t="n"/>
      <c r="N42" s="60">
        <f>M42-L42</f>
        <v/>
      </c>
      <c r="O42" s="61">
        <f>IF(L42=0,"",M42/L42)</f>
        <v/>
      </c>
      <c r="P42" s="27" t="n"/>
      <c r="Q42" s="62" t="n"/>
      <c r="R42" s="62" t="n"/>
      <c r="S42" s="62">
        <f>R42-Q42</f>
        <v/>
      </c>
      <c r="T42" s="64">
        <f>IF(Q42=0,"",R42/Q42)</f>
        <v/>
      </c>
      <c r="U42" s="31" t="n"/>
      <c r="V42" s="60" t="n"/>
      <c r="W42" s="60" t="n"/>
      <c r="X42" s="60">
        <f>W42-V42</f>
        <v/>
      </c>
      <c r="Y42" s="61">
        <f>IF(V42=0,"",W42/V42)</f>
        <v/>
      </c>
      <c r="Z42" s="27" t="n"/>
      <c r="AA42" s="62" t="n"/>
      <c r="AB42" s="62" t="n"/>
      <c r="AC42" s="62">
        <f>AB42-AA42</f>
        <v/>
      </c>
      <c r="AD42" s="64">
        <f>IF(AA42=0,"",AB42/AA42)</f>
        <v/>
      </c>
      <c r="AE42" s="31" t="n"/>
      <c r="AF42" s="60" t="n"/>
      <c r="AG42" s="60" t="n"/>
      <c r="AH42" s="60">
        <f>AG42-AF42</f>
        <v/>
      </c>
      <c r="AI42" s="61">
        <f>IF(AF42=0,"",AG42/AF42)</f>
        <v/>
      </c>
      <c r="AJ42" s="27" t="n"/>
      <c r="AK42" s="62" t="n"/>
      <c r="AL42" s="62" t="n"/>
      <c r="AM42" s="62">
        <f>AL42-AK42</f>
        <v/>
      </c>
      <c r="AN42" s="64">
        <f>IF(AK42=0,"",AL42/AK42)</f>
        <v/>
      </c>
      <c r="AO42" s="31" t="n"/>
      <c r="AP42" s="60" t="n"/>
      <c r="AQ42" s="60" t="n"/>
      <c r="AR42" s="60">
        <f>AQ42-AP42</f>
        <v/>
      </c>
      <c r="AS42" s="61">
        <f>IF(AP42=0,"",AQ42/AP42)</f>
        <v/>
      </c>
      <c r="AT42" s="27" t="n"/>
      <c r="AU42" s="62" t="n"/>
      <c r="AV42" s="62" t="n"/>
      <c r="AW42" s="62">
        <f>AV42-AU42</f>
        <v/>
      </c>
      <c r="AX42" s="64">
        <f>IF(AU42=0,"",AV42/AU42)</f>
        <v/>
      </c>
      <c r="AY42" s="31" t="n"/>
      <c r="AZ42" s="60" t="n"/>
      <c r="BA42" s="60" t="n"/>
      <c r="BB42" s="60">
        <f>BA42-AZ42</f>
        <v/>
      </c>
      <c r="BC42" s="61">
        <f>IF(AZ42=0,"",BA42/AZ42)</f>
        <v/>
      </c>
      <c r="BD42" s="27" t="n"/>
      <c r="BE42" s="62" t="n"/>
      <c r="BF42" s="62" t="n"/>
      <c r="BG42" s="62">
        <f>BF42-BE42</f>
        <v/>
      </c>
      <c r="BH42" s="64">
        <f>IF(BE42=0,"",BF42/BE42)</f>
        <v/>
      </c>
      <c r="BI42" s="31" t="n"/>
      <c r="BJ42" s="60" t="n"/>
      <c r="BK42" s="60" t="n"/>
      <c r="BL42" s="60">
        <f>BK42-BJ42</f>
        <v/>
      </c>
      <c r="BM42" s="61">
        <f>IF(BJ42=0,"",BK42/BJ42)</f>
        <v/>
      </c>
      <c r="BN42" s="27" t="n"/>
      <c r="BO42" s="62" t="n"/>
      <c r="BP42" s="62" t="n"/>
      <c r="BQ42" s="62">
        <f>BP42-BO42</f>
        <v/>
      </c>
      <c r="BR42" s="64">
        <f>IF(BO42=0,"",BP42/BO42)</f>
        <v/>
      </c>
      <c r="BS42" s="31" t="n"/>
      <c r="BT42" s="60" t="n"/>
      <c r="BU42" s="60" t="n"/>
      <c r="BV42" s="60">
        <f>BU42-BT42</f>
        <v/>
      </c>
      <c r="BW42" s="61">
        <f>IF(BT42=0,"",BU42/BT42)</f>
        <v/>
      </c>
      <c r="BX42" s="27" t="n"/>
      <c r="BY42" s="62" t="n"/>
      <c r="BZ42" s="62" t="n"/>
      <c r="CA42" s="62">
        <f>BZ42-BY42</f>
        <v/>
      </c>
      <c r="CB42" s="64">
        <f>IF(BY42=0,"",BZ42/BY42)</f>
        <v/>
      </c>
      <c r="CC42" s="31" t="n"/>
      <c r="CD42" s="60" t="n"/>
      <c r="CE42" s="60" t="n"/>
      <c r="CF42" s="60">
        <f>CE42-CD42</f>
        <v/>
      </c>
      <c r="CG42" s="61">
        <f>IF(CD42=0,"",CE42/CD42)</f>
        <v/>
      </c>
      <c r="CH42" s="27" t="n"/>
      <c r="CI42" s="62" t="n"/>
      <c r="CJ42" s="62" t="n"/>
      <c r="CK42" s="62">
        <f>CJ42-CI42</f>
        <v/>
      </c>
      <c r="CL42" s="64">
        <f>IF(CI42=0,"",CJ42/CI42)</f>
        <v/>
      </c>
      <c r="CM42" s="31" t="n"/>
      <c r="CN42" s="60" t="n"/>
      <c r="CO42" s="60" t="n"/>
      <c r="CP42" s="60">
        <f>CO42-CN42</f>
        <v/>
      </c>
      <c r="CQ42" s="61">
        <f>IF(CN42=0,"",CO42/CN42)</f>
        <v/>
      </c>
      <c r="CR42" s="27" t="n"/>
      <c r="CS42" s="62" t="n"/>
      <c r="CT42" s="62" t="n"/>
      <c r="CU42" s="62">
        <f>CT42-CS42</f>
        <v/>
      </c>
      <c r="CV42" s="64">
        <f>IF(CS42=0,"",CT42/CS42)</f>
        <v/>
      </c>
      <c r="CW42" s="31" t="n"/>
      <c r="CX42" s="60" t="n"/>
      <c r="CY42" s="60" t="n"/>
      <c r="CZ42" s="60">
        <f>CY42-CX42</f>
        <v/>
      </c>
      <c r="DA42" s="61">
        <f>IF(CX42=0,"",CY42/CX42)</f>
        <v/>
      </c>
      <c r="DB42" s="27" t="n"/>
      <c r="DC42" s="62" t="n"/>
      <c r="DD42" s="62" t="n"/>
      <c r="DE42" s="62">
        <f>DD42-DC42</f>
        <v/>
      </c>
      <c r="DF42" s="64">
        <f>IF(DC42=0,"",DD42/DC42)</f>
        <v/>
      </c>
      <c r="DG42" s="31" t="n"/>
      <c r="DH42" s="60" t="n"/>
      <c r="DI42" s="60" t="n"/>
      <c r="DJ42" s="60">
        <f>DI42-DH42</f>
        <v/>
      </c>
      <c r="DK42" s="61">
        <f>IF(DH42=0,"",DI42/DH42)</f>
        <v/>
      </c>
      <c r="DL42" s="27" t="n"/>
      <c r="DM42" s="62" t="n"/>
      <c r="DN42" s="62" t="n"/>
      <c r="DO42" s="62">
        <f>DN42-DM42</f>
        <v/>
      </c>
      <c r="DP42" s="64">
        <f>IF(DM42=0,"",DN42/DM42)</f>
        <v/>
      </c>
      <c r="DQ42" s="31" t="n"/>
      <c r="DR42" s="60" t="n"/>
    </row>
    <row r="43" ht="15" customHeight="1">
      <c r="A43" s="32" t="n"/>
      <c r="B43" s="32" t="n"/>
      <c r="C43" s="32" t="n"/>
      <c r="D43" s="32" t="n"/>
      <c r="E43" s="32" t="n"/>
      <c r="F43" s="32" t="n"/>
      <c r="G43" s="65">
        <f>G44+G45+G46+G47+G48+G49+G50+G51+G52+G53+G54+G55+G56+G57+G58+G59+G60+G61+G62+G63+G64+G65+G66+G67+G68+G69</f>
        <v/>
      </c>
      <c r="H43" s="65">
        <f>H44+H45+H46+H47+H48+H49+H50+H51+H52+H53+H54+H55+H56+H57+H58+H59+H60+H61+H62+H63+H64+H65+H66+H67+H68+H69</f>
        <v/>
      </c>
      <c r="I43" s="65">
        <f>H43-G43</f>
        <v/>
      </c>
      <c r="J43" s="66">
        <f>IF(G43=0,"",H43/G43)</f>
        <v/>
      </c>
      <c r="K43" s="35" t="n"/>
      <c r="L43" s="65">
        <f>L44+L45+L46+L47+L48+L49+L50+L51+L52+L53+L54+L55+L56+L57+L58+L59+L60+L61+L62+L63+L64+L65+L66+L67+L68+L69</f>
        <v/>
      </c>
      <c r="M43" s="65">
        <f>M44+M45+M46+M47+M48+M49+M50+M51+M52+M53+M54+M55+M56+M57+M58+M59+M60+M61+M62+M63+M64+M65+M66+M67+M68+M69</f>
        <v/>
      </c>
      <c r="N43" s="65">
        <f>M43-L43</f>
        <v/>
      </c>
      <c r="O43" s="66">
        <f>IF(L43=0,"",M43/L43)</f>
        <v/>
      </c>
      <c r="P43" s="35" t="n"/>
      <c r="Q43" s="65">
        <f>Q44+Q45+Q46+Q47+Q48+Q49+Q50+Q51+Q52+Q53+Q54+Q55+Q56+Q57+Q58+Q59+Q60+Q61+Q62+Q63+Q64+Q65+Q66+Q67+Q68+Q69</f>
        <v/>
      </c>
      <c r="R43" s="65">
        <f>R44+R45+R46+R47+R48+R49+R50+R51+R52+R53+R54+R55+R56+R57+R58+R59+R60+R61+R62+R63+R64+R65+R66+R67+R68+R69</f>
        <v/>
      </c>
      <c r="S43" s="65">
        <f>R43-Q43</f>
        <v/>
      </c>
      <c r="T43" s="66">
        <f>IF(Q43=0,"",R43/Q43)</f>
        <v/>
      </c>
      <c r="U43" s="35" t="n"/>
      <c r="V43" s="65">
        <f>V44+V45+V46+V47+V48+V49+V50+V51+V52+V53+V54+V55+V56+V57+V58+V59+V60+V61+V62+V63+V64+V65+V66+V67+V68+V69</f>
        <v/>
      </c>
      <c r="W43" s="65">
        <f>W44+W45+W46+W47+W48+W49+W50+W51+W52+W53+W54+W55+W56+W57+W58+W59+W60+W61+W62+W63+W64+W65+W66+W67+W68+W69</f>
        <v/>
      </c>
      <c r="X43" s="65">
        <f>W43-V43</f>
        <v/>
      </c>
      <c r="Y43" s="66">
        <f>IF(V43=0,"",W43/V43)</f>
        <v/>
      </c>
      <c r="Z43" s="35" t="n"/>
      <c r="AA43" s="65">
        <f>AA44+AA45+AA46+AA47+AA48+AA49+AA50+AA51+AA52+AA53+AA54+AA55+AA56+AA57+AA58+AA59+AA60+AA61+AA62+AA63+AA64+AA65+AA66+AA67+AA68+AA69</f>
        <v/>
      </c>
      <c r="AB43" s="65">
        <f>AB44+AB45+AB46+AB47+AB48+AB49+AB50+AB51+AB52+AB53+AB54+AB55+AB56+AB57+AB58+AB59+AB60+AB61+AB62+AB63+AB64+AB65+AB66+AB67+AB68+AB69</f>
        <v/>
      </c>
      <c r="AC43" s="65">
        <f>AB43-AA43</f>
        <v/>
      </c>
      <c r="AD43" s="66">
        <f>IF(AA43=0,"",AB43/AA43)</f>
        <v/>
      </c>
      <c r="AE43" s="35" t="n"/>
      <c r="AF43" s="65">
        <f>AF44+AF45+AF46+AF47+AF48+AF49+AF50+AF51+AF52+AF53+AF54+AF55+AF56+AF57+AF58+AF59+AF60+AF61+AF62+AF63+AF64+AF65+AF66+AF67+AF68+AF69</f>
        <v/>
      </c>
      <c r="AG43" s="65">
        <f>AG44+AG45+AG46+AG47+AG48+AG49+AG50+AG51+AG52+AG53+AG54+AG55+AG56+AG57+AG58+AG59+AG60+AG61+AG62+AG63+AG64+AG65+AG66+AG67+AG68+AG69</f>
        <v/>
      </c>
      <c r="AH43" s="65">
        <f>AG43-AF43</f>
        <v/>
      </c>
      <c r="AI43" s="66">
        <f>IF(AF43=0,"",AG43/AF43)</f>
        <v/>
      </c>
      <c r="AJ43" s="35" t="n"/>
      <c r="AK43" s="65">
        <f>AK44+AK45+AK46+AK47+AK48+AK49+AK50+AK51+AK52+AK53+AK54+AK55+AK56+AK57+AK58+AK59+AK60+AK61+AK62+AK63+AK64+AK65+AK66+AK67+AK68+AK69</f>
        <v/>
      </c>
      <c r="AL43" s="65">
        <f>AL44+AL45+AL46+AL47+AL48+AL49+AL50+AL51+AL52+AL53+AL54+AL55+AL56+AL57+AL58+AL59+AL60+AL61+AL62+AL63+AL64+AL65+AL66+AL67+AL68+AL69</f>
        <v/>
      </c>
      <c r="AM43" s="65">
        <f>AL43-AK43</f>
        <v/>
      </c>
      <c r="AN43" s="66">
        <f>IF(AK43=0,"",AL43/AK43)</f>
        <v/>
      </c>
      <c r="AO43" s="35" t="n"/>
      <c r="AP43" s="65">
        <f>AP44+AP45+AP46+AP47+AP48+AP49+AP50+AP51+AP52+AP53+AP54+AP55+AP56+AP57+AP58+AP59+AP60+AP61+AP62+AP63+AP64+AP65+AP66+AP67+AP68+AP69</f>
        <v/>
      </c>
      <c r="AQ43" s="65">
        <f>AQ44+AQ45+AQ46+AQ47+AQ48+AQ49+AQ50+AQ51+AQ52+AQ53+AQ54+AQ55+AQ56+AQ57+AQ58+AQ59+AQ60+AQ61+AQ62+AQ63+AQ64+AQ65+AQ66+AQ67+AQ68+AQ69</f>
        <v/>
      </c>
      <c r="AR43" s="65">
        <f>AQ43-AP43</f>
        <v/>
      </c>
      <c r="AS43" s="66">
        <f>IF(AP43=0,"",AQ43/AP43)</f>
        <v/>
      </c>
      <c r="AT43" s="35" t="n"/>
      <c r="AU43" s="65">
        <f>AU44+AU45+AU46+AU47+AU48+AU49+AU50+AU51+AU52+AU53+AU54+AU55+AU56+AU57+AU58+AU59+AU60+AU61+AU62+AU63+AU64+AU65+AU66+AU67+AU68+AU69</f>
        <v/>
      </c>
      <c r="AV43" s="65">
        <f>AV44+AV45+AV46+AV47+AV48+AV49+AV50+AV51+AV52+AV53+AV54+AV55+AV56+AV57+AV58+AV59+AV60+AV61+AV62+AV63+AV64+AV65+AV66+AV67+AV68+AV69</f>
        <v/>
      </c>
      <c r="AW43" s="65">
        <f>AV43-AU43</f>
        <v/>
      </c>
      <c r="AX43" s="66">
        <f>IF(AU43=0,"",AV43/AU43)</f>
        <v/>
      </c>
      <c r="AY43" s="35" t="n"/>
      <c r="AZ43" s="65">
        <f>AZ44+AZ45+AZ46+AZ47+AZ48+AZ49+AZ50+AZ51+AZ52+AZ53+AZ54+AZ55+AZ56+AZ57+AZ58+AZ59+AZ60+AZ61+AZ62+AZ63+AZ64+AZ65+AZ66+AZ67+AZ68+AZ69</f>
        <v/>
      </c>
      <c r="BA43" s="65">
        <f>BA44+BA45+BA46+BA47+BA48+BA49+BA50+BA51+BA52+BA53+BA54+BA55+BA56+BA57+BA58+BA59+BA60+BA61+BA62+BA63+BA64+BA65+BA66+BA67+BA68+BA69</f>
        <v/>
      </c>
      <c r="BB43" s="65">
        <f>BA43-AZ43</f>
        <v/>
      </c>
      <c r="BC43" s="66">
        <f>IF(AZ43=0,"",BA43/AZ43)</f>
        <v/>
      </c>
      <c r="BD43" s="35" t="n"/>
      <c r="BE43" s="65">
        <f>BE44+BE45+BE46+BE47+BE48+BE49+BE50+BE51+BE52+BE53+BE54+BE55+BE56+BE57+BE58+BE59+BE60+BE61+BE62+BE63+BE64+BE65+BE66+BE67+BE68+BE69</f>
        <v/>
      </c>
      <c r="BF43" s="65">
        <f>BF44+BF45+BF46+BF47+BF48+BF49+BF50+BF51+BF52+BF53+BF54+BF55+BF56+BF57+BF58+BF59+BF60+BF61+BF62+BF63+BF64+BF65+BF66+BF67+BF68+BF69</f>
        <v/>
      </c>
      <c r="BG43" s="65">
        <f>BF43-BE43</f>
        <v/>
      </c>
      <c r="BH43" s="66">
        <f>IF(BE43=0,"",BF43/BE43)</f>
        <v/>
      </c>
      <c r="BI43" s="35" t="n"/>
      <c r="BJ43" s="65">
        <f>BJ44+BJ45+BJ46+BJ47+BJ48+BJ49+BJ50+BJ51+BJ52+BJ53+BJ54+BJ55+BJ56+BJ57+BJ58+BJ59+BJ60+BJ61+BJ62+BJ63+BJ64+BJ65+BJ66+BJ67+BJ68+BJ69</f>
        <v/>
      </c>
      <c r="BK43" s="65">
        <f>BK44+BK45+BK46+BK47+BK48+BK49+BK50+BK51+BK52+BK53+BK54+BK55+BK56+BK57+BK58+BK59+BK60+BK61+BK62+BK63+BK64+BK65+BK66+BK67+BK68+BK69</f>
        <v/>
      </c>
      <c r="BL43" s="65">
        <f>BK43-BJ43</f>
        <v/>
      </c>
      <c r="BM43" s="66">
        <f>IF(BJ43=0,"",BK43/BJ43)</f>
        <v/>
      </c>
      <c r="BN43" s="35" t="n"/>
      <c r="BO43" s="65">
        <f>BO44+BO45+BO46+BO47+BO48+BO49+BO50+BO51+BO52+BO53+BO54+BO55+BO56+BO57+BO58+BO59+BO60+BO61+BO62+BO63+BO64+BO65+BO66+BO67+BO68+BO69</f>
        <v/>
      </c>
      <c r="BP43" s="65">
        <f>BP44+BP45+BP46+BP47+BP48+BP49+BP50+BP51+BP52+BP53+BP54+BP55+BP56+BP57+BP58+BP59+BP60+BP61+BP62+BP63+BP64+BP65+BP66+BP67+BP68+BP69</f>
        <v/>
      </c>
      <c r="BQ43" s="65">
        <f>BP43-BO43</f>
        <v/>
      </c>
      <c r="BR43" s="66">
        <f>IF(BO43=0,"",BP43/BO43)</f>
        <v/>
      </c>
      <c r="BS43" s="35" t="n"/>
      <c r="BT43" s="65">
        <f>BT44+BT45+BT46+BT47+BT48+BT49+BT50+BT51+BT52+BT53+BT54+BT55+BT56+BT57+BT58+BT59+BT60+BT61+BT62+BT63+BT64+BT65+BT66+BT67+BT68+BT69</f>
        <v/>
      </c>
      <c r="BU43" s="65">
        <f>BU44+BU45+BU46+BU47+BU48+BU49+BU50+BU51+BU52+BU53+BU54+BU55+BU56+BU57+BU58+BU59+BU60+BU61+BU62+BU63+BU64+BU65+BU66+BU67+BU68+BU69</f>
        <v/>
      </c>
      <c r="BV43" s="65">
        <f>BU43-BT43</f>
        <v/>
      </c>
      <c r="BW43" s="66">
        <f>IF(BT43=0,"",BU43/BT43)</f>
        <v/>
      </c>
      <c r="BX43" s="35" t="n"/>
      <c r="BY43" s="65">
        <f>BY44+BY45+BY46+BY47+BY48+BY49+BY50+BY51+BY52+BY53+BY54+BY55+BY56+BY57+BY58+BY59+BY60+BY61+BY62+BY63+BY64+BY65+BY66+BY67+BY68+BY69</f>
        <v/>
      </c>
      <c r="BZ43" s="65">
        <f>BZ44+BZ45+BZ46+BZ47+BZ48+BZ49+BZ50+BZ51+BZ52+BZ53+BZ54+BZ55+BZ56+BZ57+BZ58+BZ59+BZ60+BZ61+BZ62+BZ63+BZ64+BZ65+BZ66+BZ67+BZ68+BZ69</f>
        <v/>
      </c>
      <c r="CA43" s="65">
        <f>BZ43-BY43</f>
        <v/>
      </c>
      <c r="CB43" s="66">
        <f>IF(BY43=0,"",BZ43/BY43)</f>
        <v/>
      </c>
      <c r="CC43" s="35" t="n"/>
      <c r="CD43" s="65">
        <f>CD44+CD45+CD46+CD47+CD48+CD49+CD50+CD51+CD52+CD53+CD54+CD55+CD56+CD57+CD58+CD59+CD60+CD61+CD62+CD63+CD64+CD65+CD66+CD67+CD68+CD69</f>
        <v/>
      </c>
      <c r="CE43" s="65">
        <f>CE44+CE45+CE46+CE47+CE48+CE49+CE50+CE51+CE52+CE53+CE54+CE55+CE56+CE57+CE58+CE59+CE60+CE61+CE62+CE63+CE64+CE65+CE66+CE67+CE68+CE69</f>
        <v/>
      </c>
      <c r="CF43" s="65">
        <f>CE43-CD43</f>
        <v/>
      </c>
      <c r="CG43" s="66">
        <f>IF(CD43=0,"",CE43/CD43)</f>
        <v/>
      </c>
      <c r="CH43" s="35" t="n"/>
      <c r="CI43" s="65">
        <f>CI44+CI45+CI46+CI47+CI48+CI49+CI50+CI51+CI52+CI53+CI54+CI55+CI56+CI57+CI58+CI59+CI60+CI61+CI62+CI63+CI64+CI65+CI66+CI67+CI68+CI69</f>
        <v/>
      </c>
      <c r="CJ43" s="65">
        <f>CJ44+CJ45+CJ46+CJ47+CJ48+CJ49+CJ50+CJ51+CJ52+CJ53+CJ54+CJ55+CJ56+CJ57+CJ58+CJ59+CJ60+CJ61+CJ62+CJ63+CJ64+CJ65+CJ66+CJ67+CJ68+CJ69</f>
        <v/>
      </c>
      <c r="CK43" s="65">
        <f>CJ43-CI43</f>
        <v/>
      </c>
      <c r="CL43" s="66">
        <f>IF(CI43=0,"",CJ43/CI43)</f>
        <v/>
      </c>
      <c r="CM43" s="35" t="n"/>
      <c r="CN43" s="65">
        <f>CN44+CN45+CN46+CN47+CN48+CN49+CN50+CN51+CN52+CN53+CN54+CN55+CN56+CN57+CN58+CN59+CN60+CN61+CN62+CN63+CN64+CN65+CN66+CN67+CN68+CN69</f>
        <v/>
      </c>
      <c r="CO43" s="65">
        <f>CO44+CO45+CO46+CO47+CO48+CO49+CO50+CO51+CO52+CO53+CO54+CO55+CO56+CO57+CO58+CO59+CO60+CO61+CO62+CO63+CO64+CO65+CO66+CO67+CO68+CO69</f>
        <v/>
      </c>
      <c r="CP43" s="65">
        <f>CO43-CN43</f>
        <v/>
      </c>
      <c r="CQ43" s="66">
        <f>IF(CN43=0,"",CO43/CN43)</f>
        <v/>
      </c>
      <c r="CR43" s="35" t="n"/>
      <c r="CS43" s="65">
        <f>CS44+CS45+CS46+CS47+CS48+CS49+CS50+CS51+CS52+CS53+CS54+CS55+CS56+CS57+CS58+CS59+CS60+CS61+CS62+CS63+CS64+CS65+CS66+CS67+CS68+CS69</f>
        <v/>
      </c>
      <c r="CT43" s="65">
        <f>CT44+CT45+CT46+CT47+CT48+CT49+CT50+CT51+CT52+CT53+CT54+CT55+CT56+CT57+CT58+CT59+CT60+CT61+CT62+CT63+CT64+CT65+CT66+CT67+CT68+CT69</f>
        <v/>
      </c>
      <c r="CU43" s="65">
        <f>CT43-CS43</f>
        <v/>
      </c>
      <c r="CV43" s="66">
        <f>IF(CS43=0,"",CT43/CS43)</f>
        <v/>
      </c>
      <c r="CW43" s="35" t="n"/>
      <c r="CX43" s="65">
        <f>CX44+CX45+CX46+CX47+CX48+CX49+CX50+CX51+CX52+CX53+CX54+CX55+CX56+CX57+CX58+CX59+CX60+CX61+CX62+CX63+CX64+CX65+CX66+CX67+CX68+CX69</f>
        <v/>
      </c>
      <c r="CY43" s="65">
        <f>CY44+CY45+CY46+CY47+CY48+CY49+CY50+CY51+CY52+CY53+CY54+CY55+CY56+CY57+CY58+CY59+CY60+CY61+CY62+CY63+CY64+CY65+CY66+CY67+CY68+CY69</f>
        <v/>
      </c>
      <c r="CZ43" s="65">
        <f>CY43-CX43</f>
        <v/>
      </c>
      <c r="DA43" s="66">
        <f>IF(CX43=0,"",CY43/CX43)</f>
        <v/>
      </c>
      <c r="DB43" s="35" t="n"/>
      <c r="DC43" s="65">
        <f>DC44+DC45+DC46+DC47+DC48+DC49+DC50+DC51+DC52+DC53+DC54+DC55+DC56+DC57+DC58+DC59+DC60+DC61+DC62+DC63+DC64+DC65+DC66+DC67+DC68+DC69</f>
        <v/>
      </c>
      <c r="DD43" s="65">
        <f>DD44+DD45+DD46+DD47+DD48+DD49+DD50+DD51+DD52+DD53+DD54+DD55+DD56+DD57+DD58+DD59+DD60+DD61+DD62+DD63+DD64+DD65+DD66+DD67+DD68+DD69</f>
        <v/>
      </c>
      <c r="DE43" s="65">
        <f>DD43-DC43</f>
        <v/>
      </c>
      <c r="DF43" s="66">
        <f>IF(DC43=0,"",DD43/DC43)</f>
        <v/>
      </c>
      <c r="DG43" s="35" t="n"/>
      <c r="DH43" s="65">
        <f>DH44+DH45+DH46+DH47+DH48+DH49+DH50+DH51+DH52+DH53+DH54+DH55+DH56+DH57+DH58+DH59+DH60+DH61+DH62+DH63+DH64+DH65+DH66+DH67+DH68+DH69</f>
        <v/>
      </c>
      <c r="DI43" s="65">
        <f>DI44+DI45+DI46+DI47+DI48+DI49+DI50+DI51+DI52+DI53+DI54+DI55+DI56+DI57+DI58+DI59+DI60+DI61+DI62+DI63+DI64+DI65+DI66+DI67+DI68+DI69</f>
        <v/>
      </c>
      <c r="DJ43" s="65">
        <f>DI43-DH43</f>
        <v/>
      </c>
      <c r="DK43" s="66">
        <f>IF(DH43=0,"",DI43/DH43)</f>
        <v/>
      </c>
      <c r="DL43" s="35" t="n"/>
      <c r="DM43" s="65">
        <f>DM44+DM45+DM46+DM47+DM48+DM49+DM50+DM51+DM52+DM53+DM54+DM55+DM56+DM57+DM58+DM59+DM60+DM61+DM62+DM63+DM64+DM65+DM66+DM67+DM68+DM69</f>
        <v/>
      </c>
      <c r="DN43" s="65">
        <f>DN44+DN45+DN46+DN47+DN48+DN49+DN50+DN51+DN52+DN53+DN54+DN55+DN56+DN57+DN58+DN59+DN60+DN61+DN62+DN63+DN64+DN65+DN66+DN67+DN68+DN69</f>
        <v/>
      </c>
      <c r="DO43" s="65">
        <f>DN43-DM43</f>
        <v/>
      </c>
      <c r="DP43" s="66">
        <f>IF(DM43=0,"",DN43/DM43)</f>
        <v/>
      </c>
      <c r="DQ43" s="35" t="n"/>
      <c r="DR43" s="65">
        <f>DR44+DR45+DR46+DR47+DR48+DR49+DR50+DR51+DR52+DR53+DR54+DR55+DR56+DR57+DR58+DR59+DR60+DR61+DR62+DR63+DR64+DR65+DR66+DR67+DR68+DR69</f>
        <v/>
      </c>
    </row>
    <row r="44" outlineLevel="1" ht="15" customHeight="1">
      <c r="A44" s="24" t="n"/>
      <c r="B44" s="24" t="n"/>
      <c r="C44" s="24" t="n"/>
      <c r="D44" s="24" t="n"/>
      <c r="E44" s="24" t="n"/>
      <c r="F44" s="24" t="n"/>
      <c r="G44" s="60" t="n"/>
      <c r="H44" s="60" t="n"/>
      <c r="I44" s="60">
        <f>H44-G44</f>
        <v/>
      </c>
      <c r="J44" s="61">
        <f>IF(G44=0,"",H44/G44)</f>
        <v/>
      </c>
      <c r="K44" s="27" t="n"/>
      <c r="L44" s="60" t="n"/>
      <c r="M44" s="60" t="n"/>
      <c r="N44" s="60">
        <f>M44-L44</f>
        <v/>
      </c>
      <c r="O44" s="61">
        <f>IF(L44=0,"",M44/L44)</f>
        <v/>
      </c>
      <c r="P44" s="27" t="n"/>
      <c r="Q44" s="62" t="n"/>
      <c r="R44" s="62" t="n"/>
      <c r="S44" s="62">
        <f>R44-Q44</f>
        <v/>
      </c>
      <c r="T44" s="64">
        <f>IF(Q44=0,"",R44/Q44)</f>
        <v/>
      </c>
      <c r="U44" s="31" t="n"/>
      <c r="V44" s="60" t="n"/>
      <c r="W44" s="60" t="n"/>
      <c r="X44" s="60">
        <f>W44-V44</f>
        <v/>
      </c>
      <c r="Y44" s="61">
        <f>IF(V44=0,"",W44/V44)</f>
        <v/>
      </c>
      <c r="Z44" s="27" t="n"/>
      <c r="AA44" s="62" t="n"/>
      <c r="AB44" s="62" t="n"/>
      <c r="AC44" s="62">
        <f>AB44-AA44</f>
        <v/>
      </c>
      <c r="AD44" s="64">
        <f>IF(AA44=0,"",AB44/AA44)</f>
        <v/>
      </c>
      <c r="AE44" s="31" t="n"/>
      <c r="AF44" s="60" t="n"/>
      <c r="AG44" s="60" t="n"/>
      <c r="AH44" s="60">
        <f>AG44-AF44</f>
        <v/>
      </c>
      <c r="AI44" s="61">
        <f>IF(AF44=0,"",AG44/AF44)</f>
        <v/>
      </c>
      <c r="AJ44" s="27" t="n"/>
      <c r="AK44" s="62" t="n"/>
      <c r="AL44" s="62" t="n"/>
      <c r="AM44" s="62">
        <f>AL44-AK44</f>
        <v/>
      </c>
      <c r="AN44" s="64">
        <f>IF(AK44=0,"",AL44/AK44)</f>
        <v/>
      </c>
      <c r="AO44" s="31" t="n"/>
      <c r="AP44" s="60" t="n"/>
      <c r="AQ44" s="60" t="n"/>
      <c r="AR44" s="60">
        <f>AQ44-AP44</f>
        <v/>
      </c>
      <c r="AS44" s="61">
        <f>IF(AP44=0,"",AQ44/AP44)</f>
        <v/>
      </c>
      <c r="AT44" s="27" t="n"/>
      <c r="AU44" s="62" t="n"/>
      <c r="AV44" s="62" t="n"/>
      <c r="AW44" s="62">
        <f>AV44-AU44</f>
        <v/>
      </c>
      <c r="AX44" s="64">
        <f>IF(AU44=0,"",AV44/AU44)</f>
        <v/>
      </c>
      <c r="AY44" s="31" t="n"/>
      <c r="AZ44" s="60" t="n"/>
      <c r="BA44" s="60" t="n"/>
      <c r="BB44" s="60">
        <f>BA44-AZ44</f>
        <v/>
      </c>
      <c r="BC44" s="61">
        <f>IF(AZ44=0,"",BA44/AZ44)</f>
        <v/>
      </c>
      <c r="BD44" s="27" t="n"/>
      <c r="BE44" s="62" t="n"/>
      <c r="BF44" s="62" t="n"/>
      <c r="BG44" s="62">
        <f>BF44-BE44</f>
        <v/>
      </c>
      <c r="BH44" s="64">
        <f>IF(BE44=0,"",BF44/BE44)</f>
        <v/>
      </c>
      <c r="BI44" s="31" t="n"/>
      <c r="BJ44" s="60" t="n"/>
      <c r="BK44" s="60" t="n"/>
      <c r="BL44" s="60">
        <f>BK44-BJ44</f>
        <v/>
      </c>
      <c r="BM44" s="61">
        <f>IF(BJ44=0,"",BK44/BJ44)</f>
        <v/>
      </c>
      <c r="BN44" s="27" t="n"/>
      <c r="BO44" s="62" t="n"/>
      <c r="BP44" s="62" t="n"/>
      <c r="BQ44" s="62">
        <f>BP44-BO44</f>
        <v/>
      </c>
      <c r="BR44" s="64">
        <f>IF(BO44=0,"",BP44/BO44)</f>
        <v/>
      </c>
      <c r="BS44" s="31" t="n"/>
      <c r="BT44" s="60" t="n"/>
      <c r="BU44" s="60" t="n"/>
      <c r="BV44" s="60">
        <f>BU44-BT44</f>
        <v/>
      </c>
      <c r="BW44" s="61">
        <f>IF(BT44=0,"",BU44/BT44)</f>
        <v/>
      </c>
      <c r="BX44" s="27" t="n"/>
      <c r="BY44" s="62" t="n"/>
      <c r="BZ44" s="62" t="n"/>
      <c r="CA44" s="62">
        <f>BZ44-BY44</f>
        <v/>
      </c>
      <c r="CB44" s="64">
        <f>IF(BY44=0,"",BZ44/BY44)</f>
        <v/>
      </c>
      <c r="CC44" s="31" t="n"/>
      <c r="CD44" s="60" t="n"/>
      <c r="CE44" s="60" t="n"/>
      <c r="CF44" s="60">
        <f>CE44-CD44</f>
        <v/>
      </c>
      <c r="CG44" s="61">
        <f>IF(CD44=0,"",CE44/CD44)</f>
        <v/>
      </c>
      <c r="CH44" s="27" t="n"/>
      <c r="CI44" s="62" t="n"/>
      <c r="CJ44" s="62" t="n"/>
      <c r="CK44" s="62">
        <f>CJ44-CI44</f>
        <v/>
      </c>
      <c r="CL44" s="64">
        <f>IF(CI44=0,"",CJ44/CI44)</f>
        <v/>
      </c>
      <c r="CM44" s="31" t="n"/>
      <c r="CN44" s="60" t="n"/>
      <c r="CO44" s="60" t="n"/>
      <c r="CP44" s="60">
        <f>CO44-CN44</f>
        <v/>
      </c>
      <c r="CQ44" s="61">
        <f>IF(CN44=0,"",CO44/CN44)</f>
        <v/>
      </c>
      <c r="CR44" s="27" t="n"/>
      <c r="CS44" s="62" t="n"/>
      <c r="CT44" s="62" t="n"/>
      <c r="CU44" s="62">
        <f>CT44-CS44</f>
        <v/>
      </c>
      <c r="CV44" s="64">
        <f>IF(CS44=0,"",CT44/CS44)</f>
        <v/>
      </c>
      <c r="CW44" s="31" t="n"/>
      <c r="CX44" s="60" t="n"/>
      <c r="CY44" s="60" t="n"/>
      <c r="CZ44" s="60">
        <f>CY44-CX44</f>
        <v/>
      </c>
      <c r="DA44" s="61">
        <f>IF(CX44=0,"",CY44/CX44)</f>
        <v/>
      </c>
      <c r="DB44" s="27" t="n"/>
      <c r="DC44" s="62" t="n"/>
      <c r="DD44" s="62" t="n"/>
      <c r="DE44" s="62">
        <f>DD44-DC44</f>
        <v/>
      </c>
      <c r="DF44" s="64">
        <f>IF(DC44=0,"",DD44/DC44)</f>
        <v/>
      </c>
      <c r="DG44" s="31" t="n"/>
      <c r="DH44" s="60" t="n"/>
      <c r="DI44" s="60" t="n"/>
      <c r="DJ44" s="60">
        <f>DI44-DH44</f>
        <v/>
      </c>
      <c r="DK44" s="61">
        <f>IF(DH44=0,"",DI44/DH44)</f>
        <v/>
      </c>
      <c r="DL44" s="27" t="n"/>
      <c r="DM44" s="62" t="n"/>
      <c r="DN44" s="62" t="n"/>
      <c r="DO44" s="62">
        <f>DN44-DM44</f>
        <v/>
      </c>
      <c r="DP44" s="64">
        <f>IF(DM44=0,"",DN44/DM44)</f>
        <v/>
      </c>
      <c r="DQ44" s="31" t="n"/>
      <c r="DR44" s="60" t="n"/>
    </row>
    <row r="45" outlineLevel="1" ht="15" customHeight="1">
      <c r="A45" s="24" t="n"/>
      <c r="B45" s="24" t="n"/>
      <c r="C45" s="24" t="n"/>
      <c r="D45" s="24" t="n"/>
      <c r="E45" s="24" t="n"/>
      <c r="F45" s="24" t="n"/>
      <c r="G45" s="60" t="n"/>
      <c r="H45" s="60" t="n"/>
      <c r="I45" s="60">
        <f>H45-G45</f>
        <v/>
      </c>
      <c r="J45" s="61">
        <f>IF(G45=0,"",H45/G45)</f>
        <v/>
      </c>
      <c r="K45" s="27" t="n"/>
      <c r="L45" s="60" t="n"/>
      <c r="M45" s="60" t="n"/>
      <c r="N45" s="60">
        <f>M45-L45</f>
        <v/>
      </c>
      <c r="O45" s="61">
        <f>IF(L45=0,"",M45/L45)</f>
        <v/>
      </c>
      <c r="P45" s="27" t="n"/>
      <c r="Q45" s="62" t="n"/>
      <c r="R45" s="62" t="n"/>
      <c r="S45" s="62">
        <f>R45-Q45</f>
        <v/>
      </c>
      <c r="T45" s="64">
        <f>IF(Q45=0,"",R45/Q45)</f>
        <v/>
      </c>
      <c r="U45" s="31" t="n"/>
      <c r="V45" s="60" t="n"/>
      <c r="W45" s="60" t="n"/>
      <c r="X45" s="60">
        <f>W45-V45</f>
        <v/>
      </c>
      <c r="Y45" s="61">
        <f>IF(V45=0,"",W45/V45)</f>
        <v/>
      </c>
      <c r="Z45" s="27" t="n"/>
      <c r="AA45" s="62" t="n"/>
      <c r="AB45" s="62" t="n"/>
      <c r="AC45" s="62">
        <f>AB45-AA45</f>
        <v/>
      </c>
      <c r="AD45" s="64">
        <f>IF(AA45=0,"",AB45/AA45)</f>
        <v/>
      </c>
      <c r="AE45" s="31" t="n"/>
      <c r="AF45" s="60" t="n"/>
      <c r="AG45" s="60" t="n"/>
      <c r="AH45" s="60">
        <f>AG45-AF45</f>
        <v/>
      </c>
      <c r="AI45" s="61">
        <f>IF(AF45=0,"",AG45/AF45)</f>
        <v/>
      </c>
      <c r="AJ45" s="27" t="n"/>
      <c r="AK45" s="62" t="n"/>
      <c r="AL45" s="62" t="n"/>
      <c r="AM45" s="62">
        <f>AL45-AK45</f>
        <v/>
      </c>
      <c r="AN45" s="64">
        <f>IF(AK45=0,"",AL45/AK45)</f>
        <v/>
      </c>
      <c r="AO45" s="31" t="n"/>
      <c r="AP45" s="60" t="n"/>
      <c r="AQ45" s="60" t="n"/>
      <c r="AR45" s="60">
        <f>AQ45-AP45</f>
        <v/>
      </c>
      <c r="AS45" s="61">
        <f>IF(AP45=0,"",AQ45/AP45)</f>
        <v/>
      </c>
      <c r="AT45" s="27" t="n"/>
      <c r="AU45" s="62" t="n"/>
      <c r="AV45" s="62" t="n"/>
      <c r="AW45" s="62">
        <f>AV45-AU45</f>
        <v/>
      </c>
      <c r="AX45" s="64">
        <f>IF(AU45=0,"",AV45/AU45)</f>
        <v/>
      </c>
      <c r="AY45" s="31" t="n"/>
      <c r="AZ45" s="60" t="n"/>
      <c r="BA45" s="60" t="n"/>
      <c r="BB45" s="60">
        <f>BA45-AZ45</f>
        <v/>
      </c>
      <c r="BC45" s="61">
        <f>IF(AZ45=0,"",BA45/AZ45)</f>
        <v/>
      </c>
      <c r="BD45" s="27" t="n"/>
      <c r="BE45" s="62" t="n"/>
      <c r="BF45" s="62" t="n"/>
      <c r="BG45" s="62">
        <f>BF45-BE45</f>
        <v/>
      </c>
      <c r="BH45" s="64">
        <f>IF(BE45=0,"",BF45/BE45)</f>
        <v/>
      </c>
      <c r="BI45" s="31" t="n"/>
      <c r="BJ45" s="60" t="n"/>
      <c r="BK45" s="60" t="n"/>
      <c r="BL45" s="60">
        <f>BK45-BJ45</f>
        <v/>
      </c>
      <c r="BM45" s="61">
        <f>IF(BJ45=0,"",BK45/BJ45)</f>
        <v/>
      </c>
      <c r="BN45" s="27" t="n"/>
      <c r="BO45" s="62" t="n"/>
      <c r="BP45" s="62" t="n"/>
      <c r="BQ45" s="62">
        <f>BP45-BO45</f>
        <v/>
      </c>
      <c r="BR45" s="64">
        <f>IF(BO45=0,"",BP45/BO45)</f>
        <v/>
      </c>
      <c r="BS45" s="31" t="n"/>
      <c r="BT45" s="60" t="n"/>
      <c r="BU45" s="60" t="n"/>
      <c r="BV45" s="60">
        <f>BU45-BT45</f>
        <v/>
      </c>
      <c r="BW45" s="61">
        <f>IF(BT45=0,"",BU45/BT45)</f>
        <v/>
      </c>
      <c r="BX45" s="27" t="n"/>
      <c r="BY45" s="62" t="n"/>
      <c r="BZ45" s="62" t="n"/>
      <c r="CA45" s="62">
        <f>BZ45-BY45</f>
        <v/>
      </c>
      <c r="CB45" s="64">
        <f>IF(BY45=0,"",BZ45/BY45)</f>
        <v/>
      </c>
      <c r="CC45" s="31" t="n"/>
      <c r="CD45" s="60" t="n"/>
      <c r="CE45" s="60" t="n"/>
      <c r="CF45" s="60">
        <f>CE45-CD45</f>
        <v/>
      </c>
      <c r="CG45" s="61">
        <f>IF(CD45=0,"",CE45/CD45)</f>
        <v/>
      </c>
      <c r="CH45" s="27" t="n"/>
      <c r="CI45" s="62" t="n"/>
      <c r="CJ45" s="62" t="n"/>
      <c r="CK45" s="62">
        <f>CJ45-CI45</f>
        <v/>
      </c>
      <c r="CL45" s="64">
        <f>IF(CI45=0,"",CJ45/CI45)</f>
        <v/>
      </c>
      <c r="CM45" s="31" t="n"/>
      <c r="CN45" s="60" t="n"/>
      <c r="CO45" s="60" t="n"/>
      <c r="CP45" s="60">
        <f>CO45-CN45</f>
        <v/>
      </c>
      <c r="CQ45" s="61">
        <f>IF(CN45=0,"",CO45/CN45)</f>
        <v/>
      </c>
      <c r="CR45" s="27" t="n"/>
      <c r="CS45" s="62" t="n"/>
      <c r="CT45" s="62" t="n"/>
      <c r="CU45" s="62">
        <f>CT45-CS45</f>
        <v/>
      </c>
      <c r="CV45" s="64">
        <f>IF(CS45=0,"",CT45/CS45)</f>
        <v/>
      </c>
      <c r="CW45" s="31" t="n"/>
      <c r="CX45" s="60" t="n"/>
      <c r="CY45" s="60" t="n"/>
      <c r="CZ45" s="60">
        <f>CY45-CX45</f>
        <v/>
      </c>
      <c r="DA45" s="61">
        <f>IF(CX45=0,"",CY45/CX45)</f>
        <v/>
      </c>
      <c r="DB45" s="27" t="n"/>
      <c r="DC45" s="62" t="n"/>
      <c r="DD45" s="62" t="n"/>
      <c r="DE45" s="62">
        <f>DD45-DC45</f>
        <v/>
      </c>
      <c r="DF45" s="64">
        <f>IF(DC45=0,"",DD45/DC45)</f>
        <v/>
      </c>
      <c r="DG45" s="31" t="n"/>
      <c r="DH45" s="60" t="n"/>
      <c r="DI45" s="60" t="n"/>
      <c r="DJ45" s="60">
        <f>DI45-DH45</f>
        <v/>
      </c>
      <c r="DK45" s="61">
        <f>IF(DH45=0,"",DI45/DH45)</f>
        <v/>
      </c>
      <c r="DL45" s="27" t="n"/>
      <c r="DM45" s="62" t="n"/>
      <c r="DN45" s="62" t="n"/>
      <c r="DO45" s="62">
        <f>DN45-DM45</f>
        <v/>
      </c>
      <c r="DP45" s="64">
        <f>IF(DM45=0,"",DN45/DM45)</f>
        <v/>
      </c>
      <c r="DQ45" s="31" t="n"/>
      <c r="DR45" s="60" t="n"/>
    </row>
    <row r="46" outlineLevel="1" ht="15" customHeight="1">
      <c r="A46" s="24" t="n"/>
      <c r="B46" s="24" t="n"/>
      <c r="C46" s="24" t="n"/>
      <c r="D46" s="24" t="n"/>
      <c r="E46" s="24" t="n"/>
      <c r="F46" s="24" t="n"/>
      <c r="G46" s="60" t="n"/>
      <c r="H46" s="60" t="n"/>
      <c r="I46" s="60">
        <f>H46-G46</f>
        <v/>
      </c>
      <c r="J46" s="61">
        <f>IF(G46=0,"",H46/G46)</f>
        <v/>
      </c>
      <c r="K46" s="27" t="n"/>
      <c r="L46" s="60" t="n"/>
      <c r="M46" s="60" t="n"/>
      <c r="N46" s="60">
        <f>M46-L46</f>
        <v/>
      </c>
      <c r="O46" s="61">
        <f>IF(L46=0,"",M46/L46)</f>
        <v/>
      </c>
      <c r="P46" s="27" t="n"/>
      <c r="Q46" s="62" t="n"/>
      <c r="R46" s="62" t="n"/>
      <c r="S46" s="62">
        <f>R46-Q46</f>
        <v/>
      </c>
      <c r="T46" s="64">
        <f>IF(Q46=0,"",R46/Q46)</f>
        <v/>
      </c>
      <c r="U46" s="31" t="n"/>
      <c r="V46" s="60" t="n"/>
      <c r="W46" s="60" t="n"/>
      <c r="X46" s="60">
        <f>W46-V46</f>
        <v/>
      </c>
      <c r="Y46" s="61">
        <f>IF(V46=0,"",W46/V46)</f>
        <v/>
      </c>
      <c r="Z46" s="27" t="n"/>
      <c r="AA46" s="62" t="n"/>
      <c r="AB46" s="62" t="n"/>
      <c r="AC46" s="62">
        <f>AB46-AA46</f>
        <v/>
      </c>
      <c r="AD46" s="64">
        <f>IF(AA46=0,"",AB46/AA46)</f>
        <v/>
      </c>
      <c r="AE46" s="31" t="n"/>
      <c r="AF46" s="60" t="n"/>
      <c r="AG46" s="60" t="n"/>
      <c r="AH46" s="60">
        <f>AG46-AF46</f>
        <v/>
      </c>
      <c r="AI46" s="61">
        <f>IF(AF46=0,"",AG46/AF46)</f>
        <v/>
      </c>
      <c r="AJ46" s="27" t="n"/>
      <c r="AK46" s="62" t="n"/>
      <c r="AL46" s="62" t="n"/>
      <c r="AM46" s="62">
        <f>AL46-AK46</f>
        <v/>
      </c>
      <c r="AN46" s="64">
        <f>IF(AK46=0,"",AL46/AK46)</f>
        <v/>
      </c>
      <c r="AO46" s="31" t="n"/>
      <c r="AP46" s="60" t="n"/>
      <c r="AQ46" s="60" t="n"/>
      <c r="AR46" s="60">
        <f>AQ46-AP46</f>
        <v/>
      </c>
      <c r="AS46" s="61">
        <f>IF(AP46=0,"",AQ46/AP46)</f>
        <v/>
      </c>
      <c r="AT46" s="27" t="n"/>
      <c r="AU46" s="62" t="n"/>
      <c r="AV46" s="62" t="n"/>
      <c r="AW46" s="62">
        <f>AV46-AU46</f>
        <v/>
      </c>
      <c r="AX46" s="64">
        <f>IF(AU46=0,"",AV46/AU46)</f>
        <v/>
      </c>
      <c r="AY46" s="31" t="n"/>
      <c r="AZ46" s="60" t="n"/>
      <c r="BA46" s="60" t="n"/>
      <c r="BB46" s="60">
        <f>BA46-AZ46</f>
        <v/>
      </c>
      <c r="BC46" s="61">
        <f>IF(AZ46=0,"",BA46/AZ46)</f>
        <v/>
      </c>
      <c r="BD46" s="27" t="n"/>
      <c r="BE46" s="62" t="n"/>
      <c r="BF46" s="62" t="n"/>
      <c r="BG46" s="62">
        <f>BF46-BE46</f>
        <v/>
      </c>
      <c r="BH46" s="64">
        <f>IF(BE46=0,"",BF46/BE46)</f>
        <v/>
      </c>
      <c r="BI46" s="31" t="n"/>
      <c r="BJ46" s="60" t="n"/>
      <c r="BK46" s="60" t="n"/>
      <c r="BL46" s="60">
        <f>BK46-BJ46</f>
        <v/>
      </c>
      <c r="BM46" s="61">
        <f>IF(BJ46=0,"",BK46/BJ46)</f>
        <v/>
      </c>
      <c r="BN46" s="27" t="n"/>
      <c r="BO46" s="62" t="n"/>
      <c r="BP46" s="62" t="n"/>
      <c r="BQ46" s="62">
        <f>BP46-BO46</f>
        <v/>
      </c>
      <c r="BR46" s="64">
        <f>IF(BO46=0,"",BP46/BO46)</f>
        <v/>
      </c>
      <c r="BS46" s="31" t="n"/>
      <c r="BT46" s="60" t="n"/>
      <c r="BU46" s="60" t="n"/>
      <c r="BV46" s="60">
        <f>BU46-BT46</f>
        <v/>
      </c>
      <c r="BW46" s="61">
        <f>IF(BT46=0,"",BU46/BT46)</f>
        <v/>
      </c>
      <c r="BX46" s="27" t="n"/>
      <c r="BY46" s="62" t="n"/>
      <c r="BZ46" s="62" t="n"/>
      <c r="CA46" s="62">
        <f>BZ46-BY46</f>
        <v/>
      </c>
      <c r="CB46" s="64">
        <f>IF(BY46=0,"",BZ46/BY46)</f>
        <v/>
      </c>
      <c r="CC46" s="31" t="n"/>
      <c r="CD46" s="60" t="n"/>
      <c r="CE46" s="60" t="n"/>
      <c r="CF46" s="60">
        <f>CE46-CD46</f>
        <v/>
      </c>
      <c r="CG46" s="61">
        <f>IF(CD46=0,"",CE46/CD46)</f>
        <v/>
      </c>
      <c r="CH46" s="27" t="n"/>
      <c r="CI46" s="62" t="n"/>
      <c r="CJ46" s="62" t="n"/>
      <c r="CK46" s="62">
        <f>CJ46-CI46</f>
        <v/>
      </c>
      <c r="CL46" s="64">
        <f>IF(CI46=0,"",CJ46/CI46)</f>
        <v/>
      </c>
      <c r="CM46" s="31" t="n"/>
      <c r="CN46" s="60" t="n"/>
      <c r="CO46" s="60" t="n"/>
      <c r="CP46" s="60">
        <f>CO46-CN46</f>
        <v/>
      </c>
      <c r="CQ46" s="61">
        <f>IF(CN46=0,"",CO46/CN46)</f>
        <v/>
      </c>
      <c r="CR46" s="27" t="n"/>
      <c r="CS46" s="62" t="n"/>
      <c r="CT46" s="62" t="n"/>
      <c r="CU46" s="62">
        <f>CT46-CS46</f>
        <v/>
      </c>
      <c r="CV46" s="64">
        <f>IF(CS46=0,"",CT46/CS46)</f>
        <v/>
      </c>
      <c r="CW46" s="31" t="n"/>
      <c r="CX46" s="60" t="n"/>
      <c r="CY46" s="60" t="n"/>
      <c r="CZ46" s="60">
        <f>CY46-CX46</f>
        <v/>
      </c>
      <c r="DA46" s="61">
        <f>IF(CX46=0,"",CY46/CX46)</f>
        <v/>
      </c>
      <c r="DB46" s="27" t="n"/>
      <c r="DC46" s="62" t="n"/>
      <c r="DD46" s="62" t="n"/>
      <c r="DE46" s="62">
        <f>DD46-DC46</f>
        <v/>
      </c>
      <c r="DF46" s="64">
        <f>IF(DC46=0,"",DD46/DC46)</f>
        <v/>
      </c>
      <c r="DG46" s="31" t="n"/>
      <c r="DH46" s="60" t="n"/>
      <c r="DI46" s="60" t="n"/>
      <c r="DJ46" s="60">
        <f>DI46-DH46</f>
        <v/>
      </c>
      <c r="DK46" s="61">
        <f>IF(DH46=0,"",DI46/DH46)</f>
        <v/>
      </c>
      <c r="DL46" s="27" t="n"/>
      <c r="DM46" s="62" t="n"/>
      <c r="DN46" s="62" t="n"/>
      <c r="DO46" s="62">
        <f>DN46-DM46</f>
        <v/>
      </c>
      <c r="DP46" s="64">
        <f>IF(DM46=0,"",DN46/DM46)</f>
        <v/>
      </c>
      <c r="DQ46" s="31" t="n"/>
      <c r="DR46" s="60" t="n"/>
    </row>
    <row r="47" outlineLevel="1" ht="15" customHeight="1">
      <c r="A47" s="24" t="n"/>
      <c r="B47" s="24" t="n"/>
      <c r="C47" s="24" t="n"/>
      <c r="D47" s="24" t="n"/>
      <c r="E47" s="24" t="n"/>
      <c r="F47" s="24" t="n"/>
      <c r="G47" s="60" t="n"/>
      <c r="H47" s="60" t="n"/>
      <c r="I47" s="60">
        <f>H47-G47</f>
        <v/>
      </c>
      <c r="J47" s="61">
        <f>IF(G47=0,"",H47/G47)</f>
        <v/>
      </c>
      <c r="K47" s="27" t="n"/>
      <c r="L47" s="60" t="n"/>
      <c r="M47" s="60" t="n"/>
      <c r="N47" s="60">
        <f>M47-L47</f>
        <v/>
      </c>
      <c r="O47" s="61">
        <f>IF(L47=0,"",M47/L47)</f>
        <v/>
      </c>
      <c r="P47" s="27" t="n"/>
      <c r="Q47" s="62" t="n"/>
      <c r="R47" s="62" t="n"/>
      <c r="S47" s="62">
        <f>R47-Q47</f>
        <v/>
      </c>
      <c r="T47" s="64">
        <f>IF(Q47=0,"",R47/Q47)</f>
        <v/>
      </c>
      <c r="U47" s="31" t="n"/>
      <c r="V47" s="60" t="n"/>
      <c r="W47" s="60" t="n"/>
      <c r="X47" s="60">
        <f>W47-V47</f>
        <v/>
      </c>
      <c r="Y47" s="61">
        <f>IF(V47=0,"",W47/V47)</f>
        <v/>
      </c>
      <c r="Z47" s="27" t="n"/>
      <c r="AA47" s="62" t="n"/>
      <c r="AB47" s="62" t="n"/>
      <c r="AC47" s="62">
        <f>AB47-AA47</f>
        <v/>
      </c>
      <c r="AD47" s="64">
        <f>IF(AA47=0,"",AB47/AA47)</f>
        <v/>
      </c>
      <c r="AE47" s="31" t="n"/>
      <c r="AF47" s="60" t="n"/>
      <c r="AG47" s="60" t="n"/>
      <c r="AH47" s="60">
        <f>AG47-AF47</f>
        <v/>
      </c>
      <c r="AI47" s="61">
        <f>IF(AF47=0,"",AG47/AF47)</f>
        <v/>
      </c>
      <c r="AJ47" s="27" t="n"/>
      <c r="AK47" s="62" t="n"/>
      <c r="AL47" s="62" t="n"/>
      <c r="AM47" s="62">
        <f>AL47-AK47</f>
        <v/>
      </c>
      <c r="AN47" s="64">
        <f>IF(AK47=0,"",AL47/AK47)</f>
        <v/>
      </c>
      <c r="AO47" s="31" t="n"/>
      <c r="AP47" s="60" t="n"/>
      <c r="AQ47" s="60" t="n"/>
      <c r="AR47" s="60">
        <f>AQ47-AP47</f>
        <v/>
      </c>
      <c r="AS47" s="61">
        <f>IF(AP47=0,"",AQ47/AP47)</f>
        <v/>
      </c>
      <c r="AT47" s="27" t="n"/>
      <c r="AU47" s="62" t="n"/>
      <c r="AV47" s="62" t="n"/>
      <c r="AW47" s="62">
        <f>AV47-AU47</f>
        <v/>
      </c>
      <c r="AX47" s="64">
        <f>IF(AU47=0,"",AV47/AU47)</f>
        <v/>
      </c>
      <c r="AY47" s="31" t="n"/>
      <c r="AZ47" s="60" t="n"/>
      <c r="BA47" s="60" t="n"/>
      <c r="BB47" s="60">
        <f>BA47-AZ47</f>
        <v/>
      </c>
      <c r="BC47" s="61">
        <f>IF(AZ47=0,"",BA47/AZ47)</f>
        <v/>
      </c>
      <c r="BD47" s="27" t="n"/>
      <c r="BE47" s="62" t="n"/>
      <c r="BF47" s="62" t="n"/>
      <c r="BG47" s="62">
        <f>BF47-BE47</f>
        <v/>
      </c>
      <c r="BH47" s="64">
        <f>IF(BE47=0,"",BF47/BE47)</f>
        <v/>
      </c>
      <c r="BI47" s="31" t="n"/>
      <c r="BJ47" s="60" t="n"/>
      <c r="BK47" s="60" t="n"/>
      <c r="BL47" s="60">
        <f>BK47-BJ47</f>
        <v/>
      </c>
      <c r="BM47" s="61">
        <f>IF(BJ47=0,"",BK47/BJ47)</f>
        <v/>
      </c>
      <c r="BN47" s="27" t="n"/>
      <c r="BO47" s="62" t="n"/>
      <c r="BP47" s="62" t="n"/>
      <c r="BQ47" s="62">
        <f>BP47-BO47</f>
        <v/>
      </c>
      <c r="BR47" s="64">
        <f>IF(BO47=0,"",BP47/BO47)</f>
        <v/>
      </c>
      <c r="BS47" s="31" t="n"/>
      <c r="BT47" s="60" t="n"/>
      <c r="BU47" s="60" t="n"/>
      <c r="BV47" s="60">
        <f>BU47-BT47</f>
        <v/>
      </c>
      <c r="BW47" s="61">
        <f>IF(BT47=0,"",BU47/BT47)</f>
        <v/>
      </c>
      <c r="BX47" s="27" t="n"/>
      <c r="BY47" s="62" t="n"/>
      <c r="BZ47" s="62" t="n"/>
      <c r="CA47" s="62">
        <f>BZ47-BY47</f>
        <v/>
      </c>
      <c r="CB47" s="64">
        <f>IF(BY47=0,"",BZ47/BY47)</f>
        <v/>
      </c>
      <c r="CC47" s="31" t="n"/>
      <c r="CD47" s="60" t="n"/>
      <c r="CE47" s="60" t="n"/>
      <c r="CF47" s="60">
        <f>CE47-CD47</f>
        <v/>
      </c>
      <c r="CG47" s="61">
        <f>IF(CD47=0,"",CE47/CD47)</f>
        <v/>
      </c>
      <c r="CH47" s="27" t="n"/>
      <c r="CI47" s="62" t="n"/>
      <c r="CJ47" s="62" t="n"/>
      <c r="CK47" s="62">
        <f>CJ47-CI47</f>
        <v/>
      </c>
      <c r="CL47" s="64">
        <f>IF(CI47=0,"",CJ47/CI47)</f>
        <v/>
      </c>
      <c r="CM47" s="31" t="n"/>
      <c r="CN47" s="60" t="n"/>
      <c r="CO47" s="60" t="n"/>
      <c r="CP47" s="60">
        <f>CO47-CN47</f>
        <v/>
      </c>
      <c r="CQ47" s="61">
        <f>IF(CN47=0,"",CO47/CN47)</f>
        <v/>
      </c>
      <c r="CR47" s="27" t="n"/>
      <c r="CS47" s="62" t="n"/>
      <c r="CT47" s="62" t="n"/>
      <c r="CU47" s="62">
        <f>CT47-CS47</f>
        <v/>
      </c>
      <c r="CV47" s="64">
        <f>IF(CS47=0,"",CT47/CS47)</f>
        <v/>
      </c>
      <c r="CW47" s="31" t="n"/>
      <c r="CX47" s="60" t="n"/>
      <c r="CY47" s="60" t="n"/>
      <c r="CZ47" s="60">
        <f>CY47-CX47</f>
        <v/>
      </c>
      <c r="DA47" s="61">
        <f>IF(CX47=0,"",CY47/CX47)</f>
        <v/>
      </c>
      <c r="DB47" s="27" t="n"/>
      <c r="DC47" s="62" t="n"/>
      <c r="DD47" s="62" t="n"/>
      <c r="DE47" s="62">
        <f>DD47-DC47</f>
        <v/>
      </c>
      <c r="DF47" s="64">
        <f>IF(DC47=0,"",DD47/DC47)</f>
        <v/>
      </c>
      <c r="DG47" s="31" t="n"/>
      <c r="DH47" s="60" t="n"/>
      <c r="DI47" s="60" t="n"/>
      <c r="DJ47" s="60">
        <f>DI47-DH47</f>
        <v/>
      </c>
      <c r="DK47" s="61">
        <f>IF(DH47=0,"",DI47/DH47)</f>
        <v/>
      </c>
      <c r="DL47" s="27" t="n"/>
      <c r="DM47" s="62" t="n"/>
      <c r="DN47" s="62" t="n"/>
      <c r="DO47" s="62">
        <f>DN47-DM47</f>
        <v/>
      </c>
      <c r="DP47" s="64">
        <f>IF(DM47=0,"",DN47/DM47)</f>
        <v/>
      </c>
      <c r="DQ47" s="31" t="n"/>
      <c r="DR47" s="60" t="n"/>
    </row>
    <row r="48" outlineLevel="1" ht="15" customHeight="1">
      <c r="A48" s="55" t="n"/>
      <c r="B48" s="55" t="n"/>
      <c r="C48" s="55" t="n"/>
      <c r="D48" s="24" t="n"/>
      <c r="E48" s="24" t="n"/>
      <c r="F48" s="24" t="n"/>
      <c r="G48" s="60" t="n"/>
      <c r="H48" s="60" t="n"/>
      <c r="I48" s="60">
        <f>H48-G48</f>
        <v/>
      </c>
      <c r="J48" s="61">
        <f>IF(G48=0,"",H48/G48)</f>
        <v/>
      </c>
      <c r="K48" s="27" t="n"/>
      <c r="L48" s="60" t="n"/>
      <c r="M48" s="60" t="n"/>
      <c r="N48" s="60">
        <f>M48-L48</f>
        <v/>
      </c>
      <c r="O48" s="61">
        <f>IF(L48=0,"",M48/L48)</f>
        <v/>
      </c>
      <c r="P48" s="27" t="n"/>
      <c r="Q48" s="62" t="n"/>
      <c r="R48" s="62" t="n"/>
      <c r="S48" s="63">
        <f>R48-Q48</f>
        <v/>
      </c>
      <c r="T48" s="64">
        <f>IF(Q48=0,"",R48/Q48)</f>
        <v/>
      </c>
      <c r="U48" s="31" t="n"/>
      <c r="V48" s="60" t="n"/>
      <c r="W48" s="60" t="n"/>
      <c r="X48" s="60">
        <f>W48-V48</f>
        <v/>
      </c>
      <c r="Y48" s="61">
        <f>IF(V48=0,"",W48/V48)</f>
        <v/>
      </c>
      <c r="Z48" s="27" t="n"/>
      <c r="AA48" s="62" t="n"/>
      <c r="AB48" s="62" t="n"/>
      <c r="AC48" s="63">
        <f>AB48-AA48</f>
        <v/>
      </c>
      <c r="AD48" s="64">
        <f>IF(AA48=0,"",AB48/AA48)</f>
        <v/>
      </c>
      <c r="AE48" s="31" t="n"/>
      <c r="AF48" s="60" t="n"/>
      <c r="AG48" s="60" t="n"/>
      <c r="AH48" s="60">
        <f>AG48-AF48</f>
        <v/>
      </c>
      <c r="AI48" s="61">
        <f>IF(AF48=0,"",AG48/AF48)</f>
        <v/>
      </c>
      <c r="AJ48" s="27" t="n"/>
      <c r="AK48" s="62" t="n"/>
      <c r="AL48" s="62" t="n"/>
      <c r="AM48" s="62">
        <f>AL48-AK48</f>
        <v/>
      </c>
      <c r="AN48" s="64">
        <f>IF(AK48=0,"",AL48/AK48)</f>
        <v/>
      </c>
      <c r="AO48" s="31" t="n"/>
      <c r="AP48" s="60" t="n"/>
      <c r="AQ48" s="60" t="n"/>
      <c r="AR48" s="60">
        <f>AQ48-AP48</f>
        <v/>
      </c>
      <c r="AS48" s="61">
        <f>IF(AP48=0,"",AQ48/AP48)</f>
        <v/>
      </c>
      <c r="AT48" s="27" t="n"/>
      <c r="AU48" s="62" t="n"/>
      <c r="AV48" s="62" t="n"/>
      <c r="AW48" s="62">
        <f>AV48-AU48</f>
        <v/>
      </c>
      <c r="AX48" s="64">
        <f>IF(AU48=0,"",AV48/AU48)</f>
        <v/>
      </c>
      <c r="AY48" s="31" t="n"/>
      <c r="AZ48" s="60" t="n"/>
      <c r="BA48" s="60" t="n"/>
      <c r="BB48" s="60">
        <f>BA48-AZ48</f>
        <v/>
      </c>
      <c r="BC48" s="61">
        <f>IF(AZ48=0,"",BA48/AZ48)</f>
        <v/>
      </c>
      <c r="BD48" s="27" t="n"/>
      <c r="BE48" s="62" t="n"/>
      <c r="BF48" s="62" t="n"/>
      <c r="BG48" s="62">
        <f>BF48-BE48</f>
        <v/>
      </c>
      <c r="BH48" s="64">
        <f>IF(BE48=0,"",BF48/BE48)</f>
        <v/>
      </c>
      <c r="BI48" s="31" t="n"/>
      <c r="BJ48" s="60" t="n"/>
      <c r="BK48" s="60" t="n"/>
      <c r="BL48" s="60">
        <f>BK48-BJ48</f>
        <v/>
      </c>
      <c r="BM48" s="61">
        <f>IF(BJ48=0,"",BK48/BJ48)</f>
        <v/>
      </c>
      <c r="BN48" s="27" t="n"/>
      <c r="BO48" s="62" t="n"/>
      <c r="BP48" s="62" t="n"/>
      <c r="BQ48" s="62">
        <f>BP48-BO48</f>
        <v/>
      </c>
      <c r="BR48" s="64">
        <f>IF(BO48=0,"",BP48/BO48)</f>
        <v/>
      </c>
      <c r="BS48" s="31" t="n"/>
      <c r="BT48" s="60" t="n"/>
      <c r="BU48" s="60" t="n"/>
      <c r="BV48" s="60">
        <f>BU48-BT48</f>
        <v/>
      </c>
      <c r="BW48" s="61">
        <f>IF(BT48=0,"",BU48/BT48)</f>
        <v/>
      </c>
      <c r="BX48" s="27" t="n"/>
      <c r="BY48" s="62" t="n"/>
      <c r="BZ48" s="62" t="n"/>
      <c r="CA48" s="62">
        <f>BZ48-BY48</f>
        <v/>
      </c>
      <c r="CB48" s="64">
        <f>IF(BY48=0,"",BZ48/BY48)</f>
        <v/>
      </c>
      <c r="CC48" s="31" t="n"/>
      <c r="CD48" s="60" t="n"/>
      <c r="CE48" s="60" t="n"/>
      <c r="CF48" s="60">
        <f>CE48-CD48</f>
        <v/>
      </c>
      <c r="CG48" s="61">
        <f>IF(CD48=0,"",CE48/CD48)</f>
        <v/>
      </c>
      <c r="CH48" s="27" t="n"/>
      <c r="CI48" s="62" t="n"/>
      <c r="CJ48" s="62" t="n"/>
      <c r="CK48" s="62">
        <f>CJ48-CI48</f>
        <v/>
      </c>
      <c r="CL48" s="64">
        <f>IF(CI48=0,"",CJ48/CI48)</f>
        <v/>
      </c>
      <c r="CM48" s="31" t="n"/>
      <c r="CN48" s="60" t="n"/>
      <c r="CO48" s="60" t="n"/>
      <c r="CP48" s="60">
        <f>CO48-CN48</f>
        <v/>
      </c>
      <c r="CQ48" s="61">
        <f>IF(CN48=0,"",CO48/CN48)</f>
        <v/>
      </c>
      <c r="CR48" s="27" t="n"/>
      <c r="CS48" s="62" t="n"/>
      <c r="CT48" s="62" t="n"/>
      <c r="CU48" s="62">
        <f>CT48-CS48</f>
        <v/>
      </c>
      <c r="CV48" s="64">
        <f>IF(CS48=0,"",CT48/CS48)</f>
        <v/>
      </c>
      <c r="CW48" s="31" t="n"/>
      <c r="CX48" s="60" t="n"/>
      <c r="CY48" s="60" t="n"/>
      <c r="CZ48" s="60">
        <f>CY48-CX48</f>
        <v/>
      </c>
      <c r="DA48" s="61">
        <f>IF(CX48=0,"",CY48/CX48)</f>
        <v/>
      </c>
      <c r="DB48" s="27" t="n"/>
      <c r="DC48" s="62" t="n"/>
      <c r="DD48" s="62" t="n"/>
      <c r="DE48" s="62">
        <f>DD48-DC48</f>
        <v/>
      </c>
      <c r="DF48" s="64">
        <f>IF(DC48=0,"",DD48/DC48)</f>
        <v/>
      </c>
      <c r="DG48" s="31" t="n"/>
      <c r="DH48" s="60" t="n"/>
      <c r="DI48" s="60" t="n"/>
      <c r="DJ48" s="60">
        <f>DI48-DH48</f>
        <v/>
      </c>
      <c r="DK48" s="61">
        <f>IF(DH48=0,"",DI48/DH48)</f>
        <v/>
      </c>
      <c r="DL48" s="27" t="n"/>
      <c r="DM48" s="62" t="n"/>
      <c r="DN48" s="62" t="n"/>
      <c r="DO48" s="62">
        <f>DN48-DM48</f>
        <v/>
      </c>
      <c r="DP48" s="64">
        <f>IF(DM48=0,"",DN48/DM48)</f>
        <v/>
      </c>
      <c r="DQ48" s="31" t="n"/>
      <c r="DR48" s="60" t="n"/>
    </row>
    <row r="49" outlineLevel="1" ht="15" customHeight="1">
      <c r="A49" s="24" t="n"/>
      <c r="B49" s="24" t="n"/>
      <c r="C49" s="24" t="n"/>
      <c r="D49" s="24" t="n"/>
      <c r="E49" s="24" t="n"/>
      <c r="F49" s="24" t="n"/>
      <c r="G49" s="60" t="n"/>
      <c r="H49" s="60" t="n"/>
      <c r="I49" s="60">
        <f>H49-G49</f>
        <v/>
      </c>
      <c r="J49" s="61">
        <f>IF(G49=0,"",H49/G49)</f>
        <v/>
      </c>
      <c r="K49" s="27" t="n"/>
      <c r="L49" s="60" t="n"/>
      <c r="M49" s="60" t="n"/>
      <c r="N49" s="60">
        <f>M49-L49</f>
        <v/>
      </c>
      <c r="O49" s="61">
        <f>IF(L49=0,"",M49/L49)</f>
        <v/>
      </c>
      <c r="P49" s="27" t="n"/>
      <c r="Q49" s="62" t="n"/>
      <c r="R49" s="62" t="n"/>
      <c r="S49" s="62">
        <f>R49-Q49</f>
        <v/>
      </c>
      <c r="T49" s="64">
        <f>IF(Q49=0,"",R49/Q49)</f>
        <v/>
      </c>
      <c r="U49" s="31" t="n"/>
      <c r="V49" s="60" t="n"/>
      <c r="W49" s="60" t="n"/>
      <c r="X49" s="60">
        <f>W49-V49</f>
        <v/>
      </c>
      <c r="Y49" s="61">
        <f>IF(V49=0,"",W49/V49)</f>
        <v/>
      </c>
      <c r="Z49" s="27" t="n"/>
      <c r="AA49" s="62" t="n"/>
      <c r="AB49" s="62" t="n"/>
      <c r="AC49" s="63">
        <f>AB49-AA49</f>
        <v/>
      </c>
      <c r="AD49" s="64">
        <f>IF(AA49=0,"",AB49/AA49)</f>
        <v/>
      </c>
      <c r="AE49" s="31" t="n"/>
      <c r="AF49" s="60" t="n"/>
      <c r="AG49" s="60" t="n"/>
      <c r="AH49" s="60">
        <f>AG49-AF49</f>
        <v/>
      </c>
      <c r="AI49" s="61">
        <f>IF(AF49=0,"",AG49/AF49)</f>
        <v/>
      </c>
      <c r="AJ49" s="27" t="n"/>
      <c r="AK49" s="62" t="n"/>
      <c r="AL49" s="62" t="n"/>
      <c r="AM49" s="62">
        <f>AL49-AK49</f>
        <v/>
      </c>
      <c r="AN49" s="64">
        <f>IF(AK49=0,"",AL49/AK49)</f>
        <v/>
      </c>
      <c r="AO49" s="31" t="n"/>
      <c r="AP49" s="60" t="n"/>
      <c r="AQ49" s="60" t="n"/>
      <c r="AR49" s="60">
        <f>AQ49-AP49</f>
        <v/>
      </c>
      <c r="AS49" s="61">
        <f>IF(AP49=0,"",AQ49/AP49)</f>
        <v/>
      </c>
      <c r="AT49" s="27" t="n"/>
      <c r="AU49" s="62" t="n"/>
      <c r="AV49" s="62" t="n"/>
      <c r="AW49" s="62">
        <f>AV49-AU49</f>
        <v/>
      </c>
      <c r="AX49" s="64">
        <f>IF(AU49=0,"",AV49/AU49)</f>
        <v/>
      </c>
      <c r="AY49" s="31" t="n"/>
      <c r="AZ49" s="60" t="n"/>
      <c r="BA49" s="60" t="n"/>
      <c r="BB49" s="60">
        <f>BA49-AZ49</f>
        <v/>
      </c>
      <c r="BC49" s="61">
        <f>IF(AZ49=0,"",BA49/AZ49)</f>
        <v/>
      </c>
      <c r="BD49" s="27" t="n"/>
      <c r="BE49" s="62" t="n"/>
      <c r="BF49" s="62" t="n"/>
      <c r="BG49" s="62">
        <f>BF49-BE49</f>
        <v/>
      </c>
      <c r="BH49" s="64">
        <f>IF(BE49=0,"",BF49/BE49)</f>
        <v/>
      </c>
      <c r="BI49" s="31" t="n"/>
      <c r="BJ49" s="60" t="n"/>
      <c r="BK49" s="60" t="n"/>
      <c r="BL49" s="60">
        <f>BK49-BJ49</f>
        <v/>
      </c>
      <c r="BM49" s="61">
        <f>IF(BJ49=0,"",BK49/BJ49)</f>
        <v/>
      </c>
      <c r="BN49" s="27" t="n"/>
      <c r="BO49" s="62" t="n"/>
      <c r="BP49" s="62" t="n"/>
      <c r="BQ49" s="62">
        <f>BP49-BO49</f>
        <v/>
      </c>
      <c r="BR49" s="64">
        <f>IF(BO49=0,"",BP49/BO49)</f>
        <v/>
      </c>
      <c r="BS49" s="31" t="n"/>
      <c r="BT49" s="60" t="n"/>
      <c r="BU49" s="60" t="n"/>
      <c r="BV49" s="60">
        <f>BU49-BT49</f>
        <v/>
      </c>
      <c r="BW49" s="61">
        <f>IF(BT49=0,"",BU49/BT49)</f>
        <v/>
      </c>
      <c r="BX49" s="27" t="n"/>
      <c r="BY49" s="62" t="n"/>
      <c r="BZ49" s="62" t="n"/>
      <c r="CA49" s="62">
        <f>BZ49-BY49</f>
        <v/>
      </c>
      <c r="CB49" s="64">
        <f>IF(BY49=0,"",BZ49/BY49)</f>
        <v/>
      </c>
      <c r="CC49" s="31" t="n"/>
      <c r="CD49" s="60" t="n"/>
      <c r="CE49" s="60" t="n"/>
      <c r="CF49" s="60">
        <f>CE49-CD49</f>
        <v/>
      </c>
      <c r="CG49" s="61">
        <f>IF(CD49=0,"",CE49/CD49)</f>
        <v/>
      </c>
      <c r="CH49" s="27" t="n"/>
      <c r="CI49" s="62" t="n"/>
      <c r="CJ49" s="62" t="n"/>
      <c r="CK49" s="62">
        <f>CJ49-CI49</f>
        <v/>
      </c>
      <c r="CL49" s="64">
        <f>IF(CI49=0,"",CJ49/CI49)</f>
        <v/>
      </c>
      <c r="CM49" s="31" t="n"/>
      <c r="CN49" s="60" t="n"/>
      <c r="CO49" s="60" t="n"/>
      <c r="CP49" s="60">
        <f>CO49-CN49</f>
        <v/>
      </c>
      <c r="CQ49" s="61">
        <f>IF(CN49=0,"",CO49/CN49)</f>
        <v/>
      </c>
      <c r="CR49" s="27" t="n"/>
      <c r="CS49" s="62" t="n"/>
      <c r="CT49" s="62" t="n"/>
      <c r="CU49" s="62">
        <f>CT49-CS49</f>
        <v/>
      </c>
      <c r="CV49" s="64">
        <f>IF(CS49=0,"",CT49/CS49)</f>
        <v/>
      </c>
      <c r="CW49" s="31" t="n"/>
      <c r="CX49" s="60" t="n"/>
      <c r="CY49" s="60" t="n"/>
      <c r="CZ49" s="60">
        <f>CY49-CX49</f>
        <v/>
      </c>
      <c r="DA49" s="61">
        <f>IF(CX49=0,"",CY49/CX49)</f>
        <v/>
      </c>
      <c r="DB49" s="27" t="n"/>
      <c r="DC49" s="62" t="n"/>
      <c r="DD49" s="62" t="n"/>
      <c r="DE49" s="62">
        <f>DD49-DC49</f>
        <v/>
      </c>
      <c r="DF49" s="64">
        <f>IF(DC49=0,"",DD49/DC49)</f>
        <v/>
      </c>
      <c r="DG49" s="31" t="n"/>
      <c r="DH49" s="60" t="n"/>
      <c r="DI49" s="60" t="n"/>
      <c r="DJ49" s="60">
        <f>DI49-DH49</f>
        <v/>
      </c>
      <c r="DK49" s="61">
        <f>IF(DH49=0,"",DI49/DH49)</f>
        <v/>
      </c>
      <c r="DL49" s="27" t="n"/>
      <c r="DM49" s="62" t="n"/>
      <c r="DN49" s="62" t="n"/>
      <c r="DO49" s="62">
        <f>DN49-DM49</f>
        <v/>
      </c>
      <c r="DP49" s="64">
        <f>IF(DM49=0,"",DN49/DM49)</f>
        <v/>
      </c>
      <c r="DQ49" s="31" t="n"/>
      <c r="DR49" s="60" t="n"/>
    </row>
    <row r="50" outlineLevel="1" ht="15" customHeight="1">
      <c r="A50" s="24" t="n"/>
      <c r="B50" s="24" t="n"/>
      <c r="C50" s="24" t="n"/>
      <c r="D50" s="24" t="n"/>
      <c r="E50" s="24" t="n"/>
      <c r="F50" s="24" t="n"/>
      <c r="G50" s="60" t="n"/>
      <c r="H50" s="60" t="n"/>
      <c r="I50" s="60">
        <f>H50-G50</f>
        <v/>
      </c>
      <c r="J50" s="61">
        <f>IF(G50=0,"",H50/G50)</f>
        <v/>
      </c>
      <c r="K50" s="27" t="n"/>
      <c r="L50" s="60" t="n"/>
      <c r="M50" s="60" t="n"/>
      <c r="N50" s="60">
        <f>M50-L50</f>
        <v/>
      </c>
      <c r="O50" s="61">
        <f>IF(L50=0,"",M50/L50)</f>
        <v/>
      </c>
      <c r="P50" s="27" t="n"/>
      <c r="Q50" s="62" t="n"/>
      <c r="R50" s="62" t="n"/>
      <c r="S50" s="62">
        <f>R50-Q50</f>
        <v/>
      </c>
      <c r="T50" s="64">
        <f>IF(Q50=0,"",R50/Q50)</f>
        <v/>
      </c>
      <c r="U50" s="31" t="n"/>
      <c r="V50" s="60" t="n"/>
      <c r="W50" s="60" t="n"/>
      <c r="X50" s="60">
        <f>W50-V50</f>
        <v/>
      </c>
      <c r="Y50" s="61">
        <f>IF(V50=0,"",W50/V50)</f>
        <v/>
      </c>
      <c r="Z50" s="27" t="n"/>
      <c r="AA50" s="62" t="n"/>
      <c r="AB50" s="62" t="n"/>
      <c r="AC50" s="63">
        <f>AB50-AA50</f>
        <v/>
      </c>
      <c r="AD50" s="64">
        <f>IF(AA50=0,"",AB50/AA50)</f>
        <v/>
      </c>
      <c r="AE50" s="31" t="n"/>
      <c r="AF50" s="60" t="n"/>
      <c r="AG50" s="60" t="n"/>
      <c r="AH50" s="60">
        <f>AG50-AF50</f>
        <v/>
      </c>
      <c r="AI50" s="61">
        <f>IF(AF50=0,"",AG50/AF50)</f>
        <v/>
      </c>
      <c r="AJ50" s="27" t="n"/>
      <c r="AK50" s="62" t="n"/>
      <c r="AL50" s="62" t="n"/>
      <c r="AM50" s="62">
        <f>AL50-AK50</f>
        <v/>
      </c>
      <c r="AN50" s="64">
        <f>IF(AK50=0,"",AL50/AK50)</f>
        <v/>
      </c>
      <c r="AO50" s="31" t="n"/>
      <c r="AP50" s="60" t="n"/>
      <c r="AQ50" s="60" t="n"/>
      <c r="AR50" s="60">
        <f>AQ50-AP50</f>
        <v/>
      </c>
      <c r="AS50" s="61">
        <f>IF(AP50=0,"",AQ50/AP50)</f>
        <v/>
      </c>
      <c r="AT50" s="27" t="n"/>
      <c r="AU50" s="62" t="n"/>
      <c r="AV50" s="62" t="n"/>
      <c r="AW50" s="62">
        <f>AV50-AU50</f>
        <v/>
      </c>
      <c r="AX50" s="64">
        <f>IF(AU50=0,"",AV50/AU50)</f>
        <v/>
      </c>
      <c r="AY50" s="31" t="n"/>
      <c r="AZ50" s="60" t="n"/>
      <c r="BA50" s="60" t="n"/>
      <c r="BB50" s="60">
        <f>BA50-AZ50</f>
        <v/>
      </c>
      <c r="BC50" s="61">
        <f>IF(AZ50=0,"",BA50/AZ50)</f>
        <v/>
      </c>
      <c r="BD50" s="27" t="n"/>
      <c r="BE50" s="62" t="n"/>
      <c r="BF50" s="62" t="n"/>
      <c r="BG50" s="62">
        <f>BF50-BE50</f>
        <v/>
      </c>
      <c r="BH50" s="64">
        <f>IF(BE50=0,"",BF50/BE50)</f>
        <v/>
      </c>
      <c r="BI50" s="31" t="n"/>
      <c r="BJ50" s="60" t="n"/>
      <c r="BK50" s="60" t="n"/>
      <c r="BL50" s="60">
        <f>BK50-BJ50</f>
        <v/>
      </c>
      <c r="BM50" s="61">
        <f>IF(BJ50=0,"",BK50/BJ50)</f>
        <v/>
      </c>
      <c r="BN50" s="27" t="n"/>
      <c r="BO50" s="62" t="n"/>
      <c r="BP50" s="62" t="n"/>
      <c r="BQ50" s="62">
        <f>BP50-BO50</f>
        <v/>
      </c>
      <c r="BR50" s="64">
        <f>IF(BO50=0,"",BP50/BO50)</f>
        <v/>
      </c>
      <c r="BS50" s="31" t="n"/>
      <c r="BT50" s="60" t="n"/>
      <c r="BU50" s="60" t="n"/>
      <c r="BV50" s="60">
        <f>BU50-BT50</f>
        <v/>
      </c>
      <c r="BW50" s="61">
        <f>IF(BT50=0,"",BU50/BT50)</f>
        <v/>
      </c>
      <c r="BX50" s="27" t="n"/>
      <c r="BY50" s="62" t="n"/>
      <c r="BZ50" s="62" t="n"/>
      <c r="CA50" s="62">
        <f>BZ50-BY50</f>
        <v/>
      </c>
      <c r="CB50" s="64">
        <f>IF(BY50=0,"",BZ50/BY50)</f>
        <v/>
      </c>
      <c r="CC50" s="31" t="n"/>
      <c r="CD50" s="60" t="n"/>
      <c r="CE50" s="60" t="n"/>
      <c r="CF50" s="60">
        <f>CE50-CD50</f>
        <v/>
      </c>
      <c r="CG50" s="61">
        <f>IF(CD50=0,"",CE50/CD50)</f>
        <v/>
      </c>
      <c r="CH50" s="27" t="n"/>
      <c r="CI50" s="62" t="n"/>
      <c r="CJ50" s="62" t="n"/>
      <c r="CK50" s="62">
        <f>CJ50-CI50</f>
        <v/>
      </c>
      <c r="CL50" s="64">
        <f>IF(CI50=0,"",CJ50/CI50)</f>
        <v/>
      </c>
      <c r="CM50" s="31" t="n"/>
      <c r="CN50" s="60" t="n"/>
      <c r="CO50" s="60" t="n"/>
      <c r="CP50" s="60">
        <f>CO50-CN50</f>
        <v/>
      </c>
      <c r="CQ50" s="61">
        <f>IF(CN50=0,"",CO50/CN50)</f>
        <v/>
      </c>
      <c r="CR50" s="27" t="n"/>
      <c r="CS50" s="62" t="n"/>
      <c r="CT50" s="62" t="n"/>
      <c r="CU50" s="62">
        <f>CT50-CS50</f>
        <v/>
      </c>
      <c r="CV50" s="64">
        <f>IF(CS50=0,"",CT50/CS50)</f>
        <v/>
      </c>
      <c r="CW50" s="31" t="n"/>
      <c r="CX50" s="60" t="n"/>
      <c r="CY50" s="60" t="n"/>
      <c r="CZ50" s="60">
        <f>CY50-CX50</f>
        <v/>
      </c>
      <c r="DA50" s="61">
        <f>IF(CX50=0,"",CY50/CX50)</f>
        <v/>
      </c>
      <c r="DB50" s="27" t="n"/>
      <c r="DC50" s="62" t="n"/>
      <c r="DD50" s="62" t="n"/>
      <c r="DE50" s="62">
        <f>DD50-DC50</f>
        <v/>
      </c>
      <c r="DF50" s="64">
        <f>IF(DC50=0,"",DD50/DC50)</f>
        <v/>
      </c>
      <c r="DG50" s="31" t="n"/>
      <c r="DH50" s="60" t="n"/>
      <c r="DI50" s="60" t="n"/>
      <c r="DJ50" s="60">
        <f>DI50-DH50</f>
        <v/>
      </c>
      <c r="DK50" s="61">
        <f>IF(DH50=0,"",DI50/DH50)</f>
        <v/>
      </c>
      <c r="DL50" s="27" t="n"/>
      <c r="DM50" s="62" t="n"/>
      <c r="DN50" s="62" t="n"/>
      <c r="DO50" s="62">
        <f>DN50-DM50</f>
        <v/>
      </c>
      <c r="DP50" s="64">
        <f>IF(DM50=0,"",DN50/DM50)</f>
        <v/>
      </c>
      <c r="DQ50" s="31" t="n"/>
      <c r="DR50" s="60" t="n"/>
    </row>
    <row r="51" outlineLevel="1" ht="15" customHeight="1">
      <c r="A51" s="24" t="n"/>
      <c r="B51" s="24" t="n"/>
      <c r="C51" s="24" t="n"/>
      <c r="D51" s="24" t="n"/>
      <c r="E51" s="24" t="n"/>
      <c r="F51" s="24" t="n"/>
      <c r="G51" s="60" t="n"/>
      <c r="H51" s="60" t="n"/>
      <c r="I51" s="60">
        <f>H51-G51</f>
        <v/>
      </c>
      <c r="J51" s="61">
        <f>IF(G51=0,"",H51/G51)</f>
        <v/>
      </c>
      <c r="K51" s="27" t="n"/>
      <c r="L51" s="60" t="n"/>
      <c r="M51" s="60" t="n"/>
      <c r="N51" s="60">
        <f>M51-L51</f>
        <v/>
      </c>
      <c r="O51" s="61">
        <f>IF(L51=0,"",M51/L51)</f>
        <v/>
      </c>
      <c r="P51" s="27" t="n"/>
      <c r="Q51" s="62" t="n"/>
      <c r="R51" s="62" t="n"/>
      <c r="S51" s="62">
        <f>R51-Q51</f>
        <v/>
      </c>
      <c r="T51" s="64">
        <f>IF(Q51=0,"",R51/Q51)</f>
        <v/>
      </c>
      <c r="U51" s="31" t="n"/>
      <c r="V51" s="60" t="n"/>
      <c r="W51" s="60" t="n"/>
      <c r="X51" s="60">
        <f>W51-V51</f>
        <v/>
      </c>
      <c r="Y51" s="61">
        <f>IF(V51=0,"",W51/V51)</f>
        <v/>
      </c>
      <c r="Z51" s="27" t="n"/>
      <c r="AA51" s="62" t="n"/>
      <c r="AB51" s="62" t="n"/>
      <c r="AC51" s="63">
        <f>AB51-AA51</f>
        <v/>
      </c>
      <c r="AD51" s="64">
        <f>IF(AA51=0,"",AB51/AA51)</f>
        <v/>
      </c>
      <c r="AE51" s="31" t="n"/>
      <c r="AF51" s="60" t="n"/>
      <c r="AG51" s="60" t="n"/>
      <c r="AH51" s="60">
        <f>AG51-AF51</f>
        <v/>
      </c>
      <c r="AI51" s="61">
        <f>IF(AF51=0,"",AG51/AF51)</f>
        <v/>
      </c>
      <c r="AJ51" s="27" t="n"/>
      <c r="AK51" s="62" t="n"/>
      <c r="AL51" s="62" t="n"/>
      <c r="AM51" s="62">
        <f>AL51-AK51</f>
        <v/>
      </c>
      <c r="AN51" s="64">
        <f>IF(AK51=0,"",AL51/AK51)</f>
        <v/>
      </c>
      <c r="AO51" s="31" t="n"/>
      <c r="AP51" s="60" t="n"/>
      <c r="AQ51" s="60" t="n"/>
      <c r="AR51" s="60">
        <f>AQ51-AP51</f>
        <v/>
      </c>
      <c r="AS51" s="61">
        <f>IF(AP51=0,"",AQ51/AP51)</f>
        <v/>
      </c>
      <c r="AT51" s="27" t="n"/>
      <c r="AU51" s="62" t="n"/>
      <c r="AV51" s="62" t="n"/>
      <c r="AW51" s="62">
        <f>AV51-AU51</f>
        <v/>
      </c>
      <c r="AX51" s="64">
        <f>IF(AU51=0,"",AV51/AU51)</f>
        <v/>
      </c>
      <c r="AY51" s="31" t="n"/>
      <c r="AZ51" s="60" t="n"/>
      <c r="BA51" s="60" t="n"/>
      <c r="BB51" s="60">
        <f>BA51-AZ51</f>
        <v/>
      </c>
      <c r="BC51" s="61">
        <f>IF(AZ51=0,"",BA51/AZ51)</f>
        <v/>
      </c>
      <c r="BD51" s="27" t="n"/>
      <c r="BE51" s="62" t="n"/>
      <c r="BF51" s="62" t="n"/>
      <c r="BG51" s="62">
        <f>BF51-BE51</f>
        <v/>
      </c>
      <c r="BH51" s="64">
        <f>IF(BE51=0,"",BF51/BE51)</f>
        <v/>
      </c>
      <c r="BI51" s="31" t="n"/>
      <c r="BJ51" s="60" t="n"/>
      <c r="BK51" s="60" t="n"/>
      <c r="BL51" s="60">
        <f>BK51-BJ51</f>
        <v/>
      </c>
      <c r="BM51" s="61">
        <f>IF(BJ51=0,"",BK51/BJ51)</f>
        <v/>
      </c>
      <c r="BN51" s="27" t="n"/>
      <c r="BO51" s="62" t="n"/>
      <c r="BP51" s="62" t="n"/>
      <c r="BQ51" s="62">
        <f>BP51-BO51</f>
        <v/>
      </c>
      <c r="BR51" s="64">
        <f>IF(BO51=0,"",BP51/BO51)</f>
        <v/>
      </c>
      <c r="BS51" s="31" t="n"/>
      <c r="BT51" s="60" t="n"/>
      <c r="BU51" s="60" t="n"/>
      <c r="BV51" s="60">
        <f>BU51-BT51</f>
        <v/>
      </c>
      <c r="BW51" s="61">
        <f>IF(BT51=0,"",BU51/BT51)</f>
        <v/>
      </c>
      <c r="BX51" s="27" t="n"/>
      <c r="BY51" s="62" t="n"/>
      <c r="BZ51" s="62" t="n"/>
      <c r="CA51" s="62">
        <f>BZ51-BY51</f>
        <v/>
      </c>
      <c r="CB51" s="64">
        <f>IF(BY51=0,"",BZ51/BY51)</f>
        <v/>
      </c>
      <c r="CC51" s="31" t="n"/>
      <c r="CD51" s="60" t="n"/>
      <c r="CE51" s="60" t="n"/>
      <c r="CF51" s="60">
        <f>CE51-CD51</f>
        <v/>
      </c>
      <c r="CG51" s="61">
        <f>IF(CD51=0,"",CE51/CD51)</f>
        <v/>
      </c>
      <c r="CH51" s="27" t="n"/>
      <c r="CI51" s="62" t="n"/>
      <c r="CJ51" s="62" t="n"/>
      <c r="CK51" s="62">
        <f>CJ51-CI51</f>
        <v/>
      </c>
      <c r="CL51" s="64">
        <f>IF(CI51=0,"",CJ51/CI51)</f>
        <v/>
      </c>
      <c r="CM51" s="31" t="n"/>
      <c r="CN51" s="60" t="n"/>
      <c r="CO51" s="60" t="n"/>
      <c r="CP51" s="60">
        <f>CO51-CN51</f>
        <v/>
      </c>
      <c r="CQ51" s="61">
        <f>IF(CN51=0,"",CO51/CN51)</f>
        <v/>
      </c>
      <c r="CR51" s="27" t="n"/>
      <c r="CS51" s="62" t="n"/>
      <c r="CT51" s="62" t="n"/>
      <c r="CU51" s="62">
        <f>CT51-CS51</f>
        <v/>
      </c>
      <c r="CV51" s="64">
        <f>IF(CS51=0,"",CT51/CS51)</f>
        <v/>
      </c>
      <c r="CW51" s="31" t="n"/>
      <c r="CX51" s="60" t="n"/>
      <c r="CY51" s="60" t="n"/>
      <c r="CZ51" s="60">
        <f>CY51-CX51</f>
        <v/>
      </c>
      <c r="DA51" s="61">
        <f>IF(CX51=0,"",CY51/CX51)</f>
        <v/>
      </c>
      <c r="DB51" s="27" t="n"/>
      <c r="DC51" s="62" t="n"/>
      <c r="DD51" s="62" t="n"/>
      <c r="DE51" s="62">
        <f>DD51-DC51</f>
        <v/>
      </c>
      <c r="DF51" s="64">
        <f>IF(DC51=0,"",DD51/DC51)</f>
        <v/>
      </c>
      <c r="DG51" s="31" t="n"/>
      <c r="DH51" s="60" t="n"/>
      <c r="DI51" s="60" t="n"/>
      <c r="DJ51" s="60">
        <f>DI51-DH51</f>
        <v/>
      </c>
      <c r="DK51" s="61">
        <f>IF(DH51=0,"",DI51/DH51)</f>
        <v/>
      </c>
      <c r="DL51" s="27" t="n"/>
      <c r="DM51" s="62" t="n"/>
      <c r="DN51" s="62" t="n"/>
      <c r="DO51" s="62">
        <f>DN51-DM51</f>
        <v/>
      </c>
      <c r="DP51" s="64">
        <f>IF(DM51=0,"",DN51/DM51)</f>
        <v/>
      </c>
      <c r="DQ51" s="31" t="n"/>
      <c r="DR51" s="60" t="n"/>
    </row>
    <row r="52" outlineLevel="1" ht="15" customHeight="1">
      <c r="A52" s="24" t="n"/>
      <c r="B52" s="24" t="n"/>
      <c r="C52" s="36" t="n"/>
      <c r="D52" s="24" t="n"/>
      <c r="E52" s="24" t="n"/>
      <c r="F52" s="24" t="n"/>
      <c r="G52" s="60" t="n"/>
      <c r="H52" s="60" t="n"/>
      <c r="I52" s="60">
        <f>H52-G52</f>
        <v/>
      </c>
      <c r="J52" s="61">
        <f>IF(G52=0,"",H52/G52)</f>
        <v/>
      </c>
      <c r="K52" s="27" t="n"/>
      <c r="L52" s="60" t="n"/>
      <c r="M52" s="60" t="n"/>
      <c r="N52" s="60">
        <f>M52-L52</f>
        <v/>
      </c>
      <c r="O52" s="61">
        <f>IF(L52=0,"",M52/L52)</f>
        <v/>
      </c>
      <c r="P52" s="27" t="n"/>
      <c r="Q52" s="62" t="n"/>
      <c r="R52" s="62" t="n"/>
      <c r="S52" s="62">
        <f>R52-Q52</f>
        <v/>
      </c>
      <c r="T52" s="64">
        <f>IF(Q52=0,"",R52/Q52)</f>
        <v/>
      </c>
      <c r="U52" s="31" t="n"/>
      <c r="V52" s="60" t="n"/>
      <c r="W52" s="60" t="n"/>
      <c r="X52" s="60">
        <f>W52-V52</f>
        <v/>
      </c>
      <c r="Y52" s="61">
        <f>IF(V52=0,"",W52/V52)</f>
        <v/>
      </c>
      <c r="Z52" s="27" t="n"/>
      <c r="AA52" s="62" t="n"/>
      <c r="AB52" s="62" t="n"/>
      <c r="AC52" s="62">
        <f>AB52-AA52</f>
        <v/>
      </c>
      <c r="AD52" s="64">
        <f>IF(AA52=0,"",AB52/AA52)</f>
        <v/>
      </c>
      <c r="AE52" s="31" t="n"/>
      <c r="AF52" s="60" t="n"/>
      <c r="AG52" s="60" t="n"/>
      <c r="AH52" s="60">
        <f>AG52-AF52</f>
        <v/>
      </c>
      <c r="AI52" s="61">
        <f>IF(AF52=0,"",AG52/AF52)</f>
        <v/>
      </c>
      <c r="AJ52" s="27" t="n"/>
      <c r="AK52" s="62" t="n"/>
      <c r="AL52" s="62" t="n"/>
      <c r="AM52" s="62">
        <f>AL52-AK52</f>
        <v/>
      </c>
      <c r="AN52" s="64">
        <f>IF(AK52=0,"",AL52/AK52)</f>
        <v/>
      </c>
      <c r="AO52" s="31" t="n"/>
      <c r="AP52" s="60" t="n"/>
      <c r="AQ52" s="60" t="n"/>
      <c r="AR52" s="60">
        <f>AQ52-AP52</f>
        <v/>
      </c>
      <c r="AS52" s="61">
        <f>IF(AP52=0,"",AQ52/AP52)</f>
        <v/>
      </c>
      <c r="AT52" s="27" t="n"/>
      <c r="AU52" s="62" t="n"/>
      <c r="AV52" s="62" t="n"/>
      <c r="AW52" s="62">
        <f>AV52-AU52</f>
        <v/>
      </c>
      <c r="AX52" s="64">
        <f>IF(AU52=0,"",AV52/AU52)</f>
        <v/>
      </c>
      <c r="AY52" s="31" t="n"/>
      <c r="AZ52" s="60" t="n"/>
      <c r="BA52" s="60" t="n"/>
      <c r="BB52" s="60">
        <f>BA52-AZ52</f>
        <v/>
      </c>
      <c r="BC52" s="61">
        <f>IF(AZ52=0,"",BA52/AZ52)</f>
        <v/>
      </c>
      <c r="BD52" s="27" t="n"/>
      <c r="BE52" s="62" t="n"/>
      <c r="BF52" s="62" t="n"/>
      <c r="BG52" s="62">
        <f>BF52-BE52</f>
        <v/>
      </c>
      <c r="BH52" s="64">
        <f>IF(BE52=0,"",BF52/BE52)</f>
        <v/>
      </c>
      <c r="BI52" s="31" t="n"/>
      <c r="BJ52" s="60" t="n"/>
      <c r="BK52" s="60" t="n"/>
      <c r="BL52" s="60">
        <f>BK52-BJ52</f>
        <v/>
      </c>
      <c r="BM52" s="61">
        <f>IF(BJ52=0,"",BK52/BJ52)</f>
        <v/>
      </c>
      <c r="BN52" s="27" t="n"/>
      <c r="BO52" s="62" t="n"/>
      <c r="BP52" s="62" t="n"/>
      <c r="BQ52" s="62">
        <f>BP52-BO52</f>
        <v/>
      </c>
      <c r="BR52" s="64">
        <f>IF(BO52=0,"",BP52/BO52)</f>
        <v/>
      </c>
      <c r="BS52" s="31" t="n"/>
      <c r="BT52" s="60" t="n"/>
      <c r="BU52" s="60" t="n"/>
      <c r="BV52" s="60">
        <f>BU52-BT52</f>
        <v/>
      </c>
      <c r="BW52" s="61">
        <f>IF(BT52=0,"",BU52/BT52)</f>
        <v/>
      </c>
      <c r="BX52" s="27" t="n"/>
      <c r="BY52" s="62" t="n"/>
      <c r="BZ52" s="62" t="n"/>
      <c r="CA52" s="62">
        <f>BZ52-BY52</f>
        <v/>
      </c>
      <c r="CB52" s="64">
        <f>IF(BY52=0,"",BZ52/BY52)</f>
        <v/>
      </c>
      <c r="CC52" s="31" t="n"/>
      <c r="CD52" s="60" t="n"/>
      <c r="CE52" s="60" t="n"/>
      <c r="CF52" s="60">
        <f>CE52-CD52</f>
        <v/>
      </c>
      <c r="CG52" s="61">
        <f>IF(CD52=0,"",CE52/CD52)</f>
        <v/>
      </c>
      <c r="CH52" s="27" t="n"/>
      <c r="CI52" s="62" t="n"/>
      <c r="CJ52" s="62" t="n"/>
      <c r="CK52" s="62">
        <f>CJ52-CI52</f>
        <v/>
      </c>
      <c r="CL52" s="64">
        <f>IF(CI52=0,"",CJ52/CI52)</f>
        <v/>
      </c>
      <c r="CM52" s="31" t="n"/>
      <c r="CN52" s="60" t="n"/>
      <c r="CO52" s="60" t="n"/>
      <c r="CP52" s="60">
        <f>CO52-CN52</f>
        <v/>
      </c>
      <c r="CQ52" s="61">
        <f>IF(CN52=0,"",CO52/CN52)</f>
        <v/>
      </c>
      <c r="CR52" s="27" t="n"/>
      <c r="CS52" s="62" t="n"/>
      <c r="CT52" s="62" t="n"/>
      <c r="CU52" s="62">
        <f>CT52-CS52</f>
        <v/>
      </c>
      <c r="CV52" s="64">
        <f>IF(CS52=0,"",CT52/CS52)</f>
        <v/>
      </c>
      <c r="CW52" s="31" t="n"/>
      <c r="CX52" s="60" t="n"/>
      <c r="CY52" s="60" t="n"/>
      <c r="CZ52" s="60">
        <f>CY52-CX52</f>
        <v/>
      </c>
      <c r="DA52" s="61">
        <f>IF(CX52=0,"",CY52/CX52)</f>
        <v/>
      </c>
      <c r="DB52" s="27" t="n"/>
      <c r="DC52" s="62" t="n"/>
      <c r="DD52" s="62" t="n"/>
      <c r="DE52" s="62">
        <f>DD52-DC52</f>
        <v/>
      </c>
      <c r="DF52" s="64">
        <f>IF(DC52=0,"",DD52/DC52)</f>
        <v/>
      </c>
      <c r="DG52" s="31" t="n"/>
      <c r="DH52" s="60" t="n"/>
      <c r="DI52" s="60" t="n"/>
      <c r="DJ52" s="60">
        <f>DI52-DH52</f>
        <v/>
      </c>
      <c r="DK52" s="61">
        <f>IF(DH52=0,"",DI52/DH52)</f>
        <v/>
      </c>
      <c r="DL52" s="27" t="n"/>
      <c r="DM52" s="62" t="n"/>
      <c r="DN52" s="62" t="n"/>
      <c r="DO52" s="62">
        <f>DN52-DM52</f>
        <v/>
      </c>
      <c r="DP52" s="64">
        <f>IF(DM52=0,"",DN52/DM52)</f>
        <v/>
      </c>
      <c r="DQ52" s="31" t="n"/>
      <c r="DR52" s="60" t="n"/>
    </row>
    <row r="53" outlineLevel="1" ht="15" customHeight="1">
      <c r="A53" s="24" t="n"/>
      <c r="B53" s="24" t="n"/>
      <c r="C53" s="36" t="n"/>
      <c r="D53" s="24" t="n"/>
      <c r="E53" s="24" t="n"/>
      <c r="F53" s="24" t="n"/>
      <c r="G53" s="60" t="n"/>
      <c r="H53" s="60" t="n"/>
      <c r="I53" s="60">
        <f>H53-G53</f>
        <v/>
      </c>
      <c r="J53" s="61">
        <f>IF(G53=0,"",H53/G53)</f>
        <v/>
      </c>
      <c r="K53" s="27" t="n"/>
      <c r="L53" s="60" t="n"/>
      <c r="M53" s="60" t="n"/>
      <c r="N53" s="60">
        <f>M53-L53</f>
        <v/>
      </c>
      <c r="O53" s="61">
        <f>IF(L53=0,"",M53/L53)</f>
        <v/>
      </c>
      <c r="P53" s="27" t="n"/>
      <c r="Q53" s="62" t="n"/>
      <c r="R53" s="62" t="n"/>
      <c r="S53" s="62">
        <f>R53-Q53</f>
        <v/>
      </c>
      <c r="T53" s="64">
        <f>IF(Q53=0,"",R53/Q53)</f>
        <v/>
      </c>
      <c r="U53" s="31" t="n"/>
      <c r="V53" s="60" t="n"/>
      <c r="W53" s="60" t="n"/>
      <c r="X53" s="60">
        <f>W53-V53</f>
        <v/>
      </c>
      <c r="Y53" s="61">
        <f>IF(V53=0,"",W53/V53)</f>
        <v/>
      </c>
      <c r="Z53" s="27" t="n"/>
      <c r="AA53" s="62" t="n"/>
      <c r="AB53" s="62" t="n"/>
      <c r="AC53" s="63">
        <f>AB53-AA53</f>
        <v/>
      </c>
      <c r="AD53" s="64">
        <f>IF(AA53=0,"",AB53/AA53)</f>
        <v/>
      </c>
      <c r="AE53" s="31" t="n"/>
      <c r="AF53" s="60" t="n"/>
      <c r="AG53" s="60" t="n"/>
      <c r="AH53" s="60">
        <f>AG53-AF53</f>
        <v/>
      </c>
      <c r="AI53" s="61">
        <f>IF(AF53=0,"",AG53/AF53)</f>
        <v/>
      </c>
      <c r="AJ53" s="27" t="n"/>
      <c r="AK53" s="62" t="n"/>
      <c r="AL53" s="62" t="n"/>
      <c r="AM53" s="62">
        <f>AL53-AK53</f>
        <v/>
      </c>
      <c r="AN53" s="64">
        <f>IF(AK53=0,"",AL53/AK53)</f>
        <v/>
      </c>
      <c r="AO53" s="31" t="n"/>
      <c r="AP53" s="60" t="n"/>
      <c r="AQ53" s="60" t="n"/>
      <c r="AR53" s="60">
        <f>AQ53-AP53</f>
        <v/>
      </c>
      <c r="AS53" s="61">
        <f>IF(AP53=0,"",AQ53/AP53)</f>
        <v/>
      </c>
      <c r="AT53" s="27" t="n"/>
      <c r="AU53" s="62" t="n"/>
      <c r="AV53" s="62" t="n"/>
      <c r="AW53" s="62">
        <f>AV53-AU53</f>
        <v/>
      </c>
      <c r="AX53" s="64">
        <f>IF(AU53=0,"",AV53/AU53)</f>
        <v/>
      </c>
      <c r="AY53" s="31" t="n"/>
      <c r="AZ53" s="60" t="n"/>
      <c r="BA53" s="60" t="n"/>
      <c r="BB53" s="60">
        <f>BA53-AZ53</f>
        <v/>
      </c>
      <c r="BC53" s="61">
        <f>IF(AZ53=0,"",BA53/AZ53)</f>
        <v/>
      </c>
      <c r="BD53" s="27" t="n"/>
      <c r="BE53" s="62" t="n"/>
      <c r="BF53" s="62" t="n"/>
      <c r="BG53" s="62">
        <f>BF53-BE53</f>
        <v/>
      </c>
      <c r="BH53" s="64">
        <f>IF(BE53=0,"",BF53/BE53)</f>
        <v/>
      </c>
      <c r="BI53" s="31" t="n"/>
      <c r="BJ53" s="60" t="n"/>
      <c r="BK53" s="60" t="n"/>
      <c r="BL53" s="60">
        <f>BK53-BJ53</f>
        <v/>
      </c>
      <c r="BM53" s="61">
        <f>IF(BJ53=0,"",BK53/BJ53)</f>
        <v/>
      </c>
      <c r="BN53" s="27" t="n"/>
      <c r="BO53" s="62" t="n"/>
      <c r="BP53" s="62" t="n"/>
      <c r="BQ53" s="62">
        <f>BP53-BO53</f>
        <v/>
      </c>
      <c r="BR53" s="64">
        <f>IF(BO53=0,"",BP53/BO53)</f>
        <v/>
      </c>
      <c r="BS53" s="31" t="n"/>
      <c r="BT53" s="60" t="n"/>
      <c r="BU53" s="60" t="n"/>
      <c r="BV53" s="60">
        <f>BU53-BT53</f>
        <v/>
      </c>
      <c r="BW53" s="61">
        <f>IF(BT53=0,"",BU53/BT53)</f>
        <v/>
      </c>
      <c r="BX53" s="27" t="n"/>
      <c r="BY53" s="62" t="n"/>
      <c r="BZ53" s="62" t="n"/>
      <c r="CA53" s="62">
        <f>BZ53-BY53</f>
        <v/>
      </c>
      <c r="CB53" s="64">
        <f>IF(BY53=0,"",BZ53/BY53)</f>
        <v/>
      </c>
      <c r="CC53" s="31" t="n"/>
      <c r="CD53" s="60" t="n"/>
      <c r="CE53" s="60" t="n"/>
      <c r="CF53" s="60">
        <f>CE53-CD53</f>
        <v/>
      </c>
      <c r="CG53" s="61">
        <f>IF(CD53=0,"",CE53/CD53)</f>
        <v/>
      </c>
      <c r="CH53" s="27" t="n"/>
      <c r="CI53" s="62" t="n"/>
      <c r="CJ53" s="62" t="n"/>
      <c r="CK53" s="62">
        <f>CJ53-CI53</f>
        <v/>
      </c>
      <c r="CL53" s="64">
        <f>IF(CI53=0,"",CJ53/CI53)</f>
        <v/>
      </c>
      <c r="CM53" s="31" t="n"/>
      <c r="CN53" s="60" t="n"/>
      <c r="CO53" s="60" t="n"/>
      <c r="CP53" s="60">
        <f>CO53-CN53</f>
        <v/>
      </c>
      <c r="CQ53" s="61">
        <f>IF(CN53=0,"",CO53/CN53)</f>
        <v/>
      </c>
      <c r="CR53" s="27" t="n"/>
      <c r="CS53" s="62" t="n"/>
      <c r="CT53" s="62" t="n"/>
      <c r="CU53" s="62">
        <f>CT53-CS53</f>
        <v/>
      </c>
      <c r="CV53" s="64">
        <f>IF(CS53=0,"",CT53/CS53)</f>
        <v/>
      </c>
      <c r="CW53" s="31" t="n"/>
      <c r="CX53" s="60" t="n"/>
      <c r="CY53" s="60" t="n"/>
      <c r="CZ53" s="60">
        <f>CY53-CX53</f>
        <v/>
      </c>
      <c r="DA53" s="61">
        <f>IF(CX53=0,"",CY53/CX53)</f>
        <v/>
      </c>
      <c r="DB53" s="27" t="n"/>
      <c r="DC53" s="62" t="n"/>
      <c r="DD53" s="62" t="n"/>
      <c r="DE53" s="62">
        <f>DD53-DC53</f>
        <v/>
      </c>
      <c r="DF53" s="64">
        <f>IF(DC53=0,"",DD53/DC53)</f>
        <v/>
      </c>
      <c r="DG53" s="31" t="n"/>
      <c r="DH53" s="60" t="n"/>
      <c r="DI53" s="60" t="n"/>
      <c r="DJ53" s="60">
        <f>DI53-DH53</f>
        <v/>
      </c>
      <c r="DK53" s="61">
        <f>IF(DH53=0,"",DI53/DH53)</f>
        <v/>
      </c>
      <c r="DL53" s="27" t="n"/>
      <c r="DM53" s="62" t="n"/>
      <c r="DN53" s="62" t="n"/>
      <c r="DO53" s="62">
        <f>DN53-DM53</f>
        <v/>
      </c>
      <c r="DP53" s="64">
        <f>IF(DM53=0,"",DN53/DM53)</f>
        <v/>
      </c>
      <c r="DQ53" s="31" t="n"/>
      <c r="DR53" s="60" t="n"/>
    </row>
    <row r="54" outlineLevel="1" ht="15" customHeight="1">
      <c r="A54" s="67" t="n"/>
      <c r="B54" s="67" t="n"/>
      <c r="C54" s="67" t="n"/>
      <c r="D54" s="24" t="n"/>
      <c r="E54" s="24" t="n"/>
      <c r="F54" s="24" t="n"/>
      <c r="G54" s="60" t="n"/>
      <c r="H54" s="60" t="n"/>
      <c r="I54" s="60">
        <f>H54-G54</f>
        <v/>
      </c>
      <c r="J54" s="61">
        <f>IF(G54=0,"",H54/G54)</f>
        <v/>
      </c>
      <c r="K54" s="27" t="n"/>
      <c r="L54" s="60" t="n"/>
      <c r="M54" s="60" t="n"/>
      <c r="N54" s="60">
        <f>M54-L54</f>
        <v/>
      </c>
      <c r="O54" s="61">
        <f>IF(L54=0,"",M54/L54)</f>
        <v/>
      </c>
      <c r="P54" s="27" t="n"/>
      <c r="Q54" s="62" t="n"/>
      <c r="R54" s="62" t="n"/>
      <c r="S54" s="62">
        <f>R54-Q54</f>
        <v/>
      </c>
      <c r="T54" s="64">
        <f>IF(Q54=0,"",R54/Q54)</f>
        <v/>
      </c>
      <c r="U54" s="31" t="n"/>
      <c r="V54" s="60" t="n"/>
      <c r="W54" s="60" t="n"/>
      <c r="X54" s="60">
        <f>W54-V54</f>
        <v/>
      </c>
      <c r="Y54" s="61">
        <f>IF(V54=0,"",W54/V54)</f>
        <v/>
      </c>
      <c r="Z54" s="27" t="n"/>
      <c r="AA54" s="62" t="n"/>
      <c r="AB54" s="62" t="n"/>
      <c r="AC54" s="62">
        <f>AB54-AA54</f>
        <v/>
      </c>
      <c r="AD54" s="64">
        <f>IF(AA54=0,"",AB54/AA54)</f>
        <v/>
      </c>
      <c r="AE54" s="31" t="n"/>
      <c r="AF54" s="60" t="n"/>
      <c r="AG54" s="60" t="n"/>
      <c r="AH54" s="60">
        <f>AG54-AF54</f>
        <v/>
      </c>
      <c r="AI54" s="61">
        <f>IF(AF54=0,"",AG54/AF54)</f>
        <v/>
      </c>
      <c r="AJ54" s="27" t="n"/>
      <c r="AK54" s="62" t="n"/>
      <c r="AL54" s="62" t="n"/>
      <c r="AM54" s="62">
        <f>AL54-AK54</f>
        <v/>
      </c>
      <c r="AN54" s="64">
        <f>IF(AK54=0,"",AL54/AK54)</f>
        <v/>
      </c>
      <c r="AO54" s="31" t="n"/>
      <c r="AP54" s="60" t="n"/>
      <c r="AQ54" s="60" t="n"/>
      <c r="AR54" s="60">
        <f>AQ54-AP54</f>
        <v/>
      </c>
      <c r="AS54" s="61">
        <f>IF(AP54=0,"",AQ54/AP54)</f>
        <v/>
      </c>
      <c r="AT54" s="27" t="n"/>
      <c r="AU54" s="62" t="n"/>
      <c r="AV54" s="62" t="n"/>
      <c r="AW54" s="62">
        <f>AV54-AU54</f>
        <v/>
      </c>
      <c r="AX54" s="64">
        <f>IF(AU54=0,"",AV54/AU54)</f>
        <v/>
      </c>
      <c r="AY54" s="31" t="n"/>
      <c r="AZ54" s="60" t="n"/>
      <c r="BA54" s="60" t="n"/>
      <c r="BB54" s="60">
        <f>BA54-AZ54</f>
        <v/>
      </c>
      <c r="BC54" s="61">
        <f>IF(AZ54=0,"",BA54/AZ54)</f>
        <v/>
      </c>
      <c r="BD54" s="27" t="n"/>
      <c r="BE54" s="62" t="n"/>
      <c r="BF54" s="62" t="n"/>
      <c r="BG54" s="62">
        <f>BF54-BE54</f>
        <v/>
      </c>
      <c r="BH54" s="64">
        <f>IF(BE54=0,"",BF54/BE54)</f>
        <v/>
      </c>
      <c r="BI54" s="31" t="n"/>
      <c r="BJ54" s="60" t="n"/>
      <c r="BK54" s="60" t="n"/>
      <c r="BL54" s="60">
        <f>BK54-BJ54</f>
        <v/>
      </c>
      <c r="BM54" s="61">
        <f>IF(BJ54=0,"",BK54/BJ54)</f>
        <v/>
      </c>
      <c r="BN54" s="27" t="n"/>
      <c r="BO54" s="62" t="n"/>
      <c r="BP54" s="62" t="n"/>
      <c r="BQ54" s="62">
        <f>BP54-BO54</f>
        <v/>
      </c>
      <c r="BR54" s="64">
        <f>IF(BO54=0,"",BP54/BO54)</f>
        <v/>
      </c>
      <c r="BS54" s="31" t="n"/>
      <c r="BT54" s="60" t="n"/>
      <c r="BU54" s="60" t="n"/>
      <c r="BV54" s="60">
        <f>BU54-BT54</f>
        <v/>
      </c>
      <c r="BW54" s="61">
        <f>IF(BT54=0,"",BU54/BT54)</f>
        <v/>
      </c>
      <c r="BX54" s="27" t="n"/>
      <c r="BY54" s="62" t="n"/>
      <c r="BZ54" s="62" t="n"/>
      <c r="CA54" s="62">
        <f>BZ54-BY54</f>
        <v/>
      </c>
      <c r="CB54" s="64">
        <f>IF(BY54=0,"",BZ54/BY54)</f>
        <v/>
      </c>
      <c r="CC54" s="31" t="n"/>
      <c r="CD54" s="60" t="n"/>
      <c r="CE54" s="60" t="n"/>
      <c r="CF54" s="60">
        <f>CE54-CD54</f>
        <v/>
      </c>
      <c r="CG54" s="61">
        <f>IF(CD54=0,"",CE54/CD54)</f>
        <v/>
      </c>
      <c r="CH54" s="27" t="n"/>
      <c r="CI54" s="62" t="n"/>
      <c r="CJ54" s="62" t="n"/>
      <c r="CK54" s="62">
        <f>CJ54-CI54</f>
        <v/>
      </c>
      <c r="CL54" s="64">
        <f>IF(CI54=0,"",CJ54/CI54)</f>
        <v/>
      </c>
      <c r="CM54" s="31" t="n"/>
      <c r="CN54" s="60" t="n"/>
      <c r="CO54" s="60" t="n"/>
      <c r="CP54" s="60">
        <f>CO54-CN54</f>
        <v/>
      </c>
      <c r="CQ54" s="61">
        <f>IF(CN54=0,"",CO54/CN54)</f>
        <v/>
      </c>
      <c r="CR54" s="27" t="n"/>
      <c r="CS54" s="62" t="n"/>
      <c r="CT54" s="62" t="n"/>
      <c r="CU54" s="62">
        <f>CT54-CS54</f>
        <v/>
      </c>
      <c r="CV54" s="64">
        <f>IF(CS54=0,"",CT54/CS54)</f>
        <v/>
      </c>
      <c r="CW54" s="31" t="n"/>
      <c r="CX54" s="60" t="n"/>
      <c r="CY54" s="60" t="n"/>
      <c r="CZ54" s="60">
        <f>CY54-CX54</f>
        <v/>
      </c>
      <c r="DA54" s="61">
        <f>IF(CX54=0,"",CY54/CX54)</f>
        <v/>
      </c>
      <c r="DB54" s="27" t="n"/>
      <c r="DC54" s="62" t="n"/>
      <c r="DD54" s="62" t="n"/>
      <c r="DE54" s="62">
        <f>DD54-DC54</f>
        <v/>
      </c>
      <c r="DF54" s="64">
        <f>IF(DC54=0,"",DD54/DC54)</f>
        <v/>
      </c>
      <c r="DG54" s="31" t="n"/>
      <c r="DH54" s="60" t="n"/>
      <c r="DI54" s="60" t="n"/>
      <c r="DJ54" s="60">
        <f>DI54-DH54</f>
        <v/>
      </c>
      <c r="DK54" s="61">
        <f>IF(DH54=0,"",DI54/DH54)</f>
        <v/>
      </c>
      <c r="DL54" s="27" t="n"/>
      <c r="DM54" s="62" t="n"/>
      <c r="DN54" s="62" t="n"/>
      <c r="DO54" s="62">
        <f>DN54-DM54</f>
        <v/>
      </c>
      <c r="DP54" s="64">
        <f>IF(DM54=0,"",DN54/DM54)</f>
        <v/>
      </c>
      <c r="DQ54" s="31" t="n"/>
      <c r="DR54" s="60" t="n"/>
    </row>
    <row r="55" outlineLevel="1" ht="15" customHeight="1">
      <c r="A55" s="55" t="n"/>
      <c r="B55" s="55" t="n"/>
      <c r="C55" s="55" t="n"/>
      <c r="D55" s="24" t="n"/>
      <c r="E55" s="24" t="n"/>
      <c r="F55" s="24" t="n"/>
      <c r="G55" s="60" t="n"/>
      <c r="H55" s="60" t="n"/>
      <c r="I55" s="60">
        <f>H55-G55</f>
        <v/>
      </c>
      <c r="J55" s="61">
        <f>IF(G55=0,"",H55/G55)</f>
        <v/>
      </c>
      <c r="K55" s="27" t="n"/>
      <c r="L55" s="60" t="n"/>
      <c r="M55" s="60" t="n"/>
      <c r="N55" s="60">
        <f>M55-L55</f>
        <v/>
      </c>
      <c r="O55" s="61">
        <f>IF(L55=0,"",M55/L55)</f>
        <v/>
      </c>
      <c r="P55" s="27" t="n"/>
      <c r="Q55" s="62" t="n"/>
      <c r="R55" s="62" t="n"/>
      <c r="S55" s="62">
        <f>R55-Q55</f>
        <v/>
      </c>
      <c r="T55" s="64">
        <f>IF(Q55=0,"",R55/Q55)</f>
        <v/>
      </c>
      <c r="U55" s="31" t="n"/>
      <c r="V55" s="60" t="n"/>
      <c r="W55" s="60" t="n"/>
      <c r="X55" s="60">
        <f>W55-V55</f>
        <v/>
      </c>
      <c r="Y55" s="61">
        <f>IF(V55=0,"",W55/V55)</f>
        <v/>
      </c>
      <c r="Z55" s="27" t="n"/>
      <c r="AA55" s="62" t="n"/>
      <c r="AB55" s="62" t="n"/>
      <c r="AC55" s="62">
        <f>AB55-AA55</f>
        <v/>
      </c>
      <c r="AD55" s="64">
        <f>IF(AA55=0,"",AB55/AA55)</f>
        <v/>
      </c>
      <c r="AE55" s="31" t="n"/>
      <c r="AF55" s="60" t="n"/>
      <c r="AG55" s="60" t="n"/>
      <c r="AH55" s="60">
        <f>AG55-AF55</f>
        <v/>
      </c>
      <c r="AI55" s="61">
        <f>IF(AF55=0,"",AG55/AF55)</f>
        <v/>
      </c>
      <c r="AJ55" s="27" t="n"/>
      <c r="AK55" s="62" t="n"/>
      <c r="AL55" s="62" t="n"/>
      <c r="AM55" s="62">
        <f>AL55-AK55</f>
        <v/>
      </c>
      <c r="AN55" s="64">
        <f>IF(AK55=0,"",AL55/AK55)</f>
        <v/>
      </c>
      <c r="AO55" s="31" t="n"/>
      <c r="AP55" s="60" t="n"/>
      <c r="AQ55" s="60" t="n"/>
      <c r="AR55" s="60">
        <f>AQ55-AP55</f>
        <v/>
      </c>
      <c r="AS55" s="61">
        <f>IF(AP55=0,"",AQ55/AP55)</f>
        <v/>
      </c>
      <c r="AT55" s="27" t="n"/>
      <c r="AU55" s="62" t="n"/>
      <c r="AV55" s="62" t="n"/>
      <c r="AW55" s="62">
        <f>AV55-AU55</f>
        <v/>
      </c>
      <c r="AX55" s="64">
        <f>IF(AU55=0,"",AV55/AU55)</f>
        <v/>
      </c>
      <c r="AY55" s="31" t="n"/>
      <c r="AZ55" s="60" t="n"/>
      <c r="BA55" s="60" t="n"/>
      <c r="BB55" s="60">
        <f>BA55-AZ55</f>
        <v/>
      </c>
      <c r="BC55" s="61">
        <f>IF(AZ55=0,"",BA55/AZ55)</f>
        <v/>
      </c>
      <c r="BD55" s="27" t="n"/>
      <c r="BE55" s="62" t="n"/>
      <c r="BF55" s="62" t="n"/>
      <c r="BG55" s="62">
        <f>BF55-BE55</f>
        <v/>
      </c>
      <c r="BH55" s="64">
        <f>IF(BE55=0,"",BF55/BE55)</f>
        <v/>
      </c>
      <c r="BI55" s="31" t="n"/>
      <c r="BJ55" s="60" t="n"/>
      <c r="BK55" s="60" t="n"/>
      <c r="BL55" s="60">
        <f>BK55-BJ55</f>
        <v/>
      </c>
      <c r="BM55" s="61">
        <f>IF(BJ55=0,"",BK55/BJ55)</f>
        <v/>
      </c>
      <c r="BN55" s="27" t="n"/>
      <c r="BO55" s="62" t="n"/>
      <c r="BP55" s="62" t="n"/>
      <c r="BQ55" s="62">
        <f>BP55-BO55</f>
        <v/>
      </c>
      <c r="BR55" s="64">
        <f>IF(BO55=0,"",BP55/BO55)</f>
        <v/>
      </c>
      <c r="BS55" s="31" t="n"/>
      <c r="BT55" s="60" t="n"/>
      <c r="BU55" s="60" t="n"/>
      <c r="BV55" s="60">
        <f>BU55-BT55</f>
        <v/>
      </c>
      <c r="BW55" s="61">
        <f>IF(BT55=0,"",BU55/BT55)</f>
        <v/>
      </c>
      <c r="BX55" s="27" t="n"/>
      <c r="BY55" s="62" t="n"/>
      <c r="BZ55" s="62" t="n"/>
      <c r="CA55" s="62">
        <f>BZ55-BY55</f>
        <v/>
      </c>
      <c r="CB55" s="64">
        <f>IF(BY55=0,"",BZ55/BY55)</f>
        <v/>
      </c>
      <c r="CC55" s="31" t="n"/>
      <c r="CD55" s="60" t="n"/>
      <c r="CE55" s="60" t="n"/>
      <c r="CF55" s="60">
        <f>CE55-CD55</f>
        <v/>
      </c>
      <c r="CG55" s="61">
        <f>IF(CD55=0,"",CE55/CD55)</f>
        <v/>
      </c>
      <c r="CH55" s="27" t="n"/>
      <c r="CI55" s="62" t="n"/>
      <c r="CJ55" s="62" t="n"/>
      <c r="CK55" s="62">
        <f>CJ55-CI55</f>
        <v/>
      </c>
      <c r="CL55" s="64">
        <f>IF(CI55=0,"",CJ55/CI55)</f>
        <v/>
      </c>
      <c r="CM55" s="31" t="n"/>
      <c r="CN55" s="60" t="n"/>
      <c r="CO55" s="60" t="n"/>
      <c r="CP55" s="60">
        <f>CO55-CN55</f>
        <v/>
      </c>
      <c r="CQ55" s="61">
        <f>IF(CN55=0,"",CO55/CN55)</f>
        <v/>
      </c>
      <c r="CR55" s="27" t="n"/>
      <c r="CS55" s="62" t="n"/>
      <c r="CT55" s="62" t="n"/>
      <c r="CU55" s="62">
        <f>CT55-CS55</f>
        <v/>
      </c>
      <c r="CV55" s="64">
        <f>IF(CS55=0,"",CT55/CS55)</f>
        <v/>
      </c>
      <c r="CW55" s="31" t="n"/>
      <c r="CX55" s="60" t="n"/>
      <c r="CY55" s="60" t="n"/>
      <c r="CZ55" s="60">
        <f>CY55-CX55</f>
        <v/>
      </c>
      <c r="DA55" s="61">
        <f>IF(CX55=0,"",CY55/CX55)</f>
        <v/>
      </c>
      <c r="DB55" s="27" t="n"/>
      <c r="DC55" s="62" t="n"/>
      <c r="DD55" s="62" t="n"/>
      <c r="DE55" s="62">
        <f>DD55-DC55</f>
        <v/>
      </c>
      <c r="DF55" s="64">
        <f>IF(DC55=0,"",DD55/DC55)</f>
        <v/>
      </c>
      <c r="DG55" s="31" t="n"/>
      <c r="DH55" s="60" t="n"/>
      <c r="DI55" s="60" t="n"/>
      <c r="DJ55" s="60">
        <f>DI55-DH55</f>
        <v/>
      </c>
      <c r="DK55" s="61">
        <f>IF(DH55=0,"",DI55/DH55)</f>
        <v/>
      </c>
      <c r="DL55" s="27" t="n"/>
      <c r="DM55" s="62" t="n"/>
      <c r="DN55" s="62" t="n"/>
      <c r="DO55" s="62">
        <f>DN55-DM55</f>
        <v/>
      </c>
      <c r="DP55" s="64">
        <f>IF(DM55=0,"",DN55/DM55)</f>
        <v/>
      </c>
      <c r="DQ55" s="31" t="n"/>
      <c r="DR55" s="60" t="n"/>
    </row>
    <row r="56" outlineLevel="1" ht="15" customHeight="1">
      <c r="A56" s="24" t="n"/>
      <c r="B56" s="24" t="n"/>
      <c r="C56" s="36" t="n"/>
      <c r="D56" s="24" t="n"/>
      <c r="E56" s="24" t="n"/>
      <c r="F56" s="24" t="n"/>
      <c r="G56" s="60" t="n"/>
      <c r="H56" s="60" t="n"/>
      <c r="I56" s="60">
        <f>H56-G56</f>
        <v/>
      </c>
      <c r="J56" s="61">
        <f>IF(G56=0,"",H56/G56)</f>
        <v/>
      </c>
      <c r="K56" s="27" t="n"/>
      <c r="L56" s="60" t="n"/>
      <c r="M56" s="60" t="n"/>
      <c r="N56" s="60">
        <f>M56-L56</f>
        <v/>
      </c>
      <c r="O56" s="61">
        <f>IF(L56=0,"",M56/L56)</f>
        <v/>
      </c>
      <c r="P56" s="27" t="n"/>
      <c r="Q56" s="62" t="n"/>
      <c r="R56" s="62" t="n"/>
      <c r="S56" s="63">
        <f>R56-Q56</f>
        <v/>
      </c>
      <c r="T56" s="64">
        <f>IF(Q56=0,"",R56/Q56)</f>
        <v/>
      </c>
      <c r="U56" s="31" t="n"/>
      <c r="V56" s="60" t="n"/>
      <c r="W56" s="60" t="n"/>
      <c r="X56" s="60">
        <f>W56-V56</f>
        <v/>
      </c>
      <c r="Y56" s="61">
        <f>IF(V56=0,"",W56/V56)</f>
        <v/>
      </c>
      <c r="Z56" s="27" t="n"/>
      <c r="AA56" s="62" t="n"/>
      <c r="AB56" s="62" t="n"/>
      <c r="AC56" s="63">
        <f>AB56-AA56</f>
        <v/>
      </c>
      <c r="AD56" s="64">
        <f>IF(AA56=0,"",AB56/AA56)</f>
        <v/>
      </c>
      <c r="AE56" s="31" t="n"/>
      <c r="AF56" s="60" t="n"/>
      <c r="AG56" s="60" t="n"/>
      <c r="AH56" s="60">
        <f>AG56-AF56</f>
        <v/>
      </c>
      <c r="AI56" s="61">
        <f>IF(AF56=0,"",AG56/AF56)</f>
        <v/>
      </c>
      <c r="AJ56" s="27" t="n"/>
      <c r="AK56" s="62" t="n"/>
      <c r="AL56" s="62" t="n"/>
      <c r="AM56" s="62">
        <f>AL56-AK56</f>
        <v/>
      </c>
      <c r="AN56" s="64">
        <f>IF(AK56=0,"",AL56/AK56)</f>
        <v/>
      </c>
      <c r="AO56" s="31" t="n"/>
      <c r="AP56" s="60" t="n"/>
      <c r="AQ56" s="60" t="n"/>
      <c r="AR56" s="60">
        <f>AQ56-AP56</f>
        <v/>
      </c>
      <c r="AS56" s="61">
        <f>IF(AP56=0,"",AQ56/AP56)</f>
        <v/>
      </c>
      <c r="AT56" s="27" t="n"/>
      <c r="AU56" s="62" t="n"/>
      <c r="AV56" s="62" t="n"/>
      <c r="AW56" s="62">
        <f>AV56-AU56</f>
        <v/>
      </c>
      <c r="AX56" s="64">
        <f>IF(AU56=0,"",AV56/AU56)</f>
        <v/>
      </c>
      <c r="AY56" s="31" t="n"/>
      <c r="AZ56" s="60" t="n"/>
      <c r="BA56" s="60" t="n"/>
      <c r="BB56" s="60">
        <f>BA56-AZ56</f>
        <v/>
      </c>
      <c r="BC56" s="61">
        <f>IF(AZ56=0,"",BA56/AZ56)</f>
        <v/>
      </c>
      <c r="BD56" s="27" t="n"/>
      <c r="BE56" s="62" t="n"/>
      <c r="BF56" s="62" t="n"/>
      <c r="BG56" s="62">
        <f>BF56-BE56</f>
        <v/>
      </c>
      <c r="BH56" s="64">
        <f>IF(BE56=0,"",BF56/BE56)</f>
        <v/>
      </c>
      <c r="BI56" s="31" t="n"/>
      <c r="BJ56" s="60" t="n"/>
      <c r="BK56" s="60" t="n"/>
      <c r="BL56" s="60">
        <f>BK56-BJ56</f>
        <v/>
      </c>
      <c r="BM56" s="61">
        <f>IF(BJ56=0,"",BK56/BJ56)</f>
        <v/>
      </c>
      <c r="BN56" s="27" t="n"/>
      <c r="BO56" s="62" t="n"/>
      <c r="BP56" s="62" t="n"/>
      <c r="BQ56" s="62">
        <f>BP56-BO56</f>
        <v/>
      </c>
      <c r="BR56" s="64">
        <f>IF(BO56=0,"",BP56/BO56)</f>
        <v/>
      </c>
      <c r="BS56" s="31" t="n"/>
      <c r="BT56" s="60" t="n"/>
      <c r="BU56" s="60" t="n"/>
      <c r="BV56" s="60">
        <f>BU56-BT56</f>
        <v/>
      </c>
      <c r="BW56" s="61">
        <f>IF(BT56=0,"",BU56/BT56)</f>
        <v/>
      </c>
      <c r="BX56" s="27" t="n"/>
      <c r="BY56" s="62" t="n"/>
      <c r="BZ56" s="62" t="n"/>
      <c r="CA56" s="62">
        <f>BZ56-BY56</f>
        <v/>
      </c>
      <c r="CB56" s="64">
        <f>IF(BY56=0,"",BZ56/BY56)</f>
        <v/>
      </c>
      <c r="CC56" s="31" t="n"/>
      <c r="CD56" s="60" t="n"/>
      <c r="CE56" s="60" t="n"/>
      <c r="CF56" s="60">
        <f>CE56-CD56</f>
        <v/>
      </c>
      <c r="CG56" s="61">
        <f>IF(CD56=0,"",CE56/CD56)</f>
        <v/>
      </c>
      <c r="CH56" s="27" t="n"/>
      <c r="CI56" s="62" t="n"/>
      <c r="CJ56" s="62" t="n"/>
      <c r="CK56" s="62">
        <f>CJ56-CI56</f>
        <v/>
      </c>
      <c r="CL56" s="64">
        <f>IF(CI56=0,"",CJ56/CI56)</f>
        <v/>
      </c>
      <c r="CM56" s="31" t="n"/>
      <c r="CN56" s="60" t="n"/>
      <c r="CO56" s="60" t="n"/>
      <c r="CP56" s="60">
        <f>CO56-CN56</f>
        <v/>
      </c>
      <c r="CQ56" s="61">
        <f>IF(CN56=0,"",CO56/CN56)</f>
        <v/>
      </c>
      <c r="CR56" s="27" t="n"/>
      <c r="CS56" s="62" t="n"/>
      <c r="CT56" s="62" t="n"/>
      <c r="CU56" s="62">
        <f>CT56-CS56</f>
        <v/>
      </c>
      <c r="CV56" s="64">
        <f>IF(CS56=0,"",CT56/CS56)</f>
        <v/>
      </c>
      <c r="CW56" s="31" t="n"/>
      <c r="CX56" s="60" t="n"/>
      <c r="CY56" s="60" t="n"/>
      <c r="CZ56" s="60">
        <f>CY56-CX56</f>
        <v/>
      </c>
      <c r="DA56" s="61">
        <f>IF(CX56=0,"",CY56/CX56)</f>
        <v/>
      </c>
      <c r="DB56" s="27" t="n"/>
      <c r="DC56" s="62" t="n"/>
      <c r="DD56" s="62" t="n"/>
      <c r="DE56" s="62">
        <f>DD56-DC56</f>
        <v/>
      </c>
      <c r="DF56" s="64">
        <f>IF(DC56=0,"",DD56/DC56)</f>
        <v/>
      </c>
      <c r="DG56" s="31" t="n"/>
      <c r="DH56" s="60" t="n"/>
      <c r="DI56" s="60" t="n"/>
      <c r="DJ56" s="60">
        <f>DI56-DH56</f>
        <v/>
      </c>
      <c r="DK56" s="61">
        <f>IF(DH56=0,"",DI56/DH56)</f>
        <v/>
      </c>
      <c r="DL56" s="27" t="n"/>
      <c r="DM56" s="62" t="n"/>
      <c r="DN56" s="62" t="n"/>
      <c r="DO56" s="62">
        <f>DN56-DM56</f>
        <v/>
      </c>
      <c r="DP56" s="64">
        <f>IF(DM56=0,"",DN56/DM56)</f>
        <v/>
      </c>
      <c r="DQ56" s="31" t="n"/>
      <c r="DR56" s="60" t="n"/>
    </row>
    <row r="57" outlineLevel="1" ht="15" customHeight="1">
      <c r="A57" s="67" t="n"/>
      <c r="B57" s="67" t="n"/>
      <c r="C57" s="67" t="n"/>
      <c r="D57" s="24" t="n"/>
      <c r="E57" s="24" t="n"/>
      <c r="F57" s="24" t="n"/>
      <c r="G57" s="60" t="n"/>
      <c r="H57" s="60" t="n"/>
      <c r="I57" s="60">
        <f>H57-G57</f>
        <v/>
      </c>
      <c r="J57" s="61">
        <f>IF(G57=0,"",H57/G57)</f>
        <v/>
      </c>
      <c r="K57" s="27" t="n"/>
      <c r="L57" s="60" t="n"/>
      <c r="M57" s="60" t="n"/>
      <c r="N57" s="60">
        <f>M57-L57</f>
        <v/>
      </c>
      <c r="O57" s="61">
        <f>IF(L57=0,"",M57/L57)</f>
        <v/>
      </c>
      <c r="P57" s="27" t="n"/>
      <c r="Q57" s="62" t="n"/>
      <c r="R57" s="62" t="n"/>
      <c r="S57" s="63">
        <f>R57-Q57</f>
        <v/>
      </c>
      <c r="T57" s="64">
        <f>IF(Q57=0,"",R57/Q57)</f>
        <v/>
      </c>
      <c r="U57" s="31" t="n"/>
      <c r="V57" s="60" t="n"/>
      <c r="W57" s="60" t="n"/>
      <c r="X57" s="60">
        <f>W57-V57</f>
        <v/>
      </c>
      <c r="Y57" s="61">
        <f>IF(V57=0,"",W57/V57)</f>
        <v/>
      </c>
      <c r="Z57" s="27" t="n"/>
      <c r="AA57" s="62" t="n"/>
      <c r="AB57" s="62" t="n"/>
      <c r="AC57" s="63">
        <f>AB57-AA57</f>
        <v/>
      </c>
      <c r="AD57" s="64">
        <f>IF(AA57=0,"",AB57/AA57)</f>
        <v/>
      </c>
      <c r="AE57" s="31" t="n"/>
      <c r="AF57" s="60" t="n"/>
      <c r="AG57" s="60" t="n"/>
      <c r="AH57" s="60">
        <f>AG57-AF57</f>
        <v/>
      </c>
      <c r="AI57" s="61">
        <f>IF(AF57=0,"",AG57/AF57)</f>
        <v/>
      </c>
      <c r="AJ57" s="27" t="n"/>
      <c r="AK57" s="62" t="n"/>
      <c r="AL57" s="62" t="n"/>
      <c r="AM57" s="62">
        <f>AL57-AK57</f>
        <v/>
      </c>
      <c r="AN57" s="64">
        <f>IF(AK57=0,"",AL57/AK57)</f>
        <v/>
      </c>
      <c r="AO57" s="31" t="n"/>
      <c r="AP57" s="60" t="n"/>
      <c r="AQ57" s="60" t="n"/>
      <c r="AR57" s="60">
        <f>AQ57-AP57</f>
        <v/>
      </c>
      <c r="AS57" s="61">
        <f>IF(AP57=0,"",AQ57/AP57)</f>
        <v/>
      </c>
      <c r="AT57" s="27" t="n"/>
      <c r="AU57" s="62" t="n"/>
      <c r="AV57" s="62" t="n"/>
      <c r="AW57" s="62">
        <f>AV57-AU57</f>
        <v/>
      </c>
      <c r="AX57" s="64">
        <f>IF(AU57=0,"",AV57/AU57)</f>
        <v/>
      </c>
      <c r="AY57" s="31" t="n"/>
      <c r="AZ57" s="60" t="n"/>
      <c r="BA57" s="60" t="n"/>
      <c r="BB57" s="60">
        <f>BA57-AZ57</f>
        <v/>
      </c>
      <c r="BC57" s="61">
        <f>IF(AZ57=0,"",BA57/AZ57)</f>
        <v/>
      </c>
      <c r="BD57" s="27" t="n"/>
      <c r="BE57" s="62" t="n"/>
      <c r="BF57" s="62" t="n"/>
      <c r="BG57" s="62">
        <f>BF57-BE57</f>
        <v/>
      </c>
      <c r="BH57" s="64">
        <f>IF(BE57=0,"",BF57/BE57)</f>
        <v/>
      </c>
      <c r="BI57" s="31" t="n"/>
      <c r="BJ57" s="60" t="n"/>
      <c r="BK57" s="60" t="n"/>
      <c r="BL57" s="60">
        <f>BK57-BJ57</f>
        <v/>
      </c>
      <c r="BM57" s="61">
        <f>IF(BJ57=0,"",BK57/BJ57)</f>
        <v/>
      </c>
      <c r="BN57" s="27" t="n"/>
      <c r="BO57" s="62" t="n"/>
      <c r="BP57" s="62" t="n"/>
      <c r="BQ57" s="62">
        <f>BP57-BO57</f>
        <v/>
      </c>
      <c r="BR57" s="64">
        <f>IF(BO57=0,"",BP57/BO57)</f>
        <v/>
      </c>
      <c r="BS57" s="31" t="n"/>
      <c r="BT57" s="60" t="n"/>
      <c r="BU57" s="60" t="n"/>
      <c r="BV57" s="60">
        <f>BU57-BT57</f>
        <v/>
      </c>
      <c r="BW57" s="61">
        <f>IF(BT57=0,"",BU57/BT57)</f>
        <v/>
      </c>
      <c r="BX57" s="27" t="n"/>
      <c r="BY57" s="62" t="n"/>
      <c r="BZ57" s="62" t="n"/>
      <c r="CA57" s="62">
        <f>BZ57-BY57</f>
        <v/>
      </c>
      <c r="CB57" s="64">
        <f>IF(BY57=0,"",BZ57/BY57)</f>
        <v/>
      </c>
      <c r="CC57" s="31" t="n"/>
      <c r="CD57" s="60" t="n"/>
      <c r="CE57" s="60" t="n"/>
      <c r="CF57" s="60">
        <f>CE57-CD57</f>
        <v/>
      </c>
      <c r="CG57" s="61">
        <f>IF(CD57=0,"",CE57/CD57)</f>
        <v/>
      </c>
      <c r="CH57" s="27" t="n"/>
      <c r="CI57" s="62" t="n"/>
      <c r="CJ57" s="62" t="n"/>
      <c r="CK57" s="62">
        <f>CJ57-CI57</f>
        <v/>
      </c>
      <c r="CL57" s="64">
        <f>IF(CI57=0,"",CJ57/CI57)</f>
        <v/>
      </c>
      <c r="CM57" s="31" t="n"/>
      <c r="CN57" s="60" t="n"/>
      <c r="CO57" s="60" t="n"/>
      <c r="CP57" s="60">
        <f>CO57-CN57</f>
        <v/>
      </c>
      <c r="CQ57" s="61">
        <f>IF(CN57=0,"",CO57/CN57)</f>
        <v/>
      </c>
      <c r="CR57" s="27" t="n"/>
      <c r="CS57" s="62" t="n"/>
      <c r="CT57" s="62" t="n"/>
      <c r="CU57" s="62">
        <f>CT57-CS57</f>
        <v/>
      </c>
      <c r="CV57" s="64">
        <f>IF(CS57=0,"",CT57/CS57)</f>
        <v/>
      </c>
      <c r="CW57" s="31" t="n"/>
      <c r="CX57" s="60" t="n"/>
      <c r="CY57" s="60" t="n"/>
      <c r="CZ57" s="60">
        <f>CY57-CX57</f>
        <v/>
      </c>
      <c r="DA57" s="61">
        <f>IF(CX57=0,"",CY57/CX57)</f>
        <v/>
      </c>
      <c r="DB57" s="27" t="n"/>
      <c r="DC57" s="62" t="n"/>
      <c r="DD57" s="62" t="n"/>
      <c r="DE57" s="62">
        <f>DD57-DC57</f>
        <v/>
      </c>
      <c r="DF57" s="64">
        <f>IF(DC57=0,"",DD57/DC57)</f>
        <v/>
      </c>
      <c r="DG57" s="31" t="n"/>
      <c r="DH57" s="60" t="n"/>
      <c r="DI57" s="60" t="n"/>
      <c r="DJ57" s="60">
        <f>DI57-DH57</f>
        <v/>
      </c>
      <c r="DK57" s="61">
        <f>IF(DH57=0,"",DI57/DH57)</f>
        <v/>
      </c>
      <c r="DL57" s="27" t="n"/>
      <c r="DM57" s="62" t="n"/>
      <c r="DN57" s="62" t="n"/>
      <c r="DO57" s="62">
        <f>DN57-DM57</f>
        <v/>
      </c>
      <c r="DP57" s="64">
        <f>IF(DM57=0,"",DN57/DM57)</f>
        <v/>
      </c>
      <c r="DQ57" s="31" t="n"/>
      <c r="DR57" s="60" t="n"/>
    </row>
    <row r="58" outlineLevel="1" ht="15" customHeight="1">
      <c r="A58" s="67" t="n"/>
      <c r="B58" s="67" t="n"/>
      <c r="C58" s="67" t="n"/>
      <c r="D58" s="24" t="n"/>
      <c r="E58" s="24" t="n"/>
      <c r="F58" s="24" t="n"/>
      <c r="G58" s="60" t="n"/>
      <c r="H58" s="60" t="n"/>
      <c r="I58" s="60">
        <f>H58-G58</f>
        <v/>
      </c>
      <c r="J58" s="61">
        <f>IF(G58=0,"",H58/G58)</f>
        <v/>
      </c>
      <c r="K58" s="27" t="n"/>
      <c r="L58" s="60" t="n"/>
      <c r="M58" s="60" t="n"/>
      <c r="N58" s="60">
        <f>M58-L58</f>
        <v/>
      </c>
      <c r="O58" s="61">
        <f>IF(L58=0,"",M58/L58)</f>
        <v/>
      </c>
      <c r="P58" s="27" t="n"/>
      <c r="Q58" s="62" t="n"/>
      <c r="R58" s="62" t="n"/>
      <c r="S58" s="62">
        <f>R58-Q58</f>
        <v/>
      </c>
      <c r="T58" s="64">
        <f>IF(Q58=0,"",R58/Q58)</f>
        <v/>
      </c>
      <c r="U58" s="31" t="n"/>
      <c r="V58" s="60" t="n"/>
      <c r="W58" s="60" t="n"/>
      <c r="X58" s="60">
        <f>W58-V58</f>
        <v/>
      </c>
      <c r="Y58" s="61">
        <f>IF(V58=0,"",W58/V58)</f>
        <v/>
      </c>
      <c r="Z58" s="27" t="n"/>
      <c r="AA58" s="62" t="n"/>
      <c r="AB58" s="62" t="n"/>
      <c r="AC58" s="62">
        <f>AB58-AA58</f>
        <v/>
      </c>
      <c r="AD58" s="64">
        <f>IF(AA58=0,"",AB58/AA58)</f>
        <v/>
      </c>
      <c r="AE58" s="31" t="n"/>
      <c r="AF58" s="60" t="n"/>
      <c r="AG58" s="60" t="n"/>
      <c r="AH58" s="60">
        <f>AG58-AF58</f>
        <v/>
      </c>
      <c r="AI58" s="61">
        <f>IF(AF58=0,"",AG58/AF58)</f>
        <v/>
      </c>
      <c r="AJ58" s="27" t="n"/>
      <c r="AK58" s="62" t="n"/>
      <c r="AL58" s="62" t="n"/>
      <c r="AM58" s="62">
        <f>AL58-AK58</f>
        <v/>
      </c>
      <c r="AN58" s="64">
        <f>IF(AK58=0,"",AL58/AK58)</f>
        <v/>
      </c>
      <c r="AO58" s="31" t="n"/>
      <c r="AP58" s="60" t="n"/>
      <c r="AQ58" s="60" t="n"/>
      <c r="AR58" s="60">
        <f>AQ58-AP58</f>
        <v/>
      </c>
      <c r="AS58" s="61">
        <f>IF(AP58=0,"",AQ58/AP58)</f>
        <v/>
      </c>
      <c r="AT58" s="27" t="n"/>
      <c r="AU58" s="62" t="n"/>
      <c r="AV58" s="62" t="n"/>
      <c r="AW58" s="62">
        <f>AV58-AU58</f>
        <v/>
      </c>
      <c r="AX58" s="64">
        <f>IF(AU58=0,"",AV58/AU58)</f>
        <v/>
      </c>
      <c r="AY58" s="31" t="n"/>
      <c r="AZ58" s="60" t="n"/>
      <c r="BA58" s="60" t="n"/>
      <c r="BB58" s="60">
        <f>BA58-AZ58</f>
        <v/>
      </c>
      <c r="BC58" s="61">
        <f>IF(AZ58=0,"",BA58/AZ58)</f>
        <v/>
      </c>
      <c r="BD58" s="27" t="n"/>
      <c r="BE58" s="62" t="n"/>
      <c r="BF58" s="62" t="n"/>
      <c r="BG58" s="62">
        <f>BF58-BE58</f>
        <v/>
      </c>
      <c r="BH58" s="64">
        <f>IF(BE58=0,"",BF58/BE58)</f>
        <v/>
      </c>
      <c r="BI58" s="31" t="n"/>
      <c r="BJ58" s="60" t="n"/>
      <c r="BK58" s="60" t="n"/>
      <c r="BL58" s="60">
        <f>BK58-BJ58</f>
        <v/>
      </c>
      <c r="BM58" s="61">
        <f>IF(BJ58=0,"",BK58/BJ58)</f>
        <v/>
      </c>
      <c r="BN58" s="27" t="n"/>
      <c r="BO58" s="62" t="n"/>
      <c r="BP58" s="62" t="n"/>
      <c r="BQ58" s="62">
        <f>BP58-BO58</f>
        <v/>
      </c>
      <c r="BR58" s="64">
        <f>IF(BO58=0,"",BP58/BO58)</f>
        <v/>
      </c>
      <c r="BS58" s="31" t="n"/>
      <c r="BT58" s="60" t="n"/>
      <c r="BU58" s="60" t="n"/>
      <c r="BV58" s="60">
        <f>BU58-BT58</f>
        <v/>
      </c>
      <c r="BW58" s="61">
        <f>IF(BT58=0,"",BU58/BT58)</f>
        <v/>
      </c>
      <c r="BX58" s="27" t="n"/>
      <c r="BY58" s="62" t="n"/>
      <c r="BZ58" s="62" t="n"/>
      <c r="CA58" s="62">
        <f>BZ58-BY58</f>
        <v/>
      </c>
      <c r="CB58" s="64">
        <f>IF(BY58=0,"",BZ58/BY58)</f>
        <v/>
      </c>
      <c r="CC58" s="31" t="n"/>
      <c r="CD58" s="60" t="n"/>
      <c r="CE58" s="60" t="n"/>
      <c r="CF58" s="60">
        <f>CE58-CD58</f>
        <v/>
      </c>
      <c r="CG58" s="61">
        <f>IF(CD58=0,"",CE58/CD58)</f>
        <v/>
      </c>
      <c r="CH58" s="27" t="n"/>
      <c r="CI58" s="62" t="n"/>
      <c r="CJ58" s="62" t="n"/>
      <c r="CK58" s="62">
        <f>CJ58-CI58</f>
        <v/>
      </c>
      <c r="CL58" s="64">
        <f>IF(CI58=0,"",CJ58/CI58)</f>
        <v/>
      </c>
      <c r="CM58" s="31" t="n"/>
      <c r="CN58" s="60" t="n"/>
      <c r="CO58" s="60" t="n"/>
      <c r="CP58" s="60">
        <f>CO58-CN58</f>
        <v/>
      </c>
      <c r="CQ58" s="61">
        <f>IF(CN58=0,"",CO58/CN58)</f>
        <v/>
      </c>
      <c r="CR58" s="27" t="n"/>
      <c r="CS58" s="62" t="n"/>
      <c r="CT58" s="62" t="n"/>
      <c r="CU58" s="62">
        <f>CT58-CS58</f>
        <v/>
      </c>
      <c r="CV58" s="64">
        <f>IF(CS58=0,"",CT58/CS58)</f>
        <v/>
      </c>
      <c r="CW58" s="31" t="n"/>
      <c r="CX58" s="60" t="n"/>
      <c r="CY58" s="60" t="n"/>
      <c r="CZ58" s="60">
        <f>CY58-CX58</f>
        <v/>
      </c>
      <c r="DA58" s="61">
        <f>IF(CX58=0,"",CY58/CX58)</f>
        <v/>
      </c>
      <c r="DB58" s="27" t="n"/>
      <c r="DC58" s="62" t="n"/>
      <c r="DD58" s="62" t="n"/>
      <c r="DE58" s="62">
        <f>DD58-DC58</f>
        <v/>
      </c>
      <c r="DF58" s="64">
        <f>IF(DC58=0,"",DD58/DC58)</f>
        <v/>
      </c>
      <c r="DG58" s="31" t="n"/>
      <c r="DH58" s="60" t="n"/>
      <c r="DI58" s="60" t="n"/>
      <c r="DJ58" s="60">
        <f>DI58-DH58</f>
        <v/>
      </c>
      <c r="DK58" s="61">
        <f>IF(DH58=0,"",DI58/DH58)</f>
        <v/>
      </c>
      <c r="DL58" s="27" t="n"/>
      <c r="DM58" s="62" t="n"/>
      <c r="DN58" s="62" t="n"/>
      <c r="DO58" s="62">
        <f>DN58-DM58</f>
        <v/>
      </c>
      <c r="DP58" s="64">
        <f>IF(DM58=0,"",DN58/DM58)</f>
        <v/>
      </c>
      <c r="DQ58" s="31" t="n"/>
      <c r="DR58" s="60" t="n"/>
    </row>
    <row r="59" outlineLevel="1" ht="15" customHeight="1">
      <c r="A59" s="55" t="n"/>
      <c r="B59" s="55" t="n"/>
      <c r="C59" s="55" t="n"/>
      <c r="D59" s="24" t="n"/>
      <c r="E59" s="24" t="n"/>
      <c r="F59" s="24" t="n"/>
      <c r="G59" s="60" t="n"/>
      <c r="H59" s="60" t="n"/>
      <c r="I59" s="60">
        <f>H59-G59</f>
        <v/>
      </c>
      <c r="J59" s="61">
        <f>IF(G59=0,"",H59/G59)</f>
        <v/>
      </c>
      <c r="K59" s="27" t="n"/>
      <c r="L59" s="60" t="n"/>
      <c r="M59" s="60" t="n"/>
      <c r="N59" s="60">
        <f>M59-L59</f>
        <v/>
      </c>
      <c r="O59" s="61">
        <f>IF(L59=0,"",M59/L59)</f>
        <v/>
      </c>
      <c r="P59" s="27" t="n"/>
      <c r="Q59" s="62" t="n"/>
      <c r="R59" s="62" t="n"/>
      <c r="S59" s="62">
        <f>R59-Q59</f>
        <v/>
      </c>
      <c r="T59" s="64">
        <f>IF(Q59=0,"",R59/Q59)</f>
        <v/>
      </c>
      <c r="U59" s="31" t="n"/>
      <c r="V59" s="60" t="n"/>
      <c r="W59" s="60" t="n"/>
      <c r="X59" s="60">
        <f>W59-V59</f>
        <v/>
      </c>
      <c r="Y59" s="61">
        <f>IF(V59=0,"",W59/V59)</f>
        <v/>
      </c>
      <c r="Z59" s="27" t="n"/>
      <c r="AA59" s="62" t="n"/>
      <c r="AB59" s="62" t="n"/>
      <c r="AC59" s="62">
        <f>AB59-AA59</f>
        <v/>
      </c>
      <c r="AD59" s="64">
        <f>IF(AA59=0,"",AB59/AA59)</f>
        <v/>
      </c>
      <c r="AE59" s="31" t="n"/>
      <c r="AF59" s="60" t="n"/>
      <c r="AG59" s="60" t="n"/>
      <c r="AH59" s="60">
        <f>AG59-AF59</f>
        <v/>
      </c>
      <c r="AI59" s="61">
        <f>IF(AF59=0,"",AG59/AF59)</f>
        <v/>
      </c>
      <c r="AJ59" s="27" t="n"/>
      <c r="AK59" s="62" t="n"/>
      <c r="AL59" s="62" t="n"/>
      <c r="AM59" s="62">
        <f>AL59-AK59</f>
        <v/>
      </c>
      <c r="AN59" s="64">
        <f>IF(AK59=0,"",AL59/AK59)</f>
        <v/>
      </c>
      <c r="AO59" s="31" t="n"/>
      <c r="AP59" s="60" t="n"/>
      <c r="AQ59" s="60" t="n"/>
      <c r="AR59" s="60">
        <f>AQ59-AP59</f>
        <v/>
      </c>
      <c r="AS59" s="61">
        <f>IF(AP59=0,"",AQ59/AP59)</f>
        <v/>
      </c>
      <c r="AT59" s="27" t="n"/>
      <c r="AU59" s="62" t="n"/>
      <c r="AV59" s="62" t="n"/>
      <c r="AW59" s="62">
        <f>AV59-AU59</f>
        <v/>
      </c>
      <c r="AX59" s="64">
        <f>IF(AU59=0,"",AV59/AU59)</f>
        <v/>
      </c>
      <c r="AY59" s="31" t="n"/>
      <c r="AZ59" s="60" t="n"/>
      <c r="BA59" s="60" t="n"/>
      <c r="BB59" s="60">
        <f>BA59-AZ59</f>
        <v/>
      </c>
      <c r="BC59" s="61">
        <f>IF(AZ59=0,"",BA59/AZ59)</f>
        <v/>
      </c>
      <c r="BD59" s="27" t="n"/>
      <c r="BE59" s="62" t="n"/>
      <c r="BF59" s="62" t="n"/>
      <c r="BG59" s="62">
        <f>BF59-BE59</f>
        <v/>
      </c>
      <c r="BH59" s="64">
        <f>IF(BE59=0,"",BF59/BE59)</f>
        <v/>
      </c>
      <c r="BI59" s="31" t="n"/>
      <c r="BJ59" s="60" t="n"/>
      <c r="BK59" s="60" t="n"/>
      <c r="BL59" s="60">
        <f>BK59-BJ59</f>
        <v/>
      </c>
      <c r="BM59" s="61">
        <f>IF(BJ59=0,"",BK59/BJ59)</f>
        <v/>
      </c>
      <c r="BN59" s="27" t="n"/>
      <c r="BO59" s="62" t="n"/>
      <c r="BP59" s="62" t="n"/>
      <c r="BQ59" s="62">
        <f>BP59-BO59</f>
        <v/>
      </c>
      <c r="BR59" s="64">
        <f>IF(BO59=0,"",BP59/BO59)</f>
        <v/>
      </c>
      <c r="BS59" s="31" t="n"/>
      <c r="BT59" s="60" t="n"/>
      <c r="BU59" s="60" t="n"/>
      <c r="BV59" s="60">
        <f>BU59-BT59</f>
        <v/>
      </c>
      <c r="BW59" s="61">
        <f>IF(BT59=0,"",BU59/BT59)</f>
        <v/>
      </c>
      <c r="BX59" s="27" t="n"/>
      <c r="BY59" s="62" t="n"/>
      <c r="BZ59" s="62" t="n"/>
      <c r="CA59" s="62">
        <f>BZ59-BY59</f>
        <v/>
      </c>
      <c r="CB59" s="64">
        <f>IF(BY59=0,"",BZ59/BY59)</f>
        <v/>
      </c>
      <c r="CC59" s="31" t="n"/>
      <c r="CD59" s="60" t="n"/>
      <c r="CE59" s="60" t="n"/>
      <c r="CF59" s="60">
        <f>CE59-CD59</f>
        <v/>
      </c>
      <c r="CG59" s="61">
        <f>IF(CD59=0,"",CE59/CD59)</f>
        <v/>
      </c>
      <c r="CH59" s="27" t="n"/>
      <c r="CI59" s="62" t="n"/>
      <c r="CJ59" s="62" t="n"/>
      <c r="CK59" s="62">
        <f>CJ59-CI59</f>
        <v/>
      </c>
      <c r="CL59" s="64">
        <f>IF(CI59=0,"",CJ59/CI59)</f>
        <v/>
      </c>
      <c r="CM59" s="31" t="n"/>
      <c r="CN59" s="60" t="n"/>
      <c r="CO59" s="60" t="n"/>
      <c r="CP59" s="60">
        <f>CO59-CN59</f>
        <v/>
      </c>
      <c r="CQ59" s="61">
        <f>IF(CN59=0,"",CO59/CN59)</f>
        <v/>
      </c>
      <c r="CR59" s="27" t="n"/>
      <c r="CS59" s="62" t="n"/>
      <c r="CT59" s="62" t="n"/>
      <c r="CU59" s="62">
        <f>CT59-CS59</f>
        <v/>
      </c>
      <c r="CV59" s="64">
        <f>IF(CS59=0,"",CT59/CS59)</f>
        <v/>
      </c>
      <c r="CW59" s="31" t="n"/>
      <c r="CX59" s="60" t="n"/>
      <c r="CY59" s="60" t="n"/>
      <c r="CZ59" s="60">
        <f>CY59-CX59</f>
        <v/>
      </c>
      <c r="DA59" s="61">
        <f>IF(CX59=0,"",CY59/CX59)</f>
        <v/>
      </c>
      <c r="DB59" s="27" t="n"/>
      <c r="DC59" s="62" t="n"/>
      <c r="DD59" s="62" t="n"/>
      <c r="DE59" s="62">
        <f>DD59-DC59</f>
        <v/>
      </c>
      <c r="DF59" s="64">
        <f>IF(DC59=0,"",DD59/DC59)</f>
        <v/>
      </c>
      <c r="DG59" s="31" t="n"/>
      <c r="DH59" s="60" t="n"/>
      <c r="DI59" s="60" t="n"/>
      <c r="DJ59" s="60">
        <f>DI59-DH59</f>
        <v/>
      </c>
      <c r="DK59" s="61">
        <f>IF(DH59=0,"",DI59/DH59)</f>
        <v/>
      </c>
      <c r="DL59" s="27" t="n"/>
      <c r="DM59" s="62" t="n"/>
      <c r="DN59" s="62" t="n"/>
      <c r="DO59" s="62">
        <f>DN59-DM59</f>
        <v/>
      </c>
      <c r="DP59" s="64">
        <f>IF(DM59=0,"",DN59/DM59)</f>
        <v/>
      </c>
      <c r="DQ59" s="31" t="n"/>
      <c r="DR59" s="60" t="n"/>
    </row>
    <row r="60" outlineLevel="1" ht="15" customHeight="1">
      <c r="A60" s="24" t="n"/>
      <c r="B60" s="24" t="n"/>
      <c r="C60" s="36" t="n"/>
      <c r="D60" s="24" t="n"/>
      <c r="E60" s="24" t="n"/>
      <c r="F60" s="24" t="n"/>
      <c r="G60" s="60" t="n"/>
      <c r="H60" s="60" t="n"/>
      <c r="I60" s="60">
        <f>H60-G60</f>
        <v/>
      </c>
      <c r="J60" s="61">
        <f>IF(G60=0,"",H60/G60)</f>
        <v/>
      </c>
      <c r="K60" s="27" t="n"/>
      <c r="L60" s="60" t="n"/>
      <c r="M60" s="60" t="n"/>
      <c r="N60" s="60">
        <f>M60-L60</f>
        <v/>
      </c>
      <c r="O60" s="61">
        <f>IF(L60=0,"",M60/L60)</f>
        <v/>
      </c>
      <c r="P60" s="27" t="n"/>
      <c r="Q60" s="62" t="n"/>
      <c r="R60" s="62" t="n"/>
      <c r="S60" s="62">
        <f>R60-Q60</f>
        <v/>
      </c>
      <c r="T60" s="64">
        <f>IF(Q60=0,"",R60/Q60)</f>
        <v/>
      </c>
      <c r="U60" s="31" t="n"/>
      <c r="V60" s="60" t="n"/>
      <c r="W60" s="60" t="n"/>
      <c r="X60" s="60">
        <f>W60-V60</f>
        <v/>
      </c>
      <c r="Y60" s="61">
        <f>IF(V60=0,"",W60/V60)</f>
        <v/>
      </c>
      <c r="Z60" s="27" t="n"/>
      <c r="AA60" s="62" t="n"/>
      <c r="AB60" s="62" t="n"/>
      <c r="AC60" s="62">
        <f>AB60-AA60</f>
        <v/>
      </c>
      <c r="AD60" s="64">
        <f>IF(AA60=0,"",AB60/AA60)</f>
        <v/>
      </c>
      <c r="AE60" s="31" t="n"/>
      <c r="AF60" s="60" t="n"/>
      <c r="AG60" s="60" t="n"/>
      <c r="AH60" s="60">
        <f>AG60-AF60</f>
        <v/>
      </c>
      <c r="AI60" s="61">
        <f>IF(AF60=0,"",AG60/AF60)</f>
        <v/>
      </c>
      <c r="AJ60" s="27" t="n"/>
      <c r="AK60" s="62" t="n"/>
      <c r="AL60" s="62" t="n"/>
      <c r="AM60" s="62">
        <f>AL60-AK60</f>
        <v/>
      </c>
      <c r="AN60" s="64">
        <f>IF(AK60=0,"",AL60/AK60)</f>
        <v/>
      </c>
      <c r="AO60" s="31" t="n"/>
      <c r="AP60" s="60" t="n"/>
      <c r="AQ60" s="60" t="n"/>
      <c r="AR60" s="60">
        <f>AQ60-AP60</f>
        <v/>
      </c>
      <c r="AS60" s="61">
        <f>IF(AP60=0,"",AQ60/AP60)</f>
        <v/>
      </c>
      <c r="AT60" s="27" t="n"/>
      <c r="AU60" s="62" t="n"/>
      <c r="AV60" s="62" t="n"/>
      <c r="AW60" s="62">
        <f>AV60-AU60</f>
        <v/>
      </c>
      <c r="AX60" s="64">
        <f>IF(AU60=0,"",AV60/AU60)</f>
        <v/>
      </c>
      <c r="AY60" s="31" t="n"/>
      <c r="AZ60" s="60" t="n"/>
      <c r="BA60" s="60" t="n"/>
      <c r="BB60" s="60">
        <f>BA60-AZ60</f>
        <v/>
      </c>
      <c r="BC60" s="61">
        <f>IF(AZ60=0,"",BA60/AZ60)</f>
        <v/>
      </c>
      <c r="BD60" s="27" t="n"/>
      <c r="BE60" s="62" t="n"/>
      <c r="BF60" s="62" t="n"/>
      <c r="BG60" s="62">
        <f>BF60-BE60</f>
        <v/>
      </c>
      <c r="BH60" s="64">
        <f>IF(BE60=0,"",BF60/BE60)</f>
        <v/>
      </c>
      <c r="BI60" s="31" t="n"/>
      <c r="BJ60" s="60" t="n"/>
      <c r="BK60" s="60" t="n"/>
      <c r="BL60" s="60">
        <f>BK60-BJ60</f>
        <v/>
      </c>
      <c r="BM60" s="61">
        <f>IF(BJ60=0,"",BK60/BJ60)</f>
        <v/>
      </c>
      <c r="BN60" s="27" t="n"/>
      <c r="BO60" s="62" t="n"/>
      <c r="BP60" s="62" t="n"/>
      <c r="BQ60" s="62">
        <f>BP60-BO60</f>
        <v/>
      </c>
      <c r="BR60" s="64">
        <f>IF(BO60=0,"",BP60/BO60)</f>
        <v/>
      </c>
      <c r="BS60" s="31" t="n"/>
      <c r="BT60" s="60" t="n"/>
      <c r="BU60" s="60" t="n"/>
      <c r="BV60" s="60">
        <f>BU60-BT60</f>
        <v/>
      </c>
      <c r="BW60" s="61">
        <f>IF(BT60=0,"",BU60/BT60)</f>
        <v/>
      </c>
      <c r="BX60" s="27" t="n"/>
      <c r="BY60" s="62" t="n"/>
      <c r="BZ60" s="62" t="n"/>
      <c r="CA60" s="62">
        <f>BZ60-BY60</f>
        <v/>
      </c>
      <c r="CB60" s="64">
        <f>IF(BY60=0,"",BZ60/BY60)</f>
        <v/>
      </c>
      <c r="CC60" s="31" t="n"/>
      <c r="CD60" s="60" t="n"/>
      <c r="CE60" s="60" t="n"/>
      <c r="CF60" s="60">
        <f>CE60-CD60</f>
        <v/>
      </c>
      <c r="CG60" s="61">
        <f>IF(CD60=0,"",CE60/CD60)</f>
        <v/>
      </c>
      <c r="CH60" s="27" t="n"/>
      <c r="CI60" s="62" t="n"/>
      <c r="CJ60" s="62" t="n"/>
      <c r="CK60" s="62">
        <f>CJ60-CI60</f>
        <v/>
      </c>
      <c r="CL60" s="64">
        <f>IF(CI60=0,"",CJ60/CI60)</f>
        <v/>
      </c>
      <c r="CM60" s="31" t="n"/>
      <c r="CN60" s="60" t="n"/>
      <c r="CO60" s="60" t="n"/>
      <c r="CP60" s="60">
        <f>CO60-CN60</f>
        <v/>
      </c>
      <c r="CQ60" s="61">
        <f>IF(CN60=0,"",CO60/CN60)</f>
        <v/>
      </c>
      <c r="CR60" s="27" t="n"/>
      <c r="CS60" s="62" t="n"/>
      <c r="CT60" s="62" t="n"/>
      <c r="CU60" s="62">
        <f>CT60-CS60</f>
        <v/>
      </c>
      <c r="CV60" s="64">
        <f>IF(CS60=0,"",CT60/CS60)</f>
        <v/>
      </c>
      <c r="CW60" s="31" t="n"/>
      <c r="CX60" s="60" t="n"/>
      <c r="CY60" s="60" t="n"/>
      <c r="CZ60" s="60">
        <f>CY60-CX60</f>
        <v/>
      </c>
      <c r="DA60" s="61">
        <f>IF(CX60=0,"",CY60/CX60)</f>
        <v/>
      </c>
      <c r="DB60" s="27" t="n"/>
      <c r="DC60" s="62" t="n"/>
      <c r="DD60" s="62" t="n"/>
      <c r="DE60" s="62">
        <f>DD60-DC60</f>
        <v/>
      </c>
      <c r="DF60" s="64">
        <f>IF(DC60=0,"",DD60/DC60)</f>
        <v/>
      </c>
      <c r="DG60" s="31" t="n"/>
      <c r="DH60" s="60" t="n"/>
      <c r="DI60" s="60" t="n"/>
      <c r="DJ60" s="60">
        <f>DI60-DH60</f>
        <v/>
      </c>
      <c r="DK60" s="61">
        <f>IF(DH60=0,"",DI60/DH60)</f>
        <v/>
      </c>
      <c r="DL60" s="27" t="n"/>
      <c r="DM60" s="62" t="n"/>
      <c r="DN60" s="62" t="n"/>
      <c r="DO60" s="62">
        <f>DN60-DM60</f>
        <v/>
      </c>
      <c r="DP60" s="64">
        <f>IF(DM60=0,"",DN60/DM60)</f>
        <v/>
      </c>
      <c r="DQ60" s="31" t="n"/>
      <c r="DR60" s="60" t="n"/>
    </row>
    <row r="61" outlineLevel="1" ht="15" customHeight="1">
      <c r="A61" s="67" t="n"/>
      <c r="B61" s="67" t="n"/>
      <c r="C61" s="67" t="n"/>
      <c r="D61" s="24" t="n"/>
      <c r="E61" s="24" t="n"/>
      <c r="F61" s="24" t="n"/>
      <c r="G61" s="60" t="n"/>
      <c r="H61" s="60" t="n"/>
      <c r="I61" s="60">
        <f>H61-G61</f>
        <v/>
      </c>
      <c r="J61" s="61">
        <f>IF(G61=0,"",H61/G61)</f>
        <v/>
      </c>
      <c r="K61" s="27" t="n"/>
      <c r="L61" s="60" t="n"/>
      <c r="M61" s="60" t="n"/>
      <c r="N61" s="60">
        <f>M61-L61</f>
        <v/>
      </c>
      <c r="O61" s="61">
        <f>IF(L61=0,"",M61/L61)</f>
        <v/>
      </c>
      <c r="P61" s="27" t="n"/>
      <c r="Q61" s="62" t="n"/>
      <c r="R61" s="62" t="n"/>
      <c r="S61" s="62">
        <f>R61-Q61</f>
        <v/>
      </c>
      <c r="T61" s="64">
        <f>IF(Q61=0,"",R61/Q61)</f>
        <v/>
      </c>
      <c r="U61" s="31" t="n"/>
      <c r="V61" s="60" t="n"/>
      <c r="W61" s="60" t="n"/>
      <c r="X61" s="60">
        <f>W61-V61</f>
        <v/>
      </c>
      <c r="Y61" s="61">
        <f>IF(V61=0,"",W61/V61)</f>
        <v/>
      </c>
      <c r="Z61" s="27" t="n"/>
      <c r="AA61" s="62" t="n"/>
      <c r="AB61" s="62" t="n"/>
      <c r="AC61" s="62">
        <f>AB61-AA61</f>
        <v/>
      </c>
      <c r="AD61" s="64">
        <f>IF(AA61=0,"",AB61/AA61)</f>
        <v/>
      </c>
      <c r="AE61" s="31" t="n"/>
      <c r="AF61" s="60" t="n"/>
      <c r="AG61" s="60" t="n"/>
      <c r="AH61" s="60">
        <f>AG61-AF61</f>
        <v/>
      </c>
      <c r="AI61" s="61">
        <f>IF(AF61=0,"",AG61/AF61)</f>
        <v/>
      </c>
      <c r="AJ61" s="27" t="n"/>
      <c r="AK61" s="62" t="n"/>
      <c r="AL61" s="62" t="n"/>
      <c r="AM61" s="62">
        <f>AL61-AK61</f>
        <v/>
      </c>
      <c r="AN61" s="64">
        <f>IF(AK61=0,"",AL61/AK61)</f>
        <v/>
      </c>
      <c r="AO61" s="31" t="n"/>
      <c r="AP61" s="60" t="n"/>
      <c r="AQ61" s="60" t="n"/>
      <c r="AR61" s="60">
        <f>AQ61-AP61</f>
        <v/>
      </c>
      <c r="AS61" s="61">
        <f>IF(AP61=0,"",AQ61/AP61)</f>
        <v/>
      </c>
      <c r="AT61" s="27" t="n"/>
      <c r="AU61" s="62" t="n"/>
      <c r="AV61" s="62" t="n"/>
      <c r="AW61" s="62">
        <f>AV61-AU61</f>
        <v/>
      </c>
      <c r="AX61" s="64">
        <f>IF(AU61=0,"",AV61/AU61)</f>
        <v/>
      </c>
      <c r="AY61" s="31" t="n"/>
      <c r="AZ61" s="60" t="n"/>
      <c r="BA61" s="60" t="n"/>
      <c r="BB61" s="60">
        <f>BA61-AZ61</f>
        <v/>
      </c>
      <c r="BC61" s="61">
        <f>IF(AZ61=0,"",BA61/AZ61)</f>
        <v/>
      </c>
      <c r="BD61" s="27" t="n"/>
      <c r="BE61" s="62" t="n"/>
      <c r="BF61" s="62" t="n"/>
      <c r="BG61" s="62">
        <f>BF61-BE61</f>
        <v/>
      </c>
      <c r="BH61" s="64">
        <f>IF(BE61=0,"",BF61/BE61)</f>
        <v/>
      </c>
      <c r="BI61" s="31" t="n"/>
      <c r="BJ61" s="60" t="n"/>
      <c r="BK61" s="60" t="n"/>
      <c r="BL61" s="60">
        <f>BK61-BJ61</f>
        <v/>
      </c>
      <c r="BM61" s="61">
        <f>IF(BJ61=0,"",BK61/BJ61)</f>
        <v/>
      </c>
      <c r="BN61" s="27" t="n"/>
      <c r="BO61" s="62" t="n"/>
      <c r="BP61" s="62" t="n"/>
      <c r="BQ61" s="62">
        <f>BP61-BO61</f>
        <v/>
      </c>
      <c r="BR61" s="64">
        <f>IF(BO61=0,"",BP61/BO61)</f>
        <v/>
      </c>
      <c r="BS61" s="31" t="n"/>
      <c r="BT61" s="60" t="n"/>
      <c r="BU61" s="60" t="n"/>
      <c r="BV61" s="60">
        <f>BU61-BT61</f>
        <v/>
      </c>
      <c r="BW61" s="61">
        <f>IF(BT61=0,"",BU61/BT61)</f>
        <v/>
      </c>
      <c r="BX61" s="27" t="n"/>
      <c r="BY61" s="62" t="n"/>
      <c r="BZ61" s="62" t="n"/>
      <c r="CA61" s="62">
        <f>BZ61-BY61</f>
        <v/>
      </c>
      <c r="CB61" s="64">
        <f>IF(BY61=0,"",BZ61/BY61)</f>
        <v/>
      </c>
      <c r="CC61" s="31" t="n"/>
      <c r="CD61" s="60" t="n"/>
      <c r="CE61" s="60" t="n"/>
      <c r="CF61" s="60">
        <f>CE61-CD61</f>
        <v/>
      </c>
      <c r="CG61" s="61">
        <f>IF(CD61=0,"",CE61/CD61)</f>
        <v/>
      </c>
      <c r="CH61" s="27" t="n"/>
      <c r="CI61" s="62" t="n"/>
      <c r="CJ61" s="62" t="n"/>
      <c r="CK61" s="62">
        <f>CJ61-CI61</f>
        <v/>
      </c>
      <c r="CL61" s="64">
        <f>IF(CI61=0,"",CJ61/CI61)</f>
        <v/>
      </c>
      <c r="CM61" s="31" t="n"/>
      <c r="CN61" s="60" t="n"/>
      <c r="CO61" s="60" t="n"/>
      <c r="CP61" s="60">
        <f>CO61-CN61</f>
        <v/>
      </c>
      <c r="CQ61" s="61">
        <f>IF(CN61=0,"",CO61/CN61)</f>
        <v/>
      </c>
      <c r="CR61" s="27" t="n"/>
      <c r="CS61" s="62" t="n"/>
      <c r="CT61" s="62" t="n"/>
      <c r="CU61" s="62">
        <f>CT61-CS61</f>
        <v/>
      </c>
      <c r="CV61" s="64">
        <f>IF(CS61=0,"",CT61/CS61)</f>
        <v/>
      </c>
      <c r="CW61" s="31" t="n"/>
      <c r="CX61" s="60" t="n"/>
      <c r="CY61" s="60" t="n"/>
      <c r="CZ61" s="60">
        <f>CY61-CX61</f>
        <v/>
      </c>
      <c r="DA61" s="61">
        <f>IF(CX61=0,"",CY61/CX61)</f>
        <v/>
      </c>
      <c r="DB61" s="27" t="n"/>
      <c r="DC61" s="62" t="n"/>
      <c r="DD61" s="62" t="n"/>
      <c r="DE61" s="62">
        <f>DD61-DC61</f>
        <v/>
      </c>
      <c r="DF61" s="64">
        <f>IF(DC61=0,"",DD61/DC61)</f>
        <v/>
      </c>
      <c r="DG61" s="31" t="n"/>
      <c r="DH61" s="60" t="n"/>
      <c r="DI61" s="60" t="n"/>
      <c r="DJ61" s="60">
        <f>DI61-DH61</f>
        <v/>
      </c>
      <c r="DK61" s="61">
        <f>IF(DH61=0,"",DI61/DH61)</f>
        <v/>
      </c>
      <c r="DL61" s="27" t="n"/>
      <c r="DM61" s="62" t="n"/>
      <c r="DN61" s="62" t="n"/>
      <c r="DO61" s="62">
        <f>DN61-DM61</f>
        <v/>
      </c>
      <c r="DP61" s="64">
        <f>IF(DM61=0,"",DN61/DM61)</f>
        <v/>
      </c>
      <c r="DQ61" s="31" t="n"/>
      <c r="DR61" s="60" t="n"/>
    </row>
    <row r="62" outlineLevel="1" ht="15" customHeight="1">
      <c r="A62" s="67" t="n"/>
      <c r="B62" s="67" t="n"/>
      <c r="C62" s="67" t="n"/>
      <c r="D62" s="24" t="n"/>
      <c r="E62" s="24" t="n"/>
      <c r="F62" s="24" t="n"/>
      <c r="G62" s="60" t="n"/>
      <c r="H62" s="60" t="n"/>
      <c r="I62" s="60">
        <f>H62-G62</f>
        <v/>
      </c>
      <c r="J62" s="61">
        <f>IF(G62=0,"",H62/G62)</f>
        <v/>
      </c>
      <c r="K62" s="27" t="n"/>
      <c r="L62" s="60" t="n"/>
      <c r="M62" s="60" t="n"/>
      <c r="N62" s="60">
        <f>M62-L62</f>
        <v/>
      </c>
      <c r="O62" s="61">
        <f>IF(L62=0,"",M62/L62)</f>
        <v/>
      </c>
      <c r="P62" s="27" t="n"/>
      <c r="Q62" s="62" t="n"/>
      <c r="R62" s="62" t="n"/>
      <c r="S62" s="62">
        <f>R62-Q62</f>
        <v/>
      </c>
      <c r="T62" s="64">
        <f>IF(Q62=0,"",R62/Q62)</f>
        <v/>
      </c>
      <c r="U62" s="31" t="n"/>
      <c r="V62" s="60" t="n"/>
      <c r="W62" s="60" t="n"/>
      <c r="X62" s="60">
        <f>W62-V62</f>
        <v/>
      </c>
      <c r="Y62" s="61">
        <f>IF(V62=0,"",W62/V62)</f>
        <v/>
      </c>
      <c r="Z62" s="27" t="n"/>
      <c r="AA62" s="62" t="n"/>
      <c r="AB62" s="62" t="n"/>
      <c r="AC62" s="62">
        <f>AB62-AA62</f>
        <v/>
      </c>
      <c r="AD62" s="64">
        <f>IF(AA62=0,"",AB62/AA62)</f>
        <v/>
      </c>
      <c r="AE62" s="31" t="n"/>
      <c r="AF62" s="60" t="n"/>
      <c r="AG62" s="60" t="n"/>
      <c r="AH62" s="60">
        <f>AG62-AF62</f>
        <v/>
      </c>
      <c r="AI62" s="61">
        <f>IF(AF62=0,"",AG62/AF62)</f>
        <v/>
      </c>
      <c r="AJ62" s="27" t="n"/>
      <c r="AK62" s="62" t="n"/>
      <c r="AL62" s="62" t="n"/>
      <c r="AM62" s="62">
        <f>AL62-AK62</f>
        <v/>
      </c>
      <c r="AN62" s="64">
        <f>IF(AK62=0,"",AL62/AK62)</f>
        <v/>
      </c>
      <c r="AO62" s="31" t="n"/>
      <c r="AP62" s="60" t="n"/>
      <c r="AQ62" s="60" t="n"/>
      <c r="AR62" s="60">
        <f>AQ62-AP62</f>
        <v/>
      </c>
      <c r="AS62" s="61">
        <f>IF(AP62=0,"",AQ62/AP62)</f>
        <v/>
      </c>
      <c r="AT62" s="27" t="n"/>
      <c r="AU62" s="62" t="n"/>
      <c r="AV62" s="62" t="n"/>
      <c r="AW62" s="62">
        <f>AV62-AU62</f>
        <v/>
      </c>
      <c r="AX62" s="64">
        <f>IF(AU62=0,"",AV62/AU62)</f>
        <v/>
      </c>
      <c r="AY62" s="31" t="n"/>
      <c r="AZ62" s="60" t="n"/>
      <c r="BA62" s="60" t="n"/>
      <c r="BB62" s="60">
        <f>BA62-AZ62</f>
        <v/>
      </c>
      <c r="BC62" s="61">
        <f>IF(AZ62=0,"",BA62/AZ62)</f>
        <v/>
      </c>
      <c r="BD62" s="27" t="n"/>
      <c r="BE62" s="62" t="n"/>
      <c r="BF62" s="62" t="n"/>
      <c r="BG62" s="62">
        <f>BF62-BE62</f>
        <v/>
      </c>
      <c r="BH62" s="64">
        <f>IF(BE62=0,"",BF62/BE62)</f>
        <v/>
      </c>
      <c r="BI62" s="31" t="n"/>
      <c r="BJ62" s="60" t="n"/>
      <c r="BK62" s="60" t="n"/>
      <c r="BL62" s="60">
        <f>BK62-BJ62</f>
        <v/>
      </c>
      <c r="BM62" s="61">
        <f>IF(BJ62=0,"",BK62/BJ62)</f>
        <v/>
      </c>
      <c r="BN62" s="27" t="n"/>
      <c r="BO62" s="62" t="n"/>
      <c r="BP62" s="62" t="n"/>
      <c r="BQ62" s="62">
        <f>BP62-BO62</f>
        <v/>
      </c>
      <c r="BR62" s="64">
        <f>IF(BO62=0,"",BP62/BO62)</f>
        <v/>
      </c>
      <c r="BS62" s="31" t="n"/>
      <c r="BT62" s="60" t="n"/>
      <c r="BU62" s="60" t="n"/>
      <c r="BV62" s="60">
        <f>BU62-BT62</f>
        <v/>
      </c>
      <c r="BW62" s="61">
        <f>IF(BT62=0,"",BU62/BT62)</f>
        <v/>
      </c>
      <c r="BX62" s="27" t="n"/>
      <c r="BY62" s="62" t="n"/>
      <c r="BZ62" s="62" t="n"/>
      <c r="CA62" s="62">
        <f>BZ62-BY62</f>
        <v/>
      </c>
      <c r="CB62" s="64">
        <f>IF(BY62=0,"",BZ62/BY62)</f>
        <v/>
      </c>
      <c r="CC62" s="31" t="n"/>
      <c r="CD62" s="60" t="n"/>
      <c r="CE62" s="60" t="n"/>
      <c r="CF62" s="60">
        <f>CE62-CD62</f>
        <v/>
      </c>
      <c r="CG62" s="61">
        <f>IF(CD62=0,"",CE62/CD62)</f>
        <v/>
      </c>
      <c r="CH62" s="27" t="n"/>
      <c r="CI62" s="62" t="n"/>
      <c r="CJ62" s="62" t="n"/>
      <c r="CK62" s="62">
        <f>CJ62-CI62</f>
        <v/>
      </c>
      <c r="CL62" s="64">
        <f>IF(CI62=0,"",CJ62/CI62)</f>
        <v/>
      </c>
      <c r="CM62" s="31" t="n"/>
      <c r="CN62" s="60" t="n"/>
      <c r="CO62" s="60" t="n"/>
      <c r="CP62" s="60">
        <f>CO62-CN62</f>
        <v/>
      </c>
      <c r="CQ62" s="61">
        <f>IF(CN62=0,"",CO62/CN62)</f>
        <v/>
      </c>
      <c r="CR62" s="27" t="n"/>
      <c r="CS62" s="62" t="n"/>
      <c r="CT62" s="62" t="n"/>
      <c r="CU62" s="62">
        <f>CT62-CS62</f>
        <v/>
      </c>
      <c r="CV62" s="64">
        <f>IF(CS62=0,"",CT62/CS62)</f>
        <v/>
      </c>
      <c r="CW62" s="31" t="n"/>
      <c r="CX62" s="60" t="n"/>
      <c r="CY62" s="60" t="n"/>
      <c r="CZ62" s="60">
        <f>CY62-CX62</f>
        <v/>
      </c>
      <c r="DA62" s="61">
        <f>IF(CX62=0,"",CY62/CX62)</f>
        <v/>
      </c>
      <c r="DB62" s="27" t="n"/>
      <c r="DC62" s="62" t="n"/>
      <c r="DD62" s="62" t="n"/>
      <c r="DE62" s="62">
        <f>DD62-DC62</f>
        <v/>
      </c>
      <c r="DF62" s="64">
        <f>IF(DC62=0,"",DD62/DC62)</f>
        <v/>
      </c>
      <c r="DG62" s="31" t="n"/>
      <c r="DH62" s="60" t="n"/>
      <c r="DI62" s="60" t="n"/>
      <c r="DJ62" s="60">
        <f>DI62-DH62</f>
        <v/>
      </c>
      <c r="DK62" s="61">
        <f>IF(DH62=0,"",DI62/DH62)</f>
        <v/>
      </c>
      <c r="DL62" s="27" t="n"/>
      <c r="DM62" s="62" t="n"/>
      <c r="DN62" s="62" t="n"/>
      <c r="DO62" s="62">
        <f>DN62-DM62</f>
        <v/>
      </c>
      <c r="DP62" s="64">
        <f>IF(DM62=0,"",DN62/DM62)</f>
        <v/>
      </c>
      <c r="DQ62" s="31" t="n"/>
      <c r="DR62" s="60" t="n"/>
    </row>
    <row r="63" outlineLevel="1" ht="15" customHeight="1">
      <c r="A63" s="55" t="n"/>
      <c r="B63" s="55" t="n"/>
      <c r="C63" s="55" t="n"/>
      <c r="D63" s="24" t="n"/>
      <c r="E63" s="24" t="n"/>
      <c r="F63" s="24" t="n"/>
      <c r="G63" s="60" t="n"/>
      <c r="H63" s="60" t="n"/>
      <c r="I63" s="60">
        <f>H63-G63</f>
        <v/>
      </c>
      <c r="J63" s="61">
        <f>IF(G63=0,"",H63/G63)</f>
        <v/>
      </c>
      <c r="K63" s="27" t="n"/>
      <c r="L63" s="60" t="n"/>
      <c r="M63" s="60" t="n"/>
      <c r="N63" s="60">
        <f>M63-L63</f>
        <v/>
      </c>
      <c r="O63" s="61">
        <f>IF(L63=0,"",M63/L63)</f>
        <v/>
      </c>
      <c r="P63" s="27" t="n"/>
      <c r="Q63" s="62" t="n"/>
      <c r="R63" s="62" t="n"/>
      <c r="S63" s="62">
        <f>R63-Q63</f>
        <v/>
      </c>
      <c r="T63" s="64">
        <f>IF(Q63=0,"",R63/Q63)</f>
        <v/>
      </c>
      <c r="U63" s="31" t="n"/>
      <c r="V63" s="60" t="n"/>
      <c r="W63" s="60" t="n"/>
      <c r="X63" s="60">
        <f>W63-V63</f>
        <v/>
      </c>
      <c r="Y63" s="61">
        <f>IF(V63=0,"",W63/V63)</f>
        <v/>
      </c>
      <c r="Z63" s="27" t="n"/>
      <c r="AA63" s="62" t="n"/>
      <c r="AB63" s="62" t="n"/>
      <c r="AC63" s="62">
        <f>AB63-AA63</f>
        <v/>
      </c>
      <c r="AD63" s="64">
        <f>IF(AA63=0,"",AB63/AA63)</f>
        <v/>
      </c>
      <c r="AE63" s="31" t="n"/>
      <c r="AF63" s="60" t="n"/>
      <c r="AG63" s="60" t="n"/>
      <c r="AH63" s="60">
        <f>AG63-AF63</f>
        <v/>
      </c>
      <c r="AI63" s="61">
        <f>IF(AF63=0,"",AG63/AF63)</f>
        <v/>
      </c>
      <c r="AJ63" s="27" t="n"/>
      <c r="AK63" s="62" t="n"/>
      <c r="AL63" s="62" t="n"/>
      <c r="AM63" s="62">
        <f>AL63-AK63</f>
        <v/>
      </c>
      <c r="AN63" s="64">
        <f>IF(AK63=0,"",AL63/AK63)</f>
        <v/>
      </c>
      <c r="AO63" s="31" t="n"/>
      <c r="AP63" s="60" t="n"/>
      <c r="AQ63" s="60" t="n"/>
      <c r="AR63" s="60">
        <f>AQ63-AP63</f>
        <v/>
      </c>
      <c r="AS63" s="61">
        <f>IF(AP63=0,"",AQ63/AP63)</f>
        <v/>
      </c>
      <c r="AT63" s="27" t="n"/>
      <c r="AU63" s="62" t="n"/>
      <c r="AV63" s="62" t="n"/>
      <c r="AW63" s="62">
        <f>AV63-AU63</f>
        <v/>
      </c>
      <c r="AX63" s="64">
        <f>IF(AU63=0,"",AV63/AU63)</f>
        <v/>
      </c>
      <c r="AY63" s="31" t="n"/>
      <c r="AZ63" s="60" t="n"/>
      <c r="BA63" s="60" t="n"/>
      <c r="BB63" s="60">
        <f>BA63-AZ63</f>
        <v/>
      </c>
      <c r="BC63" s="61">
        <f>IF(AZ63=0,"",BA63/AZ63)</f>
        <v/>
      </c>
      <c r="BD63" s="27" t="n"/>
      <c r="BE63" s="62" t="n"/>
      <c r="BF63" s="62" t="n"/>
      <c r="BG63" s="62">
        <f>BF63-BE63</f>
        <v/>
      </c>
      <c r="BH63" s="64">
        <f>IF(BE63=0,"",BF63/BE63)</f>
        <v/>
      </c>
      <c r="BI63" s="31" t="n"/>
      <c r="BJ63" s="60" t="n"/>
      <c r="BK63" s="60" t="n"/>
      <c r="BL63" s="60">
        <f>BK63-BJ63</f>
        <v/>
      </c>
      <c r="BM63" s="61">
        <f>IF(BJ63=0,"",BK63/BJ63)</f>
        <v/>
      </c>
      <c r="BN63" s="27" t="n"/>
      <c r="BO63" s="62" t="n"/>
      <c r="BP63" s="62" t="n"/>
      <c r="BQ63" s="62">
        <f>BP63-BO63</f>
        <v/>
      </c>
      <c r="BR63" s="64">
        <f>IF(BO63=0,"",BP63/BO63)</f>
        <v/>
      </c>
      <c r="BS63" s="31" t="n"/>
      <c r="BT63" s="60" t="n"/>
      <c r="BU63" s="60" t="n"/>
      <c r="BV63" s="60">
        <f>BU63-BT63</f>
        <v/>
      </c>
      <c r="BW63" s="61">
        <f>IF(BT63=0,"",BU63/BT63)</f>
        <v/>
      </c>
      <c r="BX63" s="27" t="n"/>
      <c r="BY63" s="62" t="n"/>
      <c r="BZ63" s="62" t="n"/>
      <c r="CA63" s="62">
        <f>BZ63-BY63</f>
        <v/>
      </c>
      <c r="CB63" s="64">
        <f>IF(BY63=0,"",BZ63/BY63)</f>
        <v/>
      </c>
      <c r="CC63" s="31" t="n"/>
      <c r="CD63" s="60" t="n"/>
      <c r="CE63" s="60" t="n"/>
      <c r="CF63" s="60">
        <f>CE63-CD63</f>
        <v/>
      </c>
      <c r="CG63" s="61">
        <f>IF(CD63=0,"",CE63/CD63)</f>
        <v/>
      </c>
      <c r="CH63" s="27" t="n"/>
      <c r="CI63" s="62" t="n"/>
      <c r="CJ63" s="62" t="n"/>
      <c r="CK63" s="62">
        <f>CJ63-CI63</f>
        <v/>
      </c>
      <c r="CL63" s="64">
        <f>IF(CI63=0,"",CJ63/CI63)</f>
        <v/>
      </c>
      <c r="CM63" s="31" t="n"/>
      <c r="CN63" s="60" t="n"/>
      <c r="CO63" s="60" t="n"/>
      <c r="CP63" s="60">
        <f>CO63-CN63</f>
        <v/>
      </c>
      <c r="CQ63" s="61">
        <f>IF(CN63=0,"",CO63/CN63)</f>
        <v/>
      </c>
      <c r="CR63" s="27" t="n"/>
      <c r="CS63" s="62" t="n"/>
      <c r="CT63" s="62" t="n"/>
      <c r="CU63" s="62">
        <f>CT63-CS63</f>
        <v/>
      </c>
      <c r="CV63" s="64">
        <f>IF(CS63=0,"",CT63/CS63)</f>
        <v/>
      </c>
      <c r="CW63" s="31" t="n"/>
      <c r="CX63" s="60" t="n"/>
      <c r="CY63" s="60" t="n"/>
      <c r="CZ63" s="60">
        <f>CY63-CX63</f>
        <v/>
      </c>
      <c r="DA63" s="61">
        <f>IF(CX63=0,"",CY63/CX63)</f>
        <v/>
      </c>
      <c r="DB63" s="27" t="n"/>
      <c r="DC63" s="62" t="n"/>
      <c r="DD63" s="62" t="n"/>
      <c r="DE63" s="62">
        <f>DD63-DC63</f>
        <v/>
      </c>
      <c r="DF63" s="64">
        <f>IF(DC63=0,"",DD63/DC63)</f>
        <v/>
      </c>
      <c r="DG63" s="31" t="n"/>
      <c r="DH63" s="60" t="n"/>
      <c r="DI63" s="60" t="n"/>
      <c r="DJ63" s="60">
        <f>DI63-DH63</f>
        <v/>
      </c>
      <c r="DK63" s="61">
        <f>IF(DH63=0,"",DI63/DH63)</f>
        <v/>
      </c>
      <c r="DL63" s="27" t="n"/>
      <c r="DM63" s="62" t="n"/>
      <c r="DN63" s="62" t="n"/>
      <c r="DO63" s="62">
        <f>DN63-DM63</f>
        <v/>
      </c>
      <c r="DP63" s="64">
        <f>IF(DM63=0,"",DN63/DM63)</f>
        <v/>
      </c>
      <c r="DQ63" s="31" t="n"/>
      <c r="DR63" s="60" t="n"/>
    </row>
    <row r="64" outlineLevel="1" ht="15" customHeight="1">
      <c r="A64" s="24" t="n"/>
      <c r="B64" s="24" t="n"/>
      <c r="C64" s="36" t="n"/>
      <c r="D64" s="24" t="n"/>
      <c r="E64" s="24" t="n"/>
      <c r="F64" s="24" t="n"/>
      <c r="G64" s="60" t="n"/>
      <c r="H64" s="60" t="n"/>
      <c r="I64" s="60">
        <f>H64-G64</f>
        <v/>
      </c>
      <c r="J64" s="61">
        <f>IF(G64=0,"",H64/G64)</f>
        <v/>
      </c>
      <c r="K64" s="27" t="n"/>
      <c r="L64" s="60" t="n"/>
      <c r="M64" s="60" t="n"/>
      <c r="N64" s="60">
        <f>M64-L64</f>
        <v/>
      </c>
      <c r="O64" s="61">
        <f>IF(L64=0,"",M64/L64)</f>
        <v/>
      </c>
      <c r="P64" s="27" t="n"/>
      <c r="Q64" s="62" t="n"/>
      <c r="R64" s="62" t="n"/>
      <c r="S64" s="62">
        <f>R64-Q64</f>
        <v/>
      </c>
      <c r="T64" s="64">
        <f>IF(Q64=0,"",R64/Q64)</f>
        <v/>
      </c>
      <c r="U64" s="31" t="n"/>
      <c r="V64" s="60" t="n"/>
      <c r="W64" s="60" t="n"/>
      <c r="X64" s="60">
        <f>W64-V64</f>
        <v/>
      </c>
      <c r="Y64" s="61">
        <f>IF(V64=0,"",W64/V64)</f>
        <v/>
      </c>
      <c r="Z64" s="27" t="n"/>
      <c r="AA64" s="62" t="n"/>
      <c r="AB64" s="62" t="n"/>
      <c r="AC64" s="62">
        <f>AB64-AA64</f>
        <v/>
      </c>
      <c r="AD64" s="64">
        <f>IF(AA64=0,"",AB64/AA64)</f>
        <v/>
      </c>
      <c r="AE64" s="31" t="n"/>
      <c r="AF64" s="60" t="n"/>
      <c r="AG64" s="60" t="n"/>
      <c r="AH64" s="60">
        <f>AG64-AF64</f>
        <v/>
      </c>
      <c r="AI64" s="61">
        <f>IF(AF64=0,"",AG64/AF64)</f>
        <v/>
      </c>
      <c r="AJ64" s="27" t="n"/>
      <c r="AK64" s="62" t="n"/>
      <c r="AL64" s="62" t="n"/>
      <c r="AM64" s="62">
        <f>AL64-AK64</f>
        <v/>
      </c>
      <c r="AN64" s="64">
        <f>IF(AK64=0,"",AL64/AK64)</f>
        <v/>
      </c>
      <c r="AO64" s="31" t="n"/>
      <c r="AP64" s="60" t="n"/>
      <c r="AQ64" s="60" t="n"/>
      <c r="AR64" s="60">
        <f>AQ64-AP64</f>
        <v/>
      </c>
      <c r="AS64" s="61">
        <f>IF(AP64=0,"",AQ64/AP64)</f>
        <v/>
      </c>
      <c r="AT64" s="27" t="n"/>
      <c r="AU64" s="62" t="n"/>
      <c r="AV64" s="62" t="n"/>
      <c r="AW64" s="62">
        <f>AV64-AU64</f>
        <v/>
      </c>
      <c r="AX64" s="64">
        <f>IF(AU64=0,"",AV64/AU64)</f>
        <v/>
      </c>
      <c r="AY64" s="31" t="n"/>
      <c r="AZ64" s="60" t="n"/>
      <c r="BA64" s="60" t="n"/>
      <c r="BB64" s="60">
        <f>BA64-AZ64</f>
        <v/>
      </c>
      <c r="BC64" s="61">
        <f>IF(AZ64=0,"",BA64/AZ64)</f>
        <v/>
      </c>
      <c r="BD64" s="27" t="n"/>
      <c r="BE64" s="62" t="n"/>
      <c r="BF64" s="62" t="n"/>
      <c r="BG64" s="62">
        <f>BF64-BE64</f>
        <v/>
      </c>
      <c r="BH64" s="64">
        <f>IF(BE64=0,"",BF64/BE64)</f>
        <v/>
      </c>
      <c r="BI64" s="31" t="n"/>
      <c r="BJ64" s="60" t="n"/>
      <c r="BK64" s="60" t="n"/>
      <c r="BL64" s="60">
        <f>BK64-BJ64</f>
        <v/>
      </c>
      <c r="BM64" s="61">
        <f>IF(BJ64=0,"",BK64/BJ64)</f>
        <v/>
      </c>
      <c r="BN64" s="27" t="n"/>
      <c r="BO64" s="62" t="n"/>
      <c r="BP64" s="62" t="n"/>
      <c r="BQ64" s="62">
        <f>BP64-BO64</f>
        <v/>
      </c>
      <c r="BR64" s="64">
        <f>IF(BO64=0,"",BP64/BO64)</f>
        <v/>
      </c>
      <c r="BS64" s="31" t="n"/>
      <c r="BT64" s="60" t="n"/>
      <c r="BU64" s="60" t="n"/>
      <c r="BV64" s="60">
        <f>BU64-BT64</f>
        <v/>
      </c>
      <c r="BW64" s="61">
        <f>IF(BT64=0,"",BU64/BT64)</f>
        <v/>
      </c>
      <c r="BX64" s="27" t="n"/>
      <c r="BY64" s="62" t="n"/>
      <c r="BZ64" s="62" t="n"/>
      <c r="CA64" s="62">
        <f>BZ64-BY64</f>
        <v/>
      </c>
      <c r="CB64" s="64">
        <f>IF(BY64=0,"",BZ64/BY64)</f>
        <v/>
      </c>
      <c r="CC64" s="31" t="n"/>
      <c r="CD64" s="60" t="n"/>
      <c r="CE64" s="60" t="n"/>
      <c r="CF64" s="60">
        <f>CE64-CD64</f>
        <v/>
      </c>
      <c r="CG64" s="61">
        <f>IF(CD64=0,"",CE64/CD64)</f>
        <v/>
      </c>
      <c r="CH64" s="27" t="n"/>
      <c r="CI64" s="62" t="n"/>
      <c r="CJ64" s="62" t="n"/>
      <c r="CK64" s="62">
        <f>CJ64-CI64</f>
        <v/>
      </c>
      <c r="CL64" s="64">
        <f>IF(CI64=0,"",CJ64/CI64)</f>
        <v/>
      </c>
      <c r="CM64" s="31" t="n"/>
      <c r="CN64" s="60" t="n"/>
      <c r="CO64" s="60" t="n"/>
      <c r="CP64" s="60">
        <f>CO64-CN64</f>
        <v/>
      </c>
      <c r="CQ64" s="61">
        <f>IF(CN64=0,"",CO64/CN64)</f>
        <v/>
      </c>
      <c r="CR64" s="27" t="n"/>
      <c r="CS64" s="62" t="n"/>
      <c r="CT64" s="62" t="n"/>
      <c r="CU64" s="62">
        <f>CT64-CS64</f>
        <v/>
      </c>
      <c r="CV64" s="64">
        <f>IF(CS64=0,"",CT64/CS64)</f>
        <v/>
      </c>
      <c r="CW64" s="31" t="n"/>
      <c r="CX64" s="60" t="n"/>
      <c r="CY64" s="60" t="n"/>
      <c r="CZ64" s="60">
        <f>CY64-CX64</f>
        <v/>
      </c>
      <c r="DA64" s="61">
        <f>IF(CX64=0,"",CY64/CX64)</f>
        <v/>
      </c>
      <c r="DB64" s="27" t="n"/>
      <c r="DC64" s="62" t="n"/>
      <c r="DD64" s="62" t="n"/>
      <c r="DE64" s="62">
        <f>DD64-DC64</f>
        <v/>
      </c>
      <c r="DF64" s="64">
        <f>IF(DC64=0,"",DD64/DC64)</f>
        <v/>
      </c>
      <c r="DG64" s="31" t="n"/>
      <c r="DH64" s="60" t="n"/>
      <c r="DI64" s="60" t="n"/>
      <c r="DJ64" s="60">
        <f>DI64-DH64</f>
        <v/>
      </c>
      <c r="DK64" s="61">
        <f>IF(DH64=0,"",DI64/DH64)</f>
        <v/>
      </c>
      <c r="DL64" s="27" t="n"/>
      <c r="DM64" s="62" t="n"/>
      <c r="DN64" s="62" t="n"/>
      <c r="DO64" s="62">
        <f>DN64-DM64</f>
        <v/>
      </c>
      <c r="DP64" s="64">
        <f>IF(DM64=0,"",DN64/DM64)</f>
        <v/>
      </c>
      <c r="DQ64" s="31" t="n"/>
      <c r="DR64" s="60" t="n"/>
    </row>
    <row r="65" outlineLevel="1" ht="15" customHeight="1">
      <c r="A65" s="55" t="n"/>
      <c r="B65" s="55" t="n"/>
      <c r="C65" s="55" t="n"/>
      <c r="D65" s="24" t="n"/>
      <c r="E65" s="24" t="n"/>
      <c r="F65" s="24" t="n"/>
      <c r="G65" s="60" t="n"/>
      <c r="H65" s="60" t="n"/>
      <c r="I65" s="60">
        <f>H65-G65</f>
        <v/>
      </c>
      <c r="J65" s="61">
        <f>IF(G65=0,"",H65/G65)</f>
        <v/>
      </c>
      <c r="K65" s="27" t="n"/>
      <c r="L65" s="60" t="n"/>
      <c r="M65" s="60" t="n"/>
      <c r="N65" s="60">
        <f>M65-L65</f>
        <v/>
      </c>
      <c r="O65" s="61">
        <f>IF(L65=0,"",M65/L65)</f>
        <v/>
      </c>
      <c r="P65" s="27" t="n"/>
      <c r="Q65" s="62" t="n"/>
      <c r="R65" s="62" t="n"/>
      <c r="S65" s="63">
        <f>R65-Q65</f>
        <v/>
      </c>
      <c r="T65" s="64">
        <f>IF(Q65=0,"",R65/Q65)</f>
        <v/>
      </c>
      <c r="U65" s="31" t="n"/>
      <c r="V65" s="60" t="n"/>
      <c r="W65" s="60" t="n"/>
      <c r="X65" s="60">
        <f>W65-V65</f>
        <v/>
      </c>
      <c r="Y65" s="61">
        <f>IF(V65=0,"",W65/V65)</f>
        <v/>
      </c>
      <c r="Z65" s="27" t="n"/>
      <c r="AA65" s="62" t="n"/>
      <c r="AB65" s="62" t="n"/>
      <c r="AC65" s="63">
        <f>AB65-AA65</f>
        <v/>
      </c>
      <c r="AD65" s="64">
        <f>IF(AA65=0,"",AB65/AA65)</f>
        <v/>
      </c>
      <c r="AE65" s="31" t="n"/>
      <c r="AF65" s="60" t="n"/>
      <c r="AG65" s="60" t="n"/>
      <c r="AH65" s="60">
        <f>AG65-AF65</f>
        <v/>
      </c>
      <c r="AI65" s="61">
        <f>IF(AF65=0,"",AG65/AF65)</f>
        <v/>
      </c>
      <c r="AJ65" s="27" t="n"/>
      <c r="AK65" s="62" t="n"/>
      <c r="AL65" s="62" t="n"/>
      <c r="AM65" s="62">
        <f>AL65-AK65</f>
        <v/>
      </c>
      <c r="AN65" s="64">
        <f>IF(AK65=0,"",AL65/AK65)</f>
        <v/>
      </c>
      <c r="AO65" s="31" t="n"/>
      <c r="AP65" s="60" t="n"/>
      <c r="AQ65" s="60" t="n"/>
      <c r="AR65" s="60">
        <f>AQ65-AP65</f>
        <v/>
      </c>
      <c r="AS65" s="61">
        <f>IF(AP65=0,"",AQ65/AP65)</f>
        <v/>
      </c>
      <c r="AT65" s="27" t="n"/>
      <c r="AU65" s="62" t="n"/>
      <c r="AV65" s="62" t="n"/>
      <c r="AW65" s="62">
        <f>AV65-AU65</f>
        <v/>
      </c>
      <c r="AX65" s="64">
        <f>IF(AU65=0,"",AV65/AU65)</f>
        <v/>
      </c>
      <c r="AY65" s="31" t="n"/>
      <c r="AZ65" s="60" t="n"/>
      <c r="BA65" s="60" t="n"/>
      <c r="BB65" s="60">
        <f>BA65-AZ65</f>
        <v/>
      </c>
      <c r="BC65" s="61">
        <f>IF(AZ65=0,"",BA65/AZ65)</f>
        <v/>
      </c>
      <c r="BD65" s="27" t="n"/>
      <c r="BE65" s="62" t="n"/>
      <c r="BF65" s="62" t="n"/>
      <c r="BG65" s="62">
        <f>BF65-BE65</f>
        <v/>
      </c>
      <c r="BH65" s="64">
        <f>IF(BE65=0,"",BF65/BE65)</f>
        <v/>
      </c>
      <c r="BI65" s="31" t="n"/>
      <c r="BJ65" s="60" t="n"/>
      <c r="BK65" s="60" t="n"/>
      <c r="BL65" s="60">
        <f>BK65-BJ65</f>
        <v/>
      </c>
      <c r="BM65" s="61">
        <f>IF(BJ65=0,"",BK65/BJ65)</f>
        <v/>
      </c>
      <c r="BN65" s="27" t="n"/>
      <c r="BO65" s="62" t="n"/>
      <c r="BP65" s="62" t="n"/>
      <c r="BQ65" s="62">
        <f>BP65-BO65</f>
        <v/>
      </c>
      <c r="BR65" s="64">
        <f>IF(BO65=0,"",BP65/BO65)</f>
        <v/>
      </c>
      <c r="BS65" s="31" t="n"/>
      <c r="BT65" s="60" t="n"/>
      <c r="BU65" s="60" t="n"/>
      <c r="BV65" s="60">
        <f>BU65-BT65</f>
        <v/>
      </c>
      <c r="BW65" s="61">
        <f>IF(BT65=0,"",BU65/BT65)</f>
        <v/>
      </c>
      <c r="BX65" s="27" t="n"/>
      <c r="BY65" s="62" t="n"/>
      <c r="BZ65" s="62" t="n"/>
      <c r="CA65" s="62">
        <f>BZ65-BY65</f>
        <v/>
      </c>
      <c r="CB65" s="64">
        <f>IF(BY65=0,"",BZ65/BY65)</f>
        <v/>
      </c>
      <c r="CC65" s="31" t="n"/>
      <c r="CD65" s="60" t="n"/>
      <c r="CE65" s="60" t="n"/>
      <c r="CF65" s="60">
        <f>CE65-CD65</f>
        <v/>
      </c>
      <c r="CG65" s="61">
        <f>IF(CD65=0,"",CE65/CD65)</f>
        <v/>
      </c>
      <c r="CH65" s="27" t="n"/>
      <c r="CI65" s="62" t="n"/>
      <c r="CJ65" s="62" t="n"/>
      <c r="CK65" s="62">
        <f>CJ65-CI65</f>
        <v/>
      </c>
      <c r="CL65" s="64">
        <f>IF(CI65=0,"",CJ65/CI65)</f>
        <v/>
      </c>
      <c r="CM65" s="31" t="n"/>
      <c r="CN65" s="60" t="n"/>
      <c r="CO65" s="60" t="n"/>
      <c r="CP65" s="60">
        <f>CO65-CN65</f>
        <v/>
      </c>
      <c r="CQ65" s="61">
        <f>IF(CN65=0,"",CO65/CN65)</f>
        <v/>
      </c>
      <c r="CR65" s="27" t="n"/>
      <c r="CS65" s="62" t="n"/>
      <c r="CT65" s="62" t="n"/>
      <c r="CU65" s="62">
        <f>CT65-CS65</f>
        <v/>
      </c>
      <c r="CV65" s="64">
        <f>IF(CS65=0,"",CT65/CS65)</f>
        <v/>
      </c>
      <c r="CW65" s="31" t="n"/>
      <c r="CX65" s="60" t="n"/>
      <c r="CY65" s="60" t="n"/>
      <c r="CZ65" s="60">
        <f>CY65-CX65</f>
        <v/>
      </c>
      <c r="DA65" s="61">
        <f>IF(CX65=0,"",CY65/CX65)</f>
        <v/>
      </c>
      <c r="DB65" s="27" t="n"/>
      <c r="DC65" s="62" t="n"/>
      <c r="DD65" s="62" t="n"/>
      <c r="DE65" s="62">
        <f>DD65-DC65</f>
        <v/>
      </c>
      <c r="DF65" s="64">
        <f>IF(DC65=0,"",DD65/DC65)</f>
        <v/>
      </c>
      <c r="DG65" s="31" t="n"/>
      <c r="DH65" s="60" t="n"/>
      <c r="DI65" s="60" t="n"/>
      <c r="DJ65" s="60">
        <f>DI65-DH65</f>
        <v/>
      </c>
      <c r="DK65" s="61">
        <f>IF(DH65=0,"",DI65/DH65)</f>
        <v/>
      </c>
      <c r="DL65" s="27" t="n"/>
      <c r="DM65" s="62" t="n"/>
      <c r="DN65" s="62" t="n"/>
      <c r="DO65" s="62">
        <f>DN65-DM65</f>
        <v/>
      </c>
      <c r="DP65" s="64">
        <f>IF(DM65=0,"",DN65/DM65)</f>
        <v/>
      </c>
      <c r="DQ65" s="31" t="n"/>
      <c r="DR65" s="60" t="n"/>
    </row>
    <row r="66" outlineLevel="1" ht="15" customHeight="1">
      <c r="A66" s="24" t="n"/>
      <c r="B66" s="24" t="n"/>
      <c r="C66" s="36" t="n"/>
      <c r="D66" s="24" t="n"/>
      <c r="E66" s="24" t="n"/>
      <c r="F66" s="24" t="n"/>
      <c r="G66" s="60" t="n"/>
      <c r="H66" s="60" t="n"/>
      <c r="I66" s="60">
        <f>H66-G66</f>
        <v/>
      </c>
      <c r="J66" s="61">
        <f>IF(G66=0,"",H66/G66)</f>
        <v/>
      </c>
      <c r="K66" s="27" t="n"/>
      <c r="L66" s="60" t="n"/>
      <c r="M66" s="60" t="n"/>
      <c r="N66" s="60">
        <f>M66-L66</f>
        <v/>
      </c>
      <c r="O66" s="61">
        <f>IF(L66=0,"",M66/L66)</f>
        <v/>
      </c>
      <c r="P66" s="27" t="n"/>
      <c r="Q66" s="62" t="n"/>
      <c r="R66" s="62" t="n"/>
      <c r="S66" s="62">
        <f>R66-Q66</f>
        <v/>
      </c>
      <c r="T66" s="64">
        <f>IF(Q66=0,"",R66/Q66)</f>
        <v/>
      </c>
      <c r="U66" s="31" t="n"/>
      <c r="V66" s="60" t="n"/>
      <c r="W66" s="60" t="n"/>
      <c r="X66" s="60">
        <f>W66-V66</f>
        <v/>
      </c>
      <c r="Y66" s="61">
        <f>IF(V66=0,"",W66/V66)</f>
        <v/>
      </c>
      <c r="Z66" s="27" t="n"/>
      <c r="AA66" s="62" t="n"/>
      <c r="AB66" s="62" t="n"/>
      <c r="AC66" s="62">
        <f>AB66-AA66</f>
        <v/>
      </c>
      <c r="AD66" s="64">
        <f>IF(AA66=0,"",AB66/AA66)</f>
        <v/>
      </c>
      <c r="AE66" s="31" t="n"/>
      <c r="AF66" s="60" t="n"/>
      <c r="AG66" s="60" t="n"/>
      <c r="AH66" s="60">
        <f>AG66-AF66</f>
        <v/>
      </c>
      <c r="AI66" s="61">
        <f>IF(AF66=0,"",AG66/AF66)</f>
        <v/>
      </c>
      <c r="AJ66" s="27" t="n"/>
      <c r="AK66" s="62" t="n"/>
      <c r="AL66" s="62" t="n"/>
      <c r="AM66" s="62">
        <f>AL66-AK66</f>
        <v/>
      </c>
      <c r="AN66" s="64">
        <f>IF(AK66=0,"",AL66/AK66)</f>
        <v/>
      </c>
      <c r="AO66" s="31" t="n"/>
      <c r="AP66" s="60" t="n"/>
      <c r="AQ66" s="60" t="n"/>
      <c r="AR66" s="60">
        <f>AQ66-AP66</f>
        <v/>
      </c>
      <c r="AS66" s="61">
        <f>IF(AP66=0,"",AQ66/AP66)</f>
        <v/>
      </c>
      <c r="AT66" s="27" t="n"/>
      <c r="AU66" s="62" t="n"/>
      <c r="AV66" s="62" t="n"/>
      <c r="AW66" s="62">
        <f>AV66-AU66</f>
        <v/>
      </c>
      <c r="AX66" s="64">
        <f>IF(AU66=0,"",AV66/AU66)</f>
        <v/>
      </c>
      <c r="AY66" s="31" t="n"/>
      <c r="AZ66" s="60" t="n"/>
      <c r="BA66" s="60" t="n"/>
      <c r="BB66" s="60">
        <f>BA66-AZ66</f>
        <v/>
      </c>
      <c r="BC66" s="61">
        <f>IF(AZ66=0,"",BA66/AZ66)</f>
        <v/>
      </c>
      <c r="BD66" s="27" t="n"/>
      <c r="BE66" s="62" t="n"/>
      <c r="BF66" s="62" t="n"/>
      <c r="BG66" s="62">
        <f>BF66-BE66</f>
        <v/>
      </c>
      <c r="BH66" s="64">
        <f>IF(BE66=0,"",BF66/BE66)</f>
        <v/>
      </c>
      <c r="BI66" s="31" t="n"/>
      <c r="BJ66" s="60" t="n"/>
      <c r="BK66" s="60" t="n"/>
      <c r="BL66" s="60">
        <f>BK66-BJ66</f>
        <v/>
      </c>
      <c r="BM66" s="61">
        <f>IF(BJ66=0,"",BK66/BJ66)</f>
        <v/>
      </c>
      <c r="BN66" s="27" t="n"/>
      <c r="BO66" s="62" t="n"/>
      <c r="BP66" s="62" t="n"/>
      <c r="BQ66" s="62">
        <f>BP66-BO66</f>
        <v/>
      </c>
      <c r="BR66" s="64">
        <f>IF(BO66=0,"",BP66/BO66)</f>
        <v/>
      </c>
      <c r="BS66" s="31" t="n"/>
      <c r="BT66" s="60" t="n"/>
      <c r="BU66" s="60" t="n"/>
      <c r="BV66" s="60">
        <f>BU66-BT66</f>
        <v/>
      </c>
      <c r="BW66" s="61">
        <f>IF(BT66=0,"",BU66/BT66)</f>
        <v/>
      </c>
      <c r="BX66" s="27" t="n"/>
      <c r="BY66" s="62" t="n"/>
      <c r="BZ66" s="62" t="n"/>
      <c r="CA66" s="62">
        <f>BZ66-BY66</f>
        <v/>
      </c>
      <c r="CB66" s="64">
        <f>IF(BY66=0,"",BZ66/BY66)</f>
        <v/>
      </c>
      <c r="CC66" s="31" t="n"/>
      <c r="CD66" s="60" t="n"/>
      <c r="CE66" s="60" t="n"/>
      <c r="CF66" s="60">
        <f>CE66-CD66</f>
        <v/>
      </c>
      <c r="CG66" s="61">
        <f>IF(CD66=0,"",CE66/CD66)</f>
        <v/>
      </c>
      <c r="CH66" s="27" t="n"/>
      <c r="CI66" s="62" t="n"/>
      <c r="CJ66" s="62" t="n"/>
      <c r="CK66" s="62">
        <f>CJ66-CI66</f>
        <v/>
      </c>
      <c r="CL66" s="64">
        <f>IF(CI66=0,"",CJ66/CI66)</f>
        <v/>
      </c>
      <c r="CM66" s="31" t="n"/>
      <c r="CN66" s="60" t="n"/>
      <c r="CO66" s="60" t="n"/>
      <c r="CP66" s="60">
        <f>CO66-CN66</f>
        <v/>
      </c>
      <c r="CQ66" s="61">
        <f>IF(CN66=0,"",CO66/CN66)</f>
        <v/>
      </c>
      <c r="CR66" s="27" t="n"/>
      <c r="CS66" s="62" t="n"/>
      <c r="CT66" s="62" t="n"/>
      <c r="CU66" s="62">
        <f>CT66-CS66</f>
        <v/>
      </c>
      <c r="CV66" s="64">
        <f>IF(CS66=0,"",CT66/CS66)</f>
        <v/>
      </c>
      <c r="CW66" s="31" t="n"/>
      <c r="CX66" s="60" t="n"/>
      <c r="CY66" s="60" t="n"/>
      <c r="CZ66" s="60">
        <f>CY66-CX66</f>
        <v/>
      </c>
      <c r="DA66" s="61">
        <f>IF(CX66=0,"",CY66/CX66)</f>
        <v/>
      </c>
      <c r="DB66" s="27" t="n"/>
      <c r="DC66" s="62" t="n"/>
      <c r="DD66" s="62" t="n"/>
      <c r="DE66" s="62">
        <f>DD66-DC66</f>
        <v/>
      </c>
      <c r="DF66" s="64">
        <f>IF(DC66=0,"",DD66/DC66)</f>
        <v/>
      </c>
      <c r="DG66" s="31" t="n"/>
      <c r="DH66" s="60" t="n"/>
      <c r="DI66" s="60" t="n"/>
      <c r="DJ66" s="60">
        <f>DI66-DH66</f>
        <v/>
      </c>
      <c r="DK66" s="61">
        <f>IF(DH66=0,"",DI66/DH66)</f>
        <v/>
      </c>
      <c r="DL66" s="27" t="n"/>
      <c r="DM66" s="62" t="n"/>
      <c r="DN66" s="62" t="n"/>
      <c r="DO66" s="62">
        <f>DN66-DM66</f>
        <v/>
      </c>
      <c r="DP66" s="64">
        <f>IF(DM66=0,"",DN66/DM66)</f>
        <v/>
      </c>
      <c r="DQ66" s="31" t="n"/>
      <c r="DR66" s="60" t="n"/>
    </row>
    <row r="67" outlineLevel="1" ht="15" customHeight="1">
      <c r="A67" s="24" t="n"/>
      <c r="B67" s="24" t="n"/>
      <c r="C67" s="36" t="n"/>
      <c r="D67" s="24" t="n"/>
      <c r="E67" s="24" t="n"/>
      <c r="F67" s="24" t="n"/>
      <c r="G67" s="60" t="n"/>
      <c r="H67" s="60" t="n"/>
      <c r="I67" s="60">
        <f>H67-G67</f>
        <v/>
      </c>
      <c r="J67" s="61">
        <f>IF(G67=0,"",H67/G67)</f>
        <v/>
      </c>
      <c r="K67" s="27" t="n"/>
      <c r="L67" s="60" t="n"/>
      <c r="M67" s="60" t="n"/>
      <c r="N67" s="60">
        <f>M67-L67</f>
        <v/>
      </c>
      <c r="O67" s="61">
        <f>IF(L67=0,"",M67/L67)</f>
        <v/>
      </c>
      <c r="P67" s="27" t="n"/>
      <c r="Q67" s="62" t="n"/>
      <c r="R67" s="62" t="n"/>
      <c r="S67" s="62">
        <f>R67-Q67</f>
        <v/>
      </c>
      <c r="T67" s="64">
        <f>IF(Q67=0,"",R67/Q67)</f>
        <v/>
      </c>
      <c r="U67" s="31" t="n"/>
      <c r="V67" s="60" t="n"/>
      <c r="W67" s="60" t="n"/>
      <c r="X67" s="60">
        <f>W67-V67</f>
        <v/>
      </c>
      <c r="Y67" s="61">
        <f>IF(V67=0,"",W67/V67)</f>
        <v/>
      </c>
      <c r="Z67" s="27" t="n"/>
      <c r="AA67" s="62" t="n"/>
      <c r="AB67" s="62" t="n"/>
      <c r="AC67" s="62">
        <f>AB67-AA67</f>
        <v/>
      </c>
      <c r="AD67" s="64">
        <f>IF(AA67=0,"",AB67/AA67)</f>
        <v/>
      </c>
      <c r="AE67" s="31" t="n"/>
      <c r="AF67" s="60" t="n"/>
      <c r="AG67" s="60" t="n"/>
      <c r="AH67" s="60">
        <f>AG67-AF67</f>
        <v/>
      </c>
      <c r="AI67" s="61">
        <f>IF(AF67=0,"",AG67/AF67)</f>
        <v/>
      </c>
      <c r="AJ67" s="27" t="n"/>
      <c r="AK67" s="62" t="n"/>
      <c r="AL67" s="62" t="n"/>
      <c r="AM67" s="62">
        <f>AL67-AK67</f>
        <v/>
      </c>
      <c r="AN67" s="64">
        <f>IF(AK67=0,"",AL67/AK67)</f>
        <v/>
      </c>
      <c r="AO67" s="31" t="n"/>
      <c r="AP67" s="60" t="n"/>
      <c r="AQ67" s="60" t="n"/>
      <c r="AR67" s="60">
        <f>AQ67-AP67</f>
        <v/>
      </c>
      <c r="AS67" s="61">
        <f>IF(AP67=0,"",AQ67/AP67)</f>
        <v/>
      </c>
      <c r="AT67" s="27" t="n"/>
      <c r="AU67" s="62" t="n"/>
      <c r="AV67" s="62" t="n"/>
      <c r="AW67" s="62">
        <f>AV67-AU67</f>
        <v/>
      </c>
      <c r="AX67" s="64">
        <f>IF(AU67=0,"",AV67/AU67)</f>
        <v/>
      </c>
      <c r="AY67" s="31" t="n"/>
      <c r="AZ67" s="60" t="n"/>
      <c r="BA67" s="60" t="n"/>
      <c r="BB67" s="60">
        <f>BA67-AZ67</f>
        <v/>
      </c>
      <c r="BC67" s="61">
        <f>IF(AZ67=0,"",BA67/AZ67)</f>
        <v/>
      </c>
      <c r="BD67" s="27" t="n"/>
      <c r="BE67" s="62" t="n"/>
      <c r="BF67" s="62" t="n"/>
      <c r="BG67" s="62">
        <f>BF67-BE67</f>
        <v/>
      </c>
      <c r="BH67" s="64">
        <f>IF(BE67=0,"",BF67/BE67)</f>
        <v/>
      </c>
      <c r="BI67" s="31" t="n"/>
      <c r="BJ67" s="60" t="n"/>
      <c r="BK67" s="60" t="n"/>
      <c r="BL67" s="60">
        <f>BK67-BJ67</f>
        <v/>
      </c>
      <c r="BM67" s="61">
        <f>IF(BJ67=0,"",BK67/BJ67)</f>
        <v/>
      </c>
      <c r="BN67" s="27" t="n"/>
      <c r="BO67" s="62" t="n"/>
      <c r="BP67" s="62" t="n"/>
      <c r="BQ67" s="62">
        <f>BP67-BO67</f>
        <v/>
      </c>
      <c r="BR67" s="64">
        <f>IF(BO67=0,"",BP67/BO67)</f>
        <v/>
      </c>
      <c r="BS67" s="31" t="n"/>
      <c r="BT67" s="60" t="n"/>
      <c r="BU67" s="60" t="n"/>
      <c r="BV67" s="60">
        <f>BU67-BT67</f>
        <v/>
      </c>
      <c r="BW67" s="61">
        <f>IF(BT67=0,"",BU67/BT67)</f>
        <v/>
      </c>
      <c r="BX67" s="27" t="n"/>
      <c r="BY67" s="62" t="n"/>
      <c r="BZ67" s="62" t="n"/>
      <c r="CA67" s="62">
        <f>BZ67-BY67</f>
        <v/>
      </c>
      <c r="CB67" s="64">
        <f>IF(BY67=0,"",BZ67/BY67)</f>
        <v/>
      </c>
      <c r="CC67" s="31" t="n"/>
      <c r="CD67" s="60" t="n"/>
      <c r="CE67" s="60" t="n"/>
      <c r="CF67" s="60">
        <f>CE67-CD67</f>
        <v/>
      </c>
      <c r="CG67" s="61">
        <f>IF(CD67=0,"",CE67/CD67)</f>
        <v/>
      </c>
      <c r="CH67" s="27" t="n"/>
      <c r="CI67" s="62" t="n"/>
      <c r="CJ67" s="62" t="n"/>
      <c r="CK67" s="62">
        <f>CJ67-CI67</f>
        <v/>
      </c>
      <c r="CL67" s="64">
        <f>IF(CI67=0,"",CJ67/CI67)</f>
        <v/>
      </c>
      <c r="CM67" s="31" t="n"/>
      <c r="CN67" s="60" t="n"/>
      <c r="CO67" s="60" t="n"/>
      <c r="CP67" s="60">
        <f>CO67-CN67</f>
        <v/>
      </c>
      <c r="CQ67" s="61">
        <f>IF(CN67=0,"",CO67/CN67)</f>
        <v/>
      </c>
      <c r="CR67" s="27" t="n"/>
      <c r="CS67" s="62" t="n"/>
      <c r="CT67" s="62" t="n"/>
      <c r="CU67" s="62">
        <f>CT67-CS67</f>
        <v/>
      </c>
      <c r="CV67" s="64">
        <f>IF(CS67=0,"",CT67/CS67)</f>
        <v/>
      </c>
      <c r="CW67" s="31" t="n"/>
      <c r="CX67" s="60" t="n"/>
      <c r="CY67" s="60" t="n"/>
      <c r="CZ67" s="60">
        <f>CY67-CX67</f>
        <v/>
      </c>
      <c r="DA67" s="61">
        <f>IF(CX67=0,"",CY67/CX67)</f>
        <v/>
      </c>
      <c r="DB67" s="27" t="n"/>
      <c r="DC67" s="62" t="n"/>
      <c r="DD67" s="62" t="n"/>
      <c r="DE67" s="62">
        <f>DD67-DC67</f>
        <v/>
      </c>
      <c r="DF67" s="64">
        <f>IF(DC67=0,"",DD67/DC67)</f>
        <v/>
      </c>
      <c r="DG67" s="31" t="n"/>
      <c r="DH67" s="60" t="n"/>
      <c r="DI67" s="60" t="n"/>
      <c r="DJ67" s="60">
        <f>DI67-DH67</f>
        <v/>
      </c>
      <c r="DK67" s="61">
        <f>IF(DH67=0,"",DI67/DH67)</f>
        <v/>
      </c>
      <c r="DL67" s="27" t="n"/>
      <c r="DM67" s="62" t="n"/>
      <c r="DN67" s="62" t="n"/>
      <c r="DO67" s="62">
        <f>DN67-DM67</f>
        <v/>
      </c>
      <c r="DP67" s="64">
        <f>IF(DM67=0,"",DN67/DM67)</f>
        <v/>
      </c>
      <c r="DQ67" s="31" t="n"/>
      <c r="DR67" s="60" t="n"/>
    </row>
    <row r="68" outlineLevel="1" ht="15" customHeight="1">
      <c r="A68" s="67" t="n"/>
      <c r="B68" s="67" t="n"/>
      <c r="C68" s="67" t="n"/>
      <c r="D68" s="24" t="n"/>
      <c r="E68" s="24" t="n"/>
      <c r="F68" s="24" t="n"/>
      <c r="G68" s="60" t="n"/>
      <c r="H68" s="60" t="n"/>
      <c r="I68" s="60">
        <f>H68-G68</f>
        <v/>
      </c>
      <c r="J68" s="61">
        <f>IF(G68=0,"",H68/G68)</f>
        <v/>
      </c>
      <c r="K68" s="27" t="n"/>
      <c r="L68" s="60" t="n"/>
      <c r="M68" s="60" t="n"/>
      <c r="N68" s="60">
        <f>M68-L68</f>
        <v/>
      </c>
      <c r="O68" s="61">
        <f>IF(L68=0,"",M68/L68)</f>
        <v/>
      </c>
      <c r="P68" s="27" t="n"/>
      <c r="Q68" s="62" t="n"/>
      <c r="R68" s="62" t="n"/>
      <c r="S68" s="62">
        <f>R68-Q68</f>
        <v/>
      </c>
      <c r="T68" s="64">
        <f>IF(Q68=0,"",R68/Q68)</f>
        <v/>
      </c>
      <c r="U68" s="31" t="n"/>
      <c r="V68" s="60" t="n"/>
      <c r="W68" s="60" t="n"/>
      <c r="X68" s="60">
        <f>W68-V68</f>
        <v/>
      </c>
      <c r="Y68" s="61">
        <f>IF(V68=0,"",W68/V68)</f>
        <v/>
      </c>
      <c r="Z68" s="27" t="n"/>
      <c r="AA68" s="62" t="n"/>
      <c r="AB68" s="62" t="n"/>
      <c r="AC68" s="62">
        <f>AB68-AA68</f>
        <v/>
      </c>
      <c r="AD68" s="64">
        <f>IF(AA68=0,"",AB68/AA68)</f>
        <v/>
      </c>
      <c r="AE68" s="31" t="n"/>
      <c r="AF68" s="60" t="n"/>
      <c r="AG68" s="60" t="n"/>
      <c r="AH68" s="60">
        <f>AG68-AF68</f>
        <v/>
      </c>
      <c r="AI68" s="61">
        <f>IF(AF68=0,"",AG68/AF68)</f>
        <v/>
      </c>
      <c r="AJ68" s="27" t="n"/>
      <c r="AK68" s="62" t="n"/>
      <c r="AL68" s="62" t="n"/>
      <c r="AM68" s="62">
        <f>AL68-AK68</f>
        <v/>
      </c>
      <c r="AN68" s="64">
        <f>IF(AK68=0,"",AL68/AK68)</f>
        <v/>
      </c>
      <c r="AO68" s="31" t="n"/>
      <c r="AP68" s="60" t="n"/>
      <c r="AQ68" s="60" t="n"/>
      <c r="AR68" s="60">
        <f>AQ68-AP68</f>
        <v/>
      </c>
      <c r="AS68" s="61">
        <f>IF(AP68=0,"",AQ68/AP68)</f>
        <v/>
      </c>
      <c r="AT68" s="27" t="n"/>
      <c r="AU68" s="62" t="n"/>
      <c r="AV68" s="62" t="n"/>
      <c r="AW68" s="62">
        <f>AV68-AU68</f>
        <v/>
      </c>
      <c r="AX68" s="64">
        <f>IF(AU68=0,"",AV68/AU68)</f>
        <v/>
      </c>
      <c r="AY68" s="31" t="n"/>
      <c r="AZ68" s="60" t="n"/>
      <c r="BA68" s="60" t="n"/>
      <c r="BB68" s="60">
        <f>BA68-AZ68</f>
        <v/>
      </c>
      <c r="BC68" s="61">
        <f>IF(AZ68=0,"",BA68/AZ68)</f>
        <v/>
      </c>
      <c r="BD68" s="27" t="n"/>
      <c r="BE68" s="62" t="n"/>
      <c r="BF68" s="62" t="n"/>
      <c r="BG68" s="62">
        <f>BF68-BE68</f>
        <v/>
      </c>
      <c r="BH68" s="64">
        <f>IF(BE68=0,"",BF68/BE68)</f>
        <v/>
      </c>
      <c r="BI68" s="31" t="n"/>
      <c r="BJ68" s="60" t="n"/>
      <c r="BK68" s="60" t="n"/>
      <c r="BL68" s="60">
        <f>BK68-BJ68</f>
        <v/>
      </c>
      <c r="BM68" s="61">
        <f>IF(BJ68=0,"",BK68/BJ68)</f>
        <v/>
      </c>
      <c r="BN68" s="27" t="n"/>
      <c r="BO68" s="62" t="n"/>
      <c r="BP68" s="62" t="n"/>
      <c r="BQ68" s="62">
        <f>BP68-BO68</f>
        <v/>
      </c>
      <c r="BR68" s="64">
        <f>IF(BO68=0,"",BP68/BO68)</f>
        <v/>
      </c>
      <c r="BS68" s="31" t="n"/>
      <c r="BT68" s="60" t="n"/>
      <c r="BU68" s="60" t="n"/>
      <c r="BV68" s="60">
        <f>BU68-BT68</f>
        <v/>
      </c>
      <c r="BW68" s="61">
        <f>IF(BT68=0,"",BU68/BT68)</f>
        <v/>
      </c>
      <c r="BX68" s="27" t="n"/>
      <c r="BY68" s="62" t="n"/>
      <c r="BZ68" s="62" t="n"/>
      <c r="CA68" s="62">
        <f>BZ68-BY68</f>
        <v/>
      </c>
      <c r="CB68" s="64">
        <f>IF(BY68=0,"",BZ68/BY68)</f>
        <v/>
      </c>
      <c r="CC68" s="31" t="n"/>
      <c r="CD68" s="60" t="n"/>
      <c r="CE68" s="60" t="n"/>
      <c r="CF68" s="60">
        <f>CE68-CD68</f>
        <v/>
      </c>
      <c r="CG68" s="61">
        <f>IF(CD68=0,"",CE68/CD68)</f>
        <v/>
      </c>
      <c r="CH68" s="27" t="n"/>
      <c r="CI68" s="62" t="n"/>
      <c r="CJ68" s="62" t="n"/>
      <c r="CK68" s="62">
        <f>CJ68-CI68</f>
        <v/>
      </c>
      <c r="CL68" s="64">
        <f>IF(CI68=0,"",CJ68/CI68)</f>
        <v/>
      </c>
      <c r="CM68" s="31" t="n"/>
      <c r="CN68" s="60" t="n"/>
      <c r="CO68" s="60" t="n"/>
      <c r="CP68" s="60">
        <f>CO68-CN68</f>
        <v/>
      </c>
      <c r="CQ68" s="61">
        <f>IF(CN68=0,"",CO68/CN68)</f>
        <v/>
      </c>
      <c r="CR68" s="27" t="n"/>
      <c r="CS68" s="62" t="n"/>
      <c r="CT68" s="62" t="n"/>
      <c r="CU68" s="62">
        <f>CT68-CS68</f>
        <v/>
      </c>
      <c r="CV68" s="64">
        <f>IF(CS68=0,"",CT68/CS68)</f>
        <v/>
      </c>
      <c r="CW68" s="31" t="n"/>
      <c r="CX68" s="60" t="n"/>
      <c r="CY68" s="60" t="n"/>
      <c r="CZ68" s="60">
        <f>CY68-CX68</f>
        <v/>
      </c>
      <c r="DA68" s="61">
        <f>IF(CX68=0,"",CY68/CX68)</f>
        <v/>
      </c>
      <c r="DB68" s="27" t="n"/>
      <c r="DC68" s="62" t="n"/>
      <c r="DD68" s="62" t="n"/>
      <c r="DE68" s="62">
        <f>DD68-DC68</f>
        <v/>
      </c>
      <c r="DF68" s="64">
        <f>IF(DC68=0,"",DD68/DC68)</f>
        <v/>
      </c>
      <c r="DG68" s="31" t="n"/>
      <c r="DH68" s="60" t="n"/>
      <c r="DI68" s="60" t="n"/>
      <c r="DJ68" s="60">
        <f>DI68-DH68</f>
        <v/>
      </c>
      <c r="DK68" s="61">
        <f>IF(DH68=0,"",DI68/DH68)</f>
        <v/>
      </c>
      <c r="DL68" s="27" t="n"/>
      <c r="DM68" s="62" t="n"/>
      <c r="DN68" s="62" t="n"/>
      <c r="DO68" s="62">
        <f>DN68-DM68</f>
        <v/>
      </c>
      <c r="DP68" s="64">
        <f>IF(DM68=0,"",DN68/DM68)</f>
        <v/>
      </c>
      <c r="DQ68" s="31" t="n"/>
      <c r="DR68" s="60" t="n"/>
    </row>
    <row r="69" outlineLevel="1" ht="15" customHeight="1">
      <c r="A69" s="55" t="n"/>
      <c r="B69" s="55" t="n"/>
      <c r="C69" s="55" t="n"/>
      <c r="D69" s="24" t="n"/>
      <c r="E69" s="24" t="n"/>
      <c r="F69" s="24" t="n"/>
      <c r="G69" s="60" t="n"/>
      <c r="H69" s="60" t="n"/>
      <c r="I69" s="60">
        <f>H69-G69</f>
        <v/>
      </c>
      <c r="J69" s="61">
        <f>IF(G69=0,"",H69/G69)</f>
        <v/>
      </c>
      <c r="K69" s="27" t="n"/>
      <c r="L69" s="60" t="n"/>
      <c r="M69" s="60" t="n"/>
      <c r="N69" s="60">
        <f>M69-L69</f>
        <v/>
      </c>
      <c r="O69" s="61">
        <f>IF(L69=0,"",M69/L69)</f>
        <v/>
      </c>
      <c r="P69" s="27" t="n"/>
      <c r="Q69" s="62" t="n"/>
      <c r="R69" s="62" t="n"/>
      <c r="S69" s="63">
        <f>R69-Q69</f>
        <v/>
      </c>
      <c r="T69" s="64">
        <f>IF(Q69=0,"",R69/Q69)</f>
        <v/>
      </c>
      <c r="U69" s="31" t="n"/>
      <c r="V69" s="60" t="n"/>
      <c r="W69" s="60" t="n"/>
      <c r="X69" s="60">
        <f>W69-V69</f>
        <v/>
      </c>
      <c r="Y69" s="61">
        <f>IF(V69=0,"",W69/V69)</f>
        <v/>
      </c>
      <c r="Z69" s="27" t="n"/>
      <c r="AA69" s="62" t="n"/>
      <c r="AB69" s="62" t="n"/>
      <c r="AC69" s="63">
        <f>AB69-AA69</f>
        <v/>
      </c>
      <c r="AD69" s="64">
        <f>IF(AA69=0,"",AB69/AA69)</f>
        <v/>
      </c>
      <c r="AE69" s="31" t="n"/>
      <c r="AF69" s="60" t="n"/>
      <c r="AG69" s="60" t="n"/>
      <c r="AH69" s="60">
        <f>AG69-AF69</f>
        <v/>
      </c>
      <c r="AI69" s="61">
        <f>IF(AF69=0,"",AG69/AF69)</f>
        <v/>
      </c>
      <c r="AJ69" s="27" t="n"/>
      <c r="AK69" s="62" t="n"/>
      <c r="AL69" s="62" t="n"/>
      <c r="AM69" s="62">
        <f>AL69-AK69</f>
        <v/>
      </c>
      <c r="AN69" s="64">
        <f>IF(AK69=0,"",AL69/AK69)</f>
        <v/>
      </c>
      <c r="AO69" s="31" t="n"/>
      <c r="AP69" s="60" t="n"/>
      <c r="AQ69" s="60" t="n"/>
      <c r="AR69" s="60">
        <f>AQ69-AP69</f>
        <v/>
      </c>
      <c r="AS69" s="61">
        <f>IF(AP69=0,"",AQ69/AP69)</f>
        <v/>
      </c>
      <c r="AT69" s="27" t="n"/>
      <c r="AU69" s="62" t="n"/>
      <c r="AV69" s="62" t="n"/>
      <c r="AW69" s="62">
        <f>AV69-AU69</f>
        <v/>
      </c>
      <c r="AX69" s="64">
        <f>IF(AU69=0,"",AV69/AU69)</f>
        <v/>
      </c>
      <c r="AY69" s="31" t="n"/>
      <c r="AZ69" s="60" t="n"/>
      <c r="BA69" s="60" t="n"/>
      <c r="BB69" s="60">
        <f>BA69-AZ69</f>
        <v/>
      </c>
      <c r="BC69" s="61">
        <f>IF(AZ69=0,"",BA69/AZ69)</f>
        <v/>
      </c>
      <c r="BD69" s="27" t="n"/>
      <c r="BE69" s="62" t="n"/>
      <c r="BF69" s="62" t="n"/>
      <c r="BG69" s="62">
        <f>BF69-BE69</f>
        <v/>
      </c>
      <c r="BH69" s="64">
        <f>IF(BE69=0,"",BF69/BE69)</f>
        <v/>
      </c>
      <c r="BI69" s="31" t="n"/>
      <c r="BJ69" s="60" t="n"/>
      <c r="BK69" s="60" t="n"/>
      <c r="BL69" s="60">
        <f>BK69-BJ69</f>
        <v/>
      </c>
      <c r="BM69" s="61">
        <f>IF(BJ69=0,"",BK69/BJ69)</f>
        <v/>
      </c>
      <c r="BN69" s="27" t="n"/>
      <c r="BO69" s="62" t="n"/>
      <c r="BP69" s="62" t="n"/>
      <c r="BQ69" s="62">
        <f>BP69-BO69</f>
        <v/>
      </c>
      <c r="BR69" s="64">
        <f>IF(BO69=0,"",BP69/BO69)</f>
        <v/>
      </c>
      <c r="BS69" s="31" t="n"/>
      <c r="BT69" s="60" t="n"/>
      <c r="BU69" s="60" t="n"/>
      <c r="BV69" s="60">
        <f>BU69-BT69</f>
        <v/>
      </c>
      <c r="BW69" s="61">
        <f>IF(BT69=0,"",BU69/BT69)</f>
        <v/>
      </c>
      <c r="BX69" s="27" t="n"/>
      <c r="BY69" s="62" t="n"/>
      <c r="BZ69" s="62" t="n"/>
      <c r="CA69" s="62">
        <f>BZ69-BY69</f>
        <v/>
      </c>
      <c r="CB69" s="64">
        <f>IF(BY69=0,"",BZ69/BY69)</f>
        <v/>
      </c>
      <c r="CC69" s="31" t="n"/>
      <c r="CD69" s="60" t="n"/>
      <c r="CE69" s="60" t="n"/>
      <c r="CF69" s="60">
        <f>CE69-CD69</f>
        <v/>
      </c>
      <c r="CG69" s="61">
        <f>IF(CD69=0,"",CE69/CD69)</f>
        <v/>
      </c>
      <c r="CH69" s="27" t="n"/>
      <c r="CI69" s="62" t="n"/>
      <c r="CJ69" s="62" t="n"/>
      <c r="CK69" s="62">
        <f>CJ69-CI69</f>
        <v/>
      </c>
      <c r="CL69" s="64">
        <f>IF(CI69=0,"",CJ69/CI69)</f>
        <v/>
      </c>
      <c r="CM69" s="31" t="n"/>
      <c r="CN69" s="60" t="n"/>
      <c r="CO69" s="60" t="n"/>
      <c r="CP69" s="60">
        <f>CO69-CN69</f>
        <v/>
      </c>
      <c r="CQ69" s="61">
        <f>IF(CN69=0,"",CO69/CN69)</f>
        <v/>
      </c>
      <c r="CR69" s="27" t="n"/>
      <c r="CS69" s="62" t="n"/>
      <c r="CT69" s="62" t="n"/>
      <c r="CU69" s="62">
        <f>CT69-CS69</f>
        <v/>
      </c>
      <c r="CV69" s="64">
        <f>IF(CS69=0,"",CT69/CS69)</f>
        <v/>
      </c>
      <c r="CW69" s="31" t="n"/>
      <c r="CX69" s="60" t="n"/>
      <c r="CY69" s="60" t="n"/>
      <c r="CZ69" s="60">
        <f>CY69-CX69</f>
        <v/>
      </c>
      <c r="DA69" s="61">
        <f>IF(CX69=0,"",CY69/CX69)</f>
        <v/>
      </c>
      <c r="DB69" s="27" t="n"/>
      <c r="DC69" s="62" t="n"/>
      <c r="DD69" s="62" t="n"/>
      <c r="DE69" s="62">
        <f>DD69-DC69</f>
        <v/>
      </c>
      <c r="DF69" s="64">
        <f>IF(DC69=0,"",DD69/DC69)</f>
        <v/>
      </c>
      <c r="DG69" s="31" t="n"/>
      <c r="DH69" s="60" t="n"/>
      <c r="DI69" s="60" t="n"/>
      <c r="DJ69" s="60">
        <f>DI69-DH69</f>
        <v/>
      </c>
      <c r="DK69" s="61">
        <f>IF(DH69=0,"",DI69/DH69)</f>
        <v/>
      </c>
      <c r="DL69" s="27" t="n"/>
      <c r="DM69" s="62" t="n"/>
      <c r="DN69" s="62" t="n"/>
      <c r="DO69" s="62">
        <f>DN69-DM69</f>
        <v/>
      </c>
      <c r="DP69" s="64">
        <f>IF(DM69=0,"",DN69/DM69)</f>
        <v/>
      </c>
      <c r="DQ69" s="31" t="n"/>
      <c r="DR69" s="60" t="n"/>
    </row>
    <row r="70" ht="15" customHeight="1">
      <c r="A70" s="15" t="n"/>
      <c r="B70" s="15" t="n"/>
      <c r="C70" s="15" t="n"/>
      <c r="D70" s="15" t="n"/>
      <c r="E70" s="15" t="n"/>
      <c r="F70" s="15" t="n"/>
      <c r="G70" s="56">
        <f>G71+G73+G79+G84+G89+G95+G97+G103+G106+G112+G119</f>
        <v/>
      </c>
      <c r="H70" s="56">
        <f>H71+H73+H79+H84+H89+H95+H97+H103+H106+H112+H119</f>
        <v/>
      </c>
      <c r="I70" s="56">
        <f>H70-G70</f>
        <v/>
      </c>
      <c r="J70" s="57">
        <f>IF(G70=0,"",H70/G70)</f>
        <v/>
      </c>
      <c r="K70" s="18" t="n"/>
      <c r="L70" s="56">
        <f>L71+L73+L79+L84+L89+L95+L97+L103+L106+L112+L119</f>
        <v/>
      </c>
      <c r="M70" s="56">
        <f>M71+M73+M79+M84+M89+M95+M97+M103+M106+M112+M119</f>
        <v/>
      </c>
      <c r="N70" s="56">
        <f>M70-L70</f>
        <v/>
      </c>
      <c r="O70" s="57">
        <f>IF(L70=0,"",M70/L70)</f>
        <v/>
      </c>
      <c r="P70" s="18" t="n"/>
      <c r="Q70" s="56">
        <f>Q71+Q73+Q79+Q84+Q89+Q95+Q97+Q103+Q106+Q112+Q119</f>
        <v/>
      </c>
      <c r="R70" s="56">
        <f>R71+R73+R79+R84+R89+R95+R97+R103+R106+R112+R119</f>
        <v/>
      </c>
      <c r="S70" s="56">
        <f>R70-Q70</f>
        <v/>
      </c>
      <c r="T70" s="57">
        <f>IF(Q70=0,"",R70/Q70)</f>
        <v/>
      </c>
      <c r="U70" s="18" t="n"/>
      <c r="V70" s="56">
        <f>V71+V73+V79+V84+V89+V95+V97+V103+V106+V112+V119</f>
        <v/>
      </c>
      <c r="W70" s="56">
        <f>W71+W73+W79+W84+W89+W95+W97+W103+W106+W112+W119</f>
        <v/>
      </c>
      <c r="X70" s="56">
        <f>W70-V70</f>
        <v/>
      </c>
      <c r="Y70" s="57">
        <f>IF(V70=0,"",W70/V70)</f>
        <v/>
      </c>
      <c r="Z70" s="18" t="n"/>
      <c r="AA70" s="56">
        <f>AA71+AA73+AA79+AA84+AA89+AA95+AA97+AA103+AA106+AA112+AA119</f>
        <v/>
      </c>
      <c r="AB70" s="56">
        <f>AB71+AB73+AB79+AB84+AB89+AB95+AB97+AB103+AB106+AB112+AB119</f>
        <v/>
      </c>
      <c r="AC70" s="56">
        <f>AB70-AA70</f>
        <v/>
      </c>
      <c r="AD70" s="57">
        <f>IF(AA70=0,"",AB70/AA70)</f>
        <v/>
      </c>
      <c r="AE70" s="18" t="n"/>
      <c r="AF70" s="56">
        <f>AF71+AF73+AF79+AF84+AF89+AF95+AF97+AF103+AF106+AF112+AF119</f>
        <v/>
      </c>
      <c r="AG70" s="56">
        <f>AG71+AG73+AG79+AG84+AG89+AG95+AG97+AG103+AG106+AG112+AG119</f>
        <v/>
      </c>
      <c r="AH70" s="56">
        <f>AG70-AF70</f>
        <v/>
      </c>
      <c r="AI70" s="57">
        <f>IF(AF70=0,"",AG70/AF70)</f>
        <v/>
      </c>
      <c r="AJ70" s="18" t="n"/>
      <c r="AK70" s="56">
        <f>AK71+AK73+AK79+AK84+AK89+AK95+AK97+AK103+AK106+AK112+AK119</f>
        <v/>
      </c>
      <c r="AL70" s="56">
        <f>AL71+AL73+AL79+AL84+AL89+AL95+AL97+AL103+AL106+AL112+AL119</f>
        <v/>
      </c>
      <c r="AM70" s="56">
        <f>AL70-AK70</f>
        <v/>
      </c>
      <c r="AN70" s="57">
        <f>IF(AK70=0,"",AL70/AK70)</f>
        <v/>
      </c>
      <c r="AO70" s="18" t="n"/>
      <c r="AP70" s="56">
        <f>AP71+AP73+AP79+AP84+AP89+AP95+AP97+AP103+AP106+AP112+AP119</f>
        <v/>
      </c>
      <c r="AQ70" s="56">
        <f>AQ71+AQ73+AQ79+AQ84+AQ89+AQ95+AQ97+AQ103+AQ106+AQ112+AQ119</f>
        <v/>
      </c>
      <c r="AR70" s="56">
        <f>AQ70-AP70</f>
        <v/>
      </c>
      <c r="AS70" s="57">
        <f>IF(AP70=0,"",AQ70/AP70)</f>
        <v/>
      </c>
      <c r="AT70" s="18" t="n"/>
      <c r="AU70" s="56">
        <f>AU71+AU73+AU79+AU84+AU89+AU95+AU97+AU103+AU106+AU112+AU119</f>
        <v/>
      </c>
      <c r="AV70" s="56">
        <f>AV71+AV73+AV79+AV84+AV89+AV95+AV97+AV103+AV106+AV112+AV119</f>
        <v/>
      </c>
      <c r="AW70" s="56">
        <f>AV70-AU70</f>
        <v/>
      </c>
      <c r="AX70" s="57">
        <f>IF(AU70=0,"",AV70/AU70)</f>
        <v/>
      </c>
      <c r="AY70" s="18" t="n"/>
      <c r="AZ70" s="56">
        <f>AZ71+AZ73+AZ79+AZ84+AZ89+AZ95+AZ97+AZ103+AZ106+AZ112+AZ119</f>
        <v/>
      </c>
      <c r="BA70" s="56">
        <f>BA71+BA73+BA79+BA84+BA89+BA95+BA97+BA103+BA106+BA112+BA119</f>
        <v/>
      </c>
      <c r="BB70" s="56">
        <f>BA70-AZ70</f>
        <v/>
      </c>
      <c r="BC70" s="57">
        <f>IF(AZ70=0,"",BA70/AZ70)</f>
        <v/>
      </c>
      <c r="BD70" s="18" t="n"/>
      <c r="BE70" s="56">
        <f>BE71+BE73+BE79+BE84+BE89+BE95+BE97+BE103+BE106+BE112+BE119</f>
        <v/>
      </c>
      <c r="BF70" s="56">
        <f>BF71+BF73+BF79+BF84+BF89+BF95+BF97+BF103+BF106+BF112+BF119</f>
        <v/>
      </c>
      <c r="BG70" s="56">
        <f>BF70-BE70</f>
        <v/>
      </c>
      <c r="BH70" s="57">
        <f>IF(BE70=0,"",BF70/BE70)</f>
        <v/>
      </c>
      <c r="BI70" s="18" t="n"/>
      <c r="BJ70" s="56">
        <f>BJ71+BJ73+BJ79+BJ84+BJ89+BJ95+BJ97+BJ103+BJ106+BJ112+BJ119</f>
        <v/>
      </c>
      <c r="BK70" s="56">
        <f>BK71+BK73+BK79+BK84+BK89+BK95+BK97+BK103+BK106+BK112+BK119</f>
        <v/>
      </c>
      <c r="BL70" s="56">
        <f>BK70-BJ70</f>
        <v/>
      </c>
      <c r="BM70" s="57">
        <f>IF(BJ70=0,"",BK70/BJ70)</f>
        <v/>
      </c>
      <c r="BN70" s="18" t="n"/>
      <c r="BO70" s="56">
        <f>BO71+BO73+BO79+BO84+BO89+BO95+BO97+BO103+BO106+BO112+BO119</f>
        <v/>
      </c>
      <c r="BP70" s="56">
        <f>BP71+BP73+BP79+BP84+BP89+BP95+BP97+BP103+BP106+BP112+BP119</f>
        <v/>
      </c>
      <c r="BQ70" s="56">
        <f>BP70-BO70</f>
        <v/>
      </c>
      <c r="BR70" s="57">
        <f>IF(BO70=0,"",BP70/BO70)</f>
        <v/>
      </c>
      <c r="BS70" s="18" t="n"/>
      <c r="BT70" s="56">
        <f>BT71+BT73+BT79+BT84+BT89+BT95+BT97+BT103+BT106+BT112+BT119</f>
        <v/>
      </c>
      <c r="BU70" s="56">
        <f>BU71+BU73+BU79+BU84+BU89+BU95+BU97+BU103+BU106+BU112+BU119</f>
        <v/>
      </c>
      <c r="BV70" s="56">
        <f>BU70-BT70</f>
        <v/>
      </c>
      <c r="BW70" s="57">
        <f>IF(BT70=0,"",BU70/BT70)</f>
        <v/>
      </c>
      <c r="BX70" s="18" t="n"/>
      <c r="BY70" s="56">
        <f>BY71+BY73+BY79+BY84+BY89+BY95+BY97+BY103+BY106+BY112+BY119</f>
        <v/>
      </c>
      <c r="BZ70" s="56">
        <f>BZ71+BZ73+BZ79+BZ84+BZ89+BZ95+BZ97+BZ103+BZ106+BZ112+BZ119</f>
        <v/>
      </c>
      <c r="CA70" s="56">
        <f>BZ70-BY70</f>
        <v/>
      </c>
      <c r="CB70" s="57">
        <f>IF(BY70=0,"",BZ70/BY70)</f>
        <v/>
      </c>
      <c r="CC70" s="18" t="n"/>
      <c r="CD70" s="56">
        <f>CD71+CD73+CD79+CD84+CD89+CD95+CD97+CD103+CD106+CD112+CD119</f>
        <v/>
      </c>
      <c r="CE70" s="56">
        <f>CE71+CE73+CE79+CE84+CE89+CE95+CE97+CE103+CE106+CE112+CE119</f>
        <v/>
      </c>
      <c r="CF70" s="56">
        <f>CE70-CD70</f>
        <v/>
      </c>
      <c r="CG70" s="57">
        <f>IF(CD70=0,"",CE70/CD70)</f>
        <v/>
      </c>
      <c r="CH70" s="18" t="n"/>
      <c r="CI70" s="56">
        <f>CI71+CI73+CI79+CI84+CI89+CI95+CI97+CI103+CI106+CI112+CI119</f>
        <v/>
      </c>
      <c r="CJ70" s="56">
        <f>CJ71+CJ73+CJ79+CJ84+CJ89+CJ95+CJ97+CJ103+CJ106+CJ112+CJ119</f>
        <v/>
      </c>
      <c r="CK70" s="56">
        <f>CJ70-CI70</f>
        <v/>
      </c>
      <c r="CL70" s="57">
        <f>IF(CI70=0,"",CJ70/CI70)</f>
        <v/>
      </c>
      <c r="CM70" s="18" t="n"/>
      <c r="CN70" s="56">
        <f>CN71+CN73+CN79+CN84+CN89+CN95+CN97+CN103+CN106+CN112+CN119</f>
        <v/>
      </c>
      <c r="CO70" s="56">
        <f>CO71+CO73+CO79+CO84+CO89+CO95+CO97+CO103+CO106+CO112+CO119</f>
        <v/>
      </c>
      <c r="CP70" s="56">
        <f>CO70-CN70</f>
        <v/>
      </c>
      <c r="CQ70" s="57">
        <f>IF(CN70=0,"",CO70/CN70)</f>
        <v/>
      </c>
      <c r="CR70" s="18" t="n"/>
      <c r="CS70" s="56">
        <f>CS71+CS73+CS79+CS84+CS89+CS95+CS97+CS103+CS106+CS112+CS119</f>
        <v/>
      </c>
      <c r="CT70" s="56">
        <f>CT71+CT73+CT79+CT84+CT89+CT95+CT97+CT103+CT106+CT112+CT119</f>
        <v/>
      </c>
      <c r="CU70" s="56">
        <f>CT70-CS70</f>
        <v/>
      </c>
      <c r="CV70" s="57">
        <f>IF(CS70=0,"",CT70/CS70)</f>
        <v/>
      </c>
      <c r="CW70" s="18" t="n"/>
      <c r="CX70" s="56">
        <f>CX71+CX73+CX79+CX84+CX89+CX95+CX97+CX103+CX106+CX112+CX119</f>
        <v/>
      </c>
      <c r="CY70" s="56">
        <f>CY71+CY73+CY79+CY84+CY89+CY95+CY97+CY103+CY106+CY112+CY119</f>
        <v/>
      </c>
      <c r="CZ70" s="56">
        <f>CY70-CX70</f>
        <v/>
      </c>
      <c r="DA70" s="57">
        <f>IF(CX70=0,"",CY70/CX70)</f>
        <v/>
      </c>
      <c r="DB70" s="18" t="n"/>
      <c r="DC70" s="56">
        <f>DC71+DC73+DC79+DC84+DC89+DC95+DC97+DC103+DC106+DC112+DC119</f>
        <v/>
      </c>
      <c r="DD70" s="56">
        <f>DD71+DD73+DD79+DD84+DD89+DD95+DD97+DD103+DD106+DD112+DD119</f>
        <v/>
      </c>
      <c r="DE70" s="56">
        <f>DD70-DC70</f>
        <v/>
      </c>
      <c r="DF70" s="57">
        <f>IF(DC70=0,"",DD70/DC70)</f>
        <v/>
      </c>
      <c r="DG70" s="18" t="n"/>
      <c r="DH70" s="56">
        <f>DH71+DH73+DH79+DH84+DH89+DH95+DH97+DH103+DH106+DH112+DH119</f>
        <v/>
      </c>
      <c r="DI70" s="56">
        <f>DI71+DI73+DI79+DI84+DI89+DI95+DI97+DI103+DI106+DI112+DI119</f>
        <v/>
      </c>
      <c r="DJ70" s="56">
        <f>DI70-DH70</f>
        <v/>
      </c>
      <c r="DK70" s="57">
        <f>IF(DH70=0,"",DI70/DH70)</f>
        <v/>
      </c>
      <c r="DL70" s="18" t="n"/>
      <c r="DM70" s="56">
        <f>DM71+DM73+DM79+DM84+DM89+DM95+DM97+DM103+DM106+DM112+DM119</f>
        <v/>
      </c>
      <c r="DN70" s="56">
        <f>DN71+DN73+DN79+DN84+DN89+DN95+DN97+DN103+DN106+DN112+DN119</f>
        <v/>
      </c>
      <c r="DO70" s="56">
        <f>DN70-DM70</f>
        <v/>
      </c>
      <c r="DP70" s="57">
        <f>IF(DM70=0,"",DN70/DM70)</f>
        <v/>
      </c>
      <c r="DQ70" s="18" t="n"/>
      <c r="DR70" s="56">
        <f>DR71+DR73+DR79+DR84+DR89+DR95+DR97+DR103+DR106+DR112+DR119</f>
        <v/>
      </c>
    </row>
    <row r="71" ht="15" customHeight="1">
      <c r="A71" s="32" t="n"/>
      <c r="B71" s="32" t="n"/>
      <c r="C71" s="32" t="n"/>
      <c r="D71" s="32" t="n"/>
      <c r="E71" s="32" t="n"/>
      <c r="F71" s="32" t="n"/>
      <c r="G71" s="65">
        <f>G72</f>
        <v/>
      </c>
      <c r="H71" s="65">
        <f>H72</f>
        <v/>
      </c>
      <c r="I71" s="65">
        <f>H71-G71</f>
        <v/>
      </c>
      <c r="J71" s="66">
        <f>IF(G71=0,"",H71/G71)</f>
        <v/>
      </c>
      <c r="K71" s="35" t="n"/>
      <c r="L71" s="65">
        <f>L72</f>
        <v/>
      </c>
      <c r="M71" s="65">
        <f>M72</f>
        <v/>
      </c>
      <c r="N71" s="65">
        <f>M71-L71</f>
        <v/>
      </c>
      <c r="O71" s="66">
        <f>IF(L71=0,"",M71/L71)</f>
        <v/>
      </c>
      <c r="P71" s="35" t="n"/>
      <c r="Q71" s="65">
        <f>Q72</f>
        <v/>
      </c>
      <c r="R71" s="65">
        <f>R72</f>
        <v/>
      </c>
      <c r="S71" s="65">
        <f>R71-Q71</f>
        <v/>
      </c>
      <c r="T71" s="66">
        <f>IF(Q71=0,"",R71/Q71)</f>
        <v/>
      </c>
      <c r="U71" s="35" t="n"/>
      <c r="V71" s="65">
        <f>V72</f>
        <v/>
      </c>
      <c r="W71" s="65">
        <f>W72</f>
        <v/>
      </c>
      <c r="X71" s="65">
        <f>W71-V71</f>
        <v/>
      </c>
      <c r="Y71" s="66">
        <f>IF(V71=0,"",W71/V71)</f>
        <v/>
      </c>
      <c r="Z71" s="35" t="n"/>
      <c r="AA71" s="65">
        <f>AA72</f>
        <v/>
      </c>
      <c r="AB71" s="65">
        <f>AB72</f>
        <v/>
      </c>
      <c r="AC71" s="65">
        <f>AB71-AA71</f>
        <v/>
      </c>
      <c r="AD71" s="66">
        <f>IF(AA71=0,"",AB71/AA71)</f>
        <v/>
      </c>
      <c r="AE71" s="35" t="n"/>
      <c r="AF71" s="65">
        <f>AF72</f>
        <v/>
      </c>
      <c r="AG71" s="65">
        <f>AG72</f>
        <v/>
      </c>
      <c r="AH71" s="65">
        <f>AG71-AF71</f>
        <v/>
      </c>
      <c r="AI71" s="66">
        <f>IF(AF71=0,"",AG71/AF71)</f>
        <v/>
      </c>
      <c r="AJ71" s="35" t="n"/>
      <c r="AK71" s="65">
        <f>AK72</f>
        <v/>
      </c>
      <c r="AL71" s="65">
        <f>AL72</f>
        <v/>
      </c>
      <c r="AM71" s="65">
        <f>AL71-AK71</f>
        <v/>
      </c>
      <c r="AN71" s="66">
        <f>IF(AK71=0,"",AL71/AK71)</f>
        <v/>
      </c>
      <c r="AO71" s="35" t="n"/>
      <c r="AP71" s="65">
        <f>AP72</f>
        <v/>
      </c>
      <c r="AQ71" s="65">
        <f>AQ72</f>
        <v/>
      </c>
      <c r="AR71" s="65">
        <f>AQ71-AP71</f>
        <v/>
      </c>
      <c r="AS71" s="66">
        <f>IF(AP71=0,"",AQ71/AP71)</f>
        <v/>
      </c>
      <c r="AT71" s="35" t="n"/>
      <c r="AU71" s="65">
        <f>AU72</f>
        <v/>
      </c>
      <c r="AV71" s="65">
        <f>AV72</f>
        <v/>
      </c>
      <c r="AW71" s="65">
        <f>AV71-AU71</f>
        <v/>
      </c>
      <c r="AX71" s="66">
        <f>IF(AU71=0,"",AV71/AU71)</f>
        <v/>
      </c>
      <c r="AY71" s="35" t="n"/>
      <c r="AZ71" s="65">
        <f>AZ72</f>
        <v/>
      </c>
      <c r="BA71" s="65">
        <f>BA72</f>
        <v/>
      </c>
      <c r="BB71" s="65">
        <f>BA71-AZ71</f>
        <v/>
      </c>
      <c r="BC71" s="66">
        <f>IF(AZ71=0,"",BA71/AZ71)</f>
        <v/>
      </c>
      <c r="BD71" s="35" t="n"/>
      <c r="BE71" s="65">
        <f>BE72</f>
        <v/>
      </c>
      <c r="BF71" s="65">
        <f>BF72</f>
        <v/>
      </c>
      <c r="BG71" s="65">
        <f>BF71-BE71</f>
        <v/>
      </c>
      <c r="BH71" s="66">
        <f>IF(BE71=0,"",BF71/BE71)</f>
        <v/>
      </c>
      <c r="BI71" s="35" t="n"/>
      <c r="BJ71" s="65">
        <f>BJ72</f>
        <v/>
      </c>
      <c r="BK71" s="65">
        <f>BK72</f>
        <v/>
      </c>
      <c r="BL71" s="65">
        <f>BK71-BJ71</f>
        <v/>
      </c>
      <c r="BM71" s="66">
        <f>IF(BJ71=0,"",BK71/BJ71)</f>
        <v/>
      </c>
      <c r="BN71" s="35" t="n"/>
      <c r="BO71" s="65">
        <f>BO72</f>
        <v/>
      </c>
      <c r="BP71" s="65">
        <f>BP72</f>
        <v/>
      </c>
      <c r="BQ71" s="65">
        <f>BP71-BO71</f>
        <v/>
      </c>
      <c r="BR71" s="66">
        <f>IF(BO71=0,"",BP71/BO71)</f>
        <v/>
      </c>
      <c r="BS71" s="35" t="n"/>
      <c r="BT71" s="65">
        <f>BT72</f>
        <v/>
      </c>
      <c r="BU71" s="65">
        <f>BU72</f>
        <v/>
      </c>
      <c r="BV71" s="65">
        <f>BU71-BT71</f>
        <v/>
      </c>
      <c r="BW71" s="66">
        <f>IF(BT71=0,"",BU71/BT71)</f>
        <v/>
      </c>
      <c r="BX71" s="35" t="n"/>
      <c r="BY71" s="65">
        <f>BY72</f>
        <v/>
      </c>
      <c r="BZ71" s="65">
        <f>BZ72</f>
        <v/>
      </c>
      <c r="CA71" s="65">
        <f>BZ71-BY71</f>
        <v/>
      </c>
      <c r="CB71" s="66">
        <f>IF(BY71=0,"",BZ71/BY71)</f>
        <v/>
      </c>
      <c r="CC71" s="35" t="n"/>
      <c r="CD71" s="65">
        <f>CD72</f>
        <v/>
      </c>
      <c r="CE71" s="65">
        <f>CE72</f>
        <v/>
      </c>
      <c r="CF71" s="65">
        <f>CE71-CD71</f>
        <v/>
      </c>
      <c r="CG71" s="66">
        <f>IF(CD71=0,"",CE71/CD71)</f>
        <v/>
      </c>
      <c r="CH71" s="35" t="n"/>
      <c r="CI71" s="65">
        <f>CI72</f>
        <v/>
      </c>
      <c r="CJ71" s="65">
        <f>CJ72</f>
        <v/>
      </c>
      <c r="CK71" s="65">
        <f>CJ71-CI71</f>
        <v/>
      </c>
      <c r="CL71" s="66">
        <f>IF(CI71=0,"",CJ71/CI71)</f>
        <v/>
      </c>
      <c r="CM71" s="35" t="n"/>
      <c r="CN71" s="65">
        <f>CN72</f>
        <v/>
      </c>
      <c r="CO71" s="65">
        <f>CO72</f>
        <v/>
      </c>
      <c r="CP71" s="65">
        <f>CO71-CN71</f>
        <v/>
      </c>
      <c r="CQ71" s="66">
        <f>IF(CN71=0,"",CO71/CN71)</f>
        <v/>
      </c>
      <c r="CR71" s="35" t="n"/>
      <c r="CS71" s="65">
        <f>CS72</f>
        <v/>
      </c>
      <c r="CT71" s="65">
        <f>CT72</f>
        <v/>
      </c>
      <c r="CU71" s="65">
        <f>CT71-CS71</f>
        <v/>
      </c>
      <c r="CV71" s="66">
        <f>IF(CS71=0,"",CT71/CS71)</f>
        <v/>
      </c>
      <c r="CW71" s="35" t="n"/>
      <c r="CX71" s="65">
        <f>CX72</f>
        <v/>
      </c>
      <c r="CY71" s="65">
        <f>CY72</f>
        <v/>
      </c>
      <c r="CZ71" s="65">
        <f>CY71-CX71</f>
        <v/>
      </c>
      <c r="DA71" s="66">
        <f>IF(CX71=0,"",CY71/CX71)</f>
        <v/>
      </c>
      <c r="DB71" s="35" t="n"/>
      <c r="DC71" s="65">
        <f>DC72</f>
        <v/>
      </c>
      <c r="DD71" s="65">
        <f>DD72</f>
        <v/>
      </c>
      <c r="DE71" s="65">
        <f>DD71-DC71</f>
        <v/>
      </c>
      <c r="DF71" s="66">
        <f>IF(DC71=0,"",DD71/DC71)</f>
        <v/>
      </c>
      <c r="DG71" s="35" t="n"/>
      <c r="DH71" s="65">
        <f>DH72</f>
        <v/>
      </c>
      <c r="DI71" s="65">
        <f>DI72</f>
        <v/>
      </c>
      <c r="DJ71" s="65">
        <f>DI71-DH71</f>
        <v/>
      </c>
      <c r="DK71" s="66">
        <f>IF(DH71=0,"",DI71/DH71)</f>
        <v/>
      </c>
      <c r="DL71" s="35" t="n"/>
      <c r="DM71" s="65">
        <f>DM72</f>
        <v/>
      </c>
      <c r="DN71" s="65">
        <f>DN72</f>
        <v/>
      </c>
      <c r="DO71" s="65">
        <f>DN71-DM71</f>
        <v/>
      </c>
      <c r="DP71" s="66">
        <f>IF(DM71=0,"",DN71/DM71)</f>
        <v/>
      </c>
      <c r="DQ71" s="35" t="n"/>
      <c r="DR71" s="65">
        <f>DR72</f>
        <v/>
      </c>
    </row>
    <row r="72" outlineLevel="1" ht="15" customHeight="1">
      <c r="A72" s="24" t="n"/>
      <c r="B72" s="24" t="n"/>
      <c r="C72" s="24" t="n"/>
      <c r="D72" s="24" t="n"/>
      <c r="E72" s="24" t="n"/>
      <c r="F72" s="24" t="n"/>
      <c r="G72" s="60" t="n"/>
      <c r="H72" s="60" t="n"/>
      <c r="I72" s="60">
        <f>H72-G72</f>
        <v/>
      </c>
      <c r="J72" s="61">
        <f>IF(G72=0,"",H72/G72)</f>
        <v/>
      </c>
      <c r="K72" s="27" t="n"/>
      <c r="L72" s="60" t="n"/>
      <c r="M72" s="60" t="n"/>
      <c r="N72" s="60">
        <f>M72-L72</f>
        <v/>
      </c>
      <c r="O72" s="61">
        <f>IF(L72=0,"",M72/L72)</f>
        <v/>
      </c>
      <c r="P72" s="27" t="n"/>
      <c r="Q72" s="62" t="n"/>
      <c r="R72" s="62" t="n"/>
      <c r="S72" s="62">
        <f>R72-Q72</f>
        <v/>
      </c>
      <c r="T72" s="64">
        <f>IF(Q72=0,"",R72/Q72)</f>
        <v/>
      </c>
      <c r="U72" s="31" t="n"/>
      <c r="V72" s="60" t="n"/>
      <c r="W72" s="60" t="n"/>
      <c r="X72" s="60">
        <f>W72-V72</f>
        <v/>
      </c>
      <c r="Y72" s="61">
        <f>IF(V72=0,"",W72/V72)</f>
        <v/>
      </c>
      <c r="Z72" s="27" t="n"/>
      <c r="AA72" s="62" t="n"/>
      <c r="AB72" s="62" t="n"/>
      <c r="AC72" s="62">
        <f>AB72-AA72</f>
        <v/>
      </c>
      <c r="AD72" s="64">
        <f>IF(AA72=0,"",AB72/AA72)</f>
        <v/>
      </c>
      <c r="AE72" s="31" t="n"/>
      <c r="AF72" s="60" t="n"/>
      <c r="AG72" s="60" t="n"/>
      <c r="AH72" s="60">
        <f>AG72-AF72</f>
        <v/>
      </c>
      <c r="AI72" s="61">
        <f>IF(AF72=0,"",AG72/AF72)</f>
        <v/>
      </c>
      <c r="AJ72" s="27" t="n"/>
      <c r="AK72" s="62" t="n"/>
      <c r="AL72" s="62" t="n"/>
      <c r="AM72" s="62">
        <f>AL72-AK72</f>
        <v/>
      </c>
      <c r="AN72" s="64">
        <f>IF(AK72=0,"",AL72/AK72)</f>
        <v/>
      </c>
      <c r="AO72" s="31" t="n"/>
      <c r="AP72" s="60" t="n"/>
      <c r="AQ72" s="60" t="n"/>
      <c r="AR72" s="60">
        <f>AQ72-AP72</f>
        <v/>
      </c>
      <c r="AS72" s="61">
        <f>IF(AP72=0,"",AQ72/AP72)</f>
        <v/>
      </c>
      <c r="AT72" s="27" t="n"/>
      <c r="AU72" s="62" t="n"/>
      <c r="AV72" s="62" t="n"/>
      <c r="AW72" s="62">
        <f>AV72-AU72</f>
        <v/>
      </c>
      <c r="AX72" s="64">
        <f>IF(AU72=0,"",AV72/AU72)</f>
        <v/>
      </c>
      <c r="AY72" s="31" t="n"/>
      <c r="AZ72" s="60" t="n"/>
      <c r="BA72" s="60" t="n"/>
      <c r="BB72" s="60">
        <f>BA72-AZ72</f>
        <v/>
      </c>
      <c r="BC72" s="61">
        <f>IF(AZ72=0,"",BA72/AZ72)</f>
        <v/>
      </c>
      <c r="BD72" s="27" t="n"/>
      <c r="BE72" s="62" t="n"/>
      <c r="BF72" s="62" t="n"/>
      <c r="BG72" s="62">
        <f>BF72-BE72</f>
        <v/>
      </c>
      <c r="BH72" s="64">
        <f>IF(BE72=0,"",BF72/BE72)</f>
        <v/>
      </c>
      <c r="BI72" s="31" t="n"/>
      <c r="BJ72" s="60" t="n"/>
      <c r="BK72" s="60" t="n"/>
      <c r="BL72" s="60">
        <f>BK72-BJ72</f>
        <v/>
      </c>
      <c r="BM72" s="61">
        <f>IF(BJ72=0,"",BK72/BJ72)</f>
        <v/>
      </c>
      <c r="BN72" s="27" t="n"/>
      <c r="BO72" s="62" t="n"/>
      <c r="BP72" s="62" t="n"/>
      <c r="BQ72" s="62">
        <f>BP72-BO72</f>
        <v/>
      </c>
      <c r="BR72" s="64">
        <f>IF(BO72=0,"",BP72/BO72)</f>
        <v/>
      </c>
      <c r="BS72" s="31" t="n"/>
      <c r="BT72" s="60" t="n"/>
      <c r="BU72" s="60" t="n"/>
      <c r="BV72" s="60">
        <f>BU72-BT72</f>
        <v/>
      </c>
      <c r="BW72" s="61">
        <f>IF(BT72=0,"",BU72/BT72)</f>
        <v/>
      </c>
      <c r="BX72" s="27" t="n"/>
      <c r="BY72" s="62" t="n"/>
      <c r="BZ72" s="62" t="n"/>
      <c r="CA72" s="62">
        <f>BZ72-BY72</f>
        <v/>
      </c>
      <c r="CB72" s="64">
        <f>IF(BY72=0,"",BZ72/BY72)</f>
        <v/>
      </c>
      <c r="CC72" s="31" t="n"/>
      <c r="CD72" s="60" t="n"/>
      <c r="CE72" s="60" t="n"/>
      <c r="CF72" s="60">
        <f>CE72-CD72</f>
        <v/>
      </c>
      <c r="CG72" s="61">
        <f>IF(CD72=0,"",CE72/CD72)</f>
        <v/>
      </c>
      <c r="CH72" s="27" t="n"/>
      <c r="CI72" s="62" t="n"/>
      <c r="CJ72" s="62" t="n"/>
      <c r="CK72" s="62">
        <f>CJ72-CI72</f>
        <v/>
      </c>
      <c r="CL72" s="64">
        <f>IF(CI72=0,"",CJ72/CI72)</f>
        <v/>
      </c>
      <c r="CM72" s="31" t="n"/>
      <c r="CN72" s="60" t="n"/>
      <c r="CO72" s="60" t="n"/>
      <c r="CP72" s="60">
        <f>CO72-CN72</f>
        <v/>
      </c>
      <c r="CQ72" s="61">
        <f>IF(CN72=0,"",CO72/CN72)</f>
        <v/>
      </c>
      <c r="CR72" s="27" t="n"/>
      <c r="CS72" s="62" t="n"/>
      <c r="CT72" s="62" t="n"/>
      <c r="CU72" s="62">
        <f>CT72-CS72</f>
        <v/>
      </c>
      <c r="CV72" s="64">
        <f>IF(CS72=0,"",CT72/CS72)</f>
        <v/>
      </c>
      <c r="CW72" s="31" t="n"/>
      <c r="CX72" s="60" t="n"/>
      <c r="CY72" s="60" t="n"/>
      <c r="CZ72" s="60">
        <f>CY72-CX72</f>
        <v/>
      </c>
      <c r="DA72" s="61">
        <f>IF(CX72=0,"",CY72/CX72)</f>
        <v/>
      </c>
      <c r="DB72" s="27" t="n"/>
      <c r="DC72" s="62" t="n"/>
      <c r="DD72" s="62" t="n"/>
      <c r="DE72" s="62">
        <f>DD72-DC72</f>
        <v/>
      </c>
      <c r="DF72" s="64">
        <f>IF(DC72=0,"",DD72/DC72)</f>
        <v/>
      </c>
      <c r="DG72" s="31" t="n"/>
      <c r="DH72" s="60" t="n"/>
      <c r="DI72" s="60" t="n"/>
      <c r="DJ72" s="60">
        <f>DI72-DH72</f>
        <v/>
      </c>
      <c r="DK72" s="61">
        <f>IF(DH72=0,"",DI72/DH72)</f>
        <v/>
      </c>
      <c r="DL72" s="27" t="n"/>
      <c r="DM72" s="62" t="n"/>
      <c r="DN72" s="62" t="n"/>
      <c r="DO72" s="62">
        <f>DN72-DM72</f>
        <v/>
      </c>
      <c r="DP72" s="64">
        <f>IF(DM72=0,"",DN72/DM72)</f>
        <v/>
      </c>
      <c r="DQ72" s="31" t="n"/>
      <c r="DR72" s="60" t="n"/>
    </row>
    <row r="73" ht="15" customHeight="1">
      <c r="A73" s="32" t="n"/>
      <c r="B73" s="32" t="n"/>
      <c r="C73" s="32" t="n"/>
      <c r="D73" s="32" t="n"/>
      <c r="E73" s="32" t="n"/>
      <c r="F73" s="32" t="n"/>
      <c r="G73" s="65">
        <f>G74+G75+G76+G77+G78</f>
        <v/>
      </c>
      <c r="H73" s="65">
        <f>H74+H75+H76+H77+H78</f>
        <v/>
      </c>
      <c r="I73" s="65">
        <f>H73-G73</f>
        <v/>
      </c>
      <c r="J73" s="66">
        <f>IF(G73=0,"",H73/G73)</f>
        <v/>
      </c>
      <c r="K73" s="35" t="n"/>
      <c r="L73" s="65">
        <f>L74+L75+L76+L77+L78</f>
        <v/>
      </c>
      <c r="M73" s="65">
        <f>M74+M75+M76+M77+M78</f>
        <v/>
      </c>
      <c r="N73" s="65">
        <f>M73-L73</f>
        <v/>
      </c>
      <c r="O73" s="66">
        <f>IF(L73=0,"",M73/L73)</f>
        <v/>
      </c>
      <c r="P73" s="35" t="n"/>
      <c r="Q73" s="65">
        <f>Q74+Q75+Q76+Q77+Q78</f>
        <v/>
      </c>
      <c r="R73" s="65">
        <f>R74+R75+R76+R77+R78</f>
        <v/>
      </c>
      <c r="S73" s="65">
        <f>R73-Q73</f>
        <v/>
      </c>
      <c r="T73" s="66">
        <f>IF(Q73=0,"",R73/Q73)</f>
        <v/>
      </c>
      <c r="U73" s="35" t="n"/>
      <c r="V73" s="65">
        <f>V74+V75+V76+V77+V78</f>
        <v/>
      </c>
      <c r="W73" s="65">
        <f>W74+W75+W76+W77+W78</f>
        <v/>
      </c>
      <c r="X73" s="65">
        <f>W73-V73</f>
        <v/>
      </c>
      <c r="Y73" s="66">
        <f>IF(V73=0,"",W73/V73)</f>
        <v/>
      </c>
      <c r="Z73" s="35" t="n"/>
      <c r="AA73" s="65">
        <f>AA74+AA75+AA76+AA77+AA78</f>
        <v/>
      </c>
      <c r="AB73" s="65">
        <f>AB74+AB75+AB76+AB77+AB78</f>
        <v/>
      </c>
      <c r="AC73" s="65">
        <f>AB73-AA73</f>
        <v/>
      </c>
      <c r="AD73" s="66">
        <f>IF(AA73=0,"",AB73/AA73)</f>
        <v/>
      </c>
      <c r="AE73" s="35" t="n"/>
      <c r="AF73" s="65">
        <f>AF74+AF75+AF76+AF77+AF78</f>
        <v/>
      </c>
      <c r="AG73" s="65">
        <f>AG74+AG75+AG76+AG77+AG78</f>
        <v/>
      </c>
      <c r="AH73" s="65">
        <f>AG73-AF73</f>
        <v/>
      </c>
      <c r="AI73" s="66">
        <f>IF(AF73=0,"",AG73/AF73)</f>
        <v/>
      </c>
      <c r="AJ73" s="35" t="n"/>
      <c r="AK73" s="65">
        <f>AK74+AK75+AK76+AK77+AK78</f>
        <v/>
      </c>
      <c r="AL73" s="65">
        <f>AL74+AL75+AL76+AL77+AL78</f>
        <v/>
      </c>
      <c r="AM73" s="65">
        <f>AL73-AK73</f>
        <v/>
      </c>
      <c r="AN73" s="66">
        <f>IF(AK73=0,"",AL73/AK73)</f>
        <v/>
      </c>
      <c r="AO73" s="35" t="n"/>
      <c r="AP73" s="65">
        <f>AP74+AP75+AP76+AP77+AP78</f>
        <v/>
      </c>
      <c r="AQ73" s="65">
        <f>AQ74+AQ75+AQ76+AQ77+AQ78</f>
        <v/>
      </c>
      <c r="AR73" s="65">
        <f>AQ73-AP73</f>
        <v/>
      </c>
      <c r="AS73" s="66">
        <f>IF(AP73=0,"",AQ73/AP73)</f>
        <v/>
      </c>
      <c r="AT73" s="35" t="n"/>
      <c r="AU73" s="65">
        <f>AU74+AU75+AU76+AU77+AU78</f>
        <v/>
      </c>
      <c r="AV73" s="65">
        <f>AV74+AV75+AV76+AV77+AV78</f>
        <v/>
      </c>
      <c r="AW73" s="65">
        <f>AV73-AU73</f>
        <v/>
      </c>
      <c r="AX73" s="66">
        <f>IF(AU73=0,"",AV73/AU73)</f>
        <v/>
      </c>
      <c r="AY73" s="35" t="n"/>
      <c r="AZ73" s="65">
        <f>AZ74+AZ75+AZ76+AZ77+AZ78</f>
        <v/>
      </c>
      <c r="BA73" s="65">
        <f>BA74+BA75+BA76+BA77+BA78</f>
        <v/>
      </c>
      <c r="BB73" s="65">
        <f>BA73-AZ73</f>
        <v/>
      </c>
      <c r="BC73" s="66">
        <f>IF(AZ73=0,"",BA73/AZ73)</f>
        <v/>
      </c>
      <c r="BD73" s="35" t="n"/>
      <c r="BE73" s="65">
        <f>BE74+BE75+BE76+BE77+BE78</f>
        <v/>
      </c>
      <c r="BF73" s="65">
        <f>BF74+BF75+BF76+BF77+BF78</f>
        <v/>
      </c>
      <c r="BG73" s="65">
        <f>BF73-BE73</f>
        <v/>
      </c>
      <c r="BH73" s="66">
        <f>IF(BE73=0,"",BF73/BE73)</f>
        <v/>
      </c>
      <c r="BI73" s="35" t="n"/>
      <c r="BJ73" s="65">
        <f>BJ74+BJ75+BJ76+BJ77+BJ78</f>
        <v/>
      </c>
      <c r="BK73" s="65">
        <f>BK74+BK75+BK76+BK77+BK78</f>
        <v/>
      </c>
      <c r="BL73" s="65">
        <f>BK73-BJ73</f>
        <v/>
      </c>
      <c r="BM73" s="66">
        <f>IF(BJ73=0,"",BK73/BJ73)</f>
        <v/>
      </c>
      <c r="BN73" s="35" t="n"/>
      <c r="BO73" s="65">
        <f>BO74+BO75+BO76+BO77+BO78</f>
        <v/>
      </c>
      <c r="BP73" s="65">
        <f>BP74+BP75+BP76+BP77+BP78</f>
        <v/>
      </c>
      <c r="BQ73" s="65">
        <f>BP73-BO73</f>
        <v/>
      </c>
      <c r="BR73" s="66">
        <f>IF(BO73=0,"",BP73/BO73)</f>
        <v/>
      </c>
      <c r="BS73" s="35" t="n"/>
      <c r="BT73" s="65">
        <f>BT74+BT75+BT76+BT77+BT78</f>
        <v/>
      </c>
      <c r="BU73" s="65">
        <f>BU74+BU75+BU76+BU77+BU78</f>
        <v/>
      </c>
      <c r="BV73" s="65">
        <f>BU73-BT73</f>
        <v/>
      </c>
      <c r="BW73" s="66">
        <f>IF(BT73=0,"",BU73/BT73)</f>
        <v/>
      </c>
      <c r="BX73" s="35" t="n"/>
      <c r="BY73" s="65">
        <f>BY74+BY75+BY76+BY77+BY78</f>
        <v/>
      </c>
      <c r="BZ73" s="65">
        <f>BZ74+BZ75+BZ76+BZ77+BZ78</f>
        <v/>
      </c>
      <c r="CA73" s="65">
        <f>BZ73-BY73</f>
        <v/>
      </c>
      <c r="CB73" s="66">
        <f>IF(BY73=0,"",BZ73/BY73)</f>
        <v/>
      </c>
      <c r="CC73" s="35" t="n"/>
      <c r="CD73" s="65">
        <f>CD74+CD75+CD76+CD77+CD78</f>
        <v/>
      </c>
      <c r="CE73" s="65">
        <f>CE74+CE75+CE76+CE77+CE78</f>
        <v/>
      </c>
      <c r="CF73" s="65">
        <f>CE73-CD73</f>
        <v/>
      </c>
      <c r="CG73" s="66">
        <f>IF(CD73=0,"",CE73/CD73)</f>
        <v/>
      </c>
      <c r="CH73" s="35" t="n"/>
      <c r="CI73" s="65">
        <f>CI74+CI75+CI76+CI77+CI78</f>
        <v/>
      </c>
      <c r="CJ73" s="65">
        <f>CJ74+CJ75+CJ76+CJ77+CJ78</f>
        <v/>
      </c>
      <c r="CK73" s="65">
        <f>CJ73-CI73</f>
        <v/>
      </c>
      <c r="CL73" s="66">
        <f>IF(CI73=0,"",CJ73/CI73)</f>
        <v/>
      </c>
      <c r="CM73" s="35" t="n"/>
      <c r="CN73" s="65">
        <f>CN74+CN75+CN76+CN77+CN78</f>
        <v/>
      </c>
      <c r="CO73" s="65">
        <f>CO74+CO75+CO76+CO77+CO78</f>
        <v/>
      </c>
      <c r="CP73" s="65">
        <f>CO73-CN73</f>
        <v/>
      </c>
      <c r="CQ73" s="66">
        <f>IF(CN73=0,"",CO73/CN73)</f>
        <v/>
      </c>
      <c r="CR73" s="35" t="n"/>
      <c r="CS73" s="65">
        <f>CS74+CS75+CS76+CS77+CS78</f>
        <v/>
      </c>
      <c r="CT73" s="65">
        <f>CT74+CT75+CT76+CT77+CT78</f>
        <v/>
      </c>
      <c r="CU73" s="65">
        <f>CT73-CS73</f>
        <v/>
      </c>
      <c r="CV73" s="66">
        <f>IF(CS73=0,"",CT73/CS73)</f>
        <v/>
      </c>
      <c r="CW73" s="35" t="n"/>
      <c r="CX73" s="65">
        <f>CX74+CX75+CX76+CX77+CX78</f>
        <v/>
      </c>
      <c r="CY73" s="65">
        <f>CY74+CY75+CY76+CY77+CY78</f>
        <v/>
      </c>
      <c r="CZ73" s="65">
        <f>CY73-CX73</f>
        <v/>
      </c>
      <c r="DA73" s="66">
        <f>IF(CX73=0,"",CY73/CX73)</f>
        <v/>
      </c>
      <c r="DB73" s="35" t="n"/>
      <c r="DC73" s="65">
        <f>DC74+DC75+DC76+DC77+DC78</f>
        <v/>
      </c>
      <c r="DD73" s="65">
        <f>DD74+DD75+DD76+DD77+DD78</f>
        <v/>
      </c>
      <c r="DE73" s="65">
        <f>DD73-DC73</f>
        <v/>
      </c>
      <c r="DF73" s="66">
        <f>IF(DC73=0,"",DD73/DC73)</f>
        <v/>
      </c>
      <c r="DG73" s="35" t="n"/>
      <c r="DH73" s="65">
        <f>DH74+DH75+DH76+DH77+DH78</f>
        <v/>
      </c>
      <c r="DI73" s="65">
        <f>DI74+DI75+DI76+DI77+DI78</f>
        <v/>
      </c>
      <c r="DJ73" s="65">
        <f>DI73-DH73</f>
        <v/>
      </c>
      <c r="DK73" s="66">
        <f>IF(DH73=0,"",DI73/DH73)</f>
        <v/>
      </c>
      <c r="DL73" s="35" t="n"/>
      <c r="DM73" s="65">
        <f>DM74+DM75+DM76+DM77+DM78</f>
        <v/>
      </c>
      <c r="DN73" s="65">
        <f>DN74+DN75+DN76+DN77+DN78</f>
        <v/>
      </c>
      <c r="DO73" s="65">
        <f>DN73-DM73</f>
        <v/>
      </c>
      <c r="DP73" s="66">
        <f>IF(DM73=0,"",DN73/DM73)</f>
        <v/>
      </c>
      <c r="DQ73" s="35" t="n"/>
      <c r="DR73" s="65">
        <f>DR74+DR75+DR76+DR77+DR78</f>
        <v/>
      </c>
    </row>
    <row r="74" outlineLevel="1" ht="15" customHeight="1">
      <c r="A74" s="24" t="n"/>
      <c r="B74" s="24" t="n"/>
      <c r="C74" s="24" t="n"/>
      <c r="D74" s="24" t="n"/>
      <c r="E74" s="24" t="n"/>
      <c r="F74" s="24" t="n"/>
      <c r="G74" s="60" t="n"/>
      <c r="H74" s="60" t="n"/>
      <c r="I74" s="60">
        <f>H74-G74</f>
        <v/>
      </c>
      <c r="J74" s="61">
        <f>IF(G74=0,"",H74/G74)</f>
        <v/>
      </c>
      <c r="K74" s="27" t="n"/>
      <c r="L74" s="60" t="n"/>
      <c r="M74" s="60" t="n"/>
      <c r="N74" s="60">
        <f>M74-L74</f>
        <v/>
      </c>
      <c r="O74" s="61">
        <f>IF(L74=0,"",M74/L74)</f>
        <v/>
      </c>
      <c r="P74" s="27" t="n"/>
      <c r="Q74" s="62" t="n"/>
      <c r="R74" s="62" t="n"/>
      <c r="S74" s="62">
        <f>R74-Q74</f>
        <v/>
      </c>
      <c r="T74" s="64">
        <f>IF(Q74=0,"",R74/Q74)</f>
        <v/>
      </c>
      <c r="U74" s="31" t="n"/>
      <c r="V74" s="60" t="n"/>
      <c r="W74" s="60" t="n"/>
      <c r="X74" s="60">
        <f>W74-V74</f>
        <v/>
      </c>
      <c r="Y74" s="61">
        <f>IF(V74=0,"",W74/V74)</f>
        <v/>
      </c>
      <c r="Z74" s="27" t="n"/>
      <c r="AA74" s="62" t="n"/>
      <c r="AB74" s="62" t="n"/>
      <c r="AC74" s="62">
        <f>AB74-AA74</f>
        <v/>
      </c>
      <c r="AD74" s="64">
        <f>IF(AA74=0,"",AB74/AA74)</f>
        <v/>
      </c>
      <c r="AE74" s="31" t="n"/>
      <c r="AF74" s="60" t="n"/>
      <c r="AG74" s="60" t="n"/>
      <c r="AH74" s="60">
        <f>AG74-AF74</f>
        <v/>
      </c>
      <c r="AI74" s="61">
        <f>IF(AF74=0,"",AG74/AF74)</f>
        <v/>
      </c>
      <c r="AJ74" s="27" t="n"/>
      <c r="AK74" s="62" t="n"/>
      <c r="AL74" s="62" t="n"/>
      <c r="AM74" s="62">
        <f>AL74-AK74</f>
        <v/>
      </c>
      <c r="AN74" s="64">
        <f>IF(AK74=0,"",AL74/AK74)</f>
        <v/>
      </c>
      <c r="AO74" s="31" t="n"/>
      <c r="AP74" s="60" t="n"/>
      <c r="AQ74" s="60" t="n"/>
      <c r="AR74" s="60">
        <f>AQ74-AP74</f>
        <v/>
      </c>
      <c r="AS74" s="61">
        <f>IF(AP74=0,"",AQ74/AP74)</f>
        <v/>
      </c>
      <c r="AT74" s="27" t="n"/>
      <c r="AU74" s="62" t="n"/>
      <c r="AV74" s="62" t="n"/>
      <c r="AW74" s="62">
        <f>AV74-AU74</f>
        <v/>
      </c>
      <c r="AX74" s="64">
        <f>IF(AU74=0,"",AV74/AU74)</f>
        <v/>
      </c>
      <c r="AY74" s="31" t="n"/>
      <c r="AZ74" s="60" t="n"/>
      <c r="BA74" s="60" t="n"/>
      <c r="BB74" s="60">
        <f>BA74-AZ74</f>
        <v/>
      </c>
      <c r="BC74" s="61">
        <f>IF(AZ74=0,"",BA74/AZ74)</f>
        <v/>
      </c>
      <c r="BD74" s="27" t="n"/>
      <c r="BE74" s="62" t="n"/>
      <c r="BF74" s="62" t="n"/>
      <c r="BG74" s="62">
        <f>BF74-BE74</f>
        <v/>
      </c>
      <c r="BH74" s="64">
        <f>IF(BE74=0,"",BF74/BE74)</f>
        <v/>
      </c>
      <c r="BI74" s="31" t="n"/>
      <c r="BJ74" s="60" t="n"/>
      <c r="BK74" s="60" t="n"/>
      <c r="BL74" s="60">
        <f>BK74-BJ74</f>
        <v/>
      </c>
      <c r="BM74" s="61">
        <f>IF(BJ74=0,"",BK74/BJ74)</f>
        <v/>
      </c>
      <c r="BN74" s="27" t="n"/>
      <c r="BO74" s="62" t="n"/>
      <c r="BP74" s="62" t="n"/>
      <c r="BQ74" s="62">
        <f>BP74-BO74</f>
        <v/>
      </c>
      <c r="BR74" s="64">
        <f>IF(BO74=0,"",BP74/BO74)</f>
        <v/>
      </c>
      <c r="BS74" s="31" t="n"/>
      <c r="BT74" s="60" t="n"/>
      <c r="BU74" s="60" t="n"/>
      <c r="BV74" s="60">
        <f>BU74-BT74</f>
        <v/>
      </c>
      <c r="BW74" s="61">
        <f>IF(BT74=0,"",BU74/BT74)</f>
        <v/>
      </c>
      <c r="BX74" s="27" t="n"/>
      <c r="BY74" s="62" t="n"/>
      <c r="BZ74" s="62" t="n"/>
      <c r="CA74" s="62">
        <f>BZ74-BY74</f>
        <v/>
      </c>
      <c r="CB74" s="64">
        <f>IF(BY74=0,"",BZ74/BY74)</f>
        <v/>
      </c>
      <c r="CC74" s="31" t="n"/>
      <c r="CD74" s="60" t="n"/>
      <c r="CE74" s="60" t="n"/>
      <c r="CF74" s="60">
        <f>CE74-CD74</f>
        <v/>
      </c>
      <c r="CG74" s="61">
        <f>IF(CD74=0,"",CE74/CD74)</f>
        <v/>
      </c>
      <c r="CH74" s="27" t="n"/>
      <c r="CI74" s="62" t="n"/>
      <c r="CJ74" s="62" t="n"/>
      <c r="CK74" s="62">
        <f>CJ74-CI74</f>
        <v/>
      </c>
      <c r="CL74" s="64">
        <f>IF(CI74=0,"",CJ74/CI74)</f>
        <v/>
      </c>
      <c r="CM74" s="31" t="n"/>
      <c r="CN74" s="60" t="n"/>
      <c r="CO74" s="60" t="n"/>
      <c r="CP74" s="60">
        <f>CO74-CN74</f>
        <v/>
      </c>
      <c r="CQ74" s="61">
        <f>IF(CN74=0,"",CO74/CN74)</f>
        <v/>
      </c>
      <c r="CR74" s="27" t="n"/>
      <c r="CS74" s="62" t="n"/>
      <c r="CT74" s="62" t="n"/>
      <c r="CU74" s="62">
        <f>CT74-CS74</f>
        <v/>
      </c>
      <c r="CV74" s="64">
        <f>IF(CS74=0,"",CT74/CS74)</f>
        <v/>
      </c>
      <c r="CW74" s="31" t="n"/>
      <c r="CX74" s="60" t="n"/>
      <c r="CY74" s="60" t="n"/>
      <c r="CZ74" s="60">
        <f>CY74-CX74</f>
        <v/>
      </c>
      <c r="DA74" s="61">
        <f>IF(CX74=0,"",CY74/CX74)</f>
        <v/>
      </c>
      <c r="DB74" s="27" t="n"/>
      <c r="DC74" s="62" t="n"/>
      <c r="DD74" s="62" t="n"/>
      <c r="DE74" s="62">
        <f>DD74-DC74</f>
        <v/>
      </c>
      <c r="DF74" s="64">
        <f>IF(DC74=0,"",DD74/DC74)</f>
        <v/>
      </c>
      <c r="DG74" s="31" t="n"/>
      <c r="DH74" s="60" t="n"/>
      <c r="DI74" s="60" t="n"/>
      <c r="DJ74" s="60">
        <f>DI74-DH74</f>
        <v/>
      </c>
      <c r="DK74" s="61">
        <f>IF(DH74=0,"",DI74/DH74)</f>
        <v/>
      </c>
      <c r="DL74" s="27" t="n"/>
      <c r="DM74" s="62" t="n"/>
      <c r="DN74" s="62" t="n"/>
      <c r="DO74" s="62">
        <f>DN74-DM74</f>
        <v/>
      </c>
      <c r="DP74" s="64">
        <f>IF(DM74=0,"",DN74/DM74)</f>
        <v/>
      </c>
      <c r="DQ74" s="31" t="n"/>
      <c r="DR74" s="60" t="n"/>
    </row>
    <row r="75" outlineLevel="1" ht="15" customHeight="1">
      <c r="A75" s="24" t="n"/>
      <c r="B75" s="24" t="n"/>
      <c r="C75" s="24" t="n"/>
      <c r="D75" s="24" t="n"/>
      <c r="E75" s="24" t="n"/>
      <c r="F75" s="24" t="n"/>
      <c r="G75" s="60" t="n"/>
      <c r="H75" s="60" t="n"/>
      <c r="I75" s="60">
        <f>H75-G75</f>
        <v/>
      </c>
      <c r="J75" s="61">
        <f>IF(G75=0,"",H75/G75)</f>
        <v/>
      </c>
      <c r="K75" s="27" t="n"/>
      <c r="L75" s="60" t="n"/>
      <c r="M75" s="60" t="n"/>
      <c r="N75" s="60">
        <f>M75-L75</f>
        <v/>
      </c>
      <c r="O75" s="61">
        <f>IF(L75=0,"",M75/L75)</f>
        <v/>
      </c>
      <c r="P75" s="27" t="n"/>
      <c r="Q75" s="62" t="n"/>
      <c r="R75" s="62" t="n"/>
      <c r="S75" s="62">
        <f>R75-Q75</f>
        <v/>
      </c>
      <c r="T75" s="64">
        <f>IF(Q75=0,"",R75/Q75)</f>
        <v/>
      </c>
      <c r="U75" s="31" t="n"/>
      <c r="V75" s="60" t="n"/>
      <c r="W75" s="60" t="n"/>
      <c r="X75" s="60">
        <f>W75-V75</f>
        <v/>
      </c>
      <c r="Y75" s="61">
        <f>IF(V75=0,"",W75/V75)</f>
        <v/>
      </c>
      <c r="Z75" s="27" t="n"/>
      <c r="AA75" s="62" t="n"/>
      <c r="AB75" s="62" t="n"/>
      <c r="AC75" s="62">
        <f>AB75-AA75</f>
        <v/>
      </c>
      <c r="AD75" s="64">
        <f>IF(AA75=0,"",AB75/AA75)</f>
        <v/>
      </c>
      <c r="AE75" s="31" t="n"/>
      <c r="AF75" s="60" t="n"/>
      <c r="AG75" s="60" t="n"/>
      <c r="AH75" s="60">
        <f>AG75-AF75</f>
        <v/>
      </c>
      <c r="AI75" s="61">
        <f>IF(AF75=0,"",AG75/AF75)</f>
        <v/>
      </c>
      <c r="AJ75" s="27" t="n"/>
      <c r="AK75" s="62" t="n"/>
      <c r="AL75" s="62" t="n"/>
      <c r="AM75" s="62">
        <f>AL75-AK75</f>
        <v/>
      </c>
      <c r="AN75" s="64">
        <f>IF(AK75=0,"",AL75/AK75)</f>
        <v/>
      </c>
      <c r="AO75" s="31" t="n"/>
      <c r="AP75" s="60" t="n"/>
      <c r="AQ75" s="60" t="n"/>
      <c r="AR75" s="60">
        <f>AQ75-AP75</f>
        <v/>
      </c>
      <c r="AS75" s="61">
        <f>IF(AP75=0,"",AQ75/AP75)</f>
        <v/>
      </c>
      <c r="AT75" s="27" t="n"/>
      <c r="AU75" s="62" t="n"/>
      <c r="AV75" s="62" t="n"/>
      <c r="AW75" s="62">
        <f>AV75-AU75</f>
        <v/>
      </c>
      <c r="AX75" s="64">
        <f>IF(AU75=0,"",AV75/AU75)</f>
        <v/>
      </c>
      <c r="AY75" s="31" t="n"/>
      <c r="AZ75" s="60" t="n"/>
      <c r="BA75" s="60" t="n"/>
      <c r="BB75" s="60">
        <f>BA75-AZ75</f>
        <v/>
      </c>
      <c r="BC75" s="61">
        <f>IF(AZ75=0,"",BA75/AZ75)</f>
        <v/>
      </c>
      <c r="BD75" s="27" t="n"/>
      <c r="BE75" s="62" t="n"/>
      <c r="BF75" s="62" t="n"/>
      <c r="BG75" s="62">
        <f>BF75-BE75</f>
        <v/>
      </c>
      <c r="BH75" s="64">
        <f>IF(BE75=0,"",BF75/BE75)</f>
        <v/>
      </c>
      <c r="BI75" s="31" t="n"/>
      <c r="BJ75" s="60" t="n"/>
      <c r="BK75" s="60" t="n"/>
      <c r="BL75" s="60">
        <f>BK75-BJ75</f>
        <v/>
      </c>
      <c r="BM75" s="61">
        <f>IF(BJ75=0,"",BK75/BJ75)</f>
        <v/>
      </c>
      <c r="BN75" s="27" t="n"/>
      <c r="BO75" s="62" t="n"/>
      <c r="BP75" s="62" t="n"/>
      <c r="BQ75" s="62">
        <f>BP75-BO75</f>
        <v/>
      </c>
      <c r="BR75" s="64">
        <f>IF(BO75=0,"",BP75/BO75)</f>
        <v/>
      </c>
      <c r="BS75" s="31" t="n"/>
      <c r="BT75" s="60" t="n"/>
      <c r="BU75" s="60" t="n"/>
      <c r="BV75" s="60">
        <f>BU75-BT75</f>
        <v/>
      </c>
      <c r="BW75" s="61">
        <f>IF(BT75=0,"",BU75/BT75)</f>
        <v/>
      </c>
      <c r="BX75" s="27" t="n"/>
      <c r="BY75" s="62" t="n"/>
      <c r="BZ75" s="62" t="n"/>
      <c r="CA75" s="62">
        <f>BZ75-BY75</f>
        <v/>
      </c>
      <c r="CB75" s="64">
        <f>IF(BY75=0,"",BZ75/BY75)</f>
        <v/>
      </c>
      <c r="CC75" s="31" t="n"/>
      <c r="CD75" s="60" t="n"/>
      <c r="CE75" s="60" t="n"/>
      <c r="CF75" s="60">
        <f>CE75-CD75</f>
        <v/>
      </c>
      <c r="CG75" s="61">
        <f>IF(CD75=0,"",CE75/CD75)</f>
        <v/>
      </c>
      <c r="CH75" s="27" t="n"/>
      <c r="CI75" s="62" t="n"/>
      <c r="CJ75" s="62" t="n"/>
      <c r="CK75" s="62">
        <f>CJ75-CI75</f>
        <v/>
      </c>
      <c r="CL75" s="64">
        <f>IF(CI75=0,"",CJ75/CI75)</f>
        <v/>
      </c>
      <c r="CM75" s="31" t="n"/>
      <c r="CN75" s="60" t="n"/>
      <c r="CO75" s="60" t="n"/>
      <c r="CP75" s="60">
        <f>CO75-CN75</f>
        <v/>
      </c>
      <c r="CQ75" s="61">
        <f>IF(CN75=0,"",CO75/CN75)</f>
        <v/>
      </c>
      <c r="CR75" s="27" t="n"/>
      <c r="CS75" s="62" t="n"/>
      <c r="CT75" s="62" t="n"/>
      <c r="CU75" s="62">
        <f>CT75-CS75</f>
        <v/>
      </c>
      <c r="CV75" s="64">
        <f>IF(CS75=0,"",CT75/CS75)</f>
        <v/>
      </c>
      <c r="CW75" s="31" t="n"/>
      <c r="CX75" s="60" t="n"/>
      <c r="CY75" s="60" t="n"/>
      <c r="CZ75" s="60">
        <f>CY75-CX75</f>
        <v/>
      </c>
      <c r="DA75" s="61">
        <f>IF(CX75=0,"",CY75/CX75)</f>
        <v/>
      </c>
      <c r="DB75" s="27" t="n"/>
      <c r="DC75" s="62" t="n"/>
      <c r="DD75" s="62" t="n"/>
      <c r="DE75" s="62">
        <f>DD75-DC75</f>
        <v/>
      </c>
      <c r="DF75" s="64">
        <f>IF(DC75=0,"",DD75/DC75)</f>
        <v/>
      </c>
      <c r="DG75" s="31" t="n"/>
      <c r="DH75" s="60" t="n"/>
      <c r="DI75" s="60" t="n"/>
      <c r="DJ75" s="60">
        <f>DI75-DH75</f>
        <v/>
      </c>
      <c r="DK75" s="61">
        <f>IF(DH75=0,"",DI75/DH75)</f>
        <v/>
      </c>
      <c r="DL75" s="27" t="n"/>
      <c r="DM75" s="62" t="n"/>
      <c r="DN75" s="62" t="n"/>
      <c r="DO75" s="62">
        <f>DN75-DM75</f>
        <v/>
      </c>
      <c r="DP75" s="64">
        <f>IF(DM75=0,"",DN75/DM75)</f>
        <v/>
      </c>
      <c r="DQ75" s="31" t="n"/>
      <c r="DR75" s="60" t="n"/>
    </row>
    <row r="76" outlineLevel="1" ht="15" customHeight="1">
      <c r="A76" s="24" t="n"/>
      <c r="B76" s="24" t="n"/>
      <c r="C76" s="24" t="n"/>
      <c r="D76" s="24" t="n"/>
      <c r="E76" s="24" t="n"/>
      <c r="F76" s="24" t="n"/>
      <c r="G76" s="60" t="n"/>
      <c r="H76" s="60" t="n"/>
      <c r="I76" s="60">
        <f>H76-G76</f>
        <v/>
      </c>
      <c r="J76" s="61">
        <f>IF(G76=0,"",H76/G76)</f>
        <v/>
      </c>
      <c r="K76" s="27" t="n"/>
      <c r="L76" s="60" t="n"/>
      <c r="M76" s="60" t="n"/>
      <c r="N76" s="60">
        <f>M76-L76</f>
        <v/>
      </c>
      <c r="O76" s="61">
        <f>IF(L76=0,"",M76/L76)</f>
        <v/>
      </c>
      <c r="P76" s="27" t="n"/>
      <c r="Q76" s="62" t="n"/>
      <c r="R76" s="62" t="n"/>
      <c r="S76" s="62">
        <f>R76-Q76</f>
        <v/>
      </c>
      <c r="T76" s="64">
        <f>IF(Q76=0,"",R76/Q76)</f>
        <v/>
      </c>
      <c r="U76" s="31" t="n"/>
      <c r="V76" s="60" t="n"/>
      <c r="W76" s="60" t="n"/>
      <c r="X76" s="60">
        <f>W76-V76</f>
        <v/>
      </c>
      <c r="Y76" s="61">
        <f>IF(V76=0,"",W76/V76)</f>
        <v/>
      </c>
      <c r="Z76" s="27" t="n"/>
      <c r="AA76" s="62" t="n"/>
      <c r="AB76" s="62" t="n"/>
      <c r="AC76" s="62">
        <f>AB76-AA76</f>
        <v/>
      </c>
      <c r="AD76" s="64">
        <f>IF(AA76=0,"",AB76/AA76)</f>
        <v/>
      </c>
      <c r="AE76" s="31" t="n"/>
      <c r="AF76" s="60" t="n"/>
      <c r="AG76" s="60" t="n"/>
      <c r="AH76" s="60">
        <f>AG76-AF76</f>
        <v/>
      </c>
      <c r="AI76" s="61">
        <f>IF(AF76=0,"",AG76/AF76)</f>
        <v/>
      </c>
      <c r="AJ76" s="27" t="n"/>
      <c r="AK76" s="62" t="n"/>
      <c r="AL76" s="62" t="n"/>
      <c r="AM76" s="62">
        <f>AL76-AK76</f>
        <v/>
      </c>
      <c r="AN76" s="64">
        <f>IF(AK76=0,"",AL76/AK76)</f>
        <v/>
      </c>
      <c r="AO76" s="31" t="n"/>
      <c r="AP76" s="60" t="n"/>
      <c r="AQ76" s="60" t="n"/>
      <c r="AR76" s="60">
        <f>AQ76-AP76</f>
        <v/>
      </c>
      <c r="AS76" s="61">
        <f>IF(AP76=0,"",AQ76/AP76)</f>
        <v/>
      </c>
      <c r="AT76" s="27" t="n"/>
      <c r="AU76" s="62" t="n"/>
      <c r="AV76" s="62" t="n"/>
      <c r="AW76" s="62">
        <f>AV76-AU76</f>
        <v/>
      </c>
      <c r="AX76" s="64">
        <f>IF(AU76=0,"",AV76/AU76)</f>
        <v/>
      </c>
      <c r="AY76" s="31" t="n"/>
      <c r="AZ76" s="60" t="n"/>
      <c r="BA76" s="60" t="n"/>
      <c r="BB76" s="60">
        <f>BA76-AZ76</f>
        <v/>
      </c>
      <c r="BC76" s="61">
        <f>IF(AZ76=0,"",BA76/AZ76)</f>
        <v/>
      </c>
      <c r="BD76" s="27" t="n"/>
      <c r="BE76" s="62" t="n"/>
      <c r="BF76" s="62" t="n"/>
      <c r="BG76" s="62">
        <f>BF76-BE76</f>
        <v/>
      </c>
      <c r="BH76" s="64">
        <f>IF(BE76=0,"",BF76/BE76)</f>
        <v/>
      </c>
      <c r="BI76" s="31" t="n"/>
      <c r="BJ76" s="60" t="n"/>
      <c r="BK76" s="60" t="n"/>
      <c r="BL76" s="60">
        <f>BK76-BJ76</f>
        <v/>
      </c>
      <c r="BM76" s="61">
        <f>IF(BJ76=0,"",BK76/BJ76)</f>
        <v/>
      </c>
      <c r="BN76" s="27" t="n"/>
      <c r="BO76" s="62" t="n"/>
      <c r="BP76" s="62" t="n"/>
      <c r="BQ76" s="62">
        <f>BP76-BO76</f>
        <v/>
      </c>
      <c r="BR76" s="64">
        <f>IF(BO76=0,"",BP76/BO76)</f>
        <v/>
      </c>
      <c r="BS76" s="31" t="n"/>
      <c r="BT76" s="60" t="n"/>
      <c r="BU76" s="60" t="n"/>
      <c r="BV76" s="60">
        <f>BU76-BT76</f>
        <v/>
      </c>
      <c r="BW76" s="61">
        <f>IF(BT76=0,"",BU76/BT76)</f>
        <v/>
      </c>
      <c r="BX76" s="27" t="n"/>
      <c r="BY76" s="62" t="n"/>
      <c r="BZ76" s="62" t="n"/>
      <c r="CA76" s="62">
        <f>BZ76-BY76</f>
        <v/>
      </c>
      <c r="CB76" s="64">
        <f>IF(BY76=0,"",BZ76/BY76)</f>
        <v/>
      </c>
      <c r="CC76" s="31" t="n"/>
      <c r="CD76" s="60" t="n"/>
      <c r="CE76" s="60" t="n"/>
      <c r="CF76" s="60">
        <f>CE76-CD76</f>
        <v/>
      </c>
      <c r="CG76" s="61">
        <f>IF(CD76=0,"",CE76/CD76)</f>
        <v/>
      </c>
      <c r="CH76" s="27" t="n"/>
      <c r="CI76" s="62" t="n"/>
      <c r="CJ76" s="62" t="n"/>
      <c r="CK76" s="62">
        <f>CJ76-CI76</f>
        <v/>
      </c>
      <c r="CL76" s="64">
        <f>IF(CI76=0,"",CJ76/CI76)</f>
        <v/>
      </c>
      <c r="CM76" s="31" t="n"/>
      <c r="CN76" s="60" t="n"/>
      <c r="CO76" s="60" t="n"/>
      <c r="CP76" s="60">
        <f>CO76-CN76</f>
        <v/>
      </c>
      <c r="CQ76" s="61">
        <f>IF(CN76=0,"",CO76/CN76)</f>
        <v/>
      </c>
      <c r="CR76" s="27" t="n"/>
      <c r="CS76" s="62" t="n"/>
      <c r="CT76" s="62" t="n"/>
      <c r="CU76" s="62">
        <f>CT76-CS76</f>
        <v/>
      </c>
      <c r="CV76" s="64">
        <f>IF(CS76=0,"",CT76/CS76)</f>
        <v/>
      </c>
      <c r="CW76" s="31" t="n"/>
      <c r="CX76" s="60" t="n"/>
      <c r="CY76" s="60" t="n"/>
      <c r="CZ76" s="60">
        <f>CY76-CX76</f>
        <v/>
      </c>
      <c r="DA76" s="61">
        <f>IF(CX76=0,"",CY76/CX76)</f>
        <v/>
      </c>
      <c r="DB76" s="27" t="n"/>
      <c r="DC76" s="62" t="n"/>
      <c r="DD76" s="62" t="n"/>
      <c r="DE76" s="62">
        <f>DD76-DC76</f>
        <v/>
      </c>
      <c r="DF76" s="64">
        <f>IF(DC76=0,"",DD76/DC76)</f>
        <v/>
      </c>
      <c r="DG76" s="31" t="n"/>
      <c r="DH76" s="60" t="n"/>
      <c r="DI76" s="60" t="n"/>
      <c r="DJ76" s="60">
        <f>DI76-DH76</f>
        <v/>
      </c>
      <c r="DK76" s="61">
        <f>IF(DH76=0,"",DI76/DH76)</f>
        <v/>
      </c>
      <c r="DL76" s="27" t="n"/>
      <c r="DM76" s="62" t="n"/>
      <c r="DN76" s="62" t="n"/>
      <c r="DO76" s="62">
        <f>DN76-DM76</f>
        <v/>
      </c>
      <c r="DP76" s="64">
        <f>IF(DM76=0,"",DN76/DM76)</f>
        <v/>
      </c>
      <c r="DQ76" s="31" t="n"/>
      <c r="DR76" s="60" t="n"/>
    </row>
    <row r="77" outlineLevel="1" ht="15" customHeight="1">
      <c r="A77" s="24" t="n"/>
      <c r="B77" s="24" t="n"/>
      <c r="C77" s="24" t="n"/>
      <c r="D77" s="24" t="n"/>
      <c r="E77" s="24" t="n"/>
      <c r="F77" s="24" t="n"/>
      <c r="G77" s="60" t="n"/>
      <c r="H77" s="60" t="n"/>
      <c r="I77" s="60">
        <f>H77-G77</f>
        <v/>
      </c>
      <c r="J77" s="61">
        <f>IF(G77=0,"",H77/G77)</f>
        <v/>
      </c>
      <c r="K77" s="27" t="n"/>
      <c r="L77" s="60" t="n"/>
      <c r="M77" s="60" t="n"/>
      <c r="N77" s="60">
        <f>M77-L77</f>
        <v/>
      </c>
      <c r="O77" s="61">
        <f>IF(L77=0,"",M77/L77)</f>
        <v/>
      </c>
      <c r="P77" s="27" t="n"/>
      <c r="Q77" s="62" t="n"/>
      <c r="R77" s="62" t="n"/>
      <c r="S77" s="63">
        <f>R77-Q77</f>
        <v/>
      </c>
      <c r="T77" s="64">
        <f>IF(Q77=0,"",R77/Q77)</f>
        <v/>
      </c>
      <c r="U77" s="31" t="n"/>
      <c r="V77" s="60" t="n"/>
      <c r="W77" s="60" t="n"/>
      <c r="X77" s="60">
        <f>W77-V77</f>
        <v/>
      </c>
      <c r="Y77" s="61">
        <f>IF(V77=0,"",W77/V77)</f>
        <v/>
      </c>
      <c r="Z77" s="27" t="n"/>
      <c r="AA77" s="62" t="n"/>
      <c r="AB77" s="62" t="n"/>
      <c r="AC77" s="63">
        <f>AB77-AA77</f>
        <v/>
      </c>
      <c r="AD77" s="64">
        <f>IF(AA77=0,"",AB77/AA77)</f>
        <v/>
      </c>
      <c r="AE77" s="31" t="n"/>
      <c r="AF77" s="60" t="n"/>
      <c r="AG77" s="60" t="n"/>
      <c r="AH77" s="60">
        <f>AG77-AF77</f>
        <v/>
      </c>
      <c r="AI77" s="61">
        <f>IF(AF77=0,"",AG77/AF77)</f>
        <v/>
      </c>
      <c r="AJ77" s="27" t="n"/>
      <c r="AK77" s="62" t="n"/>
      <c r="AL77" s="62" t="n"/>
      <c r="AM77" s="62">
        <f>AL77-AK77</f>
        <v/>
      </c>
      <c r="AN77" s="64">
        <f>IF(AK77=0,"",AL77/AK77)</f>
        <v/>
      </c>
      <c r="AO77" s="31" t="n"/>
      <c r="AP77" s="60" t="n"/>
      <c r="AQ77" s="60" t="n"/>
      <c r="AR77" s="60">
        <f>AQ77-AP77</f>
        <v/>
      </c>
      <c r="AS77" s="61">
        <f>IF(AP77=0,"",AQ77/AP77)</f>
        <v/>
      </c>
      <c r="AT77" s="27" t="n"/>
      <c r="AU77" s="62" t="n"/>
      <c r="AV77" s="62" t="n"/>
      <c r="AW77" s="62">
        <f>AV77-AU77</f>
        <v/>
      </c>
      <c r="AX77" s="64">
        <f>IF(AU77=0,"",AV77/AU77)</f>
        <v/>
      </c>
      <c r="AY77" s="31" t="n"/>
      <c r="AZ77" s="60" t="n"/>
      <c r="BA77" s="60" t="n"/>
      <c r="BB77" s="60">
        <f>BA77-AZ77</f>
        <v/>
      </c>
      <c r="BC77" s="61">
        <f>IF(AZ77=0,"",BA77/AZ77)</f>
        <v/>
      </c>
      <c r="BD77" s="27" t="n"/>
      <c r="BE77" s="62" t="n"/>
      <c r="BF77" s="62" t="n"/>
      <c r="BG77" s="62">
        <f>BF77-BE77</f>
        <v/>
      </c>
      <c r="BH77" s="64">
        <f>IF(BE77=0,"",BF77/BE77)</f>
        <v/>
      </c>
      <c r="BI77" s="31" t="n"/>
      <c r="BJ77" s="60" t="n"/>
      <c r="BK77" s="60" t="n"/>
      <c r="BL77" s="60">
        <f>BK77-BJ77</f>
        <v/>
      </c>
      <c r="BM77" s="61">
        <f>IF(BJ77=0,"",BK77/BJ77)</f>
        <v/>
      </c>
      <c r="BN77" s="27" t="n"/>
      <c r="BO77" s="62" t="n"/>
      <c r="BP77" s="62" t="n"/>
      <c r="BQ77" s="62">
        <f>BP77-BO77</f>
        <v/>
      </c>
      <c r="BR77" s="64">
        <f>IF(BO77=0,"",BP77/BO77)</f>
        <v/>
      </c>
      <c r="BS77" s="31" t="n"/>
      <c r="BT77" s="60" t="n"/>
      <c r="BU77" s="60" t="n"/>
      <c r="BV77" s="60">
        <f>BU77-BT77</f>
        <v/>
      </c>
      <c r="BW77" s="61">
        <f>IF(BT77=0,"",BU77/BT77)</f>
        <v/>
      </c>
      <c r="BX77" s="27" t="n"/>
      <c r="BY77" s="62" t="n"/>
      <c r="BZ77" s="62" t="n"/>
      <c r="CA77" s="62">
        <f>BZ77-BY77</f>
        <v/>
      </c>
      <c r="CB77" s="64">
        <f>IF(BY77=0,"",BZ77/BY77)</f>
        <v/>
      </c>
      <c r="CC77" s="31" t="n"/>
      <c r="CD77" s="60" t="n"/>
      <c r="CE77" s="60" t="n"/>
      <c r="CF77" s="60">
        <f>CE77-CD77</f>
        <v/>
      </c>
      <c r="CG77" s="61">
        <f>IF(CD77=0,"",CE77/CD77)</f>
        <v/>
      </c>
      <c r="CH77" s="27" t="n"/>
      <c r="CI77" s="62" t="n"/>
      <c r="CJ77" s="62" t="n"/>
      <c r="CK77" s="62">
        <f>CJ77-CI77</f>
        <v/>
      </c>
      <c r="CL77" s="64">
        <f>IF(CI77=0,"",CJ77/CI77)</f>
        <v/>
      </c>
      <c r="CM77" s="31" t="n"/>
      <c r="CN77" s="60" t="n"/>
      <c r="CO77" s="60" t="n"/>
      <c r="CP77" s="60">
        <f>CO77-CN77</f>
        <v/>
      </c>
      <c r="CQ77" s="61">
        <f>IF(CN77=0,"",CO77/CN77)</f>
        <v/>
      </c>
      <c r="CR77" s="27" t="n"/>
      <c r="CS77" s="62" t="n"/>
      <c r="CT77" s="62" t="n"/>
      <c r="CU77" s="62">
        <f>CT77-CS77</f>
        <v/>
      </c>
      <c r="CV77" s="64">
        <f>IF(CS77=0,"",CT77/CS77)</f>
        <v/>
      </c>
      <c r="CW77" s="31" t="n"/>
      <c r="CX77" s="60" t="n"/>
      <c r="CY77" s="60" t="n"/>
      <c r="CZ77" s="60">
        <f>CY77-CX77</f>
        <v/>
      </c>
      <c r="DA77" s="61">
        <f>IF(CX77=0,"",CY77/CX77)</f>
        <v/>
      </c>
      <c r="DB77" s="27" t="n"/>
      <c r="DC77" s="62" t="n"/>
      <c r="DD77" s="62" t="n"/>
      <c r="DE77" s="62">
        <f>DD77-DC77</f>
        <v/>
      </c>
      <c r="DF77" s="64">
        <f>IF(DC77=0,"",DD77/DC77)</f>
        <v/>
      </c>
      <c r="DG77" s="31" t="n"/>
      <c r="DH77" s="60" t="n"/>
      <c r="DI77" s="60" t="n"/>
      <c r="DJ77" s="60">
        <f>DI77-DH77</f>
        <v/>
      </c>
      <c r="DK77" s="61">
        <f>IF(DH77=0,"",DI77/DH77)</f>
        <v/>
      </c>
      <c r="DL77" s="27" t="n"/>
      <c r="DM77" s="62" t="n"/>
      <c r="DN77" s="62" t="n"/>
      <c r="DO77" s="62">
        <f>DN77-DM77</f>
        <v/>
      </c>
      <c r="DP77" s="64">
        <f>IF(DM77=0,"",DN77/DM77)</f>
        <v/>
      </c>
      <c r="DQ77" s="31" t="n"/>
      <c r="DR77" s="60" t="n"/>
    </row>
    <row r="78" outlineLevel="1" ht="15" customHeight="1">
      <c r="A78" s="24" t="n"/>
      <c r="B78" s="24" t="n"/>
      <c r="C78" s="24" t="n"/>
      <c r="D78" s="24" t="n"/>
      <c r="E78" s="24" t="n"/>
      <c r="F78" s="36" t="n"/>
      <c r="G78" s="60" t="n"/>
      <c r="H78" s="60" t="n"/>
      <c r="I78" s="60">
        <f>H78-G78</f>
        <v/>
      </c>
      <c r="J78" s="61">
        <f>IF(G78=0,"",H78/G78)</f>
        <v/>
      </c>
      <c r="K78" s="27" t="n"/>
      <c r="L78" s="60" t="n"/>
      <c r="M78" s="60" t="n"/>
      <c r="N78" s="60">
        <f>M78-L78</f>
        <v/>
      </c>
      <c r="O78" s="61">
        <f>IF(L78=0,"",M78/L78)</f>
        <v/>
      </c>
      <c r="P78" s="27" t="n"/>
      <c r="Q78" s="62" t="n"/>
      <c r="R78" s="62" t="n"/>
      <c r="S78" s="62">
        <f>R78-Q78</f>
        <v/>
      </c>
      <c r="T78" s="64">
        <f>IF(Q78=0,"",R78/Q78)</f>
        <v/>
      </c>
      <c r="U78" s="31" t="n"/>
      <c r="V78" s="60" t="n"/>
      <c r="W78" s="60" t="n"/>
      <c r="X78" s="60">
        <f>W78-V78</f>
        <v/>
      </c>
      <c r="Y78" s="61">
        <f>IF(V78=0,"",W78/V78)</f>
        <v/>
      </c>
      <c r="Z78" s="27" t="n"/>
      <c r="AA78" s="62" t="n"/>
      <c r="AB78" s="62" t="n"/>
      <c r="AC78" s="62">
        <f>AB78-AA78</f>
        <v/>
      </c>
      <c r="AD78" s="64">
        <f>IF(AA78=0,"",AB78/AA78)</f>
        <v/>
      </c>
      <c r="AE78" s="31" t="n"/>
      <c r="AF78" s="60" t="n"/>
      <c r="AG78" s="60" t="n"/>
      <c r="AH78" s="60">
        <f>AG78-AF78</f>
        <v/>
      </c>
      <c r="AI78" s="61">
        <f>IF(AF78=0,"",AG78/AF78)</f>
        <v/>
      </c>
      <c r="AJ78" s="27" t="n"/>
      <c r="AK78" s="62" t="n"/>
      <c r="AL78" s="62" t="n"/>
      <c r="AM78" s="62">
        <f>AL78-AK78</f>
        <v/>
      </c>
      <c r="AN78" s="64">
        <f>IF(AK78=0,"",AL78/AK78)</f>
        <v/>
      </c>
      <c r="AO78" s="31" t="n"/>
      <c r="AP78" s="60" t="n"/>
      <c r="AQ78" s="60" t="n"/>
      <c r="AR78" s="60">
        <f>AQ78-AP78</f>
        <v/>
      </c>
      <c r="AS78" s="61">
        <f>IF(AP78=0,"",AQ78/AP78)</f>
        <v/>
      </c>
      <c r="AT78" s="27" t="n"/>
      <c r="AU78" s="62" t="n"/>
      <c r="AV78" s="62" t="n"/>
      <c r="AW78" s="62">
        <f>AV78-AU78</f>
        <v/>
      </c>
      <c r="AX78" s="64">
        <f>IF(AU78=0,"",AV78/AU78)</f>
        <v/>
      </c>
      <c r="AY78" s="31" t="n"/>
      <c r="AZ78" s="60" t="n"/>
      <c r="BA78" s="60" t="n"/>
      <c r="BB78" s="60">
        <f>BA78-AZ78</f>
        <v/>
      </c>
      <c r="BC78" s="61">
        <f>IF(AZ78=0,"",BA78/AZ78)</f>
        <v/>
      </c>
      <c r="BD78" s="27" t="n"/>
      <c r="BE78" s="62" t="n"/>
      <c r="BF78" s="62" t="n"/>
      <c r="BG78" s="62">
        <f>BF78-BE78</f>
        <v/>
      </c>
      <c r="BH78" s="64">
        <f>IF(BE78=0,"",BF78/BE78)</f>
        <v/>
      </c>
      <c r="BI78" s="31" t="n"/>
      <c r="BJ78" s="60" t="n"/>
      <c r="BK78" s="60" t="n"/>
      <c r="BL78" s="60">
        <f>BK78-BJ78</f>
        <v/>
      </c>
      <c r="BM78" s="61">
        <f>IF(BJ78=0,"",BK78/BJ78)</f>
        <v/>
      </c>
      <c r="BN78" s="27" t="n"/>
      <c r="BO78" s="62" t="n"/>
      <c r="BP78" s="62" t="n"/>
      <c r="BQ78" s="62">
        <f>BP78-BO78</f>
        <v/>
      </c>
      <c r="BR78" s="64">
        <f>IF(BO78=0,"",BP78/BO78)</f>
        <v/>
      </c>
      <c r="BS78" s="31" t="n"/>
      <c r="BT78" s="60" t="n"/>
      <c r="BU78" s="60" t="n"/>
      <c r="BV78" s="60">
        <f>BU78-BT78</f>
        <v/>
      </c>
      <c r="BW78" s="61">
        <f>IF(BT78=0,"",BU78/BT78)</f>
        <v/>
      </c>
      <c r="BX78" s="27" t="n"/>
      <c r="BY78" s="62" t="n"/>
      <c r="BZ78" s="62" t="n"/>
      <c r="CA78" s="62">
        <f>BZ78-BY78</f>
        <v/>
      </c>
      <c r="CB78" s="64">
        <f>IF(BY78=0,"",BZ78/BY78)</f>
        <v/>
      </c>
      <c r="CC78" s="31" t="n"/>
      <c r="CD78" s="60" t="n"/>
      <c r="CE78" s="60" t="n"/>
      <c r="CF78" s="60">
        <f>CE78-CD78</f>
        <v/>
      </c>
      <c r="CG78" s="61">
        <f>IF(CD78=0,"",CE78/CD78)</f>
        <v/>
      </c>
      <c r="CH78" s="27" t="n"/>
      <c r="CI78" s="62" t="n"/>
      <c r="CJ78" s="62" t="n"/>
      <c r="CK78" s="62">
        <f>CJ78-CI78</f>
        <v/>
      </c>
      <c r="CL78" s="64">
        <f>IF(CI78=0,"",CJ78/CI78)</f>
        <v/>
      </c>
      <c r="CM78" s="31" t="n"/>
      <c r="CN78" s="60" t="n"/>
      <c r="CO78" s="60" t="n"/>
      <c r="CP78" s="60">
        <f>CO78-CN78</f>
        <v/>
      </c>
      <c r="CQ78" s="61">
        <f>IF(CN78=0,"",CO78/CN78)</f>
        <v/>
      </c>
      <c r="CR78" s="27" t="n"/>
      <c r="CS78" s="62" t="n"/>
      <c r="CT78" s="62" t="n"/>
      <c r="CU78" s="62">
        <f>CT78-CS78</f>
        <v/>
      </c>
      <c r="CV78" s="64">
        <f>IF(CS78=0,"",CT78/CS78)</f>
        <v/>
      </c>
      <c r="CW78" s="31" t="n"/>
      <c r="CX78" s="60" t="n"/>
      <c r="CY78" s="60" t="n"/>
      <c r="CZ78" s="60">
        <f>CY78-CX78</f>
        <v/>
      </c>
      <c r="DA78" s="61">
        <f>IF(CX78=0,"",CY78/CX78)</f>
        <v/>
      </c>
      <c r="DB78" s="27" t="n"/>
      <c r="DC78" s="62" t="n"/>
      <c r="DD78" s="62" t="n"/>
      <c r="DE78" s="62">
        <f>DD78-DC78</f>
        <v/>
      </c>
      <c r="DF78" s="64">
        <f>IF(DC78=0,"",DD78/DC78)</f>
        <v/>
      </c>
      <c r="DG78" s="31" t="n"/>
      <c r="DH78" s="60" t="n"/>
      <c r="DI78" s="60" t="n"/>
      <c r="DJ78" s="60">
        <f>DI78-DH78</f>
        <v/>
      </c>
      <c r="DK78" s="61">
        <f>IF(DH78=0,"",DI78/DH78)</f>
        <v/>
      </c>
      <c r="DL78" s="27" t="n"/>
      <c r="DM78" s="62" t="n"/>
      <c r="DN78" s="62" t="n"/>
      <c r="DO78" s="62">
        <f>DN78-DM78</f>
        <v/>
      </c>
      <c r="DP78" s="64">
        <f>IF(DM78=0,"",DN78/DM78)</f>
        <v/>
      </c>
      <c r="DQ78" s="31" t="n"/>
      <c r="DR78" s="60" t="n"/>
    </row>
    <row r="79" ht="15" customHeight="1">
      <c r="A79" s="32" t="n"/>
      <c r="B79" s="32" t="n"/>
      <c r="C79" s="32" t="n"/>
      <c r="D79" s="32" t="n"/>
      <c r="E79" s="32" t="n"/>
      <c r="F79" s="32" t="n"/>
      <c r="G79" s="65">
        <f>G80+G81+G82+G83</f>
        <v/>
      </c>
      <c r="H79" s="65">
        <f>H80+H81+H82+H83</f>
        <v/>
      </c>
      <c r="I79" s="65">
        <f>H79-G79</f>
        <v/>
      </c>
      <c r="J79" s="66">
        <f>IF(G79=0,"",H79/G79)</f>
        <v/>
      </c>
      <c r="K79" s="35" t="n"/>
      <c r="L79" s="65">
        <f>L80+L81+L82+L83</f>
        <v/>
      </c>
      <c r="M79" s="65">
        <f>M80+M81+M82+M83</f>
        <v/>
      </c>
      <c r="N79" s="65">
        <f>M79-L79</f>
        <v/>
      </c>
      <c r="O79" s="66">
        <f>IF(L79=0,"",M79/L79)</f>
        <v/>
      </c>
      <c r="P79" s="35" t="n"/>
      <c r="Q79" s="65">
        <f>Q80+Q81+Q82+Q83</f>
        <v/>
      </c>
      <c r="R79" s="65">
        <f>R80+R81+R82+R83</f>
        <v/>
      </c>
      <c r="S79" s="65">
        <f>R79-Q79</f>
        <v/>
      </c>
      <c r="T79" s="66">
        <f>IF(Q79=0,"",R79/Q79)</f>
        <v/>
      </c>
      <c r="U79" s="35" t="n"/>
      <c r="V79" s="65">
        <f>V80+V81+V82+V83</f>
        <v/>
      </c>
      <c r="W79" s="65">
        <f>W80+W81+W82+W83</f>
        <v/>
      </c>
      <c r="X79" s="65">
        <f>W79-V79</f>
        <v/>
      </c>
      <c r="Y79" s="66">
        <f>IF(V79=0,"",W79/V79)</f>
        <v/>
      </c>
      <c r="Z79" s="35" t="n"/>
      <c r="AA79" s="65">
        <f>AA80+AA81+AA82+AA83</f>
        <v/>
      </c>
      <c r="AB79" s="65">
        <f>AB80+AB81+AB82+AB83</f>
        <v/>
      </c>
      <c r="AC79" s="65">
        <f>AB79-AA79</f>
        <v/>
      </c>
      <c r="AD79" s="66">
        <f>IF(AA79=0,"",AB79/AA79)</f>
        <v/>
      </c>
      <c r="AE79" s="35" t="n"/>
      <c r="AF79" s="65">
        <f>AF80+AF81+AF82+AF83</f>
        <v/>
      </c>
      <c r="AG79" s="65">
        <f>AG80+AG81+AG82+AG83</f>
        <v/>
      </c>
      <c r="AH79" s="65">
        <f>AG79-AF79</f>
        <v/>
      </c>
      <c r="AI79" s="66">
        <f>IF(AF79=0,"",AG79/AF79)</f>
        <v/>
      </c>
      <c r="AJ79" s="35" t="n"/>
      <c r="AK79" s="65">
        <f>AK80+AK81+AK82+AK83</f>
        <v/>
      </c>
      <c r="AL79" s="65">
        <f>AL80+AL81+AL82+AL83</f>
        <v/>
      </c>
      <c r="AM79" s="65">
        <f>AL79-AK79</f>
        <v/>
      </c>
      <c r="AN79" s="66">
        <f>IF(AK79=0,"",AL79/AK79)</f>
        <v/>
      </c>
      <c r="AO79" s="35" t="n"/>
      <c r="AP79" s="65">
        <f>AP80+AP81+AP82+AP83</f>
        <v/>
      </c>
      <c r="AQ79" s="65">
        <f>AQ80+AQ81+AQ82+AQ83</f>
        <v/>
      </c>
      <c r="AR79" s="65">
        <f>AQ79-AP79</f>
        <v/>
      </c>
      <c r="AS79" s="66">
        <f>IF(AP79=0,"",AQ79/AP79)</f>
        <v/>
      </c>
      <c r="AT79" s="35" t="n"/>
      <c r="AU79" s="65">
        <f>AU80+AU81+AU82+AU83</f>
        <v/>
      </c>
      <c r="AV79" s="65">
        <f>AV80+AV81+AV82+AV83</f>
        <v/>
      </c>
      <c r="AW79" s="65">
        <f>AV79-AU79</f>
        <v/>
      </c>
      <c r="AX79" s="66">
        <f>IF(AU79=0,"",AV79/AU79)</f>
        <v/>
      </c>
      <c r="AY79" s="35" t="n"/>
      <c r="AZ79" s="65">
        <f>AZ80+AZ81+AZ82+AZ83</f>
        <v/>
      </c>
      <c r="BA79" s="65">
        <f>BA80+BA81+BA82+BA83</f>
        <v/>
      </c>
      <c r="BB79" s="65">
        <f>BA79-AZ79</f>
        <v/>
      </c>
      <c r="BC79" s="66">
        <f>IF(AZ79=0,"",BA79/AZ79)</f>
        <v/>
      </c>
      <c r="BD79" s="35" t="n"/>
      <c r="BE79" s="65">
        <f>BE80+BE81+BE82+BE83</f>
        <v/>
      </c>
      <c r="BF79" s="65">
        <f>BF80+BF81+BF82+BF83</f>
        <v/>
      </c>
      <c r="BG79" s="65">
        <f>BF79-BE79</f>
        <v/>
      </c>
      <c r="BH79" s="66">
        <f>IF(BE79=0,"",BF79/BE79)</f>
        <v/>
      </c>
      <c r="BI79" s="35" t="n"/>
      <c r="BJ79" s="65">
        <f>BJ80+BJ81+BJ82+BJ83</f>
        <v/>
      </c>
      <c r="BK79" s="65">
        <f>BK80+BK81+BK82+BK83</f>
        <v/>
      </c>
      <c r="BL79" s="65">
        <f>BK79-BJ79</f>
        <v/>
      </c>
      <c r="BM79" s="66">
        <f>IF(BJ79=0,"",BK79/BJ79)</f>
        <v/>
      </c>
      <c r="BN79" s="35" t="n"/>
      <c r="BO79" s="65">
        <f>BO80+BO81+BO82+BO83</f>
        <v/>
      </c>
      <c r="BP79" s="65">
        <f>BP80+BP81+BP82+BP83</f>
        <v/>
      </c>
      <c r="BQ79" s="65">
        <f>BP79-BO79</f>
        <v/>
      </c>
      <c r="BR79" s="66">
        <f>IF(BO79=0,"",BP79/BO79)</f>
        <v/>
      </c>
      <c r="BS79" s="35" t="n"/>
      <c r="BT79" s="65">
        <f>BT80+BT81+BT82+BT83</f>
        <v/>
      </c>
      <c r="BU79" s="65">
        <f>BU80+BU81+BU82+BU83</f>
        <v/>
      </c>
      <c r="BV79" s="65">
        <f>BU79-BT79</f>
        <v/>
      </c>
      <c r="BW79" s="66">
        <f>IF(BT79=0,"",BU79/BT79)</f>
        <v/>
      </c>
      <c r="BX79" s="35" t="n"/>
      <c r="BY79" s="65">
        <f>BY80+BY81+BY82+BY83</f>
        <v/>
      </c>
      <c r="BZ79" s="65">
        <f>BZ80+BZ81+BZ82+BZ83</f>
        <v/>
      </c>
      <c r="CA79" s="65">
        <f>BZ79-BY79</f>
        <v/>
      </c>
      <c r="CB79" s="66">
        <f>IF(BY79=0,"",BZ79/BY79)</f>
        <v/>
      </c>
      <c r="CC79" s="35" t="n"/>
      <c r="CD79" s="65">
        <f>CD80+CD81+CD82+CD83</f>
        <v/>
      </c>
      <c r="CE79" s="65">
        <f>CE80+CE81+CE82+CE83</f>
        <v/>
      </c>
      <c r="CF79" s="65">
        <f>CE79-CD79</f>
        <v/>
      </c>
      <c r="CG79" s="66">
        <f>IF(CD79=0,"",CE79/CD79)</f>
        <v/>
      </c>
      <c r="CH79" s="35" t="n"/>
      <c r="CI79" s="65">
        <f>CI80+CI81+CI82+CI83</f>
        <v/>
      </c>
      <c r="CJ79" s="65">
        <f>CJ80+CJ81+CJ82+CJ83</f>
        <v/>
      </c>
      <c r="CK79" s="65">
        <f>CJ79-CI79</f>
        <v/>
      </c>
      <c r="CL79" s="66">
        <f>IF(CI79=0,"",CJ79/CI79)</f>
        <v/>
      </c>
      <c r="CM79" s="35" t="n"/>
      <c r="CN79" s="65">
        <f>CN80+CN81+CN82+CN83</f>
        <v/>
      </c>
      <c r="CO79" s="65">
        <f>CO80+CO81+CO82+CO83</f>
        <v/>
      </c>
      <c r="CP79" s="65">
        <f>CO79-CN79</f>
        <v/>
      </c>
      <c r="CQ79" s="66">
        <f>IF(CN79=0,"",CO79/CN79)</f>
        <v/>
      </c>
      <c r="CR79" s="35" t="n"/>
      <c r="CS79" s="65">
        <f>CS80+CS81+CS82+CS83</f>
        <v/>
      </c>
      <c r="CT79" s="65">
        <f>CT80+CT81+CT82+CT83</f>
        <v/>
      </c>
      <c r="CU79" s="65">
        <f>CT79-CS79</f>
        <v/>
      </c>
      <c r="CV79" s="66">
        <f>IF(CS79=0,"",CT79/CS79)</f>
        <v/>
      </c>
      <c r="CW79" s="35" t="n"/>
      <c r="CX79" s="65">
        <f>CX80+CX81+CX82+CX83</f>
        <v/>
      </c>
      <c r="CY79" s="65">
        <f>CY80+CY81+CY82+CY83</f>
        <v/>
      </c>
      <c r="CZ79" s="65">
        <f>CY79-CX79</f>
        <v/>
      </c>
      <c r="DA79" s="66">
        <f>IF(CX79=0,"",CY79/CX79)</f>
        <v/>
      </c>
      <c r="DB79" s="35" t="n"/>
      <c r="DC79" s="65">
        <f>DC80+DC81+DC82+DC83</f>
        <v/>
      </c>
      <c r="DD79" s="65">
        <f>DD80+DD81+DD82+DD83</f>
        <v/>
      </c>
      <c r="DE79" s="65">
        <f>DD79-DC79</f>
        <v/>
      </c>
      <c r="DF79" s="66">
        <f>IF(DC79=0,"",DD79/DC79)</f>
        <v/>
      </c>
      <c r="DG79" s="35" t="n"/>
      <c r="DH79" s="65">
        <f>DH80+DH81+DH82+DH83</f>
        <v/>
      </c>
      <c r="DI79" s="65">
        <f>DI80+DI81+DI82+DI83</f>
        <v/>
      </c>
      <c r="DJ79" s="65">
        <f>DI79-DH79</f>
        <v/>
      </c>
      <c r="DK79" s="66">
        <f>IF(DH79=0,"",DI79/DH79)</f>
        <v/>
      </c>
      <c r="DL79" s="35" t="n"/>
      <c r="DM79" s="65">
        <f>DM80+DM81+DM82+DM83</f>
        <v/>
      </c>
      <c r="DN79" s="65">
        <f>DN80+DN81+DN82+DN83</f>
        <v/>
      </c>
      <c r="DO79" s="65">
        <f>DN79-DM79</f>
        <v/>
      </c>
      <c r="DP79" s="66">
        <f>IF(DM79=0,"",DN79/DM79)</f>
        <v/>
      </c>
      <c r="DQ79" s="35" t="n"/>
      <c r="DR79" s="65">
        <f>DR80+DR81+DR82+DR83</f>
        <v/>
      </c>
    </row>
    <row r="80" outlineLevel="1" ht="15" customHeight="1">
      <c r="A80" s="24" t="n"/>
      <c r="B80" s="24" t="n"/>
      <c r="C80" s="24" t="n"/>
      <c r="D80" s="24" t="n"/>
      <c r="E80" s="24" t="n"/>
      <c r="F80" s="24" t="n"/>
      <c r="G80" s="60" t="n"/>
      <c r="H80" s="60" t="n"/>
      <c r="I80" s="60">
        <f>H80-G80</f>
        <v/>
      </c>
      <c r="J80" s="61">
        <f>IF(G80=0,"",H80/G80)</f>
        <v/>
      </c>
      <c r="K80" s="27" t="n"/>
      <c r="L80" s="60" t="n"/>
      <c r="M80" s="60" t="n"/>
      <c r="N80" s="60">
        <f>M80-L80</f>
        <v/>
      </c>
      <c r="O80" s="61">
        <f>IF(L80=0,"",M80/L80)</f>
        <v/>
      </c>
      <c r="P80" s="27" t="n"/>
      <c r="Q80" s="62" t="n"/>
      <c r="R80" s="62" t="n"/>
      <c r="S80" s="62">
        <f>R80-Q80</f>
        <v/>
      </c>
      <c r="T80" s="64">
        <f>IF(Q80=0,"",R80/Q80)</f>
        <v/>
      </c>
      <c r="U80" s="31" t="n"/>
      <c r="V80" s="60" t="n"/>
      <c r="W80" s="60" t="n"/>
      <c r="X80" s="60">
        <f>W80-V80</f>
        <v/>
      </c>
      <c r="Y80" s="61">
        <f>IF(V80=0,"",W80/V80)</f>
        <v/>
      </c>
      <c r="Z80" s="27" t="n"/>
      <c r="AA80" s="62" t="n"/>
      <c r="AB80" s="62" t="n"/>
      <c r="AC80" s="62">
        <f>AB80-AA80</f>
        <v/>
      </c>
      <c r="AD80" s="64">
        <f>IF(AA80=0,"",AB80/AA80)</f>
        <v/>
      </c>
      <c r="AE80" s="31" t="n"/>
      <c r="AF80" s="60" t="n"/>
      <c r="AG80" s="60" t="n"/>
      <c r="AH80" s="60">
        <f>AG80-AF80</f>
        <v/>
      </c>
      <c r="AI80" s="61">
        <f>IF(AF80=0,"",AG80/AF80)</f>
        <v/>
      </c>
      <c r="AJ80" s="27" t="n"/>
      <c r="AK80" s="62" t="n"/>
      <c r="AL80" s="62" t="n"/>
      <c r="AM80" s="62">
        <f>AL80-AK80</f>
        <v/>
      </c>
      <c r="AN80" s="64">
        <f>IF(AK80=0,"",AL80/AK80)</f>
        <v/>
      </c>
      <c r="AO80" s="31" t="n"/>
      <c r="AP80" s="60" t="n"/>
      <c r="AQ80" s="60" t="n"/>
      <c r="AR80" s="60">
        <f>AQ80-AP80</f>
        <v/>
      </c>
      <c r="AS80" s="61">
        <f>IF(AP80=0,"",AQ80/AP80)</f>
        <v/>
      </c>
      <c r="AT80" s="27" t="n"/>
      <c r="AU80" s="62" t="n"/>
      <c r="AV80" s="62" t="n"/>
      <c r="AW80" s="62">
        <f>AV80-AU80</f>
        <v/>
      </c>
      <c r="AX80" s="64">
        <f>IF(AU80=0,"",AV80/AU80)</f>
        <v/>
      </c>
      <c r="AY80" s="31" t="n"/>
      <c r="AZ80" s="60" t="n"/>
      <c r="BA80" s="60" t="n"/>
      <c r="BB80" s="60">
        <f>BA80-AZ80</f>
        <v/>
      </c>
      <c r="BC80" s="61">
        <f>IF(AZ80=0,"",BA80/AZ80)</f>
        <v/>
      </c>
      <c r="BD80" s="27" t="n"/>
      <c r="BE80" s="62" t="n"/>
      <c r="BF80" s="62" t="n"/>
      <c r="BG80" s="62">
        <f>BF80-BE80</f>
        <v/>
      </c>
      <c r="BH80" s="64">
        <f>IF(BE80=0,"",BF80/BE80)</f>
        <v/>
      </c>
      <c r="BI80" s="31" t="n"/>
      <c r="BJ80" s="60" t="n"/>
      <c r="BK80" s="60" t="n"/>
      <c r="BL80" s="60">
        <f>BK80-BJ80</f>
        <v/>
      </c>
      <c r="BM80" s="61">
        <f>IF(BJ80=0,"",BK80/BJ80)</f>
        <v/>
      </c>
      <c r="BN80" s="27" t="n"/>
      <c r="BO80" s="62" t="n"/>
      <c r="BP80" s="62" t="n"/>
      <c r="BQ80" s="62">
        <f>BP80-BO80</f>
        <v/>
      </c>
      <c r="BR80" s="64">
        <f>IF(BO80=0,"",BP80/BO80)</f>
        <v/>
      </c>
      <c r="BS80" s="31" t="n"/>
      <c r="BT80" s="60" t="n"/>
      <c r="BU80" s="60" t="n"/>
      <c r="BV80" s="60">
        <f>BU80-BT80</f>
        <v/>
      </c>
      <c r="BW80" s="61">
        <f>IF(BT80=0,"",BU80/BT80)</f>
        <v/>
      </c>
      <c r="BX80" s="27" t="n"/>
      <c r="BY80" s="62" t="n"/>
      <c r="BZ80" s="62" t="n"/>
      <c r="CA80" s="62">
        <f>BZ80-BY80</f>
        <v/>
      </c>
      <c r="CB80" s="64">
        <f>IF(BY80=0,"",BZ80/BY80)</f>
        <v/>
      </c>
      <c r="CC80" s="31" t="n"/>
      <c r="CD80" s="60" t="n"/>
      <c r="CE80" s="60" t="n"/>
      <c r="CF80" s="60">
        <f>CE80-CD80</f>
        <v/>
      </c>
      <c r="CG80" s="61">
        <f>IF(CD80=0,"",CE80/CD80)</f>
        <v/>
      </c>
      <c r="CH80" s="27" t="n"/>
      <c r="CI80" s="62" t="n"/>
      <c r="CJ80" s="62" t="n"/>
      <c r="CK80" s="62">
        <f>CJ80-CI80</f>
        <v/>
      </c>
      <c r="CL80" s="64">
        <f>IF(CI80=0,"",CJ80/CI80)</f>
        <v/>
      </c>
      <c r="CM80" s="31" t="n"/>
      <c r="CN80" s="60" t="n"/>
      <c r="CO80" s="60" t="n"/>
      <c r="CP80" s="60">
        <f>CO80-CN80</f>
        <v/>
      </c>
      <c r="CQ80" s="61">
        <f>IF(CN80=0,"",CO80/CN80)</f>
        <v/>
      </c>
      <c r="CR80" s="27" t="n"/>
      <c r="CS80" s="62" t="n"/>
      <c r="CT80" s="62" t="n"/>
      <c r="CU80" s="62">
        <f>CT80-CS80</f>
        <v/>
      </c>
      <c r="CV80" s="64">
        <f>IF(CS80=0,"",CT80/CS80)</f>
        <v/>
      </c>
      <c r="CW80" s="31" t="n"/>
      <c r="CX80" s="60" t="n"/>
      <c r="CY80" s="60" t="n"/>
      <c r="CZ80" s="60">
        <f>CY80-CX80</f>
        <v/>
      </c>
      <c r="DA80" s="61">
        <f>IF(CX80=0,"",CY80/CX80)</f>
        <v/>
      </c>
      <c r="DB80" s="27" t="n"/>
      <c r="DC80" s="62" t="n"/>
      <c r="DD80" s="62" t="n"/>
      <c r="DE80" s="62">
        <f>DD80-DC80</f>
        <v/>
      </c>
      <c r="DF80" s="64">
        <f>IF(DC80=0,"",DD80/DC80)</f>
        <v/>
      </c>
      <c r="DG80" s="31" t="n"/>
      <c r="DH80" s="60" t="n"/>
      <c r="DI80" s="60" t="n"/>
      <c r="DJ80" s="60">
        <f>DI80-DH80</f>
        <v/>
      </c>
      <c r="DK80" s="61">
        <f>IF(DH80=0,"",DI80/DH80)</f>
        <v/>
      </c>
      <c r="DL80" s="27" t="n"/>
      <c r="DM80" s="62" t="n"/>
      <c r="DN80" s="62" t="n"/>
      <c r="DO80" s="62">
        <f>DN80-DM80</f>
        <v/>
      </c>
      <c r="DP80" s="64">
        <f>IF(DM80=0,"",DN80/DM80)</f>
        <v/>
      </c>
      <c r="DQ80" s="31" t="n"/>
      <c r="DR80" s="60" t="n"/>
    </row>
    <row r="81" outlineLevel="1" ht="15" customHeight="1">
      <c r="A81" s="24" t="n"/>
      <c r="B81" s="24" t="n"/>
      <c r="C81" s="24" t="n"/>
      <c r="D81" s="24" t="n"/>
      <c r="E81" s="24" t="n"/>
      <c r="F81" s="24" t="n"/>
      <c r="G81" s="60" t="n"/>
      <c r="H81" s="60" t="n"/>
      <c r="I81" s="60">
        <f>H81-G81</f>
        <v/>
      </c>
      <c r="J81" s="61">
        <f>IF(G81=0,"",H81/G81)</f>
        <v/>
      </c>
      <c r="K81" s="27" t="n"/>
      <c r="L81" s="60" t="n"/>
      <c r="M81" s="60" t="n"/>
      <c r="N81" s="60">
        <f>M81-L81</f>
        <v/>
      </c>
      <c r="O81" s="61">
        <f>IF(L81=0,"",M81/L81)</f>
        <v/>
      </c>
      <c r="P81" s="27" t="n"/>
      <c r="Q81" s="62" t="n"/>
      <c r="R81" s="62" t="n"/>
      <c r="S81" s="62">
        <f>R81-Q81</f>
        <v/>
      </c>
      <c r="T81" s="64">
        <f>IF(Q81=0,"",R81/Q81)</f>
        <v/>
      </c>
      <c r="U81" s="31" t="n"/>
      <c r="V81" s="60" t="n"/>
      <c r="W81" s="60" t="n"/>
      <c r="X81" s="60">
        <f>W81-V81</f>
        <v/>
      </c>
      <c r="Y81" s="61">
        <f>IF(V81=0,"",W81/V81)</f>
        <v/>
      </c>
      <c r="Z81" s="27" t="n"/>
      <c r="AA81" s="62" t="n"/>
      <c r="AB81" s="62" t="n"/>
      <c r="AC81" s="62">
        <f>AB81-AA81</f>
        <v/>
      </c>
      <c r="AD81" s="64">
        <f>IF(AA81=0,"",AB81/AA81)</f>
        <v/>
      </c>
      <c r="AE81" s="31" t="n"/>
      <c r="AF81" s="60" t="n"/>
      <c r="AG81" s="60" t="n"/>
      <c r="AH81" s="60">
        <f>AG81-AF81</f>
        <v/>
      </c>
      <c r="AI81" s="61">
        <f>IF(AF81=0,"",AG81/AF81)</f>
        <v/>
      </c>
      <c r="AJ81" s="27" t="n"/>
      <c r="AK81" s="62" t="n"/>
      <c r="AL81" s="62" t="n"/>
      <c r="AM81" s="62">
        <f>AL81-AK81</f>
        <v/>
      </c>
      <c r="AN81" s="64">
        <f>IF(AK81=0,"",AL81/AK81)</f>
        <v/>
      </c>
      <c r="AO81" s="31" t="n"/>
      <c r="AP81" s="60" t="n"/>
      <c r="AQ81" s="60" t="n"/>
      <c r="AR81" s="60">
        <f>AQ81-AP81</f>
        <v/>
      </c>
      <c r="AS81" s="61">
        <f>IF(AP81=0,"",AQ81/AP81)</f>
        <v/>
      </c>
      <c r="AT81" s="27" t="n"/>
      <c r="AU81" s="62" t="n"/>
      <c r="AV81" s="62" t="n"/>
      <c r="AW81" s="62">
        <f>AV81-AU81</f>
        <v/>
      </c>
      <c r="AX81" s="64">
        <f>IF(AU81=0,"",AV81/AU81)</f>
        <v/>
      </c>
      <c r="AY81" s="31" t="n"/>
      <c r="AZ81" s="60" t="n"/>
      <c r="BA81" s="60" t="n"/>
      <c r="BB81" s="60">
        <f>BA81-AZ81</f>
        <v/>
      </c>
      <c r="BC81" s="61">
        <f>IF(AZ81=0,"",BA81/AZ81)</f>
        <v/>
      </c>
      <c r="BD81" s="27" t="n"/>
      <c r="BE81" s="62" t="n"/>
      <c r="BF81" s="62" t="n"/>
      <c r="BG81" s="62">
        <f>BF81-BE81</f>
        <v/>
      </c>
      <c r="BH81" s="64">
        <f>IF(BE81=0,"",BF81/BE81)</f>
        <v/>
      </c>
      <c r="BI81" s="31" t="n"/>
      <c r="BJ81" s="60" t="n"/>
      <c r="BK81" s="60" t="n"/>
      <c r="BL81" s="60">
        <f>BK81-BJ81</f>
        <v/>
      </c>
      <c r="BM81" s="61">
        <f>IF(BJ81=0,"",BK81/BJ81)</f>
        <v/>
      </c>
      <c r="BN81" s="27" t="n"/>
      <c r="BO81" s="62" t="n"/>
      <c r="BP81" s="62" t="n"/>
      <c r="BQ81" s="62">
        <f>BP81-BO81</f>
        <v/>
      </c>
      <c r="BR81" s="64">
        <f>IF(BO81=0,"",BP81/BO81)</f>
        <v/>
      </c>
      <c r="BS81" s="31" t="n"/>
      <c r="BT81" s="60" t="n"/>
      <c r="BU81" s="60" t="n"/>
      <c r="BV81" s="60">
        <f>BU81-BT81</f>
        <v/>
      </c>
      <c r="BW81" s="61">
        <f>IF(BT81=0,"",BU81/BT81)</f>
        <v/>
      </c>
      <c r="BX81" s="27" t="n"/>
      <c r="BY81" s="62" t="n"/>
      <c r="BZ81" s="62" t="n"/>
      <c r="CA81" s="62">
        <f>BZ81-BY81</f>
        <v/>
      </c>
      <c r="CB81" s="64">
        <f>IF(BY81=0,"",BZ81/BY81)</f>
        <v/>
      </c>
      <c r="CC81" s="31" t="n"/>
      <c r="CD81" s="60" t="n"/>
      <c r="CE81" s="60" t="n"/>
      <c r="CF81" s="60">
        <f>CE81-CD81</f>
        <v/>
      </c>
      <c r="CG81" s="61">
        <f>IF(CD81=0,"",CE81/CD81)</f>
        <v/>
      </c>
      <c r="CH81" s="27" t="n"/>
      <c r="CI81" s="62" t="n"/>
      <c r="CJ81" s="62" t="n"/>
      <c r="CK81" s="62">
        <f>CJ81-CI81</f>
        <v/>
      </c>
      <c r="CL81" s="64">
        <f>IF(CI81=0,"",CJ81/CI81)</f>
        <v/>
      </c>
      <c r="CM81" s="31" t="n"/>
      <c r="CN81" s="60" t="n"/>
      <c r="CO81" s="60" t="n"/>
      <c r="CP81" s="60">
        <f>CO81-CN81</f>
        <v/>
      </c>
      <c r="CQ81" s="61">
        <f>IF(CN81=0,"",CO81/CN81)</f>
        <v/>
      </c>
      <c r="CR81" s="27" t="n"/>
      <c r="CS81" s="62" t="n"/>
      <c r="CT81" s="62" t="n"/>
      <c r="CU81" s="62">
        <f>CT81-CS81</f>
        <v/>
      </c>
      <c r="CV81" s="64">
        <f>IF(CS81=0,"",CT81/CS81)</f>
        <v/>
      </c>
      <c r="CW81" s="31" t="n"/>
      <c r="CX81" s="60" t="n"/>
      <c r="CY81" s="60" t="n"/>
      <c r="CZ81" s="60">
        <f>CY81-CX81</f>
        <v/>
      </c>
      <c r="DA81" s="61">
        <f>IF(CX81=0,"",CY81/CX81)</f>
        <v/>
      </c>
      <c r="DB81" s="27" t="n"/>
      <c r="DC81" s="62" t="n"/>
      <c r="DD81" s="62" t="n"/>
      <c r="DE81" s="62">
        <f>DD81-DC81</f>
        <v/>
      </c>
      <c r="DF81" s="64">
        <f>IF(DC81=0,"",DD81/DC81)</f>
        <v/>
      </c>
      <c r="DG81" s="31" t="n"/>
      <c r="DH81" s="60" t="n"/>
      <c r="DI81" s="60" t="n"/>
      <c r="DJ81" s="60">
        <f>DI81-DH81</f>
        <v/>
      </c>
      <c r="DK81" s="61">
        <f>IF(DH81=0,"",DI81/DH81)</f>
        <v/>
      </c>
      <c r="DL81" s="27" t="n"/>
      <c r="DM81" s="62" t="n"/>
      <c r="DN81" s="62" t="n"/>
      <c r="DO81" s="62">
        <f>DN81-DM81</f>
        <v/>
      </c>
      <c r="DP81" s="64">
        <f>IF(DM81=0,"",DN81/DM81)</f>
        <v/>
      </c>
      <c r="DQ81" s="31" t="n"/>
      <c r="DR81" s="60" t="n"/>
    </row>
    <row r="82" outlineLevel="1" ht="15" customHeight="1">
      <c r="A82" s="24" t="n"/>
      <c r="B82" s="24" t="n"/>
      <c r="C82" s="24" t="n"/>
      <c r="D82" s="24" t="n"/>
      <c r="E82" s="24" t="n"/>
      <c r="F82" s="24" t="n"/>
      <c r="G82" s="60" t="n"/>
      <c r="H82" s="60" t="n"/>
      <c r="I82" s="60">
        <f>H82-G82</f>
        <v/>
      </c>
      <c r="J82" s="61">
        <f>IF(G82=0,"",H82/G82)</f>
        <v/>
      </c>
      <c r="K82" s="27" t="n"/>
      <c r="L82" s="60" t="n"/>
      <c r="M82" s="60" t="n"/>
      <c r="N82" s="60">
        <f>M82-L82</f>
        <v/>
      </c>
      <c r="O82" s="61">
        <f>IF(L82=0,"",M82/L82)</f>
        <v/>
      </c>
      <c r="P82" s="27" t="n"/>
      <c r="Q82" s="62" t="n"/>
      <c r="R82" s="62" t="n"/>
      <c r="S82" s="62">
        <f>R82-Q82</f>
        <v/>
      </c>
      <c r="T82" s="64">
        <f>IF(Q82=0,"",R82/Q82)</f>
        <v/>
      </c>
      <c r="U82" s="31" t="n"/>
      <c r="V82" s="60" t="n"/>
      <c r="W82" s="60" t="n"/>
      <c r="X82" s="60">
        <f>W82-V82</f>
        <v/>
      </c>
      <c r="Y82" s="61">
        <f>IF(V82=0,"",W82/V82)</f>
        <v/>
      </c>
      <c r="Z82" s="27" t="n"/>
      <c r="AA82" s="62" t="n"/>
      <c r="AB82" s="62" t="n"/>
      <c r="AC82" s="62">
        <f>AB82-AA82</f>
        <v/>
      </c>
      <c r="AD82" s="64">
        <f>IF(AA82=0,"",AB82/AA82)</f>
        <v/>
      </c>
      <c r="AE82" s="31" t="n"/>
      <c r="AF82" s="60" t="n"/>
      <c r="AG82" s="60" t="n"/>
      <c r="AH82" s="60">
        <f>AG82-AF82</f>
        <v/>
      </c>
      <c r="AI82" s="61">
        <f>IF(AF82=0,"",AG82/AF82)</f>
        <v/>
      </c>
      <c r="AJ82" s="27" t="n"/>
      <c r="AK82" s="62" t="n"/>
      <c r="AL82" s="62" t="n"/>
      <c r="AM82" s="62">
        <f>AL82-AK82</f>
        <v/>
      </c>
      <c r="AN82" s="64">
        <f>IF(AK82=0,"",AL82/AK82)</f>
        <v/>
      </c>
      <c r="AO82" s="31" t="n"/>
      <c r="AP82" s="60" t="n"/>
      <c r="AQ82" s="60" t="n"/>
      <c r="AR82" s="60">
        <f>AQ82-AP82</f>
        <v/>
      </c>
      <c r="AS82" s="61">
        <f>IF(AP82=0,"",AQ82/AP82)</f>
        <v/>
      </c>
      <c r="AT82" s="27" t="n"/>
      <c r="AU82" s="62" t="n"/>
      <c r="AV82" s="62" t="n"/>
      <c r="AW82" s="62">
        <f>AV82-AU82</f>
        <v/>
      </c>
      <c r="AX82" s="64">
        <f>IF(AU82=0,"",AV82/AU82)</f>
        <v/>
      </c>
      <c r="AY82" s="31" t="n"/>
      <c r="AZ82" s="60" t="n"/>
      <c r="BA82" s="60" t="n"/>
      <c r="BB82" s="60">
        <f>BA82-AZ82</f>
        <v/>
      </c>
      <c r="BC82" s="61">
        <f>IF(AZ82=0,"",BA82/AZ82)</f>
        <v/>
      </c>
      <c r="BD82" s="27" t="n"/>
      <c r="BE82" s="62" t="n"/>
      <c r="BF82" s="62" t="n"/>
      <c r="BG82" s="62">
        <f>BF82-BE82</f>
        <v/>
      </c>
      <c r="BH82" s="64">
        <f>IF(BE82=0,"",BF82/BE82)</f>
        <v/>
      </c>
      <c r="BI82" s="31" t="n"/>
      <c r="BJ82" s="60" t="n"/>
      <c r="BK82" s="60" t="n"/>
      <c r="BL82" s="60">
        <f>BK82-BJ82</f>
        <v/>
      </c>
      <c r="BM82" s="61">
        <f>IF(BJ82=0,"",BK82/BJ82)</f>
        <v/>
      </c>
      <c r="BN82" s="27" t="n"/>
      <c r="BO82" s="62" t="n"/>
      <c r="BP82" s="62" t="n"/>
      <c r="BQ82" s="62">
        <f>BP82-BO82</f>
        <v/>
      </c>
      <c r="BR82" s="64">
        <f>IF(BO82=0,"",BP82/BO82)</f>
        <v/>
      </c>
      <c r="BS82" s="31" t="n"/>
      <c r="BT82" s="60" t="n"/>
      <c r="BU82" s="60" t="n"/>
      <c r="BV82" s="60">
        <f>BU82-BT82</f>
        <v/>
      </c>
      <c r="BW82" s="61">
        <f>IF(BT82=0,"",BU82/BT82)</f>
        <v/>
      </c>
      <c r="BX82" s="27" t="n"/>
      <c r="BY82" s="62" t="n"/>
      <c r="BZ82" s="62" t="n"/>
      <c r="CA82" s="62">
        <f>BZ82-BY82</f>
        <v/>
      </c>
      <c r="CB82" s="64">
        <f>IF(BY82=0,"",BZ82/BY82)</f>
        <v/>
      </c>
      <c r="CC82" s="31" t="n"/>
      <c r="CD82" s="60" t="n"/>
      <c r="CE82" s="60" t="n"/>
      <c r="CF82" s="60">
        <f>CE82-CD82</f>
        <v/>
      </c>
      <c r="CG82" s="61">
        <f>IF(CD82=0,"",CE82/CD82)</f>
        <v/>
      </c>
      <c r="CH82" s="27" t="n"/>
      <c r="CI82" s="62" t="n"/>
      <c r="CJ82" s="62" t="n"/>
      <c r="CK82" s="62">
        <f>CJ82-CI82</f>
        <v/>
      </c>
      <c r="CL82" s="64">
        <f>IF(CI82=0,"",CJ82/CI82)</f>
        <v/>
      </c>
      <c r="CM82" s="31" t="n"/>
      <c r="CN82" s="60" t="n"/>
      <c r="CO82" s="60" t="n"/>
      <c r="CP82" s="60">
        <f>CO82-CN82</f>
        <v/>
      </c>
      <c r="CQ82" s="61">
        <f>IF(CN82=0,"",CO82/CN82)</f>
        <v/>
      </c>
      <c r="CR82" s="27" t="n"/>
      <c r="CS82" s="62" t="n"/>
      <c r="CT82" s="62" t="n"/>
      <c r="CU82" s="62">
        <f>CT82-CS82</f>
        <v/>
      </c>
      <c r="CV82" s="64">
        <f>IF(CS82=0,"",CT82/CS82)</f>
        <v/>
      </c>
      <c r="CW82" s="31" t="n"/>
      <c r="CX82" s="60" t="n"/>
      <c r="CY82" s="60" t="n"/>
      <c r="CZ82" s="60">
        <f>CY82-CX82</f>
        <v/>
      </c>
      <c r="DA82" s="61">
        <f>IF(CX82=0,"",CY82/CX82)</f>
        <v/>
      </c>
      <c r="DB82" s="27" t="n"/>
      <c r="DC82" s="62" t="n"/>
      <c r="DD82" s="62" t="n"/>
      <c r="DE82" s="62">
        <f>DD82-DC82</f>
        <v/>
      </c>
      <c r="DF82" s="64">
        <f>IF(DC82=0,"",DD82/DC82)</f>
        <v/>
      </c>
      <c r="DG82" s="31" t="n"/>
      <c r="DH82" s="60" t="n"/>
      <c r="DI82" s="60" t="n"/>
      <c r="DJ82" s="60">
        <f>DI82-DH82</f>
        <v/>
      </c>
      <c r="DK82" s="61">
        <f>IF(DH82=0,"",DI82/DH82)</f>
        <v/>
      </c>
      <c r="DL82" s="27" t="n"/>
      <c r="DM82" s="62" t="n"/>
      <c r="DN82" s="62" t="n"/>
      <c r="DO82" s="62">
        <f>DN82-DM82</f>
        <v/>
      </c>
      <c r="DP82" s="64">
        <f>IF(DM82=0,"",DN82/DM82)</f>
        <v/>
      </c>
      <c r="DQ82" s="31" t="n"/>
      <c r="DR82" s="60" t="n"/>
    </row>
    <row r="83" outlineLevel="1" ht="15" customHeight="1">
      <c r="A83" s="24" t="n"/>
      <c r="B83" s="24" t="n"/>
      <c r="C83" s="24" t="n"/>
      <c r="D83" s="24" t="n"/>
      <c r="E83" s="24" t="n"/>
      <c r="F83" s="24" t="n"/>
      <c r="G83" s="60" t="n"/>
      <c r="H83" s="60" t="n"/>
      <c r="I83" s="60">
        <f>H83-G83</f>
        <v/>
      </c>
      <c r="J83" s="61">
        <f>IF(G83=0,"",H83/G83)</f>
        <v/>
      </c>
      <c r="K83" s="27" t="n"/>
      <c r="L83" s="60" t="n"/>
      <c r="M83" s="60" t="n"/>
      <c r="N83" s="60">
        <f>M83-L83</f>
        <v/>
      </c>
      <c r="O83" s="61">
        <f>IF(L83=0,"",M83/L83)</f>
        <v/>
      </c>
      <c r="P83" s="27" t="n"/>
      <c r="Q83" s="62" t="n"/>
      <c r="R83" s="62" t="n"/>
      <c r="S83" s="62">
        <f>R83-Q83</f>
        <v/>
      </c>
      <c r="T83" s="64">
        <f>IF(Q83=0,"",R83/Q83)</f>
        <v/>
      </c>
      <c r="U83" s="31" t="n"/>
      <c r="V83" s="60" t="n"/>
      <c r="W83" s="60" t="n"/>
      <c r="X83" s="60">
        <f>W83-V83</f>
        <v/>
      </c>
      <c r="Y83" s="61">
        <f>IF(V83=0,"",W83/V83)</f>
        <v/>
      </c>
      <c r="Z83" s="27" t="n"/>
      <c r="AA83" s="62" t="n"/>
      <c r="AB83" s="62" t="n"/>
      <c r="AC83" s="62">
        <f>AB83-AA83</f>
        <v/>
      </c>
      <c r="AD83" s="64">
        <f>IF(AA83=0,"",AB83/AA83)</f>
        <v/>
      </c>
      <c r="AE83" s="31" t="n"/>
      <c r="AF83" s="60" t="n"/>
      <c r="AG83" s="60" t="n"/>
      <c r="AH83" s="60">
        <f>AG83-AF83</f>
        <v/>
      </c>
      <c r="AI83" s="61">
        <f>IF(AF83=0,"",AG83/AF83)</f>
        <v/>
      </c>
      <c r="AJ83" s="27" t="n"/>
      <c r="AK83" s="62" t="n"/>
      <c r="AL83" s="62" t="n"/>
      <c r="AM83" s="62">
        <f>AL83-AK83</f>
        <v/>
      </c>
      <c r="AN83" s="64">
        <f>IF(AK83=0,"",AL83/AK83)</f>
        <v/>
      </c>
      <c r="AO83" s="31" t="n"/>
      <c r="AP83" s="60" t="n"/>
      <c r="AQ83" s="60" t="n"/>
      <c r="AR83" s="60">
        <f>AQ83-AP83</f>
        <v/>
      </c>
      <c r="AS83" s="61">
        <f>IF(AP83=0,"",AQ83/AP83)</f>
        <v/>
      </c>
      <c r="AT83" s="27" t="n"/>
      <c r="AU83" s="62" t="n"/>
      <c r="AV83" s="62" t="n"/>
      <c r="AW83" s="62">
        <f>AV83-AU83</f>
        <v/>
      </c>
      <c r="AX83" s="64">
        <f>IF(AU83=0,"",AV83/AU83)</f>
        <v/>
      </c>
      <c r="AY83" s="31" t="n"/>
      <c r="AZ83" s="60" t="n"/>
      <c r="BA83" s="60" t="n"/>
      <c r="BB83" s="60">
        <f>BA83-AZ83</f>
        <v/>
      </c>
      <c r="BC83" s="61">
        <f>IF(AZ83=0,"",BA83/AZ83)</f>
        <v/>
      </c>
      <c r="BD83" s="27" t="n"/>
      <c r="BE83" s="62" t="n"/>
      <c r="BF83" s="62" t="n"/>
      <c r="BG83" s="62">
        <f>BF83-BE83</f>
        <v/>
      </c>
      <c r="BH83" s="64">
        <f>IF(BE83=0,"",BF83/BE83)</f>
        <v/>
      </c>
      <c r="BI83" s="31" t="n"/>
      <c r="BJ83" s="60" t="n"/>
      <c r="BK83" s="60" t="n"/>
      <c r="BL83" s="60">
        <f>BK83-BJ83</f>
        <v/>
      </c>
      <c r="BM83" s="61">
        <f>IF(BJ83=0,"",BK83/BJ83)</f>
        <v/>
      </c>
      <c r="BN83" s="27" t="n"/>
      <c r="BO83" s="62" t="n"/>
      <c r="BP83" s="62" t="n"/>
      <c r="BQ83" s="62">
        <f>BP83-BO83</f>
        <v/>
      </c>
      <c r="BR83" s="64">
        <f>IF(BO83=0,"",BP83/BO83)</f>
        <v/>
      </c>
      <c r="BS83" s="31" t="n"/>
      <c r="BT83" s="60" t="n"/>
      <c r="BU83" s="60" t="n"/>
      <c r="BV83" s="60">
        <f>BU83-BT83</f>
        <v/>
      </c>
      <c r="BW83" s="61">
        <f>IF(BT83=0,"",BU83/BT83)</f>
        <v/>
      </c>
      <c r="BX83" s="27" t="n"/>
      <c r="BY83" s="62" t="n"/>
      <c r="BZ83" s="62" t="n"/>
      <c r="CA83" s="62">
        <f>BZ83-BY83</f>
        <v/>
      </c>
      <c r="CB83" s="64">
        <f>IF(BY83=0,"",BZ83/BY83)</f>
        <v/>
      </c>
      <c r="CC83" s="31" t="n"/>
      <c r="CD83" s="60" t="n"/>
      <c r="CE83" s="60" t="n"/>
      <c r="CF83" s="60">
        <f>CE83-CD83</f>
        <v/>
      </c>
      <c r="CG83" s="61">
        <f>IF(CD83=0,"",CE83/CD83)</f>
        <v/>
      </c>
      <c r="CH83" s="27" t="n"/>
      <c r="CI83" s="62" t="n"/>
      <c r="CJ83" s="62" t="n"/>
      <c r="CK83" s="62">
        <f>CJ83-CI83</f>
        <v/>
      </c>
      <c r="CL83" s="64">
        <f>IF(CI83=0,"",CJ83/CI83)</f>
        <v/>
      </c>
      <c r="CM83" s="31" t="n"/>
      <c r="CN83" s="60" t="n"/>
      <c r="CO83" s="60" t="n"/>
      <c r="CP83" s="60">
        <f>CO83-CN83</f>
        <v/>
      </c>
      <c r="CQ83" s="61">
        <f>IF(CN83=0,"",CO83/CN83)</f>
        <v/>
      </c>
      <c r="CR83" s="27" t="n"/>
      <c r="CS83" s="62" t="n"/>
      <c r="CT83" s="62" t="n"/>
      <c r="CU83" s="62">
        <f>CT83-CS83</f>
        <v/>
      </c>
      <c r="CV83" s="64">
        <f>IF(CS83=0,"",CT83/CS83)</f>
        <v/>
      </c>
      <c r="CW83" s="31" t="n"/>
      <c r="CX83" s="60" t="n"/>
      <c r="CY83" s="60" t="n"/>
      <c r="CZ83" s="60">
        <f>CY83-CX83</f>
        <v/>
      </c>
      <c r="DA83" s="61">
        <f>IF(CX83=0,"",CY83/CX83)</f>
        <v/>
      </c>
      <c r="DB83" s="27" t="n"/>
      <c r="DC83" s="62" t="n"/>
      <c r="DD83" s="62" t="n"/>
      <c r="DE83" s="62">
        <f>DD83-DC83</f>
        <v/>
      </c>
      <c r="DF83" s="64">
        <f>IF(DC83=0,"",DD83/DC83)</f>
        <v/>
      </c>
      <c r="DG83" s="31" t="n"/>
      <c r="DH83" s="60" t="n"/>
      <c r="DI83" s="60" t="n"/>
      <c r="DJ83" s="60">
        <f>DI83-DH83</f>
        <v/>
      </c>
      <c r="DK83" s="61">
        <f>IF(DH83=0,"",DI83/DH83)</f>
        <v/>
      </c>
      <c r="DL83" s="27" t="n"/>
      <c r="DM83" s="62" t="n"/>
      <c r="DN83" s="62" t="n"/>
      <c r="DO83" s="62">
        <f>DN83-DM83</f>
        <v/>
      </c>
      <c r="DP83" s="64">
        <f>IF(DM83=0,"",DN83/DM83)</f>
        <v/>
      </c>
      <c r="DQ83" s="31" t="n"/>
      <c r="DR83" s="60" t="n"/>
    </row>
    <row r="84" ht="15" customHeight="1">
      <c r="A84" s="32" t="n"/>
      <c r="B84" s="32" t="n"/>
      <c r="C84" s="32" t="n"/>
      <c r="D84" s="32" t="n"/>
      <c r="E84" s="32" t="n"/>
      <c r="F84" s="32" t="n"/>
      <c r="G84" s="65">
        <f>G85+G86+G87+G88</f>
        <v/>
      </c>
      <c r="H84" s="65">
        <f>H85+H86+H87+H88</f>
        <v/>
      </c>
      <c r="I84" s="65">
        <f>H84-G84</f>
        <v/>
      </c>
      <c r="J84" s="66">
        <f>IF(G84=0,"",H84/G84)</f>
        <v/>
      </c>
      <c r="K84" s="35" t="n"/>
      <c r="L84" s="65">
        <f>L85+L86+L87+L88</f>
        <v/>
      </c>
      <c r="M84" s="65">
        <f>M85+M86+M87+M88</f>
        <v/>
      </c>
      <c r="N84" s="65">
        <f>M84-L84</f>
        <v/>
      </c>
      <c r="O84" s="66">
        <f>IF(L84=0,"",M84/L84)</f>
        <v/>
      </c>
      <c r="P84" s="35" t="n"/>
      <c r="Q84" s="65">
        <f>Q85+Q86+Q87+Q88</f>
        <v/>
      </c>
      <c r="R84" s="65">
        <f>R85+R86+R87+R88</f>
        <v/>
      </c>
      <c r="S84" s="65">
        <f>R84-Q84</f>
        <v/>
      </c>
      <c r="T84" s="66">
        <f>IF(Q84=0,"",R84/Q84)</f>
        <v/>
      </c>
      <c r="U84" s="35" t="n"/>
      <c r="V84" s="65">
        <f>V85+V86+V87+V88</f>
        <v/>
      </c>
      <c r="W84" s="65">
        <f>W85+W86+W87+W88</f>
        <v/>
      </c>
      <c r="X84" s="65">
        <f>W84-V84</f>
        <v/>
      </c>
      <c r="Y84" s="66">
        <f>IF(V84=0,"",W84/V84)</f>
        <v/>
      </c>
      <c r="Z84" s="35" t="n"/>
      <c r="AA84" s="65">
        <f>AA85+AA86+AA87+AA88</f>
        <v/>
      </c>
      <c r="AB84" s="65">
        <f>AB85+AB86+AB87+AB88</f>
        <v/>
      </c>
      <c r="AC84" s="65">
        <f>AB84-AA84</f>
        <v/>
      </c>
      <c r="AD84" s="66">
        <f>IF(AA84=0,"",AB84/AA84)</f>
        <v/>
      </c>
      <c r="AE84" s="35" t="n"/>
      <c r="AF84" s="65">
        <f>AF85+AF86+AF87+AF88</f>
        <v/>
      </c>
      <c r="AG84" s="65">
        <f>AG85+AG86+AG87+AG88</f>
        <v/>
      </c>
      <c r="AH84" s="65">
        <f>AG84-AF84</f>
        <v/>
      </c>
      <c r="AI84" s="66">
        <f>IF(AF84=0,"",AG84/AF84)</f>
        <v/>
      </c>
      <c r="AJ84" s="35" t="n"/>
      <c r="AK84" s="65">
        <f>AK85+AK86+AK87+AK88</f>
        <v/>
      </c>
      <c r="AL84" s="65">
        <f>AL85+AL86+AL87+AL88</f>
        <v/>
      </c>
      <c r="AM84" s="65">
        <f>AL84-AK84</f>
        <v/>
      </c>
      <c r="AN84" s="66">
        <f>IF(AK84=0,"",AL84/AK84)</f>
        <v/>
      </c>
      <c r="AO84" s="35" t="n"/>
      <c r="AP84" s="65">
        <f>AP85+AP86+AP87+AP88</f>
        <v/>
      </c>
      <c r="AQ84" s="65">
        <f>AQ85+AQ86+AQ87+AQ88</f>
        <v/>
      </c>
      <c r="AR84" s="65">
        <f>AQ84-AP84</f>
        <v/>
      </c>
      <c r="AS84" s="66">
        <f>IF(AP84=0,"",AQ84/AP84)</f>
        <v/>
      </c>
      <c r="AT84" s="35" t="n"/>
      <c r="AU84" s="65">
        <f>AU85+AU86+AU87+AU88</f>
        <v/>
      </c>
      <c r="AV84" s="65">
        <f>AV85+AV86+AV87+AV88</f>
        <v/>
      </c>
      <c r="AW84" s="65">
        <f>AV84-AU84</f>
        <v/>
      </c>
      <c r="AX84" s="66">
        <f>IF(AU84=0,"",AV84/AU84)</f>
        <v/>
      </c>
      <c r="AY84" s="35" t="n"/>
      <c r="AZ84" s="65">
        <f>AZ85+AZ86+AZ87+AZ88</f>
        <v/>
      </c>
      <c r="BA84" s="65">
        <f>BA85+BA86+BA87+BA88</f>
        <v/>
      </c>
      <c r="BB84" s="65">
        <f>BA84-AZ84</f>
        <v/>
      </c>
      <c r="BC84" s="66">
        <f>IF(AZ84=0,"",BA84/AZ84)</f>
        <v/>
      </c>
      <c r="BD84" s="35" t="n"/>
      <c r="BE84" s="65">
        <f>BE85+BE86+BE87+BE88</f>
        <v/>
      </c>
      <c r="BF84" s="65">
        <f>BF85+BF86+BF87+BF88</f>
        <v/>
      </c>
      <c r="BG84" s="65">
        <f>BF84-BE84</f>
        <v/>
      </c>
      <c r="BH84" s="66">
        <f>IF(BE84=0,"",BF84/BE84)</f>
        <v/>
      </c>
      <c r="BI84" s="35" t="n"/>
      <c r="BJ84" s="65">
        <f>BJ85+BJ86+BJ87+BJ88</f>
        <v/>
      </c>
      <c r="BK84" s="65">
        <f>BK85+BK86+BK87+BK88</f>
        <v/>
      </c>
      <c r="BL84" s="65">
        <f>BK84-BJ84</f>
        <v/>
      </c>
      <c r="BM84" s="66">
        <f>IF(BJ84=0,"",BK84/BJ84)</f>
        <v/>
      </c>
      <c r="BN84" s="35" t="n"/>
      <c r="BO84" s="65">
        <f>BO85+BO86+BO87+BO88</f>
        <v/>
      </c>
      <c r="BP84" s="65">
        <f>BP85+BP86+BP87+BP88</f>
        <v/>
      </c>
      <c r="BQ84" s="65">
        <f>BP84-BO84</f>
        <v/>
      </c>
      <c r="BR84" s="66">
        <f>IF(BO84=0,"",BP84/BO84)</f>
        <v/>
      </c>
      <c r="BS84" s="35" t="n"/>
      <c r="BT84" s="65">
        <f>BT85+BT86+BT87+BT88</f>
        <v/>
      </c>
      <c r="BU84" s="65">
        <f>BU85+BU86+BU87+BU88</f>
        <v/>
      </c>
      <c r="BV84" s="65">
        <f>BU84-BT84</f>
        <v/>
      </c>
      <c r="BW84" s="66">
        <f>IF(BT84=0,"",BU84/BT84)</f>
        <v/>
      </c>
      <c r="BX84" s="35" t="n"/>
      <c r="BY84" s="65">
        <f>BY85+BY86+BY87+BY88</f>
        <v/>
      </c>
      <c r="BZ84" s="65">
        <f>BZ85+BZ86+BZ87+BZ88</f>
        <v/>
      </c>
      <c r="CA84" s="65">
        <f>BZ84-BY84</f>
        <v/>
      </c>
      <c r="CB84" s="66">
        <f>IF(BY84=0,"",BZ84/BY84)</f>
        <v/>
      </c>
      <c r="CC84" s="35" t="n"/>
      <c r="CD84" s="65">
        <f>CD85+CD86+CD87+CD88</f>
        <v/>
      </c>
      <c r="CE84" s="65">
        <f>CE85+CE86+CE87+CE88</f>
        <v/>
      </c>
      <c r="CF84" s="65">
        <f>CE84-CD84</f>
        <v/>
      </c>
      <c r="CG84" s="66">
        <f>IF(CD84=0,"",CE84/CD84)</f>
        <v/>
      </c>
      <c r="CH84" s="35" t="n"/>
      <c r="CI84" s="65">
        <f>CI85+CI86+CI87+CI88</f>
        <v/>
      </c>
      <c r="CJ84" s="65">
        <f>CJ85+CJ86+CJ87+CJ88</f>
        <v/>
      </c>
      <c r="CK84" s="65">
        <f>CJ84-CI84</f>
        <v/>
      </c>
      <c r="CL84" s="66">
        <f>IF(CI84=0,"",CJ84/CI84)</f>
        <v/>
      </c>
      <c r="CM84" s="35" t="n"/>
      <c r="CN84" s="65">
        <f>CN85+CN86+CN87+CN88</f>
        <v/>
      </c>
      <c r="CO84" s="65">
        <f>CO85+CO86+CO87+CO88</f>
        <v/>
      </c>
      <c r="CP84" s="65">
        <f>CO84-CN84</f>
        <v/>
      </c>
      <c r="CQ84" s="66">
        <f>IF(CN84=0,"",CO84/CN84)</f>
        <v/>
      </c>
      <c r="CR84" s="35" t="n"/>
      <c r="CS84" s="65">
        <f>CS85+CS86+CS87+CS88</f>
        <v/>
      </c>
      <c r="CT84" s="65">
        <f>CT85+CT86+CT87+CT88</f>
        <v/>
      </c>
      <c r="CU84" s="65">
        <f>CT84-CS84</f>
        <v/>
      </c>
      <c r="CV84" s="66">
        <f>IF(CS84=0,"",CT84/CS84)</f>
        <v/>
      </c>
      <c r="CW84" s="35" t="n"/>
      <c r="CX84" s="65">
        <f>CX85+CX86+CX87+CX88</f>
        <v/>
      </c>
      <c r="CY84" s="65">
        <f>CY85+CY86+CY87+CY88</f>
        <v/>
      </c>
      <c r="CZ84" s="65">
        <f>CY84-CX84</f>
        <v/>
      </c>
      <c r="DA84" s="66">
        <f>IF(CX84=0,"",CY84/CX84)</f>
        <v/>
      </c>
      <c r="DB84" s="35" t="n"/>
      <c r="DC84" s="65">
        <f>DC85+DC86+DC87+DC88</f>
        <v/>
      </c>
      <c r="DD84" s="65">
        <f>DD85+DD86+DD87+DD88</f>
        <v/>
      </c>
      <c r="DE84" s="65">
        <f>DD84-DC84</f>
        <v/>
      </c>
      <c r="DF84" s="66">
        <f>IF(DC84=0,"",DD84/DC84)</f>
        <v/>
      </c>
      <c r="DG84" s="35" t="n"/>
      <c r="DH84" s="65">
        <f>DH85+DH86+DH87+DH88</f>
        <v/>
      </c>
      <c r="DI84" s="65">
        <f>DI85+DI86+DI87+DI88</f>
        <v/>
      </c>
      <c r="DJ84" s="65">
        <f>DI84-DH84</f>
        <v/>
      </c>
      <c r="DK84" s="66">
        <f>IF(DH84=0,"",DI84/DH84)</f>
        <v/>
      </c>
      <c r="DL84" s="35" t="n"/>
      <c r="DM84" s="65">
        <f>DM85+DM86+DM87+DM88</f>
        <v/>
      </c>
      <c r="DN84" s="65">
        <f>DN85+DN86+DN87+DN88</f>
        <v/>
      </c>
      <c r="DO84" s="65">
        <f>DN84-DM84</f>
        <v/>
      </c>
      <c r="DP84" s="66">
        <f>IF(DM84=0,"",DN84/DM84)</f>
        <v/>
      </c>
      <c r="DQ84" s="35" t="n"/>
      <c r="DR84" s="65">
        <f>DR85+DR86+DR87+DR88</f>
        <v/>
      </c>
    </row>
    <row r="85" outlineLevel="1" ht="15" customHeight="1">
      <c r="A85" s="24" t="n"/>
      <c r="B85" s="24" t="n"/>
      <c r="C85" s="24" t="n"/>
      <c r="D85" s="24" t="n"/>
      <c r="E85" s="24" t="n"/>
      <c r="F85" s="24" t="n"/>
      <c r="G85" s="60" t="n"/>
      <c r="H85" s="60" t="n"/>
      <c r="I85" s="60">
        <f>H85-G85</f>
        <v/>
      </c>
      <c r="J85" s="61">
        <f>IF(G85=0,"",H85/G85)</f>
        <v/>
      </c>
      <c r="K85" s="27" t="n"/>
      <c r="L85" s="60" t="n"/>
      <c r="M85" s="60" t="n"/>
      <c r="N85" s="60">
        <f>M85-L85</f>
        <v/>
      </c>
      <c r="O85" s="61">
        <f>IF(L85=0,"",M85/L85)</f>
        <v/>
      </c>
      <c r="P85" s="27" t="n"/>
      <c r="Q85" s="62" t="n"/>
      <c r="R85" s="62" t="n"/>
      <c r="S85" s="62">
        <f>R85-Q85</f>
        <v/>
      </c>
      <c r="T85" s="64">
        <f>IF(Q85=0,"",R85/Q85)</f>
        <v/>
      </c>
      <c r="U85" s="31" t="n"/>
      <c r="V85" s="60" t="n"/>
      <c r="W85" s="60" t="n"/>
      <c r="X85" s="60">
        <f>W85-V85</f>
        <v/>
      </c>
      <c r="Y85" s="61">
        <f>IF(V85=0,"",W85/V85)</f>
        <v/>
      </c>
      <c r="Z85" s="27" t="n"/>
      <c r="AA85" s="62" t="n"/>
      <c r="AB85" s="62" t="n"/>
      <c r="AC85" s="62">
        <f>AB85-AA85</f>
        <v/>
      </c>
      <c r="AD85" s="64">
        <f>IF(AA85=0,"",AB85/AA85)</f>
        <v/>
      </c>
      <c r="AE85" s="31" t="n"/>
      <c r="AF85" s="60" t="n"/>
      <c r="AG85" s="60" t="n"/>
      <c r="AH85" s="60">
        <f>AG85-AF85</f>
        <v/>
      </c>
      <c r="AI85" s="61">
        <f>IF(AF85=0,"",AG85/AF85)</f>
        <v/>
      </c>
      <c r="AJ85" s="27" t="n"/>
      <c r="AK85" s="62" t="n"/>
      <c r="AL85" s="62" t="n"/>
      <c r="AM85" s="62">
        <f>AL85-AK85</f>
        <v/>
      </c>
      <c r="AN85" s="64">
        <f>IF(AK85=0,"",AL85/AK85)</f>
        <v/>
      </c>
      <c r="AO85" s="31" t="n"/>
      <c r="AP85" s="60" t="n"/>
      <c r="AQ85" s="60" t="n"/>
      <c r="AR85" s="60">
        <f>AQ85-AP85</f>
        <v/>
      </c>
      <c r="AS85" s="61">
        <f>IF(AP85=0,"",AQ85/AP85)</f>
        <v/>
      </c>
      <c r="AT85" s="27" t="n"/>
      <c r="AU85" s="62" t="n"/>
      <c r="AV85" s="62" t="n"/>
      <c r="AW85" s="62">
        <f>AV85-AU85</f>
        <v/>
      </c>
      <c r="AX85" s="64">
        <f>IF(AU85=0,"",AV85/AU85)</f>
        <v/>
      </c>
      <c r="AY85" s="31" t="n"/>
      <c r="AZ85" s="60" t="n"/>
      <c r="BA85" s="60" t="n"/>
      <c r="BB85" s="60">
        <f>BA85-AZ85</f>
        <v/>
      </c>
      <c r="BC85" s="61">
        <f>IF(AZ85=0,"",BA85/AZ85)</f>
        <v/>
      </c>
      <c r="BD85" s="27" t="n"/>
      <c r="BE85" s="62" t="n"/>
      <c r="BF85" s="62" t="n"/>
      <c r="BG85" s="62">
        <f>BF85-BE85</f>
        <v/>
      </c>
      <c r="BH85" s="64">
        <f>IF(BE85=0,"",BF85/BE85)</f>
        <v/>
      </c>
      <c r="BI85" s="31" t="n"/>
      <c r="BJ85" s="60" t="n"/>
      <c r="BK85" s="60" t="n"/>
      <c r="BL85" s="60">
        <f>BK85-BJ85</f>
        <v/>
      </c>
      <c r="BM85" s="61">
        <f>IF(BJ85=0,"",BK85/BJ85)</f>
        <v/>
      </c>
      <c r="BN85" s="27" t="n"/>
      <c r="BO85" s="62" t="n"/>
      <c r="BP85" s="62" t="n"/>
      <c r="BQ85" s="62">
        <f>BP85-BO85</f>
        <v/>
      </c>
      <c r="BR85" s="64">
        <f>IF(BO85=0,"",BP85/BO85)</f>
        <v/>
      </c>
      <c r="BS85" s="31" t="n"/>
      <c r="BT85" s="60" t="n"/>
      <c r="BU85" s="60" t="n"/>
      <c r="BV85" s="60">
        <f>BU85-BT85</f>
        <v/>
      </c>
      <c r="BW85" s="61">
        <f>IF(BT85=0,"",BU85/BT85)</f>
        <v/>
      </c>
      <c r="BX85" s="27" t="n"/>
      <c r="BY85" s="62" t="n"/>
      <c r="BZ85" s="62" t="n"/>
      <c r="CA85" s="62">
        <f>BZ85-BY85</f>
        <v/>
      </c>
      <c r="CB85" s="64">
        <f>IF(BY85=0,"",BZ85/BY85)</f>
        <v/>
      </c>
      <c r="CC85" s="31" t="n"/>
      <c r="CD85" s="60" t="n"/>
      <c r="CE85" s="60" t="n"/>
      <c r="CF85" s="60">
        <f>CE85-CD85</f>
        <v/>
      </c>
      <c r="CG85" s="61">
        <f>IF(CD85=0,"",CE85/CD85)</f>
        <v/>
      </c>
      <c r="CH85" s="27" t="n"/>
      <c r="CI85" s="62" t="n"/>
      <c r="CJ85" s="62" t="n"/>
      <c r="CK85" s="62">
        <f>CJ85-CI85</f>
        <v/>
      </c>
      <c r="CL85" s="64">
        <f>IF(CI85=0,"",CJ85/CI85)</f>
        <v/>
      </c>
      <c r="CM85" s="31" t="n"/>
      <c r="CN85" s="60" t="n"/>
      <c r="CO85" s="60" t="n"/>
      <c r="CP85" s="60">
        <f>CO85-CN85</f>
        <v/>
      </c>
      <c r="CQ85" s="61">
        <f>IF(CN85=0,"",CO85/CN85)</f>
        <v/>
      </c>
      <c r="CR85" s="27" t="n"/>
      <c r="CS85" s="62" t="n"/>
      <c r="CT85" s="62" t="n"/>
      <c r="CU85" s="62">
        <f>CT85-CS85</f>
        <v/>
      </c>
      <c r="CV85" s="64">
        <f>IF(CS85=0,"",CT85/CS85)</f>
        <v/>
      </c>
      <c r="CW85" s="31" t="n"/>
      <c r="CX85" s="60" t="n"/>
      <c r="CY85" s="60" t="n"/>
      <c r="CZ85" s="60">
        <f>CY85-CX85</f>
        <v/>
      </c>
      <c r="DA85" s="61">
        <f>IF(CX85=0,"",CY85/CX85)</f>
        <v/>
      </c>
      <c r="DB85" s="27" t="n"/>
      <c r="DC85" s="62" t="n"/>
      <c r="DD85" s="62" t="n"/>
      <c r="DE85" s="62">
        <f>DD85-DC85</f>
        <v/>
      </c>
      <c r="DF85" s="64">
        <f>IF(DC85=0,"",DD85/DC85)</f>
        <v/>
      </c>
      <c r="DG85" s="31" t="n"/>
      <c r="DH85" s="60" t="n"/>
      <c r="DI85" s="60" t="n"/>
      <c r="DJ85" s="60">
        <f>DI85-DH85</f>
        <v/>
      </c>
      <c r="DK85" s="61">
        <f>IF(DH85=0,"",DI85/DH85)</f>
        <v/>
      </c>
      <c r="DL85" s="27" t="n"/>
      <c r="DM85" s="62" t="n"/>
      <c r="DN85" s="62" t="n"/>
      <c r="DO85" s="62">
        <f>DN85-DM85</f>
        <v/>
      </c>
      <c r="DP85" s="64">
        <f>IF(DM85=0,"",DN85/DM85)</f>
        <v/>
      </c>
      <c r="DQ85" s="31" t="n"/>
      <c r="DR85" s="60" t="n"/>
    </row>
    <row r="86" outlineLevel="1" ht="15" customHeight="1">
      <c r="A86" s="24" t="n"/>
      <c r="B86" s="24" t="n"/>
      <c r="C86" s="24" t="n"/>
      <c r="D86" s="24" t="n"/>
      <c r="E86" s="24" t="n"/>
      <c r="F86" s="24" t="n"/>
      <c r="G86" s="60" t="n"/>
      <c r="H86" s="60" t="n"/>
      <c r="I86" s="60">
        <f>H86-G86</f>
        <v/>
      </c>
      <c r="J86" s="61">
        <f>IF(G86=0,"",H86/G86)</f>
        <v/>
      </c>
      <c r="K86" s="27" t="n"/>
      <c r="L86" s="60" t="n"/>
      <c r="M86" s="60" t="n"/>
      <c r="N86" s="60">
        <f>M86-L86</f>
        <v/>
      </c>
      <c r="O86" s="61">
        <f>IF(L86=0,"",M86/L86)</f>
        <v/>
      </c>
      <c r="P86" s="27" t="n"/>
      <c r="Q86" s="62" t="n"/>
      <c r="R86" s="62" t="n"/>
      <c r="S86" s="62">
        <f>R86-Q86</f>
        <v/>
      </c>
      <c r="T86" s="64">
        <f>IF(Q86=0,"",R86/Q86)</f>
        <v/>
      </c>
      <c r="U86" s="31" t="n"/>
      <c r="V86" s="60" t="n"/>
      <c r="W86" s="60" t="n"/>
      <c r="X86" s="60">
        <f>W86-V86</f>
        <v/>
      </c>
      <c r="Y86" s="61">
        <f>IF(V86=0,"",W86/V86)</f>
        <v/>
      </c>
      <c r="Z86" s="27" t="n"/>
      <c r="AA86" s="62" t="n"/>
      <c r="AB86" s="62" t="n"/>
      <c r="AC86" s="62">
        <f>AB86-AA86</f>
        <v/>
      </c>
      <c r="AD86" s="64">
        <f>IF(AA86=0,"",AB86/AA86)</f>
        <v/>
      </c>
      <c r="AE86" s="31" t="n"/>
      <c r="AF86" s="60" t="n"/>
      <c r="AG86" s="60" t="n"/>
      <c r="AH86" s="60">
        <f>AG86-AF86</f>
        <v/>
      </c>
      <c r="AI86" s="61">
        <f>IF(AF86=0,"",AG86/AF86)</f>
        <v/>
      </c>
      <c r="AJ86" s="27" t="n"/>
      <c r="AK86" s="62" t="n"/>
      <c r="AL86" s="62" t="n"/>
      <c r="AM86" s="62">
        <f>AL86-AK86</f>
        <v/>
      </c>
      <c r="AN86" s="64">
        <f>IF(AK86=0,"",AL86/AK86)</f>
        <v/>
      </c>
      <c r="AO86" s="31" t="n"/>
      <c r="AP86" s="60" t="n"/>
      <c r="AQ86" s="60" t="n"/>
      <c r="AR86" s="60">
        <f>AQ86-AP86</f>
        <v/>
      </c>
      <c r="AS86" s="61">
        <f>IF(AP86=0,"",AQ86/AP86)</f>
        <v/>
      </c>
      <c r="AT86" s="27" t="n"/>
      <c r="AU86" s="62" t="n"/>
      <c r="AV86" s="62" t="n"/>
      <c r="AW86" s="62">
        <f>AV86-AU86</f>
        <v/>
      </c>
      <c r="AX86" s="64">
        <f>IF(AU86=0,"",AV86/AU86)</f>
        <v/>
      </c>
      <c r="AY86" s="31" t="n"/>
      <c r="AZ86" s="60" t="n"/>
      <c r="BA86" s="60" t="n"/>
      <c r="BB86" s="60">
        <f>BA86-AZ86</f>
        <v/>
      </c>
      <c r="BC86" s="61">
        <f>IF(AZ86=0,"",BA86/AZ86)</f>
        <v/>
      </c>
      <c r="BD86" s="27" t="n"/>
      <c r="BE86" s="62" t="n"/>
      <c r="BF86" s="62" t="n"/>
      <c r="BG86" s="62">
        <f>BF86-BE86</f>
        <v/>
      </c>
      <c r="BH86" s="64">
        <f>IF(BE86=0,"",BF86/BE86)</f>
        <v/>
      </c>
      <c r="BI86" s="31" t="n"/>
      <c r="BJ86" s="60" t="n"/>
      <c r="BK86" s="60" t="n"/>
      <c r="BL86" s="60">
        <f>BK86-BJ86</f>
        <v/>
      </c>
      <c r="BM86" s="61">
        <f>IF(BJ86=0,"",BK86/BJ86)</f>
        <v/>
      </c>
      <c r="BN86" s="27" t="n"/>
      <c r="BO86" s="62" t="n"/>
      <c r="BP86" s="62" t="n"/>
      <c r="BQ86" s="62">
        <f>BP86-BO86</f>
        <v/>
      </c>
      <c r="BR86" s="64">
        <f>IF(BO86=0,"",BP86/BO86)</f>
        <v/>
      </c>
      <c r="BS86" s="31" t="n"/>
      <c r="BT86" s="60" t="n"/>
      <c r="BU86" s="60" t="n"/>
      <c r="BV86" s="60">
        <f>BU86-BT86</f>
        <v/>
      </c>
      <c r="BW86" s="61">
        <f>IF(BT86=0,"",BU86/BT86)</f>
        <v/>
      </c>
      <c r="BX86" s="27" t="n"/>
      <c r="BY86" s="62" t="n"/>
      <c r="BZ86" s="62" t="n"/>
      <c r="CA86" s="62">
        <f>BZ86-BY86</f>
        <v/>
      </c>
      <c r="CB86" s="64">
        <f>IF(BY86=0,"",BZ86/BY86)</f>
        <v/>
      </c>
      <c r="CC86" s="31" t="n"/>
      <c r="CD86" s="60" t="n"/>
      <c r="CE86" s="60" t="n"/>
      <c r="CF86" s="60">
        <f>CE86-CD86</f>
        <v/>
      </c>
      <c r="CG86" s="61">
        <f>IF(CD86=0,"",CE86/CD86)</f>
        <v/>
      </c>
      <c r="CH86" s="27" t="n"/>
      <c r="CI86" s="62" t="n"/>
      <c r="CJ86" s="62" t="n"/>
      <c r="CK86" s="62">
        <f>CJ86-CI86</f>
        <v/>
      </c>
      <c r="CL86" s="64">
        <f>IF(CI86=0,"",CJ86/CI86)</f>
        <v/>
      </c>
      <c r="CM86" s="31" t="n"/>
      <c r="CN86" s="60" t="n"/>
      <c r="CO86" s="60" t="n"/>
      <c r="CP86" s="60">
        <f>CO86-CN86</f>
        <v/>
      </c>
      <c r="CQ86" s="61">
        <f>IF(CN86=0,"",CO86/CN86)</f>
        <v/>
      </c>
      <c r="CR86" s="27" t="n"/>
      <c r="CS86" s="62" t="n"/>
      <c r="CT86" s="62" t="n"/>
      <c r="CU86" s="62">
        <f>CT86-CS86</f>
        <v/>
      </c>
      <c r="CV86" s="64">
        <f>IF(CS86=0,"",CT86/CS86)</f>
        <v/>
      </c>
      <c r="CW86" s="31" t="n"/>
      <c r="CX86" s="60" t="n"/>
      <c r="CY86" s="60" t="n"/>
      <c r="CZ86" s="60">
        <f>CY86-CX86</f>
        <v/>
      </c>
      <c r="DA86" s="61">
        <f>IF(CX86=0,"",CY86/CX86)</f>
        <v/>
      </c>
      <c r="DB86" s="27" t="n"/>
      <c r="DC86" s="62" t="n"/>
      <c r="DD86" s="62" t="n"/>
      <c r="DE86" s="62">
        <f>DD86-DC86</f>
        <v/>
      </c>
      <c r="DF86" s="64">
        <f>IF(DC86=0,"",DD86/DC86)</f>
        <v/>
      </c>
      <c r="DG86" s="31" t="n"/>
      <c r="DH86" s="60" t="n"/>
      <c r="DI86" s="60" t="n"/>
      <c r="DJ86" s="60">
        <f>DI86-DH86</f>
        <v/>
      </c>
      <c r="DK86" s="61">
        <f>IF(DH86=0,"",DI86/DH86)</f>
        <v/>
      </c>
      <c r="DL86" s="27" t="n"/>
      <c r="DM86" s="62" t="n"/>
      <c r="DN86" s="62" t="n"/>
      <c r="DO86" s="62">
        <f>DN86-DM86</f>
        <v/>
      </c>
      <c r="DP86" s="64">
        <f>IF(DM86=0,"",DN86/DM86)</f>
        <v/>
      </c>
      <c r="DQ86" s="31" t="n"/>
      <c r="DR86" s="60" t="n"/>
    </row>
    <row r="87" outlineLevel="1" ht="15" customHeight="1">
      <c r="A87" s="24" t="n"/>
      <c r="B87" s="24" t="n"/>
      <c r="C87" s="24" t="n"/>
      <c r="D87" s="24" t="n"/>
      <c r="E87" s="24" t="n"/>
      <c r="F87" s="24" t="n"/>
      <c r="G87" s="60" t="n"/>
      <c r="H87" s="60" t="n"/>
      <c r="I87" s="60">
        <f>H87-G87</f>
        <v/>
      </c>
      <c r="J87" s="61">
        <f>IF(G87=0,"",H87/G87)</f>
        <v/>
      </c>
      <c r="K87" s="27" t="n"/>
      <c r="L87" s="60" t="n"/>
      <c r="M87" s="60" t="n"/>
      <c r="N87" s="60">
        <f>M87-L87</f>
        <v/>
      </c>
      <c r="O87" s="61">
        <f>IF(L87=0,"",M87/L87)</f>
        <v/>
      </c>
      <c r="P87" s="27" t="n"/>
      <c r="Q87" s="62" t="n"/>
      <c r="R87" s="62" t="n"/>
      <c r="S87" s="62">
        <f>R87-Q87</f>
        <v/>
      </c>
      <c r="T87" s="64">
        <f>IF(Q87=0,"",R87/Q87)</f>
        <v/>
      </c>
      <c r="U87" s="31" t="n"/>
      <c r="V87" s="60" t="n"/>
      <c r="W87" s="60" t="n"/>
      <c r="X87" s="60">
        <f>W87-V87</f>
        <v/>
      </c>
      <c r="Y87" s="61">
        <f>IF(V87=0,"",W87/V87)</f>
        <v/>
      </c>
      <c r="Z87" s="27" t="n"/>
      <c r="AA87" s="62" t="n"/>
      <c r="AB87" s="62" t="n"/>
      <c r="AC87" s="62">
        <f>AB87-AA87</f>
        <v/>
      </c>
      <c r="AD87" s="64">
        <f>IF(AA87=0,"",AB87/AA87)</f>
        <v/>
      </c>
      <c r="AE87" s="31" t="n"/>
      <c r="AF87" s="60" t="n"/>
      <c r="AG87" s="60" t="n"/>
      <c r="AH87" s="60">
        <f>AG87-AF87</f>
        <v/>
      </c>
      <c r="AI87" s="61">
        <f>IF(AF87=0,"",AG87/AF87)</f>
        <v/>
      </c>
      <c r="AJ87" s="27" t="n"/>
      <c r="AK87" s="62" t="n"/>
      <c r="AL87" s="62" t="n"/>
      <c r="AM87" s="62">
        <f>AL87-AK87</f>
        <v/>
      </c>
      <c r="AN87" s="64">
        <f>IF(AK87=0,"",AL87/AK87)</f>
        <v/>
      </c>
      <c r="AO87" s="31" t="n"/>
      <c r="AP87" s="60" t="n"/>
      <c r="AQ87" s="60" t="n"/>
      <c r="AR87" s="60">
        <f>AQ87-AP87</f>
        <v/>
      </c>
      <c r="AS87" s="61">
        <f>IF(AP87=0,"",AQ87/AP87)</f>
        <v/>
      </c>
      <c r="AT87" s="27" t="n"/>
      <c r="AU87" s="62" t="n"/>
      <c r="AV87" s="62" t="n"/>
      <c r="AW87" s="62">
        <f>AV87-AU87</f>
        <v/>
      </c>
      <c r="AX87" s="64">
        <f>IF(AU87=0,"",AV87/AU87)</f>
        <v/>
      </c>
      <c r="AY87" s="31" t="n"/>
      <c r="AZ87" s="60" t="n"/>
      <c r="BA87" s="60" t="n"/>
      <c r="BB87" s="60">
        <f>BA87-AZ87</f>
        <v/>
      </c>
      <c r="BC87" s="61">
        <f>IF(AZ87=0,"",BA87/AZ87)</f>
        <v/>
      </c>
      <c r="BD87" s="27" t="n"/>
      <c r="BE87" s="62" t="n"/>
      <c r="BF87" s="62" t="n"/>
      <c r="BG87" s="62">
        <f>BF87-BE87</f>
        <v/>
      </c>
      <c r="BH87" s="64">
        <f>IF(BE87=0,"",BF87/BE87)</f>
        <v/>
      </c>
      <c r="BI87" s="31" t="n"/>
      <c r="BJ87" s="60" t="n"/>
      <c r="BK87" s="60" t="n"/>
      <c r="BL87" s="60">
        <f>BK87-BJ87</f>
        <v/>
      </c>
      <c r="BM87" s="61">
        <f>IF(BJ87=0,"",BK87/BJ87)</f>
        <v/>
      </c>
      <c r="BN87" s="27" t="n"/>
      <c r="BO87" s="62" t="n"/>
      <c r="BP87" s="62" t="n"/>
      <c r="BQ87" s="62">
        <f>BP87-BO87</f>
        <v/>
      </c>
      <c r="BR87" s="64">
        <f>IF(BO87=0,"",BP87/BO87)</f>
        <v/>
      </c>
      <c r="BS87" s="31" t="n"/>
      <c r="BT87" s="60" t="n"/>
      <c r="BU87" s="60" t="n"/>
      <c r="BV87" s="60">
        <f>BU87-BT87</f>
        <v/>
      </c>
      <c r="BW87" s="61">
        <f>IF(BT87=0,"",BU87/BT87)</f>
        <v/>
      </c>
      <c r="BX87" s="27" t="n"/>
      <c r="BY87" s="62" t="n"/>
      <c r="BZ87" s="62" t="n"/>
      <c r="CA87" s="62">
        <f>BZ87-BY87</f>
        <v/>
      </c>
      <c r="CB87" s="64">
        <f>IF(BY87=0,"",BZ87/BY87)</f>
        <v/>
      </c>
      <c r="CC87" s="31" t="n"/>
      <c r="CD87" s="60" t="n"/>
      <c r="CE87" s="60" t="n"/>
      <c r="CF87" s="60">
        <f>CE87-CD87</f>
        <v/>
      </c>
      <c r="CG87" s="61">
        <f>IF(CD87=0,"",CE87/CD87)</f>
        <v/>
      </c>
      <c r="CH87" s="27" t="n"/>
      <c r="CI87" s="62" t="n"/>
      <c r="CJ87" s="62" t="n"/>
      <c r="CK87" s="62">
        <f>CJ87-CI87</f>
        <v/>
      </c>
      <c r="CL87" s="64">
        <f>IF(CI87=0,"",CJ87/CI87)</f>
        <v/>
      </c>
      <c r="CM87" s="31" t="n"/>
      <c r="CN87" s="60" t="n"/>
      <c r="CO87" s="60" t="n"/>
      <c r="CP87" s="60">
        <f>CO87-CN87</f>
        <v/>
      </c>
      <c r="CQ87" s="61">
        <f>IF(CN87=0,"",CO87/CN87)</f>
        <v/>
      </c>
      <c r="CR87" s="27" t="n"/>
      <c r="CS87" s="62" t="n"/>
      <c r="CT87" s="62" t="n"/>
      <c r="CU87" s="62">
        <f>CT87-CS87</f>
        <v/>
      </c>
      <c r="CV87" s="64">
        <f>IF(CS87=0,"",CT87/CS87)</f>
        <v/>
      </c>
      <c r="CW87" s="31" t="n"/>
      <c r="CX87" s="60" t="n"/>
      <c r="CY87" s="60" t="n"/>
      <c r="CZ87" s="60">
        <f>CY87-CX87</f>
        <v/>
      </c>
      <c r="DA87" s="61">
        <f>IF(CX87=0,"",CY87/CX87)</f>
        <v/>
      </c>
      <c r="DB87" s="27" t="n"/>
      <c r="DC87" s="62" t="n"/>
      <c r="DD87" s="62" t="n"/>
      <c r="DE87" s="62">
        <f>DD87-DC87</f>
        <v/>
      </c>
      <c r="DF87" s="64">
        <f>IF(DC87=0,"",DD87/DC87)</f>
        <v/>
      </c>
      <c r="DG87" s="31" t="n"/>
      <c r="DH87" s="60" t="n"/>
      <c r="DI87" s="60" t="n"/>
      <c r="DJ87" s="60">
        <f>DI87-DH87</f>
        <v/>
      </c>
      <c r="DK87" s="61">
        <f>IF(DH87=0,"",DI87/DH87)</f>
        <v/>
      </c>
      <c r="DL87" s="27" t="n"/>
      <c r="DM87" s="62" t="n"/>
      <c r="DN87" s="62" t="n"/>
      <c r="DO87" s="62">
        <f>DN87-DM87</f>
        <v/>
      </c>
      <c r="DP87" s="64">
        <f>IF(DM87=0,"",DN87/DM87)</f>
        <v/>
      </c>
      <c r="DQ87" s="31" t="n"/>
      <c r="DR87" s="60" t="n"/>
    </row>
    <row r="88" outlineLevel="1" ht="15" customHeight="1">
      <c r="A88" s="24" t="n"/>
      <c r="B88" s="24" t="n"/>
      <c r="C88" s="24" t="n"/>
      <c r="D88" s="24" t="n"/>
      <c r="E88" s="24" t="n"/>
      <c r="F88" s="24" t="n"/>
      <c r="G88" s="60" t="n"/>
      <c r="H88" s="60" t="n"/>
      <c r="I88" s="60">
        <f>H88-G88</f>
        <v/>
      </c>
      <c r="J88" s="61">
        <f>IF(G88=0,"",H88/G88)</f>
        <v/>
      </c>
      <c r="K88" s="27" t="n"/>
      <c r="L88" s="60" t="n"/>
      <c r="M88" s="60" t="n"/>
      <c r="N88" s="60">
        <f>M88-L88</f>
        <v/>
      </c>
      <c r="O88" s="61">
        <f>IF(L88=0,"",M88/L88)</f>
        <v/>
      </c>
      <c r="P88" s="27" t="n"/>
      <c r="Q88" s="62" t="n"/>
      <c r="R88" s="62" t="n"/>
      <c r="S88" s="62">
        <f>R88-Q88</f>
        <v/>
      </c>
      <c r="T88" s="64">
        <f>IF(Q88=0,"",R88/Q88)</f>
        <v/>
      </c>
      <c r="U88" s="31" t="n"/>
      <c r="V88" s="60" t="n"/>
      <c r="W88" s="60" t="n"/>
      <c r="X88" s="60">
        <f>W88-V88</f>
        <v/>
      </c>
      <c r="Y88" s="61">
        <f>IF(V88=0,"",W88/V88)</f>
        <v/>
      </c>
      <c r="Z88" s="27" t="n"/>
      <c r="AA88" s="62" t="n"/>
      <c r="AB88" s="62" t="n"/>
      <c r="AC88" s="62">
        <f>AB88-AA88</f>
        <v/>
      </c>
      <c r="AD88" s="64">
        <f>IF(AA88=0,"",AB88/AA88)</f>
        <v/>
      </c>
      <c r="AE88" s="31" t="n"/>
      <c r="AF88" s="60" t="n"/>
      <c r="AG88" s="60" t="n"/>
      <c r="AH88" s="60">
        <f>AG88-AF88</f>
        <v/>
      </c>
      <c r="AI88" s="61">
        <f>IF(AF88=0,"",AG88/AF88)</f>
        <v/>
      </c>
      <c r="AJ88" s="27" t="n"/>
      <c r="AK88" s="62" t="n"/>
      <c r="AL88" s="62" t="n"/>
      <c r="AM88" s="62">
        <f>AL88-AK88</f>
        <v/>
      </c>
      <c r="AN88" s="64">
        <f>IF(AK88=0,"",AL88/AK88)</f>
        <v/>
      </c>
      <c r="AO88" s="31" t="n"/>
      <c r="AP88" s="60" t="n"/>
      <c r="AQ88" s="60" t="n"/>
      <c r="AR88" s="60">
        <f>AQ88-AP88</f>
        <v/>
      </c>
      <c r="AS88" s="61">
        <f>IF(AP88=0,"",AQ88/AP88)</f>
        <v/>
      </c>
      <c r="AT88" s="27" t="n"/>
      <c r="AU88" s="62" t="n"/>
      <c r="AV88" s="62" t="n"/>
      <c r="AW88" s="62">
        <f>AV88-AU88</f>
        <v/>
      </c>
      <c r="AX88" s="64">
        <f>IF(AU88=0,"",AV88/AU88)</f>
        <v/>
      </c>
      <c r="AY88" s="31" t="n"/>
      <c r="AZ88" s="60" t="n"/>
      <c r="BA88" s="60" t="n"/>
      <c r="BB88" s="60">
        <f>BA88-AZ88</f>
        <v/>
      </c>
      <c r="BC88" s="61">
        <f>IF(AZ88=0,"",BA88/AZ88)</f>
        <v/>
      </c>
      <c r="BD88" s="27" t="n"/>
      <c r="BE88" s="62" t="n"/>
      <c r="BF88" s="62" t="n"/>
      <c r="BG88" s="62">
        <f>BF88-BE88</f>
        <v/>
      </c>
      <c r="BH88" s="64">
        <f>IF(BE88=0,"",BF88/BE88)</f>
        <v/>
      </c>
      <c r="BI88" s="31" t="n"/>
      <c r="BJ88" s="60" t="n"/>
      <c r="BK88" s="60" t="n"/>
      <c r="BL88" s="60">
        <f>BK88-BJ88</f>
        <v/>
      </c>
      <c r="BM88" s="61">
        <f>IF(BJ88=0,"",BK88/BJ88)</f>
        <v/>
      </c>
      <c r="BN88" s="27" t="n"/>
      <c r="BO88" s="62" t="n"/>
      <c r="BP88" s="62" t="n"/>
      <c r="BQ88" s="62">
        <f>BP88-BO88</f>
        <v/>
      </c>
      <c r="BR88" s="64">
        <f>IF(BO88=0,"",BP88/BO88)</f>
        <v/>
      </c>
      <c r="BS88" s="31" t="n"/>
      <c r="BT88" s="60" t="n"/>
      <c r="BU88" s="60" t="n"/>
      <c r="BV88" s="60">
        <f>BU88-BT88</f>
        <v/>
      </c>
      <c r="BW88" s="61">
        <f>IF(BT88=0,"",BU88/BT88)</f>
        <v/>
      </c>
      <c r="BX88" s="27" t="n"/>
      <c r="BY88" s="62" t="n"/>
      <c r="BZ88" s="62" t="n"/>
      <c r="CA88" s="62">
        <f>BZ88-BY88</f>
        <v/>
      </c>
      <c r="CB88" s="64">
        <f>IF(BY88=0,"",BZ88/BY88)</f>
        <v/>
      </c>
      <c r="CC88" s="31" t="n"/>
      <c r="CD88" s="60" t="n"/>
      <c r="CE88" s="60" t="n"/>
      <c r="CF88" s="60">
        <f>CE88-CD88</f>
        <v/>
      </c>
      <c r="CG88" s="61">
        <f>IF(CD88=0,"",CE88/CD88)</f>
        <v/>
      </c>
      <c r="CH88" s="27" t="n"/>
      <c r="CI88" s="62" t="n"/>
      <c r="CJ88" s="62" t="n"/>
      <c r="CK88" s="62">
        <f>CJ88-CI88</f>
        <v/>
      </c>
      <c r="CL88" s="64">
        <f>IF(CI88=0,"",CJ88/CI88)</f>
        <v/>
      </c>
      <c r="CM88" s="31" t="n"/>
      <c r="CN88" s="60" t="n"/>
      <c r="CO88" s="60" t="n"/>
      <c r="CP88" s="60">
        <f>CO88-CN88</f>
        <v/>
      </c>
      <c r="CQ88" s="61">
        <f>IF(CN88=0,"",CO88/CN88)</f>
        <v/>
      </c>
      <c r="CR88" s="27" t="n"/>
      <c r="CS88" s="62" t="n"/>
      <c r="CT88" s="62" t="n"/>
      <c r="CU88" s="62">
        <f>CT88-CS88</f>
        <v/>
      </c>
      <c r="CV88" s="64">
        <f>IF(CS88=0,"",CT88/CS88)</f>
        <v/>
      </c>
      <c r="CW88" s="31" t="n"/>
      <c r="CX88" s="60" t="n"/>
      <c r="CY88" s="60" t="n"/>
      <c r="CZ88" s="60">
        <f>CY88-CX88</f>
        <v/>
      </c>
      <c r="DA88" s="61">
        <f>IF(CX88=0,"",CY88/CX88)</f>
        <v/>
      </c>
      <c r="DB88" s="27" t="n"/>
      <c r="DC88" s="62" t="n"/>
      <c r="DD88" s="62" t="n"/>
      <c r="DE88" s="62">
        <f>DD88-DC88</f>
        <v/>
      </c>
      <c r="DF88" s="64">
        <f>IF(DC88=0,"",DD88/DC88)</f>
        <v/>
      </c>
      <c r="DG88" s="31" t="n"/>
      <c r="DH88" s="60" t="n"/>
      <c r="DI88" s="60" t="n"/>
      <c r="DJ88" s="60">
        <f>DI88-DH88</f>
        <v/>
      </c>
      <c r="DK88" s="61">
        <f>IF(DH88=0,"",DI88/DH88)</f>
        <v/>
      </c>
      <c r="DL88" s="27" t="n"/>
      <c r="DM88" s="62" t="n"/>
      <c r="DN88" s="62" t="n"/>
      <c r="DO88" s="62">
        <f>DN88-DM88</f>
        <v/>
      </c>
      <c r="DP88" s="64">
        <f>IF(DM88=0,"",DN88/DM88)</f>
        <v/>
      </c>
      <c r="DQ88" s="31" t="n"/>
      <c r="DR88" s="60" t="n"/>
    </row>
    <row r="89" ht="15" customHeight="1">
      <c r="A89" s="32" t="n"/>
      <c r="B89" s="32" t="n"/>
      <c r="C89" s="32" t="n"/>
      <c r="D89" s="32" t="n"/>
      <c r="E89" s="32" t="n"/>
      <c r="F89" s="32" t="n"/>
      <c r="G89" s="65">
        <f>G90+G91+G92+G93+G94</f>
        <v/>
      </c>
      <c r="H89" s="65">
        <f>H90+H91+H92+H93+H94</f>
        <v/>
      </c>
      <c r="I89" s="65">
        <f>H89-G89</f>
        <v/>
      </c>
      <c r="J89" s="66">
        <f>IF(G89=0,"",H89/G89)</f>
        <v/>
      </c>
      <c r="K89" s="35" t="n"/>
      <c r="L89" s="65">
        <f>L90+L91+L92+L93+L94</f>
        <v/>
      </c>
      <c r="M89" s="65">
        <f>M90+M91+M92+M93+M94</f>
        <v/>
      </c>
      <c r="N89" s="65">
        <f>M89-L89</f>
        <v/>
      </c>
      <c r="O89" s="66">
        <f>IF(L89=0,"",M89/L89)</f>
        <v/>
      </c>
      <c r="P89" s="35" t="n"/>
      <c r="Q89" s="65">
        <f>Q90+Q91+Q92+Q93+Q94</f>
        <v/>
      </c>
      <c r="R89" s="65">
        <f>R90+R91+R92+R93+R94</f>
        <v/>
      </c>
      <c r="S89" s="65">
        <f>R89-Q89</f>
        <v/>
      </c>
      <c r="T89" s="66">
        <f>IF(Q89=0,"",R89/Q89)</f>
        <v/>
      </c>
      <c r="U89" s="35" t="n"/>
      <c r="V89" s="65">
        <f>V90+V91+V92+V93+V94</f>
        <v/>
      </c>
      <c r="W89" s="65">
        <f>W90+W91+W92+W93+W94</f>
        <v/>
      </c>
      <c r="X89" s="65">
        <f>W89-V89</f>
        <v/>
      </c>
      <c r="Y89" s="66">
        <f>IF(V89=0,"",W89/V89)</f>
        <v/>
      </c>
      <c r="Z89" s="35" t="n"/>
      <c r="AA89" s="65">
        <f>AA90+AA91+AA92+AA93+AA94</f>
        <v/>
      </c>
      <c r="AB89" s="65">
        <f>AB90+AB91+AB92+AB93+AB94</f>
        <v/>
      </c>
      <c r="AC89" s="65">
        <f>AB89-AA89</f>
        <v/>
      </c>
      <c r="AD89" s="66">
        <f>IF(AA89=0,"",AB89/AA89)</f>
        <v/>
      </c>
      <c r="AE89" s="35" t="n"/>
      <c r="AF89" s="65">
        <f>AF90+AF91+AF92+AF93+AF94</f>
        <v/>
      </c>
      <c r="AG89" s="65">
        <f>AG90+AG91+AG92+AG93+AG94</f>
        <v/>
      </c>
      <c r="AH89" s="65">
        <f>AG89-AF89</f>
        <v/>
      </c>
      <c r="AI89" s="66">
        <f>IF(AF89=0,"",AG89/AF89)</f>
        <v/>
      </c>
      <c r="AJ89" s="35" t="n"/>
      <c r="AK89" s="65">
        <f>AK90+AK91+AK92+AK93+AK94</f>
        <v/>
      </c>
      <c r="AL89" s="65">
        <f>AL90+AL91+AL92+AL93+AL94</f>
        <v/>
      </c>
      <c r="AM89" s="65">
        <f>AL89-AK89</f>
        <v/>
      </c>
      <c r="AN89" s="66">
        <f>IF(AK89=0,"",AL89/AK89)</f>
        <v/>
      </c>
      <c r="AO89" s="35" t="n"/>
      <c r="AP89" s="65">
        <f>AP90+AP91+AP92+AP93+AP94</f>
        <v/>
      </c>
      <c r="AQ89" s="65">
        <f>AQ90+AQ91+AQ92+AQ93+AQ94</f>
        <v/>
      </c>
      <c r="AR89" s="65">
        <f>AQ89-AP89</f>
        <v/>
      </c>
      <c r="AS89" s="66">
        <f>IF(AP89=0,"",AQ89/AP89)</f>
        <v/>
      </c>
      <c r="AT89" s="35" t="n"/>
      <c r="AU89" s="65">
        <f>AU90+AU91+AU92+AU93+AU94</f>
        <v/>
      </c>
      <c r="AV89" s="65">
        <f>AV90+AV91+AV92+AV93+AV94</f>
        <v/>
      </c>
      <c r="AW89" s="65">
        <f>AV89-AU89</f>
        <v/>
      </c>
      <c r="AX89" s="66">
        <f>IF(AU89=0,"",AV89/AU89)</f>
        <v/>
      </c>
      <c r="AY89" s="35" t="n"/>
      <c r="AZ89" s="65">
        <f>AZ90+AZ91+AZ92+AZ93+AZ94</f>
        <v/>
      </c>
      <c r="BA89" s="65">
        <f>BA90+BA91+BA92+BA93+BA94</f>
        <v/>
      </c>
      <c r="BB89" s="65">
        <f>BA89-AZ89</f>
        <v/>
      </c>
      <c r="BC89" s="66">
        <f>IF(AZ89=0,"",BA89/AZ89)</f>
        <v/>
      </c>
      <c r="BD89" s="35" t="n"/>
      <c r="BE89" s="65">
        <f>BE90+BE91+BE92+BE93+BE94</f>
        <v/>
      </c>
      <c r="BF89" s="65">
        <f>BF90+BF91+BF92+BF93+BF94</f>
        <v/>
      </c>
      <c r="BG89" s="65">
        <f>BF89-BE89</f>
        <v/>
      </c>
      <c r="BH89" s="66">
        <f>IF(BE89=0,"",BF89/BE89)</f>
        <v/>
      </c>
      <c r="BI89" s="35" t="n"/>
      <c r="BJ89" s="65">
        <f>BJ90+BJ91+BJ92+BJ93+BJ94</f>
        <v/>
      </c>
      <c r="BK89" s="65">
        <f>BK90+BK91+BK92+BK93+BK94</f>
        <v/>
      </c>
      <c r="BL89" s="65">
        <f>BK89-BJ89</f>
        <v/>
      </c>
      <c r="BM89" s="66">
        <f>IF(BJ89=0,"",BK89/BJ89)</f>
        <v/>
      </c>
      <c r="BN89" s="35" t="n"/>
      <c r="BO89" s="65">
        <f>BO90+BO91+BO92+BO93+BO94</f>
        <v/>
      </c>
      <c r="BP89" s="65">
        <f>BP90+BP91+BP92+BP93+BP94</f>
        <v/>
      </c>
      <c r="BQ89" s="65">
        <f>BP89-BO89</f>
        <v/>
      </c>
      <c r="BR89" s="66">
        <f>IF(BO89=0,"",BP89/BO89)</f>
        <v/>
      </c>
      <c r="BS89" s="35" t="n"/>
      <c r="BT89" s="65">
        <f>BT90+BT91+BT92+BT93+BT94</f>
        <v/>
      </c>
      <c r="BU89" s="65">
        <f>BU90+BU91+BU92+BU93+BU94</f>
        <v/>
      </c>
      <c r="BV89" s="65">
        <f>BU89-BT89</f>
        <v/>
      </c>
      <c r="BW89" s="66">
        <f>IF(BT89=0,"",BU89/BT89)</f>
        <v/>
      </c>
      <c r="BX89" s="35" t="n"/>
      <c r="BY89" s="65">
        <f>BY90+BY91+BY92+BY93+BY94</f>
        <v/>
      </c>
      <c r="BZ89" s="65">
        <f>BZ90+BZ91+BZ92+BZ93+BZ94</f>
        <v/>
      </c>
      <c r="CA89" s="65">
        <f>BZ89-BY89</f>
        <v/>
      </c>
      <c r="CB89" s="66">
        <f>IF(BY89=0,"",BZ89/BY89)</f>
        <v/>
      </c>
      <c r="CC89" s="35" t="n"/>
      <c r="CD89" s="65">
        <f>CD90+CD91+CD92+CD93+CD94</f>
        <v/>
      </c>
      <c r="CE89" s="65">
        <f>CE90+CE91+CE92+CE93+CE94</f>
        <v/>
      </c>
      <c r="CF89" s="65">
        <f>CE89-CD89</f>
        <v/>
      </c>
      <c r="CG89" s="66">
        <f>IF(CD89=0,"",CE89/CD89)</f>
        <v/>
      </c>
      <c r="CH89" s="35" t="n"/>
      <c r="CI89" s="65">
        <f>CI90+CI91+CI92+CI93+CI94</f>
        <v/>
      </c>
      <c r="CJ89" s="65">
        <f>CJ90+CJ91+CJ92+CJ93+CJ94</f>
        <v/>
      </c>
      <c r="CK89" s="65">
        <f>CJ89-CI89</f>
        <v/>
      </c>
      <c r="CL89" s="66">
        <f>IF(CI89=0,"",CJ89/CI89)</f>
        <v/>
      </c>
      <c r="CM89" s="35" t="n"/>
      <c r="CN89" s="65">
        <f>CN90+CN91+CN92+CN93+CN94</f>
        <v/>
      </c>
      <c r="CO89" s="65">
        <f>CO90+CO91+CO92+CO93+CO94</f>
        <v/>
      </c>
      <c r="CP89" s="65">
        <f>CO89-CN89</f>
        <v/>
      </c>
      <c r="CQ89" s="66">
        <f>IF(CN89=0,"",CO89/CN89)</f>
        <v/>
      </c>
      <c r="CR89" s="35" t="n"/>
      <c r="CS89" s="65">
        <f>CS90+CS91+CS92+CS93+CS94</f>
        <v/>
      </c>
      <c r="CT89" s="65">
        <f>CT90+CT91+CT92+CT93+CT94</f>
        <v/>
      </c>
      <c r="CU89" s="65">
        <f>CT89-CS89</f>
        <v/>
      </c>
      <c r="CV89" s="66">
        <f>IF(CS89=0,"",CT89/CS89)</f>
        <v/>
      </c>
      <c r="CW89" s="35" t="n"/>
      <c r="CX89" s="65">
        <f>CX90+CX91+CX92+CX93+CX94</f>
        <v/>
      </c>
      <c r="CY89" s="65">
        <f>CY90+CY91+CY92+CY93+CY94</f>
        <v/>
      </c>
      <c r="CZ89" s="65">
        <f>CY89-CX89</f>
        <v/>
      </c>
      <c r="DA89" s="66">
        <f>IF(CX89=0,"",CY89/CX89)</f>
        <v/>
      </c>
      <c r="DB89" s="35" t="n"/>
      <c r="DC89" s="65">
        <f>DC90+DC91+DC92+DC93+DC94</f>
        <v/>
      </c>
      <c r="DD89" s="65">
        <f>DD90+DD91+DD92+DD93+DD94</f>
        <v/>
      </c>
      <c r="DE89" s="65">
        <f>DD89-DC89</f>
        <v/>
      </c>
      <c r="DF89" s="66">
        <f>IF(DC89=0,"",DD89/DC89)</f>
        <v/>
      </c>
      <c r="DG89" s="35" t="n"/>
      <c r="DH89" s="65">
        <f>DH90+DH91+DH92+DH93+DH94</f>
        <v/>
      </c>
      <c r="DI89" s="65">
        <f>DI90+DI91+DI92+DI93+DI94</f>
        <v/>
      </c>
      <c r="DJ89" s="65">
        <f>DI89-DH89</f>
        <v/>
      </c>
      <c r="DK89" s="66">
        <f>IF(DH89=0,"",DI89/DH89)</f>
        <v/>
      </c>
      <c r="DL89" s="35" t="n"/>
      <c r="DM89" s="65">
        <f>DM90+DM91+DM92+DM93+DM94</f>
        <v/>
      </c>
      <c r="DN89" s="65">
        <f>DN90+DN91+DN92+DN93+DN94</f>
        <v/>
      </c>
      <c r="DO89" s="65">
        <f>DN89-DM89</f>
        <v/>
      </c>
      <c r="DP89" s="66">
        <f>IF(DM89=0,"",DN89/DM89)</f>
        <v/>
      </c>
      <c r="DQ89" s="35" t="n"/>
      <c r="DR89" s="65">
        <f>DR90+DR91+DR92+DR93+DR94</f>
        <v/>
      </c>
    </row>
    <row r="90" outlineLevel="1" ht="15" customHeight="1">
      <c r="A90" s="24" t="n"/>
      <c r="B90" s="24" t="n"/>
      <c r="C90" s="24" t="n"/>
      <c r="D90" s="24" t="n"/>
      <c r="E90" s="24" t="n"/>
      <c r="F90" s="24" t="n"/>
      <c r="G90" s="60" t="n"/>
      <c r="H90" s="60" t="n"/>
      <c r="I90" s="60">
        <f>H90-G90</f>
        <v/>
      </c>
      <c r="J90" s="61">
        <f>IF(G90=0,"",H90/G90)</f>
        <v/>
      </c>
      <c r="K90" s="27" t="n"/>
      <c r="L90" s="60" t="n"/>
      <c r="M90" s="60" t="n"/>
      <c r="N90" s="60">
        <f>M90-L90</f>
        <v/>
      </c>
      <c r="O90" s="61">
        <f>IF(L90=0,"",M90/L90)</f>
        <v/>
      </c>
      <c r="P90" s="27" t="n"/>
      <c r="Q90" s="62" t="n"/>
      <c r="R90" s="62" t="n"/>
      <c r="S90" s="62">
        <f>R90-Q90</f>
        <v/>
      </c>
      <c r="T90" s="64">
        <f>IF(Q90=0,"",R90/Q90)</f>
        <v/>
      </c>
      <c r="U90" s="31" t="n"/>
      <c r="V90" s="60" t="n"/>
      <c r="W90" s="60" t="n"/>
      <c r="X90" s="60">
        <f>W90-V90</f>
        <v/>
      </c>
      <c r="Y90" s="61">
        <f>IF(V90=0,"",W90/V90)</f>
        <v/>
      </c>
      <c r="Z90" s="27" t="n"/>
      <c r="AA90" s="62" t="n"/>
      <c r="AB90" s="62" t="n"/>
      <c r="AC90" s="62">
        <f>AB90-AA90</f>
        <v/>
      </c>
      <c r="AD90" s="64">
        <f>IF(AA90=0,"",AB90/AA90)</f>
        <v/>
      </c>
      <c r="AE90" s="31" t="n"/>
      <c r="AF90" s="60" t="n"/>
      <c r="AG90" s="60" t="n"/>
      <c r="AH90" s="60">
        <f>AG90-AF90</f>
        <v/>
      </c>
      <c r="AI90" s="61">
        <f>IF(AF90=0,"",AG90/AF90)</f>
        <v/>
      </c>
      <c r="AJ90" s="27" t="n"/>
      <c r="AK90" s="62" t="n"/>
      <c r="AL90" s="62" t="n"/>
      <c r="AM90" s="62">
        <f>AL90-AK90</f>
        <v/>
      </c>
      <c r="AN90" s="64">
        <f>IF(AK90=0,"",AL90/AK90)</f>
        <v/>
      </c>
      <c r="AO90" s="31" t="n"/>
      <c r="AP90" s="60" t="n"/>
      <c r="AQ90" s="60" t="n"/>
      <c r="AR90" s="60">
        <f>AQ90-AP90</f>
        <v/>
      </c>
      <c r="AS90" s="61">
        <f>IF(AP90=0,"",AQ90/AP90)</f>
        <v/>
      </c>
      <c r="AT90" s="27" t="n"/>
      <c r="AU90" s="62" t="n"/>
      <c r="AV90" s="62" t="n"/>
      <c r="AW90" s="62">
        <f>AV90-AU90</f>
        <v/>
      </c>
      <c r="AX90" s="64">
        <f>IF(AU90=0,"",AV90/AU90)</f>
        <v/>
      </c>
      <c r="AY90" s="31" t="n"/>
      <c r="AZ90" s="60" t="n"/>
      <c r="BA90" s="60" t="n"/>
      <c r="BB90" s="60">
        <f>BA90-AZ90</f>
        <v/>
      </c>
      <c r="BC90" s="61">
        <f>IF(AZ90=0,"",BA90/AZ90)</f>
        <v/>
      </c>
      <c r="BD90" s="27" t="n"/>
      <c r="BE90" s="62" t="n"/>
      <c r="BF90" s="62" t="n"/>
      <c r="BG90" s="62">
        <f>BF90-BE90</f>
        <v/>
      </c>
      <c r="BH90" s="64">
        <f>IF(BE90=0,"",BF90/BE90)</f>
        <v/>
      </c>
      <c r="BI90" s="31" t="n"/>
      <c r="BJ90" s="60" t="n"/>
      <c r="BK90" s="60" t="n"/>
      <c r="BL90" s="60">
        <f>BK90-BJ90</f>
        <v/>
      </c>
      <c r="BM90" s="61">
        <f>IF(BJ90=0,"",BK90/BJ90)</f>
        <v/>
      </c>
      <c r="BN90" s="27" t="n"/>
      <c r="BO90" s="62" t="n"/>
      <c r="BP90" s="62" t="n"/>
      <c r="BQ90" s="62">
        <f>BP90-BO90</f>
        <v/>
      </c>
      <c r="BR90" s="64">
        <f>IF(BO90=0,"",BP90/BO90)</f>
        <v/>
      </c>
      <c r="BS90" s="31" t="n"/>
      <c r="BT90" s="60" t="n"/>
      <c r="BU90" s="60" t="n"/>
      <c r="BV90" s="60">
        <f>BU90-BT90</f>
        <v/>
      </c>
      <c r="BW90" s="61">
        <f>IF(BT90=0,"",BU90/BT90)</f>
        <v/>
      </c>
      <c r="BX90" s="27" t="n"/>
      <c r="BY90" s="62" t="n"/>
      <c r="BZ90" s="62" t="n"/>
      <c r="CA90" s="62">
        <f>BZ90-BY90</f>
        <v/>
      </c>
      <c r="CB90" s="64">
        <f>IF(BY90=0,"",BZ90/BY90)</f>
        <v/>
      </c>
      <c r="CC90" s="31" t="n"/>
      <c r="CD90" s="60" t="n"/>
      <c r="CE90" s="60" t="n"/>
      <c r="CF90" s="60">
        <f>CE90-CD90</f>
        <v/>
      </c>
      <c r="CG90" s="61">
        <f>IF(CD90=0,"",CE90/CD90)</f>
        <v/>
      </c>
      <c r="CH90" s="27" t="n"/>
      <c r="CI90" s="62" t="n"/>
      <c r="CJ90" s="62" t="n"/>
      <c r="CK90" s="62">
        <f>CJ90-CI90</f>
        <v/>
      </c>
      <c r="CL90" s="64">
        <f>IF(CI90=0,"",CJ90/CI90)</f>
        <v/>
      </c>
      <c r="CM90" s="31" t="n"/>
      <c r="CN90" s="60" t="n"/>
      <c r="CO90" s="60" t="n"/>
      <c r="CP90" s="60">
        <f>CO90-CN90</f>
        <v/>
      </c>
      <c r="CQ90" s="61">
        <f>IF(CN90=0,"",CO90/CN90)</f>
        <v/>
      </c>
      <c r="CR90" s="27" t="n"/>
      <c r="CS90" s="62" t="n"/>
      <c r="CT90" s="62" t="n"/>
      <c r="CU90" s="62">
        <f>CT90-CS90</f>
        <v/>
      </c>
      <c r="CV90" s="64">
        <f>IF(CS90=0,"",CT90/CS90)</f>
        <v/>
      </c>
      <c r="CW90" s="31" t="n"/>
      <c r="CX90" s="60" t="n"/>
      <c r="CY90" s="60" t="n"/>
      <c r="CZ90" s="60">
        <f>CY90-CX90</f>
        <v/>
      </c>
      <c r="DA90" s="61">
        <f>IF(CX90=0,"",CY90/CX90)</f>
        <v/>
      </c>
      <c r="DB90" s="27" t="n"/>
      <c r="DC90" s="62" t="n"/>
      <c r="DD90" s="62" t="n"/>
      <c r="DE90" s="62">
        <f>DD90-DC90</f>
        <v/>
      </c>
      <c r="DF90" s="64">
        <f>IF(DC90=0,"",DD90/DC90)</f>
        <v/>
      </c>
      <c r="DG90" s="31" t="n"/>
      <c r="DH90" s="60" t="n"/>
      <c r="DI90" s="60" t="n"/>
      <c r="DJ90" s="60">
        <f>DI90-DH90</f>
        <v/>
      </c>
      <c r="DK90" s="61">
        <f>IF(DH90=0,"",DI90/DH90)</f>
        <v/>
      </c>
      <c r="DL90" s="27" t="n"/>
      <c r="DM90" s="62" t="n"/>
      <c r="DN90" s="62" t="n"/>
      <c r="DO90" s="62">
        <f>DN90-DM90</f>
        <v/>
      </c>
      <c r="DP90" s="64">
        <f>IF(DM90=0,"",DN90/DM90)</f>
        <v/>
      </c>
      <c r="DQ90" s="31" t="n"/>
      <c r="DR90" s="60" t="n"/>
    </row>
    <row r="91" outlineLevel="1" ht="15" customHeight="1">
      <c r="A91" s="24" t="n"/>
      <c r="B91" s="24" t="n"/>
      <c r="C91" s="24" t="n"/>
      <c r="D91" s="24" t="n"/>
      <c r="E91" s="24" t="n"/>
      <c r="F91" s="24" t="n"/>
      <c r="G91" s="60" t="n"/>
      <c r="H91" s="60" t="n"/>
      <c r="I91" s="60">
        <f>H91-G91</f>
        <v/>
      </c>
      <c r="J91" s="61">
        <f>IF(G91=0,"",H91/G91)</f>
        <v/>
      </c>
      <c r="K91" s="27" t="n"/>
      <c r="L91" s="60" t="n"/>
      <c r="M91" s="60" t="n"/>
      <c r="N91" s="60">
        <f>M91-L91</f>
        <v/>
      </c>
      <c r="O91" s="61">
        <f>IF(L91=0,"",M91/L91)</f>
        <v/>
      </c>
      <c r="P91" s="27" t="n"/>
      <c r="Q91" s="62" t="n"/>
      <c r="R91" s="62" t="n"/>
      <c r="S91" s="62">
        <f>R91-Q91</f>
        <v/>
      </c>
      <c r="T91" s="64">
        <f>IF(Q91=0,"",R91/Q91)</f>
        <v/>
      </c>
      <c r="U91" s="31" t="n"/>
      <c r="V91" s="60" t="n"/>
      <c r="W91" s="60" t="n"/>
      <c r="X91" s="60">
        <f>W91-V91</f>
        <v/>
      </c>
      <c r="Y91" s="61">
        <f>IF(V91=0,"",W91/V91)</f>
        <v/>
      </c>
      <c r="Z91" s="27" t="n"/>
      <c r="AA91" s="62" t="n"/>
      <c r="AB91" s="62" t="n"/>
      <c r="AC91" s="62">
        <f>AB91-AA91</f>
        <v/>
      </c>
      <c r="AD91" s="64">
        <f>IF(AA91=0,"",AB91/AA91)</f>
        <v/>
      </c>
      <c r="AE91" s="31" t="n"/>
      <c r="AF91" s="60" t="n"/>
      <c r="AG91" s="60" t="n"/>
      <c r="AH91" s="60">
        <f>AG91-AF91</f>
        <v/>
      </c>
      <c r="AI91" s="61">
        <f>IF(AF91=0,"",AG91/AF91)</f>
        <v/>
      </c>
      <c r="AJ91" s="27" t="n"/>
      <c r="AK91" s="62" t="n"/>
      <c r="AL91" s="62" t="n"/>
      <c r="AM91" s="62">
        <f>AL91-AK91</f>
        <v/>
      </c>
      <c r="AN91" s="64">
        <f>IF(AK91=0,"",AL91/AK91)</f>
        <v/>
      </c>
      <c r="AO91" s="31" t="n"/>
      <c r="AP91" s="60" t="n"/>
      <c r="AQ91" s="60" t="n"/>
      <c r="AR91" s="60">
        <f>AQ91-AP91</f>
        <v/>
      </c>
      <c r="AS91" s="61">
        <f>IF(AP91=0,"",AQ91/AP91)</f>
        <v/>
      </c>
      <c r="AT91" s="27" t="n"/>
      <c r="AU91" s="62" t="n"/>
      <c r="AV91" s="62" t="n"/>
      <c r="AW91" s="62">
        <f>AV91-AU91</f>
        <v/>
      </c>
      <c r="AX91" s="64">
        <f>IF(AU91=0,"",AV91/AU91)</f>
        <v/>
      </c>
      <c r="AY91" s="31" t="n"/>
      <c r="AZ91" s="60" t="n"/>
      <c r="BA91" s="60" t="n"/>
      <c r="BB91" s="60">
        <f>BA91-AZ91</f>
        <v/>
      </c>
      <c r="BC91" s="61">
        <f>IF(AZ91=0,"",BA91/AZ91)</f>
        <v/>
      </c>
      <c r="BD91" s="27" t="n"/>
      <c r="BE91" s="62" t="n"/>
      <c r="BF91" s="62" t="n"/>
      <c r="BG91" s="62">
        <f>BF91-BE91</f>
        <v/>
      </c>
      <c r="BH91" s="64">
        <f>IF(BE91=0,"",BF91/BE91)</f>
        <v/>
      </c>
      <c r="BI91" s="31" t="n"/>
      <c r="BJ91" s="60" t="n"/>
      <c r="BK91" s="60" t="n"/>
      <c r="BL91" s="60">
        <f>BK91-BJ91</f>
        <v/>
      </c>
      <c r="BM91" s="61">
        <f>IF(BJ91=0,"",BK91/BJ91)</f>
        <v/>
      </c>
      <c r="BN91" s="27" t="n"/>
      <c r="BO91" s="62" t="n"/>
      <c r="BP91" s="62" t="n"/>
      <c r="BQ91" s="62">
        <f>BP91-BO91</f>
        <v/>
      </c>
      <c r="BR91" s="64">
        <f>IF(BO91=0,"",BP91/BO91)</f>
        <v/>
      </c>
      <c r="BS91" s="31" t="n"/>
      <c r="BT91" s="60" t="n"/>
      <c r="BU91" s="60" t="n"/>
      <c r="BV91" s="60">
        <f>BU91-BT91</f>
        <v/>
      </c>
      <c r="BW91" s="61">
        <f>IF(BT91=0,"",BU91/BT91)</f>
        <v/>
      </c>
      <c r="BX91" s="27" t="n"/>
      <c r="BY91" s="62" t="n"/>
      <c r="BZ91" s="62" t="n"/>
      <c r="CA91" s="62">
        <f>BZ91-BY91</f>
        <v/>
      </c>
      <c r="CB91" s="64">
        <f>IF(BY91=0,"",BZ91/BY91)</f>
        <v/>
      </c>
      <c r="CC91" s="31" t="n"/>
      <c r="CD91" s="60" t="n"/>
      <c r="CE91" s="60" t="n"/>
      <c r="CF91" s="60">
        <f>CE91-CD91</f>
        <v/>
      </c>
      <c r="CG91" s="61">
        <f>IF(CD91=0,"",CE91/CD91)</f>
        <v/>
      </c>
      <c r="CH91" s="27" t="n"/>
      <c r="CI91" s="62" t="n"/>
      <c r="CJ91" s="62" t="n"/>
      <c r="CK91" s="62">
        <f>CJ91-CI91</f>
        <v/>
      </c>
      <c r="CL91" s="64">
        <f>IF(CI91=0,"",CJ91/CI91)</f>
        <v/>
      </c>
      <c r="CM91" s="31" t="n"/>
      <c r="CN91" s="60" t="n"/>
      <c r="CO91" s="60" t="n"/>
      <c r="CP91" s="60">
        <f>CO91-CN91</f>
        <v/>
      </c>
      <c r="CQ91" s="61">
        <f>IF(CN91=0,"",CO91/CN91)</f>
        <v/>
      </c>
      <c r="CR91" s="27" t="n"/>
      <c r="CS91" s="62" t="n"/>
      <c r="CT91" s="62" t="n"/>
      <c r="CU91" s="62">
        <f>CT91-CS91</f>
        <v/>
      </c>
      <c r="CV91" s="64">
        <f>IF(CS91=0,"",CT91/CS91)</f>
        <v/>
      </c>
      <c r="CW91" s="31" t="n"/>
      <c r="CX91" s="60" t="n"/>
      <c r="CY91" s="60" t="n"/>
      <c r="CZ91" s="60">
        <f>CY91-CX91</f>
        <v/>
      </c>
      <c r="DA91" s="61">
        <f>IF(CX91=0,"",CY91/CX91)</f>
        <v/>
      </c>
      <c r="DB91" s="27" t="n"/>
      <c r="DC91" s="62" t="n"/>
      <c r="DD91" s="62" t="n"/>
      <c r="DE91" s="62">
        <f>DD91-DC91</f>
        <v/>
      </c>
      <c r="DF91" s="64">
        <f>IF(DC91=0,"",DD91/DC91)</f>
        <v/>
      </c>
      <c r="DG91" s="31" t="n"/>
      <c r="DH91" s="60" t="n"/>
      <c r="DI91" s="60" t="n"/>
      <c r="DJ91" s="60">
        <f>DI91-DH91</f>
        <v/>
      </c>
      <c r="DK91" s="61">
        <f>IF(DH91=0,"",DI91/DH91)</f>
        <v/>
      </c>
      <c r="DL91" s="27" t="n"/>
      <c r="DM91" s="62" t="n"/>
      <c r="DN91" s="62" t="n"/>
      <c r="DO91" s="62">
        <f>DN91-DM91</f>
        <v/>
      </c>
      <c r="DP91" s="64">
        <f>IF(DM91=0,"",DN91/DM91)</f>
        <v/>
      </c>
      <c r="DQ91" s="31" t="n"/>
      <c r="DR91" s="60" t="n"/>
    </row>
    <row r="92" outlineLevel="1" ht="15" customHeight="1">
      <c r="A92" s="24" t="n"/>
      <c r="B92" s="24" t="n"/>
      <c r="C92" s="24" t="n"/>
      <c r="D92" s="24" t="n"/>
      <c r="E92" s="24" t="n"/>
      <c r="F92" s="24" t="n"/>
      <c r="G92" s="60" t="n"/>
      <c r="H92" s="60" t="n"/>
      <c r="I92" s="60">
        <f>H92-G92</f>
        <v/>
      </c>
      <c r="J92" s="61">
        <f>IF(G92=0,"",H92/G92)</f>
        <v/>
      </c>
      <c r="K92" s="27" t="n"/>
      <c r="L92" s="60" t="n"/>
      <c r="M92" s="60" t="n"/>
      <c r="N92" s="60">
        <f>M92-L92</f>
        <v/>
      </c>
      <c r="O92" s="61">
        <f>IF(L92=0,"",M92/L92)</f>
        <v/>
      </c>
      <c r="P92" s="27" t="n"/>
      <c r="Q92" s="62" t="n"/>
      <c r="R92" s="62" t="n"/>
      <c r="S92" s="62">
        <f>R92-Q92</f>
        <v/>
      </c>
      <c r="T92" s="64">
        <f>IF(Q92=0,"",R92/Q92)</f>
        <v/>
      </c>
      <c r="U92" s="31" t="n"/>
      <c r="V92" s="60" t="n"/>
      <c r="W92" s="60" t="n"/>
      <c r="X92" s="60">
        <f>W92-V92</f>
        <v/>
      </c>
      <c r="Y92" s="61">
        <f>IF(V92=0,"",W92/V92)</f>
        <v/>
      </c>
      <c r="Z92" s="27" t="n"/>
      <c r="AA92" s="62" t="n"/>
      <c r="AB92" s="62" t="n"/>
      <c r="AC92" s="62">
        <f>AB92-AA92</f>
        <v/>
      </c>
      <c r="AD92" s="64">
        <f>IF(AA92=0,"",AB92/AA92)</f>
        <v/>
      </c>
      <c r="AE92" s="31" t="n"/>
      <c r="AF92" s="60" t="n"/>
      <c r="AG92" s="60" t="n"/>
      <c r="AH92" s="60">
        <f>AG92-AF92</f>
        <v/>
      </c>
      <c r="AI92" s="61">
        <f>IF(AF92=0,"",AG92/AF92)</f>
        <v/>
      </c>
      <c r="AJ92" s="27" t="n"/>
      <c r="AK92" s="62" t="n"/>
      <c r="AL92" s="62" t="n"/>
      <c r="AM92" s="62">
        <f>AL92-AK92</f>
        <v/>
      </c>
      <c r="AN92" s="64">
        <f>IF(AK92=0,"",AL92/AK92)</f>
        <v/>
      </c>
      <c r="AO92" s="31" t="n"/>
      <c r="AP92" s="60" t="n"/>
      <c r="AQ92" s="60" t="n"/>
      <c r="AR92" s="60">
        <f>AQ92-AP92</f>
        <v/>
      </c>
      <c r="AS92" s="61">
        <f>IF(AP92=0,"",AQ92/AP92)</f>
        <v/>
      </c>
      <c r="AT92" s="27" t="n"/>
      <c r="AU92" s="62" t="n"/>
      <c r="AV92" s="62" t="n"/>
      <c r="AW92" s="62">
        <f>AV92-AU92</f>
        <v/>
      </c>
      <c r="AX92" s="64">
        <f>IF(AU92=0,"",AV92/AU92)</f>
        <v/>
      </c>
      <c r="AY92" s="31" t="n"/>
      <c r="AZ92" s="60" t="n"/>
      <c r="BA92" s="60" t="n"/>
      <c r="BB92" s="60">
        <f>BA92-AZ92</f>
        <v/>
      </c>
      <c r="BC92" s="61">
        <f>IF(AZ92=0,"",BA92/AZ92)</f>
        <v/>
      </c>
      <c r="BD92" s="27" t="n"/>
      <c r="BE92" s="62" t="n"/>
      <c r="BF92" s="62" t="n"/>
      <c r="BG92" s="62">
        <f>BF92-BE92</f>
        <v/>
      </c>
      <c r="BH92" s="64">
        <f>IF(BE92=0,"",BF92/BE92)</f>
        <v/>
      </c>
      <c r="BI92" s="31" t="n"/>
      <c r="BJ92" s="60" t="n"/>
      <c r="BK92" s="60" t="n"/>
      <c r="BL92" s="60">
        <f>BK92-BJ92</f>
        <v/>
      </c>
      <c r="BM92" s="61">
        <f>IF(BJ92=0,"",BK92/BJ92)</f>
        <v/>
      </c>
      <c r="BN92" s="27" t="n"/>
      <c r="BO92" s="62" t="n"/>
      <c r="BP92" s="62" t="n"/>
      <c r="BQ92" s="62">
        <f>BP92-BO92</f>
        <v/>
      </c>
      <c r="BR92" s="64">
        <f>IF(BO92=0,"",BP92/BO92)</f>
        <v/>
      </c>
      <c r="BS92" s="31" t="n"/>
      <c r="BT92" s="60" t="n"/>
      <c r="BU92" s="60" t="n"/>
      <c r="BV92" s="60">
        <f>BU92-BT92</f>
        <v/>
      </c>
      <c r="BW92" s="61">
        <f>IF(BT92=0,"",BU92/BT92)</f>
        <v/>
      </c>
      <c r="BX92" s="27" t="n"/>
      <c r="BY92" s="62" t="n"/>
      <c r="BZ92" s="62" t="n"/>
      <c r="CA92" s="62">
        <f>BZ92-BY92</f>
        <v/>
      </c>
      <c r="CB92" s="64">
        <f>IF(BY92=0,"",BZ92/BY92)</f>
        <v/>
      </c>
      <c r="CC92" s="31" t="n"/>
      <c r="CD92" s="60" t="n"/>
      <c r="CE92" s="60" t="n"/>
      <c r="CF92" s="60">
        <f>CE92-CD92</f>
        <v/>
      </c>
      <c r="CG92" s="61">
        <f>IF(CD92=0,"",CE92/CD92)</f>
        <v/>
      </c>
      <c r="CH92" s="27" t="n"/>
      <c r="CI92" s="62" t="n"/>
      <c r="CJ92" s="62" t="n"/>
      <c r="CK92" s="62">
        <f>CJ92-CI92</f>
        <v/>
      </c>
      <c r="CL92" s="64">
        <f>IF(CI92=0,"",CJ92/CI92)</f>
        <v/>
      </c>
      <c r="CM92" s="31" t="n"/>
      <c r="CN92" s="60" t="n"/>
      <c r="CO92" s="60" t="n"/>
      <c r="CP92" s="60">
        <f>CO92-CN92</f>
        <v/>
      </c>
      <c r="CQ92" s="61">
        <f>IF(CN92=0,"",CO92/CN92)</f>
        <v/>
      </c>
      <c r="CR92" s="27" t="n"/>
      <c r="CS92" s="62" t="n"/>
      <c r="CT92" s="62" t="n"/>
      <c r="CU92" s="62">
        <f>CT92-CS92</f>
        <v/>
      </c>
      <c r="CV92" s="64">
        <f>IF(CS92=0,"",CT92/CS92)</f>
        <v/>
      </c>
      <c r="CW92" s="31" t="n"/>
      <c r="CX92" s="60" t="n"/>
      <c r="CY92" s="60" t="n"/>
      <c r="CZ92" s="60">
        <f>CY92-CX92</f>
        <v/>
      </c>
      <c r="DA92" s="61">
        <f>IF(CX92=0,"",CY92/CX92)</f>
        <v/>
      </c>
      <c r="DB92" s="27" t="n"/>
      <c r="DC92" s="62" t="n"/>
      <c r="DD92" s="62" t="n"/>
      <c r="DE92" s="62">
        <f>DD92-DC92</f>
        <v/>
      </c>
      <c r="DF92" s="64">
        <f>IF(DC92=0,"",DD92/DC92)</f>
        <v/>
      </c>
      <c r="DG92" s="31" t="n"/>
      <c r="DH92" s="60" t="n"/>
      <c r="DI92" s="60" t="n"/>
      <c r="DJ92" s="60">
        <f>DI92-DH92</f>
        <v/>
      </c>
      <c r="DK92" s="61">
        <f>IF(DH92=0,"",DI92/DH92)</f>
        <v/>
      </c>
      <c r="DL92" s="27" t="n"/>
      <c r="DM92" s="62" t="n"/>
      <c r="DN92" s="62" t="n"/>
      <c r="DO92" s="62">
        <f>DN92-DM92</f>
        <v/>
      </c>
      <c r="DP92" s="64">
        <f>IF(DM92=0,"",DN92/DM92)</f>
        <v/>
      </c>
      <c r="DQ92" s="31" t="n"/>
      <c r="DR92" s="60" t="n"/>
    </row>
    <row r="93" outlineLevel="1" ht="15" customHeight="1">
      <c r="A93" s="24" t="n"/>
      <c r="B93" s="24" t="n"/>
      <c r="C93" s="24" t="n"/>
      <c r="D93" s="24" t="n"/>
      <c r="E93" s="24" t="n"/>
      <c r="F93" s="24" t="n"/>
      <c r="G93" s="60" t="n"/>
      <c r="H93" s="60" t="n"/>
      <c r="I93" s="60">
        <f>H93-G93</f>
        <v/>
      </c>
      <c r="J93" s="61">
        <f>IF(G93=0,"",H93/G93)</f>
        <v/>
      </c>
      <c r="K93" s="27" t="n"/>
      <c r="L93" s="60" t="n"/>
      <c r="M93" s="60" t="n"/>
      <c r="N93" s="60">
        <f>M93-L93</f>
        <v/>
      </c>
      <c r="O93" s="61">
        <f>IF(L93=0,"",M93/L93)</f>
        <v/>
      </c>
      <c r="P93" s="27" t="n"/>
      <c r="Q93" s="62" t="n"/>
      <c r="R93" s="62" t="n"/>
      <c r="S93" s="62">
        <f>R93-Q93</f>
        <v/>
      </c>
      <c r="T93" s="64">
        <f>IF(Q93=0,"",R93/Q93)</f>
        <v/>
      </c>
      <c r="U93" s="31" t="n"/>
      <c r="V93" s="60" t="n"/>
      <c r="W93" s="60" t="n"/>
      <c r="X93" s="60">
        <f>W93-V93</f>
        <v/>
      </c>
      <c r="Y93" s="61">
        <f>IF(V93=0,"",W93/V93)</f>
        <v/>
      </c>
      <c r="Z93" s="27" t="n"/>
      <c r="AA93" s="62" t="n"/>
      <c r="AB93" s="62" t="n"/>
      <c r="AC93" s="62">
        <f>AB93-AA93</f>
        <v/>
      </c>
      <c r="AD93" s="64">
        <f>IF(AA93=0,"",AB93/AA93)</f>
        <v/>
      </c>
      <c r="AE93" s="31" t="n"/>
      <c r="AF93" s="60" t="n"/>
      <c r="AG93" s="60" t="n"/>
      <c r="AH93" s="60">
        <f>AG93-AF93</f>
        <v/>
      </c>
      <c r="AI93" s="61">
        <f>IF(AF93=0,"",AG93/AF93)</f>
        <v/>
      </c>
      <c r="AJ93" s="27" t="n"/>
      <c r="AK93" s="62" t="n"/>
      <c r="AL93" s="62" t="n"/>
      <c r="AM93" s="62">
        <f>AL93-AK93</f>
        <v/>
      </c>
      <c r="AN93" s="64">
        <f>IF(AK93=0,"",AL93/AK93)</f>
        <v/>
      </c>
      <c r="AO93" s="31" t="n"/>
      <c r="AP93" s="60" t="n"/>
      <c r="AQ93" s="60" t="n"/>
      <c r="AR93" s="60">
        <f>AQ93-AP93</f>
        <v/>
      </c>
      <c r="AS93" s="61">
        <f>IF(AP93=0,"",AQ93/AP93)</f>
        <v/>
      </c>
      <c r="AT93" s="27" t="n"/>
      <c r="AU93" s="62" t="n"/>
      <c r="AV93" s="62" t="n"/>
      <c r="AW93" s="62">
        <f>AV93-AU93</f>
        <v/>
      </c>
      <c r="AX93" s="64">
        <f>IF(AU93=0,"",AV93/AU93)</f>
        <v/>
      </c>
      <c r="AY93" s="31" t="n"/>
      <c r="AZ93" s="60" t="n"/>
      <c r="BA93" s="60" t="n"/>
      <c r="BB93" s="60">
        <f>BA93-AZ93</f>
        <v/>
      </c>
      <c r="BC93" s="61">
        <f>IF(AZ93=0,"",BA93/AZ93)</f>
        <v/>
      </c>
      <c r="BD93" s="27" t="n"/>
      <c r="BE93" s="62" t="n"/>
      <c r="BF93" s="62" t="n"/>
      <c r="BG93" s="62">
        <f>BF93-BE93</f>
        <v/>
      </c>
      <c r="BH93" s="64">
        <f>IF(BE93=0,"",BF93/BE93)</f>
        <v/>
      </c>
      <c r="BI93" s="31" t="n"/>
      <c r="BJ93" s="60" t="n"/>
      <c r="BK93" s="60" t="n"/>
      <c r="BL93" s="60">
        <f>BK93-BJ93</f>
        <v/>
      </c>
      <c r="BM93" s="61">
        <f>IF(BJ93=0,"",BK93/BJ93)</f>
        <v/>
      </c>
      <c r="BN93" s="27" t="n"/>
      <c r="BO93" s="62" t="n"/>
      <c r="BP93" s="62" t="n"/>
      <c r="BQ93" s="62">
        <f>BP93-BO93</f>
        <v/>
      </c>
      <c r="BR93" s="64">
        <f>IF(BO93=0,"",BP93/BO93)</f>
        <v/>
      </c>
      <c r="BS93" s="31" t="n"/>
      <c r="BT93" s="60" t="n"/>
      <c r="BU93" s="60" t="n"/>
      <c r="BV93" s="60">
        <f>BU93-BT93</f>
        <v/>
      </c>
      <c r="BW93" s="61">
        <f>IF(BT93=0,"",BU93/BT93)</f>
        <v/>
      </c>
      <c r="BX93" s="27" t="n"/>
      <c r="BY93" s="62" t="n"/>
      <c r="BZ93" s="62" t="n"/>
      <c r="CA93" s="62">
        <f>BZ93-BY93</f>
        <v/>
      </c>
      <c r="CB93" s="64">
        <f>IF(BY93=0,"",BZ93/BY93)</f>
        <v/>
      </c>
      <c r="CC93" s="31" t="n"/>
      <c r="CD93" s="60" t="n"/>
      <c r="CE93" s="60" t="n"/>
      <c r="CF93" s="60">
        <f>CE93-CD93</f>
        <v/>
      </c>
      <c r="CG93" s="61">
        <f>IF(CD93=0,"",CE93/CD93)</f>
        <v/>
      </c>
      <c r="CH93" s="27" t="n"/>
      <c r="CI93" s="62" t="n"/>
      <c r="CJ93" s="62" t="n"/>
      <c r="CK93" s="62">
        <f>CJ93-CI93</f>
        <v/>
      </c>
      <c r="CL93" s="64">
        <f>IF(CI93=0,"",CJ93/CI93)</f>
        <v/>
      </c>
      <c r="CM93" s="31" t="n"/>
      <c r="CN93" s="60" t="n"/>
      <c r="CO93" s="60" t="n"/>
      <c r="CP93" s="60">
        <f>CO93-CN93</f>
        <v/>
      </c>
      <c r="CQ93" s="61">
        <f>IF(CN93=0,"",CO93/CN93)</f>
        <v/>
      </c>
      <c r="CR93" s="27" t="n"/>
      <c r="CS93" s="62" t="n"/>
      <c r="CT93" s="62" t="n"/>
      <c r="CU93" s="62">
        <f>CT93-CS93</f>
        <v/>
      </c>
      <c r="CV93" s="64">
        <f>IF(CS93=0,"",CT93/CS93)</f>
        <v/>
      </c>
      <c r="CW93" s="31" t="n"/>
      <c r="CX93" s="60" t="n"/>
      <c r="CY93" s="60" t="n"/>
      <c r="CZ93" s="60">
        <f>CY93-CX93</f>
        <v/>
      </c>
      <c r="DA93" s="61">
        <f>IF(CX93=0,"",CY93/CX93)</f>
        <v/>
      </c>
      <c r="DB93" s="27" t="n"/>
      <c r="DC93" s="62" t="n"/>
      <c r="DD93" s="62" t="n"/>
      <c r="DE93" s="62">
        <f>DD93-DC93</f>
        <v/>
      </c>
      <c r="DF93" s="64">
        <f>IF(DC93=0,"",DD93/DC93)</f>
        <v/>
      </c>
      <c r="DG93" s="31" t="n"/>
      <c r="DH93" s="60" t="n"/>
      <c r="DI93" s="60" t="n"/>
      <c r="DJ93" s="60">
        <f>DI93-DH93</f>
        <v/>
      </c>
      <c r="DK93" s="61">
        <f>IF(DH93=0,"",DI93/DH93)</f>
        <v/>
      </c>
      <c r="DL93" s="27" t="n"/>
      <c r="DM93" s="62" t="n"/>
      <c r="DN93" s="62" t="n"/>
      <c r="DO93" s="62">
        <f>DN93-DM93</f>
        <v/>
      </c>
      <c r="DP93" s="64">
        <f>IF(DM93=0,"",DN93/DM93)</f>
        <v/>
      </c>
      <c r="DQ93" s="31" t="n"/>
      <c r="DR93" s="60" t="n"/>
    </row>
    <row r="94" outlineLevel="1" ht="15" customHeight="1">
      <c r="A94" s="24" t="n"/>
      <c r="B94" s="24" t="n"/>
      <c r="C94" s="24" t="n"/>
      <c r="D94" s="24" t="n"/>
      <c r="E94" s="24" t="n"/>
      <c r="F94" s="24" t="n"/>
      <c r="G94" s="60" t="n"/>
      <c r="H94" s="60" t="n"/>
      <c r="I94" s="60">
        <f>H94-G94</f>
        <v/>
      </c>
      <c r="J94" s="61">
        <f>IF(G94=0,"",H94/G94)</f>
        <v/>
      </c>
      <c r="K94" s="27" t="n"/>
      <c r="L94" s="60" t="n"/>
      <c r="M94" s="60" t="n"/>
      <c r="N94" s="60">
        <f>M94-L94</f>
        <v/>
      </c>
      <c r="O94" s="61">
        <f>IF(L94=0,"",M94/L94)</f>
        <v/>
      </c>
      <c r="P94" s="27" t="n"/>
      <c r="Q94" s="62" t="n"/>
      <c r="R94" s="62" t="n"/>
      <c r="S94" s="62">
        <f>R94-Q94</f>
        <v/>
      </c>
      <c r="T94" s="64">
        <f>IF(Q94=0,"",R94/Q94)</f>
        <v/>
      </c>
      <c r="U94" s="31" t="n"/>
      <c r="V94" s="60" t="n"/>
      <c r="W94" s="60" t="n"/>
      <c r="X94" s="60">
        <f>W94-V94</f>
        <v/>
      </c>
      <c r="Y94" s="61">
        <f>IF(V94=0,"",W94/V94)</f>
        <v/>
      </c>
      <c r="Z94" s="27" t="n"/>
      <c r="AA94" s="62" t="n"/>
      <c r="AB94" s="62" t="n"/>
      <c r="AC94" s="62">
        <f>AB94-AA94</f>
        <v/>
      </c>
      <c r="AD94" s="64">
        <f>IF(AA94=0,"",AB94/AA94)</f>
        <v/>
      </c>
      <c r="AE94" s="31" t="n"/>
      <c r="AF94" s="60" t="n"/>
      <c r="AG94" s="60" t="n"/>
      <c r="AH94" s="60">
        <f>AG94-AF94</f>
        <v/>
      </c>
      <c r="AI94" s="61">
        <f>IF(AF94=0,"",AG94/AF94)</f>
        <v/>
      </c>
      <c r="AJ94" s="27" t="n"/>
      <c r="AK94" s="62" t="n"/>
      <c r="AL94" s="62" t="n"/>
      <c r="AM94" s="62">
        <f>AL94-AK94</f>
        <v/>
      </c>
      <c r="AN94" s="64">
        <f>IF(AK94=0,"",AL94/AK94)</f>
        <v/>
      </c>
      <c r="AO94" s="31" t="n"/>
      <c r="AP94" s="60" t="n"/>
      <c r="AQ94" s="60" t="n"/>
      <c r="AR94" s="60">
        <f>AQ94-AP94</f>
        <v/>
      </c>
      <c r="AS94" s="61">
        <f>IF(AP94=0,"",AQ94/AP94)</f>
        <v/>
      </c>
      <c r="AT94" s="27" t="n"/>
      <c r="AU94" s="62" t="n"/>
      <c r="AV94" s="62" t="n"/>
      <c r="AW94" s="62">
        <f>AV94-AU94</f>
        <v/>
      </c>
      <c r="AX94" s="64">
        <f>IF(AU94=0,"",AV94/AU94)</f>
        <v/>
      </c>
      <c r="AY94" s="31" t="n"/>
      <c r="AZ94" s="60" t="n"/>
      <c r="BA94" s="60" t="n"/>
      <c r="BB94" s="60">
        <f>BA94-AZ94</f>
        <v/>
      </c>
      <c r="BC94" s="61">
        <f>IF(AZ94=0,"",BA94/AZ94)</f>
        <v/>
      </c>
      <c r="BD94" s="27" t="n"/>
      <c r="BE94" s="62" t="n"/>
      <c r="BF94" s="62" t="n"/>
      <c r="BG94" s="62">
        <f>BF94-BE94</f>
        <v/>
      </c>
      <c r="BH94" s="64">
        <f>IF(BE94=0,"",BF94/BE94)</f>
        <v/>
      </c>
      <c r="BI94" s="31" t="n"/>
      <c r="BJ94" s="60" t="n"/>
      <c r="BK94" s="60" t="n"/>
      <c r="BL94" s="60">
        <f>BK94-BJ94</f>
        <v/>
      </c>
      <c r="BM94" s="61">
        <f>IF(BJ94=0,"",BK94/BJ94)</f>
        <v/>
      </c>
      <c r="BN94" s="27" t="n"/>
      <c r="BO94" s="62" t="n"/>
      <c r="BP94" s="62" t="n"/>
      <c r="BQ94" s="62">
        <f>BP94-BO94</f>
        <v/>
      </c>
      <c r="BR94" s="64">
        <f>IF(BO94=0,"",BP94/BO94)</f>
        <v/>
      </c>
      <c r="BS94" s="31" t="n"/>
      <c r="BT94" s="60" t="n"/>
      <c r="BU94" s="60" t="n"/>
      <c r="BV94" s="60">
        <f>BU94-BT94</f>
        <v/>
      </c>
      <c r="BW94" s="61">
        <f>IF(BT94=0,"",BU94/BT94)</f>
        <v/>
      </c>
      <c r="BX94" s="27" t="n"/>
      <c r="BY94" s="62" t="n"/>
      <c r="BZ94" s="62" t="n"/>
      <c r="CA94" s="62">
        <f>BZ94-BY94</f>
        <v/>
      </c>
      <c r="CB94" s="64">
        <f>IF(BY94=0,"",BZ94/BY94)</f>
        <v/>
      </c>
      <c r="CC94" s="31" t="n"/>
      <c r="CD94" s="60" t="n"/>
      <c r="CE94" s="60" t="n"/>
      <c r="CF94" s="60">
        <f>CE94-CD94</f>
        <v/>
      </c>
      <c r="CG94" s="61">
        <f>IF(CD94=0,"",CE94/CD94)</f>
        <v/>
      </c>
      <c r="CH94" s="27" t="n"/>
      <c r="CI94" s="62" t="n"/>
      <c r="CJ94" s="62" t="n"/>
      <c r="CK94" s="62">
        <f>CJ94-CI94</f>
        <v/>
      </c>
      <c r="CL94" s="64">
        <f>IF(CI94=0,"",CJ94/CI94)</f>
        <v/>
      </c>
      <c r="CM94" s="31" t="n"/>
      <c r="CN94" s="60" t="n"/>
      <c r="CO94" s="60" t="n"/>
      <c r="CP94" s="60">
        <f>CO94-CN94</f>
        <v/>
      </c>
      <c r="CQ94" s="61">
        <f>IF(CN94=0,"",CO94/CN94)</f>
        <v/>
      </c>
      <c r="CR94" s="27" t="n"/>
      <c r="CS94" s="62" t="n"/>
      <c r="CT94" s="62" t="n"/>
      <c r="CU94" s="62">
        <f>CT94-CS94</f>
        <v/>
      </c>
      <c r="CV94" s="64">
        <f>IF(CS94=0,"",CT94/CS94)</f>
        <v/>
      </c>
      <c r="CW94" s="31" t="n"/>
      <c r="CX94" s="60" t="n"/>
      <c r="CY94" s="60" t="n"/>
      <c r="CZ94" s="60">
        <f>CY94-CX94</f>
        <v/>
      </c>
      <c r="DA94" s="61">
        <f>IF(CX94=0,"",CY94/CX94)</f>
        <v/>
      </c>
      <c r="DB94" s="27" t="n"/>
      <c r="DC94" s="62" t="n"/>
      <c r="DD94" s="62" t="n"/>
      <c r="DE94" s="62">
        <f>DD94-DC94</f>
        <v/>
      </c>
      <c r="DF94" s="64">
        <f>IF(DC94=0,"",DD94/DC94)</f>
        <v/>
      </c>
      <c r="DG94" s="31" t="n"/>
      <c r="DH94" s="60" t="n"/>
      <c r="DI94" s="60" t="n"/>
      <c r="DJ94" s="60">
        <f>DI94-DH94</f>
        <v/>
      </c>
      <c r="DK94" s="61">
        <f>IF(DH94=0,"",DI94/DH94)</f>
        <v/>
      </c>
      <c r="DL94" s="27" t="n"/>
      <c r="DM94" s="62" t="n"/>
      <c r="DN94" s="62" t="n"/>
      <c r="DO94" s="62">
        <f>DN94-DM94</f>
        <v/>
      </c>
      <c r="DP94" s="64">
        <f>IF(DM94=0,"",DN94/DM94)</f>
        <v/>
      </c>
      <c r="DQ94" s="31" t="n"/>
      <c r="DR94" s="60" t="n"/>
    </row>
    <row r="95" ht="15" customHeight="1">
      <c r="A95" s="32" t="n"/>
      <c r="B95" s="32" t="n"/>
      <c r="C95" s="32" t="n"/>
      <c r="D95" s="32" t="n"/>
      <c r="E95" s="32" t="n"/>
      <c r="F95" s="32" t="n"/>
      <c r="G95" s="65">
        <f>G96</f>
        <v/>
      </c>
      <c r="H95" s="65">
        <f>H96</f>
        <v/>
      </c>
      <c r="I95" s="65">
        <f>H95-G95</f>
        <v/>
      </c>
      <c r="J95" s="66">
        <f>IF(G95=0,"",H95/G95)</f>
        <v/>
      </c>
      <c r="K95" s="35" t="n"/>
      <c r="L95" s="65">
        <f>L96</f>
        <v/>
      </c>
      <c r="M95" s="65">
        <f>M96</f>
        <v/>
      </c>
      <c r="N95" s="65">
        <f>M95-L95</f>
        <v/>
      </c>
      <c r="O95" s="66">
        <f>IF(L95=0,"",M95/L95)</f>
        <v/>
      </c>
      <c r="P95" s="35" t="n"/>
      <c r="Q95" s="65">
        <f>Q96</f>
        <v/>
      </c>
      <c r="R95" s="65">
        <f>R96</f>
        <v/>
      </c>
      <c r="S95" s="65">
        <f>R95-Q95</f>
        <v/>
      </c>
      <c r="T95" s="66">
        <f>IF(Q95=0,"",R95/Q95)</f>
        <v/>
      </c>
      <c r="U95" s="35" t="n"/>
      <c r="V95" s="65">
        <f>V96</f>
        <v/>
      </c>
      <c r="W95" s="65">
        <f>W96</f>
        <v/>
      </c>
      <c r="X95" s="65">
        <f>W95-V95</f>
        <v/>
      </c>
      <c r="Y95" s="66">
        <f>IF(V95=0,"",W95/V95)</f>
        <v/>
      </c>
      <c r="Z95" s="35" t="n"/>
      <c r="AA95" s="65">
        <f>AA96</f>
        <v/>
      </c>
      <c r="AB95" s="65">
        <f>AB96</f>
        <v/>
      </c>
      <c r="AC95" s="65">
        <f>AB95-AA95</f>
        <v/>
      </c>
      <c r="AD95" s="66">
        <f>IF(AA95=0,"",AB95/AA95)</f>
        <v/>
      </c>
      <c r="AE95" s="35" t="n"/>
      <c r="AF95" s="65">
        <f>AF96</f>
        <v/>
      </c>
      <c r="AG95" s="65">
        <f>AG96</f>
        <v/>
      </c>
      <c r="AH95" s="65">
        <f>AG95-AF95</f>
        <v/>
      </c>
      <c r="AI95" s="66">
        <f>IF(AF95=0,"",AG95/AF95)</f>
        <v/>
      </c>
      <c r="AJ95" s="35" t="n"/>
      <c r="AK95" s="65">
        <f>AK96</f>
        <v/>
      </c>
      <c r="AL95" s="65">
        <f>AL96</f>
        <v/>
      </c>
      <c r="AM95" s="65">
        <f>AL95-AK95</f>
        <v/>
      </c>
      <c r="AN95" s="66">
        <f>IF(AK95=0,"",AL95/AK95)</f>
        <v/>
      </c>
      <c r="AO95" s="35" t="n"/>
      <c r="AP95" s="65">
        <f>AP96</f>
        <v/>
      </c>
      <c r="AQ95" s="65">
        <f>AQ96</f>
        <v/>
      </c>
      <c r="AR95" s="65">
        <f>AQ95-AP95</f>
        <v/>
      </c>
      <c r="AS95" s="66">
        <f>IF(AP95=0,"",AQ95/AP95)</f>
        <v/>
      </c>
      <c r="AT95" s="35" t="n"/>
      <c r="AU95" s="65">
        <f>AU96</f>
        <v/>
      </c>
      <c r="AV95" s="65">
        <f>AV96</f>
        <v/>
      </c>
      <c r="AW95" s="65">
        <f>AV95-AU95</f>
        <v/>
      </c>
      <c r="AX95" s="66">
        <f>IF(AU95=0,"",AV95/AU95)</f>
        <v/>
      </c>
      <c r="AY95" s="35" t="n"/>
      <c r="AZ95" s="65">
        <f>AZ96</f>
        <v/>
      </c>
      <c r="BA95" s="65">
        <f>BA96</f>
        <v/>
      </c>
      <c r="BB95" s="65">
        <f>BA95-AZ95</f>
        <v/>
      </c>
      <c r="BC95" s="66">
        <f>IF(AZ95=0,"",BA95/AZ95)</f>
        <v/>
      </c>
      <c r="BD95" s="35" t="n"/>
      <c r="BE95" s="65">
        <f>BE96</f>
        <v/>
      </c>
      <c r="BF95" s="65">
        <f>BF96</f>
        <v/>
      </c>
      <c r="BG95" s="65">
        <f>BF95-BE95</f>
        <v/>
      </c>
      <c r="BH95" s="66">
        <f>IF(BE95=0,"",BF95/BE95)</f>
        <v/>
      </c>
      <c r="BI95" s="35" t="n"/>
      <c r="BJ95" s="65">
        <f>BJ96</f>
        <v/>
      </c>
      <c r="BK95" s="65">
        <f>BK96</f>
        <v/>
      </c>
      <c r="BL95" s="65">
        <f>BK95-BJ95</f>
        <v/>
      </c>
      <c r="BM95" s="66">
        <f>IF(BJ95=0,"",BK95/BJ95)</f>
        <v/>
      </c>
      <c r="BN95" s="35" t="n"/>
      <c r="BO95" s="65">
        <f>BO96</f>
        <v/>
      </c>
      <c r="BP95" s="65">
        <f>BP96</f>
        <v/>
      </c>
      <c r="BQ95" s="65">
        <f>BP95-BO95</f>
        <v/>
      </c>
      <c r="BR95" s="66">
        <f>IF(BO95=0,"",BP95/BO95)</f>
        <v/>
      </c>
      <c r="BS95" s="35" t="n"/>
      <c r="BT95" s="65">
        <f>BT96</f>
        <v/>
      </c>
      <c r="BU95" s="65">
        <f>BU96</f>
        <v/>
      </c>
      <c r="BV95" s="65">
        <f>BU95-BT95</f>
        <v/>
      </c>
      <c r="BW95" s="66">
        <f>IF(BT95=0,"",BU95/BT95)</f>
        <v/>
      </c>
      <c r="BX95" s="35" t="n"/>
      <c r="BY95" s="65">
        <f>BY96</f>
        <v/>
      </c>
      <c r="BZ95" s="65">
        <f>BZ96</f>
        <v/>
      </c>
      <c r="CA95" s="65">
        <f>BZ95-BY95</f>
        <v/>
      </c>
      <c r="CB95" s="66">
        <f>IF(BY95=0,"",BZ95/BY95)</f>
        <v/>
      </c>
      <c r="CC95" s="35" t="n"/>
      <c r="CD95" s="65">
        <f>CD96</f>
        <v/>
      </c>
      <c r="CE95" s="65">
        <f>CE96</f>
        <v/>
      </c>
      <c r="CF95" s="65">
        <f>CE95-CD95</f>
        <v/>
      </c>
      <c r="CG95" s="66">
        <f>IF(CD95=0,"",CE95/CD95)</f>
        <v/>
      </c>
      <c r="CH95" s="35" t="n"/>
      <c r="CI95" s="65">
        <f>CI96</f>
        <v/>
      </c>
      <c r="CJ95" s="65">
        <f>CJ96</f>
        <v/>
      </c>
      <c r="CK95" s="65">
        <f>CJ95-CI95</f>
        <v/>
      </c>
      <c r="CL95" s="66">
        <f>IF(CI95=0,"",CJ95/CI95)</f>
        <v/>
      </c>
      <c r="CM95" s="35" t="n"/>
      <c r="CN95" s="65">
        <f>CN96</f>
        <v/>
      </c>
      <c r="CO95" s="65">
        <f>CO96</f>
        <v/>
      </c>
      <c r="CP95" s="65">
        <f>CO95-CN95</f>
        <v/>
      </c>
      <c r="CQ95" s="66">
        <f>IF(CN95=0,"",CO95/CN95)</f>
        <v/>
      </c>
      <c r="CR95" s="35" t="n"/>
      <c r="CS95" s="65">
        <f>CS96</f>
        <v/>
      </c>
      <c r="CT95" s="65">
        <f>CT96</f>
        <v/>
      </c>
      <c r="CU95" s="65">
        <f>CT95-CS95</f>
        <v/>
      </c>
      <c r="CV95" s="66">
        <f>IF(CS95=0,"",CT95/CS95)</f>
        <v/>
      </c>
      <c r="CW95" s="35" t="n"/>
      <c r="CX95" s="65">
        <f>CX96</f>
        <v/>
      </c>
      <c r="CY95" s="65">
        <f>CY96</f>
        <v/>
      </c>
      <c r="CZ95" s="65">
        <f>CY95-CX95</f>
        <v/>
      </c>
      <c r="DA95" s="66">
        <f>IF(CX95=0,"",CY95/CX95)</f>
        <v/>
      </c>
      <c r="DB95" s="35" t="n"/>
      <c r="DC95" s="65">
        <f>DC96</f>
        <v/>
      </c>
      <c r="DD95" s="65">
        <f>DD96</f>
        <v/>
      </c>
      <c r="DE95" s="65">
        <f>DD95-DC95</f>
        <v/>
      </c>
      <c r="DF95" s="66">
        <f>IF(DC95=0,"",DD95/DC95)</f>
        <v/>
      </c>
      <c r="DG95" s="35" t="n"/>
      <c r="DH95" s="65">
        <f>DH96</f>
        <v/>
      </c>
      <c r="DI95" s="65">
        <f>DI96</f>
        <v/>
      </c>
      <c r="DJ95" s="65">
        <f>DI95-DH95</f>
        <v/>
      </c>
      <c r="DK95" s="66">
        <f>IF(DH95=0,"",DI95/DH95)</f>
        <v/>
      </c>
      <c r="DL95" s="35" t="n"/>
      <c r="DM95" s="65">
        <f>DM96</f>
        <v/>
      </c>
      <c r="DN95" s="65">
        <f>DN96</f>
        <v/>
      </c>
      <c r="DO95" s="65">
        <f>DN95-DM95</f>
        <v/>
      </c>
      <c r="DP95" s="66">
        <f>IF(DM95=0,"",DN95/DM95)</f>
        <v/>
      </c>
      <c r="DQ95" s="35" t="n"/>
      <c r="DR95" s="65">
        <f>DR96</f>
        <v/>
      </c>
    </row>
    <row r="96" outlineLevel="1" ht="15" customHeight="1">
      <c r="A96" s="24" t="n"/>
      <c r="B96" s="24" t="n"/>
      <c r="C96" s="24" t="n"/>
      <c r="D96" s="24" t="n"/>
      <c r="E96" s="24" t="n"/>
      <c r="F96" s="24" t="n"/>
      <c r="G96" s="60" t="n"/>
      <c r="H96" s="60" t="n"/>
      <c r="I96" s="60">
        <f>H96-G96</f>
        <v/>
      </c>
      <c r="J96" s="61">
        <f>IF(G96=0,"",H96/G96)</f>
        <v/>
      </c>
      <c r="K96" s="27" t="n"/>
      <c r="L96" s="60" t="n"/>
      <c r="M96" s="60" t="n"/>
      <c r="N96" s="60">
        <f>M96-L96</f>
        <v/>
      </c>
      <c r="O96" s="61">
        <f>IF(L96=0,"",M96/L96)</f>
        <v/>
      </c>
      <c r="P96" s="27" t="n"/>
      <c r="Q96" s="62" t="n"/>
      <c r="R96" s="62" t="n"/>
      <c r="S96" s="63">
        <f>R96-Q96</f>
        <v/>
      </c>
      <c r="T96" s="64">
        <f>IF(Q96=0,"",R96/Q96)</f>
        <v/>
      </c>
      <c r="U96" s="31" t="n"/>
      <c r="V96" s="60" t="n"/>
      <c r="W96" s="60" t="n"/>
      <c r="X96" s="60">
        <f>W96-V96</f>
        <v/>
      </c>
      <c r="Y96" s="61">
        <f>IF(V96=0,"",W96/V96)</f>
        <v/>
      </c>
      <c r="Z96" s="27" t="n"/>
      <c r="AA96" s="62" t="n"/>
      <c r="AB96" s="62" t="n"/>
      <c r="AC96" s="63">
        <f>AB96-AA96</f>
        <v/>
      </c>
      <c r="AD96" s="64">
        <f>IF(AA96=0,"",AB96/AA96)</f>
        <v/>
      </c>
      <c r="AE96" s="31" t="n"/>
      <c r="AF96" s="60" t="n"/>
      <c r="AG96" s="60" t="n"/>
      <c r="AH96" s="60">
        <f>AG96-AF96</f>
        <v/>
      </c>
      <c r="AI96" s="61">
        <f>IF(AF96=0,"",AG96/AF96)</f>
        <v/>
      </c>
      <c r="AJ96" s="27" t="n"/>
      <c r="AK96" s="62" t="n"/>
      <c r="AL96" s="62" t="n"/>
      <c r="AM96" s="62">
        <f>AL96-AK96</f>
        <v/>
      </c>
      <c r="AN96" s="64">
        <f>IF(AK96=0,"",AL96/AK96)</f>
        <v/>
      </c>
      <c r="AO96" s="31" t="n"/>
      <c r="AP96" s="60" t="n"/>
      <c r="AQ96" s="60" t="n"/>
      <c r="AR96" s="60">
        <f>AQ96-AP96</f>
        <v/>
      </c>
      <c r="AS96" s="61">
        <f>IF(AP96=0,"",AQ96/AP96)</f>
        <v/>
      </c>
      <c r="AT96" s="27" t="n"/>
      <c r="AU96" s="62" t="n"/>
      <c r="AV96" s="62" t="n"/>
      <c r="AW96" s="62">
        <f>AV96-AU96</f>
        <v/>
      </c>
      <c r="AX96" s="64">
        <f>IF(AU96=0,"",AV96/AU96)</f>
        <v/>
      </c>
      <c r="AY96" s="31" t="n"/>
      <c r="AZ96" s="60" t="n"/>
      <c r="BA96" s="60" t="n"/>
      <c r="BB96" s="60">
        <f>BA96-AZ96</f>
        <v/>
      </c>
      <c r="BC96" s="61">
        <f>IF(AZ96=0,"",BA96/AZ96)</f>
        <v/>
      </c>
      <c r="BD96" s="27" t="n"/>
      <c r="BE96" s="62" t="n"/>
      <c r="BF96" s="62" t="n"/>
      <c r="BG96" s="62">
        <f>BF96-BE96</f>
        <v/>
      </c>
      <c r="BH96" s="64">
        <f>IF(BE96=0,"",BF96/BE96)</f>
        <v/>
      </c>
      <c r="BI96" s="31" t="n"/>
      <c r="BJ96" s="60" t="n"/>
      <c r="BK96" s="60" t="n"/>
      <c r="BL96" s="60">
        <f>BK96-BJ96</f>
        <v/>
      </c>
      <c r="BM96" s="61">
        <f>IF(BJ96=0,"",BK96/BJ96)</f>
        <v/>
      </c>
      <c r="BN96" s="27" t="n"/>
      <c r="BO96" s="62" t="n"/>
      <c r="BP96" s="62" t="n"/>
      <c r="BQ96" s="62">
        <f>BP96-BO96</f>
        <v/>
      </c>
      <c r="BR96" s="64">
        <f>IF(BO96=0,"",BP96/BO96)</f>
        <v/>
      </c>
      <c r="BS96" s="31" t="n"/>
      <c r="BT96" s="60" t="n"/>
      <c r="BU96" s="60" t="n"/>
      <c r="BV96" s="60">
        <f>BU96-BT96</f>
        <v/>
      </c>
      <c r="BW96" s="61">
        <f>IF(BT96=0,"",BU96/BT96)</f>
        <v/>
      </c>
      <c r="BX96" s="27" t="n"/>
      <c r="BY96" s="62" t="n"/>
      <c r="BZ96" s="62" t="n"/>
      <c r="CA96" s="62">
        <f>BZ96-BY96</f>
        <v/>
      </c>
      <c r="CB96" s="64">
        <f>IF(BY96=0,"",BZ96/BY96)</f>
        <v/>
      </c>
      <c r="CC96" s="31" t="n"/>
      <c r="CD96" s="60" t="n"/>
      <c r="CE96" s="60" t="n"/>
      <c r="CF96" s="60">
        <f>CE96-CD96</f>
        <v/>
      </c>
      <c r="CG96" s="61">
        <f>IF(CD96=0,"",CE96/CD96)</f>
        <v/>
      </c>
      <c r="CH96" s="27" t="n"/>
      <c r="CI96" s="62" t="n"/>
      <c r="CJ96" s="62" t="n"/>
      <c r="CK96" s="62">
        <f>CJ96-CI96</f>
        <v/>
      </c>
      <c r="CL96" s="64">
        <f>IF(CI96=0,"",CJ96/CI96)</f>
        <v/>
      </c>
      <c r="CM96" s="31" t="n"/>
      <c r="CN96" s="60" t="n"/>
      <c r="CO96" s="60" t="n"/>
      <c r="CP96" s="60">
        <f>CO96-CN96</f>
        <v/>
      </c>
      <c r="CQ96" s="61">
        <f>IF(CN96=0,"",CO96/CN96)</f>
        <v/>
      </c>
      <c r="CR96" s="27" t="n"/>
      <c r="CS96" s="62" t="n"/>
      <c r="CT96" s="62" t="n"/>
      <c r="CU96" s="62">
        <f>CT96-CS96</f>
        <v/>
      </c>
      <c r="CV96" s="64">
        <f>IF(CS96=0,"",CT96/CS96)</f>
        <v/>
      </c>
      <c r="CW96" s="31" t="n"/>
      <c r="CX96" s="60" t="n"/>
      <c r="CY96" s="60" t="n"/>
      <c r="CZ96" s="60">
        <f>CY96-CX96</f>
        <v/>
      </c>
      <c r="DA96" s="61">
        <f>IF(CX96=0,"",CY96/CX96)</f>
        <v/>
      </c>
      <c r="DB96" s="27" t="n"/>
      <c r="DC96" s="62" t="n"/>
      <c r="DD96" s="62" t="n"/>
      <c r="DE96" s="62">
        <f>DD96-DC96</f>
        <v/>
      </c>
      <c r="DF96" s="64">
        <f>IF(DC96=0,"",DD96/DC96)</f>
        <v/>
      </c>
      <c r="DG96" s="31" t="n"/>
      <c r="DH96" s="60" t="n"/>
      <c r="DI96" s="60" t="n"/>
      <c r="DJ96" s="60">
        <f>DI96-DH96</f>
        <v/>
      </c>
      <c r="DK96" s="61">
        <f>IF(DH96=0,"",DI96/DH96)</f>
        <v/>
      </c>
      <c r="DL96" s="27" t="n"/>
      <c r="DM96" s="62" t="n"/>
      <c r="DN96" s="62" t="n"/>
      <c r="DO96" s="62">
        <f>DN96-DM96</f>
        <v/>
      </c>
      <c r="DP96" s="64">
        <f>IF(DM96=0,"",DN96/DM96)</f>
        <v/>
      </c>
      <c r="DQ96" s="31" t="n"/>
      <c r="DR96" s="60" t="n"/>
    </row>
    <row r="97" ht="15" customHeight="1">
      <c r="A97" s="32" t="n"/>
      <c r="B97" s="32" t="n"/>
      <c r="C97" s="32" t="n"/>
      <c r="D97" s="32" t="n"/>
      <c r="E97" s="32" t="n"/>
      <c r="F97" s="32" t="n"/>
      <c r="G97" s="65">
        <f>G98+G99+G100+G101+G102</f>
        <v/>
      </c>
      <c r="H97" s="65">
        <f>H98+H99+H100+H101+H102</f>
        <v/>
      </c>
      <c r="I97" s="65">
        <f>H97-G97</f>
        <v/>
      </c>
      <c r="J97" s="66">
        <f>IF(G97=0,"",H97/G97)</f>
        <v/>
      </c>
      <c r="K97" s="35" t="n"/>
      <c r="L97" s="65">
        <f>L98+L99+L100+L101+L102</f>
        <v/>
      </c>
      <c r="M97" s="65">
        <f>M98+M99+M100+M101+M102</f>
        <v/>
      </c>
      <c r="N97" s="65">
        <f>M97-L97</f>
        <v/>
      </c>
      <c r="O97" s="66">
        <f>IF(L97=0,"",M97/L97)</f>
        <v/>
      </c>
      <c r="P97" s="35" t="n"/>
      <c r="Q97" s="65">
        <f>Q98+Q99+Q100+Q101+Q102</f>
        <v/>
      </c>
      <c r="R97" s="65">
        <f>R98+R99+R100+R101+R102</f>
        <v/>
      </c>
      <c r="S97" s="65">
        <f>R97-Q97</f>
        <v/>
      </c>
      <c r="T97" s="66">
        <f>IF(Q97=0,"",R97/Q97)</f>
        <v/>
      </c>
      <c r="U97" s="35" t="n"/>
      <c r="V97" s="65">
        <f>V98+V99+V100+V101+V102</f>
        <v/>
      </c>
      <c r="W97" s="65">
        <f>W98+W99+W100+W101+W102</f>
        <v/>
      </c>
      <c r="X97" s="65">
        <f>W97-V97</f>
        <v/>
      </c>
      <c r="Y97" s="66">
        <f>IF(V97=0,"",W97/V97)</f>
        <v/>
      </c>
      <c r="Z97" s="35" t="n"/>
      <c r="AA97" s="65">
        <f>AA98+AA99+AA100+AA101+AA102</f>
        <v/>
      </c>
      <c r="AB97" s="65">
        <f>AB98+AB99+AB100+AB101+AB102</f>
        <v/>
      </c>
      <c r="AC97" s="65">
        <f>AB97-AA97</f>
        <v/>
      </c>
      <c r="AD97" s="66">
        <f>IF(AA97=0,"",AB97/AA97)</f>
        <v/>
      </c>
      <c r="AE97" s="35" t="n"/>
      <c r="AF97" s="65">
        <f>AF98+AF99+AF100+AF101+AF102</f>
        <v/>
      </c>
      <c r="AG97" s="65">
        <f>AG98+AG99+AG100+AG101+AG102</f>
        <v/>
      </c>
      <c r="AH97" s="65">
        <f>AG97-AF97</f>
        <v/>
      </c>
      <c r="AI97" s="66">
        <f>IF(AF97=0,"",AG97/AF97)</f>
        <v/>
      </c>
      <c r="AJ97" s="35" t="n"/>
      <c r="AK97" s="65">
        <f>AK98+AK99+AK100+AK101+AK102</f>
        <v/>
      </c>
      <c r="AL97" s="65">
        <f>AL98+AL99+AL100+AL101+AL102</f>
        <v/>
      </c>
      <c r="AM97" s="65">
        <f>AL97-AK97</f>
        <v/>
      </c>
      <c r="AN97" s="66">
        <f>IF(AK97=0,"",AL97/AK97)</f>
        <v/>
      </c>
      <c r="AO97" s="35" t="n"/>
      <c r="AP97" s="65">
        <f>AP98+AP99+AP100+AP101+AP102</f>
        <v/>
      </c>
      <c r="AQ97" s="65">
        <f>AQ98+AQ99+AQ100+AQ101+AQ102</f>
        <v/>
      </c>
      <c r="AR97" s="65">
        <f>AQ97-AP97</f>
        <v/>
      </c>
      <c r="AS97" s="66">
        <f>IF(AP97=0,"",AQ97/AP97)</f>
        <v/>
      </c>
      <c r="AT97" s="35" t="n"/>
      <c r="AU97" s="65">
        <f>AU98+AU99+AU100+AU101+AU102</f>
        <v/>
      </c>
      <c r="AV97" s="65">
        <f>AV98+AV99+AV100+AV101+AV102</f>
        <v/>
      </c>
      <c r="AW97" s="65">
        <f>AV97-AU97</f>
        <v/>
      </c>
      <c r="AX97" s="66">
        <f>IF(AU97=0,"",AV97/AU97)</f>
        <v/>
      </c>
      <c r="AY97" s="35" t="n"/>
      <c r="AZ97" s="65">
        <f>AZ98+AZ99+AZ100+AZ101+AZ102</f>
        <v/>
      </c>
      <c r="BA97" s="65">
        <f>BA98+BA99+BA100+BA101+BA102</f>
        <v/>
      </c>
      <c r="BB97" s="65">
        <f>BA97-AZ97</f>
        <v/>
      </c>
      <c r="BC97" s="66">
        <f>IF(AZ97=0,"",BA97/AZ97)</f>
        <v/>
      </c>
      <c r="BD97" s="35" t="n"/>
      <c r="BE97" s="65">
        <f>BE98+BE99+BE100+BE101+BE102</f>
        <v/>
      </c>
      <c r="BF97" s="65">
        <f>BF98+BF99+BF100+BF101+BF102</f>
        <v/>
      </c>
      <c r="BG97" s="65">
        <f>BF97-BE97</f>
        <v/>
      </c>
      <c r="BH97" s="66">
        <f>IF(BE97=0,"",BF97/BE97)</f>
        <v/>
      </c>
      <c r="BI97" s="35" t="n"/>
      <c r="BJ97" s="65">
        <f>BJ98+BJ99+BJ100+BJ101+BJ102</f>
        <v/>
      </c>
      <c r="BK97" s="65">
        <f>BK98+BK99+BK100+BK101+BK102</f>
        <v/>
      </c>
      <c r="BL97" s="65">
        <f>BK97-BJ97</f>
        <v/>
      </c>
      <c r="BM97" s="66">
        <f>IF(BJ97=0,"",BK97/BJ97)</f>
        <v/>
      </c>
      <c r="BN97" s="35" t="n"/>
      <c r="BO97" s="65">
        <f>BO98+BO99+BO100+BO101+BO102</f>
        <v/>
      </c>
      <c r="BP97" s="65">
        <f>BP98+BP99+BP100+BP101+BP102</f>
        <v/>
      </c>
      <c r="BQ97" s="65">
        <f>BP97-BO97</f>
        <v/>
      </c>
      <c r="BR97" s="66">
        <f>IF(BO97=0,"",BP97/BO97)</f>
        <v/>
      </c>
      <c r="BS97" s="35" t="n"/>
      <c r="BT97" s="65">
        <f>BT98+BT99+BT100+BT101+BT102</f>
        <v/>
      </c>
      <c r="BU97" s="65">
        <f>BU98+BU99+BU100+BU101+BU102</f>
        <v/>
      </c>
      <c r="BV97" s="65">
        <f>BU97-BT97</f>
        <v/>
      </c>
      <c r="BW97" s="66">
        <f>IF(BT97=0,"",BU97/BT97)</f>
        <v/>
      </c>
      <c r="BX97" s="35" t="n"/>
      <c r="BY97" s="65">
        <f>BY98+BY99+BY100+BY101+BY102</f>
        <v/>
      </c>
      <c r="BZ97" s="65">
        <f>BZ98+BZ99+BZ100+BZ101+BZ102</f>
        <v/>
      </c>
      <c r="CA97" s="65">
        <f>BZ97-BY97</f>
        <v/>
      </c>
      <c r="CB97" s="66">
        <f>IF(BY97=0,"",BZ97/BY97)</f>
        <v/>
      </c>
      <c r="CC97" s="35" t="n"/>
      <c r="CD97" s="65">
        <f>CD98+CD99+CD100+CD101+CD102</f>
        <v/>
      </c>
      <c r="CE97" s="65">
        <f>CE98+CE99+CE100+CE101+CE102</f>
        <v/>
      </c>
      <c r="CF97" s="65">
        <f>CE97-CD97</f>
        <v/>
      </c>
      <c r="CG97" s="66">
        <f>IF(CD97=0,"",CE97/CD97)</f>
        <v/>
      </c>
      <c r="CH97" s="35" t="n"/>
      <c r="CI97" s="65">
        <f>CI98+CI99+CI100+CI101+CI102</f>
        <v/>
      </c>
      <c r="CJ97" s="65">
        <f>CJ98+CJ99+CJ100+CJ101+CJ102</f>
        <v/>
      </c>
      <c r="CK97" s="65">
        <f>CJ97-CI97</f>
        <v/>
      </c>
      <c r="CL97" s="66">
        <f>IF(CI97=0,"",CJ97/CI97)</f>
        <v/>
      </c>
      <c r="CM97" s="35" t="n"/>
      <c r="CN97" s="65">
        <f>CN98+CN99+CN100+CN101+CN102</f>
        <v/>
      </c>
      <c r="CO97" s="65">
        <f>CO98+CO99+CO100+CO101+CO102</f>
        <v/>
      </c>
      <c r="CP97" s="65">
        <f>CO97-CN97</f>
        <v/>
      </c>
      <c r="CQ97" s="66">
        <f>IF(CN97=0,"",CO97/CN97)</f>
        <v/>
      </c>
      <c r="CR97" s="35" t="n"/>
      <c r="CS97" s="65">
        <f>CS98+CS99+CS100+CS101+CS102</f>
        <v/>
      </c>
      <c r="CT97" s="65">
        <f>CT98+CT99+CT100+CT101+CT102</f>
        <v/>
      </c>
      <c r="CU97" s="65">
        <f>CT97-CS97</f>
        <v/>
      </c>
      <c r="CV97" s="66">
        <f>IF(CS97=0,"",CT97/CS97)</f>
        <v/>
      </c>
      <c r="CW97" s="35" t="n"/>
      <c r="CX97" s="65">
        <f>CX98+CX99+CX100+CX101+CX102</f>
        <v/>
      </c>
      <c r="CY97" s="65">
        <f>CY98+CY99+CY100+CY101+CY102</f>
        <v/>
      </c>
      <c r="CZ97" s="65">
        <f>CY97-CX97</f>
        <v/>
      </c>
      <c r="DA97" s="66">
        <f>IF(CX97=0,"",CY97/CX97)</f>
        <v/>
      </c>
      <c r="DB97" s="35" t="n"/>
      <c r="DC97" s="65">
        <f>DC98+DC99+DC100+DC101+DC102</f>
        <v/>
      </c>
      <c r="DD97" s="65">
        <f>DD98+DD99+DD100+DD101+DD102</f>
        <v/>
      </c>
      <c r="DE97" s="65">
        <f>DD97-DC97</f>
        <v/>
      </c>
      <c r="DF97" s="66">
        <f>IF(DC97=0,"",DD97/DC97)</f>
        <v/>
      </c>
      <c r="DG97" s="35" t="n"/>
      <c r="DH97" s="65">
        <f>DH98+DH99+DH100+DH101+DH102</f>
        <v/>
      </c>
      <c r="DI97" s="65">
        <f>DI98+DI99+DI100+DI101+DI102</f>
        <v/>
      </c>
      <c r="DJ97" s="65">
        <f>DI97-DH97</f>
        <v/>
      </c>
      <c r="DK97" s="66">
        <f>IF(DH97=0,"",DI97/DH97)</f>
        <v/>
      </c>
      <c r="DL97" s="35" t="n"/>
      <c r="DM97" s="65">
        <f>DM98+DM99+DM100+DM101+DM102</f>
        <v/>
      </c>
      <c r="DN97" s="65">
        <f>DN98+DN99+DN100+DN101+DN102</f>
        <v/>
      </c>
      <c r="DO97" s="65">
        <f>DN97-DM97</f>
        <v/>
      </c>
      <c r="DP97" s="66">
        <f>IF(DM97=0,"",DN97/DM97)</f>
        <v/>
      </c>
      <c r="DQ97" s="35" t="n"/>
      <c r="DR97" s="65">
        <f>DR98+DR99+DR100+DR101+DR102</f>
        <v/>
      </c>
    </row>
    <row r="98" outlineLevel="1" ht="15" customHeight="1">
      <c r="A98" s="24" t="n"/>
      <c r="B98" s="24" t="n"/>
      <c r="C98" s="24" t="n"/>
      <c r="D98" s="24" t="n"/>
      <c r="E98" s="24" t="n"/>
      <c r="F98" s="24" t="n"/>
      <c r="G98" s="60" t="n"/>
      <c r="H98" s="60" t="n"/>
      <c r="I98" s="60">
        <f>H98-G98</f>
        <v/>
      </c>
      <c r="J98" s="61">
        <f>IF(G98=0,"",H98/G98)</f>
        <v/>
      </c>
      <c r="K98" s="27" t="n"/>
      <c r="L98" s="60" t="n"/>
      <c r="M98" s="60" t="n"/>
      <c r="N98" s="60">
        <f>M98-L98</f>
        <v/>
      </c>
      <c r="O98" s="61">
        <f>IF(L98=0,"",M98/L98)</f>
        <v/>
      </c>
      <c r="P98" s="27" t="n"/>
      <c r="Q98" s="62" t="n"/>
      <c r="R98" s="62" t="n"/>
      <c r="S98" s="62">
        <f>R98-Q98</f>
        <v/>
      </c>
      <c r="T98" s="64">
        <f>IF(Q98=0,"",R98/Q98)</f>
        <v/>
      </c>
      <c r="U98" s="31" t="n"/>
      <c r="V98" s="60" t="n"/>
      <c r="W98" s="60" t="n"/>
      <c r="X98" s="60">
        <f>W98-V98</f>
        <v/>
      </c>
      <c r="Y98" s="61">
        <f>IF(V98=0,"",W98/V98)</f>
        <v/>
      </c>
      <c r="Z98" s="27" t="n"/>
      <c r="AA98" s="62" t="n"/>
      <c r="AB98" s="62" t="n"/>
      <c r="AC98" s="62">
        <f>AB98-AA98</f>
        <v/>
      </c>
      <c r="AD98" s="64">
        <f>IF(AA98=0,"",AB98/AA98)</f>
        <v/>
      </c>
      <c r="AE98" s="31" t="n"/>
      <c r="AF98" s="60" t="n"/>
      <c r="AG98" s="60" t="n"/>
      <c r="AH98" s="60">
        <f>AG98-AF98</f>
        <v/>
      </c>
      <c r="AI98" s="61">
        <f>IF(AF98=0,"",AG98/AF98)</f>
        <v/>
      </c>
      <c r="AJ98" s="27" t="n"/>
      <c r="AK98" s="62" t="n"/>
      <c r="AL98" s="62" t="n"/>
      <c r="AM98" s="62">
        <f>AL98-AK98</f>
        <v/>
      </c>
      <c r="AN98" s="64">
        <f>IF(AK98=0,"",AL98/AK98)</f>
        <v/>
      </c>
      <c r="AO98" s="31" t="n"/>
      <c r="AP98" s="60" t="n"/>
      <c r="AQ98" s="60" t="n"/>
      <c r="AR98" s="60">
        <f>AQ98-AP98</f>
        <v/>
      </c>
      <c r="AS98" s="61">
        <f>IF(AP98=0,"",AQ98/AP98)</f>
        <v/>
      </c>
      <c r="AT98" s="27" t="n"/>
      <c r="AU98" s="62" t="n"/>
      <c r="AV98" s="62" t="n"/>
      <c r="AW98" s="62">
        <f>AV98-AU98</f>
        <v/>
      </c>
      <c r="AX98" s="64">
        <f>IF(AU98=0,"",AV98/AU98)</f>
        <v/>
      </c>
      <c r="AY98" s="31" t="n"/>
      <c r="AZ98" s="60" t="n"/>
      <c r="BA98" s="60" t="n"/>
      <c r="BB98" s="60">
        <f>BA98-AZ98</f>
        <v/>
      </c>
      <c r="BC98" s="61">
        <f>IF(AZ98=0,"",BA98/AZ98)</f>
        <v/>
      </c>
      <c r="BD98" s="27" t="n"/>
      <c r="BE98" s="62" t="n"/>
      <c r="BF98" s="62" t="n"/>
      <c r="BG98" s="62">
        <f>BF98-BE98</f>
        <v/>
      </c>
      <c r="BH98" s="64">
        <f>IF(BE98=0,"",BF98/BE98)</f>
        <v/>
      </c>
      <c r="BI98" s="31" t="n"/>
      <c r="BJ98" s="60" t="n"/>
      <c r="BK98" s="60" t="n"/>
      <c r="BL98" s="60">
        <f>BK98-BJ98</f>
        <v/>
      </c>
      <c r="BM98" s="61">
        <f>IF(BJ98=0,"",BK98/BJ98)</f>
        <v/>
      </c>
      <c r="BN98" s="27" t="n"/>
      <c r="BO98" s="62" t="n"/>
      <c r="BP98" s="62" t="n"/>
      <c r="BQ98" s="62">
        <f>BP98-BO98</f>
        <v/>
      </c>
      <c r="BR98" s="64">
        <f>IF(BO98=0,"",BP98/BO98)</f>
        <v/>
      </c>
      <c r="BS98" s="31" t="n"/>
      <c r="BT98" s="60" t="n"/>
      <c r="BU98" s="60" t="n"/>
      <c r="BV98" s="60">
        <f>BU98-BT98</f>
        <v/>
      </c>
      <c r="BW98" s="61">
        <f>IF(BT98=0,"",BU98/BT98)</f>
        <v/>
      </c>
      <c r="BX98" s="27" t="n"/>
      <c r="BY98" s="62" t="n"/>
      <c r="BZ98" s="62" t="n"/>
      <c r="CA98" s="62">
        <f>BZ98-BY98</f>
        <v/>
      </c>
      <c r="CB98" s="64">
        <f>IF(BY98=0,"",BZ98/BY98)</f>
        <v/>
      </c>
      <c r="CC98" s="31" t="n"/>
      <c r="CD98" s="60" t="n"/>
      <c r="CE98" s="60" t="n"/>
      <c r="CF98" s="60">
        <f>CE98-CD98</f>
        <v/>
      </c>
      <c r="CG98" s="61">
        <f>IF(CD98=0,"",CE98/CD98)</f>
        <v/>
      </c>
      <c r="CH98" s="27" t="n"/>
      <c r="CI98" s="62" t="n"/>
      <c r="CJ98" s="62" t="n"/>
      <c r="CK98" s="62">
        <f>CJ98-CI98</f>
        <v/>
      </c>
      <c r="CL98" s="64">
        <f>IF(CI98=0,"",CJ98/CI98)</f>
        <v/>
      </c>
      <c r="CM98" s="31" t="n"/>
      <c r="CN98" s="60" t="n"/>
      <c r="CO98" s="60" t="n"/>
      <c r="CP98" s="60">
        <f>CO98-CN98</f>
        <v/>
      </c>
      <c r="CQ98" s="61">
        <f>IF(CN98=0,"",CO98/CN98)</f>
        <v/>
      </c>
      <c r="CR98" s="27" t="n"/>
      <c r="CS98" s="62" t="n"/>
      <c r="CT98" s="62" t="n"/>
      <c r="CU98" s="62">
        <f>CT98-CS98</f>
        <v/>
      </c>
      <c r="CV98" s="64">
        <f>IF(CS98=0,"",CT98/CS98)</f>
        <v/>
      </c>
      <c r="CW98" s="31" t="n"/>
      <c r="CX98" s="60" t="n"/>
      <c r="CY98" s="60" t="n"/>
      <c r="CZ98" s="60">
        <f>CY98-CX98</f>
        <v/>
      </c>
      <c r="DA98" s="61">
        <f>IF(CX98=0,"",CY98/CX98)</f>
        <v/>
      </c>
      <c r="DB98" s="27" t="n"/>
      <c r="DC98" s="62" t="n"/>
      <c r="DD98" s="62" t="n"/>
      <c r="DE98" s="62">
        <f>DD98-DC98</f>
        <v/>
      </c>
      <c r="DF98" s="64">
        <f>IF(DC98=0,"",DD98/DC98)</f>
        <v/>
      </c>
      <c r="DG98" s="31" t="n"/>
      <c r="DH98" s="60" t="n"/>
      <c r="DI98" s="60" t="n"/>
      <c r="DJ98" s="60">
        <f>DI98-DH98</f>
        <v/>
      </c>
      <c r="DK98" s="61">
        <f>IF(DH98=0,"",DI98/DH98)</f>
        <v/>
      </c>
      <c r="DL98" s="27" t="n"/>
      <c r="DM98" s="62" t="n"/>
      <c r="DN98" s="62" t="n"/>
      <c r="DO98" s="62">
        <f>DN98-DM98</f>
        <v/>
      </c>
      <c r="DP98" s="64">
        <f>IF(DM98=0,"",DN98/DM98)</f>
        <v/>
      </c>
      <c r="DQ98" s="31" t="n"/>
      <c r="DR98" s="60" t="n"/>
    </row>
    <row r="99" outlineLevel="1" ht="15" customHeight="1">
      <c r="A99" s="24" t="n"/>
      <c r="B99" s="24" t="n"/>
      <c r="C99" s="24" t="n"/>
      <c r="D99" s="24" t="n"/>
      <c r="E99" s="24" t="n"/>
      <c r="F99" s="24" t="n"/>
      <c r="G99" s="60" t="n"/>
      <c r="H99" s="60" t="n"/>
      <c r="I99" s="60">
        <f>H99-G99</f>
        <v/>
      </c>
      <c r="J99" s="61">
        <f>IF(G99=0,"",H99/G99)</f>
        <v/>
      </c>
      <c r="K99" s="27" t="n"/>
      <c r="L99" s="60" t="n"/>
      <c r="M99" s="60" t="n"/>
      <c r="N99" s="60">
        <f>M99-L99</f>
        <v/>
      </c>
      <c r="O99" s="61">
        <f>IF(L99=0,"",M99/L99)</f>
        <v/>
      </c>
      <c r="P99" s="27" t="n"/>
      <c r="Q99" s="62" t="n"/>
      <c r="R99" s="62" t="n"/>
      <c r="S99" s="62">
        <f>R99-Q99</f>
        <v/>
      </c>
      <c r="T99" s="64">
        <f>IF(Q99=0,"",R99/Q99)</f>
        <v/>
      </c>
      <c r="U99" s="31" t="n"/>
      <c r="V99" s="60" t="n"/>
      <c r="W99" s="60" t="n"/>
      <c r="X99" s="60">
        <f>W99-V99</f>
        <v/>
      </c>
      <c r="Y99" s="61">
        <f>IF(V99=0,"",W99/V99)</f>
        <v/>
      </c>
      <c r="Z99" s="27" t="n"/>
      <c r="AA99" s="62" t="n"/>
      <c r="AB99" s="62" t="n"/>
      <c r="AC99" s="62">
        <f>AB99-AA99</f>
        <v/>
      </c>
      <c r="AD99" s="64">
        <f>IF(AA99=0,"",AB99/AA99)</f>
        <v/>
      </c>
      <c r="AE99" s="31" t="n"/>
      <c r="AF99" s="60" t="n"/>
      <c r="AG99" s="60" t="n"/>
      <c r="AH99" s="60">
        <f>AG99-AF99</f>
        <v/>
      </c>
      <c r="AI99" s="61">
        <f>IF(AF99=0,"",AG99/AF99)</f>
        <v/>
      </c>
      <c r="AJ99" s="27" t="n"/>
      <c r="AK99" s="62" t="n"/>
      <c r="AL99" s="62" t="n"/>
      <c r="AM99" s="62">
        <f>AL99-AK99</f>
        <v/>
      </c>
      <c r="AN99" s="64">
        <f>IF(AK99=0,"",AL99/AK99)</f>
        <v/>
      </c>
      <c r="AO99" s="31" t="n"/>
      <c r="AP99" s="60" t="n"/>
      <c r="AQ99" s="60" t="n"/>
      <c r="AR99" s="60">
        <f>AQ99-AP99</f>
        <v/>
      </c>
      <c r="AS99" s="61">
        <f>IF(AP99=0,"",AQ99/AP99)</f>
        <v/>
      </c>
      <c r="AT99" s="27" t="n"/>
      <c r="AU99" s="62" t="n"/>
      <c r="AV99" s="62" t="n"/>
      <c r="AW99" s="62">
        <f>AV99-AU99</f>
        <v/>
      </c>
      <c r="AX99" s="64">
        <f>IF(AU99=0,"",AV99/AU99)</f>
        <v/>
      </c>
      <c r="AY99" s="31" t="n"/>
      <c r="AZ99" s="60" t="n"/>
      <c r="BA99" s="60" t="n"/>
      <c r="BB99" s="60">
        <f>BA99-AZ99</f>
        <v/>
      </c>
      <c r="BC99" s="61">
        <f>IF(AZ99=0,"",BA99/AZ99)</f>
        <v/>
      </c>
      <c r="BD99" s="27" t="n"/>
      <c r="BE99" s="62" t="n"/>
      <c r="BF99" s="62" t="n"/>
      <c r="BG99" s="62">
        <f>BF99-BE99</f>
        <v/>
      </c>
      <c r="BH99" s="64">
        <f>IF(BE99=0,"",BF99/BE99)</f>
        <v/>
      </c>
      <c r="BI99" s="31" t="n"/>
      <c r="BJ99" s="60" t="n"/>
      <c r="BK99" s="60" t="n"/>
      <c r="BL99" s="60">
        <f>BK99-BJ99</f>
        <v/>
      </c>
      <c r="BM99" s="61">
        <f>IF(BJ99=0,"",BK99/BJ99)</f>
        <v/>
      </c>
      <c r="BN99" s="27" t="n"/>
      <c r="BO99" s="62" t="n"/>
      <c r="BP99" s="62" t="n"/>
      <c r="BQ99" s="62">
        <f>BP99-BO99</f>
        <v/>
      </c>
      <c r="BR99" s="64">
        <f>IF(BO99=0,"",BP99/BO99)</f>
        <v/>
      </c>
      <c r="BS99" s="31" t="n"/>
      <c r="BT99" s="60" t="n"/>
      <c r="BU99" s="60" t="n"/>
      <c r="BV99" s="60">
        <f>BU99-BT99</f>
        <v/>
      </c>
      <c r="BW99" s="61">
        <f>IF(BT99=0,"",BU99/BT99)</f>
        <v/>
      </c>
      <c r="BX99" s="27" t="n"/>
      <c r="BY99" s="62" t="n"/>
      <c r="BZ99" s="62" t="n"/>
      <c r="CA99" s="62">
        <f>BZ99-BY99</f>
        <v/>
      </c>
      <c r="CB99" s="64">
        <f>IF(BY99=0,"",BZ99/BY99)</f>
        <v/>
      </c>
      <c r="CC99" s="31" t="n"/>
      <c r="CD99" s="60" t="n"/>
      <c r="CE99" s="60" t="n"/>
      <c r="CF99" s="60">
        <f>CE99-CD99</f>
        <v/>
      </c>
      <c r="CG99" s="61">
        <f>IF(CD99=0,"",CE99/CD99)</f>
        <v/>
      </c>
      <c r="CH99" s="27" t="n"/>
      <c r="CI99" s="62" t="n"/>
      <c r="CJ99" s="62" t="n"/>
      <c r="CK99" s="62">
        <f>CJ99-CI99</f>
        <v/>
      </c>
      <c r="CL99" s="64">
        <f>IF(CI99=0,"",CJ99/CI99)</f>
        <v/>
      </c>
      <c r="CM99" s="31" t="n"/>
      <c r="CN99" s="60" t="n"/>
      <c r="CO99" s="60" t="n"/>
      <c r="CP99" s="60">
        <f>CO99-CN99</f>
        <v/>
      </c>
      <c r="CQ99" s="61">
        <f>IF(CN99=0,"",CO99/CN99)</f>
        <v/>
      </c>
      <c r="CR99" s="27" t="n"/>
      <c r="CS99" s="62" t="n"/>
      <c r="CT99" s="62" t="n"/>
      <c r="CU99" s="62">
        <f>CT99-CS99</f>
        <v/>
      </c>
      <c r="CV99" s="64">
        <f>IF(CS99=0,"",CT99/CS99)</f>
        <v/>
      </c>
      <c r="CW99" s="31" t="n"/>
      <c r="CX99" s="60" t="n"/>
      <c r="CY99" s="60" t="n"/>
      <c r="CZ99" s="60">
        <f>CY99-CX99</f>
        <v/>
      </c>
      <c r="DA99" s="61">
        <f>IF(CX99=0,"",CY99/CX99)</f>
        <v/>
      </c>
      <c r="DB99" s="27" t="n"/>
      <c r="DC99" s="62" t="n"/>
      <c r="DD99" s="62" t="n"/>
      <c r="DE99" s="62">
        <f>DD99-DC99</f>
        <v/>
      </c>
      <c r="DF99" s="64">
        <f>IF(DC99=0,"",DD99/DC99)</f>
        <v/>
      </c>
      <c r="DG99" s="31" t="n"/>
      <c r="DH99" s="60" t="n"/>
      <c r="DI99" s="60" t="n"/>
      <c r="DJ99" s="60">
        <f>DI99-DH99</f>
        <v/>
      </c>
      <c r="DK99" s="61">
        <f>IF(DH99=0,"",DI99/DH99)</f>
        <v/>
      </c>
      <c r="DL99" s="27" t="n"/>
      <c r="DM99" s="62" t="n"/>
      <c r="DN99" s="62" t="n"/>
      <c r="DO99" s="62">
        <f>DN99-DM99</f>
        <v/>
      </c>
      <c r="DP99" s="64">
        <f>IF(DM99=0,"",DN99/DM99)</f>
        <v/>
      </c>
      <c r="DQ99" s="31" t="n"/>
      <c r="DR99" s="60" t="n"/>
    </row>
    <row r="100" outlineLevel="1" ht="15" customHeight="1">
      <c r="A100" s="24" t="n"/>
      <c r="B100" s="24" t="n"/>
      <c r="C100" s="24" t="n"/>
      <c r="D100" s="24" t="n"/>
      <c r="E100" s="24" t="n"/>
      <c r="F100" s="24" t="n"/>
      <c r="G100" s="60" t="n"/>
      <c r="H100" s="60" t="n"/>
      <c r="I100" s="60">
        <f>H100-G100</f>
        <v/>
      </c>
      <c r="J100" s="61">
        <f>IF(G100=0,"",H100/G100)</f>
        <v/>
      </c>
      <c r="K100" s="27" t="n"/>
      <c r="L100" s="60" t="n"/>
      <c r="M100" s="60" t="n"/>
      <c r="N100" s="60">
        <f>M100-L100</f>
        <v/>
      </c>
      <c r="O100" s="61">
        <f>IF(L100=0,"",M100/L100)</f>
        <v/>
      </c>
      <c r="P100" s="27" t="n"/>
      <c r="Q100" s="62" t="n"/>
      <c r="R100" s="62" t="n"/>
      <c r="S100" s="62">
        <f>R100-Q100</f>
        <v/>
      </c>
      <c r="T100" s="64">
        <f>IF(Q100=0,"",R100/Q100)</f>
        <v/>
      </c>
      <c r="U100" s="31" t="n"/>
      <c r="V100" s="60" t="n"/>
      <c r="W100" s="60" t="n"/>
      <c r="X100" s="60">
        <f>W100-V100</f>
        <v/>
      </c>
      <c r="Y100" s="61">
        <f>IF(V100=0,"",W100/V100)</f>
        <v/>
      </c>
      <c r="Z100" s="27" t="n"/>
      <c r="AA100" s="62" t="n"/>
      <c r="AB100" s="62" t="n"/>
      <c r="AC100" s="62">
        <f>AB100-AA100</f>
        <v/>
      </c>
      <c r="AD100" s="64">
        <f>IF(AA100=0,"",AB100/AA100)</f>
        <v/>
      </c>
      <c r="AE100" s="31" t="n"/>
      <c r="AF100" s="60" t="n"/>
      <c r="AG100" s="60" t="n"/>
      <c r="AH100" s="60">
        <f>AG100-AF100</f>
        <v/>
      </c>
      <c r="AI100" s="61">
        <f>IF(AF100=0,"",AG100/AF100)</f>
        <v/>
      </c>
      <c r="AJ100" s="27" t="n"/>
      <c r="AK100" s="62" t="n"/>
      <c r="AL100" s="62" t="n"/>
      <c r="AM100" s="62">
        <f>AL100-AK100</f>
        <v/>
      </c>
      <c r="AN100" s="64">
        <f>IF(AK100=0,"",AL100/AK100)</f>
        <v/>
      </c>
      <c r="AO100" s="31" t="n"/>
      <c r="AP100" s="60" t="n"/>
      <c r="AQ100" s="60" t="n"/>
      <c r="AR100" s="60">
        <f>AQ100-AP100</f>
        <v/>
      </c>
      <c r="AS100" s="61">
        <f>IF(AP100=0,"",AQ100/AP100)</f>
        <v/>
      </c>
      <c r="AT100" s="27" t="n"/>
      <c r="AU100" s="62" t="n"/>
      <c r="AV100" s="62" t="n"/>
      <c r="AW100" s="62">
        <f>AV100-AU100</f>
        <v/>
      </c>
      <c r="AX100" s="64">
        <f>IF(AU100=0,"",AV100/AU100)</f>
        <v/>
      </c>
      <c r="AY100" s="31" t="n"/>
      <c r="AZ100" s="60" t="n"/>
      <c r="BA100" s="60" t="n"/>
      <c r="BB100" s="60">
        <f>BA100-AZ100</f>
        <v/>
      </c>
      <c r="BC100" s="61">
        <f>IF(AZ100=0,"",BA100/AZ100)</f>
        <v/>
      </c>
      <c r="BD100" s="27" t="n"/>
      <c r="BE100" s="62" t="n"/>
      <c r="BF100" s="62" t="n"/>
      <c r="BG100" s="62">
        <f>BF100-BE100</f>
        <v/>
      </c>
      <c r="BH100" s="64">
        <f>IF(BE100=0,"",BF100/BE100)</f>
        <v/>
      </c>
      <c r="BI100" s="31" t="n"/>
      <c r="BJ100" s="60" t="n"/>
      <c r="BK100" s="60" t="n"/>
      <c r="BL100" s="60">
        <f>BK100-BJ100</f>
        <v/>
      </c>
      <c r="BM100" s="61">
        <f>IF(BJ100=0,"",BK100/BJ100)</f>
        <v/>
      </c>
      <c r="BN100" s="27" t="n"/>
      <c r="BO100" s="62" t="n"/>
      <c r="BP100" s="62" t="n"/>
      <c r="BQ100" s="62">
        <f>BP100-BO100</f>
        <v/>
      </c>
      <c r="BR100" s="64">
        <f>IF(BO100=0,"",BP100/BO100)</f>
        <v/>
      </c>
      <c r="BS100" s="31" t="n"/>
      <c r="BT100" s="60" t="n"/>
      <c r="BU100" s="60" t="n"/>
      <c r="BV100" s="60">
        <f>BU100-BT100</f>
        <v/>
      </c>
      <c r="BW100" s="61">
        <f>IF(BT100=0,"",BU100/BT100)</f>
        <v/>
      </c>
      <c r="BX100" s="27" t="n"/>
      <c r="BY100" s="62" t="n"/>
      <c r="BZ100" s="62" t="n"/>
      <c r="CA100" s="62">
        <f>BZ100-BY100</f>
        <v/>
      </c>
      <c r="CB100" s="64">
        <f>IF(BY100=0,"",BZ100/BY100)</f>
        <v/>
      </c>
      <c r="CC100" s="31" t="n"/>
      <c r="CD100" s="60" t="n"/>
      <c r="CE100" s="60" t="n"/>
      <c r="CF100" s="60">
        <f>CE100-CD100</f>
        <v/>
      </c>
      <c r="CG100" s="61">
        <f>IF(CD100=0,"",CE100/CD100)</f>
        <v/>
      </c>
      <c r="CH100" s="27" t="n"/>
      <c r="CI100" s="62" t="n"/>
      <c r="CJ100" s="62" t="n"/>
      <c r="CK100" s="62">
        <f>CJ100-CI100</f>
        <v/>
      </c>
      <c r="CL100" s="64">
        <f>IF(CI100=0,"",CJ100/CI100)</f>
        <v/>
      </c>
      <c r="CM100" s="31" t="n"/>
      <c r="CN100" s="60" t="n"/>
      <c r="CO100" s="60" t="n"/>
      <c r="CP100" s="60">
        <f>CO100-CN100</f>
        <v/>
      </c>
      <c r="CQ100" s="61">
        <f>IF(CN100=0,"",CO100/CN100)</f>
        <v/>
      </c>
      <c r="CR100" s="27" t="n"/>
      <c r="CS100" s="62" t="n"/>
      <c r="CT100" s="62" t="n"/>
      <c r="CU100" s="62">
        <f>CT100-CS100</f>
        <v/>
      </c>
      <c r="CV100" s="64">
        <f>IF(CS100=0,"",CT100/CS100)</f>
        <v/>
      </c>
      <c r="CW100" s="31" t="n"/>
      <c r="CX100" s="60" t="n"/>
      <c r="CY100" s="60" t="n"/>
      <c r="CZ100" s="60">
        <f>CY100-CX100</f>
        <v/>
      </c>
      <c r="DA100" s="61">
        <f>IF(CX100=0,"",CY100/CX100)</f>
        <v/>
      </c>
      <c r="DB100" s="27" t="n"/>
      <c r="DC100" s="62" t="n"/>
      <c r="DD100" s="62" t="n"/>
      <c r="DE100" s="62">
        <f>DD100-DC100</f>
        <v/>
      </c>
      <c r="DF100" s="64">
        <f>IF(DC100=0,"",DD100/DC100)</f>
        <v/>
      </c>
      <c r="DG100" s="31" t="n"/>
      <c r="DH100" s="60" t="n"/>
      <c r="DI100" s="60" t="n"/>
      <c r="DJ100" s="60">
        <f>DI100-DH100</f>
        <v/>
      </c>
      <c r="DK100" s="61">
        <f>IF(DH100=0,"",DI100/DH100)</f>
        <v/>
      </c>
      <c r="DL100" s="27" t="n"/>
      <c r="DM100" s="62" t="n"/>
      <c r="DN100" s="62" t="n"/>
      <c r="DO100" s="62">
        <f>DN100-DM100</f>
        <v/>
      </c>
      <c r="DP100" s="64">
        <f>IF(DM100=0,"",DN100/DM100)</f>
        <v/>
      </c>
      <c r="DQ100" s="31" t="n"/>
      <c r="DR100" s="60" t="n"/>
    </row>
    <row r="101" outlineLevel="1" ht="15" customHeight="1">
      <c r="A101" s="24" t="n"/>
      <c r="B101" s="24" t="n"/>
      <c r="C101" s="24" t="n"/>
      <c r="D101" s="24" t="n"/>
      <c r="E101" s="24" t="n"/>
      <c r="F101" s="24" t="n"/>
      <c r="G101" s="60" t="n"/>
      <c r="H101" s="60" t="n"/>
      <c r="I101" s="60">
        <f>H101-G101</f>
        <v/>
      </c>
      <c r="J101" s="61">
        <f>IF(G101=0,"",H101/G101)</f>
        <v/>
      </c>
      <c r="K101" s="27" t="n"/>
      <c r="L101" s="60" t="n"/>
      <c r="M101" s="60" t="n"/>
      <c r="N101" s="60">
        <f>M101-L101</f>
        <v/>
      </c>
      <c r="O101" s="61">
        <f>IF(L101=0,"",M101/L101)</f>
        <v/>
      </c>
      <c r="P101" s="27" t="n"/>
      <c r="Q101" s="62" t="n"/>
      <c r="R101" s="62" t="n"/>
      <c r="S101" s="62">
        <f>R101-Q101</f>
        <v/>
      </c>
      <c r="T101" s="64">
        <f>IF(Q101=0,"",R101/Q101)</f>
        <v/>
      </c>
      <c r="U101" s="31" t="n"/>
      <c r="V101" s="60" t="n"/>
      <c r="W101" s="60" t="n"/>
      <c r="X101" s="60">
        <f>W101-V101</f>
        <v/>
      </c>
      <c r="Y101" s="61">
        <f>IF(V101=0,"",W101/V101)</f>
        <v/>
      </c>
      <c r="Z101" s="27" t="n"/>
      <c r="AA101" s="62" t="n"/>
      <c r="AB101" s="62" t="n"/>
      <c r="AC101" s="62">
        <f>AB101-AA101</f>
        <v/>
      </c>
      <c r="AD101" s="64">
        <f>IF(AA101=0,"",AB101/AA101)</f>
        <v/>
      </c>
      <c r="AE101" s="31" t="n"/>
      <c r="AF101" s="60" t="n"/>
      <c r="AG101" s="60" t="n"/>
      <c r="AH101" s="60">
        <f>AG101-AF101</f>
        <v/>
      </c>
      <c r="AI101" s="61">
        <f>IF(AF101=0,"",AG101/AF101)</f>
        <v/>
      </c>
      <c r="AJ101" s="27" t="n"/>
      <c r="AK101" s="62" t="n"/>
      <c r="AL101" s="62" t="n"/>
      <c r="AM101" s="62">
        <f>AL101-AK101</f>
        <v/>
      </c>
      <c r="AN101" s="64">
        <f>IF(AK101=0,"",AL101/AK101)</f>
        <v/>
      </c>
      <c r="AO101" s="31" t="n"/>
      <c r="AP101" s="60" t="n"/>
      <c r="AQ101" s="60" t="n"/>
      <c r="AR101" s="60">
        <f>AQ101-AP101</f>
        <v/>
      </c>
      <c r="AS101" s="61">
        <f>IF(AP101=0,"",AQ101/AP101)</f>
        <v/>
      </c>
      <c r="AT101" s="27" t="n"/>
      <c r="AU101" s="62" t="n"/>
      <c r="AV101" s="62" t="n"/>
      <c r="AW101" s="62">
        <f>AV101-AU101</f>
        <v/>
      </c>
      <c r="AX101" s="64">
        <f>IF(AU101=0,"",AV101/AU101)</f>
        <v/>
      </c>
      <c r="AY101" s="31" t="n"/>
      <c r="AZ101" s="60" t="n"/>
      <c r="BA101" s="60" t="n"/>
      <c r="BB101" s="60">
        <f>BA101-AZ101</f>
        <v/>
      </c>
      <c r="BC101" s="61">
        <f>IF(AZ101=0,"",BA101/AZ101)</f>
        <v/>
      </c>
      <c r="BD101" s="27" t="n"/>
      <c r="BE101" s="62" t="n"/>
      <c r="BF101" s="62" t="n"/>
      <c r="BG101" s="62">
        <f>BF101-BE101</f>
        <v/>
      </c>
      <c r="BH101" s="64">
        <f>IF(BE101=0,"",BF101/BE101)</f>
        <v/>
      </c>
      <c r="BI101" s="31" t="n"/>
      <c r="BJ101" s="60" t="n"/>
      <c r="BK101" s="60" t="n"/>
      <c r="BL101" s="60">
        <f>BK101-BJ101</f>
        <v/>
      </c>
      <c r="BM101" s="61">
        <f>IF(BJ101=0,"",BK101/BJ101)</f>
        <v/>
      </c>
      <c r="BN101" s="27" t="n"/>
      <c r="BO101" s="62" t="n"/>
      <c r="BP101" s="62" t="n"/>
      <c r="BQ101" s="62">
        <f>BP101-BO101</f>
        <v/>
      </c>
      <c r="BR101" s="64">
        <f>IF(BO101=0,"",BP101/BO101)</f>
        <v/>
      </c>
      <c r="BS101" s="31" t="n"/>
      <c r="BT101" s="60" t="n"/>
      <c r="BU101" s="60" t="n"/>
      <c r="BV101" s="60">
        <f>BU101-BT101</f>
        <v/>
      </c>
      <c r="BW101" s="61">
        <f>IF(BT101=0,"",BU101/BT101)</f>
        <v/>
      </c>
      <c r="BX101" s="27" t="n"/>
      <c r="BY101" s="62" t="n"/>
      <c r="BZ101" s="62" t="n"/>
      <c r="CA101" s="62">
        <f>BZ101-BY101</f>
        <v/>
      </c>
      <c r="CB101" s="64">
        <f>IF(BY101=0,"",BZ101/BY101)</f>
        <v/>
      </c>
      <c r="CC101" s="31" t="n"/>
      <c r="CD101" s="60" t="n"/>
      <c r="CE101" s="60" t="n"/>
      <c r="CF101" s="60">
        <f>CE101-CD101</f>
        <v/>
      </c>
      <c r="CG101" s="61">
        <f>IF(CD101=0,"",CE101/CD101)</f>
        <v/>
      </c>
      <c r="CH101" s="27" t="n"/>
      <c r="CI101" s="62" t="n"/>
      <c r="CJ101" s="62" t="n"/>
      <c r="CK101" s="62">
        <f>CJ101-CI101</f>
        <v/>
      </c>
      <c r="CL101" s="64">
        <f>IF(CI101=0,"",CJ101/CI101)</f>
        <v/>
      </c>
      <c r="CM101" s="31" t="n"/>
      <c r="CN101" s="60" t="n"/>
      <c r="CO101" s="60" t="n"/>
      <c r="CP101" s="60">
        <f>CO101-CN101</f>
        <v/>
      </c>
      <c r="CQ101" s="61">
        <f>IF(CN101=0,"",CO101/CN101)</f>
        <v/>
      </c>
      <c r="CR101" s="27" t="n"/>
      <c r="CS101" s="62" t="n"/>
      <c r="CT101" s="62" t="n"/>
      <c r="CU101" s="62">
        <f>CT101-CS101</f>
        <v/>
      </c>
      <c r="CV101" s="64">
        <f>IF(CS101=0,"",CT101/CS101)</f>
        <v/>
      </c>
      <c r="CW101" s="31" t="n"/>
      <c r="CX101" s="60" t="n"/>
      <c r="CY101" s="60" t="n"/>
      <c r="CZ101" s="60">
        <f>CY101-CX101</f>
        <v/>
      </c>
      <c r="DA101" s="61">
        <f>IF(CX101=0,"",CY101/CX101)</f>
        <v/>
      </c>
      <c r="DB101" s="27" t="n"/>
      <c r="DC101" s="62" t="n"/>
      <c r="DD101" s="62" t="n"/>
      <c r="DE101" s="62">
        <f>DD101-DC101</f>
        <v/>
      </c>
      <c r="DF101" s="64">
        <f>IF(DC101=0,"",DD101/DC101)</f>
        <v/>
      </c>
      <c r="DG101" s="31" t="n"/>
      <c r="DH101" s="60" t="n"/>
      <c r="DI101" s="60" t="n"/>
      <c r="DJ101" s="60">
        <f>DI101-DH101</f>
        <v/>
      </c>
      <c r="DK101" s="61">
        <f>IF(DH101=0,"",DI101/DH101)</f>
        <v/>
      </c>
      <c r="DL101" s="27" t="n"/>
      <c r="DM101" s="62" t="n"/>
      <c r="DN101" s="62" t="n"/>
      <c r="DO101" s="62">
        <f>DN101-DM101</f>
        <v/>
      </c>
      <c r="DP101" s="64">
        <f>IF(DM101=0,"",DN101/DM101)</f>
        <v/>
      </c>
      <c r="DQ101" s="31" t="n"/>
      <c r="DR101" s="60" t="n"/>
    </row>
    <row r="102" outlineLevel="1" ht="15" customHeight="1">
      <c r="A102" s="24" t="n"/>
      <c r="B102" s="24" t="n"/>
      <c r="C102" s="24" t="n"/>
      <c r="D102" s="24" t="n"/>
      <c r="E102" s="24" t="n"/>
      <c r="F102" s="24" t="n"/>
      <c r="G102" s="60" t="n"/>
      <c r="H102" s="60" t="n"/>
      <c r="I102" s="60">
        <f>H102-G102</f>
        <v/>
      </c>
      <c r="J102" s="61">
        <f>IF(G102=0,"",H102/G102)</f>
        <v/>
      </c>
      <c r="K102" s="27" t="n"/>
      <c r="L102" s="60" t="n"/>
      <c r="M102" s="60" t="n"/>
      <c r="N102" s="60">
        <f>M102-L102</f>
        <v/>
      </c>
      <c r="O102" s="61">
        <f>IF(L102=0,"",M102/L102)</f>
        <v/>
      </c>
      <c r="P102" s="27" t="n"/>
      <c r="Q102" s="62" t="n"/>
      <c r="R102" s="62" t="n"/>
      <c r="S102" s="62">
        <f>R102-Q102</f>
        <v/>
      </c>
      <c r="T102" s="64">
        <f>IF(Q102=0,"",R102/Q102)</f>
        <v/>
      </c>
      <c r="U102" s="31" t="n"/>
      <c r="V102" s="60" t="n"/>
      <c r="W102" s="60" t="n"/>
      <c r="X102" s="60">
        <f>W102-V102</f>
        <v/>
      </c>
      <c r="Y102" s="61">
        <f>IF(V102=0,"",W102/V102)</f>
        <v/>
      </c>
      <c r="Z102" s="27" t="n"/>
      <c r="AA102" s="62" t="n"/>
      <c r="AB102" s="62" t="n"/>
      <c r="AC102" s="62">
        <f>AB102-AA102</f>
        <v/>
      </c>
      <c r="AD102" s="64">
        <f>IF(AA102=0,"",AB102/AA102)</f>
        <v/>
      </c>
      <c r="AE102" s="31" t="n"/>
      <c r="AF102" s="60" t="n"/>
      <c r="AG102" s="60" t="n"/>
      <c r="AH102" s="60">
        <f>AG102-AF102</f>
        <v/>
      </c>
      <c r="AI102" s="61">
        <f>IF(AF102=0,"",AG102/AF102)</f>
        <v/>
      </c>
      <c r="AJ102" s="27" t="n"/>
      <c r="AK102" s="62" t="n"/>
      <c r="AL102" s="62" t="n"/>
      <c r="AM102" s="62">
        <f>AL102-AK102</f>
        <v/>
      </c>
      <c r="AN102" s="64">
        <f>IF(AK102=0,"",AL102/AK102)</f>
        <v/>
      </c>
      <c r="AO102" s="31" t="n"/>
      <c r="AP102" s="60" t="n"/>
      <c r="AQ102" s="60" t="n"/>
      <c r="AR102" s="60">
        <f>AQ102-AP102</f>
        <v/>
      </c>
      <c r="AS102" s="61">
        <f>IF(AP102=0,"",AQ102/AP102)</f>
        <v/>
      </c>
      <c r="AT102" s="27" t="n"/>
      <c r="AU102" s="62" t="n"/>
      <c r="AV102" s="62" t="n"/>
      <c r="AW102" s="62">
        <f>AV102-AU102</f>
        <v/>
      </c>
      <c r="AX102" s="64">
        <f>IF(AU102=0,"",AV102/AU102)</f>
        <v/>
      </c>
      <c r="AY102" s="31" t="n"/>
      <c r="AZ102" s="60" t="n"/>
      <c r="BA102" s="60" t="n"/>
      <c r="BB102" s="60">
        <f>BA102-AZ102</f>
        <v/>
      </c>
      <c r="BC102" s="61">
        <f>IF(AZ102=0,"",BA102/AZ102)</f>
        <v/>
      </c>
      <c r="BD102" s="27" t="n"/>
      <c r="BE102" s="62" t="n"/>
      <c r="BF102" s="62" t="n"/>
      <c r="BG102" s="62">
        <f>BF102-BE102</f>
        <v/>
      </c>
      <c r="BH102" s="64">
        <f>IF(BE102=0,"",BF102/BE102)</f>
        <v/>
      </c>
      <c r="BI102" s="31" t="n"/>
      <c r="BJ102" s="60" t="n"/>
      <c r="BK102" s="60" t="n"/>
      <c r="BL102" s="60">
        <f>BK102-BJ102</f>
        <v/>
      </c>
      <c r="BM102" s="61">
        <f>IF(BJ102=0,"",BK102/BJ102)</f>
        <v/>
      </c>
      <c r="BN102" s="27" t="n"/>
      <c r="BO102" s="62" t="n"/>
      <c r="BP102" s="62" t="n"/>
      <c r="BQ102" s="62">
        <f>BP102-BO102</f>
        <v/>
      </c>
      <c r="BR102" s="64">
        <f>IF(BO102=0,"",BP102/BO102)</f>
        <v/>
      </c>
      <c r="BS102" s="31" t="n"/>
      <c r="BT102" s="60" t="n"/>
      <c r="BU102" s="60" t="n"/>
      <c r="BV102" s="60">
        <f>BU102-BT102</f>
        <v/>
      </c>
      <c r="BW102" s="61">
        <f>IF(BT102=0,"",BU102/BT102)</f>
        <v/>
      </c>
      <c r="BX102" s="27" t="n"/>
      <c r="BY102" s="62" t="n"/>
      <c r="BZ102" s="62" t="n"/>
      <c r="CA102" s="62">
        <f>BZ102-BY102</f>
        <v/>
      </c>
      <c r="CB102" s="64">
        <f>IF(BY102=0,"",BZ102/BY102)</f>
        <v/>
      </c>
      <c r="CC102" s="31" t="n"/>
      <c r="CD102" s="60" t="n"/>
      <c r="CE102" s="60" t="n"/>
      <c r="CF102" s="60">
        <f>CE102-CD102</f>
        <v/>
      </c>
      <c r="CG102" s="61">
        <f>IF(CD102=0,"",CE102/CD102)</f>
        <v/>
      </c>
      <c r="CH102" s="27" t="n"/>
      <c r="CI102" s="62" t="n"/>
      <c r="CJ102" s="62" t="n"/>
      <c r="CK102" s="62">
        <f>CJ102-CI102</f>
        <v/>
      </c>
      <c r="CL102" s="64">
        <f>IF(CI102=0,"",CJ102/CI102)</f>
        <v/>
      </c>
      <c r="CM102" s="31" t="n"/>
      <c r="CN102" s="60" t="n"/>
      <c r="CO102" s="60" t="n"/>
      <c r="CP102" s="60">
        <f>CO102-CN102</f>
        <v/>
      </c>
      <c r="CQ102" s="61">
        <f>IF(CN102=0,"",CO102/CN102)</f>
        <v/>
      </c>
      <c r="CR102" s="27" t="n"/>
      <c r="CS102" s="62" t="n"/>
      <c r="CT102" s="62" t="n"/>
      <c r="CU102" s="62">
        <f>CT102-CS102</f>
        <v/>
      </c>
      <c r="CV102" s="64">
        <f>IF(CS102=0,"",CT102/CS102)</f>
        <v/>
      </c>
      <c r="CW102" s="31" t="n"/>
      <c r="CX102" s="60" t="n"/>
      <c r="CY102" s="60" t="n"/>
      <c r="CZ102" s="60">
        <f>CY102-CX102</f>
        <v/>
      </c>
      <c r="DA102" s="61">
        <f>IF(CX102=0,"",CY102/CX102)</f>
        <v/>
      </c>
      <c r="DB102" s="27" t="n"/>
      <c r="DC102" s="62" t="n"/>
      <c r="DD102" s="62" t="n"/>
      <c r="DE102" s="62">
        <f>DD102-DC102</f>
        <v/>
      </c>
      <c r="DF102" s="64">
        <f>IF(DC102=0,"",DD102/DC102)</f>
        <v/>
      </c>
      <c r="DG102" s="31" t="n"/>
      <c r="DH102" s="60" t="n"/>
      <c r="DI102" s="60" t="n"/>
      <c r="DJ102" s="60">
        <f>DI102-DH102</f>
        <v/>
      </c>
      <c r="DK102" s="61">
        <f>IF(DH102=0,"",DI102/DH102)</f>
        <v/>
      </c>
      <c r="DL102" s="27" t="n"/>
      <c r="DM102" s="62" t="n"/>
      <c r="DN102" s="62" t="n"/>
      <c r="DO102" s="62">
        <f>DN102-DM102</f>
        <v/>
      </c>
      <c r="DP102" s="64">
        <f>IF(DM102=0,"",DN102/DM102)</f>
        <v/>
      </c>
      <c r="DQ102" s="31" t="n"/>
      <c r="DR102" s="60" t="n"/>
    </row>
    <row r="103" ht="15" customHeight="1">
      <c r="A103" s="32" t="n"/>
      <c r="B103" s="32" t="n"/>
      <c r="C103" s="32" t="n"/>
      <c r="D103" s="32" t="n"/>
      <c r="E103" s="32" t="n"/>
      <c r="F103" s="32" t="n"/>
      <c r="G103" s="65">
        <f>G104+G105</f>
        <v/>
      </c>
      <c r="H103" s="65">
        <f>H104+H105</f>
        <v/>
      </c>
      <c r="I103" s="65">
        <f>H103-G103</f>
        <v/>
      </c>
      <c r="J103" s="66">
        <f>IF(G103=0,"",H103/G103)</f>
        <v/>
      </c>
      <c r="K103" s="35" t="n"/>
      <c r="L103" s="65">
        <f>L104+L105</f>
        <v/>
      </c>
      <c r="M103" s="65">
        <f>M104+M105</f>
        <v/>
      </c>
      <c r="N103" s="65">
        <f>M103-L103</f>
        <v/>
      </c>
      <c r="O103" s="66">
        <f>IF(L103=0,"",M103/L103)</f>
        <v/>
      </c>
      <c r="P103" s="35" t="n"/>
      <c r="Q103" s="65">
        <f>Q104+Q105</f>
        <v/>
      </c>
      <c r="R103" s="65">
        <f>R104+R105</f>
        <v/>
      </c>
      <c r="S103" s="65">
        <f>R103-Q103</f>
        <v/>
      </c>
      <c r="T103" s="66">
        <f>IF(Q103=0,"",R103/Q103)</f>
        <v/>
      </c>
      <c r="U103" s="35" t="n"/>
      <c r="V103" s="65">
        <f>V104+V105</f>
        <v/>
      </c>
      <c r="W103" s="65">
        <f>W104+W105</f>
        <v/>
      </c>
      <c r="X103" s="65">
        <f>W103-V103</f>
        <v/>
      </c>
      <c r="Y103" s="66">
        <f>IF(V103=0,"",W103/V103)</f>
        <v/>
      </c>
      <c r="Z103" s="35" t="n"/>
      <c r="AA103" s="65">
        <f>AA104+AA105</f>
        <v/>
      </c>
      <c r="AB103" s="65">
        <f>AB104+AB105</f>
        <v/>
      </c>
      <c r="AC103" s="65">
        <f>AB103-AA103</f>
        <v/>
      </c>
      <c r="AD103" s="66">
        <f>IF(AA103=0,"",AB103/AA103)</f>
        <v/>
      </c>
      <c r="AE103" s="35" t="n"/>
      <c r="AF103" s="65">
        <f>AF104+AF105</f>
        <v/>
      </c>
      <c r="AG103" s="65">
        <f>AG104+AG105</f>
        <v/>
      </c>
      <c r="AH103" s="65">
        <f>AG103-AF103</f>
        <v/>
      </c>
      <c r="AI103" s="66">
        <f>IF(AF103=0,"",AG103/AF103)</f>
        <v/>
      </c>
      <c r="AJ103" s="35" t="n"/>
      <c r="AK103" s="65">
        <f>AK104+AK105</f>
        <v/>
      </c>
      <c r="AL103" s="65">
        <f>AL104+AL105</f>
        <v/>
      </c>
      <c r="AM103" s="65">
        <f>AL103-AK103</f>
        <v/>
      </c>
      <c r="AN103" s="66">
        <f>IF(AK103=0,"",AL103/AK103)</f>
        <v/>
      </c>
      <c r="AO103" s="35" t="n"/>
      <c r="AP103" s="65">
        <f>AP104+AP105</f>
        <v/>
      </c>
      <c r="AQ103" s="65">
        <f>AQ104+AQ105</f>
        <v/>
      </c>
      <c r="AR103" s="65">
        <f>AQ103-AP103</f>
        <v/>
      </c>
      <c r="AS103" s="66">
        <f>IF(AP103=0,"",AQ103/AP103)</f>
        <v/>
      </c>
      <c r="AT103" s="35" t="n"/>
      <c r="AU103" s="65">
        <f>AU104+AU105</f>
        <v/>
      </c>
      <c r="AV103" s="65">
        <f>AV104+AV105</f>
        <v/>
      </c>
      <c r="AW103" s="65">
        <f>AV103-AU103</f>
        <v/>
      </c>
      <c r="AX103" s="66">
        <f>IF(AU103=0,"",AV103/AU103)</f>
        <v/>
      </c>
      <c r="AY103" s="35" t="n"/>
      <c r="AZ103" s="65">
        <f>AZ104+AZ105</f>
        <v/>
      </c>
      <c r="BA103" s="65">
        <f>BA104+BA105</f>
        <v/>
      </c>
      <c r="BB103" s="65">
        <f>BA103-AZ103</f>
        <v/>
      </c>
      <c r="BC103" s="66">
        <f>IF(AZ103=0,"",BA103/AZ103)</f>
        <v/>
      </c>
      <c r="BD103" s="35" t="n"/>
      <c r="BE103" s="65">
        <f>BE104+BE105</f>
        <v/>
      </c>
      <c r="BF103" s="65">
        <f>BF104+BF105</f>
        <v/>
      </c>
      <c r="BG103" s="65">
        <f>BF103-BE103</f>
        <v/>
      </c>
      <c r="BH103" s="66">
        <f>IF(BE103=0,"",BF103/BE103)</f>
        <v/>
      </c>
      <c r="BI103" s="35" t="n"/>
      <c r="BJ103" s="65">
        <f>BJ104+BJ105</f>
        <v/>
      </c>
      <c r="BK103" s="65">
        <f>BK104+BK105</f>
        <v/>
      </c>
      <c r="BL103" s="65">
        <f>BK103-BJ103</f>
        <v/>
      </c>
      <c r="BM103" s="66">
        <f>IF(BJ103=0,"",BK103/BJ103)</f>
        <v/>
      </c>
      <c r="BN103" s="35" t="n"/>
      <c r="BO103" s="65">
        <f>BO104+BO105</f>
        <v/>
      </c>
      <c r="BP103" s="65">
        <f>BP104+BP105</f>
        <v/>
      </c>
      <c r="BQ103" s="65">
        <f>BP103-BO103</f>
        <v/>
      </c>
      <c r="BR103" s="66">
        <f>IF(BO103=0,"",BP103/BO103)</f>
        <v/>
      </c>
      <c r="BS103" s="35" t="n"/>
      <c r="BT103" s="65">
        <f>BT104+BT105</f>
        <v/>
      </c>
      <c r="BU103" s="65">
        <f>BU104+BU105</f>
        <v/>
      </c>
      <c r="BV103" s="65">
        <f>BU103-BT103</f>
        <v/>
      </c>
      <c r="BW103" s="66">
        <f>IF(BT103=0,"",BU103/BT103)</f>
        <v/>
      </c>
      <c r="BX103" s="35" t="n"/>
      <c r="BY103" s="65">
        <f>BY104+BY105</f>
        <v/>
      </c>
      <c r="BZ103" s="65">
        <f>BZ104+BZ105</f>
        <v/>
      </c>
      <c r="CA103" s="65">
        <f>BZ103-BY103</f>
        <v/>
      </c>
      <c r="CB103" s="66">
        <f>IF(BY103=0,"",BZ103/BY103)</f>
        <v/>
      </c>
      <c r="CC103" s="35" t="n"/>
      <c r="CD103" s="65">
        <f>CD104+CD105</f>
        <v/>
      </c>
      <c r="CE103" s="65">
        <f>CE104+CE105</f>
        <v/>
      </c>
      <c r="CF103" s="65">
        <f>CE103-CD103</f>
        <v/>
      </c>
      <c r="CG103" s="66">
        <f>IF(CD103=0,"",CE103/CD103)</f>
        <v/>
      </c>
      <c r="CH103" s="35" t="n"/>
      <c r="CI103" s="65">
        <f>CI104+CI105</f>
        <v/>
      </c>
      <c r="CJ103" s="65">
        <f>CJ104+CJ105</f>
        <v/>
      </c>
      <c r="CK103" s="65">
        <f>CJ103-CI103</f>
        <v/>
      </c>
      <c r="CL103" s="66">
        <f>IF(CI103=0,"",CJ103/CI103)</f>
        <v/>
      </c>
      <c r="CM103" s="35" t="n"/>
      <c r="CN103" s="65">
        <f>CN104+CN105</f>
        <v/>
      </c>
      <c r="CO103" s="65">
        <f>CO104+CO105</f>
        <v/>
      </c>
      <c r="CP103" s="65">
        <f>CO103-CN103</f>
        <v/>
      </c>
      <c r="CQ103" s="66">
        <f>IF(CN103=0,"",CO103/CN103)</f>
        <v/>
      </c>
      <c r="CR103" s="35" t="n"/>
      <c r="CS103" s="65">
        <f>CS104+CS105</f>
        <v/>
      </c>
      <c r="CT103" s="65">
        <f>CT104+CT105</f>
        <v/>
      </c>
      <c r="CU103" s="65">
        <f>CT103-CS103</f>
        <v/>
      </c>
      <c r="CV103" s="66">
        <f>IF(CS103=0,"",CT103/CS103)</f>
        <v/>
      </c>
      <c r="CW103" s="35" t="n"/>
      <c r="CX103" s="65">
        <f>CX104+CX105</f>
        <v/>
      </c>
      <c r="CY103" s="65">
        <f>CY104+CY105</f>
        <v/>
      </c>
      <c r="CZ103" s="65">
        <f>CY103-CX103</f>
        <v/>
      </c>
      <c r="DA103" s="66">
        <f>IF(CX103=0,"",CY103/CX103)</f>
        <v/>
      </c>
      <c r="DB103" s="35" t="n"/>
      <c r="DC103" s="65">
        <f>DC104+DC105</f>
        <v/>
      </c>
      <c r="DD103" s="65">
        <f>DD104+DD105</f>
        <v/>
      </c>
      <c r="DE103" s="65">
        <f>DD103-DC103</f>
        <v/>
      </c>
      <c r="DF103" s="66">
        <f>IF(DC103=0,"",DD103/DC103)</f>
        <v/>
      </c>
      <c r="DG103" s="35" t="n"/>
      <c r="DH103" s="65">
        <f>DH104+DH105</f>
        <v/>
      </c>
      <c r="DI103" s="65">
        <f>DI104+DI105</f>
        <v/>
      </c>
      <c r="DJ103" s="65">
        <f>DI103-DH103</f>
        <v/>
      </c>
      <c r="DK103" s="66">
        <f>IF(DH103=0,"",DI103/DH103)</f>
        <v/>
      </c>
      <c r="DL103" s="35" t="n"/>
      <c r="DM103" s="65">
        <f>DM104+DM105</f>
        <v/>
      </c>
      <c r="DN103" s="65">
        <f>DN104+DN105</f>
        <v/>
      </c>
      <c r="DO103" s="65">
        <f>DN103-DM103</f>
        <v/>
      </c>
      <c r="DP103" s="66">
        <f>IF(DM103=0,"",DN103/DM103)</f>
        <v/>
      </c>
      <c r="DQ103" s="35" t="n"/>
      <c r="DR103" s="65">
        <f>DR104+DR105</f>
        <v/>
      </c>
    </row>
    <row r="104" outlineLevel="1" ht="15" customHeight="1">
      <c r="A104" s="24" t="n"/>
      <c r="B104" s="24" t="n"/>
      <c r="C104" s="24" t="n"/>
      <c r="D104" s="24" t="n"/>
      <c r="E104" s="24" t="n"/>
      <c r="F104" s="24" t="n"/>
      <c r="G104" s="60" t="n"/>
      <c r="H104" s="60" t="n"/>
      <c r="I104" s="60">
        <f>H104-G104</f>
        <v/>
      </c>
      <c r="J104" s="61">
        <f>IF(G104=0,"",H104/G104)</f>
        <v/>
      </c>
      <c r="K104" s="27" t="n"/>
      <c r="L104" s="60" t="n"/>
      <c r="M104" s="60" t="n"/>
      <c r="N104" s="60">
        <f>M104-L104</f>
        <v/>
      </c>
      <c r="O104" s="61">
        <f>IF(L104=0,"",M104/L104)</f>
        <v/>
      </c>
      <c r="P104" s="27" t="n"/>
      <c r="Q104" s="62" t="n"/>
      <c r="R104" s="62" t="n"/>
      <c r="S104" s="62">
        <f>R104-Q104</f>
        <v/>
      </c>
      <c r="T104" s="64">
        <f>IF(Q104=0,"",R104/Q104)</f>
        <v/>
      </c>
      <c r="U104" s="31" t="n"/>
      <c r="V104" s="60" t="n"/>
      <c r="W104" s="60" t="n"/>
      <c r="X104" s="60">
        <f>W104-V104</f>
        <v/>
      </c>
      <c r="Y104" s="61">
        <f>IF(V104=0,"",W104/V104)</f>
        <v/>
      </c>
      <c r="Z104" s="27" t="n"/>
      <c r="AA104" s="62" t="n"/>
      <c r="AB104" s="62" t="n"/>
      <c r="AC104" s="62">
        <f>AB104-AA104</f>
        <v/>
      </c>
      <c r="AD104" s="64">
        <f>IF(AA104=0,"",AB104/AA104)</f>
        <v/>
      </c>
      <c r="AE104" s="31" t="n"/>
      <c r="AF104" s="60" t="n"/>
      <c r="AG104" s="60" t="n"/>
      <c r="AH104" s="60">
        <f>AG104-AF104</f>
        <v/>
      </c>
      <c r="AI104" s="61">
        <f>IF(AF104=0,"",AG104/AF104)</f>
        <v/>
      </c>
      <c r="AJ104" s="27" t="n"/>
      <c r="AK104" s="62" t="n"/>
      <c r="AL104" s="62" t="n"/>
      <c r="AM104" s="62">
        <f>AL104-AK104</f>
        <v/>
      </c>
      <c r="AN104" s="64">
        <f>IF(AK104=0,"",AL104/AK104)</f>
        <v/>
      </c>
      <c r="AO104" s="31" t="n"/>
      <c r="AP104" s="60" t="n"/>
      <c r="AQ104" s="60" t="n"/>
      <c r="AR104" s="60">
        <f>AQ104-AP104</f>
        <v/>
      </c>
      <c r="AS104" s="61">
        <f>IF(AP104=0,"",AQ104/AP104)</f>
        <v/>
      </c>
      <c r="AT104" s="27" t="n"/>
      <c r="AU104" s="62" t="n"/>
      <c r="AV104" s="62" t="n"/>
      <c r="AW104" s="62">
        <f>AV104-AU104</f>
        <v/>
      </c>
      <c r="AX104" s="64">
        <f>IF(AU104=0,"",AV104/AU104)</f>
        <v/>
      </c>
      <c r="AY104" s="31" t="n"/>
      <c r="AZ104" s="60" t="n"/>
      <c r="BA104" s="60" t="n"/>
      <c r="BB104" s="60">
        <f>BA104-AZ104</f>
        <v/>
      </c>
      <c r="BC104" s="61">
        <f>IF(AZ104=0,"",BA104/AZ104)</f>
        <v/>
      </c>
      <c r="BD104" s="27" t="n"/>
      <c r="BE104" s="62" t="n"/>
      <c r="BF104" s="62" t="n"/>
      <c r="BG104" s="62">
        <f>BF104-BE104</f>
        <v/>
      </c>
      <c r="BH104" s="64">
        <f>IF(BE104=0,"",BF104/BE104)</f>
        <v/>
      </c>
      <c r="BI104" s="31" t="n"/>
      <c r="BJ104" s="60" t="n"/>
      <c r="BK104" s="60" t="n"/>
      <c r="BL104" s="60">
        <f>BK104-BJ104</f>
        <v/>
      </c>
      <c r="BM104" s="61">
        <f>IF(BJ104=0,"",BK104/BJ104)</f>
        <v/>
      </c>
      <c r="BN104" s="27" t="n"/>
      <c r="BO104" s="62" t="n"/>
      <c r="BP104" s="62" t="n"/>
      <c r="BQ104" s="62">
        <f>BP104-BO104</f>
        <v/>
      </c>
      <c r="BR104" s="64">
        <f>IF(BO104=0,"",BP104/BO104)</f>
        <v/>
      </c>
      <c r="BS104" s="31" t="n"/>
      <c r="BT104" s="60" t="n"/>
      <c r="BU104" s="60" t="n"/>
      <c r="BV104" s="60">
        <f>BU104-BT104</f>
        <v/>
      </c>
      <c r="BW104" s="61">
        <f>IF(BT104=0,"",BU104/BT104)</f>
        <v/>
      </c>
      <c r="BX104" s="27" t="n"/>
      <c r="BY104" s="62" t="n"/>
      <c r="BZ104" s="62" t="n"/>
      <c r="CA104" s="62">
        <f>BZ104-BY104</f>
        <v/>
      </c>
      <c r="CB104" s="64">
        <f>IF(BY104=0,"",BZ104/BY104)</f>
        <v/>
      </c>
      <c r="CC104" s="31" t="n"/>
      <c r="CD104" s="60" t="n"/>
      <c r="CE104" s="60" t="n"/>
      <c r="CF104" s="60">
        <f>CE104-CD104</f>
        <v/>
      </c>
      <c r="CG104" s="61">
        <f>IF(CD104=0,"",CE104/CD104)</f>
        <v/>
      </c>
      <c r="CH104" s="27" t="n"/>
      <c r="CI104" s="62" t="n"/>
      <c r="CJ104" s="62" t="n"/>
      <c r="CK104" s="62">
        <f>CJ104-CI104</f>
        <v/>
      </c>
      <c r="CL104" s="64">
        <f>IF(CI104=0,"",CJ104/CI104)</f>
        <v/>
      </c>
      <c r="CM104" s="31" t="n"/>
      <c r="CN104" s="60" t="n"/>
      <c r="CO104" s="60" t="n"/>
      <c r="CP104" s="60">
        <f>CO104-CN104</f>
        <v/>
      </c>
      <c r="CQ104" s="61">
        <f>IF(CN104=0,"",CO104/CN104)</f>
        <v/>
      </c>
      <c r="CR104" s="27" t="n"/>
      <c r="CS104" s="62" t="n"/>
      <c r="CT104" s="62" t="n"/>
      <c r="CU104" s="62">
        <f>CT104-CS104</f>
        <v/>
      </c>
      <c r="CV104" s="64">
        <f>IF(CS104=0,"",CT104/CS104)</f>
        <v/>
      </c>
      <c r="CW104" s="31" t="n"/>
      <c r="CX104" s="60" t="n"/>
      <c r="CY104" s="60" t="n"/>
      <c r="CZ104" s="60">
        <f>CY104-CX104</f>
        <v/>
      </c>
      <c r="DA104" s="61">
        <f>IF(CX104=0,"",CY104/CX104)</f>
        <v/>
      </c>
      <c r="DB104" s="27" t="n"/>
      <c r="DC104" s="62" t="n"/>
      <c r="DD104" s="62" t="n"/>
      <c r="DE104" s="62">
        <f>DD104-DC104</f>
        <v/>
      </c>
      <c r="DF104" s="64">
        <f>IF(DC104=0,"",DD104/DC104)</f>
        <v/>
      </c>
      <c r="DG104" s="31" t="n"/>
      <c r="DH104" s="60" t="n"/>
      <c r="DI104" s="60" t="n"/>
      <c r="DJ104" s="60">
        <f>DI104-DH104</f>
        <v/>
      </c>
      <c r="DK104" s="61">
        <f>IF(DH104=0,"",DI104/DH104)</f>
        <v/>
      </c>
      <c r="DL104" s="27" t="n"/>
      <c r="DM104" s="62" t="n"/>
      <c r="DN104" s="62" t="n"/>
      <c r="DO104" s="62">
        <f>DN104-DM104</f>
        <v/>
      </c>
      <c r="DP104" s="64">
        <f>IF(DM104=0,"",DN104/DM104)</f>
        <v/>
      </c>
      <c r="DQ104" s="31" t="n"/>
      <c r="DR104" s="60" t="n"/>
    </row>
    <row r="105" outlineLevel="1" ht="15" customHeight="1">
      <c r="A105" s="24" t="n"/>
      <c r="B105" s="24" t="n"/>
      <c r="C105" s="24" t="n"/>
      <c r="D105" s="24" t="n"/>
      <c r="E105" s="24" t="n"/>
      <c r="F105" s="24" t="n"/>
      <c r="G105" s="60" t="n"/>
      <c r="H105" s="60" t="n"/>
      <c r="I105" s="60">
        <f>H105-G105</f>
        <v/>
      </c>
      <c r="J105" s="61">
        <f>IF(G105=0,"",H105/G105)</f>
        <v/>
      </c>
      <c r="K105" s="27" t="n"/>
      <c r="L105" s="60" t="n"/>
      <c r="M105" s="60" t="n"/>
      <c r="N105" s="60">
        <f>M105-L105</f>
        <v/>
      </c>
      <c r="O105" s="61">
        <f>IF(L105=0,"",M105/L105)</f>
        <v/>
      </c>
      <c r="P105" s="27" t="n"/>
      <c r="Q105" s="62" t="n"/>
      <c r="R105" s="62" t="n"/>
      <c r="S105" s="62">
        <f>R105-Q105</f>
        <v/>
      </c>
      <c r="T105" s="64">
        <f>IF(Q105=0,"",R105/Q105)</f>
        <v/>
      </c>
      <c r="U105" s="31" t="n"/>
      <c r="V105" s="60" t="n"/>
      <c r="W105" s="60" t="n"/>
      <c r="X105" s="60">
        <f>W105-V105</f>
        <v/>
      </c>
      <c r="Y105" s="61">
        <f>IF(V105=0,"",W105/V105)</f>
        <v/>
      </c>
      <c r="Z105" s="27" t="n"/>
      <c r="AA105" s="62" t="n"/>
      <c r="AB105" s="62" t="n"/>
      <c r="AC105" s="62">
        <f>AB105-AA105</f>
        <v/>
      </c>
      <c r="AD105" s="64">
        <f>IF(AA105=0,"",AB105/AA105)</f>
        <v/>
      </c>
      <c r="AE105" s="31" t="n"/>
      <c r="AF105" s="60" t="n"/>
      <c r="AG105" s="60" t="n"/>
      <c r="AH105" s="60">
        <f>AG105-AF105</f>
        <v/>
      </c>
      <c r="AI105" s="61">
        <f>IF(AF105=0,"",AG105/AF105)</f>
        <v/>
      </c>
      <c r="AJ105" s="27" t="n"/>
      <c r="AK105" s="62" t="n"/>
      <c r="AL105" s="62" t="n"/>
      <c r="AM105" s="62">
        <f>AL105-AK105</f>
        <v/>
      </c>
      <c r="AN105" s="64">
        <f>IF(AK105=0,"",AL105/AK105)</f>
        <v/>
      </c>
      <c r="AO105" s="31" t="n"/>
      <c r="AP105" s="60" t="n"/>
      <c r="AQ105" s="60" t="n"/>
      <c r="AR105" s="60">
        <f>AQ105-AP105</f>
        <v/>
      </c>
      <c r="AS105" s="61">
        <f>IF(AP105=0,"",AQ105/AP105)</f>
        <v/>
      </c>
      <c r="AT105" s="27" t="n"/>
      <c r="AU105" s="62" t="n"/>
      <c r="AV105" s="62" t="n"/>
      <c r="AW105" s="62">
        <f>AV105-AU105</f>
        <v/>
      </c>
      <c r="AX105" s="64">
        <f>IF(AU105=0,"",AV105/AU105)</f>
        <v/>
      </c>
      <c r="AY105" s="31" t="n"/>
      <c r="AZ105" s="60" t="n"/>
      <c r="BA105" s="60" t="n"/>
      <c r="BB105" s="60">
        <f>BA105-AZ105</f>
        <v/>
      </c>
      <c r="BC105" s="61">
        <f>IF(AZ105=0,"",BA105/AZ105)</f>
        <v/>
      </c>
      <c r="BD105" s="27" t="n"/>
      <c r="BE105" s="62" t="n"/>
      <c r="BF105" s="62" t="n"/>
      <c r="BG105" s="62">
        <f>BF105-BE105</f>
        <v/>
      </c>
      <c r="BH105" s="64">
        <f>IF(BE105=0,"",BF105/BE105)</f>
        <v/>
      </c>
      <c r="BI105" s="31" t="n"/>
      <c r="BJ105" s="60" t="n"/>
      <c r="BK105" s="60" t="n"/>
      <c r="BL105" s="60">
        <f>BK105-BJ105</f>
        <v/>
      </c>
      <c r="BM105" s="61">
        <f>IF(BJ105=0,"",BK105/BJ105)</f>
        <v/>
      </c>
      <c r="BN105" s="27" t="n"/>
      <c r="BO105" s="62" t="n"/>
      <c r="BP105" s="62" t="n"/>
      <c r="BQ105" s="62">
        <f>BP105-BO105</f>
        <v/>
      </c>
      <c r="BR105" s="64">
        <f>IF(BO105=0,"",BP105/BO105)</f>
        <v/>
      </c>
      <c r="BS105" s="31" t="n"/>
      <c r="BT105" s="60" t="n"/>
      <c r="BU105" s="60" t="n"/>
      <c r="BV105" s="60">
        <f>BU105-BT105</f>
        <v/>
      </c>
      <c r="BW105" s="61">
        <f>IF(BT105=0,"",BU105/BT105)</f>
        <v/>
      </c>
      <c r="BX105" s="27" t="n"/>
      <c r="BY105" s="62" t="n"/>
      <c r="BZ105" s="62" t="n"/>
      <c r="CA105" s="62">
        <f>BZ105-BY105</f>
        <v/>
      </c>
      <c r="CB105" s="64">
        <f>IF(BY105=0,"",BZ105/BY105)</f>
        <v/>
      </c>
      <c r="CC105" s="31" t="n"/>
      <c r="CD105" s="60" t="n"/>
      <c r="CE105" s="60" t="n"/>
      <c r="CF105" s="60">
        <f>CE105-CD105</f>
        <v/>
      </c>
      <c r="CG105" s="61">
        <f>IF(CD105=0,"",CE105/CD105)</f>
        <v/>
      </c>
      <c r="CH105" s="27" t="n"/>
      <c r="CI105" s="62" t="n"/>
      <c r="CJ105" s="62" t="n"/>
      <c r="CK105" s="62">
        <f>CJ105-CI105</f>
        <v/>
      </c>
      <c r="CL105" s="64">
        <f>IF(CI105=0,"",CJ105/CI105)</f>
        <v/>
      </c>
      <c r="CM105" s="31" t="n"/>
      <c r="CN105" s="60" t="n"/>
      <c r="CO105" s="60" t="n"/>
      <c r="CP105" s="60">
        <f>CO105-CN105</f>
        <v/>
      </c>
      <c r="CQ105" s="61">
        <f>IF(CN105=0,"",CO105/CN105)</f>
        <v/>
      </c>
      <c r="CR105" s="27" t="n"/>
      <c r="CS105" s="62" t="n"/>
      <c r="CT105" s="62" t="n"/>
      <c r="CU105" s="62">
        <f>CT105-CS105</f>
        <v/>
      </c>
      <c r="CV105" s="64">
        <f>IF(CS105=0,"",CT105/CS105)</f>
        <v/>
      </c>
      <c r="CW105" s="31" t="n"/>
      <c r="CX105" s="60" t="n"/>
      <c r="CY105" s="60" t="n"/>
      <c r="CZ105" s="60">
        <f>CY105-CX105</f>
        <v/>
      </c>
      <c r="DA105" s="61">
        <f>IF(CX105=0,"",CY105/CX105)</f>
        <v/>
      </c>
      <c r="DB105" s="27" t="n"/>
      <c r="DC105" s="62" t="n"/>
      <c r="DD105" s="62" t="n"/>
      <c r="DE105" s="62">
        <f>DD105-DC105</f>
        <v/>
      </c>
      <c r="DF105" s="64">
        <f>IF(DC105=0,"",DD105/DC105)</f>
        <v/>
      </c>
      <c r="DG105" s="31" t="n"/>
      <c r="DH105" s="60" t="n"/>
      <c r="DI105" s="60" t="n"/>
      <c r="DJ105" s="60">
        <f>DI105-DH105</f>
        <v/>
      </c>
      <c r="DK105" s="61">
        <f>IF(DH105=0,"",DI105/DH105)</f>
        <v/>
      </c>
      <c r="DL105" s="27" t="n"/>
      <c r="DM105" s="62" t="n"/>
      <c r="DN105" s="62" t="n"/>
      <c r="DO105" s="62">
        <f>DN105-DM105</f>
        <v/>
      </c>
      <c r="DP105" s="64">
        <f>IF(DM105=0,"",DN105/DM105)</f>
        <v/>
      </c>
      <c r="DQ105" s="31" t="n"/>
      <c r="DR105" s="60" t="n"/>
    </row>
    <row r="106" ht="15" customHeight="1">
      <c r="A106" s="32" t="n"/>
      <c r="B106" s="32" t="n"/>
      <c r="C106" s="32" t="n"/>
      <c r="D106" s="32" t="n"/>
      <c r="E106" s="32" t="n"/>
      <c r="F106" s="32" t="n"/>
      <c r="G106" s="65">
        <f>G107+G108+G109+G110+G111</f>
        <v/>
      </c>
      <c r="H106" s="65">
        <f>H107+H108+H109+H110+H111</f>
        <v/>
      </c>
      <c r="I106" s="65">
        <f>H106-G106</f>
        <v/>
      </c>
      <c r="J106" s="66">
        <f>IF(G106=0,"",H106/G106)</f>
        <v/>
      </c>
      <c r="K106" s="35" t="n"/>
      <c r="L106" s="65">
        <f>L107+L108+L109+L110+L111</f>
        <v/>
      </c>
      <c r="M106" s="65">
        <f>M107+M108+M109+M110+M111</f>
        <v/>
      </c>
      <c r="N106" s="65">
        <f>M106-L106</f>
        <v/>
      </c>
      <c r="O106" s="66">
        <f>IF(L106=0,"",M106/L106)</f>
        <v/>
      </c>
      <c r="P106" s="35" t="n"/>
      <c r="Q106" s="65">
        <f>Q107+Q108+Q109+Q110+Q111</f>
        <v/>
      </c>
      <c r="R106" s="65">
        <f>R107+R108+R109+R110+R111</f>
        <v/>
      </c>
      <c r="S106" s="65">
        <f>R106-Q106</f>
        <v/>
      </c>
      <c r="T106" s="66">
        <f>IF(Q106=0,"",R106/Q106)</f>
        <v/>
      </c>
      <c r="U106" s="35" t="n"/>
      <c r="V106" s="65">
        <f>V107+V108+V109+V110+V111</f>
        <v/>
      </c>
      <c r="W106" s="65">
        <f>W107+W108+W109+W110+W111</f>
        <v/>
      </c>
      <c r="X106" s="65">
        <f>W106-V106</f>
        <v/>
      </c>
      <c r="Y106" s="66">
        <f>IF(V106=0,"",W106/V106)</f>
        <v/>
      </c>
      <c r="Z106" s="35" t="n"/>
      <c r="AA106" s="65">
        <f>AA107+AA108+AA109+AA110+AA111</f>
        <v/>
      </c>
      <c r="AB106" s="65">
        <f>AB107+AB108+AB109+AB110+AB111</f>
        <v/>
      </c>
      <c r="AC106" s="65">
        <f>AB106-AA106</f>
        <v/>
      </c>
      <c r="AD106" s="66">
        <f>IF(AA106=0,"",AB106/AA106)</f>
        <v/>
      </c>
      <c r="AE106" s="35" t="n"/>
      <c r="AF106" s="65">
        <f>AF107+AF108+AF109+AF110+AF111</f>
        <v/>
      </c>
      <c r="AG106" s="65">
        <f>AG107+AG108+AG109+AG110+AG111</f>
        <v/>
      </c>
      <c r="AH106" s="65">
        <f>AG106-AF106</f>
        <v/>
      </c>
      <c r="AI106" s="66">
        <f>IF(AF106=0,"",AG106/AF106)</f>
        <v/>
      </c>
      <c r="AJ106" s="35" t="n"/>
      <c r="AK106" s="65">
        <f>AK107+AK108+AK109+AK110+AK111</f>
        <v/>
      </c>
      <c r="AL106" s="65">
        <f>AL107+AL108+AL109+AL110+AL111</f>
        <v/>
      </c>
      <c r="AM106" s="65">
        <f>AL106-AK106</f>
        <v/>
      </c>
      <c r="AN106" s="66">
        <f>IF(AK106=0,"",AL106/AK106)</f>
        <v/>
      </c>
      <c r="AO106" s="35" t="n"/>
      <c r="AP106" s="65">
        <f>AP107+AP108+AP109+AP110+AP111</f>
        <v/>
      </c>
      <c r="AQ106" s="65">
        <f>AQ107+AQ108+AQ109+AQ110+AQ111</f>
        <v/>
      </c>
      <c r="AR106" s="65">
        <f>AQ106-AP106</f>
        <v/>
      </c>
      <c r="AS106" s="66">
        <f>IF(AP106=0,"",AQ106/AP106)</f>
        <v/>
      </c>
      <c r="AT106" s="35" t="n"/>
      <c r="AU106" s="65">
        <f>AU107+AU108+AU109+AU110+AU111</f>
        <v/>
      </c>
      <c r="AV106" s="65">
        <f>AV107+AV108+AV109+AV110+AV111</f>
        <v/>
      </c>
      <c r="AW106" s="65">
        <f>AV106-AU106</f>
        <v/>
      </c>
      <c r="AX106" s="66">
        <f>IF(AU106=0,"",AV106/AU106)</f>
        <v/>
      </c>
      <c r="AY106" s="35" t="n"/>
      <c r="AZ106" s="65">
        <f>AZ107+AZ108+AZ109+AZ110+AZ111</f>
        <v/>
      </c>
      <c r="BA106" s="65">
        <f>BA107+BA108+BA109+BA110+BA111</f>
        <v/>
      </c>
      <c r="BB106" s="65">
        <f>BA106-AZ106</f>
        <v/>
      </c>
      <c r="BC106" s="66">
        <f>IF(AZ106=0,"",BA106/AZ106)</f>
        <v/>
      </c>
      <c r="BD106" s="35" t="n"/>
      <c r="BE106" s="65">
        <f>BE107+BE108+BE109+BE110+BE111</f>
        <v/>
      </c>
      <c r="BF106" s="65">
        <f>BF107+BF108+BF109+BF110+BF111</f>
        <v/>
      </c>
      <c r="BG106" s="65">
        <f>BF106-BE106</f>
        <v/>
      </c>
      <c r="BH106" s="66">
        <f>IF(BE106=0,"",BF106/BE106)</f>
        <v/>
      </c>
      <c r="BI106" s="35" t="n"/>
      <c r="BJ106" s="65">
        <f>BJ107+BJ108+BJ109+BJ110+BJ111</f>
        <v/>
      </c>
      <c r="BK106" s="65">
        <f>BK107+BK108+BK109+BK110+BK111</f>
        <v/>
      </c>
      <c r="BL106" s="65">
        <f>BK106-BJ106</f>
        <v/>
      </c>
      <c r="BM106" s="66">
        <f>IF(BJ106=0,"",BK106/BJ106)</f>
        <v/>
      </c>
      <c r="BN106" s="35" t="n"/>
      <c r="BO106" s="65">
        <f>BO107+BO108+BO109+BO110+BO111</f>
        <v/>
      </c>
      <c r="BP106" s="65">
        <f>BP107+BP108+BP109+BP110+BP111</f>
        <v/>
      </c>
      <c r="BQ106" s="65">
        <f>BP106-BO106</f>
        <v/>
      </c>
      <c r="BR106" s="66">
        <f>IF(BO106=0,"",BP106/BO106)</f>
        <v/>
      </c>
      <c r="BS106" s="35" t="n"/>
      <c r="BT106" s="65">
        <f>BT107+BT108+BT109+BT110+BT111</f>
        <v/>
      </c>
      <c r="BU106" s="65">
        <f>BU107+BU108+BU109+BU110+BU111</f>
        <v/>
      </c>
      <c r="BV106" s="65">
        <f>BU106-BT106</f>
        <v/>
      </c>
      <c r="BW106" s="66">
        <f>IF(BT106=0,"",BU106/BT106)</f>
        <v/>
      </c>
      <c r="BX106" s="35" t="n"/>
      <c r="BY106" s="65">
        <f>BY107+BY108+BY109+BY110+BY111</f>
        <v/>
      </c>
      <c r="BZ106" s="65">
        <f>BZ107+BZ108+BZ109+BZ110+BZ111</f>
        <v/>
      </c>
      <c r="CA106" s="65">
        <f>BZ106-BY106</f>
        <v/>
      </c>
      <c r="CB106" s="66">
        <f>IF(BY106=0,"",BZ106/BY106)</f>
        <v/>
      </c>
      <c r="CC106" s="35" t="n"/>
      <c r="CD106" s="65">
        <f>CD107+CD108+CD109+CD110+CD111</f>
        <v/>
      </c>
      <c r="CE106" s="65">
        <f>CE107+CE108+CE109+CE110+CE111</f>
        <v/>
      </c>
      <c r="CF106" s="65">
        <f>CE106-CD106</f>
        <v/>
      </c>
      <c r="CG106" s="66">
        <f>IF(CD106=0,"",CE106/CD106)</f>
        <v/>
      </c>
      <c r="CH106" s="35" t="n"/>
      <c r="CI106" s="65">
        <f>CI107+CI108+CI109+CI110+CI111</f>
        <v/>
      </c>
      <c r="CJ106" s="65">
        <f>CJ107+CJ108+CJ109+CJ110+CJ111</f>
        <v/>
      </c>
      <c r="CK106" s="65">
        <f>CJ106-CI106</f>
        <v/>
      </c>
      <c r="CL106" s="66">
        <f>IF(CI106=0,"",CJ106/CI106)</f>
        <v/>
      </c>
      <c r="CM106" s="35" t="n"/>
      <c r="CN106" s="65">
        <f>CN107+CN108+CN109+CN110+CN111</f>
        <v/>
      </c>
      <c r="CO106" s="65">
        <f>CO107+CO108+CO109+CO110+CO111</f>
        <v/>
      </c>
      <c r="CP106" s="65">
        <f>CO106-CN106</f>
        <v/>
      </c>
      <c r="CQ106" s="66">
        <f>IF(CN106=0,"",CO106/CN106)</f>
        <v/>
      </c>
      <c r="CR106" s="35" t="n"/>
      <c r="CS106" s="65">
        <f>CS107+CS108+CS109+CS110+CS111</f>
        <v/>
      </c>
      <c r="CT106" s="65">
        <f>CT107+CT108+CT109+CT110+CT111</f>
        <v/>
      </c>
      <c r="CU106" s="65">
        <f>CT106-CS106</f>
        <v/>
      </c>
      <c r="CV106" s="66">
        <f>IF(CS106=0,"",CT106/CS106)</f>
        <v/>
      </c>
      <c r="CW106" s="35" t="n"/>
      <c r="CX106" s="65">
        <f>CX107+CX108+CX109+CX110+CX111</f>
        <v/>
      </c>
      <c r="CY106" s="65">
        <f>CY107+CY108+CY109+CY110+CY111</f>
        <v/>
      </c>
      <c r="CZ106" s="65">
        <f>CY106-CX106</f>
        <v/>
      </c>
      <c r="DA106" s="66">
        <f>IF(CX106=0,"",CY106/CX106)</f>
        <v/>
      </c>
      <c r="DB106" s="35" t="n"/>
      <c r="DC106" s="65">
        <f>DC107+DC108+DC109+DC110+DC111</f>
        <v/>
      </c>
      <c r="DD106" s="65">
        <f>DD107+DD108+DD109+DD110+DD111</f>
        <v/>
      </c>
      <c r="DE106" s="65">
        <f>DD106-DC106</f>
        <v/>
      </c>
      <c r="DF106" s="66">
        <f>IF(DC106=0,"",DD106/DC106)</f>
        <v/>
      </c>
      <c r="DG106" s="35" t="n"/>
      <c r="DH106" s="65">
        <f>DH107+DH108+DH109+DH110+DH111</f>
        <v/>
      </c>
      <c r="DI106" s="65">
        <f>DI107+DI108+DI109+DI110+DI111</f>
        <v/>
      </c>
      <c r="DJ106" s="65">
        <f>DI106-DH106</f>
        <v/>
      </c>
      <c r="DK106" s="66">
        <f>IF(DH106=0,"",DI106/DH106)</f>
        <v/>
      </c>
      <c r="DL106" s="35" t="n"/>
      <c r="DM106" s="65">
        <f>DM107+DM108+DM109+DM110+DM111</f>
        <v/>
      </c>
      <c r="DN106" s="65">
        <f>DN107+DN108+DN109+DN110+DN111</f>
        <v/>
      </c>
      <c r="DO106" s="65">
        <f>DN106-DM106</f>
        <v/>
      </c>
      <c r="DP106" s="66">
        <f>IF(DM106=0,"",DN106/DM106)</f>
        <v/>
      </c>
      <c r="DQ106" s="35" t="n"/>
      <c r="DR106" s="65">
        <f>DR107+DR108+DR109+DR110+DR111</f>
        <v/>
      </c>
    </row>
    <row r="107" outlineLevel="1" ht="15" customHeight="1">
      <c r="A107" s="24" t="n"/>
      <c r="B107" s="24" t="n"/>
      <c r="C107" s="24" t="n"/>
      <c r="D107" s="24" t="n"/>
      <c r="E107" s="24" t="n"/>
      <c r="F107" s="24" t="n"/>
      <c r="G107" s="60" t="n"/>
      <c r="H107" s="60" t="n"/>
      <c r="I107" s="60">
        <f>H107-G107</f>
        <v/>
      </c>
      <c r="J107" s="61">
        <f>IF(G107=0,"",H107/G107)</f>
        <v/>
      </c>
      <c r="K107" s="27" t="n"/>
      <c r="L107" s="60" t="n"/>
      <c r="M107" s="60" t="n"/>
      <c r="N107" s="60">
        <f>M107-L107</f>
        <v/>
      </c>
      <c r="O107" s="61">
        <f>IF(L107=0,"",M107/L107)</f>
        <v/>
      </c>
      <c r="P107" s="27" t="n"/>
      <c r="Q107" s="62" t="n"/>
      <c r="R107" s="62" t="n"/>
      <c r="S107" s="62">
        <f>R107-Q107</f>
        <v/>
      </c>
      <c r="T107" s="64">
        <f>IF(Q107=0,"",R107/Q107)</f>
        <v/>
      </c>
      <c r="U107" s="31" t="n"/>
      <c r="V107" s="60" t="n"/>
      <c r="W107" s="60" t="n"/>
      <c r="X107" s="60">
        <f>W107-V107</f>
        <v/>
      </c>
      <c r="Y107" s="61">
        <f>IF(V107=0,"",W107/V107)</f>
        <v/>
      </c>
      <c r="Z107" s="27" t="n"/>
      <c r="AA107" s="62" t="n"/>
      <c r="AB107" s="62" t="n"/>
      <c r="AC107" s="62">
        <f>AB107-AA107</f>
        <v/>
      </c>
      <c r="AD107" s="64">
        <f>IF(AA107=0,"",AB107/AA107)</f>
        <v/>
      </c>
      <c r="AE107" s="31" t="n"/>
      <c r="AF107" s="60" t="n"/>
      <c r="AG107" s="60" t="n"/>
      <c r="AH107" s="60">
        <f>AG107-AF107</f>
        <v/>
      </c>
      <c r="AI107" s="61">
        <f>IF(AF107=0,"",AG107/AF107)</f>
        <v/>
      </c>
      <c r="AJ107" s="27" t="n"/>
      <c r="AK107" s="62" t="n"/>
      <c r="AL107" s="62" t="n"/>
      <c r="AM107" s="62">
        <f>AL107-AK107</f>
        <v/>
      </c>
      <c r="AN107" s="64">
        <f>IF(AK107=0,"",AL107/AK107)</f>
        <v/>
      </c>
      <c r="AO107" s="31" t="n"/>
      <c r="AP107" s="60" t="n"/>
      <c r="AQ107" s="60" t="n"/>
      <c r="AR107" s="60">
        <f>AQ107-AP107</f>
        <v/>
      </c>
      <c r="AS107" s="61">
        <f>IF(AP107=0,"",AQ107/AP107)</f>
        <v/>
      </c>
      <c r="AT107" s="27" t="n"/>
      <c r="AU107" s="62" t="n"/>
      <c r="AV107" s="62" t="n"/>
      <c r="AW107" s="62">
        <f>AV107-AU107</f>
        <v/>
      </c>
      <c r="AX107" s="64">
        <f>IF(AU107=0,"",AV107/AU107)</f>
        <v/>
      </c>
      <c r="AY107" s="31" t="n"/>
      <c r="AZ107" s="60" t="n"/>
      <c r="BA107" s="60" t="n"/>
      <c r="BB107" s="60">
        <f>BA107-AZ107</f>
        <v/>
      </c>
      <c r="BC107" s="61">
        <f>IF(AZ107=0,"",BA107/AZ107)</f>
        <v/>
      </c>
      <c r="BD107" s="27" t="n"/>
      <c r="BE107" s="62" t="n"/>
      <c r="BF107" s="62" t="n"/>
      <c r="BG107" s="62">
        <f>BF107-BE107</f>
        <v/>
      </c>
      <c r="BH107" s="64">
        <f>IF(BE107=0,"",BF107/BE107)</f>
        <v/>
      </c>
      <c r="BI107" s="31" t="n"/>
      <c r="BJ107" s="60" t="n"/>
      <c r="BK107" s="60" t="n"/>
      <c r="BL107" s="60">
        <f>BK107-BJ107</f>
        <v/>
      </c>
      <c r="BM107" s="61">
        <f>IF(BJ107=0,"",BK107/BJ107)</f>
        <v/>
      </c>
      <c r="BN107" s="27" t="n"/>
      <c r="BO107" s="62" t="n"/>
      <c r="BP107" s="62" t="n"/>
      <c r="BQ107" s="62">
        <f>BP107-BO107</f>
        <v/>
      </c>
      <c r="BR107" s="64">
        <f>IF(BO107=0,"",BP107/BO107)</f>
        <v/>
      </c>
      <c r="BS107" s="31" t="n"/>
      <c r="BT107" s="60" t="n"/>
      <c r="BU107" s="60" t="n"/>
      <c r="BV107" s="60">
        <f>BU107-BT107</f>
        <v/>
      </c>
      <c r="BW107" s="61">
        <f>IF(BT107=0,"",BU107/BT107)</f>
        <v/>
      </c>
      <c r="BX107" s="27" t="n"/>
      <c r="BY107" s="62" t="n"/>
      <c r="BZ107" s="62" t="n"/>
      <c r="CA107" s="62">
        <f>BZ107-BY107</f>
        <v/>
      </c>
      <c r="CB107" s="64">
        <f>IF(BY107=0,"",BZ107/BY107)</f>
        <v/>
      </c>
      <c r="CC107" s="31" t="n"/>
      <c r="CD107" s="60" t="n"/>
      <c r="CE107" s="60" t="n"/>
      <c r="CF107" s="60">
        <f>CE107-CD107</f>
        <v/>
      </c>
      <c r="CG107" s="61">
        <f>IF(CD107=0,"",CE107/CD107)</f>
        <v/>
      </c>
      <c r="CH107" s="27" t="n"/>
      <c r="CI107" s="62" t="n"/>
      <c r="CJ107" s="62" t="n"/>
      <c r="CK107" s="62">
        <f>CJ107-CI107</f>
        <v/>
      </c>
      <c r="CL107" s="64">
        <f>IF(CI107=0,"",CJ107/CI107)</f>
        <v/>
      </c>
      <c r="CM107" s="31" t="n"/>
      <c r="CN107" s="60" t="n"/>
      <c r="CO107" s="60" t="n"/>
      <c r="CP107" s="60">
        <f>CO107-CN107</f>
        <v/>
      </c>
      <c r="CQ107" s="61">
        <f>IF(CN107=0,"",CO107/CN107)</f>
        <v/>
      </c>
      <c r="CR107" s="27" t="n"/>
      <c r="CS107" s="62" t="n"/>
      <c r="CT107" s="62" t="n"/>
      <c r="CU107" s="62">
        <f>CT107-CS107</f>
        <v/>
      </c>
      <c r="CV107" s="64">
        <f>IF(CS107=0,"",CT107/CS107)</f>
        <v/>
      </c>
      <c r="CW107" s="31" t="n"/>
      <c r="CX107" s="60" t="n"/>
      <c r="CY107" s="60" t="n"/>
      <c r="CZ107" s="60">
        <f>CY107-CX107</f>
        <v/>
      </c>
      <c r="DA107" s="61">
        <f>IF(CX107=0,"",CY107/CX107)</f>
        <v/>
      </c>
      <c r="DB107" s="27" t="n"/>
      <c r="DC107" s="62" t="n"/>
      <c r="DD107" s="62" t="n"/>
      <c r="DE107" s="62">
        <f>DD107-DC107</f>
        <v/>
      </c>
      <c r="DF107" s="64">
        <f>IF(DC107=0,"",DD107/DC107)</f>
        <v/>
      </c>
      <c r="DG107" s="31" t="n"/>
      <c r="DH107" s="60" t="n"/>
      <c r="DI107" s="60" t="n"/>
      <c r="DJ107" s="60">
        <f>DI107-DH107</f>
        <v/>
      </c>
      <c r="DK107" s="61">
        <f>IF(DH107=0,"",DI107/DH107)</f>
        <v/>
      </c>
      <c r="DL107" s="27" t="n"/>
      <c r="DM107" s="62" t="n"/>
      <c r="DN107" s="62" t="n"/>
      <c r="DO107" s="62">
        <f>DN107-DM107</f>
        <v/>
      </c>
      <c r="DP107" s="64">
        <f>IF(DM107=0,"",DN107/DM107)</f>
        <v/>
      </c>
      <c r="DQ107" s="31" t="n"/>
      <c r="DR107" s="60" t="n"/>
    </row>
    <row r="108" outlineLevel="1" ht="15" customHeight="1">
      <c r="A108" s="24" t="n"/>
      <c r="B108" s="24" t="n"/>
      <c r="C108" s="24" t="n"/>
      <c r="D108" s="24" t="n"/>
      <c r="E108" s="24" t="n"/>
      <c r="F108" s="24" t="n"/>
      <c r="G108" s="60" t="n"/>
      <c r="H108" s="60" t="n"/>
      <c r="I108" s="60">
        <f>H108-G108</f>
        <v/>
      </c>
      <c r="J108" s="61">
        <f>IF(G108=0,"",H108/G108)</f>
        <v/>
      </c>
      <c r="K108" s="27" t="n"/>
      <c r="L108" s="60" t="n"/>
      <c r="M108" s="60" t="n"/>
      <c r="N108" s="60">
        <f>M108-L108</f>
        <v/>
      </c>
      <c r="O108" s="61">
        <f>IF(L108=0,"",M108/L108)</f>
        <v/>
      </c>
      <c r="P108" s="27" t="n"/>
      <c r="Q108" s="62" t="n"/>
      <c r="R108" s="62" t="n"/>
      <c r="S108" s="62">
        <f>R108-Q108</f>
        <v/>
      </c>
      <c r="T108" s="64">
        <f>IF(Q108=0,"",R108/Q108)</f>
        <v/>
      </c>
      <c r="U108" s="31" t="n"/>
      <c r="V108" s="60" t="n"/>
      <c r="W108" s="60" t="n"/>
      <c r="X108" s="60">
        <f>W108-V108</f>
        <v/>
      </c>
      <c r="Y108" s="61">
        <f>IF(V108=0,"",W108/V108)</f>
        <v/>
      </c>
      <c r="Z108" s="27" t="n"/>
      <c r="AA108" s="62" t="n"/>
      <c r="AB108" s="62" t="n"/>
      <c r="AC108" s="62">
        <f>AB108-AA108</f>
        <v/>
      </c>
      <c r="AD108" s="64">
        <f>IF(AA108=0,"",AB108/AA108)</f>
        <v/>
      </c>
      <c r="AE108" s="31" t="n"/>
      <c r="AF108" s="60" t="n"/>
      <c r="AG108" s="60" t="n"/>
      <c r="AH108" s="60">
        <f>AG108-AF108</f>
        <v/>
      </c>
      <c r="AI108" s="61">
        <f>IF(AF108=0,"",AG108/AF108)</f>
        <v/>
      </c>
      <c r="AJ108" s="27" t="n"/>
      <c r="AK108" s="62" t="n"/>
      <c r="AL108" s="62" t="n"/>
      <c r="AM108" s="62">
        <f>AL108-AK108</f>
        <v/>
      </c>
      <c r="AN108" s="64">
        <f>IF(AK108=0,"",AL108/AK108)</f>
        <v/>
      </c>
      <c r="AO108" s="31" t="n"/>
      <c r="AP108" s="60" t="n"/>
      <c r="AQ108" s="60" t="n"/>
      <c r="AR108" s="60">
        <f>AQ108-AP108</f>
        <v/>
      </c>
      <c r="AS108" s="61">
        <f>IF(AP108=0,"",AQ108/AP108)</f>
        <v/>
      </c>
      <c r="AT108" s="27" t="n"/>
      <c r="AU108" s="62" t="n"/>
      <c r="AV108" s="62" t="n"/>
      <c r="AW108" s="62">
        <f>AV108-AU108</f>
        <v/>
      </c>
      <c r="AX108" s="64">
        <f>IF(AU108=0,"",AV108/AU108)</f>
        <v/>
      </c>
      <c r="AY108" s="31" t="n"/>
      <c r="AZ108" s="60" t="n"/>
      <c r="BA108" s="60" t="n"/>
      <c r="BB108" s="60">
        <f>BA108-AZ108</f>
        <v/>
      </c>
      <c r="BC108" s="61">
        <f>IF(AZ108=0,"",BA108/AZ108)</f>
        <v/>
      </c>
      <c r="BD108" s="27" t="n"/>
      <c r="BE108" s="62" t="n"/>
      <c r="BF108" s="62" t="n"/>
      <c r="BG108" s="62">
        <f>BF108-BE108</f>
        <v/>
      </c>
      <c r="BH108" s="64">
        <f>IF(BE108=0,"",BF108/BE108)</f>
        <v/>
      </c>
      <c r="BI108" s="31" t="n"/>
      <c r="BJ108" s="60" t="n"/>
      <c r="BK108" s="60" t="n"/>
      <c r="BL108" s="60">
        <f>BK108-BJ108</f>
        <v/>
      </c>
      <c r="BM108" s="61">
        <f>IF(BJ108=0,"",BK108/BJ108)</f>
        <v/>
      </c>
      <c r="BN108" s="27" t="n"/>
      <c r="BO108" s="62" t="n"/>
      <c r="BP108" s="62" t="n"/>
      <c r="BQ108" s="62">
        <f>BP108-BO108</f>
        <v/>
      </c>
      <c r="BR108" s="64">
        <f>IF(BO108=0,"",BP108/BO108)</f>
        <v/>
      </c>
      <c r="BS108" s="31" t="n"/>
      <c r="BT108" s="60" t="n"/>
      <c r="BU108" s="60" t="n"/>
      <c r="BV108" s="60">
        <f>BU108-BT108</f>
        <v/>
      </c>
      <c r="BW108" s="61">
        <f>IF(BT108=0,"",BU108/BT108)</f>
        <v/>
      </c>
      <c r="BX108" s="27" t="n"/>
      <c r="BY108" s="62" t="n"/>
      <c r="BZ108" s="62" t="n"/>
      <c r="CA108" s="62">
        <f>BZ108-BY108</f>
        <v/>
      </c>
      <c r="CB108" s="64">
        <f>IF(BY108=0,"",BZ108/BY108)</f>
        <v/>
      </c>
      <c r="CC108" s="31" t="n"/>
      <c r="CD108" s="60" t="n"/>
      <c r="CE108" s="60" t="n"/>
      <c r="CF108" s="60">
        <f>CE108-CD108</f>
        <v/>
      </c>
      <c r="CG108" s="61">
        <f>IF(CD108=0,"",CE108/CD108)</f>
        <v/>
      </c>
      <c r="CH108" s="27" t="n"/>
      <c r="CI108" s="62" t="n"/>
      <c r="CJ108" s="62" t="n"/>
      <c r="CK108" s="62">
        <f>CJ108-CI108</f>
        <v/>
      </c>
      <c r="CL108" s="64">
        <f>IF(CI108=0,"",CJ108/CI108)</f>
        <v/>
      </c>
      <c r="CM108" s="31" t="n"/>
      <c r="CN108" s="60" t="n"/>
      <c r="CO108" s="60" t="n"/>
      <c r="CP108" s="60">
        <f>CO108-CN108</f>
        <v/>
      </c>
      <c r="CQ108" s="61">
        <f>IF(CN108=0,"",CO108/CN108)</f>
        <v/>
      </c>
      <c r="CR108" s="27" t="n"/>
      <c r="CS108" s="62" t="n"/>
      <c r="CT108" s="62" t="n"/>
      <c r="CU108" s="62">
        <f>CT108-CS108</f>
        <v/>
      </c>
      <c r="CV108" s="64">
        <f>IF(CS108=0,"",CT108/CS108)</f>
        <v/>
      </c>
      <c r="CW108" s="31" t="n"/>
      <c r="CX108" s="60" t="n"/>
      <c r="CY108" s="60" t="n"/>
      <c r="CZ108" s="60">
        <f>CY108-CX108</f>
        <v/>
      </c>
      <c r="DA108" s="61">
        <f>IF(CX108=0,"",CY108/CX108)</f>
        <v/>
      </c>
      <c r="DB108" s="27" t="n"/>
      <c r="DC108" s="62" t="n"/>
      <c r="DD108" s="62" t="n"/>
      <c r="DE108" s="62">
        <f>DD108-DC108</f>
        <v/>
      </c>
      <c r="DF108" s="64">
        <f>IF(DC108=0,"",DD108/DC108)</f>
        <v/>
      </c>
      <c r="DG108" s="31" t="n"/>
      <c r="DH108" s="60" t="n"/>
      <c r="DI108" s="60" t="n"/>
      <c r="DJ108" s="60">
        <f>DI108-DH108</f>
        <v/>
      </c>
      <c r="DK108" s="61">
        <f>IF(DH108=0,"",DI108/DH108)</f>
        <v/>
      </c>
      <c r="DL108" s="27" t="n"/>
      <c r="DM108" s="62" t="n"/>
      <c r="DN108" s="62" t="n"/>
      <c r="DO108" s="62">
        <f>DN108-DM108</f>
        <v/>
      </c>
      <c r="DP108" s="64">
        <f>IF(DM108=0,"",DN108/DM108)</f>
        <v/>
      </c>
      <c r="DQ108" s="31" t="n"/>
      <c r="DR108" s="60" t="n"/>
    </row>
    <row r="109" outlineLevel="1" ht="15" customHeight="1">
      <c r="A109" s="24" t="n"/>
      <c r="B109" s="24" t="n"/>
      <c r="C109" s="24" t="n"/>
      <c r="D109" s="24" t="n"/>
      <c r="E109" s="24" t="n"/>
      <c r="F109" s="24" t="n"/>
      <c r="G109" s="60" t="n"/>
      <c r="H109" s="60" t="n"/>
      <c r="I109" s="60">
        <f>H109-G109</f>
        <v/>
      </c>
      <c r="J109" s="61">
        <f>IF(G109=0,"",H109/G109)</f>
        <v/>
      </c>
      <c r="K109" s="27" t="n"/>
      <c r="L109" s="60" t="n"/>
      <c r="M109" s="60" t="n"/>
      <c r="N109" s="60">
        <f>M109-L109</f>
        <v/>
      </c>
      <c r="O109" s="61">
        <f>IF(L109=0,"",M109/L109)</f>
        <v/>
      </c>
      <c r="P109" s="27" t="n"/>
      <c r="Q109" s="62" t="n"/>
      <c r="R109" s="62" t="n"/>
      <c r="S109" s="62">
        <f>R109-Q109</f>
        <v/>
      </c>
      <c r="T109" s="64">
        <f>IF(Q109=0,"",R109/Q109)</f>
        <v/>
      </c>
      <c r="U109" s="31" t="n"/>
      <c r="V109" s="60" t="n"/>
      <c r="W109" s="60" t="n"/>
      <c r="X109" s="60">
        <f>W109-V109</f>
        <v/>
      </c>
      <c r="Y109" s="61">
        <f>IF(V109=0,"",W109/V109)</f>
        <v/>
      </c>
      <c r="Z109" s="27" t="n"/>
      <c r="AA109" s="62" t="n"/>
      <c r="AB109" s="62" t="n"/>
      <c r="AC109" s="62">
        <f>AB109-AA109</f>
        <v/>
      </c>
      <c r="AD109" s="64">
        <f>IF(AA109=0,"",AB109/AA109)</f>
        <v/>
      </c>
      <c r="AE109" s="31" t="n"/>
      <c r="AF109" s="60" t="n"/>
      <c r="AG109" s="60" t="n"/>
      <c r="AH109" s="60">
        <f>AG109-AF109</f>
        <v/>
      </c>
      <c r="AI109" s="61">
        <f>IF(AF109=0,"",AG109/AF109)</f>
        <v/>
      </c>
      <c r="AJ109" s="27" t="n"/>
      <c r="AK109" s="62" t="n"/>
      <c r="AL109" s="62" t="n"/>
      <c r="AM109" s="62">
        <f>AL109-AK109</f>
        <v/>
      </c>
      <c r="AN109" s="64">
        <f>IF(AK109=0,"",AL109/AK109)</f>
        <v/>
      </c>
      <c r="AO109" s="31" t="n"/>
      <c r="AP109" s="60" t="n"/>
      <c r="AQ109" s="60" t="n"/>
      <c r="AR109" s="60">
        <f>AQ109-AP109</f>
        <v/>
      </c>
      <c r="AS109" s="61">
        <f>IF(AP109=0,"",AQ109/AP109)</f>
        <v/>
      </c>
      <c r="AT109" s="27" t="n"/>
      <c r="AU109" s="62" t="n"/>
      <c r="AV109" s="62" t="n"/>
      <c r="AW109" s="62">
        <f>AV109-AU109</f>
        <v/>
      </c>
      <c r="AX109" s="64">
        <f>IF(AU109=0,"",AV109/AU109)</f>
        <v/>
      </c>
      <c r="AY109" s="31" t="n"/>
      <c r="AZ109" s="60" t="n"/>
      <c r="BA109" s="60" t="n"/>
      <c r="BB109" s="60">
        <f>BA109-AZ109</f>
        <v/>
      </c>
      <c r="BC109" s="61">
        <f>IF(AZ109=0,"",BA109/AZ109)</f>
        <v/>
      </c>
      <c r="BD109" s="27" t="n"/>
      <c r="BE109" s="62" t="n"/>
      <c r="BF109" s="62" t="n"/>
      <c r="BG109" s="62">
        <f>BF109-BE109</f>
        <v/>
      </c>
      <c r="BH109" s="64">
        <f>IF(BE109=0,"",BF109/BE109)</f>
        <v/>
      </c>
      <c r="BI109" s="31" t="n"/>
      <c r="BJ109" s="60" t="n"/>
      <c r="BK109" s="60" t="n"/>
      <c r="BL109" s="60">
        <f>BK109-BJ109</f>
        <v/>
      </c>
      <c r="BM109" s="61">
        <f>IF(BJ109=0,"",BK109/BJ109)</f>
        <v/>
      </c>
      <c r="BN109" s="27" t="n"/>
      <c r="BO109" s="62" t="n"/>
      <c r="BP109" s="62" t="n"/>
      <c r="BQ109" s="62">
        <f>BP109-BO109</f>
        <v/>
      </c>
      <c r="BR109" s="64">
        <f>IF(BO109=0,"",BP109/BO109)</f>
        <v/>
      </c>
      <c r="BS109" s="31" t="n"/>
      <c r="BT109" s="60" t="n"/>
      <c r="BU109" s="60" t="n"/>
      <c r="BV109" s="60">
        <f>BU109-BT109</f>
        <v/>
      </c>
      <c r="BW109" s="61">
        <f>IF(BT109=0,"",BU109/BT109)</f>
        <v/>
      </c>
      <c r="BX109" s="27" t="n"/>
      <c r="BY109" s="62" t="n"/>
      <c r="BZ109" s="62" t="n"/>
      <c r="CA109" s="62">
        <f>BZ109-BY109</f>
        <v/>
      </c>
      <c r="CB109" s="64">
        <f>IF(BY109=0,"",BZ109/BY109)</f>
        <v/>
      </c>
      <c r="CC109" s="31" t="n"/>
      <c r="CD109" s="60" t="n"/>
      <c r="CE109" s="60" t="n"/>
      <c r="CF109" s="60">
        <f>CE109-CD109</f>
        <v/>
      </c>
      <c r="CG109" s="61">
        <f>IF(CD109=0,"",CE109/CD109)</f>
        <v/>
      </c>
      <c r="CH109" s="27" t="n"/>
      <c r="CI109" s="62" t="n"/>
      <c r="CJ109" s="62" t="n"/>
      <c r="CK109" s="62">
        <f>CJ109-CI109</f>
        <v/>
      </c>
      <c r="CL109" s="64">
        <f>IF(CI109=0,"",CJ109/CI109)</f>
        <v/>
      </c>
      <c r="CM109" s="31" t="n"/>
      <c r="CN109" s="60" t="n"/>
      <c r="CO109" s="60" t="n"/>
      <c r="CP109" s="60">
        <f>CO109-CN109</f>
        <v/>
      </c>
      <c r="CQ109" s="61">
        <f>IF(CN109=0,"",CO109/CN109)</f>
        <v/>
      </c>
      <c r="CR109" s="27" t="n"/>
      <c r="CS109" s="62" t="n"/>
      <c r="CT109" s="62" t="n"/>
      <c r="CU109" s="62">
        <f>CT109-CS109</f>
        <v/>
      </c>
      <c r="CV109" s="64">
        <f>IF(CS109=0,"",CT109/CS109)</f>
        <v/>
      </c>
      <c r="CW109" s="31" t="n"/>
      <c r="CX109" s="60" t="n"/>
      <c r="CY109" s="60" t="n"/>
      <c r="CZ109" s="60">
        <f>CY109-CX109</f>
        <v/>
      </c>
      <c r="DA109" s="61">
        <f>IF(CX109=0,"",CY109/CX109)</f>
        <v/>
      </c>
      <c r="DB109" s="27" t="n"/>
      <c r="DC109" s="62" t="n"/>
      <c r="DD109" s="62" t="n"/>
      <c r="DE109" s="62">
        <f>DD109-DC109</f>
        <v/>
      </c>
      <c r="DF109" s="64">
        <f>IF(DC109=0,"",DD109/DC109)</f>
        <v/>
      </c>
      <c r="DG109" s="31" t="n"/>
      <c r="DH109" s="60" t="n"/>
      <c r="DI109" s="60" t="n"/>
      <c r="DJ109" s="60">
        <f>DI109-DH109</f>
        <v/>
      </c>
      <c r="DK109" s="61">
        <f>IF(DH109=0,"",DI109/DH109)</f>
        <v/>
      </c>
      <c r="DL109" s="27" t="n"/>
      <c r="DM109" s="62" t="n"/>
      <c r="DN109" s="62" t="n"/>
      <c r="DO109" s="62">
        <f>DN109-DM109</f>
        <v/>
      </c>
      <c r="DP109" s="64">
        <f>IF(DM109=0,"",DN109/DM109)</f>
        <v/>
      </c>
      <c r="DQ109" s="31" t="n"/>
      <c r="DR109" s="60" t="n"/>
    </row>
    <row r="110" outlineLevel="1" ht="15" customHeight="1">
      <c r="A110" s="24" t="n"/>
      <c r="B110" s="24" t="n"/>
      <c r="C110" s="24" t="n"/>
      <c r="D110" s="24" t="n"/>
      <c r="E110" s="24" t="n"/>
      <c r="F110" s="24" t="n"/>
      <c r="G110" s="60" t="n"/>
      <c r="H110" s="60" t="n"/>
      <c r="I110" s="60">
        <f>H110-G110</f>
        <v/>
      </c>
      <c r="J110" s="61">
        <f>IF(G110=0,"",H110/G110)</f>
        <v/>
      </c>
      <c r="K110" s="27" t="n"/>
      <c r="L110" s="60" t="n"/>
      <c r="M110" s="60" t="n"/>
      <c r="N110" s="60">
        <f>M110-L110</f>
        <v/>
      </c>
      <c r="O110" s="61">
        <f>IF(L110=0,"",M110/L110)</f>
        <v/>
      </c>
      <c r="P110" s="27" t="n"/>
      <c r="Q110" s="62" t="n"/>
      <c r="R110" s="62" t="n"/>
      <c r="S110" s="63">
        <f>R110-Q110</f>
        <v/>
      </c>
      <c r="T110" s="64">
        <f>IF(Q110=0,"",R110/Q110)</f>
        <v/>
      </c>
      <c r="U110" s="31" t="n"/>
      <c r="V110" s="60" t="n"/>
      <c r="W110" s="60" t="n"/>
      <c r="X110" s="60">
        <f>W110-V110</f>
        <v/>
      </c>
      <c r="Y110" s="61">
        <f>IF(V110=0,"",W110/V110)</f>
        <v/>
      </c>
      <c r="Z110" s="27" t="n"/>
      <c r="AA110" s="62" t="n"/>
      <c r="AB110" s="62" t="n"/>
      <c r="AC110" s="63">
        <f>AB110-AA110</f>
        <v/>
      </c>
      <c r="AD110" s="64">
        <f>IF(AA110=0,"",AB110/AA110)</f>
        <v/>
      </c>
      <c r="AE110" s="31" t="n"/>
      <c r="AF110" s="60" t="n"/>
      <c r="AG110" s="60" t="n"/>
      <c r="AH110" s="60">
        <f>AG110-AF110</f>
        <v/>
      </c>
      <c r="AI110" s="61">
        <f>IF(AF110=0,"",AG110/AF110)</f>
        <v/>
      </c>
      <c r="AJ110" s="27" t="n"/>
      <c r="AK110" s="62" t="n"/>
      <c r="AL110" s="62" t="n"/>
      <c r="AM110" s="62">
        <f>AL110-AK110</f>
        <v/>
      </c>
      <c r="AN110" s="64">
        <f>IF(AK110=0,"",AL110/AK110)</f>
        <v/>
      </c>
      <c r="AO110" s="31" t="n"/>
      <c r="AP110" s="60" t="n"/>
      <c r="AQ110" s="60" t="n"/>
      <c r="AR110" s="60">
        <f>AQ110-AP110</f>
        <v/>
      </c>
      <c r="AS110" s="61">
        <f>IF(AP110=0,"",AQ110/AP110)</f>
        <v/>
      </c>
      <c r="AT110" s="27" t="n"/>
      <c r="AU110" s="62" t="n"/>
      <c r="AV110" s="62" t="n"/>
      <c r="AW110" s="62">
        <f>AV110-AU110</f>
        <v/>
      </c>
      <c r="AX110" s="64">
        <f>IF(AU110=0,"",AV110/AU110)</f>
        <v/>
      </c>
      <c r="AY110" s="31" t="n"/>
      <c r="AZ110" s="60" t="n"/>
      <c r="BA110" s="60" t="n"/>
      <c r="BB110" s="60">
        <f>BA110-AZ110</f>
        <v/>
      </c>
      <c r="BC110" s="61">
        <f>IF(AZ110=0,"",BA110/AZ110)</f>
        <v/>
      </c>
      <c r="BD110" s="27" t="n"/>
      <c r="BE110" s="62" t="n"/>
      <c r="BF110" s="62" t="n"/>
      <c r="BG110" s="62">
        <f>BF110-BE110</f>
        <v/>
      </c>
      <c r="BH110" s="64">
        <f>IF(BE110=0,"",BF110/BE110)</f>
        <v/>
      </c>
      <c r="BI110" s="31" t="n"/>
      <c r="BJ110" s="60" t="n"/>
      <c r="BK110" s="60" t="n"/>
      <c r="BL110" s="60">
        <f>BK110-BJ110</f>
        <v/>
      </c>
      <c r="BM110" s="61">
        <f>IF(BJ110=0,"",BK110/BJ110)</f>
        <v/>
      </c>
      <c r="BN110" s="27" t="n"/>
      <c r="BO110" s="62" t="n"/>
      <c r="BP110" s="62" t="n"/>
      <c r="BQ110" s="62">
        <f>BP110-BO110</f>
        <v/>
      </c>
      <c r="BR110" s="64">
        <f>IF(BO110=0,"",BP110/BO110)</f>
        <v/>
      </c>
      <c r="BS110" s="31" t="n"/>
      <c r="BT110" s="60" t="n"/>
      <c r="BU110" s="60" t="n"/>
      <c r="BV110" s="60">
        <f>BU110-BT110</f>
        <v/>
      </c>
      <c r="BW110" s="61">
        <f>IF(BT110=0,"",BU110/BT110)</f>
        <v/>
      </c>
      <c r="BX110" s="27" t="n"/>
      <c r="BY110" s="62" t="n"/>
      <c r="BZ110" s="62" t="n"/>
      <c r="CA110" s="62">
        <f>BZ110-BY110</f>
        <v/>
      </c>
      <c r="CB110" s="64">
        <f>IF(BY110=0,"",BZ110/BY110)</f>
        <v/>
      </c>
      <c r="CC110" s="31" t="n"/>
      <c r="CD110" s="60" t="n"/>
      <c r="CE110" s="60" t="n"/>
      <c r="CF110" s="60">
        <f>CE110-CD110</f>
        <v/>
      </c>
      <c r="CG110" s="61">
        <f>IF(CD110=0,"",CE110/CD110)</f>
        <v/>
      </c>
      <c r="CH110" s="27" t="n"/>
      <c r="CI110" s="62" t="n"/>
      <c r="CJ110" s="62" t="n"/>
      <c r="CK110" s="62">
        <f>CJ110-CI110</f>
        <v/>
      </c>
      <c r="CL110" s="64">
        <f>IF(CI110=0,"",CJ110/CI110)</f>
        <v/>
      </c>
      <c r="CM110" s="31" t="n"/>
      <c r="CN110" s="60" t="n"/>
      <c r="CO110" s="60" t="n"/>
      <c r="CP110" s="60">
        <f>CO110-CN110</f>
        <v/>
      </c>
      <c r="CQ110" s="61">
        <f>IF(CN110=0,"",CO110/CN110)</f>
        <v/>
      </c>
      <c r="CR110" s="27" t="n"/>
      <c r="CS110" s="62" t="n"/>
      <c r="CT110" s="62" t="n"/>
      <c r="CU110" s="62">
        <f>CT110-CS110</f>
        <v/>
      </c>
      <c r="CV110" s="64">
        <f>IF(CS110=0,"",CT110/CS110)</f>
        <v/>
      </c>
      <c r="CW110" s="31" t="n"/>
      <c r="CX110" s="60" t="n"/>
      <c r="CY110" s="60" t="n"/>
      <c r="CZ110" s="60">
        <f>CY110-CX110</f>
        <v/>
      </c>
      <c r="DA110" s="61">
        <f>IF(CX110=0,"",CY110/CX110)</f>
        <v/>
      </c>
      <c r="DB110" s="27" t="n"/>
      <c r="DC110" s="62" t="n"/>
      <c r="DD110" s="62" t="n"/>
      <c r="DE110" s="62">
        <f>DD110-DC110</f>
        <v/>
      </c>
      <c r="DF110" s="64">
        <f>IF(DC110=0,"",DD110/DC110)</f>
        <v/>
      </c>
      <c r="DG110" s="31" t="n"/>
      <c r="DH110" s="60" t="n"/>
      <c r="DI110" s="60" t="n"/>
      <c r="DJ110" s="60">
        <f>DI110-DH110</f>
        <v/>
      </c>
      <c r="DK110" s="61">
        <f>IF(DH110=0,"",DI110/DH110)</f>
        <v/>
      </c>
      <c r="DL110" s="27" t="n"/>
      <c r="DM110" s="62" t="n"/>
      <c r="DN110" s="62" t="n"/>
      <c r="DO110" s="62">
        <f>DN110-DM110</f>
        <v/>
      </c>
      <c r="DP110" s="64">
        <f>IF(DM110=0,"",DN110/DM110)</f>
        <v/>
      </c>
      <c r="DQ110" s="31" t="n"/>
      <c r="DR110" s="60" t="n"/>
    </row>
    <row r="111" outlineLevel="1" ht="15" customHeight="1">
      <c r="A111" s="24" t="n"/>
      <c r="B111" s="24" t="n"/>
      <c r="C111" s="24" t="n"/>
      <c r="D111" s="24" t="n"/>
      <c r="E111" s="24" t="n"/>
      <c r="F111" s="24" t="n"/>
      <c r="G111" s="60" t="n"/>
      <c r="H111" s="60" t="n"/>
      <c r="I111" s="60">
        <f>H111-G111</f>
        <v/>
      </c>
      <c r="J111" s="61">
        <f>IF(G111=0,"",H111/G111)</f>
        <v/>
      </c>
      <c r="K111" s="27" t="n"/>
      <c r="L111" s="60" t="n"/>
      <c r="M111" s="60" t="n"/>
      <c r="N111" s="60">
        <f>M111-L111</f>
        <v/>
      </c>
      <c r="O111" s="61">
        <f>IF(L111=0,"",M111/L111)</f>
        <v/>
      </c>
      <c r="P111" s="27" t="n"/>
      <c r="Q111" s="62" t="n"/>
      <c r="R111" s="62" t="n"/>
      <c r="S111" s="62">
        <f>R111-Q111</f>
        <v/>
      </c>
      <c r="T111" s="64">
        <f>IF(Q111=0,"",R111/Q111)</f>
        <v/>
      </c>
      <c r="U111" s="31" t="n"/>
      <c r="V111" s="60" t="n"/>
      <c r="W111" s="60" t="n"/>
      <c r="X111" s="60">
        <f>W111-V111</f>
        <v/>
      </c>
      <c r="Y111" s="61">
        <f>IF(V111=0,"",W111/V111)</f>
        <v/>
      </c>
      <c r="Z111" s="27" t="n"/>
      <c r="AA111" s="62" t="n"/>
      <c r="AB111" s="62" t="n"/>
      <c r="AC111" s="62">
        <f>AB111-AA111</f>
        <v/>
      </c>
      <c r="AD111" s="64">
        <f>IF(AA111=0,"",AB111/AA111)</f>
        <v/>
      </c>
      <c r="AE111" s="31" t="n"/>
      <c r="AF111" s="60" t="n"/>
      <c r="AG111" s="60" t="n"/>
      <c r="AH111" s="60">
        <f>AG111-AF111</f>
        <v/>
      </c>
      <c r="AI111" s="61">
        <f>IF(AF111=0,"",AG111/AF111)</f>
        <v/>
      </c>
      <c r="AJ111" s="27" t="n"/>
      <c r="AK111" s="62" t="n"/>
      <c r="AL111" s="62" t="n"/>
      <c r="AM111" s="62">
        <f>AL111-AK111</f>
        <v/>
      </c>
      <c r="AN111" s="64">
        <f>IF(AK111=0,"",AL111/AK111)</f>
        <v/>
      </c>
      <c r="AO111" s="31" t="n"/>
      <c r="AP111" s="60" t="n"/>
      <c r="AQ111" s="60" t="n"/>
      <c r="AR111" s="60">
        <f>AQ111-AP111</f>
        <v/>
      </c>
      <c r="AS111" s="61">
        <f>IF(AP111=0,"",AQ111/AP111)</f>
        <v/>
      </c>
      <c r="AT111" s="27" t="n"/>
      <c r="AU111" s="62" t="n"/>
      <c r="AV111" s="62" t="n"/>
      <c r="AW111" s="62">
        <f>AV111-AU111</f>
        <v/>
      </c>
      <c r="AX111" s="64">
        <f>IF(AU111=0,"",AV111/AU111)</f>
        <v/>
      </c>
      <c r="AY111" s="31" t="n"/>
      <c r="AZ111" s="60" t="n"/>
      <c r="BA111" s="60" t="n"/>
      <c r="BB111" s="60">
        <f>BA111-AZ111</f>
        <v/>
      </c>
      <c r="BC111" s="61">
        <f>IF(AZ111=0,"",BA111/AZ111)</f>
        <v/>
      </c>
      <c r="BD111" s="27" t="n"/>
      <c r="BE111" s="62" t="n"/>
      <c r="BF111" s="62" t="n"/>
      <c r="BG111" s="62">
        <f>BF111-BE111</f>
        <v/>
      </c>
      <c r="BH111" s="64">
        <f>IF(BE111=0,"",BF111/BE111)</f>
        <v/>
      </c>
      <c r="BI111" s="31" t="n"/>
      <c r="BJ111" s="60" t="n"/>
      <c r="BK111" s="60" t="n"/>
      <c r="BL111" s="60">
        <f>BK111-BJ111</f>
        <v/>
      </c>
      <c r="BM111" s="61">
        <f>IF(BJ111=0,"",BK111/BJ111)</f>
        <v/>
      </c>
      <c r="BN111" s="27" t="n"/>
      <c r="BO111" s="62" t="n"/>
      <c r="BP111" s="62" t="n"/>
      <c r="BQ111" s="62">
        <f>BP111-BO111</f>
        <v/>
      </c>
      <c r="BR111" s="64">
        <f>IF(BO111=0,"",BP111/BO111)</f>
        <v/>
      </c>
      <c r="BS111" s="31" t="n"/>
      <c r="BT111" s="60" t="n"/>
      <c r="BU111" s="60" t="n"/>
      <c r="BV111" s="60">
        <f>BU111-BT111</f>
        <v/>
      </c>
      <c r="BW111" s="61">
        <f>IF(BT111=0,"",BU111/BT111)</f>
        <v/>
      </c>
      <c r="BX111" s="27" t="n"/>
      <c r="BY111" s="62" t="n"/>
      <c r="BZ111" s="62" t="n"/>
      <c r="CA111" s="62">
        <f>BZ111-BY111</f>
        <v/>
      </c>
      <c r="CB111" s="64">
        <f>IF(BY111=0,"",BZ111/BY111)</f>
        <v/>
      </c>
      <c r="CC111" s="31" t="n"/>
      <c r="CD111" s="60" t="n"/>
      <c r="CE111" s="60" t="n"/>
      <c r="CF111" s="60">
        <f>CE111-CD111</f>
        <v/>
      </c>
      <c r="CG111" s="61">
        <f>IF(CD111=0,"",CE111/CD111)</f>
        <v/>
      </c>
      <c r="CH111" s="27" t="n"/>
      <c r="CI111" s="62" t="n"/>
      <c r="CJ111" s="62" t="n"/>
      <c r="CK111" s="62">
        <f>CJ111-CI111</f>
        <v/>
      </c>
      <c r="CL111" s="64">
        <f>IF(CI111=0,"",CJ111/CI111)</f>
        <v/>
      </c>
      <c r="CM111" s="31" t="n"/>
      <c r="CN111" s="60" t="n"/>
      <c r="CO111" s="60" t="n"/>
      <c r="CP111" s="60">
        <f>CO111-CN111</f>
        <v/>
      </c>
      <c r="CQ111" s="61">
        <f>IF(CN111=0,"",CO111/CN111)</f>
        <v/>
      </c>
      <c r="CR111" s="27" t="n"/>
      <c r="CS111" s="62" t="n"/>
      <c r="CT111" s="62" t="n"/>
      <c r="CU111" s="62">
        <f>CT111-CS111</f>
        <v/>
      </c>
      <c r="CV111" s="64">
        <f>IF(CS111=0,"",CT111/CS111)</f>
        <v/>
      </c>
      <c r="CW111" s="31" t="n"/>
      <c r="CX111" s="60" t="n"/>
      <c r="CY111" s="60" t="n"/>
      <c r="CZ111" s="60">
        <f>CY111-CX111</f>
        <v/>
      </c>
      <c r="DA111" s="61">
        <f>IF(CX111=0,"",CY111/CX111)</f>
        <v/>
      </c>
      <c r="DB111" s="27" t="n"/>
      <c r="DC111" s="62" t="n"/>
      <c r="DD111" s="62" t="n"/>
      <c r="DE111" s="62">
        <f>DD111-DC111</f>
        <v/>
      </c>
      <c r="DF111" s="64">
        <f>IF(DC111=0,"",DD111/DC111)</f>
        <v/>
      </c>
      <c r="DG111" s="31" t="n"/>
      <c r="DH111" s="60" t="n"/>
      <c r="DI111" s="60" t="n"/>
      <c r="DJ111" s="60">
        <f>DI111-DH111</f>
        <v/>
      </c>
      <c r="DK111" s="61">
        <f>IF(DH111=0,"",DI111/DH111)</f>
        <v/>
      </c>
      <c r="DL111" s="27" t="n"/>
      <c r="DM111" s="62" t="n"/>
      <c r="DN111" s="62" t="n"/>
      <c r="DO111" s="62">
        <f>DN111-DM111</f>
        <v/>
      </c>
      <c r="DP111" s="64">
        <f>IF(DM111=0,"",DN111/DM111)</f>
        <v/>
      </c>
      <c r="DQ111" s="31" t="n"/>
      <c r="DR111" s="60" t="n"/>
    </row>
    <row r="112" ht="15" customHeight="1">
      <c r="A112" s="32" t="n"/>
      <c r="B112" s="32" t="n"/>
      <c r="C112" s="32" t="n"/>
      <c r="D112" s="32" t="n"/>
      <c r="E112" s="32" t="n"/>
      <c r="F112" s="32" t="n"/>
      <c r="G112" s="65">
        <f>G113+G114+G115+G116+G117+G118</f>
        <v/>
      </c>
      <c r="H112" s="65">
        <f>H113+H114+H115+H116+H117+H118</f>
        <v/>
      </c>
      <c r="I112" s="65">
        <f>H112-G112</f>
        <v/>
      </c>
      <c r="J112" s="66">
        <f>IF(G112=0,"",H112/G112)</f>
        <v/>
      </c>
      <c r="K112" s="35" t="n"/>
      <c r="L112" s="65">
        <f>L113+L114+L115+L116+L117+L118</f>
        <v/>
      </c>
      <c r="M112" s="65">
        <f>M113+M114+M115+M116+M117+M118</f>
        <v/>
      </c>
      <c r="N112" s="65">
        <f>M112-L112</f>
        <v/>
      </c>
      <c r="O112" s="66">
        <f>IF(L112=0,"",M112/L112)</f>
        <v/>
      </c>
      <c r="P112" s="35" t="n"/>
      <c r="Q112" s="65">
        <f>Q113+Q114+Q115+Q116+Q117+Q118</f>
        <v/>
      </c>
      <c r="R112" s="65">
        <f>R113+R114+R115+R116+R117+R118</f>
        <v/>
      </c>
      <c r="S112" s="65">
        <f>R112-Q112</f>
        <v/>
      </c>
      <c r="T112" s="66">
        <f>IF(Q112=0,"",R112/Q112)</f>
        <v/>
      </c>
      <c r="U112" s="35" t="n"/>
      <c r="V112" s="65">
        <f>V113+V114+V115+V116+V117+V118</f>
        <v/>
      </c>
      <c r="W112" s="65">
        <f>W113+W114+W115+W116+W117+W118</f>
        <v/>
      </c>
      <c r="X112" s="65">
        <f>W112-V112</f>
        <v/>
      </c>
      <c r="Y112" s="66">
        <f>IF(V112=0,"",W112/V112)</f>
        <v/>
      </c>
      <c r="Z112" s="35" t="n"/>
      <c r="AA112" s="65">
        <f>AA113+AA114+AA115+AA116+AA117+AA118</f>
        <v/>
      </c>
      <c r="AB112" s="65">
        <f>AB113+AB114+AB115+AB116+AB117+AB118</f>
        <v/>
      </c>
      <c r="AC112" s="65">
        <f>AB112-AA112</f>
        <v/>
      </c>
      <c r="AD112" s="66">
        <f>IF(AA112=0,"",AB112/AA112)</f>
        <v/>
      </c>
      <c r="AE112" s="35" t="n"/>
      <c r="AF112" s="65">
        <f>AF113+AF114+AF115+AF116+AF117+AF118</f>
        <v/>
      </c>
      <c r="AG112" s="65">
        <f>AG113+AG114+AG115+AG116+AG117+AG118</f>
        <v/>
      </c>
      <c r="AH112" s="65">
        <f>AG112-AF112</f>
        <v/>
      </c>
      <c r="AI112" s="66">
        <f>IF(AF112=0,"",AG112/AF112)</f>
        <v/>
      </c>
      <c r="AJ112" s="35" t="n"/>
      <c r="AK112" s="65">
        <f>AK113+AK114+AK115+AK116+AK117+AK118</f>
        <v/>
      </c>
      <c r="AL112" s="65">
        <f>AL113+AL114+AL115+AL116+AL117+AL118</f>
        <v/>
      </c>
      <c r="AM112" s="65">
        <f>AL112-AK112</f>
        <v/>
      </c>
      <c r="AN112" s="66">
        <f>IF(AK112=0,"",AL112/AK112)</f>
        <v/>
      </c>
      <c r="AO112" s="35" t="n"/>
      <c r="AP112" s="65">
        <f>AP113+AP114+AP115+AP116+AP117+AP118</f>
        <v/>
      </c>
      <c r="AQ112" s="65">
        <f>AQ113+AQ114+AQ115+AQ116+AQ117+AQ118</f>
        <v/>
      </c>
      <c r="AR112" s="65">
        <f>AQ112-AP112</f>
        <v/>
      </c>
      <c r="AS112" s="66">
        <f>IF(AP112=0,"",AQ112/AP112)</f>
        <v/>
      </c>
      <c r="AT112" s="35" t="n"/>
      <c r="AU112" s="65">
        <f>AU113+AU114+AU115+AU116+AU117+AU118</f>
        <v/>
      </c>
      <c r="AV112" s="65">
        <f>AV113+AV114+AV115+AV116+AV117+AV118</f>
        <v/>
      </c>
      <c r="AW112" s="65">
        <f>AV112-AU112</f>
        <v/>
      </c>
      <c r="AX112" s="66">
        <f>IF(AU112=0,"",AV112/AU112)</f>
        <v/>
      </c>
      <c r="AY112" s="35" t="n"/>
      <c r="AZ112" s="65">
        <f>AZ113+AZ114+AZ115+AZ116+AZ117+AZ118</f>
        <v/>
      </c>
      <c r="BA112" s="65">
        <f>BA113+BA114+BA115+BA116+BA117+BA118</f>
        <v/>
      </c>
      <c r="BB112" s="65">
        <f>BA112-AZ112</f>
        <v/>
      </c>
      <c r="BC112" s="66">
        <f>IF(AZ112=0,"",BA112/AZ112)</f>
        <v/>
      </c>
      <c r="BD112" s="35" t="n"/>
      <c r="BE112" s="65">
        <f>BE113+BE114+BE115+BE116+BE117+BE118</f>
        <v/>
      </c>
      <c r="BF112" s="65">
        <f>BF113+BF114+BF115+BF116+BF117+BF118</f>
        <v/>
      </c>
      <c r="BG112" s="65">
        <f>BF112-BE112</f>
        <v/>
      </c>
      <c r="BH112" s="66">
        <f>IF(BE112=0,"",BF112/BE112)</f>
        <v/>
      </c>
      <c r="BI112" s="35" t="n"/>
      <c r="BJ112" s="65">
        <f>BJ113+BJ114+BJ115+BJ116+BJ117+BJ118</f>
        <v/>
      </c>
      <c r="BK112" s="65">
        <f>BK113+BK114+BK115+BK116+BK117+BK118</f>
        <v/>
      </c>
      <c r="BL112" s="65">
        <f>BK112-BJ112</f>
        <v/>
      </c>
      <c r="BM112" s="66">
        <f>IF(BJ112=0,"",BK112/BJ112)</f>
        <v/>
      </c>
      <c r="BN112" s="35" t="n"/>
      <c r="BO112" s="65">
        <f>BO113+BO114+BO115+BO116+BO117+BO118</f>
        <v/>
      </c>
      <c r="BP112" s="65">
        <f>BP113+BP114+BP115+BP116+BP117+BP118</f>
        <v/>
      </c>
      <c r="BQ112" s="65">
        <f>BP112-BO112</f>
        <v/>
      </c>
      <c r="BR112" s="66">
        <f>IF(BO112=0,"",BP112/BO112)</f>
        <v/>
      </c>
      <c r="BS112" s="35" t="n"/>
      <c r="BT112" s="65">
        <f>BT113+BT114+BT115+BT116+BT117+BT118</f>
        <v/>
      </c>
      <c r="BU112" s="65">
        <f>BU113+BU114+BU115+BU116+BU117+BU118</f>
        <v/>
      </c>
      <c r="BV112" s="65">
        <f>BU112-BT112</f>
        <v/>
      </c>
      <c r="BW112" s="66">
        <f>IF(BT112=0,"",BU112/BT112)</f>
        <v/>
      </c>
      <c r="BX112" s="35" t="n"/>
      <c r="BY112" s="65">
        <f>BY113+BY114+BY115+BY116+BY117+BY118</f>
        <v/>
      </c>
      <c r="BZ112" s="65">
        <f>BZ113+BZ114+BZ115+BZ116+BZ117+BZ118</f>
        <v/>
      </c>
      <c r="CA112" s="65">
        <f>BZ112-BY112</f>
        <v/>
      </c>
      <c r="CB112" s="66">
        <f>IF(BY112=0,"",BZ112/BY112)</f>
        <v/>
      </c>
      <c r="CC112" s="35" t="n"/>
      <c r="CD112" s="65">
        <f>CD113+CD114+CD115+CD116+CD117+CD118</f>
        <v/>
      </c>
      <c r="CE112" s="65">
        <f>CE113+CE114+CE115+CE116+CE117+CE118</f>
        <v/>
      </c>
      <c r="CF112" s="65">
        <f>CE112-CD112</f>
        <v/>
      </c>
      <c r="CG112" s="66">
        <f>IF(CD112=0,"",CE112/CD112)</f>
        <v/>
      </c>
      <c r="CH112" s="35" t="n"/>
      <c r="CI112" s="65">
        <f>CI113+CI114+CI115+CI116+CI117+CI118</f>
        <v/>
      </c>
      <c r="CJ112" s="65">
        <f>CJ113+CJ114+CJ115+CJ116+CJ117+CJ118</f>
        <v/>
      </c>
      <c r="CK112" s="65">
        <f>CJ112-CI112</f>
        <v/>
      </c>
      <c r="CL112" s="66">
        <f>IF(CI112=0,"",CJ112/CI112)</f>
        <v/>
      </c>
      <c r="CM112" s="35" t="n"/>
      <c r="CN112" s="65">
        <f>CN113+CN114+CN115+CN116+CN117+CN118</f>
        <v/>
      </c>
      <c r="CO112" s="65">
        <f>CO113+CO114+CO115+CO116+CO117+CO118</f>
        <v/>
      </c>
      <c r="CP112" s="65">
        <f>CO112-CN112</f>
        <v/>
      </c>
      <c r="CQ112" s="66">
        <f>IF(CN112=0,"",CO112/CN112)</f>
        <v/>
      </c>
      <c r="CR112" s="35" t="n"/>
      <c r="CS112" s="65">
        <f>CS113+CS114+CS115+CS116+CS117+CS118</f>
        <v/>
      </c>
      <c r="CT112" s="65">
        <f>CT113+CT114+CT115+CT116+CT117+CT118</f>
        <v/>
      </c>
      <c r="CU112" s="65">
        <f>CT112-CS112</f>
        <v/>
      </c>
      <c r="CV112" s="66">
        <f>IF(CS112=0,"",CT112/CS112)</f>
        <v/>
      </c>
      <c r="CW112" s="35" t="n"/>
      <c r="CX112" s="65">
        <f>CX113+CX114+CX115+CX116+CX117+CX118</f>
        <v/>
      </c>
      <c r="CY112" s="65">
        <f>CY113+CY114+CY115+CY116+CY117+CY118</f>
        <v/>
      </c>
      <c r="CZ112" s="65">
        <f>CY112-CX112</f>
        <v/>
      </c>
      <c r="DA112" s="66">
        <f>IF(CX112=0,"",CY112/CX112)</f>
        <v/>
      </c>
      <c r="DB112" s="35" t="n"/>
      <c r="DC112" s="65">
        <f>DC113+DC114+DC115+DC116+DC117+DC118</f>
        <v/>
      </c>
      <c r="DD112" s="65">
        <f>DD113+DD114+DD115+DD116+DD117+DD118</f>
        <v/>
      </c>
      <c r="DE112" s="65">
        <f>DD112-DC112</f>
        <v/>
      </c>
      <c r="DF112" s="66">
        <f>IF(DC112=0,"",DD112/DC112)</f>
        <v/>
      </c>
      <c r="DG112" s="35" t="n"/>
      <c r="DH112" s="65">
        <f>DH113+DH114+DH115+DH116+DH117+DH118</f>
        <v/>
      </c>
      <c r="DI112" s="65">
        <f>DI113+DI114+DI115+DI116+DI117+DI118</f>
        <v/>
      </c>
      <c r="DJ112" s="65">
        <f>DI112-DH112</f>
        <v/>
      </c>
      <c r="DK112" s="66">
        <f>IF(DH112=0,"",DI112/DH112)</f>
        <v/>
      </c>
      <c r="DL112" s="35" t="n"/>
      <c r="DM112" s="65">
        <f>DM113+DM114+DM115+DM116+DM117+DM118</f>
        <v/>
      </c>
      <c r="DN112" s="65">
        <f>DN113+DN114+DN115+DN116+DN117+DN118</f>
        <v/>
      </c>
      <c r="DO112" s="65">
        <f>DN112-DM112</f>
        <v/>
      </c>
      <c r="DP112" s="66">
        <f>IF(DM112=0,"",DN112/DM112)</f>
        <v/>
      </c>
      <c r="DQ112" s="35" t="n"/>
      <c r="DR112" s="65">
        <f>DR113+DR114+DR115+DR116+DR117+DR118</f>
        <v/>
      </c>
    </row>
    <row r="113" outlineLevel="1" ht="15" customHeight="1">
      <c r="A113" s="24" t="n"/>
      <c r="B113" s="24" t="n"/>
      <c r="C113" s="24" t="n"/>
      <c r="D113" s="24" t="n"/>
      <c r="E113" s="24" t="n"/>
      <c r="F113" s="24" t="n"/>
      <c r="G113" s="60" t="n"/>
      <c r="H113" s="60" t="n"/>
      <c r="I113" s="60">
        <f>H113-G113</f>
        <v/>
      </c>
      <c r="J113" s="61">
        <f>IF(G113=0,"",H113/G113)</f>
        <v/>
      </c>
      <c r="K113" s="27" t="n"/>
      <c r="L113" s="60" t="n"/>
      <c r="M113" s="60" t="n"/>
      <c r="N113" s="60">
        <f>M113-L113</f>
        <v/>
      </c>
      <c r="O113" s="61">
        <f>IF(L113=0,"",M113/L113)</f>
        <v/>
      </c>
      <c r="P113" s="27" t="n"/>
      <c r="Q113" s="62" t="n"/>
      <c r="R113" s="62" t="n"/>
      <c r="S113" s="62">
        <f>R113-Q113</f>
        <v/>
      </c>
      <c r="T113" s="64">
        <f>IF(Q113=0,"",R113/Q113)</f>
        <v/>
      </c>
      <c r="U113" s="31" t="n"/>
      <c r="V113" s="60" t="n"/>
      <c r="W113" s="60" t="n"/>
      <c r="X113" s="60">
        <f>W113-V113</f>
        <v/>
      </c>
      <c r="Y113" s="61">
        <f>IF(V113=0,"",W113/V113)</f>
        <v/>
      </c>
      <c r="Z113" s="27" t="n"/>
      <c r="AA113" s="62" t="n"/>
      <c r="AB113" s="62" t="n"/>
      <c r="AC113" s="62">
        <f>AB113-AA113</f>
        <v/>
      </c>
      <c r="AD113" s="64">
        <f>IF(AA113=0,"",AB113/AA113)</f>
        <v/>
      </c>
      <c r="AE113" s="31" t="n"/>
      <c r="AF113" s="60" t="n"/>
      <c r="AG113" s="60" t="n"/>
      <c r="AH113" s="60">
        <f>AG113-AF113</f>
        <v/>
      </c>
      <c r="AI113" s="61">
        <f>IF(AF113=0,"",AG113/AF113)</f>
        <v/>
      </c>
      <c r="AJ113" s="27" t="n"/>
      <c r="AK113" s="62" t="n"/>
      <c r="AL113" s="62" t="n"/>
      <c r="AM113" s="62">
        <f>AL113-AK113</f>
        <v/>
      </c>
      <c r="AN113" s="64">
        <f>IF(AK113=0,"",AL113/AK113)</f>
        <v/>
      </c>
      <c r="AO113" s="31" t="n"/>
      <c r="AP113" s="60" t="n"/>
      <c r="AQ113" s="60" t="n"/>
      <c r="AR113" s="60">
        <f>AQ113-AP113</f>
        <v/>
      </c>
      <c r="AS113" s="61">
        <f>IF(AP113=0,"",AQ113/AP113)</f>
        <v/>
      </c>
      <c r="AT113" s="27" t="n"/>
      <c r="AU113" s="62" t="n"/>
      <c r="AV113" s="62" t="n"/>
      <c r="AW113" s="62">
        <f>AV113-AU113</f>
        <v/>
      </c>
      <c r="AX113" s="64">
        <f>IF(AU113=0,"",AV113/AU113)</f>
        <v/>
      </c>
      <c r="AY113" s="31" t="n"/>
      <c r="AZ113" s="60" t="n"/>
      <c r="BA113" s="60" t="n"/>
      <c r="BB113" s="60">
        <f>BA113-AZ113</f>
        <v/>
      </c>
      <c r="BC113" s="61">
        <f>IF(AZ113=0,"",BA113/AZ113)</f>
        <v/>
      </c>
      <c r="BD113" s="27" t="n"/>
      <c r="BE113" s="62" t="n"/>
      <c r="BF113" s="62" t="n"/>
      <c r="BG113" s="62">
        <f>BF113-BE113</f>
        <v/>
      </c>
      <c r="BH113" s="64">
        <f>IF(BE113=0,"",BF113/BE113)</f>
        <v/>
      </c>
      <c r="BI113" s="31" t="n"/>
      <c r="BJ113" s="60" t="n"/>
      <c r="BK113" s="60" t="n"/>
      <c r="BL113" s="60">
        <f>BK113-BJ113</f>
        <v/>
      </c>
      <c r="BM113" s="61">
        <f>IF(BJ113=0,"",BK113/BJ113)</f>
        <v/>
      </c>
      <c r="BN113" s="27" t="n"/>
      <c r="BO113" s="62" t="n"/>
      <c r="BP113" s="62" t="n"/>
      <c r="BQ113" s="62">
        <f>BP113-BO113</f>
        <v/>
      </c>
      <c r="BR113" s="64">
        <f>IF(BO113=0,"",BP113/BO113)</f>
        <v/>
      </c>
      <c r="BS113" s="31" t="n"/>
      <c r="BT113" s="60" t="n"/>
      <c r="BU113" s="60" t="n"/>
      <c r="BV113" s="60">
        <f>BU113-BT113</f>
        <v/>
      </c>
      <c r="BW113" s="61">
        <f>IF(BT113=0,"",BU113/BT113)</f>
        <v/>
      </c>
      <c r="BX113" s="27" t="n"/>
      <c r="BY113" s="62" t="n"/>
      <c r="BZ113" s="62" t="n"/>
      <c r="CA113" s="62">
        <f>BZ113-BY113</f>
        <v/>
      </c>
      <c r="CB113" s="64">
        <f>IF(BY113=0,"",BZ113/BY113)</f>
        <v/>
      </c>
      <c r="CC113" s="31" t="n"/>
      <c r="CD113" s="60" t="n"/>
      <c r="CE113" s="60" t="n"/>
      <c r="CF113" s="60">
        <f>CE113-CD113</f>
        <v/>
      </c>
      <c r="CG113" s="61">
        <f>IF(CD113=0,"",CE113/CD113)</f>
        <v/>
      </c>
      <c r="CH113" s="27" t="n"/>
      <c r="CI113" s="62" t="n"/>
      <c r="CJ113" s="62" t="n"/>
      <c r="CK113" s="62">
        <f>CJ113-CI113</f>
        <v/>
      </c>
      <c r="CL113" s="64">
        <f>IF(CI113=0,"",CJ113/CI113)</f>
        <v/>
      </c>
      <c r="CM113" s="31" t="n"/>
      <c r="CN113" s="60" t="n"/>
      <c r="CO113" s="60" t="n"/>
      <c r="CP113" s="60">
        <f>CO113-CN113</f>
        <v/>
      </c>
      <c r="CQ113" s="61">
        <f>IF(CN113=0,"",CO113/CN113)</f>
        <v/>
      </c>
      <c r="CR113" s="27" t="n"/>
      <c r="CS113" s="62" t="n"/>
      <c r="CT113" s="62" t="n"/>
      <c r="CU113" s="62">
        <f>CT113-CS113</f>
        <v/>
      </c>
      <c r="CV113" s="64">
        <f>IF(CS113=0,"",CT113/CS113)</f>
        <v/>
      </c>
      <c r="CW113" s="31" t="n"/>
      <c r="CX113" s="60" t="n"/>
      <c r="CY113" s="60" t="n"/>
      <c r="CZ113" s="60">
        <f>CY113-CX113</f>
        <v/>
      </c>
      <c r="DA113" s="61">
        <f>IF(CX113=0,"",CY113/CX113)</f>
        <v/>
      </c>
      <c r="DB113" s="27" t="n"/>
      <c r="DC113" s="62" t="n"/>
      <c r="DD113" s="62" t="n"/>
      <c r="DE113" s="62">
        <f>DD113-DC113</f>
        <v/>
      </c>
      <c r="DF113" s="64">
        <f>IF(DC113=0,"",DD113/DC113)</f>
        <v/>
      </c>
      <c r="DG113" s="31" t="n"/>
      <c r="DH113" s="60" t="n"/>
      <c r="DI113" s="60" t="n"/>
      <c r="DJ113" s="60">
        <f>DI113-DH113</f>
        <v/>
      </c>
      <c r="DK113" s="61">
        <f>IF(DH113=0,"",DI113/DH113)</f>
        <v/>
      </c>
      <c r="DL113" s="27" t="n"/>
      <c r="DM113" s="62" t="n"/>
      <c r="DN113" s="62" t="n"/>
      <c r="DO113" s="62">
        <f>DN113-DM113</f>
        <v/>
      </c>
      <c r="DP113" s="64">
        <f>IF(DM113=0,"",DN113/DM113)</f>
        <v/>
      </c>
      <c r="DQ113" s="31" t="n"/>
      <c r="DR113" s="60" t="n"/>
    </row>
    <row r="114" outlineLevel="1" ht="15" customHeight="1">
      <c r="A114" s="24" t="n"/>
      <c r="B114" s="24" t="n"/>
      <c r="C114" s="24" t="n"/>
      <c r="D114" s="24" t="n"/>
      <c r="E114" s="24" t="n"/>
      <c r="F114" s="24" t="n"/>
      <c r="G114" s="60" t="n"/>
      <c r="H114" s="60" t="n"/>
      <c r="I114" s="60">
        <f>H114-G114</f>
        <v/>
      </c>
      <c r="J114" s="61">
        <f>IF(G114=0,"",H114/G114)</f>
        <v/>
      </c>
      <c r="K114" s="27" t="n"/>
      <c r="L114" s="60" t="n"/>
      <c r="M114" s="60" t="n"/>
      <c r="N114" s="60">
        <f>M114-L114</f>
        <v/>
      </c>
      <c r="O114" s="61">
        <f>IF(L114=0,"",M114/L114)</f>
        <v/>
      </c>
      <c r="P114" s="27" t="n"/>
      <c r="Q114" s="62" t="n"/>
      <c r="R114" s="62" t="n"/>
      <c r="S114" s="62">
        <f>R114-Q114</f>
        <v/>
      </c>
      <c r="T114" s="64">
        <f>IF(Q114=0,"",R114/Q114)</f>
        <v/>
      </c>
      <c r="U114" s="31" t="n"/>
      <c r="V114" s="60" t="n"/>
      <c r="W114" s="60" t="n"/>
      <c r="X114" s="60">
        <f>W114-V114</f>
        <v/>
      </c>
      <c r="Y114" s="61">
        <f>IF(V114=0,"",W114/V114)</f>
        <v/>
      </c>
      <c r="Z114" s="27" t="n"/>
      <c r="AA114" s="62" t="n"/>
      <c r="AB114" s="62" t="n"/>
      <c r="AC114" s="62">
        <f>AB114-AA114</f>
        <v/>
      </c>
      <c r="AD114" s="64">
        <f>IF(AA114=0,"",AB114/AA114)</f>
        <v/>
      </c>
      <c r="AE114" s="31" t="n"/>
      <c r="AF114" s="60" t="n"/>
      <c r="AG114" s="60" t="n"/>
      <c r="AH114" s="60">
        <f>AG114-AF114</f>
        <v/>
      </c>
      <c r="AI114" s="61">
        <f>IF(AF114=0,"",AG114/AF114)</f>
        <v/>
      </c>
      <c r="AJ114" s="27" t="n"/>
      <c r="AK114" s="62" t="n"/>
      <c r="AL114" s="62" t="n"/>
      <c r="AM114" s="62">
        <f>AL114-AK114</f>
        <v/>
      </c>
      <c r="AN114" s="64">
        <f>IF(AK114=0,"",AL114/AK114)</f>
        <v/>
      </c>
      <c r="AO114" s="31" t="n"/>
      <c r="AP114" s="60" t="n"/>
      <c r="AQ114" s="60" t="n"/>
      <c r="AR114" s="60">
        <f>AQ114-AP114</f>
        <v/>
      </c>
      <c r="AS114" s="61">
        <f>IF(AP114=0,"",AQ114/AP114)</f>
        <v/>
      </c>
      <c r="AT114" s="27" t="n"/>
      <c r="AU114" s="62" t="n"/>
      <c r="AV114" s="62" t="n"/>
      <c r="AW114" s="62">
        <f>AV114-AU114</f>
        <v/>
      </c>
      <c r="AX114" s="64">
        <f>IF(AU114=0,"",AV114/AU114)</f>
        <v/>
      </c>
      <c r="AY114" s="31" t="n"/>
      <c r="AZ114" s="60" t="n"/>
      <c r="BA114" s="60" t="n"/>
      <c r="BB114" s="60">
        <f>BA114-AZ114</f>
        <v/>
      </c>
      <c r="BC114" s="61">
        <f>IF(AZ114=0,"",BA114/AZ114)</f>
        <v/>
      </c>
      <c r="BD114" s="27" t="n"/>
      <c r="BE114" s="62" t="n"/>
      <c r="BF114" s="62" t="n"/>
      <c r="BG114" s="62">
        <f>BF114-BE114</f>
        <v/>
      </c>
      <c r="BH114" s="64">
        <f>IF(BE114=0,"",BF114/BE114)</f>
        <v/>
      </c>
      <c r="BI114" s="31" t="n"/>
      <c r="BJ114" s="60" t="n"/>
      <c r="BK114" s="60" t="n"/>
      <c r="BL114" s="60">
        <f>BK114-BJ114</f>
        <v/>
      </c>
      <c r="BM114" s="61">
        <f>IF(BJ114=0,"",BK114/BJ114)</f>
        <v/>
      </c>
      <c r="BN114" s="27" t="n"/>
      <c r="BO114" s="62" t="n"/>
      <c r="BP114" s="62" t="n"/>
      <c r="BQ114" s="62">
        <f>BP114-BO114</f>
        <v/>
      </c>
      <c r="BR114" s="64">
        <f>IF(BO114=0,"",BP114/BO114)</f>
        <v/>
      </c>
      <c r="BS114" s="31" t="n"/>
      <c r="BT114" s="60" t="n"/>
      <c r="BU114" s="60" t="n"/>
      <c r="BV114" s="60">
        <f>BU114-BT114</f>
        <v/>
      </c>
      <c r="BW114" s="61">
        <f>IF(BT114=0,"",BU114/BT114)</f>
        <v/>
      </c>
      <c r="BX114" s="27" t="n"/>
      <c r="BY114" s="62" t="n"/>
      <c r="BZ114" s="62" t="n"/>
      <c r="CA114" s="62">
        <f>BZ114-BY114</f>
        <v/>
      </c>
      <c r="CB114" s="64">
        <f>IF(BY114=0,"",BZ114/BY114)</f>
        <v/>
      </c>
      <c r="CC114" s="31" t="n"/>
      <c r="CD114" s="60" t="n"/>
      <c r="CE114" s="60" t="n"/>
      <c r="CF114" s="60">
        <f>CE114-CD114</f>
        <v/>
      </c>
      <c r="CG114" s="61">
        <f>IF(CD114=0,"",CE114/CD114)</f>
        <v/>
      </c>
      <c r="CH114" s="27" t="n"/>
      <c r="CI114" s="62" t="n"/>
      <c r="CJ114" s="62" t="n"/>
      <c r="CK114" s="62">
        <f>CJ114-CI114</f>
        <v/>
      </c>
      <c r="CL114" s="64">
        <f>IF(CI114=0,"",CJ114/CI114)</f>
        <v/>
      </c>
      <c r="CM114" s="31" t="n"/>
      <c r="CN114" s="60" t="n"/>
      <c r="CO114" s="60" t="n"/>
      <c r="CP114" s="60">
        <f>CO114-CN114</f>
        <v/>
      </c>
      <c r="CQ114" s="61">
        <f>IF(CN114=0,"",CO114/CN114)</f>
        <v/>
      </c>
      <c r="CR114" s="27" t="n"/>
      <c r="CS114" s="62" t="n"/>
      <c r="CT114" s="62" t="n"/>
      <c r="CU114" s="62">
        <f>CT114-CS114</f>
        <v/>
      </c>
      <c r="CV114" s="64">
        <f>IF(CS114=0,"",CT114/CS114)</f>
        <v/>
      </c>
      <c r="CW114" s="31" t="n"/>
      <c r="CX114" s="60" t="n"/>
      <c r="CY114" s="60" t="n"/>
      <c r="CZ114" s="60">
        <f>CY114-CX114</f>
        <v/>
      </c>
      <c r="DA114" s="61">
        <f>IF(CX114=0,"",CY114/CX114)</f>
        <v/>
      </c>
      <c r="DB114" s="27" t="n"/>
      <c r="DC114" s="62" t="n"/>
      <c r="DD114" s="62" t="n"/>
      <c r="DE114" s="62">
        <f>DD114-DC114</f>
        <v/>
      </c>
      <c r="DF114" s="64">
        <f>IF(DC114=0,"",DD114/DC114)</f>
        <v/>
      </c>
      <c r="DG114" s="31" t="n"/>
      <c r="DH114" s="60" t="n"/>
      <c r="DI114" s="60" t="n"/>
      <c r="DJ114" s="60">
        <f>DI114-DH114</f>
        <v/>
      </c>
      <c r="DK114" s="61">
        <f>IF(DH114=0,"",DI114/DH114)</f>
        <v/>
      </c>
      <c r="DL114" s="27" t="n"/>
      <c r="DM114" s="62" t="n"/>
      <c r="DN114" s="62" t="n"/>
      <c r="DO114" s="62">
        <f>DN114-DM114</f>
        <v/>
      </c>
      <c r="DP114" s="64">
        <f>IF(DM114=0,"",DN114/DM114)</f>
        <v/>
      </c>
      <c r="DQ114" s="31" t="n"/>
      <c r="DR114" s="60" t="n"/>
    </row>
    <row r="115" outlineLevel="1" ht="15" customHeight="1">
      <c r="A115" s="24" t="n"/>
      <c r="B115" s="24" t="n"/>
      <c r="C115" s="24" t="n"/>
      <c r="D115" s="24" t="n"/>
      <c r="E115" s="24" t="n"/>
      <c r="F115" s="24" t="n"/>
      <c r="G115" s="60" t="n"/>
      <c r="H115" s="60" t="n"/>
      <c r="I115" s="60">
        <f>H115-G115</f>
        <v/>
      </c>
      <c r="J115" s="61">
        <f>IF(G115=0,"",H115/G115)</f>
        <v/>
      </c>
      <c r="K115" s="27" t="n"/>
      <c r="L115" s="60" t="n"/>
      <c r="M115" s="60" t="n"/>
      <c r="N115" s="60">
        <f>M115-L115</f>
        <v/>
      </c>
      <c r="O115" s="61">
        <f>IF(L115=0,"",M115/L115)</f>
        <v/>
      </c>
      <c r="P115" s="27" t="n"/>
      <c r="Q115" s="62" t="n"/>
      <c r="R115" s="62" t="n"/>
      <c r="S115" s="62">
        <f>R115-Q115</f>
        <v/>
      </c>
      <c r="T115" s="64">
        <f>IF(Q115=0,"",R115/Q115)</f>
        <v/>
      </c>
      <c r="U115" s="31" t="n"/>
      <c r="V115" s="60" t="n"/>
      <c r="W115" s="60" t="n"/>
      <c r="X115" s="60">
        <f>W115-V115</f>
        <v/>
      </c>
      <c r="Y115" s="61">
        <f>IF(V115=0,"",W115/V115)</f>
        <v/>
      </c>
      <c r="Z115" s="27" t="n"/>
      <c r="AA115" s="62" t="n"/>
      <c r="AB115" s="62" t="n"/>
      <c r="AC115" s="62">
        <f>AB115-AA115</f>
        <v/>
      </c>
      <c r="AD115" s="64">
        <f>IF(AA115=0,"",AB115/AA115)</f>
        <v/>
      </c>
      <c r="AE115" s="31" t="n"/>
      <c r="AF115" s="60" t="n"/>
      <c r="AG115" s="60" t="n"/>
      <c r="AH115" s="60">
        <f>AG115-AF115</f>
        <v/>
      </c>
      <c r="AI115" s="61">
        <f>IF(AF115=0,"",AG115/AF115)</f>
        <v/>
      </c>
      <c r="AJ115" s="27" t="n"/>
      <c r="AK115" s="62" t="n"/>
      <c r="AL115" s="62" t="n"/>
      <c r="AM115" s="62">
        <f>AL115-AK115</f>
        <v/>
      </c>
      <c r="AN115" s="64">
        <f>IF(AK115=0,"",AL115/AK115)</f>
        <v/>
      </c>
      <c r="AO115" s="31" t="n"/>
      <c r="AP115" s="60" t="n"/>
      <c r="AQ115" s="60" t="n"/>
      <c r="AR115" s="60">
        <f>AQ115-AP115</f>
        <v/>
      </c>
      <c r="AS115" s="61">
        <f>IF(AP115=0,"",AQ115/AP115)</f>
        <v/>
      </c>
      <c r="AT115" s="27" t="n"/>
      <c r="AU115" s="62" t="n"/>
      <c r="AV115" s="62" t="n"/>
      <c r="AW115" s="62">
        <f>AV115-AU115</f>
        <v/>
      </c>
      <c r="AX115" s="64">
        <f>IF(AU115=0,"",AV115/AU115)</f>
        <v/>
      </c>
      <c r="AY115" s="31" t="n"/>
      <c r="AZ115" s="60" t="n"/>
      <c r="BA115" s="60" t="n"/>
      <c r="BB115" s="60">
        <f>BA115-AZ115</f>
        <v/>
      </c>
      <c r="BC115" s="61">
        <f>IF(AZ115=0,"",BA115/AZ115)</f>
        <v/>
      </c>
      <c r="BD115" s="27" t="n"/>
      <c r="BE115" s="62" t="n"/>
      <c r="BF115" s="62" t="n"/>
      <c r="BG115" s="62">
        <f>BF115-BE115</f>
        <v/>
      </c>
      <c r="BH115" s="64">
        <f>IF(BE115=0,"",BF115/BE115)</f>
        <v/>
      </c>
      <c r="BI115" s="31" t="n"/>
      <c r="BJ115" s="60" t="n"/>
      <c r="BK115" s="60" t="n"/>
      <c r="BL115" s="60">
        <f>BK115-BJ115</f>
        <v/>
      </c>
      <c r="BM115" s="61">
        <f>IF(BJ115=0,"",BK115/BJ115)</f>
        <v/>
      </c>
      <c r="BN115" s="27" t="n"/>
      <c r="BO115" s="62" t="n"/>
      <c r="BP115" s="62" t="n"/>
      <c r="BQ115" s="62">
        <f>BP115-BO115</f>
        <v/>
      </c>
      <c r="BR115" s="64">
        <f>IF(BO115=0,"",BP115/BO115)</f>
        <v/>
      </c>
      <c r="BS115" s="31" t="n"/>
      <c r="BT115" s="60" t="n"/>
      <c r="BU115" s="60" t="n"/>
      <c r="BV115" s="60">
        <f>BU115-BT115</f>
        <v/>
      </c>
      <c r="BW115" s="61">
        <f>IF(BT115=0,"",BU115/BT115)</f>
        <v/>
      </c>
      <c r="BX115" s="27" t="n"/>
      <c r="BY115" s="62" t="n"/>
      <c r="BZ115" s="62" t="n"/>
      <c r="CA115" s="62">
        <f>BZ115-BY115</f>
        <v/>
      </c>
      <c r="CB115" s="64">
        <f>IF(BY115=0,"",BZ115/BY115)</f>
        <v/>
      </c>
      <c r="CC115" s="31" t="n"/>
      <c r="CD115" s="60" t="n"/>
      <c r="CE115" s="60" t="n"/>
      <c r="CF115" s="60">
        <f>CE115-CD115</f>
        <v/>
      </c>
      <c r="CG115" s="61">
        <f>IF(CD115=0,"",CE115/CD115)</f>
        <v/>
      </c>
      <c r="CH115" s="27" t="n"/>
      <c r="CI115" s="62" t="n"/>
      <c r="CJ115" s="62" t="n"/>
      <c r="CK115" s="62">
        <f>CJ115-CI115</f>
        <v/>
      </c>
      <c r="CL115" s="64">
        <f>IF(CI115=0,"",CJ115/CI115)</f>
        <v/>
      </c>
      <c r="CM115" s="31" t="n"/>
      <c r="CN115" s="60" t="n"/>
      <c r="CO115" s="60" t="n"/>
      <c r="CP115" s="60">
        <f>CO115-CN115</f>
        <v/>
      </c>
      <c r="CQ115" s="61">
        <f>IF(CN115=0,"",CO115/CN115)</f>
        <v/>
      </c>
      <c r="CR115" s="27" t="n"/>
      <c r="CS115" s="62" t="n"/>
      <c r="CT115" s="62" t="n"/>
      <c r="CU115" s="62">
        <f>CT115-CS115</f>
        <v/>
      </c>
      <c r="CV115" s="64">
        <f>IF(CS115=0,"",CT115/CS115)</f>
        <v/>
      </c>
      <c r="CW115" s="31" t="n"/>
      <c r="CX115" s="60" t="n"/>
      <c r="CY115" s="60" t="n"/>
      <c r="CZ115" s="60">
        <f>CY115-CX115</f>
        <v/>
      </c>
      <c r="DA115" s="61">
        <f>IF(CX115=0,"",CY115/CX115)</f>
        <v/>
      </c>
      <c r="DB115" s="27" t="n"/>
      <c r="DC115" s="62" t="n"/>
      <c r="DD115" s="62" t="n"/>
      <c r="DE115" s="62">
        <f>DD115-DC115</f>
        <v/>
      </c>
      <c r="DF115" s="64">
        <f>IF(DC115=0,"",DD115/DC115)</f>
        <v/>
      </c>
      <c r="DG115" s="31" t="n"/>
      <c r="DH115" s="60" t="n"/>
      <c r="DI115" s="60" t="n"/>
      <c r="DJ115" s="60">
        <f>DI115-DH115</f>
        <v/>
      </c>
      <c r="DK115" s="61">
        <f>IF(DH115=0,"",DI115/DH115)</f>
        <v/>
      </c>
      <c r="DL115" s="27" t="n"/>
      <c r="DM115" s="62" t="n"/>
      <c r="DN115" s="62" t="n"/>
      <c r="DO115" s="62">
        <f>DN115-DM115</f>
        <v/>
      </c>
      <c r="DP115" s="64">
        <f>IF(DM115=0,"",DN115/DM115)</f>
        <v/>
      </c>
      <c r="DQ115" s="31" t="n"/>
      <c r="DR115" s="60" t="n"/>
    </row>
    <row r="116" outlineLevel="1" ht="15" customHeight="1">
      <c r="A116" s="24" t="n"/>
      <c r="B116" s="24" t="n"/>
      <c r="C116" s="24" t="n"/>
      <c r="D116" s="24" t="n"/>
      <c r="E116" s="24" t="n"/>
      <c r="F116" s="24" t="n"/>
      <c r="G116" s="60" t="n"/>
      <c r="H116" s="60" t="n"/>
      <c r="I116" s="60">
        <f>H116-G116</f>
        <v/>
      </c>
      <c r="J116" s="61">
        <f>IF(G116=0,"",H116/G116)</f>
        <v/>
      </c>
      <c r="K116" s="27" t="n"/>
      <c r="L116" s="60" t="n"/>
      <c r="M116" s="60" t="n"/>
      <c r="N116" s="60">
        <f>M116-L116</f>
        <v/>
      </c>
      <c r="O116" s="61">
        <f>IF(L116=0,"",M116/L116)</f>
        <v/>
      </c>
      <c r="P116" s="27" t="n"/>
      <c r="Q116" s="62" t="n"/>
      <c r="R116" s="62" t="n"/>
      <c r="S116" s="62">
        <f>R116-Q116</f>
        <v/>
      </c>
      <c r="T116" s="64">
        <f>IF(Q116=0,"",R116/Q116)</f>
        <v/>
      </c>
      <c r="U116" s="31" t="n"/>
      <c r="V116" s="60" t="n"/>
      <c r="W116" s="60" t="n"/>
      <c r="X116" s="60">
        <f>W116-V116</f>
        <v/>
      </c>
      <c r="Y116" s="61">
        <f>IF(V116=0,"",W116/V116)</f>
        <v/>
      </c>
      <c r="Z116" s="27" t="n"/>
      <c r="AA116" s="62" t="n"/>
      <c r="AB116" s="62" t="n"/>
      <c r="AC116" s="62">
        <f>AB116-AA116</f>
        <v/>
      </c>
      <c r="AD116" s="64">
        <f>IF(AA116=0,"",AB116/AA116)</f>
        <v/>
      </c>
      <c r="AE116" s="31" t="n"/>
      <c r="AF116" s="60" t="n"/>
      <c r="AG116" s="60" t="n"/>
      <c r="AH116" s="60">
        <f>AG116-AF116</f>
        <v/>
      </c>
      <c r="AI116" s="61">
        <f>IF(AF116=0,"",AG116/AF116)</f>
        <v/>
      </c>
      <c r="AJ116" s="27" t="n"/>
      <c r="AK116" s="62" t="n"/>
      <c r="AL116" s="62" t="n"/>
      <c r="AM116" s="62">
        <f>AL116-AK116</f>
        <v/>
      </c>
      <c r="AN116" s="64">
        <f>IF(AK116=0,"",AL116/AK116)</f>
        <v/>
      </c>
      <c r="AO116" s="31" t="n"/>
      <c r="AP116" s="60" t="n"/>
      <c r="AQ116" s="60" t="n"/>
      <c r="AR116" s="60">
        <f>AQ116-AP116</f>
        <v/>
      </c>
      <c r="AS116" s="61">
        <f>IF(AP116=0,"",AQ116/AP116)</f>
        <v/>
      </c>
      <c r="AT116" s="27" t="n"/>
      <c r="AU116" s="62" t="n"/>
      <c r="AV116" s="62" t="n"/>
      <c r="AW116" s="62">
        <f>AV116-AU116</f>
        <v/>
      </c>
      <c r="AX116" s="64">
        <f>IF(AU116=0,"",AV116/AU116)</f>
        <v/>
      </c>
      <c r="AY116" s="31" t="n"/>
      <c r="AZ116" s="60" t="n"/>
      <c r="BA116" s="60" t="n"/>
      <c r="BB116" s="60">
        <f>BA116-AZ116</f>
        <v/>
      </c>
      <c r="BC116" s="61">
        <f>IF(AZ116=0,"",BA116/AZ116)</f>
        <v/>
      </c>
      <c r="BD116" s="27" t="n"/>
      <c r="BE116" s="62" t="n"/>
      <c r="BF116" s="62" t="n"/>
      <c r="BG116" s="62">
        <f>BF116-BE116</f>
        <v/>
      </c>
      <c r="BH116" s="64">
        <f>IF(BE116=0,"",BF116/BE116)</f>
        <v/>
      </c>
      <c r="BI116" s="31" t="n"/>
      <c r="BJ116" s="60" t="n"/>
      <c r="BK116" s="60" t="n"/>
      <c r="BL116" s="60">
        <f>BK116-BJ116</f>
        <v/>
      </c>
      <c r="BM116" s="61">
        <f>IF(BJ116=0,"",BK116/BJ116)</f>
        <v/>
      </c>
      <c r="BN116" s="27" t="n"/>
      <c r="BO116" s="62" t="n"/>
      <c r="BP116" s="62" t="n"/>
      <c r="BQ116" s="62">
        <f>BP116-BO116</f>
        <v/>
      </c>
      <c r="BR116" s="64">
        <f>IF(BO116=0,"",BP116/BO116)</f>
        <v/>
      </c>
      <c r="BS116" s="31" t="n"/>
      <c r="BT116" s="60" t="n"/>
      <c r="BU116" s="60" t="n"/>
      <c r="BV116" s="60">
        <f>BU116-BT116</f>
        <v/>
      </c>
      <c r="BW116" s="61">
        <f>IF(BT116=0,"",BU116/BT116)</f>
        <v/>
      </c>
      <c r="BX116" s="27" t="n"/>
      <c r="BY116" s="62" t="n"/>
      <c r="BZ116" s="62" t="n"/>
      <c r="CA116" s="62">
        <f>BZ116-BY116</f>
        <v/>
      </c>
      <c r="CB116" s="64">
        <f>IF(BY116=0,"",BZ116/BY116)</f>
        <v/>
      </c>
      <c r="CC116" s="31" t="n"/>
      <c r="CD116" s="60" t="n"/>
      <c r="CE116" s="60" t="n"/>
      <c r="CF116" s="60">
        <f>CE116-CD116</f>
        <v/>
      </c>
      <c r="CG116" s="61">
        <f>IF(CD116=0,"",CE116/CD116)</f>
        <v/>
      </c>
      <c r="CH116" s="27" t="n"/>
      <c r="CI116" s="62" t="n"/>
      <c r="CJ116" s="62" t="n"/>
      <c r="CK116" s="62">
        <f>CJ116-CI116</f>
        <v/>
      </c>
      <c r="CL116" s="64">
        <f>IF(CI116=0,"",CJ116/CI116)</f>
        <v/>
      </c>
      <c r="CM116" s="31" t="n"/>
      <c r="CN116" s="60" t="n"/>
      <c r="CO116" s="60" t="n"/>
      <c r="CP116" s="60">
        <f>CO116-CN116</f>
        <v/>
      </c>
      <c r="CQ116" s="61">
        <f>IF(CN116=0,"",CO116/CN116)</f>
        <v/>
      </c>
      <c r="CR116" s="27" t="n"/>
      <c r="CS116" s="62" t="n"/>
      <c r="CT116" s="62" t="n"/>
      <c r="CU116" s="62">
        <f>CT116-CS116</f>
        <v/>
      </c>
      <c r="CV116" s="64">
        <f>IF(CS116=0,"",CT116/CS116)</f>
        <v/>
      </c>
      <c r="CW116" s="31" t="n"/>
      <c r="CX116" s="60" t="n"/>
      <c r="CY116" s="60" t="n"/>
      <c r="CZ116" s="60">
        <f>CY116-CX116</f>
        <v/>
      </c>
      <c r="DA116" s="61">
        <f>IF(CX116=0,"",CY116/CX116)</f>
        <v/>
      </c>
      <c r="DB116" s="27" t="n"/>
      <c r="DC116" s="62" t="n"/>
      <c r="DD116" s="62" t="n"/>
      <c r="DE116" s="62">
        <f>DD116-DC116</f>
        <v/>
      </c>
      <c r="DF116" s="64">
        <f>IF(DC116=0,"",DD116/DC116)</f>
        <v/>
      </c>
      <c r="DG116" s="31" t="n"/>
      <c r="DH116" s="60" t="n"/>
      <c r="DI116" s="60" t="n"/>
      <c r="DJ116" s="60">
        <f>DI116-DH116</f>
        <v/>
      </c>
      <c r="DK116" s="61">
        <f>IF(DH116=0,"",DI116/DH116)</f>
        <v/>
      </c>
      <c r="DL116" s="27" t="n"/>
      <c r="DM116" s="62" t="n"/>
      <c r="DN116" s="62" t="n"/>
      <c r="DO116" s="62">
        <f>DN116-DM116</f>
        <v/>
      </c>
      <c r="DP116" s="64">
        <f>IF(DM116=0,"",DN116/DM116)</f>
        <v/>
      </c>
      <c r="DQ116" s="31" t="n"/>
      <c r="DR116" s="60" t="n"/>
    </row>
    <row r="117" outlineLevel="1" ht="15" customHeight="1">
      <c r="A117" s="24" t="n"/>
      <c r="B117" s="24" t="n"/>
      <c r="C117" s="24" t="n"/>
      <c r="D117" s="24" t="n"/>
      <c r="E117" s="24" t="n"/>
      <c r="F117" s="24" t="n"/>
      <c r="G117" s="60" t="n"/>
      <c r="H117" s="60" t="n"/>
      <c r="I117" s="60">
        <f>H117-G117</f>
        <v/>
      </c>
      <c r="J117" s="61">
        <f>IF(G117=0,"",H117/G117)</f>
        <v/>
      </c>
      <c r="K117" s="27" t="n"/>
      <c r="L117" s="60" t="n"/>
      <c r="M117" s="60" t="n"/>
      <c r="N117" s="60">
        <f>M117-L117</f>
        <v/>
      </c>
      <c r="O117" s="61">
        <f>IF(L117=0,"",M117/L117)</f>
        <v/>
      </c>
      <c r="P117" s="27" t="n"/>
      <c r="Q117" s="62" t="n"/>
      <c r="R117" s="62" t="n"/>
      <c r="S117" s="63">
        <f>R117-Q117</f>
        <v/>
      </c>
      <c r="T117" s="64">
        <f>IF(Q117=0,"",R117/Q117)</f>
        <v/>
      </c>
      <c r="U117" s="31" t="n"/>
      <c r="V117" s="60" t="n"/>
      <c r="W117" s="60" t="n"/>
      <c r="X117" s="60">
        <f>W117-V117</f>
        <v/>
      </c>
      <c r="Y117" s="61">
        <f>IF(V117=0,"",W117/V117)</f>
        <v/>
      </c>
      <c r="Z117" s="27" t="n"/>
      <c r="AA117" s="62" t="n"/>
      <c r="AB117" s="62" t="n"/>
      <c r="AC117" s="63">
        <f>AB117-AA117</f>
        <v/>
      </c>
      <c r="AD117" s="64">
        <f>IF(AA117=0,"",AB117/AA117)</f>
        <v/>
      </c>
      <c r="AE117" s="31" t="n"/>
      <c r="AF117" s="60" t="n"/>
      <c r="AG117" s="60" t="n"/>
      <c r="AH117" s="60">
        <f>AG117-AF117</f>
        <v/>
      </c>
      <c r="AI117" s="61">
        <f>IF(AF117=0,"",AG117/AF117)</f>
        <v/>
      </c>
      <c r="AJ117" s="27" t="n"/>
      <c r="AK117" s="62" t="n"/>
      <c r="AL117" s="62" t="n"/>
      <c r="AM117" s="62">
        <f>AL117-AK117</f>
        <v/>
      </c>
      <c r="AN117" s="64">
        <f>IF(AK117=0,"",AL117/AK117)</f>
        <v/>
      </c>
      <c r="AO117" s="31" t="n"/>
      <c r="AP117" s="60" t="n"/>
      <c r="AQ117" s="60" t="n"/>
      <c r="AR117" s="60">
        <f>AQ117-AP117</f>
        <v/>
      </c>
      <c r="AS117" s="61">
        <f>IF(AP117=0,"",AQ117/AP117)</f>
        <v/>
      </c>
      <c r="AT117" s="27" t="n"/>
      <c r="AU117" s="62" t="n"/>
      <c r="AV117" s="62" t="n"/>
      <c r="AW117" s="62">
        <f>AV117-AU117</f>
        <v/>
      </c>
      <c r="AX117" s="64">
        <f>IF(AU117=0,"",AV117/AU117)</f>
        <v/>
      </c>
      <c r="AY117" s="31" t="n"/>
      <c r="AZ117" s="60" t="n"/>
      <c r="BA117" s="60" t="n"/>
      <c r="BB117" s="60">
        <f>BA117-AZ117</f>
        <v/>
      </c>
      <c r="BC117" s="61">
        <f>IF(AZ117=0,"",BA117/AZ117)</f>
        <v/>
      </c>
      <c r="BD117" s="27" t="n"/>
      <c r="BE117" s="62" t="n"/>
      <c r="BF117" s="62" t="n"/>
      <c r="BG117" s="62">
        <f>BF117-BE117</f>
        <v/>
      </c>
      <c r="BH117" s="64">
        <f>IF(BE117=0,"",BF117/BE117)</f>
        <v/>
      </c>
      <c r="BI117" s="31" t="n"/>
      <c r="BJ117" s="60" t="n"/>
      <c r="BK117" s="60" t="n"/>
      <c r="BL117" s="60">
        <f>BK117-BJ117</f>
        <v/>
      </c>
      <c r="BM117" s="61">
        <f>IF(BJ117=0,"",BK117/BJ117)</f>
        <v/>
      </c>
      <c r="BN117" s="27" t="n"/>
      <c r="BO117" s="62" t="n"/>
      <c r="BP117" s="62" t="n"/>
      <c r="BQ117" s="62">
        <f>BP117-BO117</f>
        <v/>
      </c>
      <c r="BR117" s="64">
        <f>IF(BO117=0,"",BP117/BO117)</f>
        <v/>
      </c>
      <c r="BS117" s="31" t="n"/>
      <c r="BT117" s="60" t="n"/>
      <c r="BU117" s="60" t="n"/>
      <c r="BV117" s="60">
        <f>BU117-BT117</f>
        <v/>
      </c>
      <c r="BW117" s="61">
        <f>IF(BT117=0,"",BU117/BT117)</f>
        <v/>
      </c>
      <c r="BX117" s="27" t="n"/>
      <c r="BY117" s="62" t="n"/>
      <c r="BZ117" s="62" t="n"/>
      <c r="CA117" s="62">
        <f>BZ117-BY117</f>
        <v/>
      </c>
      <c r="CB117" s="64">
        <f>IF(BY117=0,"",BZ117/BY117)</f>
        <v/>
      </c>
      <c r="CC117" s="31" t="n"/>
      <c r="CD117" s="60" t="n"/>
      <c r="CE117" s="60" t="n"/>
      <c r="CF117" s="60">
        <f>CE117-CD117</f>
        <v/>
      </c>
      <c r="CG117" s="61">
        <f>IF(CD117=0,"",CE117/CD117)</f>
        <v/>
      </c>
      <c r="CH117" s="27" t="n"/>
      <c r="CI117" s="62" t="n"/>
      <c r="CJ117" s="62" t="n"/>
      <c r="CK117" s="62">
        <f>CJ117-CI117</f>
        <v/>
      </c>
      <c r="CL117" s="64">
        <f>IF(CI117=0,"",CJ117/CI117)</f>
        <v/>
      </c>
      <c r="CM117" s="31" t="n"/>
      <c r="CN117" s="60" t="n"/>
      <c r="CO117" s="60" t="n"/>
      <c r="CP117" s="60">
        <f>CO117-CN117</f>
        <v/>
      </c>
      <c r="CQ117" s="61">
        <f>IF(CN117=0,"",CO117/CN117)</f>
        <v/>
      </c>
      <c r="CR117" s="27" t="n"/>
      <c r="CS117" s="62" t="n"/>
      <c r="CT117" s="62" t="n"/>
      <c r="CU117" s="62">
        <f>CT117-CS117</f>
        <v/>
      </c>
      <c r="CV117" s="64">
        <f>IF(CS117=0,"",CT117/CS117)</f>
        <v/>
      </c>
      <c r="CW117" s="31" t="n"/>
      <c r="CX117" s="60" t="n"/>
      <c r="CY117" s="60" t="n"/>
      <c r="CZ117" s="60">
        <f>CY117-CX117</f>
        <v/>
      </c>
      <c r="DA117" s="61">
        <f>IF(CX117=0,"",CY117/CX117)</f>
        <v/>
      </c>
      <c r="DB117" s="27" t="n"/>
      <c r="DC117" s="62" t="n"/>
      <c r="DD117" s="62" t="n"/>
      <c r="DE117" s="62">
        <f>DD117-DC117</f>
        <v/>
      </c>
      <c r="DF117" s="64">
        <f>IF(DC117=0,"",DD117/DC117)</f>
        <v/>
      </c>
      <c r="DG117" s="31" t="n"/>
      <c r="DH117" s="60" t="n"/>
      <c r="DI117" s="60" t="n"/>
      <c r="DJ117" s="60">
        <f>DI117-DH117</f>
        <v/>
      </c>
      <c r="DK117" s="61">
        <f>IF(DH117=0,"",DI117/DH117)</f>
        <v/>
      </c>
      <c r="DL117" s="27" t="n"/>
      <c r="DM117" s="62" t="n"/>
      <c r="DN117" s="62" t="n"/>
      <c r="DO117" s="62">
        <f>DN117-DM117</f>
        <v/>
      </c>
      <c r="DP117" s="64">
        <f>IF(DM117=0,"",DN117/DM117)</f>
        <v/>
      </c>
      <c r="DQ117" s="31" t="n"/>
      <c r="DR117" s="60" t="n"/>
    </row>
    <row r="118" outlineLevel="1" ht="15" customHeight="1">
      <c r="A118" s="24" t="n"/>
      <c r="B118" s="24" t="n"/>
      <c r="C118" s="24" t="n"/>
      <c r="D118" s="24" t="n"/>
      <c r="E118" s="24" t="n"/>
      <c r="F118" s="24" t="n"/>
      <c r="G118" s="60" t="n"/>
      <c r="H118" s="60" t="n"/>
      <c r="I118" s="60">
        <f>H118-G118</f>
        <v/>
      </c>
      <c r="J118" s="61">
        <f>IF(G118=0,"",H118/G118)</f>
        <v/>
      </c>
      <c r="K118" s="27" t="n"/>
      <c r="L118" s="60" t="n"/>
      <c r="M118" s="60" t="n"/>
      <c r="N118" s="60">
        <f>M118-L118</f>
        <v/>
      </c>
      <c r="O118" s="61">
        <f>IF(L118=0,"",M118/L118)</f>
        <v/>
      </c>
      <c r="P118" s="27" t="n"/>
      <c r="Q118" s="62" t="n"/>
      <c r="R118" s="62" t="n"/>
      <c r="S118" s="62">
        <f>R118-Q118</f>
        <v/>
      </c>
      <c r="T118" s="64">
        <f>IF(Q118=0,"",R118/Q118)</f>
        <v/>
      </c>
      <c r="U118" s="31" t="n"/>
      <c r="V118" s="60" t="n"/>
      <c r="W118" s="60" t="n"/>
      <c r="X118" s="60">
        <f>W118-V118</f>
        <v/>
      </c>
      <c r="Y118" s="61">
        <f>IF(V118=0,"",W118/V118)</f>
        <v/>
      </c>
      <c r="Z118" s="27" t="n"/>
      <c r="AA118" s="62" t="n"/>
      <c r="AB118" s="62" t="n"/>
      <c r="AC118" s="62">
        <f>AB118-AA118</f>
        <v/>
      </c>
      <c r="AD118" s="64">
        <f>IF(AA118=0,"",AB118/AA118)</f>
        <v/>
      </c>
      <c r="AE118" s="31" t="n"/>
      <c r="AF118" s="60" t="n"/>
      <c r="AG118" s="60" t="n"/>
      <c r="AH118" s="60">
        <f>AG118-AF118</f>
        <v/>
      </c>
      <c r="AI118" s="61">
        <f>IF(AF118=0,"",AG118/AF118)</f>
        <v/>
      </c>
      <c r="AJ118" s="27" t="n"/>
      <c r="AK118" s="62" t="n"/>
      <c r="AL118" s="62" t="n"/>
      <c r="AM118" s="62">
        <f>AL118-AK118</f>
        <v/>
      </c>
      <c r="AN118" s="64">
        <f>IF(AK118=0,"",AL118/AK118)</f>
        <v/>
      </c>
      <c r="AO118" s="31" t="n"/>
      <c r="AP118" s="60" t="n"/>
      <c r="AQ118" s="60" t="n"/>
      <c r="AR118" s="60">
        <f>AQ118-AP118</f>
        <v/>
      </c>
      <c r="AS118" s="61">
        <f>IF(AP118=0,"",AQ118/AP118)</f>
        <v/>
      </c>
      <c r="AT118" s="27" t="n"/>
      <c r="AU118" s="62" t="n"/>
      <c r="AV118" s="62" t="n"/>
      <c r="AW118" s="62">
        <f>AV118-AU118</f>
        <v/>
      </c>
      <c r="AX118" s="64">
        <f>IF(AU118=0,"",AV118/AU118)</f>
        <v/>
      </c>
      <c r="AY118" s="31" t="n"/>
      <c r="AZ118" s="60" t="n"/>
      <c r="BA118" s="60" t="n"/>
      <c r="BB118" s="60">
        <f>BA118-AZ118</f>
        <v/>
      </c>
      <c r="BC118" s="61">
        <f>IF(AZ118=0,"",BA118/AZ118)</f>
        <v/>
      </c>
      <c r="BD118" s="27" t="n"/>
      <c r="BE118" s="62" t="n"/>
      <c r="BF118" s="62" t="n"/>
      <c r="BG118" s="62">
        <f>BF118-BE118</f>
        <v/>
      </c>
      <c r="BH118" s="64">
        <f>IF(BE118=0,"",BF118/BE118)</f>
        <v/>
      </c>
      <c r="BI118" s="31" t="n"/>
      <c r="BJ118" s="60" t="n"/>
      <c r="BK118" s="60" t="n"/>
      <c r="BL118" s="60">
        <f>BK118-BJ118</f>
        <v/>
      </c>
      <c r="BM118" s="61">
        <f>IF(BJ118=0,"",BK118/BJ118)</f>
        <v/>
      </c>
      <c r="BN118" s="27" t="n"/>
      <c r="BO118" s="62" t="n"/>
      <c r="BP118" s="62" t="n"/>
      <c r="BQ118" s="62">
        <f>BP118-BO118</f>
        <v/>
      </c>
      <c r="BR118" s="64">
        <f>IF(BO118=0,"",BP118/BO118)</f>
        <v/>
      </c>
      <c r="BS118" s="31" t="n"/>
      <c r="BT118" s="60" t="n"/>
      <c r="BU118" s="60" t="n"/>
      <c r="BV118" s="60">
        <f>BU118-BT118</f>
        <v/>
      </c>
      <c r="BW118" s="61">
        <f>IF(BT118=0,"",BU118/BT118)</f>
        <v/>
      </c>
      <c r="BX118" s="27" t="n"/>
      <c r="BY118" s="62" t="n"/>
      <c r="BZ118" s="62" t="n"/>
      <c r="CA118" s="62">
        <f>BZ118-BY118</f>
        <v/>
      </c>
      <c r="CB118" s="64">
        <f>IF(BY118=0,"",BZ118/BY118)</f>
        <v/>
      </c>
      <c r="CC118" s="31" t="n"/>
      <c r="CD118" s="60" t="n"/>
      <c r="CE118" s="60" t="n"/>
      <c r="CF118" s="60">
        <f>CE118-CD118</f>
        <v/>
      </c>
      <c r="CG118" s="61">
        <f>IF(CD118=0,"",CE118/CD118)</f>
        <v/>
      </c>
      <c r="CH118" s="27" t="n"/>
      <c r="CI118" s="62" t="n"/>
      <c r="CJ118" s="62" t="n"/>
      <c r="CK118" s="62">
        <f>CJ118-CI118</f>
        <v/>
      </c>
      <c r="CL118" s="64">
        <f>IF(CI118=0,"",CJ118/CI118)</f>
        <v/>
      </c>
      <c r="CM118" s="31" t="n"/>
      <c r="CN118" s="60" t="n"/>
      <c r="CO118" s="60" t="n"/>
      <c r="CP118" s="60">
        <f>CO118-CN118</f>
        <v/>
      </c>
      <c r="CQ118" s="61">
        <f>IF(CN118=0,"",CO118/CN118)</f>
        <v/>
      </c>
      <c r="CR118" s="27" t="n"/>
      <c r="CS118" s="62" t="n"/>
      <c r="CT118" s="62" t="n"/>
      <c r="CU118" s="62">
        <f>CT118-CS118</f>
        <v/>
      </c>
      <c r="CV118" s="64">
        <f>IF(CS118=0,"",CT118/CS118)</f>
        <v/>
      </c>
      <c r="CW118" s="31" t="n"/>
      <c r="CX118" s="60" t="n"/>
      <c r="CY118" s="60" t="n"/>
      <c r="CZ118" s="60">
        <f>CY118-CX118</f>
        <v/>
      </c>
      <c r="DA118" s="61">
        <f>IF(CX118=0,"",CY118/CX118)</f>
        <v/>
      </c>
      <c r="DB118" s="27" t="n"/>
      <c r="DC118" s="62" t="n"/>
      <c r="DD118" s="62" t="n"/>
      <c r="DE118" s="62">
        <f>DD118-DC118</f>
        <v/>
      </c>
      <c r="DF118" s="64">
        <f>IF(DC118=0,"",DD118/DC118)</f>
        <v/>
      </c>
      <c r="DG118" s="31" t="n"/>
      <c r="DH118" s="60" t="n"/>
      <c r="DI118" s="60" t="n"/>
      <c r="DJ118" s="60">
        <f>DI118-DH118</f>
        <v/>
      </c>
      <c r="DK118" s="61">
        <f>IF(DH118=0,"",DI118/DH118)</f>
        <v/>
      </c>
      <c r="DL118" s="27" t="n"/>
      <c r="DM118" s="62" t="n"/>
      <c r="DN118" s="62" t="n"/>
      <c r="DO118" s="62">
        <f>DN118-DM118</f>
        <v/>
      </c>
      <c r="DP118" s="64">
        <f>IF(DM118=0,"",DN118/DM118)</f>
        <v/>
      </c>
      <c r="DQ118" s="31" t="n"/>
      <c r="DR118" s="60" t="n"/>
    </row>
    <row r="119" ht="15" customHeight="1">
      <c r="A119" s="32" t="n"/>
      <c r="B119" s="32" t="n"/>
      <c r="C119" s="32" t="n"/>
      <c r="D119" s="32" t="n"/>
      <c r="E119" s="32" t="n"/>
      <c r="F119" s="32" t="n"/>
      <c r="G119" s="65">
        <f>G120+G121+G122+G123</f>
        <v/>
      </c>
      <c r="H119" s="65">
        <f>H120+H121+H122+H123</f>
        <v/>
      </c>
      <c r="I119" s="65">
        <f>H119-G119</f>
        <v/>
      </c>
      <c r="J119" s="66">
        <f>IF(G119=0,"",H119/G119)</f>
        <v/>
      </c>
      <c r="K119" s="35" t="n"/>
      <c r="L119" s="65">
        <f>L120+L121+L122+L123</f>
        <v/>
      </c>
      <c r="M119" s="65">
        <f>M120+M121+M122+M123</f>
        <v/>
      </c>
      <c r="N119" s="65">
        <f>M119-L119</f>
        <v/>
      </c>
      <c r="O119" s="66">
        <f>IF(L119=0,"",M119/L119)</f>
        <v/>
      </c>
      <c r="P119" s="35" t="n"/>
      <c r="Q119" s="65">
        <f>Q120+Q121+Q122+Q123</f>
        <v/>
      </c>
      <c r="R119" s="65">
        <f>R120+R121+R122+R123</f>
        <v/>
      </c>
      <c r="S119" s="65">
        <f>R119-Q119</f>
        <v/>
      </c>
      <c r="T119" s="66">
        <f>IF(Q119=0,"",R119/Q119)</f>
        <v/>
      </c>
      <c r="U119" s="35" t="n"/>
      <c r="V119" s="65">
        <f>V120+V121+V122+V123</f>
        <v/>
      </c>
      <c r="W119" s="65">
        <f>W120+W121+W122+W123</f>
        <v/>
      </c>
      <c r="X119" s="65">
        <f>W119-V119</f>
        <v/>
      </c>
      <c r="Y119" s="66">
        <f>IF(V119=0,"",W119/V119)</f>
        <v/>
      </c>
      <c r="Z119" s="35" t="n"/>
      <c r="AA119" s="65">
        <f>AA120+AA121+AA122+AA123</f>
        <v/>
      </c>
      <c r="AB119" s="65">
        <f>AB120+AB121+AB122+AB123</f>
        <v/>
      </c>
      <c r="AC119" s="65">
        <f>AB119-AA119</f>
        <v/>
      </c>
      <c r="AD119" s="66">
        <f>IF(AA119=0,"",AB119/AA119)</f>
        <v/>
      </c>
      <c r="AE119" s="35" t="n"/>
      <c r="AF119" s="65">
        <f>AF120+AF121+AF122+AF123</f>
        <v/>
      </c>
      <c r="AG119" s="65">
        <f>AG120+AG121+AG122+AG123</f>
        <v/>
      </c>
      <c r="AH119" s="65">
        <f>AG119-AF119</f>
        <v/>
      </c>
      <c r="AI119" s="66">
        <f>IF(AF119=0,"",AG119/AF119)</f>
        <v/>
      </c>
      <c r="AJ119" s="35" t="n"/>
      <c r="AK119" s="65">
        <f>AK120+AK121+AK122+AK123</f>
        <v/>
      </c>
      <c r="AL119" s="65">
        <f>AL120+AL121+AL122+AL123</f>
        <v/>
      </c>
      <c r="AM119" s="65">
        <f>AL119-AK119</f>
        <v/>
      </c>
      <c r="AN119" s="66">
        <f>IF(AK119=0,"",AL119/AK119)</f>
        <v/>
      </c>
      <c r="AO119" s="35" t="n"/>
      <c r="AP119" s="65">
        <f>AP120+AP121+AP122+AP123</f>
        <v/>
      </c>
      <c r="AQ119" s="65">
        <f>AQ120+AQ121+AQ122+AQ123</f>
        <v/>
      </c>
      <c r="AR119" s="65">
        <f>AQ119-AP119</f>
        <v/>
      </c>
      <c r="AS119" s="66">
        <f>IF(AP119=0,"",AQ119/AP119)</f>
        <v/>
      </c>
      <c r="AT119" s="35" t="n"/>
      <c r="AU119" s="65">
        <f>AU120+AU121+AU122+AU123</f>
        <v/>
      </c>
      <c r="AV119" s="65">
        <f>AV120+AV121+AV122+AV123</f>
        <v/>
      </c>
      <c r="AW119" s="65">
        <f>AV119-AU119</f>
        <v/>
      </c>
      <c r="AX119" s="66">
        <f>IF(AU119=0,"",AV119/AU119)</f>
        <v/>
      </c>
      <c r="AY119" s="35" t="n"/>
      <c r="AZ119" s="65">
        <f>AZ120+AZ121+AZ122+AZ123</f>
        <v/>
      </c>
      <c r="BA119" s="65">
        <f>BA120+BA121+BA122+BA123</f>
        <v/>
      </c>
      <c r="BB119" s="65">
        <f>BA119-AZ119</f>
        <v/>
      </c>
      <c r="BC119" s="66">
        <f>IF(AZ119=0,"",BA119/AZ119)</f>
        <v/>
      </c>
      <c r="BD119" s="35" t="n"/>
      <c r="BE119" s="65">
        <f>BE120+BE121+BE122+BE123</f>
        <v/>
      </c>
      <c r="BF119" s="65">
        <f>BF120+BF121+BF122+BF123</f>
        <v/>
      </c>
      <c r="BG119" s="65">
        <f>BF119-BE119</f>
        <v/>
      </c>
      <c r="BH119" s="66">
        <f>IF(BE119=0,"",BF119/BE119)</f>
        <v/>
      </c>
      <c r="BI119" s="35" t="n"/>
      <c r="BJ119" s="65">
        <f>BJ120+BJ121+BJ122+BJ123</f>
        <v/>
      </c>
      <c r="BK119" s="65">
        <f>BK120+BK121+BK122+BK123</f>
        <v/>
      </c>
      <c r="BL119" s="65">
        <f>BK119-BJ119</f>
        <v/>
      </c>
      <c r="BM119" s="66">
        <f>IF(BJ119=0,"",BK119/BJ119)</f>
        <v/>
      </c>
      <c r="BN119" s="35" t="n"/>
      <c r="BO119" s="65">
        <f>BO120+BO121+BO122+BO123</f>
        <v/>
      </c>
      <c r="BP119" s="65">
        <f>BP120+BP121+BP122+BP123</f>
        <v/>
      </c>
      <c r="BQ119" s="65">
        <f>BP119-BO119</f>
        <v/>
      </c>
      <c r="BR119" s="66">
        <f>IF(BO119=0,"",BP119/BO119)</f>
        <v/>
      </c>
      <c r="BS119" s="35" t="n"/>
      <c r="BT119" s="65">
        <f>BT120+BT121+BT122+BT123</f>
        <v/>
      </c>
      <c r="BU119" s="65">
        <f>BU120+BU121+BU122+BU123</f>
        <v/>
      </c>
      <c r="BV119" s="65">
        <f>BU119-BT119</f>
        <v/>
      </c>
      <c r="BW119" s="66">
        <f>IF(BT119=0,"",BU119/BT119)</f>
        <v/>
      </c>
      <c r="BX119" s="35" t="n"/>
      <c r="BY119" s="65">
        <f>BY120+BY121+BY122+BY123</f>
        <v/>
      </c>
      <c r="BZ119" s="65">
        <f>BZ120+BZ121+BZ122+BZ123</f>
        <v/>
      </c>
      <c r="CA119" s="65">
        <f>BZ119-BY119</f>
        <v/>
      </c>
      <c r="CB119" s="66">
        <f>IF(BY119=0,"",BZ119/BY119)</f>
        <v/>
      </c>
      <c r="CC119" s="35" t="n"/>
      <c r="CD119" s="65">
        <f>CD120+CD121+CD122+CD123</f>
        <v/>
      </c>
      <c r="CE119" s="65">
        <f>CE120+CE121+CE122+CE123</f>
        <v/>
      </c>
      <c r="CF119" s="65">
        <f>CE119-CD119</f>
        <v/>
      </c>
      <c r="CG119" s="66">
        <f>IF(CD119=0,"",CE119/CD119)</f>
        <v/>
      </c>
      <c r="CH119" s="35" t="n"/>
      <c r="CI119" s="65">
        <f>CI120+CI121+CI122+CI123</f>
        <v/>
      </c>
      <c r="CJ119" s="65">
        <f>CJ120+CJ121+CJ122+CJ123</f>
        <v/>
      </c>
      <c r="CK119" s="65">
        <f>CJ119-CI119</f>
        <v/>
      </c>
      <c r="CL119" s="66">
        <f>IF(CI119=0,"",CJ119/CI119)</f>
        <v/>
      </c>
      <c r="CM119" s="35" t="n"/>
      <c r="CN119" s="65">
        <f>CN120+CN121+CN122+CN123</f>
        <v/>
      </c>
      <c r="CO119" s="65">
        <f>CO120+CO121+CO122+CO123</f>
        <v/>
      </c>
      <c r="CP119" s="65">
        <f>CO119-CN119</f>
        <v/>
      </c>
      <c r="CQ119" s="66">
        <f>IF(CN119=0,"",CO119/CN119)</f>
        <v/>
      </c>
      <c r="CR119" s="35" t="n"/>
      <c r="CS119" s="65">
        <f>CS120+CS121+CS122+CS123</f>
        <v/>
      </c>
      <c r="CT119" s="65">
        <f>CT120+CT121+CT122+CT123</f>
        <v/>
      </c>
      <c r="CU119" s="65">
        <f>CT119-CS119</f>
        <v/>
      </c>
      <c r="CV119" s="66">
        <f>IF(CS119=0,"",CT119/CS119)</f>
        <v/>
      </c>
      <c r="CW119" s="35" t="n"/>
      <c r="CX119" s="65">
        <f>CX120+CX121+CX122+CX123</f>
        <v/>
      </c>
      <c r="CY119" s="65">
        <f>CY120+CY121+CY122+CY123</f>
        <v/>
      </c>
      <c r="CZ119" s="65">
        <f>CY119-CX119</f>
        <v/>
      </c>
      <c r="DA119" s="66">
        <f>IF(CX119=0,"",CY119/CX119)</f>
        <v/>
      </c>
      <c r="DB119" s="35" t="n"/>
      <c r="DC119" s="65">
        <f>DC120+DC121+DC122+DC123</f>
        <v/>
      </c>
      <c r="DD119" s="65">
        <f>DD120+DD121+DD122+DD123</f>
        <v/>
      </c>
      <c r="DE119" s="65">
        <f>DD119-DC119</f>
        <v/>
      </c>
      <c r="DF119" s="66">
        <f>IF(DC119=0,"",DD119/DC119)</f>
        <v/>
      </c>
      <c r="DG119" s="35" t="n"/>
      <c r="DH119" s="65">
        <f>DH120+DH121+DH122+DH123</f>
        <v/>
      </c>
      <c r="DI119" s="65">
        <f>DI120+DI121+DI122+DI123</f>
        <v/>
      </c>
      <c r="DJ119" s="65">
        <f>DI119-DH119</f>
        <v/>
      </c>
      <c r="DK119" s="66">
        <f>IF(DH119=0,"",DI119/DH119)</f>
        <v/>
      </c>
      <c r="DL119" s="35" t="n"/>
      <c r="DM119" s="65">
        <f>DM120+DM121+DM122+DM123</f>
        <v/>
      </c>
      <c r="DN119" s="65">
        <f>DN120+DN121+DN122+DN123</f>
        <v/>
      </c>
      <c r="DO119" s="65">
        <f>DN119-DM119</f>
        <v/>
      </c>
      <c r="DP119" s="66">
        <f>IF(DM119=0,"",DN119/DM119)</f>
        <v/>
      </c>
      <c r="DQ119" s="35" t="n"/>
      <c r="DR119" s="65">
        <f>DR120+DR121+DR122+DR123</f>
        <v/>
      </c>
    </row>
    <row r="120" outlineLevel="1" ht="15" customHeight="1">
      <c r="A120" s="24" t="n"/>
      <c r="B120" s="24" t="n"/>
      <c r="C120" s="24" t="n"/>
      <c r="D120" s="24" t="n"/>
      <c r="E120" s="24" t="n"/>
      <c r="F120" s="24" t="n"/>
      <c r="G120" s="60" t="n"/>
      <c r="H120" s="60" t="n"/>
      <c r="I120" s="60">
        <f>H120-G120</f>
        <v/>
      </c>
      <c r="J120" s="61">
        <f>IF(G120=0,"",H120/G120)</f>
        <v/>
      </c>
      <c r="K120" s="27" t="n"/>
      <c r="L120" s="60" t="n"/>
      <c r="M120" s="60" t="n"/>
      <c r="N120" s="60">
        <f>M120-L120</f>
        <v/>
      </c>
      <c r="O120" s="61">
        <f>IF(L120=0,"",M120/L120)</f>
        <v/>
      </c>
      <c r="P120" s="27" t="n"/>
      <c r="Q120" s="62" t="n"/>
      <c r="R120" s="62" t="n"/>
      <c r="S120" s="62">
        <f>R120-Q120</f>
        <v/>
      </c>
      <c r="T120" s="64">
        <f>IF(Q120=0,"",R120/Q120)</f>
        <v/>
      </c>
      <c r="U120" s="31" t="n"/>
      <c r="V120" s="60" t="n"/>
      <c r="W120" s="60" t="n"/>
      <c r="X120" s="60">
        <f>W120-V120</f>
        <v/>
      </c>
      <c r="Y120" s="61">
        <f>IF(V120=0,"",W120/V120)</f>
        <v/>
      </c>
      <c r="Z120" s="27" t="n"/>
      <c r="AA120" s="62" t="n"/>
      <c r="AB120" s="62" t="n"/>
      <c r="AC120" s="62">
        <f>AB120-AA120</f>
        <v/>
      </c>
      <c r="AD120" s="64">
        <f>IF(AA120=0,"",AB120/AA120)</f>
        <v/>
      </c>
      <c r="AE120" s="31" t="n"/>
      <c r="AF120" s="60" t="n"/>
      <c r="AG120" s="60" t="n"/>
      <c r="AH120" s="60">
        <f>AG120-AF120</f>
        <v/>
      </c>
      <c r="AI120" s="61">
        <f>IF(AF120=0,"",AG120/AF120)</f>
        <v/>
      </c>
      <c r="AJ120" s="27" t="n"/>
      <c r="AK120" s="62" t="n"/>
      <c r="AL120" s="62" t="n"/>
      <c r="AM120" s="62">
        <f>AL120-AK120</f>
        <v/>
      </c>
      <c r="AN120" s="64">
        <f>IF(AK120=0,"",AL120/AK120)</f>
        <v/>
      </c>
      <c r="AO120" s="31" t="n"/>
      <c r="AP120" s="60" t="n"/>
      <c r="AQ120" s="60" t="n"/>
      <c r="AR120" s="60">
        <f>AQ120-AP120</f>
        <v/>
      </c>
      <c r="AS120" s="61">
        <f>IF(AP120=0,"",AQ120/AP120)</f>
        <v/>
      </c>
      <c r="AT120" s="27" t="n"/>
      <c r="AU120" s="62" t="n"/>
      <c r="AV120" s="62" t="n"/>
      <c r="AW120" s="62">
        <f>AV120-AU120</f>
        <v/>
      </c>
      <c r="AX120" s="64">
        <f>IF(AU120=0,"",AV120/AU120)</f>
        <v/>
      </c>
      <c r="AY120" s="31" t="n"/>
      <c r="AZ120" s="60" t="n"/>
      <c r="BA120" s="60" t="n"/>
      <c r="BB120" s="60">
        <f>BA120-AZ120</f>
        <v/>
      </c>
      <c r="BC120" s="61">
        <f>IF(AZ120=0,"",BA120/AZ120)</f>
        <v/>
      </c>
      <c r="BD120" s="27" t="n"/>
      <c r="BE120" s="62" t="n"/>
      <c r="BF120" s="62" t="n"/>
      <c r="BG120" s="62">
        <f>BF120-BE120</f>
        <v/>
      </c>
      <c r="BH120" s="64">
        <f>IF(BE120=0,"",BF120/BE120)</f>
        <v/>
      </c>
      <c r="BI120" s="31" t="n"/>
      <c r="BJ120" s="60" t="n"/>
      <c r="BK120" s="60" t="n"/>
      <c r="BL120" s="60">
        <f>BK120-BJ120</f>
        <v/>
      </c>
      <c r="BM120" s="61">
        <f>IF(BJ120=0,"",BK120/BJ120)</f>
        <v/>
      </c>
      <c r="BN120" s="27" t="n"/>
      <c r="BO120" s="62" t="n"/>
      <c r="BP120" s="62" t="n"/>
      <c r="BQ120" s="62">
        <f>BP120-BO120</f>
        <v/>
      </c>
      <c r="BR120" s="64">
        <f>IF(BO120=0,"",BP120/BO120)</f>
        <v/>
      </c>
      <c r="BS120" s="31" t="n"/>
      <c r="BT120" s="60" t="n"/>
      <c r="BU120" s="60" t="n"/>
      <c r="BV120" s="60">
        <f>BU120-BT120</f>
        <v/>
      </c>
      <c r="BW120" s="61">
        <f>IF(BT120=0,"",BU120/BT120)</f>
        <v/>
      </c>
      <c r="BX120" s="27" t="n"/>
      <c r="BY120" s="62" t="n"/>
      <c r="BZ120" s="62" t="n"/>
      <c r="CA120" s="62">
        <f>BZ120-BY120</f>
        <v/>
      </c>
      <c r="CB120" s="64">
        <f>IF(BY120=0,"",BZ120/BY120)</f>
        <v/>
      </c>
      <c r="CC120" s="31" t="n"/>
      <c r="CD120" s="60" t="n"/>
      <c r="CE120" s="60" t="n"/>
      <c r="CF120" s="60">
        <f>CE120-CD120</f>
        <v/>
      </c>
      <c r="CG120" s="61">
        <f>IF(CD120=0,"",CE120/CD120)</f>
        <v/>
      </c>
      <c r="CH120" s="27" t="n"/>
      <c r="CI120" s="62" t="n"/>
      <c r="CJ120" s="62" t="n"/>
      <c r="CK120" s="62">
        <f>CJ120-CI120</f>
        <v/>
      </c>
      <c r="CL120" s="64">
        <f>IF(CI120=0,"",CJ120/CI120)</f>
        <v/>
      </c>
      <c r="CM120" s="31" t="n"/>
      <c r="CN120" s="60" t="n"/>
      <c r="CO120" s="60" t="n"/>
      <c r="CP120" s="60">
        <f>CO120-CN120</f>
        <v/>
      </c>
      <c r="CQ120" s="61">
        <f>IF(CN120=0,"",CO120/CN120)</f>
        <v/>
      </c>
      <c r="CR120" s="27" t="n"/>
      <c r="CS120" s="62" t="n"/>
      <c r="CT120" s="62" t="n"/>
      <c r="CU120" s="62">
        <f>CT120-CS120</f>
        <v/>
      </c>
      <c r="CV120" s="64">
        <f>IF(CS120=0,"",CT120/CS120)</f>
        <v/>
      </c>
      <c r="CW120" s="31" t="n"/>
      <c r="CX120" s="60" t="n"/>
      <c r="CY120" s="60" t="n"/>
      <c r="CZ120" s="60">
        <f>CY120-CX120</f>
        <v/>
      </c>
      <c r="DA120" s="61">
        <f>IF(CX120=0,"",CY120/CX120)</f>
        <v/>
      </c>
      <c r="DB120" s="27" t="n"/>
      <c r="DC120" s="62" t="n"/>
      <c r="DD120" s="62" t="n"/>
      <c r="DE120" s="62">
        <f>DD120-DC120</f>
        <v/>
      </c>
      <c r="DF120" s="64">
        <f>IF(DC120=0,"",DD120/DC120)</f>
        <v/>
      </c>
      <c r="DG120" s="31" t="n"/>
      <c r="DH120" s="60" t="n"/>
      <c r="DI120" s="60" t="n"/>
      <c r="DJ120" s="60">
        <f>DI120-DH120</f>
        <v/>
      </c>
      <c r="DK120" s="61">
        <f>IF(DH120=0,"",DI120/DH120)</f>
        <v/>
      </c>
      <c r="DL120" s="27" t="n"/>
      <c r="DM120" s="62" t="n"/>
      <c r="DN120" s="62" t="n"/>
      <c r="DO120" s="62">
        <f>DN120-DM120</f>
        <v/>
      </c>
      <c r="DP120" s="64">
        <f>IF(DM120=0,"",DN120/DM120)</f>
        <v/>
      </c>
      <c r="DQ120" s="31" t="n"/>
      <c r="DR120" s="60" t="n"/>
    </row>
    <row r="121" outlineLevel="1" ht="15" customHeight="1">
      <c r="A121" s="24" t="n"/>
      <c r="B121" s="24" t="n"/>
      <c r="C121" s="24" t="n"/>
      <c r="D121" s="24" t="n"/>
      <c r="E121" s="24" t="n"/>
      <c r="F121" s="24" t="n"/>
      <c r="G121" s="60" t="n"/>
      <c r="H121" s="60" t="n"/>
      <c r="I121" s="60">
        <f>H121-G121</f>
        <v/>
      </c>
      <c r="J121" s="61">
        <f>IF(G121=0,"",H121/G121)</f>
        <v/>
      </c>
      <c r="K121" s="27" t="n"/>
      <c r="L121" s="60" t="n"/>
      <c r="M121" s="60" t="n"/>
      <c r="N121" s="60">
        <f>M121-L121</f>
        <v/>
      </c>
      <c r="O121" s="61">
        <f>IF(L121=0,"",M121/L121)</f>
        <v/>
      </c>
      <c r="P121" s="27" t="n"/>
      <c r="Q121" s="62" t="n"/>
      <c r="R121" s="62" t="n"/>
      <c r="S121" s="62">
        <f>R121-Q121</f>
        <v/>
      </c>
      <c r="T121" s="64">
        <f>IF(Q121=0,"",R121/Q121)</f>
        <v/>
      </c>
      <c r="U121" s="31" t="n"/>
      <c r="V121" s="60" t="n"/>
      <c r="W121" s="60" t="n"/>
      <c r="X121" s="60">
        <f>W121-V121</f>
        <v/>
      </c>
      <c r="Y121" s="61">
        <f>IF(V121=0,"",W121/V121)</f>
        <v/>
      </c>
      <c r="Z121" s="27" t="n"/>
      <c r="AA121" s="62" t="n"/>
      <c r="AB121" s="62" t="n"/>
      <c r="AC121" s="62">
        <f>AB121-AA121</f>
        <v/>
      </c>
      <c r="AD121" s="64">
        <f>IF(AA121=0,"",AB121/AA121)</f>
        <v/>
      </c>
      <c r="AE121" s="31" t="n"/>
      <c r="AF121" s="60" t="n"/>
      <c r="AG121" s="60" t="n"/>
      <c r="AH121" s="60">
        <f>AG121-AF121</f>
        <v/>
      </c>
      <c r="AI121" s="61">
        <f>IF(AF121=0,"",AG121/AF121)</f>
        <v/>
      </c>
      <c r="AJ121" s="27" t="n"/>
      <c r="AK121" s="62" t="n"/>
      <c r="AL121" s="62" t="n"/>
      <c r="AM121" s="62">
        <f>AL121-AK121</f>
        <v/>
      </c>
      <c r="AN121" s="64">
        <f>IF(AK121=0,"",AL121/AK121)</f>
        <v/>
      </c>
      <c r="AO121" s="31" t="n"/>
      <c r="AP121" s="60" t="n"/>
      <c r="AQ121" s="60" t="n"/>
      <c r="AR121" s="60">
        <f>AQ121-AP121</f>
        <v/>
      </c>
      <c r="AS121" s="61">
        <f>IF(AP121=0,"",AQ121/AP121)</f>
        <v/>
      </c>
      <c r="AT121" s="27" t="n"/>
      <c r="AU121" s="62" t="n"/>
      <c r="AV121" s="62" t="n"/>
      <c r="AW121" s="62">
        <f>AV121-AU121</f>
        <v/>
      </c>
      <c r="AX121" s="64">
        <f>IF(AU121=0,"",AV121/AU121)</f>
        <v/>
      </c>
      <c r="AY121" s="31" t="n"/>
      <c r="AZ121" s="60" t="n"/>
      <c r="BA121" s="60" t="n"/>
      <c r="BB121" s="60">
        <f>BA121-AZ121</f>
        <v/>
      </c>
      <c r="BC121" s="61">
        <f>IF(AZ121=0,"",BA121/AZ121)</f>
        <v/>
      </c>
      <c r="BD121" s="27" t="n"/>
      <c r="BE121" s="62" t="n"/>
      <c r="BF121" s="62" t="n"/>
      <c r="BG121" s="62">
        <f>BF121-BE121</f>
        <v/>
      </c>
      <c r="BH121" s="64">
        <f>IF(BE121=0,"",BF121/BE121)</f>
        <v/>
      </c>
      <c r="BI121" s="31" t="n"/>
      <c r="BJ121" s="60" t="n"/>
      <c r="BK121" s="60" t="n"/>
      <c r="BL121" s="60">
        <f>BK121-BJ121</f>
        <v/>
      </c>
      <c r="BM121" s="61">
        <f>IF(BJ121=0,"",BK121/BJ121)</f>
        <v/>
      </c>
      <c r="BN121" s="27" t="n"/>
      <c r="BO121" s="62" t="n"/>
      <c r="BP121" s="62" t="n"/>
      <c r="BQ121" s="62">
        <f>BP121-BO121</f>
        <v/>
      </c>
      <c r="BR121" s="64">
        <f>IF(BO121=0,"",BP121/BO121)</f>
        <v/>
      </c>
      <c r="BS121" s="31" t="n"/>
      <c r="BT121" s="60" t="n"/>
      <c r="BU121" s="60" t="n"/>
      <c r="BV121" s="60">
        <f>BU121-BT121</f>
        <v/>
      </c>
      <c r="BW121" s="61">
        <f>IF(BT121=0,"",BU121/BT121)</f>
        <v/>
      </c>
      <c r="BX121" s="27" t="n"/>
      <c r="BY121" s="62" t="n"/>
      <c r="BZ121" s="62" t="n"/>
      <c r="CA121" s="62">
        <f>BZ121-BY121</f>
        <v/>
      </c>
      <c r="CB121" s="64">
        <f>IF(BY121=0,"",BZ121/BY121)</f>
        <v/>
      </c>
      <c r="CC121" s="31" t="n"/>
      <c r="CD121" s="60" t="n"/>
      <c r="CE121" s="60" t="n"/>
      <c r="CF121" s="60">
        <f>CE121-CD121</f>
        <v/>
      </c>
      <c r="CG121" s="61">
        <f>IF(CD121=0,"",CE121/CD121)</f>
        <v/>
      </c>
      <c r="CH121" s="27" t="n"/>
      <c r="CI121" s="62" t="n"/>
      <c r="CJ121" s="62" t="n"/>
      <c r="CK121" s="62">
        <f>CJ121-CI121</f>
        <v/>
      </c>
      <c r="CL121" s="64">
        <f>IF(CI121=0,"",CJ121/CI121)</f>
        <v/>
      </c>
      <c r="CM121" s="31" t="n"/>
      <c r="CN121" s="60" t="n"/>
      <c r="CO121" s="60" t="n"/>
      <c r="CP121" s="60">
        <f>CO121-CN121</f>
        <v/>
      </c>
      <c r="CQ121" s="61">
        <f>IF(CN121=0,"",CO121/CN121)</f>
        <v/>
      </c>
      <c r="CR121" s="27" t="n"/>
      <c r="CS121" s="62" t="n"/>
      <c r="CT121" s="62" t="n"/>
      <c r="CU121" s="62">
        <f>CT121-CS121</f>
        <v/>
      </c>
      <c r="CV121" s="64">
        <f>IF(CS121=0,"",CT121/CS121)</f>
        <v/>
      </c>
      <c r="CW121" s="31" t="n"/>
      <c r="CX121" s="60" t="n"/>
      <c r="CY121" s="60" t="n"/>
      <c r="CZ121" s="60">
        <f>CY121-CX121</f>
        <v/>
      </c>
      <c r="DA121" s="61">
        <f>IF(CX121=0,"",CY121/CX121)</f>
        <v/>
      </c>
      <c r="DB121" s="27" t="n"/>
      <c r="DC121" s="62" t="n"/>
      <c r="DD121" s="62" t="n"/>
      <c r="DE121" s="62">
        <f>DD121-DC121</f>
        <v/>
      </c>
      <c r="DF121" s="64">
        <f>IF(DC121=0,"",DD121/DC121)</f>
        <v/>
      </c>
      <c r="DG121" s="31" t="n"/>
      <c r="DH121" s="60" t="n"/>
      <c r="DI121" s="60" t="n"/>
      <c r="DJ121" s="60">
        <f>DI121-DH121</f>
        <v/>
      </c>
      <c r="DK121" s="61">
        <f>IF(DH121=0,"",DI121/DH121)</f>
        <v/>
      </c>
      <c r="DL121" s="27" t="n"/>
      <c r="DM121" s="62" t="n"/>
      <c r="DN121" s="62" t="n"/>
      <c r="DO121" s="62">
        <f>DN121-DM121</f>
        <v/>
      </c>
      <c r="DP121" s="64">
        <f>IF(DM121=0,"",DN121/DM121)</f>
        <v/>
      </c>
      <c r="DQ121" s="31" t="n"/>
      <c r="DR121" s="60" t="n"/>
    </row>
    <row r="122" outlineLevel="1" ht="15" customHeight="1">
      <c r="A122" s="24" t="n"/>
      <c r="B122" s="24" t="n"/>
      <c r="C122" s="24" t="n"/>
      <c r="D122" s="24" t="n"/>
      <c r="E122" s="24" t="n"/>
      <c r="F122" s="24" t="n"/>
      <c r="G122" s="60" t="n"/>
      <c r="H122" s="60" t="n"/>
      <c r="I122" s="60">
        <f>H122-G122</f>
        <v/>
      </c>
      <c r="J122" s="61">
        <f>IF(G122=0,"",H122/G122)</f>
        <v/>
      </c>
      <c r="K122" s="27" t="n"/>
      <c r="L122" s="60" t="n"/>
      <c r="M122" s="60" t="n"/>
      <c r="N122" s="60">
        <f>M122-L122</f>
        <v/>
      </c>
      <c r="O122" s="61">
        <f>IF(L122=0,"",M122/L122)</f>
        <v/>
      </c>
      <c r="P122" s="27" t="n"/>
      <c r="Q122" s="62" t="n"/>
      <c r="R122" s="62" t="n"/>
      <c r="S122" s="62">
        <f>R122-Q122</f>
        <v/>
      </c>
      <c r="T122" s="64">
        <f>IF(Q122=0,"",R122/Q122)</f>
        <v/>
      </c>
      <c r="U122" s="31" t="n"/>
      <c r="V122" s="60" t="n"/>
      <c r="W122" s="60" t="n"/>
      <c r="X122" s="60">
        <f>W122-V122</f>
        <v/>
      </c>
      <c r="Y122" s="61">
        <f>IF(V122=0,"",W122/V122)</f>
        <v/>
      </c>
      <c r="Z122" s="27" t="n"/>
      <c r="AA122" s="62" t="n"/>
      <c r="AB122" s="62" t="n"/>
      <c r="AC122" s="62">
        <f>AB122-AA122</f>
        <v/>
      </c>
      <c r="AD122" s="64">
        <f>IF(AA122=0,"",AB122/AA122)</f>
        <v/>
      </c>
      <c r="AE122" s="31" t="n"/>
      <c r="AF122" s="60" t="n"/>
      <c r="AG122" s="60" t="n"/>
      <c r="AH122" s="60">
        <f>AG122-AF122</f>
        <v/>
      </c>
      <c r="AI122" s="61">
        <f>IF(AF122=0,"",AG122/AF122)</f>
        <v/>
      </c>
      <c r="AJ122" s="27" t="n"/>
      <c r="AK122" s="62" t="n"/>
      <c r="AL122" s="62" t="n"/>
      <c r="AM122" s="62">
        <f>AL122-AK122</f>
        <v/>
      </c>
      <c r="AN122" s="64">
        <f>IF(AK122=0,"",AL122/AK122)</f>
        <v/>
      </c>
      <c r="AO122" s="31" t="n"/>
      <c r="AP122" s="60" t="n"/>
      <c r="AQ122" s="60" t="n"/>
      <c r="AR122" s="60">
        <f>AQ122-AP122</f>
        <v/>
      </c>
      <c r="AS122" s="61">
        <f>IF(AP122=0,"",AQ122/AP122)</f>
        <v/>
      </c>
      <c r="AT122" s="27" t="n"/>
      <c r="AU122" s="62" t="n"/>
      <c r="AV122" s="62" t="n"/>
      <c r="AW122" s="62">
        <f>AV122-AU122</f>
        <v/>
      </c>
      <c r="AX122" s="64">
        <f>IF(AU122=0,"",AV122/AU122)</f>
        <v/>
      </c>
      <c r="AY122" s="31" t="n"/>
      <c r="AZ122" s="60" t="n"/>
      <c r="BA122" s="60" t="n"/>
      <c r="BB122" s="60">
        <f>BA122-AZ122</f>
        <v/>
      </c>
      <c r="BC122" s="61">
        <f>IF(AZ122=0,"",BA122/AZ122)</f>
        <v/>
      </c>
      <c r="BD122" s="27" t="n"/>
      <c r="BE122" s="62" t="n"/>
      <c r="BF122" s="62" t="n"/>
      <c r="BG122" s="62">
        <f>BF122-BE122</f>
        <v/>
      </c>
      <c r="BH122" s="64">
        <f>IF(BE122=0,"",BF122/BE122)</f>
        <v/>
      </c>
      <c r="BI122" s="31" t="n"/>
      <c r="BJ122" s="60" t="n"/>
      <c r="BK122" s="60" t="n"/>
      <c r="BL122" s="60">
        <f>BK122-BJ122</f>
        <v/>
      </c>
      <c r="BM122" s="61">
        <f>IF(BJ122=0,"",BK122/BJ122)</f>
        <v/>
      </c>
      <c r="BN122" s="27" t="n"/>
      <c r="BO122" s="62" t="n"/>
      <c r="BP122" s="62" t="n"/>
      <c r="BQ122" s="62">
        <f>BP122-BO122</f>
        <v/>
      </c>
      <c r="BR122" s="64">
        <f>IF(BO122=0,"",BP122/BO122)</f>
        <v/>
      </c>
      <c r="BS122" s="31" t="n"/>
      <c r="BT122" s="60" t="n"/>
      <c r="BU122" s="60" t="n"/>
      <c r="BV122" s="60">
        <f>BU122-BT122</f>
        <v/>
      </c>
      <c r="BW122" s="61">
        <f>IF(BT122=0,"",BU122/BT122)</f>
        <v/>
      </c>
      <c r="BX122" s="27" t="n"/>
      <c r="BY122" s="62" t="n"/>
      <c r="BZ122" s="62" t="n"/>
      <c r="CA122" s="62">
        <f>BZ122-BY122</f>
        <v/>
      </c>
      <c r="CB122" s="64">
        <f>IF(BY122=0,"",BZ122/BY122)</f>
        <v/>
      </c>
      <c r="CC122" s="31" t="n"/>
      <c r="CD122" s="60" t="n"/>
      <c r="CE122" s="60" t="n"/>
      <c r="CF122" s="60">
        <f>CE122-CD122</f>
        <v/>
      </c>
      <c r="CG122" s="61">
        <f>IF(CD122=0,"",CE122/CD122)</f>
        <v/>
      </c>
      <c r="CH122" s="27" t="n"/>
      <c r="CI122" s="62" t="n"/>
      <c r="CJ122" s="62" t="n"/>
      <c r="CK122" s="62">
        <f>CJ122-CI122</f>
        <v/>
      </c>
      <c r="CL122" s="64">
        <f>IF(CI122=0,"",CJ122/CI122)</f>
        <v/>
      </c>
      <c r="CM122" s="31" t="n"/>
      <c r="CN122" s="60" t="n"/>
      <c r="CO122" s="60" t="n"/>
      <c r="CP122" s="60">
        <f>CO122-CN122</f>
        <v/>
      </c>
      <c r="CQ122" s="61">
        <f>IF(CN122=0,"",CO122/CN122)</f>
        <v/>
      </c>
      <c r="CR122" s="27" t="n"/>
      <c r="CS122" s="62" t="n"/>
      <c r="CT122" s="62" t="n"/>
      <c r="CU122" s="62">
        <f>CT122-CS122</f>
        <v/>
      </c>
      <c r="CV122" s="64">
        <f>IF(CS122=0,"",CT122/CS122)</f>
        <v/>
      </c>
      <c r="CW122" s="31" t="n"/>
      <c r="CX122" s="60" t="n"/>
      <c r="CY122" s="60" t="n"/>
      <c r="CZ122" s="60">
        <f>CY122-CX122</f>
        <v/>
      </c>
      <c r="DA122" s="61">
        <f>IF(CX122=0,"",CY122/CX122)</f>
        <v/>
      </c>
      <c r="DB122" s="27" t="n"/>
      <c r="DC122" s="62" t="n"/>
      <c r="DD122" s="62" t="n"/>
      <c r="DE122" s="62">
        <f>DD122-DC122</f>
        <v/>
      </c>
      <c r="DF122" s="64">
        <f>IF(DC122=0,"",DD122/DC122)</f>
        <v/>
      </c>
      <c r="DG122" s="31" t="n"/>
      <c r="DH122" s="60" t="n"/>
      <c r="DI122" s="60" t="n"/>
      <c r="DJ122" s="60">
        <f>DI122-DH122</f>
        <v/>
      </c>
      <c r="DK122" s="61">
        <f>IF(DH122=0,"",DI122/DH122)</f>
        <v/>
      </c>
      <c r="DL122" s="27" t="n"/>
      <c r="DM122" s="62" t="n"/>
      <c r="DN122" s="62" t="n"/>
      <c r="DO122" s="62">
        <f>DN122-DM122</f>
        <v/>
      </c>
      <c r="DP122" s="64">
        <f>IF(DM122=0,"",DN122/DM122)</f>
        <v/>
      </c>
      <c r="DQ122" s="31" t="n"/>
      <c r="DR122" s="60" t="n"/>
    </row>
    <row r="123" outlineLevel="1" ht="15" customHeight="1">
      <c r="A123" s="24" t="n"/>
      <c r="B123" s="24" t="n"/>
      <c r="C123" s="24" t="n"/>
      <c r="D123" s="24" t="n"/>
      <c r="E123" s="24" t="n"/>
      <c r="F123" s="24" t="n"/>
      <c r="G123" s="60" t="n"/>
      <c r="H123" s="60" t="n"/>
      <c r="I123" s="60">
        <f>H123-G123</f>
        <v/>
      </c>
      <c r="J123" s="61">
        <f>IF(G123=0,"",H123/G123)</f>
        <v/>
      </c>
      <c r="K123" s="27" t="n"/>
      <c r="L123" s="60" t="n"/>
      <c r="M123" s="60" t="n"/>
      <c r="N123" s="60">
        <f>M123-L123</f>
        <v/>
      </c>
      <c r="O123" s="61">
        <f>IF(L123=0,"",M123/L123)</f>
        <v/>
      </c>
      <c r="P123" s="27" t="n"/>
      <c r="Q123" s="62" t="n"/>
      <c r="R123" s="62" t="n"/>
      <c r="S123" s="62">
        <f>R123-Q123</f>
        <v/>
      </c>
      <c r="T123" s="64">
        <f>IF(Q123=0,"",R123/Q123)</f>
        <v/>
      </c>
      <c r="U123" s="31" t="n"/>
      <c r="V123" s="60" t="n"/>
      <c r="W123" s="60" t="n"/>
      <c r="X123" s="60">
        <f>W123-V123</f>
        <v/>
      </c>
      <c r="Y123" s="61">
        <f>IF(V123=0,"",W123/V123)</f>
        <v/>
      </c>
      <c r="Z123" s="27" t="n"/>
      <c r="AA123" s="62" t="n"/>
      <c r="AB123" s="62" t="n"/>
      <c r="AC123" s="62">
        <f>AB123-AA123</f>
        <v/>
      </c>
      <c r="AD123" s="64">
        <f>IF(AA123=0,"",AB123/AA123)</f>
        <v/>
      </c>
      <c r="AE123" s="31" t="n"/>
      <c r="AF123" s="60" t="n"/>
      <c r="AG123" s="60" t="n"/>
      <c r="AH123" s="60">
        <f>AG123-AF123</f>
        <v/>
      </c>
      <c r="AI123" s="61">
        <f>IF(AF123=0,"",AG123/AF123)</f>
        <v/>
      </c>
      <c r="AJ123" s="27" t="n"/>
      <c r="AK123" s="62" t="n"/>
      <c r="AL123" s="62" t="n"/>
      <c r="AM123" s="62">
        <f>AL123-AK123</f>
        <v/>
      </c>
      <c r="AN123" s="64">
        <f>IF(AK123=0,"",AL123/AK123)</f>
        <v/>
      </c>
      <c r="AO123" s="31" t="n"/>
      <c r="AP123" s="60" t="n"/>
      <c r="AQ123" s="60" t="n"/>
      <c r="AR123" s="60">
        <f>AQ123-AP123</f>
        <v/>
      </c>
      <c r="AS123" s="61">
        <f>IF(AP123=0,"",AQ123/AP123)</f>
        <v/>
      </c>
      <c r="AT123" s="27" t="n"/>
      <c r="AU123" s="62" t="n"/>
      <c r="AV123" s="62" t="n"/>
      <c r="AW123" s="62">
        <f>AV123-AU123</f>
        <v/>
      </c>
      <c r="AX123" s="64">
        <f>IF(AU123=0,"",AV123/AU123)</f>
        <v/>
      </c>
      <c r="AY123" s="31" t="n"/>
      <c r="AZ123" s="60" t="n"/>
      <c r="BA123" s="60" t="n"/>
      <c r="BB123" s="60">
        <f>BA123-AZ123</f>
        <v/>
      </c>
      <c r="BC123" s="61">
        <f>IF(AZ123=0,"",BA123/AZ123)</f>
        <v/>
      </c>
      <c r="BD123" s="27" t="n"/>
      <c r="BE123" s="62" t="n"/>
      <c r="BF123" s="62" t="n"/>
      <c r="BG123" s="62">
        <f>BF123-BE123</f>
        <v/>
      </c>
      <c r="BH123" s="64">
        <f>IF(BE123=0,"",BF123/BE123)</f>
        <v/>
      </c>
      <c r="BI123" s="31" t="n"/>
      <c r="BJ123" s="60" t="n"/>
      <c r="BK123" s="60" t="n"/>
      <c r="BL123" s="60">
        <f>BK123-BJ123</f>
        <v/>
      </c>
      <c r="BM123" s="61">
        <f>IF(BJ123=0,"",BK123/BJ123)</f>
        <v/>
      </c>
      <c r="BN123" s="27" t="n"/>
      <c r="BO123" s="62" t="n"/>
      <c r="BP123" s="62" t="n"/>
      <c r="BQ123" s="62">
        <f>BP123-BO123</f>
        <v/>
      </c>
      <c r="BR123" s="64">
        <f>IF(BO123=0,"",BP123/BO123)</f>
        <v/>
      </c>
      <c r="BS123" s="31" t="n"/>
      <c r="BT123" s="60" t="n"/>
      <c r="BU123" s="60" t="n"/>
      <c r="BV123" s="60">
        <f>BU123-BT123</f>
        <v/>
      </c>
      <c r="BW123" s="61">
        <f>IF(BT123=0,"",BU123/BT123)</f>
        <v/>
      </c>
      <c r="BX123" s="27" t="n"/>
      <c r="BY123" s="62" t="n"/>
      <c r="BZ123" s="62" t="n"/>
      <c r="CA123" s="62">
        <f>BZ123-BY123</f>
        <v/>
      </c>
      <c r="CB123" s="64">
        <f>IF(BY123=0,"",BZ123/BY123)</f>
        <v/>
      </c>
      <c r="CC123" s="31" t="n"/>
      <c r="CD123" s="60" t="n"/>
      <c r="CE123" s="60" t="n"/>
      <c r="CF123" s="60">
        <f>CE123-CD123</f>
        <v/>
      </c>
      <c r="CG123" s="61">
        <f>IF(CD123=0,"",CE123/CD123)</f>
        <v/>
      </c>
      <c r="CH123" s="27" t="n"/>
      <c r="CI123" s="62" t="n"/>
      <c r="CJ123" s="62" t="n"/>
      <c r="CK123" s="62">
        <f>CJ123-CI123</f>
        <v/>
      </c>
      <c r="CL123" s="64">
        <f>IF(CI123=0,"",CJ123/CI123)</f>
        <v/>
      </c>
      <c r="CM123" s="31" t="n"/>
      <c r="CN123" s="60" t="n"/>
      <c r="CO123" s="60" t="n"/>
      <c r="CP123" s="60">
        <f>CO123-CN123</f>
        <v/>
      </c>
      <c r="CQ123" s="61">
        <f>IF(CN123=0,"",CO123/CN123)</f>
        <v/>
      </c>
      <c r="CR123" s="27" t="n"/>
      <c r="CS123" s="62" t="n"/>
      <c r="CT123" s="62" t="n"/>
      <c r="CU123" s="62">
        <f>CT123-CS123</f>
        <v/>
      </c>
      <c r="CV123" s="64">
        <f>IF(CS123=0,"",CT123/CS123)</f>
        <v/>
      </c>
      <c r="CW123" s="31" t="n"/>
      <c r="CX123" s="60" t="n"/>
      <c r="CY123" s="60" t="n"/>
      <c r="CZ123" s="60">
        <f>CY123-CX123</f>
        <v/>
      </c>
      <c r="DA123" s="61">
        <f>IF(CX123=0,"",CY123/CX123)</f>
        <v/>
      </c>
      <c r="DB123" s="27" t="n"/>
      <c r="DC123" s="62" t="n"/>
      <c r="DD123" s="62" t="n"/>
      <c r="DE123" s="62">
        <f>DD123-DC123</f>
        <v/>
      </c>
      <c r="DF123" s="64">
        <f>IF(DC123=0,"",DD123/DC123)</f>
        <v/>
      </c>
      <c r="DG123" s="31" t="n"/>
      <c r="DH123" s="60" t="n"/>
      <c r="DI123" s="60" t="n"/>
      <c r="DJ123" s="60">
        <f>DI123-DH123</f>
        <v/>
      </c>
      <c r="DK123" s="61">
        <f>IF(DH123=0,"",DI123/DH123)</f>
        <v/>
      </c>
      <c r="DL123" s="27" t="n"/>
      <c r="DM123" s="62" t="n"/>
      <c r="DN123" s="62" t="n"/>
      <c r="DO123" s="62">
        <f>DN123-DM123</f>
        <v/>
      </c>
      <c r="DP123" s="64">
        <f>IF(DM123=0,"",DN123/DM123)</f>
        <v/>
      </c>
      <c r="DQ123" s="31" t="n"/>
      <c r="DR123" s="60" t="n"/>
    </row>
    <row r="124" ht="15" customHeight="1">
      <c r="A124" s="15" t="n"/>
      <c r="B124" s="15" t="n"/>
      <c r="C124" s="15" t="n"/>
      <c r="D124" s="15" t="n"/>
      <c r="E124" s="15" t="n"/>
      <c r="F124" s="15" t="n"/>
      <c r="G124" s="56">
        <f>G5+G70</f>
        <v/>
      </c>
      <c r="H124" s="56">
        <f>H5+H70</f>
        <v/>
      </c>
      <c r="I124" s="56">
        <f>H124-G124</f>
        <v/>
      </c>
      <c r="J124" s="57">
        <f>IF(G124=0,"",H124/G124)</f>
        <v/>
      </c>
      <c r="K124" s="18" t="n"/>
      <c r="L124" s="56">
        <f>L5+L70</f>
        <v/>
      </c>
      <c r="M124" s="56">
        <f>M5+M70</f>
        <v/>
      </c>
      <c r="N124" s="56">
        <f>M124-L124</f>
        <v/>
      </c>
      <c r="O124" s="57">
        <f>IF(L124=0,"",M124/L124)</f>
        <v/>
      </c>
      <c r="P124" s="18" t="n"/>
      <c r="Q124" s="56">
        <f>Q5+Q70</f>
        <v/>
      </c>
      <c r="R124" s="56">
        <f>R5+R70</f>
        <v/>
      </c>
      <c r="S124" s="56">
        <f>R124-Q124</f>
        <v/>
      </c>
      <c r="T124" s="57">
        <f>IF(Q124=0,"",R124/Q124)</f>
        <v/>
      </c>
      <c r="U124" s="18" t="n"/>
      <c r="V124" s="56">
        <f>V5+V70</f>
        <v/>
      </c>
      <c r="W124" s="56">
        <f>W5+W70</f>
        <v/>
      </c>
      <c r="X124" s="56">
        <f>W124-V124</f>
        <v/>
      </c>
      <c r="Y124" s="57">
        <f>IF(V124=0,"",W124/V124)</f>
        <v/>
      </c>
      <c r="Z124" s="18" t="n"/>
      <c r="AA124" s="56">
        <f>AA5+AA70</f>
        <v/>
      </c>
      <c r="AB124" s="56">
        <f>AB5+AB70</f>
        <v/>
      </c>
      <c r="AC124" s="56">
        <f>AB124-AA124</f>
        <v/>
      </c>
      <c r="AD124" s="57">
        <f>IF(AA124=0,"",AB124/AA124)</f>
        <v/>
      </c>
      <c r="AE124" s="18" t="n"/>
      <c r="AF124" s="56">
        <f>AF5+AF70</f>
        <v/>
      </c>
      <c r="AG124" s="56">
        <f>AG5+AG70</f>
        <v/>
      </c>
      <c r="AH124" s="56">
        <f>AG124-AF124</f>
        <v/>
      </c>
      <c r="AI124" s="57">
        <f>IF(AF124=0,"",AG124/AF124)</f>
        <v/>
      </c>
      <c r="AJ124" s="18" t="n"/>
      <c r="AK124" s="56">
        <f>AK5+AK70</f>
        <v/>
      </c>
      <c r="AL124" s="56">
        <f>AL5+AL70</f>
        <v/>
      </c>
      <c r="AM124" s="56">
        <f>AL124-AK124</f>
        <v/>
      </c>
      <c r="AN124" s="57">
        <f>IF(AK124=0,"",AL124/AK124)</f>
        <v/>
      </c>
      <c r="AO124" s="18" t="n"/>
      <c r="AP124" s="56">
        <f>AP5+AP70</f>
        <v/>
      </c>
      <c r="AQ124" s="56">
        <f>AQ5+AQ70</f>
        <v/>
      </c>
      <c r="AR124" s="56">
        <f>AQ124-AP124</f>
        <v/>
      </c>
      <c r="AS124" s="57">
        <f>IF(AP124=0,"",AQ124/AP124)</f>
        <v/>
      </c>
      <c r="AT124" s="18" t="n"/>
      <c r="AU124" s="56">
        <f>AU5+AU70</f>
        <v/>
      </c>
      <c r="AV124" s="56">
        <f>AV5+AV70</f>
        <v/>
      </c>
      <c r="AW124" s="56">
        <f>AV124-AU124</f>
        <v/>
      </c>
      <c r="AX124" s="57">
        <f>IF(AU124=0,"",AV124/AU124)</f>
        <v/>
      </c>
      <c r="AY124" s="18" t="n"/>
      <c r="AZ124" s="56">
        <f>AZ5+AZ70</f>
        <v/>
      </c>
      <c r="BA124" s="56">
        <f>BA5+BA70</f>
        <v/>
      </c>
      <c r="BB124" s="56">
        <f>BA124-AZ124</f>
        <v/>
      </c>
      <c r="BC124" s="57">
        <f>IF(AZ124=0,"",BA124/AZ124)</f>
        <v/>
      </c>
      <c r="BD124" s="18" t="n"/>
      <c r="BE124" s="56">
        <f>BE5+BE70</f>
        <v/>
      </c>
      <c r="BF124" s="56">
        <f>BF5+BF70</f>
        <v/>
      </c>
      <c r="BG124" s="56">
        <f>BF124-BE124</f>
        <v/>
      </c>
      <c r="BH124" s="57">
        <f>IF(BE124=0,"",BF124/BE124)</f>
        <v/>
      </c>
      <c r="BI124" s="18" t="n"/>
      <c r="BJ124" s="56">
        <f>BJ5+BJ70</f>
        <v/>
      </c>
      <c r="BK124" s="56">
        <f>BK5+BK70</f>
        <v/>
      </c>
      <c r="BL124" s="56">
        <f>BK124-BJ124</f>
        <v/>
      </c>
      <c r="BM124" s="57">
        <f>IF(BJ124=0,"",BK124/BJ124)</f>
        <v/>
      </c>
      <c r="BN124" s="18" t="n"/>
      <c r="BO124" s="56">
        <f>BO5+BO70</f>
        <v/>
      </c>
      <c r="BP124" s="56">
        <f>BP5+BP70</f>
        <v/>
      </c>
      <c r="BQ124" s="56">
        <f>BP124-BO124</f>
        <v/>
      </c>
      <c r="BR124" s="57">
        <f>IF(BO124=0,"",BP124/BO124)</f>
        <v/>
      </c>
      <c r="BS124" s="18" t="n"/>
      <c r="BT124" s="56">
        <f>BT5+BT70</f>
        <v/>
      </c>
      <c r="BU124" s="56">
        <f>BU5+BU70</f>
        <v/>
      </c>
      <c r="BV124" s="56">
        <f>BU124-BT124</f>
        <v/>
      </c>
      <c r="BW124" s="57">
        <f>IF(BT124=0,"",BU124/BT124)</f>
        <v/>
      </c>
      <c r="BX124" s="18" t="n"/>
      <c r="BY124" s="56">
        <f>BY5+BY70</f>
        <v/>
      </c>
      <c r="BZ124" s="56">
        <f>BZ5+BZ70</f>
        <v/>
      </c>
      <c r="CA124" s="56">
        <f>BZ124-BY124</f>
        <v/>
      </c>
      <c r="CB124" s="57">
        <f>IF(BY124=0,"",BZ124/BY124)</f>
        <v/>
      </c>
      <c r="CC124" s="18" t="n"/>
      <c r="CD124" s="56">
        <f>CD5+CD70</f>
        <v/>
      </c>
      <c r="CE124" s="56">
        <f>CE5+CE70</f>
        <v/>
      </c>
      <c r="CF124" s="56">
        <f>CE124-CD124</f>
        <v/>
      </c>
      <c r="CG124" s="57">
        <f>IF(CD124=0,"",CE124/CD124)</f>
        <v/>
      </c>
      <c r="CH124" s="18" t="n"/>
      <c r="CI124" s="56">
        <f>CI5+CI70</f>
        <v/>
      </c>
      <c r="CJ124" s="56">
        <f>CJ5+CJ70</f>
        <v/>
      </c>
      <c r="CK124" s="56">
        <f>CJ124-CI124</f>
        <v/>
      </c>
      <c r="CL124" s="57">
        <f>IF(CI124=0,"",CJ124/CI124)</f>
        <v/>
      </c>
      <c r="CM124" s="18" t="n"/>
      <c r="CN124" s="56">
        <f>CN5+CN70</f>
        <v/>
      </c>
      <c r="CO124" s="56">
        <f>CO5+CO70</f>
        <v/>
      </c>
      <c r="CP124" s="56">
        <f>CO124-CN124</f>
        <v/>
      </c>
      <c r="CQ124" s="57">
        <f>IF(CN124=0,"",CO124/CN124)</f>
        <v/>
      </c>
      <c r="CR124" s="18" t="n"/>
      <c r="CS124" s="56">
        <f>CS5+CS70</f>
        <v/>
      </c>
      <c r="CT124" s="56">
        <f>CT5+CT70</f>
        <v/>
      </c>
      <c r="CU124" s="56">
        <f>CT124-CS124</f>
        <v/>
      </c>
      <c r="CV124" s="57">
        <f>IF(CS124=0,"",CT124/CS124)</f>
        <v/>
      </c>
      <c r="CW124" s="18" t="n"/>
      <c r="CX124" s="56">
        <f>CX5+CX70</f>
        <v/>
      </c>
      <c r="CY124" s="56">
        <f>CY5+CY70</f>
        <v/>
      </c>
      <c r="CZ124" s="56">
        <f>CY124-CX124</f>
        <v/>
      </c>
      <c r="DA124" s="57">
        <f>IF(CX124=0,"",CY124/CX124)</f>
        <v/>
      </c>
      <c r="DB124" s="18" t="n"/>
      <c r="DC124" s="56">
        <f>DC5+DC70</f>
        <v/>
      </c>
      <c r="DD124" s="56">
        <f>DD5+DD70</f>
        <v/>
      </c>
      <c r="DE124" s="56">
        <f>DD124-DC124</f>
        <v/>
      </c>
      <c r="DF124" s="57">
        <f>IF(DC124=0,"",DD124/DC124)</f>
        <v/>
      </c>
      <c r="DG124" s="18" t="n"/>
      <c r="DH124" s="56">
        <f>DH5+DH70</f>
        <v/>
      </c>
      <c r="DI124" s="56">
        <f>DI5+DI70</f>
        <v/>
      </c>
      <c r="DJ124" s="56">
        <f>DI124-DH124</f>
        <v/>
      </c>
      <c r="DK124" s="57">
        <f>IF(DH124=0,"",DI124/DH124)</f>
        <v/>
      </c>
      <c r="DL124" s="18" t="n"/>
      <c r="DM124" s="56">
        <f>DM5+DM70</f>
        <v/>
      </c>
      <c r="DN124" s="56">
        <f>DN5+DN70</f>
        <v/>
      </c>
      <c r="DO124" s="56">
        <f>DN124-DM124</f>
        <v/>
      </c>
      <c r="DP124" s="57">
        <f>IF(DM124=0,"",DN124/DM124)</f>
        <v/>
      </c>
      <c r="DQ124" s="18" t="n"/>
      <c r="DR124" s="56">
        <f>DR5+DR70</f>
        <v/>
      </c>
    </row>
  </sheetData>
  <mergeCells count="88">
    <mergeCell ref="B53:B55"/>
    <mergeCell ref="BE3:BI3"/>
    <mergeCell ref="B34:B36"/>
    <mergeCell ref="Q3:U3"/>
    <mergeCell ref="C29:C30"/>
    <mergeCell ref="A7:A8"/>
    <mergeCell ref="F3:F4"/>
    <mergeCell ref="A38:A40"/>
    <mergeCell ref="C38:C40"/>
    <mergeCell ref="B14:B15"/>
    <mergeCell ref="B29:B30"/>
    <mergeCell ref="B23:B24"/>
    <mergeCell ref="A27:A28"/>
    <mergeCell ref="BY3:CC3"/>
    <mergeCell ref="A56:A59"/>
    <mergeCell ref="C41:C42"/>
    <mergeCell ref="CS3:CW3"/>
    <mergeCell ref="C56:C59"/>
    <mergeCell ref="DC3:DG3"/>
    <mergeCell ref="C60:C63"/>
    <mergeCell ref="B64:B65"/>
    <mergeCell ref="C27:C28"/>
    <mergeCell ref="CN3:CR3"/>
    <mergeCell ref="AZ3:BD3"/>
    <mergeCell ref="BJ3:BN3"/>
    <mergeCell ref="CD3:CH3"/>
    <mergeCell ref="B25:B26"/>
    <mergeCell ref="C14:C15"/>
    <mergeCell ref="B27:B28"/>
    <mergeCell ref="B56:B59"/>
    <mergeCell ref="B3:B4"/>
    <mergeCell ref="B17:B18"/>
    <mergeCell ref="CX3:DB3"/>
    <mergeCell ref="AK3:AO3"/>
    <mergeCell ref="C47:C48"/>
    <mergeCell ref="D3:D4"/>
    <mergeCell ref="B60:B63"/>
    <mergeCell ref="A17:A18"/>
    <mergeCell ref="C17:C18"/>
    <mergeCell ref="BO3:BS3"/>
    <mergeCell ref="A23:A24"/>
    <mergeCell ref="B11:B13"/>
    <mergeCell ref="A19:A20"/>
    <mergeCell ref="C19:C20"/>
    <mergeCell ref="DR3:DR4"/>
    <mergeCell ref="A9:A10"/>
    <mergeCell ref="C3:C4"/>
    <mergeCell ref="E3:E4"/>
    <mergeCell ref="B7:B8"/>
    <mergeCell ref="B38:B40"/>
    <mergeCell ref="V3:Z3"/>
    <mergeCell ref="C67:C69"/>
    <mergeCell ref="AF3:AJ3"/>
    <mergeCell ref="AP3:AT3"/>
    <mergeCell ref="A60:A63"/>
    <mergeCell ref="C11:C13"/>
    <mergeCell ref="A41:A42"/>
    <mergeCell ref="C53:C55"/>
    <mergeCell ref="A34:A36"/>
    <mergeCell ref="C34:C36"/>
    <mergeCell ref="DH3:DL3"/>
    <mergeCell ref="A14:A15"/>
    <mergeCell ref="G3:K3"/>
    <mergeCell ref="B9:B10"/>
    <mergeCell ref="C23:C24"/>
    <mergeCell ref="C7:C8"/>
    <mergeCell ref="AA3:AE3"/>
    <mergeCell ref="AU3:AY3"/>
    <mergeCell ref="C64:C65"/>
    <mergeCell ref="B47:B48"/>
    <mergeCell ref="DM3:DQ3"/>
    <mergeCell ref="C9:C10"/>
    <mergeCell ref="A53:A55"/>
    <mergeCell ref="A67:A69"/>
    <mergeCell ref="L3:P3"/>
    <mergeCell ref="A25:A26"/>
    <mergeCell ref="A3:A4"/>
    <mergeCell ref="C25:C26"/>
    <mergeCell ref="B19:B20"/>
    <mergeCell ref="BT3:BX3"/>
    <mergeCell ref="A47:A48"/>
    <mergeCell ref="A29:A30"/>
    <mergeCell ref="A11:A13"/>
    <mergeCell ref="B67:B69"/>
    <mergeCell ref="A1:DR1"/>
    <mergeCell ref="CI3:CM3"/>
    <mergeCell ref="A64:A65"/>
    <mergeCell ref="B41:B4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R139"/>
  <sheetViews>
    <sheetView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8.7109375" defaultRowHeight="15"/>
  <cols>
    <col width="28" customWidth="1" min="1" max="1"/>
    <col width="13" customWidth="1" min="2" max="2"/>
    <col width="16" customWidth="1" min="3" max="3"/>
    <col width="14" customWidth="1" min="5" max="5"/>
    <col width="22" customWidth="1" min="6" max="6"/>
    <col width="10" customWidth="1" min="7" max="7"/>
    <col width="7" customWidth="1" min="10" max="10"/>
    <col width="10" customWidth="1" min="11" max="11"/>
    <col width="7" customWidth="1" min="15" max="15"/>
    <col width="10" customWidth="1" min="16" max="16"/>
    <col width="7" customWidth="1" min="20" max="20"/>
    <col width="10" customWidth="1" min="21" max="21"/>
    <col width="7" customWidth="1" min="25" max="25"/>
    <col width="10" customWidth="1" min="26" max="26"/>
    <col width="7" customWidth="1" min="30" max="30"/>
    <col width="10" customWidth="1" min="31" max="31"/>
    <col width="7" customWidth="1" min="35" max="35"/>
    <col width="10" customWidth="1" min="36" max="36"/>
    <col width="7" customWidth="1" min="40" max="40"/>
    <col width="10" customWidth="1" min="41" max="41"/>
    <col width="7" customWidth="1" min="45" max="45"/>
    <col width="10" customWidth="1" min="46" max="46"/>
    <col width="7" customWidth="1" min="50" max="50"/>
    <col width="10" customWidth="1" min="51" max="51"/>
    <col width="7" customWidth="1" min="55" max="55"/>
    <col width="10" customWidth="1" min="56" max="56"/>
    <col width="7" customWidth="1" min="60" max="60"/>
    <col width="10" customWidth="1" min="61" max="61"/>
    <col width="7" customWidth="1" min="65" max="65"/>
    <col width="10" customWidth="1" min="66" max="66"/>
    <col width="7" customWidth="1" min="70" max="70"/>
    <col width="10" customWidth="1" min="71" max="71"/>
    <col width="7" customWidth="1" min="75" max="75"/>
    <col width="10" customWidth="1" min="76" max="76"/>
    <col width="7" customWidth="1" min="80" max="80"/>
    <col width="10" customWidth="1" min="81" max="81"/>
    <col width="7" customWidth="1" min="85" max="85"/>
    <col width="10" customWidth="1" min="86" max="86"/>
    <col width="7" customWidth="1" min="90" max="90"/>
    <col width="10" customWidth="1" min="91" max="91"/>
    <col width="7" customWidth="1" min="95" max="95"/>
    <col width="10" customWidth="1" min="96" max="96"/>
    <col width="7" customWidth="1" min="100" max="100"/>
    <col width="10" customWidth="1" min="101" max="101"/>
    <col width="7" customWidth="1" min="105" max="105"/>
    <col width="10" customWidth="1" min="106" max="106"/>
    <col width="7" customWidth="1" min="110" max="110"/>
    <col width="10" customWidth="1" min="111" max="111"/>
    <col width="7" customWidth="1" min="115" max="115"/>
    <col width="10" customWidth="1" min="116" max="116"/>
    <col width="7" customWidth="1" min="120" max="120"/>
    <col width="10" customWidth="1" min="121" max="121"/>
    <col width="11" customWidth="1" min="122" max="122"/>
  </cols>
  <sheetData>
    <row r="1" ht="24" customHeight="1">
      <c r="A1" s="37" t="n"/>
    </row>
    <row r="2" ht="13.5" customHeight="1">
      <c r="A2" s="38" t="n"/>
    </row>
    <row r="3" ht="19.5" customHeight="1">
      <c r="A3" s="12" t="n"/>
      <c r="B3" s="4" t="n"/>
      <c r="C3" s="12" t="n"/>
      <c r="D3" s="12" t="n"/>
      <c r="E3" s="4" t="n"/>
      <c r="F3" s="12" t="n"/>
      <c r="G3" s="4" t="n"/>
      <c r="H3" s="53" t="n"/>
      <c r="I3" s="53" t="n"/>
      <c r="J3" s="53" t="n"/>
      <c r="K3" s="54" t="n"/>
      <c r="L3" s="4" t="n"/>
      <c r="M3" s="53" t="n"/>
      <c r="N3" s="53" t="n"/>
      <c r="O3" s="53" t="n"/>
      <c r="P3" s="54" t="n"/>
      <c r="Q3" s="3" t="n"/>
      <c r="R3" s="53" t="n"/>
      <c r="S3" s="53" t="n"/>
      <c r="T3" s="53" t="n"/>
      <c r="U3" s="54" t="n"/>
      <c r="V3" s="4" t="n"/>
      <c r="W3" s="53" t="n"/>
      <c r="X3" s="53" t="n"/>
      <c r="Y3" s="53" t="n"/>
      <c r="Z3" s="54" t="n"/>
      <c r="AA3" s="3" t="n"/>
      <c r="AB3" s="53" t="n"/>
      <c r="AC3" s="53" t="n"/>
      <c r="AD3" s="53" t="n"/>
      <c r="AE3" s="54" t="n"/>
      <c r="AF3" s="4" t="n"/>
      <c r="AG3" s="53" t="n"/>
      <c r="AH3" s="53" t="n"/>
      <c r="AI3" s="53" t="n"/>
      <c r="AJ3" s="54" t="n"/>
      <c r="AK3" s="3" t="n"/>
      <c r="AL3" s="53" t="n"/>
      <c r="AM3" s="53" t="n"/>
      <c r="AN3" s="53" t="n"/>
      <c r="AO3" s="54" t="n"/>
      <c r="AP3" s="4" t="n"/>
      <c r="AQ3" s="53" t="n"/>
      <c r="AR3" s="53" t="n"/>
      <c r="AS3" s="53" t="n"/>
      <c r="AT3" s="54" t="n"/>
      <c r="AU3" s="3" t="n"/>
      <c r="AV3" s="53" t="n"/>
      <c r="AW3" s="53" t="n"/>
      <c r="AX3" s="53" t="n"/>
      <c r="AY3" s="54" t="n"/>
      <c r="AZ3" s="4" t="n"/>
      <c r="BA3" s="53" t="n"/>
      <c r="BB3" s="53" t="n"/>
      <c r="BC3" s="53" t="n"/>
      <c r="BD3" s="54" t="n"/>
      <c r="BE3" s="3" t="n"/>
      <c r="BF3" s="53" t="n"/>
      <c r="BG3" s="53" t="n"/>
      <c r="BH3" s="53" t="n"/>
      <c r="BI3" s="54" t="n"/>
      <c r="BJ3" s="4" t="n"/>
      <c r="BK3" s="53" t="n"/>
      <c r="BL3" s="53" t="n"/>
      <c r="BM3" s="53" t="n"/>
      <c r="BN3" s="54" t="n"/>
      <c r="BO3" s="3" t="n"/>
      <c r="BP3" s="53" t="n"/>
      <c r="BQ3" s="53" t="n"/>
      <c r="BR3" s="53" t="n"/>
      <c r="BS3" s="54" t="n"/>
      <c r="BT3" s="4" t="n"/>
      <c r="BU3" s="53" t="n"/>
      <c r="BV3" s="53" t="n"/>
      <c r="BW3" s="53" t="n"/>
      <c r="BX3" s="54" t="n"/>
      <c r="BY3" s="3" t="n"/>
      <c r="BZ3" s="53" t="n"/>
      <c r="CA3" s="53" t="n"/>
      <c r="CB3" s="53" t="n"/>
      <c r="CC3" s="54" t="n"/>
      <c r="CD3" s="4" t="n"/>
      <c r="CE3" s="53" t="n"/>
      <c r="CF3" s="53" t="n"/>
      <c r="CG3" s="53" t="n"/>
      <c r="CH3" s="54" t="n"/>
      <c r="CI3" s="3" t="n"/>
      <c r="CJ3" s="53" t="n"/>
      <c r="CK3" s="53" t="n"/>
      <c r="CL3" s="53" t="n"/>
      <c r="CM3" s="54" t="n"/>
      <c r="CN3" s="4" t="n"/>
      <c r="CO3" s="53" t="n"/>
      <c r="CP3" s="53" t="n"/>
      <c r="CQ3" s="53" t="n"/>
      <c r="CR3" s="54" t="n"/>
      <c r="CS3" s="3" t="n"/>
      <c r="CT3" s="53" t="n"/>
      <c r="CU3" s="53" t="n"/>
      <c r="CV3" s="53" t="n"/>
      <c r="CW3" s="54" t="n"/>
      <c r="CX3" s="4" t="n"/>
      <c r="CY3" s="53" t="n"/>
      <c r="CZ3" s="53" t="n"/>
      <c r="DA3" s="53" t="n"/>
      <c r="DB3" s="54" t="n"/>
      <c r="DC3" s="3" t="n"/>
      <c r="DD3" s="53" t="n"/>
      <c r="DE3" s="53" t="n"/>
      <c r="DF3" s="53" t="n"/>
      <c r="DG3" s="54" t="n"/>
      <c r="DH3" s="4" t="n"/>
      <c r="DI3" s="53" t="n"/>
      <c r="DJ3" s="53" t="n"/>
      <c r="DK3" s="53" t="n"/>
      <c r="DL3" s="54" t="n"/>
      <c r="DM3" s="3" t="n"/>
      <c r="DN3" s="53" t="n"/>
      <c r="DO3" s="53" t="n"/>
      <c r="DP3" s="53" t="n"/>
      <c r="DQ3" s="54" t="n"/>
      <c r="DR3" s="4" t="n"/>
    </row>
    <row r="4" ht="33.75" customHeight="1">
      <c r="A4" s="55" t="n"/>
      <c r="B4" s="55" t="n"/>
      <c r="C4" s="55" t="n"/>
      <c r="D4" s="55" t="n"/>
      <c r="E4" s="55" t="n"/>
      <c r="F4" s="55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39" t="n"/>
      <c r="R4" s="39" t="n"/>
      <c r="S4" s="39" t="n"/>
      <c r="T4" s="39" t="n"/>
      <c r="U4" s="39" t="n"/>
      <c r="V4" s="12" t="n"/>
      <c r="W4" s="12" t="n"/>
      <c r="X4" s="12" t="n"/>
      <c r="Y4" s="12" t="n"/>
      <c r="Z4" s="12" t="n"/>
      <c r="AA4" s="39" t="n"/>
      <c r="AB4" s="39" t="n"/>
      <c r="AC4" s="39" t="n"/>
      <c r="AD4" s="39" t="n"/>
      <c r="AE4" s="39" t="n"/>
      <c r="AF4" s="12" t="n"/>
      <c r="AG4" s="12" t="n"/>
      <c r="AH4" s="12" t="n"/>
      <c r="AI4" s="12" t="n"/>
      <c r="AJ4" s="12" t="n"/>
      <c r="AK4" s="39" t="n"/>
      <c r="AL4" s="39" t="n"/>
      <c r="AM4" s="39" t="n"/>
      <c r="AN4" s="39" t="n"/>
      <c r="AO4" s="39" t="n"/>
      <c r="AP4" s="12" t="n"/>
      <c r="AQ4" s="12" t="n"/>
      <c r="AR4" s="12" t="n"/>
      <c r="AS4" s="12" t="n"/>
      <c r="AT4" s="12" t="n"/>
      <c r="AU4" s="39" t="n"/>
      <c r="AV4" s="39" t="n"/>
      <c r="AW4" s="39" t="n"/>
      <c r="AX4" s="39" t="n"/>
      <c r="AY4" s="39" t="n"/>
      <c r="AZ4" s="12" t="n"/>
      <c r="BA4" s="12" t="n"/>
      <c r="BB4" s="12" t="n"/>
      <c r="BC4" s="12" t="n"/>
      <c r="BD4" s="12" t="n"/>
      <c r="BE4" s="39" t="n"/>
      <c r="BF4" s="39" t="n"/>
      <c r="BG4" s="39" t="n"/>
      <c r="BH4" s="39" t="n"/>
      <c r="BI4" s="39" t="n"/>
      <c r="BJ4" s="12" t="n"/>
      <c r="BK4" s="12" t="n"/>
      <c r="BL4" s="12" t="n"/>
      <c r="BM4" s="12" t="n"/>
      <c r="BN4" s="12" t="n"/>
      <c r="BO4" s="39" t="n"/>
      <c r="BP4" s="39" t="n"/>
      <c r="BQ4" s="39" t="n"/>
      <c r="BR4" s="39" t="n"/>
      <c r="BS4" s="39" t="n"/>
      <c r="BT4" s="12" t="n"/>
      <c r="BU4" s="12" t="n"/>
      <c r="BV4" s="12" t="n"/>
      <c r="BW4" s="12" t="n"/>
      <c r="BX4" s="12" t="n"/>
      <c r="BY4" s="39" t="n"/>
      <c r="BZ4" s="39" t="n"/>
      <c r="CA4" s="39" t="n"/>
      <c r="CB4" s="39" t="n"/>
      <c r="CC4" s="39" t="n"/>
      <c r="CD4" s="12" t="n"/>
      <c r="CE4" s="12" t="n"/>
      <c r="CF4" s="12" t="n"/>
      <c r="CG4" s="12" t="n"/>
      <c r="CH4" s="12" t="n"/>
      <c r="CI4" s="39" t="n"/>
      <c r="CJ4" s="39" t="n"/>
      <c r="CK4" s="39" t="n"/>
      <c r="CL4" s="39" t="n"/>
      <c r="CM4" s="39" t="n"/>
      <c r="CN4" s="12" t="n"/>
      <c r="CO4" s="12" t="n"/>
      <c r="CP4" s="12" t="n"/>
      <c r="CQ4" s="12" t="n"/>
      <c r="CR4" s="12" t="n"/>
      <c r="CS4" s="39" t="n"/>
      <c r="CT4" s="39" t="n"/>
      <c r="CU4" s="39" t="n"/>
      <c r="CV4" s="39" t="n"/>
      <c r="CW4" s="39" t="n"/>
      <c r="CX4" s="12" t="n"/>
      <c r="CY4" s="12" t="n"/>
      <c r="CZ4" s="12" t="n"/>
      <c r="DA4" s="12" t="n"/>
      <c r="DB4" s="12" t="n"/>
      <c r="DC4" s="39" t="n"/>
      <c r="DD4" s="39" t="n"/>
      <c r="DE4" s="39" t="n"/>
      <c r="DF4" s="39" t="n"/>
      <c r="DG4" s="39" t="n"/>
      <c r="DH4" s="12" t="n"/>
      <c r="DI4" s="12" t="n"/>
      <c r="DJ4" s="12" t="n"/>
      <c r="DK4" s="12" t="n"/>
      <c r="DL4" s="12" t="n"/>
      <c r="DM4" s="39" t="n"/>
      <c r="DN4" s="39" t="n"/>
      <c r="DO4" s="39" t="n"/>
      <c r="DP4" s="39" t="n"/>
      <c r="DQ4" s="39" t="n"/>
      <c r="DR4" s="55" t="n"/>
    </row>
    <row r="5" ht="15" customHeight="1">
      <c r="A5" s="15" t="n"/>
      <c r="B5" s="12" t="n"/>
      <c r="C5" s="12" t="n"/>
      <c r="D5" s="12" t="n"/>
      <c r="E5" s="12" t="n"/>
      <c r="F5" s="12" t="n"/>
      <c r="G5" s="68">
        <f>SUM(G6,G40,G69,G75)</f>
        <v/>
      </c>
      <c r="H5" s="68">
        <f>SUM(H6,H40,H69,H75)</f>
        <v/>
      </c>
      <c r="I5" s="68">
        <f>H5-G5</f>
        <v/>
      </c>
      <c r="J5" s="69">
        <f>IF(G5=0,"",H5/G5)</f>
        <v/>
      </c>
      <c r="K5" s="12" t="n"/>
      <c r="L5" s="68">
        <f>SUM(L6,L40,L69,L75)</f>
        <v/>
      </c>
      <c r="M5" s="68">
        <f>SUM(M6,M40,M69,M75)</f>
        <v/>
      </c>
      <c r="N5" s="68">
        <f>M5-L5</f>
        <v/>
      </c>
      <c r="O5" s="69">
        <f>IF(L5=0,"",M5/L5)</f>
        <v/>
      </c>
      <c r="P5" s="12" t="n"/>
      <c r="Q5" s="68">
        <f>G5+ L5</f>
        <v/>
      </c>
      <c r="R5" s="68">
        <f>H5+ M5</f>
        <v/>
      </c>
      <c r="S5" s="68">
        <f>R5-Q5</f>
        <v/>
      </c>
      <c r="T5" s="69">
        <f>IF(Q5=0,"",R5/Q5)</f>
        <v/>
      </c>
      <c r="U5" s="12" t="n"/>
      <c r="V5" s="68">
        <f>SUM(V6,V40,V69,V75)</f>
        <v/>
      </c>
      <c r="W5" s="68">
        <f>SUM(W6,W40,W69,W75)</f>
        <v/>
      </c>
      <c r="X5" s="68">
        <f>W5-V5</f>
        <v/>
      </c>
      <c r="Y5" s="69">
        <f>IF(V5=0,"",W5/V5)</f>
        <v/>
      </c>
      <c r="Z5" s="12" t="n"/>
      <c r="AA5" s="68">
        <f>G5+ L5+ V5</f>
        <v/>
      </c>
      <c r="AB5" s="68">
        <f>H5+ M5+ W5</f>
        <v/>
      </c>
      <c r="AC5" s="68">
        <f>AB5-AA5</f>
        <v/>
      </c>
      <c r="AD5" s="69">
        <f>IF(AA5=0,"",AB5/AA5)</f>
        <v/>
      </c>
      <c r="AE5" s="12" t="n"/>
      <c r="AF5" s="68">
        <f>SUM(AF6,AF40,AF69,AF75)</f>
        <v/>
      </c>
      <c r="AG5" s="68">
        <f>SUM(AG6,AG40,AG69,AG75)</f>
        <v/>
      </c>
      <c r="AH5" s="68">
        <f>AG5-AF5</f>
        <v/>
      </c>
      <c r="AI5" s="69">
        <f>IF(AF5=0,"",AG5/AF5)</f>
        <v/>
      </c>
      <c r="AJ5" s="12" t="n"/>
      <c r="AK5" s="68">
        <f>G5+ L5+ V5+ AF5</f>
        <v/>
      </c>
      <c r="AL5" s="68">
        <f>H5+ M5+ W5+ AG5</f>
        <v/>
      </c>
      <c r="AM5" s="68">
        <f>AL5-AK5</f>
        <v/>
      </c>
      <c r="AN5" s="69">
        <f>IF(AK5=0,"",AL5/AK5)</f>
        <v/>
      </c>
      <c r="AO5" s="12" t="n"/>
      <c r="AP5" s="68">
        <f>SUM(AP6,AP40,AP69,AP75)</f>
        <v/>
      </c>
      <c r="AQ5" s="68">
        <f>SUM(AQ6,AQ40,AQ69,AQ75)</f>
        <v/>
      </c>
      <c r="AR5" s="68">
        <f>AQ5-AP5</f>
        <v/>
      </c>
      <c r="AS5" s="69">
        <f>IF(AP5=0,"",AQ5/AP5)</f>
        <v/>
      </c>
      <c r="AT5" s="12" t="n"/>
      <c r="AU5" s="68">
        <f>G5+ L5+ V5+ AF5+ AP5</f>
        <v/>
      </c>
      <c r="AV5" s="68">
        <f>H5+ M5+ W5+ AG5+ AQ5</f>
        <v/>
      </c>
      <c r="AW5" s="68">
        <f>AV5-AU5</f>
        <v/>
      </c>
      <c r="AX5" s="69">
        <f>IF(AU5=0,"",AV5/AU5)</f>
        <v/>
      </c>
      <c r="AY5" s="12" t="n"/>
      <c r="AZ5" s="68">
        <f>SUM(AZ6,AZ40,AZ69,AZ75)</f>
        <v/>
      </c>
      <c r="BA5" s="68">
        <f>SUM(BA6,BA40,BA69,BA75)</f>
        <v/>
      </c>
      <c r="BB5" s="68">
        <f>BA5-AZ5</f>
        <v/>
      </c>
      <c r="BC5" s="69">
        <f>IF(AZ5=0,"",BA5/AZ5)</f>
        <v/>
      </c>
      <c r="BD5" s="12" t="n"/>
      <c r="BE5" s="68">
        <f>G5+ L5+ V5+ AF5+ AP5+ AZ5</f>
        <v/>
      </c>
      <c r="BF5" s="68">
        <f>H5+ M5+ W5+ AG5+ AQ5+ BA5</f>
        <v/>
      </c>
      <c r="BG5" s="68">
        <f>BF5-BE5</f>
        <v/>
      </c>
      <c r="BH5" s="69">
        <f>IF(BE5=0,"",BF5/BE5)</f>
        <v/>
      </c>
      <c r="BI5" s="12" t="n"/>
      <c r="BJ5" s="68">
        <f>SUM(BJ6,BJ40,BJ69,BJ75)</f>
        <v/>
      </c>
      <c r="BK5" s="68">
        <f>SUM(BK6,BK40,BK69,BK75)</f>
        <v/>
      </c>
      <c r="BL5" s="68">
        <f>BK5-BJ5</f>
        <v/>
      </c>
      <c r="BM5" s="69">
        <f>IF(BJ5=0,"",BK5/BJ5)</f>
        <v/>
      </c>
      <c r="BN5" s="12" t="n"/>
      <c r="BO5" s="68">
        <f>G5+ L5+ V5+ AF5+ AP5+ AZ5+ BJ5</f>
        <v/>
      </c>
      <c r="BP5" s="68">
        <f>H5+ M5+ W5+ AG5+ AQ5+ BA5+ BK5</f>
        <v/>
      </c>
      <c r="BQ5" s="68">
        <f>BP5-BO5</f>
        <v/>
      </c>
      <c r="BR5" s="69">
        <f>IF(BO5=0,"",BP5/BO5)</f>
        <v/>
      </c>
      <c r="BS5" s="12" t="n"/>
      <c r="BT5" s="68">
        <f>SUM(BT6,BT40,BT69,BT75)</f>
        <v/>
      </c>
      <c r="BU5" s="68">
        <f>SUM(BU6,BU40,BU69,BU75)</f>
        <v/>
      </c>
      <c r="BV5" s="68">
        <f>BU5-BT5</f>
        <v/>
      </c>
      <c r="BW5" s="69">
        <f>IF(BT5=0,"",BU5/BT5)</f>
        <v/>
      </c>
      <c r="BX5" s="12" t="n"/>
      <c r="BY5" s="68">
        <f>G5+ L5+ V5+ AF5+ AP5+ AZ5+ BJ5+ BT5</f>
        <v/>
      </c>
      <c r="BZ5" s="68">
        <f>H5+ M5+ W5+ AG5+ AQ5+ BA5+ BK5+ BU5</f>
        <v/>
      </c>
      <c r="CA5" s="68">
        <f>BZ5-BY5</f>
        <v/>
      </c>
      <c r="CB5" s="69">
        <f>IF(BY5=0,"",BZ5/BY5)</f>
        <v/>
      </c>
      <c r="CC5" s="12" t="n"/>
      <c r="CD5" s="68">
        <f>SUM(CD6,CD40,CD69,CD75)</f>
        <v/>
      </c>
      <c r="CE5" s="68">
        <f>SUM(CE6,CE40,CE69,CE75)</f>
        <v/>
      </c>
      <c r="CF5" s="68">
        <f>CE5-CD5</f>
        <v/>
      </c>
      <c r="CG5" s="69">
        <f>IF(CD5=0,"",CE5/CD5)</f>
        <v/>
      </c>
      <c r="CH5" s="12" t="n"/>
      <c r="CI5" s="68">
        <f>G5+ L5+ V5+ AF5+ AP5+ AZ5+ BJ5+ BT5+ CD5</f>
        <v/>
      </c>
      <c r="CJ5" s="68">
        <f>H5+ M5+ W5+ AG5+ AQ5+ BA5+ BK5+ BU5+ CE5</f>
        <v/>
      </c>
      <c r="CK5" s="68">
        <f>CJ5-CI5</f>
        <v/>
      </c>
      <c r="CL5" s="69">
        <f>IF(CI5=0,"",CJ5/CI5)</f>
        <v/>
      </c>
      <c r="CM5" s="12" t="n"/>
      <c r="CN5" s="68">
        <f>SUM(CN6,CN40,CN69,CN75)</f>
        <v/>
      </c>
      <c r="CO5" s="68">
        <f>SUM(CO6,CO40,CO69,CO75)</f>
        <v/>
      </c>
      <c r="CP5" s="68">
        <f>CO5-CN5</f>
        <v/>
      </c>
      <c r="CQ5" s="69">
        <f>IF(CN5=0,"",CO5/CN5)</f>
        <v/>
      </c>
      <c r="CR5" s="12" t="n"/>
      <c r="CS5" s="68">
        <f>G5+ L5+ V5+ AF5+ AP5+ AZ5+ BJ5+ BT5+ CD5+ CN5</f>
        <v/>
      </c>
      <c r="CT5" s="68">
        <f>H5+ M5+ W5+ AG5+ AQ5+ BA5+ BK5+ BU5+ CE5+ CO5</f>
        <v/>
      </c>
      <c r="CU5" s="68">
        <f>CT5-CS5</f>
        <v/>
      </c>
      <c r="CV5" s="69">
        <f>IF(CS5=0,"",CT5/CS5)</f>
        <v/>
      </c>
      <c r="CW5" s="12" t="n"/>
      <c r="CX5" s="68">
        <f>SUM(CX6,CX40,CX69,CX75)</f>
        <v/>
      </c>
      <c r="CY5" s="68">
        <f>SUM(CY6,CY40,CY69,CY75)</f>
        <v/>
      </c>
      <c r="CZ5" s="68">
        <f>CY5-CX5</f>
        <v/>
      </c>
      <c r="DA5" s="69">
        <f>IF(CX5=0,"",CY5/CX5)</f>
        <v/>
      </c>
      <c r="DB5" s="12" t="n"/>
      <c r="DC5" s="68">
        <f>G5+ L5+ V5+ AF5+ AP5+ AZ5+ BJ5+ BT5+ CD5+ CN5+ CX5</f>
        <v/>
      </c>
      <c r="DD5" s="68">
        <f>H5+ M5+ W5+ AG5+ AQ5+ BA5+ BK5+ BU5+ CE5+ CO5+ CY5</f>
        <v/>
      </c>
      <c r="DE5" s="68">
        <f>DD5-DC5</f>
        <v/>
      </c>
      <c r="DF5" s="69">
        <f>IF(DC5=0,"",DD5/DC5)</f>
        <v/>
      </c>
      <c r="DG5" s="12" t="n"/>
      <c r="DH5" s="68">
        <f>SUM(DH6,DH40,DH69,DH75)</f>
        <v/>
      </c>
      <c r="DI5" s="68">
        <f>SUM(DI6,DI40,DI69,DI75)</f>
        <v/>
      </c>
      <c r="DJ5" s="68">
        <f>DI5-DH5</f>
        <v/>
      </c>
      <c r="DK5" s="69">
        <f>IF(DH5=0,"",DI5/DH5)</f>
        <v/>
      </c>
      <c r="DL5" s="12" t="n"/>
      <c r="DM5" s="68">
        <f>G5+ L5+ V5+ AF5+ AP5+ AZ5+ BJ5+ BT5+ CD5+ CN5+ CX5+ DH5</f>
        <v/>
      </c>
      <c r="DN5" s="68">
        <f>H5+ M5+ W5+ AG5+ AQ5+ BA5+ BK5+ BU5+ CE5+ CO5+ CY5+ DI5</f>
        <v/>
      </c>
      <c r="DO5" s="68">
        <f>DN5-DM5</f>
        <v/>
      </c>
      <c r="DP5" s="69">
        <f>IF(DM5=0,"",DN5/DM5)</f>
        <v/>
      </c>
      <c r="DQ5" s="12" t="n"/>
      <c r="DR5" s="68">
        <f>SUM(DR6,DR40,DR69,DR75)</f>
        <v/>
      </c>
    </row>
    <row r="6" ht="15" customHeight="1">
      <c r="A6" s="42" t="n"/>
      <c r="B6" s="39" t="n"/>
      <c r="C6" s="39" t="n"/>
      <c r="D6" s="39" t="n"/>
      <c r="E6" s="39" t="n"/>
      <c r="F6" s="39" t="n"/>
      <c r="G6" s="70">
        <f>SUM(G7,G8,G9,G10,G11,G12,G13,G14,G15,G16,G17,G18,G19,G20,G21,G22,G23,G24,G25,G26,G27,G28,G29,G30,G31,G32,G33,G34,G35,G36,G37,G38,G39)</f>
        <v/>
      </c>
      <c r="H6" s="70">
        <f>SUM(H7,H8,H9,H10,H11,H12,H13,H14,H15,H16,H17,H18,H19,H20,H21,H22,H23,H24,H25,H26,H27,H28,H29,H30,H31,H32,H33,H34,H35,H36,H37,H38,H39)</f>
        <v/>
      </c>
      <c r="I6" s="70">
        <f>H6-G6</f>
        <v/>
      </c>
      <c r="J6" s="71">
        <f>IF(G6=0,"",H6/G6)</f>
        <v/>
      </c>
      <c r="K6" s="39" t="n"/>
      <c r="L6" s="70">
        <f>SUM(L7,L8,L9,L10,L11,L12,L13,L14,L15,L16,L17,L18,L19,L20,L21,L22,L23,L24,L25,L26,L27,L28,L29,L30,L31,L32,L33,L34,L35,L36,L37,L38,L39)</f>
        <v/>
      </c>
      <c r="M6" s="70">
        <f>SUM(M7,M8,M9,M10,M11,M12,M13,M14,M15,M16,M17,M18,M19,M20,M21,M22,M23,M24,M25,M26,M27,M28,M29,M30,M31,M32,M33,M34,M35,M36,M37,M38,M39)</f>
        <v/>
      </c>
      <c r="N6" s="70">
        <f>M6-L6</f>
        <v/>
      </c>
      <c r="O6" s="71">
        <f>IF(L6=0,"",M6/L6)</f>
        <v/>
      </c>
      <c r="P6" s="39" t="n"/>
      <c r="Q6" s="70">
        <f>G6+ L6</f>
        <v/>
      </c>
      <c r="R6" s="70">
        <f>H6+ M6</f>
        <v/>
      </c>
      <c r="S6" s="70">
        <f>R6-Q6</f>
        <v/>
      </c>
      <c r="T6" s="71">
        <f>IF(Q6=0,"",R6/Q6)</f>
        <v/>
      </c>
      <c r="U6" s="39" t="n"/>
      <c r="V6" s="70">
        <f>SUM(V7,V8,V9,V10,V11,V12,V13,V14,V15,V16,V17,V18,V19,V20,V21,V22,V23,V24,V25,V26,V27,V28,V29,V30,V31,V32,V33,V34,V35,V36,V37,V38,V39)</f>
        <v/>
      </c>
      <c r="W6" s="70">
        <f>SUM(W7,W8,W9,W10,W11,W12,W13,W14,W15,W16,W17,W18,W19,W20,W21,W22,W23,W24,W25,W26,W27,W28,W29,W30,W31,W32,W33,W34,W35,W36,W37,W38,W39)</f>
        <v/>
      </c>
      <c r="X6" s="70">
        <f>W6-V6</f>
        <v/>
      </c>
      <c r="Y6" s="71">
        <f>IF(V6=0,"",W6/V6)</f>
        <v/>
      </c>
      <c r="Z6" s="39" t="n"/>
      <c r="AA6" s="70">
        <f>G6+ L6+ V6</f>
        <v/>
      </c>
      <c r="AB6" s="70">
        <f>H6+ M6+ W6</f>
        <v/>
      </c>
      <c r="AC6" s="70">
        <f>AB6-AA6</f>
        <v/>
      </c>
      <c r="AD6" s="71">
        <f>IF(AA6=0,"",AB6/AA6)</f>
        <v/>
      </c>
      <c r="AE6" s="39" t="n"/>
      <c r="AF6" s="70">
        <f>SUM(AF7,AF8,AF9,AF10,AF11,AF12,AF13,AF14,AF15,AF16,AF17,AF18,AF19,AF20,AF21,AF22,AF23,AF24,AF25,AF26,AF27,AF28,AF29,AF30,AF31,AF32,AF33,AF34,AF35,AF36,AF37,AF38,AF39)</f>
        <v/>
      </c>
      <c r="AG6" s="70">
        <f>SUM(AG7,AG8,AG9,AG10,AG11,AG12,AG13,AG14,AG15,AG16,AG17,AG18,AG19,AG20,AG21,AG22,AG23,AG24,AG25,AG26,AG27,AG28,AG29,AG30,AG31,AG32,AG33,AG34,AG35,AG36,AG37,AG38,AG39)</f>
        <v/>
      </c>
      <c r="AH6" s="70">
        <f>AG6-AF6</f>
        <v/>
      </c>
      <c r="AI6" s="71">
        <f>IF(AF6=0,"",AG6/AF6)</f>
        <v/>
      </c>
      <c r="AJ6" s="39" t="n"/>
      <c r="AK6" s="70">
        <f>G6+ L6+ V6+ AF6</f>
        <v/>
      </c>
      <c r="AL6" s="70">
        <f>H6+ M6+ W6+ AG6</f>
        <v/>
      </c>
      <c r="AM6" s="70">
        <f>AL6-AK6</f>
        <v/>
      </c>
      <c r="AN6" s="71">
        <f>IF(AK6=0,"",AL6/AK6)</f>
        <v/>
      </c>
      <c r="AO6" s="39" t="n"/>
      <c r="AP6" s="70">
        <f>SUM(AP7,AP8,AP9,AP10,AP11,AP12,AP13,AP14,AP15,AP16,AP17,AP18,AP19,AP20,AP21,AP22,AP23,AP24,AP25,AP26,AP27,AP28,AP29,AP30,AP31,AP32,AP33,AP34,AP35,AP36,AP37,AP38,AP39)</f>
        <v/>
      </c>
      <c r="AQ6" s="70">
        <f>SUM(AQ7,AQ8,AQ9,AQ10,AQ11,AQ12,AQ13,AQ14,AQ15,AQ16,AQ17,AQ18,AQ19,AQ20,AQ21,AQ22,AQ23,AQ24,AQ25,AQ26,AQ27,AQ28,AQ29,AQ30,AQ31,AQ32,AQ33,AQ34,AQ35,AQ36,AQ37,AQ38,AQ39)</f>
        <v/>
      </c>
      <c r="AR6" s="70">
        <f>AQ6-AP6</f>
        <v/>
      </c>
      <c r="AS6" s="71">
        <f>IF(AP6=0,"",AQ6/AP6)</f>
        <v/>
      </c>
      <c r="AT6" s="39" t="n"/>
      <c r="AU6" s="70">
        <f>G6+ L6+ V6+ AF6+ AP6</f>
        <v/>
      </c>
      <c r="AV6" s="70">
        <f>H6+ M6+ W6+ AG6+ AQ6</f>
        <v/>
      </c>
      <c r="AW6" s="70">
        <f>AV6-AU6</f>
        <v/>
      </c>
      <c r="AX6" s="71">
        <f>IF(AU6=0,"",AV6/AU6)</f>
        <v/>
      </c>
      <c r="AY6" s="39" t="n"/>
      <c r="AZ6" s="70">
        <f>SUM(AZ7,AZ8,AZ9,AZ10,AZ11,AZ12,AZ13,AZ14,AZ15,AZ16,AZ17,AZ18,AZ19,AZ20,AZ21,AZ22,AZ23,AZ24,AZ25,AZ26,AZ27,AZ28,AZ29,AZ30,AZ31,AZ32,AZ33,AZ34,AZ35,AZ36,AZ37,AZ38,AZ39)</f>
        <v/>
      </c>
      <c r="BA6" s="70">
        <f>SUM(BA7,BA8,BA9,BA10,BA11,BA12,BA13,BA14,BA15,BA16,BA17,BA18,BA19,BA20,BA21,BA22,BA23,BA24,BA25,BA26,BA27,BA28,BA29,BA30,BA31,BA32,BA33,BA34,BA35,BA36,BA37,BA38,BA39)</f>
        <v/>
      </c>
      <c r="BB6" s="70">
        <f>BA6-AZ6</f>
        <v/>
      </c>
      <c r="BC6" s="71">
        <f>IF(AZ6=0,"",BA6/AZ6)</f>
        <v/>
      </c>
      <c r="BD6" s="39" t="n"/>
      <c r="BE6" s="70">
        <f>G6+ L6+ V6+ AF6+ AP6+ AZ6</f>
        <v/>
      </c>
      <c r="BF6" s="70">
        <f>H6+ M6+ W6+ AG6+ AQ6+ BA6</f>
        <v/>
      </c>
      <c r="BG6" s="70">
        <f>BF6-BE6</f>
        <v/>
      </c>
      <c r="BH6" s="71">
        <f>IF(BE6=0,"",BF6/BE6)</f>
        <v/>
      </c>
      <c r="BI6" s="39" t="n"/>
      <c r="BJ6" s="70">
        <f>SUM(BJ7,BJ8,BJ9,BJ10,BJ11,BJ12,BJ13,BJ14,BJ15,BJ16,BJ17,BJ18,BJ19,BJ20,BJ21,BJ22,BJ23,BJ24,BJ25,BJ26,BJ27,BJ28,BJ29,BJ30,BJ31,BJ32,BJ33,BJ34,BJ35,BJ36,BJ37,BJ38,BJ39)</f>
        <v/>
      </c>
      <c r="BK6" s="70">
        <f>SUM(BK7,BK8,BK9,BK10,BK11,BK12,BK13,BK14,BK15,BK16,BK17,BK18,BK19,BK20,BK21,BK22,BK23,BK24,BK25,BK26,BK27,BK28,BK29,BK30,BK31,BK32,BK33,BK34,BK35,BK36,BK37,BK38,BK39)</f>
        <v/>
      </c>
      <c r="BL6" s="70">
        <f>BK6-BJ6</f>
        <v/>
      </c>
      <c r="BM6" s="71">
        <f>IF(BJ6=0,"",BK6/BJ6)</f>
        <v/>
      </c>
      <c r="BN6" s="39" t="n"/>
      <c r="BO6" s="70">
        <f>G6+ L6+ V6+ AF6+ AP6+ AZ6+ BJ6</f>
        <v/>
      </c>
      <c r="BP6" s="70">
        <f>H6+ M6+ W6+ AG6+ AQ6+ BA6+ BK6</f>
        <v/>
      </c>
      <c r="BQ6" s="70">
        <f>BP6-BO6</f>
        <v/>
      </c>
      <c r="BR6" s="71">
        <f>IF(BO6=0,"",BP6/BO6)</f>
        <v/>
      </c>
      <c r="BS6" s="39" t="n"/>
      <c r="BT6" s="70">
        <f>SUM(BT7,BT8,BT9,BT10,BT11,BT12,BT13,BT14,BT15,BT16,BT17,BT18,BT19,BT20,BT21,BT22,BT23,BT24,BT25,BT26,BT27,BT28,BT29,BT30,BT31,BT32,BT33,BT34,BT35,BT36,BT37,BT38,BT39)</f>
        <v/>
      </c>
      <c r="BU6" s="70">
        <f>SUM(BU7,BU8,BU9,BU10,BU11,BU12,BU13,BU14,BU15,BU16,BU17,BU18,BU19,BU20,BU21,BU22,BU23,BU24,BU25,BU26,BU27,BU28,BU29,BU30,BU31,BU32,BU33,BU34,BU35,BU36,BU37,BU38,BU39)</f>
        <v/>
      </c>
      <c r="BV6" s="70">
        <f>BU6-BT6</f>
        <v/>
      </c>
      <c r="BW6" s="71">
        <f>IF(BT6=0,"",BU6/BT6)</f>
        <v/>
      </c>
      <c r="BX6" s="39" t="n"/>
      <c r="BY6" s="70">
        <f>G6+ L6+ V6+ AF6+ AP6+ AZ6+ BJ6+ BT6</f>
        <v/>
      </c>
      <c r="BZ6" s="70">
        <f>H6+ M6+ W6+ AG6+ AQ6+ BA6+ BK6+ BU6</f>
        <v/>
      </c>
      <c r="CA6" s="70">
        <f>BZ6-BY6</f>
        <v/>
      </c>
      <c r="CB6" s="71">
        <f>IF(BY6=0,"",BZ6/BY6)</f>
        <v/>
      </c>
      <c r="CC6" s="39" t="n"/>
      <c r="CD6" s="70">
        <f>SUM(CD7,CD8,CD9,CD10,CD11,CD12,CD13,CD14,CD15,CD16,CD17,CD18,CD19,CD20,CD21,CD22,CD23,CD24,CD25,CD26,CD27,CD28,CD29,CD30,CD31,CD32,CD33,CD34,CD35,CD36,CD37,CD38,CD39)</f>
        <v/>
      </c>
      <c r="CE6" s="70">
        <f>SUM(CE7,CE8,CE9,CE10,CE11,CE12,CE13,CE14,CE15,CE16,CE17,CE18,CE19,CE20,CE21,CE22,CE23,CE24,CE25,CE26,CE27,CE28,CE29,CE30,CE31,CE32,CE33,CE34,CE35,CE36,CE37,CE38,CE39)</f>
        <v/>
      </c>
      <c r="CF6" s="70">
        <f>CE6-CD6</f>
        <v/>
      </c>
      <c r="CG6" s="71">
        <f>IF(CD6=0,"",CE6/CD6)</f>
        <v/>
      </c>
      <c r="CH6" s="39" t="n"/>
      <c r="CI6" s="70">
        <f>G6+ L6+ V6+ AF6+ AP6+ AZ6+ BJ6+ BT6+ CD6</f>
        <v/>
      </c>
      <c r="CJ6" s="70">
        <f>H6+ M6+ W6+ AG6+ AQ6+ BA6+ BK6+ BU6+ CE6</f>
        <v/>
      </c>
      <c r="CK6" s="70">
        <f>CJ6-CI6</f>
        <v/>
      </c>
      <c r="CL6" s="71">
        <f>IF(CI6=0,"",CJ6/CI6)</f>
        <v/>
      </c>
      <c r="CM6" s="39" t="n"/>
      <c r="CN6" s="70">
        <f>SUM(CN7,CN8,CN9,CN10,CN11,CN12,CN13,CN14,CN15,CN16,CN17,CN18,CN19,CN20,CN21,CN22,CN23,CN24,CN25,CN26,CN27,CN28,CN29,CN30,CN31,CN32,CN33,CN34,CN35,CN36,CN37,CN38,CN39)</f>
        <v/>
      </c>
      <c r="CO6" s="70">
        <f>SUM(CO7,CO8,CO9,CO10,CO11,CO12,CO13,CO14,CO15,CO16,CO17,CO18,CO19,CO20,CO21,CO22,CO23,CO24,CO25,CO26,CO27,CO28,CO29,CO30,CO31,CO32,CO33,CO34,CO35,CO36,CO37,CO38,CO39)</f>
        <v/>
      </c>
      <c r="CP6" s="70">
        <f>CO6-CN6</f>
        <v/>
      </c>
      <c r="CQ6" s="71">
        <f>IF(CN6=0,"",CO6/CN6)</f>
        <v/>
      </c>
      <c r="CR6" s="39" t="n"/>
      <c r="CS6" s="70">
        <f>G6+ L6+ V6+ AF6+ AP6+ AZ6+ BJ6+ BT6+ CD6+ CN6</f>
        <v/>
      </c>
      <c r="CT6" s="70">
        <f>H6+ M6+ W6+ AG6+ AQ6+ BA6+ BK6+ BU6+ CE6+ CO6</f>
        <v/>
      </c>
      <c r="CU6" s="70">
        <f>CT6-CS6</f>
        <v/>
      </c>
      <c r="CV6" s="71">
        <f>IF(CS6=0,"",CT6/CS6)</f>
        <v/>
      </c>
      <c r="CW6" s="39" t="n"/>
      <c r="CX6" s="70">
        <f>SUM(CX7,CX8,CX9,CX10,CX11,CX12,CX13,CX14,CX15,CX16,CX17,CX18,CX19,CX20,CX21,CX22,CX23,CX24,CX25,CX26,CX27,CX28,CX29,CX30,CX31,CX32,CX33,CX34,CX35,CX36,CX37,CX38,CX39)</f>
        <v/>
      </c>
      <c r="CY6" s="70">
        <f>SUM(CY7,CY8,CY9,CY10,CY11,CY12,CY13,CY14,CY15,CY16,CY17,CY18,CY19,CY20,CY21,CY22,CY23,CY24,CY25,CY26,CY27,CY28,CY29,CY30,CY31,CY32,CY33,CY34,CY35,CY36,CY37,CY38,CY39)</f>
        <v/>
      </c>
      <c r="CZ6" s="70">
        <f>CY6-CX6</f>
        <v/>
      </c>
      <c r="DA6" s="71">
        <f>IF(CX6=0,"",CY6/CX6)</f>
        <v/>
      </c>
      <c r="DB6" s="39" t="n"/>
      <c r="DC6" s="70">
        <f>G6+ L6+ V6+ AF6+ AP6+ AZ6+ BJ6+ BT6+ CD6+ CN6+ CX6</f>
        <v/>
      </c>
      <c r="DD6" s="70">
        <f>H6+ M6+ W6+ AG6+ AQ6+ BA6+ BK6+ BU6+ CE6+ CO6+ CY6</f>
        <v/>
      </c>
      <c r="DE6" s="70">
        <f>DD6-DC6</f>
        <v/>
      </c>
      <c r="DF6" s="71">
        <f>IF(DC6=0,"",DD6/DC6)</f>
        <v/>
      </c>
      <c r="DG6" s="39" t="n"/>
      <c r="DH6" s="70">
        <f>SUM(DH7,DH8,DH9,DH10,DH11,DH12,DH13,DH14,DH15,DH16,DH17,DH18,DH19,DH20,DH21,DH22,DH23,DH24,DH25,DH26,DH27,DH28,DH29,DH30,DH31,DH32,DH33,DH34,DH35,DH36,DH37,DH38,DH39)</f>
        <v/>
      </c>
      <c r="DI6" s="70">
        <f>SUM(DI7,DI8,DI9,DI10,DI11,DI12,DI13,DI14,DI15,DI16,DI17,DI18,DI19,DI20,DI21,DI22,DI23,DI24,DI25,DI26,DI27,DI28,DI29,DI30,DI31,DI32,DI33,DI34,DI35,DI36,DI37,DI38,DI39)</f>
        <v/>
      </c>
      <c r="DJ6" s="70">
        <f>DI6-DH6</f>
        <v/>
      </c>
      <c r="DK6" s="71">
        <f>IF(DH6=0,"",DI6/DH6)</f>
        <v/>
      </c>
      <c r="DL6" s="39" t="n"/>
      <c r="DM6" s="70">
        <f>G6+ L6+ V6+ AF6+ AP6+ AZ6+ BJ6+ BT6+ CD6+ CN6+ CX6+ DH6</f>
        <v/>
      </c>
      <c r="DN6" s="70">
        <f>H6+ M6+ W6+ AG6+ AQ6+ BA6+ BK6+ BU6+ CE6+ CO6+ CY6+ DI6</f>
        <v/>
      </c>
      <c r="DO6" s="70">
        <f>DN6-DM6</f>
        <v/>
      </c>
      <c r="DP6" s="71">
        <f>IF(DM6=0,"",DN6/DM6)</f>
        <v/>
      </c>
      <c r="DQ6" s="39" t="n"/>
      <c r="DR6" s="70">
        <f>SUM(DR7,DR8,DR9,DR10,DR11,DR12,DR13,DR14,DR15,DR16,DR17,DR18,DR19,DR20,DR21,DR22,DR23,DR24,DR25,DR26,DR27,DR28,DR29,DR30,DR31,DR32,DR33,DR34,DR35,DR36,DR37,DR38,DR39)</f>
        <v/>
      </c>
    </row>
    <row r="7" ht="15" customHeight="1">
      <c r="A7" s="45" t="n"/>
      <c r="B7" s="45" t="n"/>
      <c r="C7" s="46" t="n"/>
      <c r="D7" s="46" t="n"/>
      <c r="E7" s="46" t="n"/>
      <c r="F7" s="47" t="n"/>
      <c r="G7" s="72" t="n"/>
      <c r="H7" s="72" t="n"/>
      <c r="I7" s="72">
        <f>H7-G7</f>
        <v/>
      </c>
      <c r="J7" s="73">
        <f>IF(G7=0,"",H7/G7)</f>
        <v/>
      </c>
      <c r="K7" s="46" t="n"/>
      <c r="L7" s="72" t="n"/>
      <c r="M7" s="72" t="n"/>
      <c r="N7" s="72">
        <f>M7-L7</f>
        <v/>
      </c>
      <c r="O7" s="73">
        <f>IF(L7=0,"",M7/L7)</f>
        <v/>
      </c>
      <c r="P7" s="46" t="n"/>
      <c r="Q7" s="74">
        <f>G7+ L7</f>
        <v/>
      </c>
      <c r="R7" s="74">
        <f>H7+ M7</f>
        <v/>
      </c>
      <c r="S7" s="74">
        <f>R7-Q7</f>
        <v/>
      </c>
      <c r="T7" s="75">
        <f>IF(Q7=0,"",R7/Q7)</f>
        <v/>
      </c>
      <c r="U7" s="52" t="n"/>
      <c r="V7" s="72" t="n"/>
      <c r="W7" s="72" t="n"/>
      <c r="X7" s="72">
        <f>W7-V7</f>
        <v/>
      </c>
      <c r="Y7" s="73">
        <f>IF(V7=0,"",W7/V7)</f>
        <v/>
      </c>
      <c r="Z7" s="46" t="n"/>
      <c r="AA7" s="74">
        <f>G7+ L7+ V7</f>
        <v/>
      </c>
      <c r="AB7" s="74">
        <f>H7+ M7+ W7</f>
        <v/>
      </c>
      <c r="AC7" s="74">
        <f>AB7-AA7</f>
        <v/>
      </c>
      <c r="AD7" s="75">
        <f>IF(AA7=0,"",AB7/AA7)</f>
        <v/>
      </c>
      <c r="AE7" s="52" t="n"/>
      <c r="AF7" s="72" t="n"/>
      <c r="AG7" s="72" t="n"/>
      <c r="AH7" s="72">
        <f>AG7-AF7</f>
        <v/>
      </c>
      <c r="AI7" s="73">
        <f>IF(AF7=0,"",AG7/AF7)</f>
        <v/>
      </c>
      <c r="AJ7" s="46" t="n"/>
      <c r="AK7" s="74">
        <f>G7+ L7+ V7+ AF7</f>
        <v/>
      </c>
      <c r="AL7" s="74">
        <f>H7+ M7+ W7+ AG7</f>
        <v/>
      </c>
      <c r="AM7" s="74">
        <f>AL7-AK7</f>
        <v/>
      </c>
      <c r="AN7" s="75">
        <f>IF(AK7=0,"",AL7/AK7)</f>
        <v/>
      </c>
      <c r="AO7" s="52" t="n"/>
      <c r="AP7" s="72" t="n"/>
      <c r="AQ7" s="72" t="n"/>
      <c r="AR7" s="72">
        <f>AQ7-AP7</f>
        <v/>
      </c>
      <c r="AS7" s="73">
        <f>IF(AP7=0,"",AQ7/AP7)</f>
        <v/>
      </c>
      <c r="AT7" s="46" t="n"/>
      <c r="AU7" s="74">
        <f>G7+ L7+ V7+ AF7+ AP7</f>
        <v/>
      </c>
      <c r="AV7" s="74">
        <f>H7+ M7+ W7+ AG7+ AQ7</f>
        <v/>
      </c>
      <c r="AW7" s="74">
        <f>AV7-AU7</f>
        <v/>
      </c>
      <c r="AX7" s="75">
        <f>IF(AU7=0,"",AV7/AU7)</f>
        <v/>
      </c>
      <c r="AY7" s="52" t="n"/>
      <c r="AZ7" s="72" t="n"/>
      <c r="BA7" s="72" t="n"/>
      <c r="BB7" s="72">
        <f>BA7-AZ7</f>
        <v/>
      </c>
      <c r="BC7" s="73">
        <f>IF(AZ7=0,"",BA7/AZ7)</f>
        <v/>
      </c>
      <c r="BD7" s="46" t="n"/>
      <c r="BE7" s="74">
        <f>G7+ L7+ V7+ AF7+ AP7+ AZ7</f>
        <v/>
      </c>
      <c r="BF7" s="74">
        <f>H7+ M7+ W7+ AG7+ AQ7+ BA7</f>
        <v/>
      </c>
      <c r="BG7" s="74">
        <f>BF7-BE7</f>
        <v/>
      </c>
      <c r="BH7" s="75">
        <f>IF(BE7=0,"",BF7/BE7)</f>
        <v/>
      </c>
      <c r="BI7" s="52" t="n"/>
      <c r="BJ7" s="72" t="n"/>
      <c r="BK7" s="72" t="n"/>
      <c r="BL7" s="72">
        <f>BK7-BJ7</f>
        <v/>
      </c>
      <c r="BM7" s="73">
        <f>IF(BJ7=0,"",BK7/BJ7)</f>
        <v/>
      </c>
      <c r="BN7" s="46" t="n"/>
      <c r="BO7" s="74">
        <f>G7+ L7+ V7+ AF7+ AP7+ AZ7+ BJ7</f>
        <v/>
      </c>
      <c r="BP7" s="74">
        <f>H7+ M7+ W7+ AG7+ AQ7+ BA7+ BK7</f>
        <v/>
      </c>
      <c r="BQ7" s="74">
        <f>BP7-BO7</f>
        <v/>
      </c>
      <c r="BR7" s="75">
        <f>IF(BO7=0,"",BP7/BO7)</f>
        <v/>
      </c>
      <c r="BS7" s="52" t="n"/>
      <c r="BT7" s="72" t="n"/>
      <c r="BU7" s="72" t="n"/>
      <c r="BV7" s="72">
        <f>BU7-BT7</f>
        <v/>
      </c>
      <c r="BW7" s="73">
        <f>IF(BT7=0,"",BU7/BT7)</f>
        <v/>
      </c>
      <c r="BX7" s="46" t="n"/>
      <c r="BY7" s="74">
        <f>G7+ L7+ V7+ AF7+ AP7+ AZ7+ BJ7+ BT7</f>
        <v/>
      </c>
      <c r="BZ7" s="74">
        <f>H7+ M7+ W7+ AG7+ AQ7+ BA7+ BK7+ BU7</f>
        <v/>
      </c>
      <c r="CA7" s="74">
        <f>BZ7-BY7</f>
        <v/>
      </c>
      <c r="CB7" s="75">
        <f>IF(BY7=0,"",BZ7/BY7)</f>
        <v/>
      </c>
      <c r="CC7" s="52" t="n"/>
      <c r="CD7" s="72" t="n"/>
      <c r="CE7" s="72" t="n"/>
      <c r="CF7" s="72">
        <f>CE7-CD7</f>
        <v/>
      </c>
      <c r="CG7" s="73">
        <f>IF(CD7=0,"",CE7/CD7)</f>
        <v/>
      </c>
      <c r="CH7" s="46" t="n"/>
      <c r="CI7" s="74">
        <f>G7+ L7+ V7+ AF7+ AP7+ AZ7+ BJ7+ BT7+ CD7</f>
        <v/>
      </c>
      <c r="CJ7" s="74">
        <f>H7+ M7+ W7+ AG7+ AQ7+ BA7+ BK7+ BU7+ CE7</f>
        <v/>
      </c>
      <c r="CK7" s="74">
        <f>CJ7-CI7</f>
        <v/>
      </c>
      <c r="CL7" s="75">
        <f>IF(CI7=0,"",CJ7/CI7)</f>
        <v/>
      </c>
      <c r="CM7" s="52" t="n"/>
      <c r="CN7" s="72" t="n"/>
      <c r="CO7" s="72" t="n"/>
      <c r="CP7" s="72">
        <f>CO7-CN7</f>
        <v/>
      </c>
      <c r="CQ7" s="73">
        <f>IF(CN7=0,"",CO7/CN7)</f>
        <v/>
      </c>
      <c r="CR7" s="46" t="n"/>
      <c r="CS7" s="74">
        <f>G7+ L7+ V7+ AF7+ AP7+ AZ7+ BJ7+ BT7+ CD7+ CN7</f>
        <v/>
      </c>
      <c r="CT7" s="74">
        <f>H7+ M7+ W7+ AG7+ AQ7+ BA7+ BK7+ BU7+ CE7+ CO7</f>
        <v/>
      </c>
      <c r="CU7" s="74">
        <f>CT7-CS7</f>
        <v/>
      </c>
      <c r="CV7" s="75">
        <f>IF(CS7=0,"",CT7/CS7)</f>
        <v/>
      </c>
      <c r="CW7" s="52" t="n"/>
      <c r="CX7" s="72" t="n"/>
      <c r="CY7" s="72" t="n"/>
      <c r="CZ7" s="72">
        <f>CY7-CX7</f>
        <v/>
      </c>
      <c r="DA7" s="73">
        <f>IF(CX7=0,"",CY7/CX7)</f>
        <v/>
      </c>
      <c r="DB7" s="46" t="n"/>
      <c r="DC7" s="74">
        <f>G7+ L7+ V7+ AF7+ AP7+ AZ7+ BJ7+ BT7+ CD7+ CN7+ CX7</f>
        <v/>
      </c>
      <c r="DD7" s="74">
        <f>H7+ M7+ W7+ AG7+ AQ7+ BA7+ BK7+ BU7+ CE7+ CO7+ CY7</f>
        <v/>
      </c>
      <c r="DE7" s="74">
        <f>DD7-DC7</f>
        <v/>
      </c>
      <c r="DF7" s="75">
        <f>IF(DC7=0,"",DD7/DC7)</f>
        <v/>
      </c>
      <c r="DG7" s="52" t="n"/>
      <c r="DH7" s="72" t="n"/>
      <c r="DI7" s="72" t="n"/>
      <c r="DJ7" s="72">
        <f>DI7-DH7</f>
        <v/>
      </c>
      <c r="DK7" s="73">
        <f>IF(DH7=0,"",DI7/DH7)</f>
        <v/>
      </c>
      <c r="DL7" s="46" t="n"/>
      <c r="DM7" s="74">
        <f>G7+ L7+ V7+ AF7+ AP7+ AZ7+ BJ7+ BT7+ CD7+ CN7+ CX7+ DH7</f>
        <v/>
      </c>
      <c r="DN7" s="74">
        <f>H7+ M7+ W7+ AG7+ AQ7+ BA7+ BK7+ BU7+ CE7+ CO7+ CY7+ DI7</f>
        <v/>
      </c>
      <c r="DO7" s="74">
        <f>DN7-DM7</f>
        <v/>
      </c>
      <c r="DP7" s="75">
        <f>IF(DM7=0,"",DN7/DM7)</f>
        <v/>
      </c>
      <c r="DQ7" s="52" t="n"/>
      <c r="DR7" s="72">
        <f>G7+L7+V7+AF7+AP7+AZ7+BJ7+BT7+CD7+CN7+CX7+DH7</f>
        <v/>
      </c>
    </row>
    <row r="8" ht="15" customHeight="1">
      <c r="A8" s="67" t="n"/>
      <c r="B8" s="67" t="n"/>
      <c r="C8" s="67" t="n"/>
      <c r="D8" s="46" t="n"/>
      <c r="E8" s="46" t="n"/>
      <c r="F8" s="47" t="n"/>
      <c r="G8" s="72" t="n"/>
      <c r="H8" s="72" t="n"/>
      <c r="I8" s="72">
        <f>H8-G8</f>
        <v/>
      </c>
      <c r="J8" s="73">
        <f>IF(G8=0,"",H8/G8)</f>
        <v/>
      </c>
      <c r="K8" s="46" t="n"/>
      <c r="L8" s="72" t="n"/>
      <c r="M8" s="72" t="n"/>
      <c r="N8" s="72">
        <f>M8-L8</f>
        <v/>
      </c>
      <c r="O8" s="73">
        <f>IF(L8=0,"",M8/L8)</f>
        <v/>
      </c>
      <c r="P8" s="46" t="n"/>
      <c r="Q8" s="74">
        <f>G8+ L8</f>
        <v/>
      </c>
      <c r="R8" s="74">
        <f>H8+ M8</f>
        <v/>
      </c>
      <c r="S8" s="74">
        <f>R8-Q8</f>
        <v/>
      </c>
      <c r="T8" s="75">
        <f>IF(Q8=0,"",R8/Q8)</f>
        <v/>
      </c>
      <c r="U8" s="52" t="n"/>
      <c r="V8" s="72" t="n"/>
      <c r="W8" s="72" t="n"/>
      <c r="X8" s="72">
        <f>W8-V8</f>
        <v/>
      </c>
      <c r="Y8" s="73">
        <f>IF(V8=0,"",W8/V8)</f>
        <v/>
      </c>
      <c r="Z8" s="46" t="n"/>
      <c r="AA8" s="74">
        <f>G8+ L8+ V8</f>
        <v/>
      </c>
      <c r="AB8" s="74">
        <f>H8+ M8+ W8</f>
        <v/>
      </c>
      <c r="AC8" s="74">
        <f>AB8-AA8</f>
        <v/>
      </c>
      <c r="AD8" s="75">
        <f>IF(AA8=0,"",AB8/AA8)</f>
        <v/>
      </c>
      <c r="AE8" s="52" t="n"/>
      <c r="AF8" s="72" t="n"/>
      <c r="AG8" s="72" t="n"/>
      <c r="AH8" s="72">
        <f>AG8-AF8</f>
        <v/>
      </c>
      <c r="AI8" s="73">
        <f>IF(AF8=0,"",AG8/AF8)</f>
        <v/>
      </c>
      <c r="AJ8" s="46" t="n"/>
      <c r="AK8" s="74">
        <f>G8+ L8+ V8+ AF8</f>
        <v/>
      </c>
      <c r="AL8" s="74">
        <f>H8+ M8+ W8+ AG8</f>
        <v/>
      </c>
      <c r="AM8" s="74">
        <f>AL8-AK8</f>
        <v/>
      </c>
      <c r="AN8" s="75">
        <f>IF(AK8=0,"",AL8/AK8)</f>
        <v/>
      </c>
      <c r="AO8" s="52" t="n"/>
      <c r="AP8" s="72" t="n"/>
      <c r="AQ8" s="72" t="n"/>
      <c r="AR8" s="72">
        <f>AQ8-AP8</f>
        <v/>
      </c>
      <c r="AS8" s="73">
        <f>IF(AP8=0,"",AQ8/AP8)</f>
        <v/>
      </c>
      <c r="AT8" s="46" t="n"/>
      <c r="AU8" s="74">
        <f>G8+ L8+ V8+ AF8+ AP8</f>
        <v/>
      </c>
      <c r="AV8" s="74">
        <f>H8+ M8+ W8+ AG8+ AQ8</f>
        <v/>
      </c>
      <c r="AW8" s="74">
        <f>AV8-AU8</f>
        <v/>
      </c>
      <c r="AX8" s="75">
        <f>IF(AU8=0,"",AV8/AU8)</f>
        <v/>
      </c>
      <c r="AY8" s="52" t="n"/>
      <c r="AZ8" s="72" t="n"/>
      <c r="BA8" s="72" t="n"/>
      <c r="BB8" s="72">
        <f>BA8-AZ8</f>
        <v/>
      </c>
      <c r="BC8" s="73">
        <f>IF(AZ8=0,"",BA8/AZ8)</f>
        <v/>
      </c>
      <c r="BD8" s="46" t="n"/>
      <c r="BE8" s="74">
        <f>G8+ L8+ V8+ AF8+ AP8+ AZ8</f>
        <v/>
      </c>
      <c r="BF8" s="74">
        <f>H8+ M8+ W8+ AG8+ AQ8+ BA8</f>
        <v/>
      </c>
      <c r="BG8" s="74">
        <f>BF8-BE8</f>
        <v/>
      </c>
      <c r="BH8" s="75">
        <f>IF(BE8=0,"",BF8/BE8)</f>
        <v/>
      </c>
      <c r="BI8" s="52" t="n"/>
      <c r="BJ8" s="72" t="n"/>
      <c r="BK8" s="72" t="n"/>
      <c r="BL8" s="72">
        <f>BK8-BJ8</f>
        <v/>
      </c>
      <c r="BM8" s="73">
        <f>IF(BJ8=0,"",BK8/BJ8)</f>
        <v/>
      </c>
      <c r="BN8" s="46" t="n"/>
      <c r="BO8" s="74">
        <f>G8+ L8+ V8+ AF8+ AP8+ AZ8+ BJ8</f>
        <v/>
      </c>
      <c r="BP8" s="74">
        <f>H8+ M8+ W8+ AG8+ AQ8+ BA8+ BK8</f>
        <v/>
      </c>
      <c r="BQ8" s="74">
        <f>BP8-BO8</f>
        <v/>
      </c>
      <c r="BR8" s="75">
        <f>IF(BO8=0,"",BP8/BO8)</f>
        <v/>
      </c>
      <c r="BS8" s="52" t="n"/>
      <c r="BT8" s="72" t="n"/>
      <c r="BU8" s="72" t="n"/>
      <c r="BV8" s="72">
        <f>BU8-BT8</f>
        <v/>
      </c>
      <c r="BW8" s="73">
        <f>IF(BT8=0,"",BU8/BT8)</f>
        <v/>
      </c>
      <c r="BX8" s="46" t="n"/>
      <c r="BY8" s="74">
        <f>G8+ L8+ V8+ AF8+ AP8+ AZ8+ BJ8+ BT8</f>
        <v/>
      </c>
      <c r="BZ8" s="74">
        <f>H8+ M8+ W8+ AG8+ AQ8+ BA8+ BK8+ BU8</f>
        <v/>
      </c>
      <c r="CA8" s="74">
        <f>BZ8-BY8</f>
        <v/>
      </c>
      <c r="CB8" s="75">
        <f>IF(BY8=0,"",BZ8/BY8)</f>
        <v/>
      </c>
      <c r="CC8" s="52" t="n"/>
      <c r="CD8" s="72" t="n"/>
      <c r="CE8" s="72" t="n"/>
      <c r="CF8" s="72">
        <f>CE8-CD8</f>
        <v/>
      </c>
      <c r="CG8" s="73">
        <f>IF(CD8=0,"",CE8/CD8)</f>
        <v/>
      </c>
      <c r="CH8" s="46" t="n"/>
      <c r="CI8" s="74">
        <f>G8+ L8+ V8+ AF8+ AP8+ AZ8+ BJ8+ BT8+ CD8</f>
        <v/>
      </c>
      <c r="CJ8" s="74">
        <f>H8+ M8+ W8+ AG8+ AQ8+ BA8+ BK8+ BU8+ CE8</f>
        <v/>
      </c>
      <c r="CK8" s="74">
        <f>CJ8-CI8</f>
        <v/>
      </c>
      <c r="CL8" s="75">
        <f>IF(CI8=0,"",CJ8/CI8)</f>
        <v/>
      </c>
      <c r="CM8" s="52" t="n"/>
      <c r="CN8" s="72" t="n"/>
      <c r="CO8" s="72" t="n"/>
      <c r="CP8" s="72">
        <f>CO8-CN8</f>
        <v/>
      </c>
      <c r="CQ8" s="73">
        <f>IF(CN8=0,"",CO8/CN8)</f>
        <v/>
      </c>
      <c r="CR8" s="46" t="n"/>
      <c r="CS8" s="74">
        <f>G8+ L8+ V8+ AF8+ AP8+ AZ8+ BJ8+ BT8+ CD8+ CN8</f>
        <v/>
      </c>
      <c r="CT8" s="74">
        <f>H8+ M8+ W8+ AG8+ AQ8+ BA8+ BK8+ BU8+ CE8+ CO8</f>
        <v/>
      </c>
      <c r="CU8" s="74">
        <f>CT8-CS8</f>
        <v/>
      </c>
      <c r="CV8" s="75">
        <f>IF(CS8=0,"",CT8/CS8)</f>
        <v/>
      </c>
      <c r="CW8" s="52" t="n"/>
      <c r="CX8" s="72" t="n"/>
      <c r="CY8" s="72" t="n"/>
      <c r="CZ8" s="72">
        <f>CY8-CX8</f>
        <v/>
      </c>
      <c r="DA8" s="73">
        <f>IF(CX8=0,"",CY8/CX8)</f>
        <v/>
      </c>
      <c r="DB8" s="46" t="n"/>
      <c r="DC8" s="74">
        <f>G8+ L8+ V8+ AF8+ AP8+ AZ8+ BJ8+ BT8+ CD8+ CN8+ CX8</f>
        <v/>
      </c>
      <c r="DD8" s="74">
        <f>H8+ M8+ W8+ AG8+ AQ8+ BA8+ BK8+ BU8+ CE8+ CO8+ CY8</f>
        <v/>
      </c>
      <c r="DE8" s="74">
        <f>DD8-DC8</f>
        <v/>
      </c>
      <c r="DF8" s="75">
        <f>IF(DC8=0,"",DD8/DC8)</f>
        <v/>
      </c>
      <c r="DG8" s="52" t="n"/>
      <c r="DH8" s="72" t="n"/>
      <c r="DI8" s="72" t="n"/>
      <c r="DJ8" s="72">
        <f>DI8-DH8</f>
        <v/>
      </c>
      <c r="DK8" s="73">
        <f>IF(DH8=0,"",DI8/DH8)</f>
        <v/>
      </c>
      <c r="DL8" s="46" t="n"/>
      <c r="DM8" s="74">
        <f>G8+ L8+ V8+ AF8+ AP8+ AZ8+ BJ8+ BT8+ CD8+ CN8+ CX8+ DH8</f>
        <v/>
      </c>
      <c r="DN8" s="74">
        <f>H8+ M8+ W8+ AG8+ AQ8+ BA8+ BK8+ BU8+ CE8+ CO8+ CY8+ DI8</f>
        <v/>
      </c>
      <c r="DO8" s="74">
        <f>DN8-DM8</f>
        <v/>
      </c>
      <c r="DP8" s="75">
        <f>IF(DM8=0,"",DN8/DM8)</f>
        <v/>
      </c>
      <c r="DQ8" s="52" t="n"/>
      <c r="DR8" s="72">
        <f>G8+L8+V8+AF8+AP8+AZ8+BJ8+BT8+CD8+CN8+CX8+DH8</f>
        <v/>
      </c>
    </row>
    <row r="9" ht="15" customHeight="1">
      <c r="A9" s="67" t="n"/>
      <c r="B9" s="67" t="n"/>
      <c r="C9" s="67" t="n"/>
      <c r="D9" s="46" t="n"/>
      <c r="E9" s="46" t="n"/>
      <c r="F9" s="47" t="n"/>
      <c r="G9" s="72" t="n"/>
      <c r="H9" s="72" t="n"/>
      <c r="I9" s="72">
        <f>H9-G9</f>
        <v/>
      </c>
      <c r="J9" s="73">
        <f>IF(G9=0,"",H9/G9)</f>
        <v/>
      </c>
      <c r="K9" s="46" t="n"/>
      <c r="L9" s="72" t="n"/>
      <c r="M9" s="72" t="n"/>
      <c r="N9" s="72">
        <f>M9-L9</f>
        <v/>
      </c>
      <c r="O9" s="73">
        <f>IF(L9=0,"",M9/L9)</f>
        <v/>
      </c>
      <c r="P9" s="46" t="n"/>
      <c r="Q9" s="74">
        <f>G9+ L9</f>
        <v/>
      </c>
      <c r="R9" s="74">
        <f>H9+ M9</f>
        <v/>
      </c>
      <c r="S9" s="74">
        <f>R9-Q9</f>
        <v/>
      </c>
      <c r="T9" s="75">
        <f>IF(Q9=0,"",R9/Q9)</f>
        <v/>
      </c>
      <c r="U9" s="52" t="n"/>
      <c r="V9" s="72" t="n"/>
      <c r="W9" s="72" t="n"/>
      <c r="X9" s="72">
        <f>W9-V9</f>
        <v/>
      </c>
      <c r="Y9" s="73">
        <f>IF(V9=0,"",W9/V9)</f>
        <v/>
      </c>
      <c r="Z9" s="46" t="n"/>
      <c r="AA9" s="74">
        <f>G9+ L9+ V9</f>
        <v/>
      </c>
      <c r="AB9" s="74">
        <f>H9+ M9+ W9</f>
        <v/>
      </c>
      <c r="AC9" s="74">
        <f>AB9-AA9</f>
        <v/>
      </c>
      <c r="AD9" s="75">
        <f>IF(AA9=0,"",AB9/AA9)</f>
        <v/>
      </c>
      <c r="AE9" s="52" t="n"/>
      <c r="AF9" s="72" t="n"/>
      <c r="AG9" s="72" t="n"/>
      <c r="AH9" s="72">
        <f>AG9-AF9</f>
        <v/>
      </c>
      <c r="AI9" s="73">
        <f>IF(AF9=0,"",AG9/AF9)</f>
        <v/>
      </c>
      <c r="AJ9" s="46" t="n"/>
      <c r="AK9" s="74">
        <f>G9+ L9+ V9+ AF9</f>
        <v/>
      </c>
      <c r="AL9" s="74">
        <f>H9+ M9+ W9+ AG9</f>
        <v/>
      </c>
      <c r="AM9" s="74">
        <f>AL9-AK9</f>
        <v/>
      </c>
      <c r="AN9" s="75">
        <f>IF(AK9=0,"",AL9/AK9)</f>
        <v/>
      </c>
      <c r="AO9" s="52" t="n"/>
      <c r="AP9" s="72" t="n"/>
      <c r="AQ9" s="72" t="n"/>
      <c r="AR9" s="72">
        <f>AQ9-AP9</f>
        <v/>
      </c>
      <c r="AS9" s="73">
        <f>IF(AP9=0,"",AQ9/AP9)</f>
        <v/>
      </c>
      <c r="AT9" s="46" t="n"/>
      <c r="AU9" s="74">
        <f>G9+ L9+ V9+ AF9+ AP9</f>
        <v/>
      </c>
      <c r="AV9" s="74">
        <f>H9+ M9+ W9+ AG9+ AQ9</f>
        <v/>
      </c>
      <c r="AW9" s="74">
        <f>AV9-AU9</f>
        <v/>
      </c>
      <c r="AX9" s="75">
        <f>IF(AU9=0,"",AV9/AU9)</f>
        <v/>
      </c>
      <c r="AY9" s="52" t="n"/>
      <c r="AZ9" s="72" t="n"/>
      <c r="BA9" s="72" t="n"/>
      <c r="BB9" s="72">
        <f>BA9-AZ9</f>
        <v/>
      </c>
      <c r="BC9" s="73">
        <f>IF(AZ9=0,"",BA9/AZ9)</f>
        <v/>
      </c>
      <c r="BD9" s="46" t="n"/>
      <c r="BE9" s="74">
        <f>G9+ L9+ V9+ AF9+ AP9+ AZ9</f>
        <v/>
      </c>
      <c r="BF9" s="74">
        <f>H9+ M9+ W9+ AG9+ AQ9+ BA9</f>
        <v/>
      </c>
      <c r="BG9" s="74">
        <f>BF9-BE9</f>
        <v/>
      </c>
      <c r="BH9" s="75">
        <f>IF(BE9=0,"",BF9/BE9)</f>
        <v/>
      </c>
      <c r="BI9" s="52" t="n"/>
      <c r="BJ9" s="72" t="n"/>
      <c r="BK9" s="72" t="n"/>
      <c r="BL9" s="72">
        <f>BK9-BJ9</f>
        <v/>
      </c>
      <c r="BM9" s="73">
        <f>IF(BJ9=0,"",BK9/BJ9)</f>
        <v/>
      </c>
      <c r="BN9" s="46" t="n"/>
      <c r="BO9" s="74">
        <f>G9+ L9+ V9+ AF9+ AP9+ AZ9+ BJ9</f>
        <v/>
      </c>
      <c r="BP9" s="74">
        <f>H9+ M9+ W9+ AG9+ AQ9+ BA9+ BK9</f>
        <v/>
      </c>
      <c r="BQ9" s="74">
        <f>BP9-BO9</f>
        <v/>
      </c>
      <c r="BR9" s="75">
        <f>IF(BO9=0,"",BP9/BO9)</f>
        <v/>
      </c>
      <c r="BS9" s="52" t="n"/>
      <c r="BT9" s="72" t="n"/>
      <c r="BU9" s="72" t="n"/>
      <c r="BV9" s="72">
        <f>BU9-BT9</f>
        <v/>
      </c>
      <c r="BW9" s="73">
        <f>IF(BT9=0,"",BU9/BT9)</f>
        <v/>
      </c>
      <c r="BX9" s="46" t="n"/>
      <c r="BY9" s="74">
        <f>G9+ L9+ V9+ AF9+ AP9+ AZ9+ BJ9+ BT9</f>
        <v/>
      </c>
      <c r="BZ9" s="74">
        <f>H9+ M9+ W9+ AG9+ AQ9+ BA9+ BK9+ BU9</f>
        <v/>
      </c>
      <c r="CA9" s="74">
        <f>BZ9-BY9</f>
        <v/>
      </c>
      <c r="CB9" s="75">
        <f>IF(BY9=0,"",BZ9/BY9)</f>
        <v/>
      </c>
      <c r="CC9" s="52" t="n"/>
      <c r="CD9" s="72" t="n"/>
      <c r="CE9" s="72" t="n"/>
      <c r="CF9" s="72">
        <f>CE9-CD9</f>
        <v/>
      </c>
      <c r="CG9" s="73">
        <f>IF(CD9=0,"",CE9/CD9)</f>
        <v/>
      </c>
      <c r="CH9" s="46" t="n"/>
      <c r="CI9" s="74">
        <f>G9+ L9+ V9+ AF9+ AP9+ AZ9+ BJ9+ BT9+ CD9</f>
        <v/>
      </c>
      <c r="CJ9" s="74">
        <f>H9+ M9+ W9+ AG9+ AQ9+ BA9+ BK9+ BU9+ CE9</f>
        <v/>
      </c>
      <c r="CK9" s="74">
        <f>CJ9-CI9</f>
        <v/>
      </c>
      <c r="CL9" s="75">
        <f>IF(CI9=0,"",CJ9/CI9)</f>
        <v/>
      </c>
      <c r="CM9" s="52" t="n"/>
      <c r="CN9" s="72" t="n"/>
      <c r="CO9" s="72" t="n"/>
      <c r="CP9" s="72">
        <f>CO9-CN9</f>
        <v/>
      </c>
      <c r="CQ9" s="73">
        <f>IF(CN9=0,"",CO9/CN9)</f>
        <v/>
      </c>
      <c r="CR9" s="46" t="n"/>
      <c r="CS9" s="74">
        <f>G9+ L9+ V9+ AF9+ AP9+ AZ9+ BJ9+ BT9+ CD9+ CN9</f>
        <v/>
      </c>
      <c r="CT9" s="74">
        <f>H9+ M9+ W9+ AG9+ AQ9+ BA9+ BK9+ BU9+ CE9+ CO9</f>
        <v/>
      </c>
      <c r="CU9" s="74">
        <f>CT9-CS9</f>
        <v/>
      </c>
      <c r="CV9" s="75">
        <f>IF(CS9=0,"",CT9/CS9)</f>
        <v/>
      </c>
      <c r="CW9" s="52" t="n"/>
      <c r="CX9" s="72" t="n"/>
      <c r="CY9" s="72" t="n"/>
      <c r="CZ9" s="72">
        <f>CY9-CX9</f>
        <v/>
      </c>
      <c r="DA9" s="73">
        <f>IF(CX9=0,"",CY9/CX9)</f>
        <v/>
      </c>
      <c r="DB9" s="46" t="n"/>
      <c r="DC9" s="74">
        <f>G9+ L9+ V9+ AF9+ AP9+ AZ9+ BJ9+ BT9+ CD9+ CN9+ CX9</f>
        <v/>
      </c>
      <c r="DD9" s="74">
        <f>H9+ M9+ W9+ AG9+ AQ9+ BA9+ BK9+ BU9+ CE9+ CO9+ CY9</f>
        <v/>
      </c>
      <c r="DE9" s="74">
        <f>DD9-DC9</f>
        <v/>
      </c>
      <c r="DF9" s="75">
        <f>IF(DC9=0,"",DD9/DC9)</f>
        <v/>
      </c>
      <c r="DG9" s="52" t="n"/>
      <c r="DH9" s="72" t="n"/>
      <c r="DI9" s="72" t="n"/>
      <c r="DJ9" s="72">
        <f>DI9-DH9</f>
        <v/>
      </c>
      <c r="DK9" s="73">
        <f>IF(DH9=0,"",DI9/DH9)</f>
        <v/>
      </c>
      <c r="DL9" s="46" t="n"/>
      <c r="DM9" s="74">
        <f>G9+ L9+ V9+ AF9+ AP9+ AZ9+ BJ9+ BT9+ CD9+ CN9+ CX9+ DH9</f>
        <v/>
      </c>
      <c r="DN9" s="74">
        <f>H9+ M9+ W9+ AG9+ AQ9+ BA9+ BK9+ BU9+ CE9+ CO9+ CY9+ DI9</f>
        <v/>
      </c>
      <c r="DO9" s="74">
        <f>DN9-DM9</f>
        <v/>
      </c>
      <c r="DP9" s="75">
        <f>IF(DM9=0,"",DN9/DM9)</f>
        <v/>
      </c>
      <c r="DQ9" s="52" t="n"/>
      <c r="DR9" s="72">
        <f>G9+L9+V9+AF9+AP9+AZ9+BJ9+BT9+CD9+CN9+CX9+DH9</f>
        <v/>
      </c>
    </row>
    <row r="10" ht="15" customHeight="1">
      <c r="A10" s="55" t="n"/>
      <c r="B10" s="55" t="n"/>
      <c r="C10" s="55" t="n"/>
      <c r="D10" s="46" t="n"/>
      <c r="E10" s="46" t="n"/>
      <c r="F10" s="47" t="n"/>
      <c r="G10" s="72" t="n"/>
      <c r="H10" s="72" t="n"/>
      <c r="I10" s="72">
        <f>H10-G10</f>
        <v/>
      </c>
      <c r="J10" s="73">
        <f>IF(G10=0,"",H10/G10)</f>
        <v/>
      </c>
      <c r="K10" s="46" t="n"/>
      <c r="L10" s="72" t="n"/>
      <c r="M10" s="72" t="n"/>
      <c r="N10" s="72">
        <f>M10-L10</f>
        <v/>
      </c>
      <c r="O10" s="73">
        <f>IF(L10=0,"",M10/L10)</f>
        <v/>
      </c>
      <c r="P10" s="46" t="n"/>
      <c r="Q10" s="74">
        <f>G10+ L10</f>
        <v/>
      </c>
      <c r="R10" s="74">
        <f>H10+ M10</f>
        <v/>
      </c>
      <c r="S10" s="74">
        <f>R10-Q10</f>
        <v/>
      </c>
      <c r="T10" s="75">
        <f>IF(Q10=0,"",R10/Q10)</f>
        <v/>
      </c>
      <c r="U10" s="52" t="n"/>
      <c r="V10" s="72" t="n"/>
      <c r="W10" s="72" t="n"/>
      <c r="X10" s="72">
        <f>W10-V10</f>
        <v/>
      </c>
      <c r="Y10" s="73">
        <f>IF(V10=0,"",W10/V10)</f>
        <v/>
      </c>
      <c r="Z10" s="46" t="n"/>
      <c r="AA10" s="74">
        <f>G10+ L10+ V10</f>
        <v/>
      </c>
      <c r="AB10" s="74">
        <f>H10+ M10+ W10</f>
        <v/>
      </c>
      <c r="AC10" s="74">
        <f>AB10-AA10</f>
        <v/>
      </c>
      <c r="AD10" s="75">
        <f>IF(AA10=0,"",AB10/AA10)</f>
        <v/>
      </c>
      <c r="AE10" s="52" t="n"/>
      <c r="AF10" s="72" t="n"/>
      <c r="AG10" s="72" t="n"/>
      <c r="AH10" s="72">
        <f>AG10-AF10</f>
        <v/>
      </c>
      <c r="AI10" s="73">
        <f>IF(AF10=0,"",AG10/AF10)</f>
        <v/>
      </c>
      <c r="AJ10" s="46" t="n"/>
      <c r="AK10" s="74">
        <f>G10+ L10+ V10+ AF10</f>
        <v/>
      </c>
      <c r="AL10" s="74">
        <f>H10+ M10+ W10+ AG10</f>
        <v/>
      </c>
      <c r="AM10" s="74">
        <f>AL10-AK10</f>
        <v/>
      </c>
      <c r="AN10" s="75">
        <f>IF(AK10=0,"",AL10/AK10)</f>
        <v/>
      </c>
      <c r="AO10" s="52" t="n"/>
      <c r="AP10" s="72" t="n"/>
      <c r="AQ10" s="72" t="n"/>
      <c r="AR10" s="72">
        <f>AQ10-AP10</f>
        <v/>
      </c>
      <c r="AS10" s="73">
        <f>IF(AP10=0,"",AQ10/AP10)</f>
        <v/>
      </c>
      <c r="AT10" s="46" t="n"/>
      <c r="AU10" s="74">
        <f>G10+ L10+ V10+ AF10+ AP10</f>
        <v/>
      </c>
      <c r="AV10" s="74">
        <f>H10+ M10+ W10+ AG10+ AQ10</f>
        <v/>
      </c>
      <c r="AW10" s="74">
        <f>AV10-AU10</f>
        <v/>
      </c>
      <c r="AX10" s="75">
        <f>IF(AU10=0,"",AV10/AU10)</f>
        <v/>
      </c>
      <c r="AY10" s="52" t="n"/>
      <c r="AZ10" s="72" t="n"/>
      <c r="BA10" s="72" t="n"/>
      <c r="BB10" s="72">
        <f>BA10-AZ10</f>
        <v/>
      </c>
      <c r="BC10" s="73">
        <f>IF(AZ10=0,"",BA10/AZ10)</f>
        <v/>
      </c>
      <c r="BD10" s="46" t="n"/>
      <c r="BE10" s="74">
        <f>G10+ L10+ V10+ AF10+ AP10+ AZ10</f>
        <v/>
      </c>
      <c r="BF10" s="74">
        <f>H10+ M10+ W10+ AG10+ AQ10+ BA10</f>
        <v/>
      </c>
      <c r="BG10" s="74">
        <f>BF10-BE10</f>
        <v/>
      </c>
      <c r="BH10" s="75">
        <f>IF(BE10=0,"",BF10/BE10)</f>
        <v/>
      </c>
      <c r="BI10" s="52" t="n"/>
      <c r="BJ10" s="72" t="n"/>
      <c r="BK10" s="72" t="n"/>
      <c r="BL10" s="72">
        <f>BK10-BJ10</f>
        <v/>
      </c>
      <c r="BM10" s="73">
        <f>IF(BJ10=0,"",BK10/BJ10)</f>
        <v/>
      </c>
      <c r="BN10" s="46" t="n"/>
      <c r="BO10" s="74">
        <f>G10+ L10+ V10+ AF10+ AP10+ AZ10+ BJ10</f>
        <v/>
      </c>
      <c r="BP10" s="74">
        <f>H10+ M10+ W10+ AG10+ AQ10+ BA10+ BK10</f>
        <v/>
      </c>
      <c r="BQ10" s="74">
        <f>BP10-BO10</f>
        <v/>
      </c>
      <c r="BR10" s="75">
        <f>IF(BO10=0,"",BP10/BO10)</f>
        <v/>
      </c>
      <c r="BS10" s="52" t="n"/>
      <c r="BT10" s="72" t="n"/>
      <c r="BU10" s="72" t="n"/>
      <c r="BV10" s="72">
        <f>BU10-BT10</f>
        <v/>
      </c>
      <c r="BW10" s="73">
        <f>IF(BT10=0,"",BU10/BT10)</f>
        <v/>
      </c>
      <c r="BX10" s="46" t="n"/>
      <c r="BY10" s="74">
        <f>G10+ L10+ V10+ AF10+ AP10+ AZ10+ BJ10+ BT10</f>
        <v/>
      </c>
      <c r="BZ10" s="74">
        <f>H10+ M10+ W10+ AG10+ AQ10+ BA10+ BK10+ BU10</f>
        <v/>
      </c>
      <c r="CA10" s="74">
        <f>BZ10-BY10</f>
        <v/>
      </c>
      <c r="CB10" s="75">
        <f>IF(BY10=0,"",BZ10/BY10)</f>
        <v/>
      </c>
      <c r="CC10" s="52" t="n"/>
      <c r="CD10" s="72" t="n"/>
      <c r="CE10" s="72" t="n"/>
      <c r="CF10" s="72">
        <f>CE10-CD10</f>
        <v/>
      </c>
      <c r="CG10" s="73">
        <f>IF(CD10=0,"",CE10/CD10)</f>
        <v/>
      </c>
      <c r="CH10" s="46" t="n"/>
      <c r="CI10" s="74">
        <f>G10+ L10+ V10+ AF10+ AP10+ AZ10+ BJ10+ BT10+ CD10</f>
        <v/>
      </c>
      <c r="CJ10" s="74">
        <f>H10+ M10+ W10+ AG10+ AQ10+ BA10+ BK10+ BU10+ CE10</f>
        <v/>
      </c>
      <c r="CK10" s="74">
        <f>CJ10-CI10</f>
        <v/>
      </c>
      <c r="CL10" s="75">
        <f>IF(CI10=0,"",CJ10/CI10)</f>
        <v/>
      </c>
      <c r="CM10" s="52" t="n"/>
      <c r="CN10" s="72" t="n"/>
      <c r="CO10" s="72" t="n"/>
      <c r="CP10" s="72">
        <f>CO10-CN10</f>
        <v/>
      </c>
      <c r="CQ10" s="73">
        <f>IF(CN10=0,"",CO10/CN10)</f>
        <v/>
      </c>
      <c r="CR10" s="46" t="n"/>
      <c r="CS10" s="74">
        <f>G10+ L10+ V10+ AF10+ AP10+ AZ10+ BJ10+ BT10+ CD10+ CN10</f>
        <v/>
      </c>
      <c r="CT10" s="74">
        <f>H10+ M10+ W10+ AG10+ AQ10+ BA10+ BK10+ BU10+ CE10+ CO10</f>
        <v/>
      </c>
      <c r="CU10" s="74">
        <f>CT10-CS10</f>
        <v/>
      </c>
      <c r="CV10" s="75">
        <f>IF(CS10=0,"",CT10/CS10)</f>
        <v/>
      </c>
      <c r="CW10" s="52" t="n"/>
      <c r="CX10" s="72" t="n"/>
      <c r="CY10" s="72" t="n"/>
      <c r="CZ10" s="72">
        <f>CY10-CX10</f>
        <v/>
      </c>
      <c r="DA10" s="73">
        <f>IF(CX10=0,"",CY10/CX10)</f>
        <v/>
      </c>
      <c r="DB10" s="46" t="n"/>
      <c r="DC10" s="74">
        <f>G10+ L10+ V10+ AF10+ AP10+ AZ10+ BJ10+ BT10+ CD10+ CN10+ CX10</f>
        <v/>
      </c>
      <c r="DD10" s="74">
        <f>H10+ M10+ W10+ AG10+ AQ10+ BA10+ BK10+ BU10+ CE10+ CO10+ CY10</f>
        <v/>
      </c>
      <c r="DE10" s="74">
        <f>DD10-DC10</f>
        <v/>
      </c>
      <c r="DF10" s="75">
        <f>IF(DC10=0,"",DD10/DC10)</f>
        <v/>
      </c>
      <c r="DG10" s="52" t="n"/>
      <c r="DH10" s="72" t="n"/>
      <c r="DI10" s="72" t="n"/>
      <c r="DJ10" s="72">
        <f>DI10-DH10</f>
        <v/>
      </c>
      <c r="DK10" s="73">
        <f>IF(DH10=0,"",DI10/DH10)</f>
        <v/>
      </c>
      <c r="DL10" s="46" t="n"/>
      <c r="DM10" s="74">
        <f>G10+ L10+ V10+ AF10+ AP10+ AZ10+ BJ10+ BT10+ CD10+ CN10+ CX10+ DH10</f>
        <v/>
      </c>
      <c r="DN10" s="74">
        <f>H10+ M10+ W10+ AG10+ AQ10+ BA10+ BK10+ BU10+ CE10+ CO10+ CY10+ DI10</f>
        <v/>
      </c>
      <c r="DO10" s="74">
        <f>DN10-DM10</f>
        <v/>
      </c>
      <c r="DP10" s="75">
        <f>IF(DM10=0,"",DN10/DM10)</f>
        <v/>
      </c>
      <c r="DQ10" s="52" t="n"/>
      <c r="DR10" s="72">
        <f>G10+L10+V10+AF10+AP10+AZ10+BJ10+BT10+CD10+CN10+CX10+DH10</f>
        <v/>
      </c>
    </row>
    <row r="11" ht="15" customHeight="1">
      <c r="A11" s="46" t="n"/>
      <c r="B11" s="46" t="n"/>
      <c r="C11" s="46" t="n"/>
      <c r="D11" s="46" t="n"/>
      <c r="E11" s="46" t="n"/>
      <c r="F11" s="47" t="n"/>
      <c r="G11" s="72" t="n"/>
      <c r="H11" s="72" t="n"/>
      <c r="I11" s="72">
        <f>H11-G11</f>
        <v/>
      </c>
      <c r="J11" s="73">
        <f>IF(G11=0,"",H11/G11)</f>
        <v/>
      </c>
      <c r="K11" s="46" t="n"/>
      <c r="L11" s="72" t="n"/>
      <c r="M11" s="72" t="n"/>
      <c r="N11" s="72">
        <f>M11-L11</f>
        <v/>
      </c>
      <c r="O11" s="73">
        <f>IF(L11=0,"",M11/L11)</f>
        <v/>
      </c>
      <c r="P11" s="46" t="n"/>
      <c r="Q11" s="74">
        <f>G11+ L11</f>
        <v/>
      </c>
      <c r="R11" s="74">
        <f>H11+ M11</f>
        <v/>
      </c>
      <c r="S11" s="74">
        <f>R11-Q11</f>
        <v/>
      </c>
      <c r="T11" s="75">
        <f>IF(Q11=0,"",R11/Q11)</f>
        <v/>
      </c>
      <c r="U11" s="52" t="n"/>
      <c r="V11" s="72" t="n"/>
      <c r="W11" s="72" t="n"/>
      <c r="X11" s="72">
        <f>W11-V11</f>
        <v/>
      </c>
      <c r="Y11" s="73">
        <f>IF(V11=0,"",W11/V11)</f>
        <v/>
      </c>
      <c r="Z11" s="46" t="n"/>
      <c r="AA11" s="74">
        <f>G11+ L11+ V11</f>
        <v/>
      </c>
      <c r="AB11" s="74">
        <f>H11+ M11+ W11</f>
        <v/>
      </c>
      <c r="AC11" s="74">
        <f>AB11-AA11</f>
        <v/>
      </c>
      <c r="AD11" s="75">
        <f>IF(AA11=0,"",AB11/AA11)</f>
        <v/>
      </c>
      <c r="AE11" s="52" t="n"/>
      <c r="AF11" s="72" t="n"/>
      <c r="AG11" s="72" t="n"/>
      <c r="AH11" s="72">
        <f>AG11-AF11</f>
        <v/>
      </c>
      <c r="AI11" s="73">
        <f>IF(AF11=0,"",AG11/AF11)</f>
        <v/>
      </c>
      <c r="AJ11" s="46" t="n"/>
      <c r="AK11" s="74">
        <f>G11+ L11+ V11+ AF11</f>
        <v/>
      </c>
      <c r="AL11" s="74">
        <f>H11+ M11+ W11+ AG11</f>
        <v/>
      </c>
      <c r="AM11" s="74">
        <f>AL11-AK11</f>
        <v/>
      </c>
      <c r="AN11" s="75">
        <f>IF(AK11=0,"",AL11/AK11)</f>
        <v/>
      </c>
      <c r="AO11" s="52" t="n"/>
      <c r="AP11" s="72" t="n"/>
      <c r="AQ11" s="72" t="n"/>
      <c r="AR11" s="72">
        <f>AQ11-AP11</f>
        <v/>
      </c>
      <c r="AS11" s="73">
        <f>IF(AP11=0,"",AQ11/AP11)</f>
        <v/>
      </c>
      <c r="AT11" s="46" t="n"/>
      <c r="AU11" s="74">
        <f>G11+ L11+ V11+ AF11+ AP11</f>
        <v/>
      </c>
      <c r="AV11" s="74">
        <f>H11+ M11+ W11+ AG11+ AQ11</f>
        <v/>
      </c>
      <c r="AW11" s="74">
        <f>AV11-AU11</f>
        <v/>
      </c>
      <c r="AX11" s="75">
        <f>IF(AU11=0,"",AV11/AU11)</f>
        <v/>
      </c>
      <c r="AY11" s="52" t="n"/>
      <c r="AZ11" s="72" t="n"/>
      <c r="BA11" s="72" t="n"/>
      <c r="BB11" s="72">
        <f>BA11-AZ11</f>
        <v/>
      </c>
      <c r="BC11" s="73">
        <f>IF(AZ11=0,"",BA11/AZ11)</f>
        <v/>
      </c>
      <c r="BD11" s="46" t="n"/>
      <c r="BE11" s="74">
        <f>G11+ L11+ V11+ AF11+ AP11+ AZ11</f>
        <v/>
      </c>
      <c r="BF11" s="74">
        <f>H11+ M11+ W11+ AG11+ AQ11+ BA11</f>
        <v/>
      </c>
      <c r="BG11" s="74">
        <f>BF11-BE11</f>
        <v/>
      </c>
      <c r="BH11" s="75">
        <f>IF(BE11=0,"",BF11/BE11)</f>
        <v/>
      </c>
      <c r="BI11" s="52" t="n"/>
      <c r="BJ11" s="72" t="n"/>
      <c r="BK11" s="72" t="n"/>
      <c r="BL11" s="72">
        <f>BK11-BJ11</f>
        <v/>
      </c>
      <c r="BM11" s="73">
        <f>IF(BJ11=0,"",BK11/BJ11)</f>
        <v/>
      </c>
      <c r="BN11" s="46" t="n"/>
      <c r="BO11" s="74">
        <f>G11+ L11+ V11+ AF11+ AP11+ AZ11+ BJ11</f>
        <v/>
      </c>
      <c r="BP11" s="74">
        <f>H11+ M11+ W11+ AG11+ AQ11+ BA11+ BK11</f>
        <v/>
      </c>
      <c r="BQ11" s="74">
        <f>BP11-BO11</f>
        <v/>
      </c>
      <c r="BR11" s="75">
        <f>IF(BO11=0,"",BP11/BO11)</f>
        <v/>
      </c>
      <c r="BS11" s="52" t="n"/>
      <c r="BT11" s="72" t="n"/>
      <c r="BU11" s="72" t="n"/>
      <c r="BV11" s="72">
        <f>BU11-BT11</f>
        <v/>
      </c>
      <c r="BW11" s="73">
        <f>IF(BT11=0,"",BU11/BT11)</f>
        <v/>
      </c>
      <c r="BX11" s="46" t="n"/>
      <c r="BY11" s="74">
        <f>G11+ L11+ V11+ AF11+ AP11+ AZ11+ BJ11+ BT11</f>
        <v/>
      </c>
      <c r="BZ11" s="74">
        <f>H11+ M11+ W11+ AG11+ AQ11+ BA11+ BK11+ BU11</f>
        <v/>
      </c>
      <c r="CA11" s="74">
        <f>BZ11-BY11</f>
        <v/>
      </c>
      <c r="CB11" s="75">
        <f>IF(BY11=0,"",BZ11/BY11)</f>
        <v/>
      </c>
      <c r="CC11" s="52" t="n"/>
      <c r="CD11" s="72" t="n"/>
      <c r="CE11" s="72" t="n"/>
      <c r="CF11" s="72">
        <f>CE11-CD11</f>
        <v/>
      </c>
      <c r="CG11" s="73">
        <f>IF(CD11=0,"",CE11/CD11)</f>
        <v/>
      </c>
      <c r="CH11" s="46" t="n"/>
      <c r="CI11" s="74">
        <f>G11+ L11+ V11+ AF11+ AP11+ AZ11+ BJ11+ BT11+ CD11</f>
        <v/>
      </c>
      <c r="CJ11" s="74">
        <f>H11+ M11+ W11+ AG11+ AQ11+ BA11+ BK11+ BU11+ CE11</f>
        <v/>
      </c>
      <c r="CK11" s="74">
        <f>CJ11-CI11</f>
        <v/>
      </c>
      <c r="CL11" s="75">
        <f>IF(CI11=0,"",CJ11/CI11)</f>
        <v/>
      </c>
      <c r="CM11" s="52" t="n"/>
      <c r="CN11" s="72" t="n"/>
      <c r="CO11" s="72" t="n"/>
      <c r="CP11" s="72">
        <f>CO11-CN11</f>
        <v/>
      </c>
      <c r="CQ11" s="73">
        <f>IF(CN11=0,"",CO11/CN11)</f>
        <v/>
      </c>
      <c r="CR11" s="46" t="n"/>
      <c r="CS11" s="74">
        <f>G11+ L11+ V11+ AF11+ AP11+ AZ11+ BJ11+ BT11+ CD11+ CN11</f>
        <v/>
      </c>
      <c r="CT11" s="74">
        <f>H11+ M11+ W11+ AG11+ AQ11+ BA11+ BK11+ BU11+ CE11+ CO11</f>
        <v/>
      </c>
      <c r="CU11" s="74">
        <f>CT11-CS11</f>
        <v/>
      </c>
      <c r="CV11" s="75">
        <f>IF(CS11=0,"",CT11/CS11)</f>
        <v/>
      </c>
      <c r="CW11" s="52" t="n"/>
      <c r="CX11" s="72" t="n"/>
      <c r="CY11" s="72" t="n"/>
      <c r="CZ11" s="72">
        <f>CY11-CX11</f>
        <v/>
      </c>
      <c r="DA11" s="73">
        <f>IF(CX11=0,"",CY11/CX11)</f>
        <v/>
      </c>
      <c r="DB11" s="46" t="n"/>
      <c r="DC11" s="74">
        <f>G11+ L11+ V11+ AF11+ AP11+ AZ11+ BJ11+ BT11+ CD11+ CN11+ CX11</f>
        <v/>
      </c>
      <c r="DD11" s="74">
        <f>H11+ M11+ W11+ AG11+ AQ11+ BA11+ BK11+ BU11+ CE11+ CO11+ CY11</f>
        <v/>
      </c>
      <c r="DE11" s="74">
        <f>DD11-DC11</f>
        <v/>
      </c>
      <c r="DF11" s="75">
        <f>IF(DC11=0,"",DD11/DC11)</f>
        <v/>
      </c>
      <c r="DG11" s="52" t="n"/>
      <c r="DH11" s="72" t="n"/>
      <c r="DI11" s="72" t="n"/>
      <c r="DJ11" s="72">
        <f>DI11-DH11</f>
        <v/>
      </c>
      <c r="DK11" s="73">
        <f>IF(DH11=0,"",DI11/DH11)</f>
        <v/>
      </c>
      <c r="DL11" s="46" t="n"/>
      <c r="DM11" s="74">
        <f>G11+ L11+ V11+ AF11+ AP11+ AZ11+ BJ11+ BT11+ CD11+ CN11+ CX11+ DH11</f>
        <v/>
      </c>
      <c r="DN11" s="74">
        <f>H11+ M11+ W11+ AG11+ AQ11+ BA11+ BK11+ BU11+ CE11+ CO11+ CY11+ DI11</f>
        <v/>
      </c>
      <c r="DO11" s="74">
        <f>DN11-DM11</f>
        <v/>
      </c>
      <c r="DP11" s="75">
        <f>IF(DM11=0,"",DN11/DM11)</f>
        <v/>
      </c>
      <c r="DQ11" s="52" t="n"/>
      <c r="DR11" s="72">
        <f>G11+L11+V11+AF11+AP11+AZ11+BJ11+BT11+CD11+CN11+CX11+DH11</f>
        <v/>
      </c>
    </row>
    <row r="12" ht="15" customHeight="1">
      <c r="A12" s="67" t="n"/>
      <c r="B12" s="67" t="n"/>
      <c r="C12" s="67" t="n"/>
      <c r="D12" s="46" t="n"/>
      <c r="E12" s="46" t="n"/>
      <c r="F12" s="47" t="n"/>
      <c r="G12" s="72" t="n"/>
      <c r="H12" s="72" t="n"/>
      <c r="I12" s="72">
        <f>H12-G12</f>
        <v/>
      </c>
      <c r="J12" s="73">
        <f>IF(G12=0,"",H12/G12)</f>
        <v/>
      </c>
      <c r="K12" s="46" t="n"/>
      <c r="L12" s="72" t="n"/>
      <c r="M12" s="72" t="n"/>
      <c r="N12" s="72">
        <f>M12-L12</f>
        <v/>
      </c>
      <c r="O12" s="73">
        <f>IF(L12=0,"",M12/L12)</f>
        <v/>
      </c>
      <c r="P12" s="46" t="n"/>
      <c r="Q12" s="74">
        <f>G12+ L12</f>
        <v/>
      </c>
      <c r="R12" s="74">
        <f>H12+ M12</f>
        <v/>
      </c>
      <c r="S12" s="74">
        <f>R12-Q12</f>
        <v/>
      </c>
      <c r="T12" s="75">
        <f>IF(Q12=0,"",R12/Q12)</f>
        <v/>
      </c>
      <c r="U12" s="52" t="n"/>
      <c r="V12" s="72" t="n"/>
      <c r="W12" s="72" t="n"/>
      <c r="X12" s="72">
        <f>W12-V12</f>
        <v/>
      </c>
      <c r="Y12" s="73">
        <f>IF(V12=0,"",W12/V12)</f>
        <v/>
      </c>
      <c r="Z12" s="46" t="n"/>
      <c r="AA12" s="74">
        <f>G12+ L12+ V12</f>
        <v/>
      </c>
      <c r="AB12" s="74">
        <f>H12+ M12+ W12</f>
        <v/>
      </c>
      <c r="AC12" s="74">
        <f>AB12-AA12</f>
        <v/>
      </c>
      <c r="AD12" s="75">
        <f>IF(AA12=0,"",AB12/AA12)</f>
        <v/>
      </c>
      <c r="AE12" s="52" t="n"/>
      <c r="AF12" s="72" t="n"/>
      <c r="AG12" s="72" t="n"/>
      <c r="AH12" s="72">
        <f>AG12-AF12</f>
        <v/>
      </c>
      <c r="AI12" s="73">
        <f>IF(AF12=0,"",AG12/AF12)</f>
        <v/>
      </c>
      <c r="AJ12" s="46" t="n"/>
      <c r="AK12" s="74">
        <f>G12+ L12+ V12+ AF12</f>
        <v/>
      </c>
      <c r="AL12" s="74">
        <f>H12+ M12+ W12+ AG12</f>
        <v/>
      </c>
      <c r="AM12" s="74">
        <f>AL12-AK12</f>
        <v/>
      </c>
      <c r="AN12" s="75">
        <f>IF(AK12=0,"",AL12/AK12)</f>
        <v/>
      </c>
      <c r="AO12" s="52" t="n"/>
      <c r="AP12" s="72" t="n"/>
      <c r="AQ12" s="72" t="n"/>
      <c r="AR12" s="72">
        <f>AQ12-AP12</f>
        <v/>
      </c>
      <c r="AS12" s="73">
        <f>IF(AP12=0,"",AQ12/AP12)</f>
        <v/>
      </c>
      <c r="AT12" s="46" t="n"/>
      <c r="AU12" s="74">
        <f>G12+ L12+ V12+ AF12+ AP12</f>
        <v/>
      </c>
      <c r="AV12" s="74">
        <f>H12+ M12+ W12+ AG12+ AQ12</f>
        <v/>
      </c>
      <c r="AW12" s="74">
        <f>AV12-AU12</f>
        <v/>
      </c>
      <c r="AX12" s="75">
        <f>IF(AU12=0,"",AV12/AU12)</f>
        <v/>
      </c>
      <c r="AY12" s="52" t="n"/>
      <c r="AZ12" s="72" t="n"/>
      <c r="BA12" s="72" t="n"/>
      <c r="BB12" s="72">
        <f>BA12-AZ12</f>
        <v/>
      </c>
      <c r="BC12" s="73">
        <f>IF(AZ12=0,"",BA12/AZ12)</f>
        <v/>
      </c>
      <c r="BD12" s="46" t="n"/>
      <c r="BE12" s="74">
        <f>G12+ L12+ V12+ AF12+ AP12+ AZ12</f>
        <v/>
      </c>
      <c r="BF12" s="74">
        <f>H12+ M12+ W12+ AG12+ AQ12+ BA12</f>
        <v/>
      </c>
      <c r="BG12" s="74">
        <f>BF12-BE12</f>
        <v/>
      </c>
      <c r="BH12" s="75">
        <f>IF(BE12=0,"",BF12/BE12)</f>
        <v/>
      </c>
      <c r="BI12" s="52" t="n"/>
      <c r="BJ12" s="72" t="n"/>
      <c r="BK12" s="72" t="n"/>
      <c r="BL12" s="72">
        <f>BK12-BJ12</f>
        <v/>
      </c>
      <c r="BM12" s="73">
        <f>IF(BJ12=0,"",BK12/BJ12)</f>
        <v/>
      </c>
      <c r="BN12" s="46" t="n"/>
      <c r="BO12" s="74">
        <f>G12+ L12+ V12+ AF12+ AP12+ AZ12+ BJ12</f>
        <v/>
      </c>
      <c r="BP12" s="74">
        <f>H12+ M12+ W12+ AG12+ AQ12+ BA12+ BK12</f>
        <v/>
      </c>
      <c r="BQ12" s="74">
        <f>BP12-BO12</f>
        <v/>
      </c>
      <c r="BR12" s="75">
        <f>IF(BO12=0,"",BP12/BO12)</f>
        <v/>
      </c>
      <c r="BS12" s="52" t="n"/>
      <c r="BT12" s="72" t="n"/>
      <c r="BU12" s="72" t="n"/>
      <c r="BV12" s="72">
        <f>BU12-BT12</f>
        <v/>
      </c>
      <c r="BW12" s="73">
        <f>IF(BT12=0,"",BU12/BT12)</f>
        <v/>
      </c>
      <c r="BX12" s="46" t="n"/>
      <c r="BY12" s="74">
        <f>G12+ L12+ V12+ AF12+ AP12+ AZ12+ BJ12+ BT12</f>
        <v/>
      </c>
      <c r="BZ12" s="74">
        <f>H12+ M12+ W12+ AG12+ AQ12+ BA12+ BK12+ BU12</f>
        <v/>
      </c>
      <c r="CA12" s="74">
        <f>BZ12-BY12</f>
        <v/>
      </c>
      <c r="CB12" s="75">
        <f>IF(BY12=0,"",BZ12/BY12)</f>
        <v/>
      </c>
      <c r="CC12" s="52" t="n"/>
      <c r="CD12" s="72" t="n"/>
      <c r="CE12" s="72" t="n"/>
      <c r="CF12" s="72">
        <f>CE12-CD12</f>
        <v/>
      </c>
      <c r="CG12" s="73">
        <f>IF(CD12=0,"",CE12/CD12)</f>
        <v/>
      </c>
      <c r="CH12" s="46" t="n"/>
      <c r="CI12" s="74">
        <f>G12+ L12+ V12+ AF12+ AP12+ AZ12+ BJ12+ BT12+ CD12</f>
        <v/>
      </c>
      <c r="CJ12" s="74">
        <f>H12+ M12+ W12+ AG12+ AQ12+ BA12+ BK12+ BU12+ CE12</f>
        <v/>
      </c>
      <c r="CK12" s="74">
        <f>CJ12-CI12</f>
        <v/>
      </c>
      <c r="CL12" s="75">
        <f>IF(CI12=0,"",CJ12/CI12)</f>
        <v/>
      </c>
      <c r="CM12" s="52" t="n"/>
      <c r="CN12" s="72" t="n"/>
      <c r="CO12" s="72" t="n"/>
      <c r="CP12" s="72">
        <f>CO12-CN12</f>
        <v/>
      </c>
      <c r="CQ12" s="73">
        <f>IF(CN12=0,"",CO12/CN12)</f>
        <v/>
      </c>
      <c r="CR12" s="46" t="n"/>
      <c r="CS12" s="74">
        <f>G12+ L12+ V12+ AF12+ AP12+ AZ12+ BJ12+ BT12+ CD12+ CN12</f>
        <v/>
      </c>
      <c r="CT12" s="74">
        <f>H12+ M12+ W12+ AG12+ AQ12+ BA12+ BK12+ BU12+ CE12+ CO12</f>
        <v/>
      </c>
      <c r="CU12" s="74">
        <f>CT12-CS12</f>
        <v/>
      </c>
      <c r="CV12" s="75">
        <f>IF(CS12=0,"",CT12/CS12)</f>
        <v/>
      </c>
      <c r="CW12" s="52" t="n"/>
      <c r="CX12" s="72" t="n"/>
      <c r="CY12" s="72" t="n"/>
      <c r="CZ12" s="72">
        <f>CY12-CX12</f>
        <v/>
      </c>
      <c r="DA12" s="73">
        <f>IF(CX12=0,"",CY12/CX12)</f>
        <v/>
      </c>
      <c r="DB12" s="46" t="n"/>
      <c r="DC12" s="74">
        <f>G12+ L12+ V12+ AF12+ AP12+ AZ12+ BJ12+ BT12+ CD12+ CN12+ CX12</f>
        <v/>
      </c>
      <c r="DD12" s="74">
        <f>H12+ M12+ W12+ AG12+ AQ12+ BA12+ BK12+ BU12+ CE12+ CO12+ CY12</f>
        <v/>
      </c>
      <c r="DE12" s="74">
        <f>DD12-DC12</f>
        <v/>
      </c>
      <c r="DF12" s="75">
        <f>IF(DC12=0,"",DD12/DC12)</f>
        <v/>
      </c>
      <c r="DG12" s="52" t="n"/>
      <c r="DH12" s="72" t="n"/>
      <c r="DI12" s="72" t="n"/>
      <c r="DJ12" s="72">
        <f>DI12-DH12</f>
        <v/>
      </c>
      <c r="DK12" s="73">
        <f>IF(DH12=0,"",DI12/DH12)</f>
        <v/>
      </c>
      <c r="DL12" s="46" t="n"/>
      <c r="DM12" s="74">
        <f>G12+ L12+ V12+ AF12+ AP12+ AZ12+ BJ12+ BT12+ CD12+ CN12+ CX12+ DH12</f>
        <v/>
      </c>
      <c r="DN12" s="74">
        <f>H12+ M12+ W12+ AG12+ AQ12+ BA12+ BK12+ BU12+ CE12+ CO12+ CY12+ DI12</f>
        <v/>
      </c>
      <c r="DO12" s="74">
        <f>DN12-DM12</f>
        <v/>
      </c>
      <c r="DP12" s="75">
        <f>IF(DM12=0,"",DN12/DM12)</f>
        <v/>
      </c>
      <c r="DQ12" s="52" t="n"/>
      <c r="DR12" s="72">
        <f>G12+L12+V12+AF12+AP12+AZ12+BJ12+BT12+CD12+CN12+CX12+DH12</f>
        <v/>
      </c>
    </row>
    <row r="13" ht="15" customHeight="1">
      <c r="A13" s="67" t="n"/>
      <c r="B13" s="67" t="n"/>
      <c r="C13" s="67" t="n"/>
      <c r="D13" s="46" t="n"/>
      <c r="E13" s="46" t="n"/>
      <c r="F13" s="47" t="n"/>
      <c r="G13" s="72" t="n"/>
      <c r="H13" s="72" t="n"/>
      <c r="I13" s="72">
        <f>H13-G13</f>
        <v/>
      </c>
      <c r="J13" s="73">
        <f>IF(G13=0,"",H13/G13)</f>
        <v/>
      </c>
      <c r="K13" s="46" t="n"/>
      <c r="L13" s="72" t="n"/>
      <c r="M13" s="72" t="n"/>
      <c r="N13" s="72">
        <f>M13-L13</f>
        <v/>
      </c>
      <c r="O13" s="73">
        <f>IF(L13=0,"",M13/L13)</f>
        <v/>
      </c>
      <c r="P13" s="46" t="n"/>
      <c r="Q13" s="74">
        <f>G13+ L13</f>
        <v/>
      </c>
      <c r="R13" s="74">
        <f>H13+ M13</f>
        <v/>
      </c>
      <c r="S13" s="74">
        <f>R13-Q13</f>
        <v/>
      </c>
      <c r="T13" s="75">
        <f>IF(Q13=0,"",R13/Q13)</f>
        <v/>
      </c>
      <c r="U13" s="52" t="n"/>
      <c r="V13" s="72" t="n"/>
      <c r="W13" s="72" t="n"/>
      <c r="X13" s="72">
        <f>W13-V13</f>
        <v/>
      </c>
      <c r="Y13" s="73">
        <f>IF(V13=0,"",W13/V13)</f>
        <v/>
      </c>
      <c r="Z13" s="46" t="n"/>
      <c r="AA13" s="74">
        <f>G13+ L13+ V13</f>
        <v/>
      </c>
      <c r="AB13" s="74">
        <f>H13+ M13+ W13</f>
        <v/>
      </c>
      <c r="AC13" s="74">
        <f>AB13-AA13</f>
        <v/>
      </c>
      <c r="AD13" s="75">
        <f>IF(AA13=0,"",AB13/AA13)</f>
        <v/>
      </c>
      <c r="AE13" s="52" t="n"/>
      <c r="AF13" s="72" t="n"/>
      <c r="AG13" s="72" t="n"/>
      <c r="AH13" s="72">
        <f>AG13-AF13</f>
        <v/>
      </c>
      <c r="AI13" s="73">
        <f>IF(AF13=0,"",AG13/AF13)</f>
        <v/>
      </c>
      <c r="AJ13" s="46" t="n"/>
      <c r="AK13" s="74">
        <f>G13+ L13+ V13+ AF13</f>
        <v/>
      </c>
      <c r="AL13" s="74">
        <f>H13+ M13+ W13+ AG13</f>
        <v/>
      </c>
      <c r="AM13" s="74">
        <f>AL13-AK13</f>
        <v/>
      </c>
      <c r="AN13" s="75">
        <f>IF(AK13=0,"",AL13/AK13)</f>
        <v/>
      </c>
      <c r="AO13" s="52" t="n"/>
      <c r="AP13" s="72" t="n"/>
      <c r="AQ13" s="72" t="n"/>
      <c r="AR13" s="72">
        <f>AQ13-AP13</f>
        <v/>
      </c>
      <c r="AS13" s="73">
        <f>IF(AP13=0,"",AQ13/AP13)</f>
        <v/>
      </c>
      <c r="AT13" s="46" t="n"/>
      <c r="AU13" s="74">
        <f>G13+ L13+ V13+ AF13+ AP13</f>
        <v/>
      </c>
      <c r="AV13" s="74">
        <f>H13+ M13+ W13+ AG13+ AQ13</f>
        <v/>
      </c>
      <c r="AW13" s="74">
        <f>AV13-AU13</f>
        <v/>
      </c>
      <c r="AX13" s="75">
        <f>IF(AU13=0,"",AV13/AU13)</f>
        <v/>
      </c>
      <c r="AY13" s="52" t="n"/>
      <c r="AZ13" s="72" t="n"/>
      <c r="BA13" s="72" t="n"/>
      <c r="BB13" s="72">
        <f>BA13-AZ13</f>
        <v/>
      </c>
      <c r="BC13" s="73">
        <f>IF(AZ13=0,"",BA13/AZ13)</f>
        <v/>
      </c>
      <c r="BD13" s="46" t="n"/>
      <c r="BE13" s="74">
        <f>G13+ L13+ V13+ AF13+ AP13+ AZ13</f>
        <v/>
      </c>
      <c r="BF13" s="74">
        <f>H13+ M13+ W13+ AG13+ AQ13+ BA13</f>
        <v/>
      </c>
      <c r="BG13" s="74">
        <f>BF13-BE13</f>
        <v/>
      </c>
      <c r="BH13" s="75">
        <f>IF(BE13=0,"",BF13/BE13)</f>
        <v/>
      </c>
      <c r="BI13" s="52" t="n"/>
      <c r="BJ13" s="72" t="n"/>
      <c r="BK13" s="72" t="n"/>
      <c r="BL13" s="72">
        <f>BK13-BJ13</f>
        <v/>
      </c>
      <c r="BM13" s="73">
        <f>IF(BJ13=0,"",BK13/BJ13)</f>
        <v/>
      </c>
      <c r="BN13" s="46" t="n"/>
      <c r="BO13" s="74">
        <f>G13+ L13+ V13+ AF13+ AP13+ AZ13+ BJ13</f>
        <v/>
      </c>
      <c r="BP13" s="74">
        <f>H13+ M13+ W13+ AG13+ AQ13+ BA13+ BK13</f>
        <v/>
      </c>
      <c r="BQ13" s="74">
        <f>BP13-BO13</f>
        <v/>
      </c>
      <c r="BR13" s="75">
        <f>IF(BO13=0,"",BP13/BO13)</f>
        <v/>
      </c>
      <c r="BS13" s="52" t="n"/>
      <c r="BT13" s="72" t="n"/>
      <c r="BU13" s="72" t="n"/>
      <c r="BV13" s="72">
        <f>BU13-BT13</f>
        <v/>
      </c>
      <c r="BW13" s="73">
        <f>IF(BT13=0,"",BU13/BT13)</f>
        <v/>
      </c>
      <c r="BX13" s="46" t="n"/>
      <c r="BY13" s="74">
        <f>G13+ L13+ V13+ AF13+ AP13+ AZ13+ BJ13+ BT13</f>
        <v/>
      </c>
      <c r="BZ13" s="74">
        <f>H13+ M13+ W13+ AG13+ AQ13+ BA13+ BK13+ BU13</f>
        <v/>
      </c>
      <c r="CA13" s="74">
        <f>BZ13-BY13</f>
        <v/>
      </c>
      <c r="CB13" s="75">
        <f>IF(BY13=0,"",BZ13/BY13)</f>
        <v/>
      </c>
      <c r="CC13" s="52" t="n"/>
      <c r="CD13" s="72" t="n"/>
      <c r="CE13" s="72" t="n"/>
      <c r="CF13" s="72">
        <f>CE13-CD13</f>
        <v/>
      </c>
      <c r="CG13" s="73">
        <f>IF(CD13=0,"",CE13/CD13)</f>
        <v/>
      </c>
      <c r="CH13" s="46" t="n"/>
      <c r="CI13" s="74">
        <f>G13+ L13+ V13+ AF13+ AP13+ AZ13+ BJ13+ BT13+ CD13</f>
        <v/>
      </c>
      <c r="CJ13" s="74">
        <f>H13+ M13+ W13+ AG13+ AQ13+ BA13+ BK13+ BU13+ CE13</f>
        <v/>
      </c>
      <c r="CK13" s="74">
        <f>CJ13-CI13</f>
        <v/>
      </c>
      <c r="CL13" s="75">
        <f>IF(CI13=0,"",CJ13/CI13)</f>
        <v/>
      </c>
      <c r="CM13" s="52" t="n"/>
      <c r="CN13" s="72" t="n"/>
      <c r="CO13" s="72" t="n"/>
      <c r="CP13" s="72">
        <f>CO13-CN13</f>
        <v/>
      </c>
      <c r="CQ13" s="73">
        <f>IF(CN13=0,"",CO13/CN13)</f>
        <v/>
      </c>
      <c r="CR13" s="46" t="n"/>
      <c r="CS13" s="74">
        <f>G13+ L13+ V13+ AF13+ AP13+ AZ13+ BJ13+ BT13+ CD13+ CN13</f>
        <v/>
      </c>
      <c r="CT13" s="74">
        <f>H13+ M13+ W13+ AG13+ AQ13+ BA13+ BK13+ BU13+ CE13+ CO13</f>
        <v/>
      </c>
      <c r="CU13" s="74">
        <f>CT13-CS13</f>
        <v/>
      </c>
      <c r="CV13" s="75">
        <f>IF(CS13=0,"",CT13/CS13)</f>
        <v/>
      </c>
      <c r="CW13" s="52" t="n"/>
      <c r="CX13" s="72" t="n"/>
      <c r="CY13" s="72" t="n"/>
      <c r="CZ13" s="72">
        <f>CY13-CX13</f>
        <v/>
      </c>
      <c r="DA13" s="73">
        <f>IF(CX13=0,"",CY13/CX13)</f>
        <v/>
      </c>
      <c r="DB13" s="46" t="n"/>
      <c r="DC13" s="74">
        <f>G13+ L13+ V13+ AF13+ AP13+ AZ13+ BJ13+ BT13+ CD13+ CN13+ CX13</f>
        <v/>
      </c>
      <c r="DD13" s="74">
        <f>H13+ M13+ W13+ AG13+ AQ13+ BA13+ BK13+ BU13+ CE13+ CO13+ CY13</f>
        <v/>
      </c>
      <c r="DE13" s="74">
        <f>DD13-DC13</f>
        <v/>
      </c>
      <c r="DF13" s="75">
        <f>IF(DC13=0,"",DD13/DC13)</f>
        <v/>
      </c>
      <c r="DG13" s="52" t="n"/>
      <c r="DH13" s="72" t="n"/>
      <c r="DI13" s="72" t="n"/>
      <c r="DJ13" s="72">
        <f>DI13-DH13</f>
        <v/>
      </c>
      <c r="DK13" s="73">
        <f>IF(DH13=0,"",DI13/DH13)</f>
        <v/>
      </c>
      <c r="DL13" s="46" t="n"/>
      <c r="DM13" s="74">
        <f>G13+ L13+ V13+ AF13+ AP13+ AZ13+ BJ13+ BT13+ CD13+ CN13+ CX13+ DH13</f>
        <v/>
      </c>
      <c r="DN13" s="74">
        <f>H13+ M13+ W13+ AG13+ AQ13+ BA13+ BK13+ BU13+ CE13+ CO13+ CY13+ DI13</f>
        <v/>
      </c>
      <c r="DO13" s="74">
        <f>DN13-DM13</f>
        <v/>
      </c>
      <c r="DP13" s="75">
        <f>IF(DM13=0,"",DN13/DM13)</f>
        <v/>
      </c>
      <c r="DQ13" s="52" t="n"/>
      <c r="DR13" s="72">
        <f>G13+L13+V13+AF13+AP13+AZ13+BJ13+BT13+CD13+CN13+CX13+DH13</f>
        <v/>
      </c>
    </row>
    <row r="14" ht="15" customHeight="1">
      <c r="A14" s="55" t="n"/>
      <c r="B14" s="55" t="n"/>
      <c r="C14" s="55" t="n"/>
      <c r="D14" s="46" t="n"/>
      <c r="E14" s="46" t="n"/>
      <c r="F14" s="47" t="n"/>
      <c r="G14" s="72" t="n"/>
      <c r="H14" s="72" t="n"/>
      <c r="I14" s="72">
        <f>H14-G14</f>
        <v/>
      </c>
      <c r="J14" s="73">
        <f>IF(G14=0,"",H14/G14)</f>
        <v/>
      </c>
      <c r="K14" s="46" t="n"/>
      <c r="L14" s="72" t="n"/>
      <c r="M14" s="72" t="n"/>
      <c r="N14" s="72">
        <f>M14-L14</f>
        <v/>
      </c>
      <c r="O14" s="73">
        <f>IF(L14=0,"",M14/L14)</f>
        <v/>
      </c>
      <c r="P14" s="46" t="n"/>
      <c r="Q14" s="74">
        <f>G14+ L14</f>
        <v/>
      </c>
      <c r="R14" s="74">
        <f>H14+ M14</f>
        <v/>
      </c>
      <c r="S14" s="74">
        <f>R14-Q14</f>
        <v/>
      </c>
      <c r="T14" s="75">
        <f>IF(Q14=0,"",R14/Q14)</f>
        <v/>
      </c>
      <c r="U14" s="52" t="n"/>
      <c r="V14" s="72" t="n"/>
      <c r="W14" s="72" t="n"/>
      <c r="X14" s="72">
        <f>W14-V14</f>
        <v/>
      </c>
      <c r="Y14" s="73">
        <f>IF(V14=0,"",W14/V14)</f>
        <v/>
      </c>
      <c r="Z14" s="46" t="n"/>
      <c r="AA14" s="74">
        <f>G14+ L14+ V14</f>
        <v/>
      </c>
      <c r="AB14" s="74">
        <f>H14+ M14+ W14</f>
        <v/>
      </c>
      <c r="AC14" s="74">
        <f>AB14-AA14</f>
        <v/>
      </c>
      <c r="AD14" s="75">
        <f>IF(AA14=0,"",AB14/AA14)</f>
        <v/>
      </c>
      <c r="AE14" s="52" t="n"/>
      <c r="AF14" s="72" t="n"/>
      <c r="AG14" s="72" t="n"/>
      <c r="AH14" s="72">
        <f>AG14-AF14</f>
        <v/>
      </c>
      <c r="AI14" s="73">
        <f>IF(AF14=0,"",AG14/AF14)</f>
        <v/>
      </c>
      <c r="AJ14" s="46" t="n"/>
      <c r="AK14" s="74">
        <f>G14+ L14+ V14+ AF14</f>
        <v/>
      </c>
      <c r="AL14" s="74">
        <f>H14+ M14+ W14+ AG14</f>
        <v/>
      </c>
      <c r="AM14" s="74">
        <f>AL14-AK14</f>
        <v/>
      </c>
      <c r="AN14" s="75">
        <f>IF(AK14=0,"",AL14/AK14)</f>
        <v/>
      </c>
      <c r="AO14" s="52" t="n"/>
      <c r="AP14" s="72" t="n"/>
      <c r="AQ14" s="72" t="n"/>
      <c r="AR14" s="72">
        <f>AQ14-AP14</f>
        <v/>
      </c>
      <c r="AS14" s="73">
        <f>IF(AP14=0,"",AQ14/AP14)</f>
        <v/>
      </c>
      <c r="AT14" s="46" t="n"/>
      <c r="AU14" s="74">
        <f>G14+ L14+ V14+ AF14+ AP14</f>
        <v/>
      </c>
      <c r="AV14" s="74">
        <f>H14+ M14+ W14+ AG14+ AQ14</f>
        <v/>
      </c>
      <c r="AW14" s="74">
        <f>AV14-AU14</f>
        <v/>
      </c>
      <c r="AX14" s="75">
        <f>IF(AU14=0,"",AV14/AU14)</f>
        <v/>
      </c>
      <c r="AY14" s="52" t="n"/>
      <c r="AZ14" s="72" t="n"/>
      <c r="BA14" s="72" t="n"/>
      <c r="BB14" s="72">
        <f>BA14-AZ14</f>
        <v/>
      </c>
      <c r="BC14" s="73">
        <f>IF(AZ14=0,"",BA14/AZ14)</f>
        <v/>
      </c>
      <c r="BD14" s="46" t="n"/>
      <c r="BE14" s="74">
        <f>G14+ L14+ V14+ AF14+ AP14+ AZ14</f>
        <v/>
      </c>
      <c r="BF14" s="74">
        <f>H14+ M14+ W14+ AG14+ AQ14+ BA14</f>
        <v/>
      </c>
      <c r="BG14" s="74">
        <f>BF14-BE14</f>
        <v/>
      </c>
      <c r="BH14" s="75">
        <f>IF(BE14=0,"",BF14/BE14)</f>
        <v/>
      </c>
      <c r="BI14" s="52" t="n"/>
      <c r="BJ14" s="72" t="n"/>
      <c r="BK14" s="72" t="n"/>
      <c r="BL14" s="72">
        <f>BK14-BJ14</f>
        <v/>
      </c>
      <c r="BM14" s="73">
        <f>IF(BJ14=0,"",BK14/BJ14)</f>
        <v/>
      </c>
      <c r="BN14" s="46" t="n"/>
      <c r="BO14" s="74">
        <f>G14+ L14+ V14+ AF14+ AP14+ AZ14+ BJ14</f>
        <v/>
      </c>
      <c r="BP14" s="74">
        <f>H14+ M14+ W14+ AG14+ AQ14+ BA14+ BK14</f>
        <v/>
      </c>
      <c r="BQ14" s="74">
        <f>BP14-BO14</f>
        <v/>
      </c>
      <c r="BR14" s="75">
        <f>IF(BO14=0,"",BP14/BO14)</f>
        <v/>
      </c>
      <c r="BS14" s="52" t="n"/>
      <c r="BT14" s="72" t="n"/>
      <c r="BU14" s="72" t="n"/>
      <c r="BV14" s="72">
        <f>BU14-BT14</f>
        <v/>
      </c>
      <c r="BW14" s="73">
        <f>IF(BT14=0,"",BU14/BT14)</f>
        <v/>
      </c>
      <c r="BX14" s="46" t="n"/>
      <c r="BY14" s="74">
        <f>G14+ L14+ V14+ AF14+ AP14+ AZ14+ BJ14+ BT14</f>
        <v/>
      </c>
      <c r="BZ14" s="74">
        <f>H14+ M14+ W14+ AG14+ AQ14+ BA14+ BK14+ BU14</f>
        <v/>
      </c>
      <c r="CA14" s="74">
        <f>BZ14-BY14</f>
        <v/>
      </c>
      <c r="CB14" s="75">
        <f>IF(BY14=0,"",BZ14/BY14)</f>
        <v/>
      </c>
      <c r="CC14" s="52" t="n"/>
      <c r="CD14" s="72" t="n"/>
      <c r="CE14" s="72" t="n"/>
      <c r="CF14" s="72">
        <f>CE14-CD14</f>
        <v/>
      </c>
      <c r="CG14" s="73">
        <f>IF(CD14=0,"",CE14/CD14)</f>
        <v/>
      </c>
      <c r="CH14" s="46" t="n"/>
      <c r="CI14" s="74">
        <f>G14+ L14+ V14+ AF14+ AP14+ AZ14+ BJ14+ BT14+ CD14</f>
        <v/>
      </c>
      <c r="CJ14" s="74">
        <f>H14+ M14+ W14+ AG14+ AQ14+ BA14+ BK14+ BU14+ CE14</f>
        <v/>
      </c>
      <c r="CK14" s="74">
        <f>CJ14-CI14</f>
        <v/>
      </c>
      <c r="CL14" s="75">
        <f>IF(CI14=0,"",CJ14/CI14)</f>
        <v/>
      </c>
      <c r="CM14" s="52" t="n"/>
      <c r="CN14" s="72" t="n"/>
      <c r="CO14" s="72" t="n"/>
      <c r="CP14" s="72">
        <f>CO14-CN14</f>
        <v/>
      </c>
      <c r="CQ14" s="73">
        <f>IF(CN14=0,"",CO14/CN14)</f>
        <v/>
      </c>
      <c r="CR14" s="46" t="n"/>
      <c r="CS14" s="74">
        <f>G14+ L14+ V14+ AF14+ AP14+ AZ14+ BJ14+ BT14+ CD14+ CN14</f>
        <v/>
      </c>
      <c r="CT14" s="74">
        <f>H14+ M14+ W14+ AG14+ AQ14+ BA14+ BK14+ BU14+ CE14+ CO14</f>
        <v/>
      </c>
      <c r="CU14" s="74">
        <f>CT14-CS14</f>
        <v/>
      </c>
      <c r="CV14" s="75">
        <f>IF(CS14=0,"",CT14/CS14)</f>
        <v/>
      </c>
      <c r="CW14" s="52" t="n"/>
      <c r="CX14" s="72" t="n"/>
      <c r="CY14" s="72" t="n"/>
      <c r="CZ14" s="72">
        <f>CY14-CX14</f>
        <v/>
      </c>
      <c r="DA14" s="73">
        <f>IF(CX14=0,"",CY14/CX14)</f>
        <v/>
      </c>
      <c r="DB14" s="46" t="n"/>
      <c r="DC14" s="74">
        <f>G14+ L14+ V14+ AF14+ AP14+ AZ14+ BJ14+ BT14+ CD14+ CN14+ CX14</f>
        <v/>
      </c>
      <c r="DD14" s="74">
        <f>H14+ M14+ W14+ AG14+ AQ14+ BA14+ BK14+ BU14+ CE14+ CO14+ CY14</f>
        <v/>
      </c>
      <c r="DE14" s="74">
        <f>DD14-DC14</f>
        <v/>
      </c>
      <c r="DF14" s="75">
        <f>IF(DC14=0,"",DD14/DC14)</f>
        <v/>
      </c>
      <c r="DG14" s="52" t="n"/>
      <c r="DH14" s="72" t="n"/>
      <c r="DI14" s="72" t="n"/>
      <c r="DJ14" s="72">
        <f>DI14-DH14</f>
        <v/>
      </c>
      <c r="DK14" s="73">
        <f>IF(DH14=0,"",DI14/DH14)</f>
        <v/>
      </c>
      <c r="DL14" s="46" t="n"/>
      <c r="DM14" s="74">
        <f>G14+ L14+ V14+ AF14+ AP14+ AZ14+ BJ14+ BT14+ CD14+ CN14+ CX14+ DH14</f>
        <v/>
      </c>
      <c r="DN14" s="74">
        <f>H14+ M14+ W14+ AG14+ AQ14+ BA14+ BK14+ BU14+ CE14+ CO14+ CY14+ DI14</f>
        <v/>
      </c>
      <c r="DO14" s="74">
        <f>DN14-DM14</f>
        <v/>
      </c>
      <c r="DP14" s="75">
        <f>IF(DM14=0,"",DN14/DM14)</f>
        <v/>
      </c>
      <c r="DQ14" s="52" t="n"/>
      <c r="DR14" s="72">
        <f>G14+L14+V14+AF14+AP14+AZ14+BJ14+BT14+CD14+CN14+CX14+DH14</f>
        <v/>
      </c>
    </row>
    <row r="15" ht="15" customHeight="1">
      <c r="A15" s="45" t="n"/>
      <c r="B15" s="45" t="n"/>
      <c r="C15" s="46" t="n"/>
      <c r="D15" s="46" t="n"/>
      <c r="E15" s="46" t="n"/>
      <c r="F15" s="47" t="n"/>
      <c r="G15" s="72" t="n"/>
      <c r="H15" s="72" t="n"/>
      <c r="I15" s="72">
        <f>H15-G15</f>
        <v/>
      </c>
      <c r="J15" s="73">
        <f>IF(G15=0,"",H15/G15)</f>
        <v/>
      </c>
      <c r="K15" s="46" t="n"/>
      <c r="L15" s="72" t="n"/>
      <c r="M15" s="72" t="n"/>
      <c r="N15" s="72">
        <f>M15-L15</f>
        <v/>
      </c>
      <c r="O15" s="73">
        <f>IF(L15=0,"",M15/L15)</f>
        <v/>
      </c>
      <c r="P15" s="46" t="n"/>
      <c r="Q15" s="74">
        <f>G15+ L15</f>
        <v/>
      </c>
      <c r="R15" s="74">
        <f>H15+ M15</f>
        <v/>
      </c>
      <c r="S15" s="74">
        <f>R15-Q15</f>
        <v/>
      </c>
      <c r="T15" s="75">
        <f>IF(Q15=0,"",R15/Q15)</f>
        <v/>
      </c>
      <c r="U15" s="52" t="n"/>
      <c r="V15" s="72" t="n"/>
      <c r="W15" s="72" t="n"/>
      <c r="X15" s="72">
        <f>W15-V15</f>
        <v/>
      </c>
      <c r="Y15" s="73">
        <f>IF(V15=0,"",W15/V15)</f>
        <v/>
      </c>
      <c r="Z15" s="46" t="n"/>
      <c r="AA15" s="74">
        <f>G15+ L15+ V15</f>
        <v/>
      </c>
      <c r="AB15" s="74">
        <f>H15+ M15+ W15</f>
        <v/>
      </c>
      <c r="AC15" s="74">
        <f>AB15-AA15</f>
        <v/>
      </c>
      <c r="AD15" s="75">
        <f>IF(AA15=0,"",AB15/AA15)</f>
        <v/>
      </c>
      <c r="AE15" s="52" t="n"/>
      <c r="AF15" s="72" t="n"/>
      <c r="AG15" s="72" t="n"/>
      <c r="AH15" s="72">
        <f>AG15-AF15</f>
        <v/>
      </c>
      <c r="AI15" s="73">
        <f>IF(AF15=0,"",AG15/AF15)</f>
        <v/>
      </c>
      <c r="AJ15" s="46" t="n"/>
      <c r="AK15" s="74">
        <f>G15+ L15+ V15+ AF15</f>
        <v/>
      </c>
      <c r="AL15" s="74">
        <f>H15+ M15+ W15+ AG15</f>
        <v/>
      </c>
      <c r="AM15" s="74">
        <f>AL15-AK15</f>
        <v/>
      </c>
      <c r="AN15" s="75">
        <f>IF(AK15=0,"",AL15/AK15)</f>
        <v/>
      </c>
      <c r="AO15" s="52" t="n"/>
      <c r="AP15" s="72" t="n"/>
      <c r="AQ15" s="72" t="n"/>
      <c r="AR15" s="72">
        <f>AQ15-AP15</f>
        <v/>
      </c>
      <c r="AS15" s="73">
        <f>IF(AP15=0,"",AQ15/AP15)</f>
        <v/>
      </c>
      <c r="AT15" s="46" t="n"/>
      <c r="AU15" s="74">
        <f>G15+ L15+ V15+ AF15+ AP15</f>
        <v/>
      </c>
      <c r="AV15" s="74">
        <f>H15+ M15+ W15+ AG15+ AQ15</f>
        <v/>
      </c>
      <c r="AW15" s="74">
        <f>AV15-AU15</f>
        <v/>
      </c>
      <c r="AX15" s="75">
        <f>IF(AU15=0,"",AV15/AU15)</f>
        <v/>
      </c>
      <c r="AY15" s="52" t="n"/>
      <c r="AZ15" s="72" t="n"/>
      <c r="BA15" s="72" t="n"/>
      <c r="BB15" s="72">
        <f>BA15-AZ15</f>
        <v/>
      </c>
      <c r="BC15" s="73">
        <f>IF(AZ15=0,"",BA15/AZ15)</f>
        <v/>
      </c>
      <c r="BD15" s="46" t="n"/>
      <c r="BE15" s="74">
        <f>G15+ L15+ V15+ AF15+ AP15+ AZ15</f>
        <v/>
      </c>
      <c r="BF15" s="74">
        <f>H15+ M15+ W15+ AG15+ AQ15+ BA15</f>
        <v/>
      </c>
      <c r="BG15" s="74">
        <f>BF15-BE15</f>
        <v/>
      </c>
      <c r="BH15" s="75">
        <f>IF(BE15=0,"",BF15/BE15)</f>
        <v/>
      </c>
      <c r="BI15" s="52" t="n"/>
      <c r="BJ15" s="72" t="n"/>
      <c r="BK15" s="72" t="n"/>
      <c r="BL15" s="72">
        <f>BK15-BJ15</f>
        <v/>
      </c>
      <c r="BM15" s="73">
        <f>IF(BJ15=0,"",BK15/BJ15)</f>
        <v/>
      </c>
      <c r="BN15" s="46" t="n"/>
      <c r="BO15" s="74">
        <f>G15+ L15+ V15+ AF15+ AP15+ AZ15+ BJ15</f>
        <v/>
      </c>
      <c r="BP15" s="74">
        <f>H15+ M15+ W15+ AG15+ AQ15+ BA15+ BK15</f>
        <v/>
      </c>
      <c r="BQ15" s="74">
        <f>BP15-BO15</f>
        <v/>
      </c>
      <c r="BR15" s="75">
        <f>IF(BO15=0,"",BP15/BO15)</f>
        <v/>
      </c>
      <c r="BS15" s="52" t="n"/>
      <c r="BT15" s="72" t="n"/>
      <c r="BU15" s="72" t="n"/>
      <c r="BV15" s="72">
        <f>BU15-BT15</f>
        <v/>
      </c>
      <c r="BW15" s="73">
        <f>IF(BT15=0,"",BU15/BT15)</f>
        <v/>
      </c>
      <c r="BX15" s="46" t="n"/>
      <c r="BY15" s="74">
        <f>G15+ L15+ V15+ AF15+ AP15+ AZ15+ BJ15+ BT15</f>
        <v/>
      </c>
      <c r="BZ15" s="74">
        <f>H15+ M15+ W15+ AG15+ AQ15+ BA15+ BK15+ BU15</f>
        <v/>
      </c>
      <c r="CA15" s="74">
        <f>BZ15-BY15</f>
        <v/>
      </c>
      <c r="CB15" s="75">
        <f>IF(BY15=0,"",BZ15/BY15)</f>
        <v/>
      </c>
      <c r="CC15" s="52" t="n"/>
      <c r="CD15" s="72" t="n"/>
      <c r="CE15" s="72" t="n"/>
      <c r="CF15" s="72">
        <f>CE15-CD15</f>
        <v/>
      </c>
      <c r="CG15" s="73">
        <f>IF(CD15=0,"",CE15/CD15)</f>
        <v/>
      </c>
      <c r="CH15" s="46" t="n"/>
      <c r="CI15" s="74">
        <f>G15+ L15+ V15+ AF15+ AP15+ AZ15+ BJ15+ BT15+ CD15</f>
        <v/>
      </c>
      <c r="CJ15" s="74">
        <f>H15+ M15+ W15+ AG15+ AQ15+ BA15+ BK15+ BU15+ CE15</f>
        <v/>
      </c>
      <c r="CK15" s="74">
        <f>CJ15-CI15</f>
        <v/>
      </c>
      <c r="CL15" s="75">
        <f>IF(CI15=0,"",CJ15/CI15)</f>
        <v/>
      </c>
      <c r="CM15" s="52" t="n"/>
      <c r="CN15" s="72" t="n"/>
      <c r="CO15" s="72" t="n"/>
      <c r="CP15" s="72">
        <f>CO15-CN15</f>
        <v/>
      </c>
      <c r="CQ15" s="73">
        <f>IF(CN15=0,"",CO15/CN15)</f>
        <v/>
      </c>
      <c r="CR15" s="46" t="n"/>
      <c r="CS15" s="74">
        <f>G15+ L15+ V15+ AF15+ AP15+ AZ15+ BJ15+ BT15+ CD15+ CN15</f>
        <v/>
      </c>
      <c r="CT15" s="74">
        <f>H15+ M15+ W15+ AG15+ AQ15+ BA15+ BK15+ BU15+ CE15+ CO15</f>
        <v/>
      </c>
      <c r="CU15" s="74">
        <f>CT15-CS15</f>
        <v/>
      </c>
      <c r="CV15" s="75">
        <f>IF(CS15=0,"",CT15/CS15)</f>
        <v/>
      </c>
      <c r="CW15" s="52" t="n"/>
      <c r="CX15" s="72" t="n"/>
      <c r="CY15" s="72" t="n"/>
      <c r="CZ15" s="72">
        <f>CY15-CX15</f>
        <v/>
      </c>
      <c r="DA15" s="73">
        <f>IF(CX15=0,"",CY15/CX15)</f>
        <v/>
      </c>
      <c r="DB15" s="46" t="n"/>
      <c r="DC15" s="74">
        <f>G15+ L15+ V15+ AF15+ AP15+ AZ15+ BJ15+ BT15+ CD15+ CN15+ CX15</f>
        <v/>
      </c>
      <c r="DD15" s="74">
        <f>H15+ M15+ W15+ AG15+ AQ15+ BA15+ BK15+ BU15+ CE15+ CO15+ CY15</f>
        <v/>
      </c>
      <c r="DE15" s="74">
        <f>DD15-DC15</f>
        <v/>
      </c>
      <c r="DF15" s="75">
        <f>IF(DC15=0,"",DD15/DC15)</f>
        <v/>
      </c>
      <c r="DG15" s="52" t="n"/>
      <c r="DH15" s="72" t="n"/>
      <c r="DI15" s="72" t="n"/>
      <c r="DJ15" s="72">
        <f>DI15-DH15</f>
        <v/>
      </c>
      <c r="DK15" s="73">
        <f>IF(DH15=0,"",DI15/DH15)</f>
        <v/>
      </c>
      <c r="DL15" s="46" t="n"/>
      <c r="DM15" s="74">
        <f>G15+ L15+ V15+ AF15+ AP15+ AZ15+ BJ15+ BT15+ CD15+ CN15+ CX15+ DH15</f>
        <v/>
      </c>
      <c r="DN15" s="74">
        <f>H15+ M15+ W15+ AG15+ AQ15+ BA15+ BK15+ BU15+ CE15+ CO15+ CY15+ DI15</f>
        <v/>
      </c>
      <c r="DO15" s="74">
        <f>DN15-DM15</f>
        <v/>
      </c>
      <c r="DP15" s="75">
        <f>IF(DM15=0,"",DN15/DM15)</f>
        <v/>
      </c>
      <c r="DQ15" s="52" t="n"/>
      <c r="DR15" s="72">
        <f>G15+L15+V15+AF15+AP15+AZ15+BJ15+BT15+CD15+CN15+CX15+DH15</f>
        <v/>
      </c>
    </row>
    <row r="16" ht="15" customHeight="1">
      <c r="A16" s="67" t="n"/>
      <c r="B16" s="67" t="n"/>
      <c r="C16" s="67" t="n"/>
      <c r="D16" s="46" t="n"/>
      <c r="E16" s="46" t="n"/>
      <c r="F16" s="47" t="n"/>
      <c r="G16" s="72" t="n"/>
      <c r="H16" s="72" t="n"/>
      <c r="I16" s="72">
        <f>H16-G16</f>
        <v/>
      </c>
      <c r="J16" s="73">
        <f>IF(G16=0,"",H16/G16)</f>
        <v/>
      </c>
      <c r="K16" s="46" t="n"/>
      <c r="L16" s="72" t="n"/>
      <c r="M16" s="72" t="n"/>
      <c r="N16" s="72">
        <f>M16-L16</f>
        <v/>
      </c>
      <c r="O16" s="73">
        <f>IF(L16=0,"",M16/L16)</f>
        <v/>
      </c>
      <c r="P16" s="46" t="n"/>
      <c r="Q16" s="74">
        <f>G16+ L16</f>
        <v/>
      </c>
      <c r="R16" s="74">
        <f>H16+ M16</f>
        <v/>
      </c>
      <c r="S16" s="74">
        <f>R16-Q16</f>
        <v/>
      </c>
      <c r="T16" s="75">
        <f>IF(Q16=0,"",R16/Q16)</f>
        <v/>
      </c>
      <c r="U16" s="52" t="n"/>
      <c r="V16" s="72" t="n"/>
      <c r="W16" s="72" t="n"/>
      <c r="X16" s="72">
        <f>W16-V16</f>
        <v/>
      </c>
      <c r="Y16" s="73">
        <f>IF(V16=0,"",W16/V16)</f>
        <v/>
      </c>
      <c r="Z16" s="46" t="n"/>
      <c r="AA16" s="74">
        <f>G16+ L16+ V16</f>
        <v/>
      </c>
      <c r="AB16" s="74">
        <f>H16+ M16+ W16</f>
        <v/>
      </c>
      <c r="AC16" s="74">
        <f>AB16-AA16</f>
        <v/>
      </c>
      <c r="AD16" s="75">
        <f>IF(AA16=0,"",AB16/AA16)</f>
        <v/>
      </c>
      <c r="AE16" s="52" t="n"/>
      <c r="AF16" s="72" t="n"/>
      <c r="AG16" s="72" t="n"/>
      <c r="AH16" s="72">
        <f>AG16-AF16</f>
        <v/>
      </c>
      <c r="AI16" s="73">
        <f>IF(AF16=0,"",AG16/AF16)</f>
        <v/>
      </c>
      <c r="AJ16" s="46" t="n"/>
      <c r="AK16" s="74">
        <f>G16+ L16+ V16+ AF16</f>
        <v/>
      </c>
      <c r="AL16" s="74">
        <f>H16+ M16+ W16+ AG16</f>
        <v/>
      </c>
      <c r="AM16" s="74">
        <f>AL16-AK16</f>
        <v/>
      </c>
      <c r="AN16" s="75">
        <f>IF(AK16=0,"",AL16/AK16)</f>
        <v/>
      </c>
      <c r="AO16" s="52" t="n"/>
      <c r="AP16" s="72" t="n"/>
      <c r="AQ16" s="72" t="n"/>
      <c r="AR16" s="72">
        <f>AQ16-AP16</f>
        <v/>
      </c>
      <c r="AS16" s="73">
        <f>IF(AP16=0,"",AQ16/AP16)</f>
        <v/>
      </c>
      <c r="AT16" s="46" t="n"/>
      <c r="AU16" s="74">
        <f>G16+ L16+ V16+ AF16+ AP16</f>
        <v/>
      </c>
      <c r="AV16" s="74">
        <f>H16+ M16+ W16+ AG16+ AQ16</f>
        <v/>
      </c>
      <c r="AW16" s="74">
        <f>AV16-AU16</f>
        <v/>
      </c>
      <c r="AX16" s="75">
        <f>IF(AU16=0,"",AV16/AU16)</f>
        <v/>
      </c>
      <c r="AY16" s="52" t="n"/>
      <c r="AZ16" s="72" t="n"/>
      <c r="BA16" s="72" t="n"/>
      <c r="BB16" s="72">
        <f>BA16-AZ16</f>
        <v/>
      </c>
      <c r="BC16" s="73">
        <f>IF(AZ16=0,"",BA16/AZ16)</f>
        <v/>
      </c>
      <c r="BD16" s="46" t="n"/>
      <c r="BE16" s="74">
        <f>G16+ L16+ V16+ AF16+ AP16+ AZ16</f>
        <v/>
      </c>
      <c r="BF16" s="74">
        <f>H16+ M16+ W16+ AG16+ AQ16+ BA16</f>
        <v/>
      </c>
      <c r="BG16" s="74">
        <f>BF16-BE16</f>
        <v/>
      </c>
      <c r="BH16" s="75">
        <f>IF(BE16=0,"",BF16/BE16)</f>
        <v/>
      </c>
      <c r="BI16" s="52" t="n"/>
      <c r="BJ16" s="72" t="n"/>
      <c r="BK16" s="72" t="n"/>
      <c r="BL16" s="72">
        <f>BK16-BJ16</f>
        <v/>
      </c>
      <c r="BM16" s="73">
        <f>IF(BJ16=0,"",BK16/BJ16)</f>
        <v/>
      </c>
      <c r="BN16" s="46" t="n"/>
      <c r="BO16" s="74">
        <f>G16+ L16+ V16+ AF16+ AP16+ AZ16+ BJ16</f>
        <v/>
      </c>
      <c r="BP16" s="74">
        <f>H16+ M16+ W16+ AG16+ AQ16+ BA16+ BK16</f>
        <v/>
      </c>
      <c r="BQ16" s="74">
        <f>BP16-BO16</f>
        <v/>
      </c>
      <c r="BR16" s="75">
        <f>IF(BO16=0,"",BP16/BO16)</f>
        <v/>
      </c>
      <c r="BS16" s="52" t="n"/>
      <c r="BT16" s="72" t="n"/>
      <c r="BU16" s="72" t="n"/>
      <c r="BV16" s="72">
        <f>BU16-BT16</f>
        <v/>
      </c>
      <c r="BW16" s="73">
        <f>IF(BT16=0,"",BU16/BT16)</f>
        <v/>
      </c>
      <c r="BX16" s="46" t="n"/>
      <c r="BY16" s="74">
        <f>G16+ L16+ V16+ AF16+ AP16+ AZ16+ BJ16+ BT16</f>
        <v/>
      </c>
      <c r="BZ16" s="74">
        <f>H16+ M16+ W16+ AG16+ AQ16+ BA16+ BK16+ BU16</f>
        <v/>
      </c>
      <c r="CA16" s="74">
        <f>BZ16-BY16</f>
        <v/>
      </c>
      <c r="CB16" s="75">
        <f>IF(BY16=0,"",BZ16/BY16)</f>
        <v/>
      </c>
      <c r="CC16" s="52" t="n"/>
      <c r="CD16" s="72" t="n"/>
      <c r="CE16" s="72" t="n"/>
      <c r="CF16" s="72">
        <f>CE16-CD16</f>
        <v/>
      </c>
      <c r="CG16" s="73">
        <f>IF(CD16=0,"",CE16/CD16)</f>
        <v/>
      </c>
      <c r="CH16" s="46" t="n"/>
      <c r="CI16" s="74">
        <f>G16+ L16+ V16+ AF16+ AP16+ AZ16+ BJ16+ BT16+ CD16</f>
        <v/>
      </c>
      <c r="CJ16" s="74">
        <f>H16+ M16+ W16+ AG16+ AQ16+ BA16+ BK16+ BU16+ CE16</f>
        <v/>
      </c>
      <c r="CK16" s="74">
        <f>CJ16-CI16</f>
        <v/>
      </c>
      <c r="CL16" s="75">
        <f>IF(CI16=0,"",CJ16/CI16)</f>
        <v/>
      </c>
      <c r="CM16" s="52" t="n"/>
      <c r="CN16" s="72" t="n"/>
      <c r="CO16" s="72" t="n"/>
      <c r="CP16" s="72">
        <f>CO16-CN16</f>
        <v/>
      </c>
      <c r="CQ16" s="73">
        <f>IF(CN16=0,"",CO16/CN16)</f>
        <v/>
      </c>
      <c r="CR16" s="46" t="n"/>
      <c r="CS16" s="74">
        <f>G16+ L16+ V16+ AF16+ AP16+ AZ16+ BJ16+ BT16+ CD16+ CN16</f>
        <v/>
      </c>
      <c r="CT16" s="74">
        <f>H16+ M16+ W16+ AG16+ AQ16+ BA16+ BK16+ BU16+ CE16+ CO16</f>
        <v/>
      </c>
      <c r="CU16" s="74">
        <f>CT16-CS16</f>
        <v/>
      </c>
      <c r="CV16" s="75">
        <f>IF(CS16=0,"",CT16/CS16)</f>
        <v/>
      </c>
      <c r="CW16" s="52" t="n"/>
      <c r="CX16" s="72" t="n"/>
      <c r="CY16" s="72" t="n"/>
      <c r="CZ16" s="72">
        <f>CY16-CX16</f>
        <v/>
      </c>
      <c r="DA16" s="73">
        <f>IF(CX16=0,"",CY16/CX16)</f>
        <v/>
      </c>
      <c r="DB16" s="46" t="n"/>
      <c r="DC16" s="74">
        <f>G16+ L16+ V16+ AF16+ AP16+ AZ16+ BJ16+ BT16+ CD16+ CN16+ CX16</f>
        <v/>
      </c>
      <c r="DD16" s="74">
        <f>H16+ M16+ W16+ AG16+ AQ16+ BA16+ BK16+ BU16+ CE16+ CO16+ CY16</f>
        <v/>
      </c>
      <c r="DE16" s="74">
        <f>DD16-DC16</f>
        <v/>
      </c>
      <c r="DF16" s="75">
        <f>IF(DC16=0,"",DD16/DC16)</f>
        <v/>
      </c>
      <c r="DG16" s="52" t="n"/>
      <c r="DH16" s="72" t="n"/>
      <c r="DI16" s="72" t="n"/>
      <c r="DJ16" s="72">
        <f>DI16-DH16</f>
        <v/>
      </c>
      <c r="DK16" s="73">
        <f>IF(DH16=0,"",DI16/DH16)</f>
        <v/>
      </c>
      <c r="DL16" s="46" t="n"/>
      <c r="DM16" s="74">
        <f>G16+ L16+ V16+ AF16+ AP16+ AZ16+ BJ16+ BT16+ CD16+ CN16+ CX16+ DH16</f>
        <v/>
      </c>
      <c r="DN16" s="74">
        <f>H16+ M16+ W16+ AG16+ AQ16+ BA16+ BK16+ BU16+ CE16+ CO16+ CY16+ DI16</f>
        <v/>
      </c>
      <c r="DO16" s="74">
        <f>DN16-DM16</f>
        <v/>
      </c>
      <c r="DP16" s="75">
        <f>IF(DM16=0,"",DN16/DM16)</f>
        <v/>
      </c>
      <c r="DQ16" s="52" t="n"/>
      <c r="DR16" s="72">
        <f>G16+L16+V16+AF16+AP16+AZ16+BJ16+BT16+CD16+CN16+CX16+DH16</f>
        <v/>
      </c>
    </row>
    <row r="17" ht="15" customHeight="1">
      <c r="A17" s="67" t="n"/>
      <c r="B17" s="67" t="n"/>
      <c r="C17" s="67" t="n"/>
      <c r="D17" s="46" t="n"/>
      <c r="E17" s="46" t="n"/>
      <c r="F17" s="47" t="n"/>
      <c r="G17" s="72" t="n"/>
      <c r="H17" s="72" t="n"/>
      <c r="I17" s="72">
        <f>H17-G17</f>
        <v/>
      </c>
      <c r="J17" s="73">
        <f>IF(G17=0,"",H17/G17)</f>
        <v/>
      </c>
      <c r="K17" s="46" t="n"/>
      <c r="L17" s="72" t="n"/>
      <c r="M17" s="72" t="n"/>
      <c r="N17" s="72">
        <f>M17-L17</f>
        <v/>
      </c>
      <c r="O17" s="73">
        <f>IF(L17=0,"",M17/L17)</f>
        <v/>
      </c>
      <c r="P17" s="46" t="n"/>
      <c r="Q17" s="74">
        <f>G17+ L17</f>
        <v/>
      </c>
      <c r="R17" s="74">
        <f>H17+ M17</f>
        <v/>
      </c>
      <c r="S17" s="74">
        <f>R17-Q17</f>
        <v/>
      </c>
      <c r="T17" s="75">
        <f>IF(Q17=0,"",R17/Q17)</f>
        <v/>
      </c>
      <c r="U17" s="52" t="n"/>
      <c r="V17" s="72" t="n"/>
      <c r="W17" s="72" t="n"/>
      <c r="X17" s="72">
        <f>W17-V17</f>
        <v/>
      </c>
      <c r="Y17" s="73">
        <f>IF(V17=0,"",W17/V17)</f>
        <v/>
      </c>
      <c r="Z17" s="46" t="n"/>
      <c r="AA17" s="74">
        <f>G17+ L17+ V17</f>
        <v/>
      </c>
      <c r="AB17" s="74">
        <f>H17+ M17+ W17</f>
        <v/>
      </c>
      <c r="AC17" s="74">
        <f>AB17-AA17</f>
        <v/>
      </c>
      <c r="AD17" s="75">
        <f>IF(AA17=0,"",AB17/AA17)</f>
        <v/>
      </c>
      <c r="AE17" s="52" t="n"/>
      <c r="AF17" s="72" t="n"/>
      <c r="AG17" s="72" t="n"/>
      <c r="AH17" s="72">
        <f>AG17-AF17</f>
        <v/>
      </c>
      <c r="AI17" s="73">
        <f>IF(AF17=0,"",AG17/AF17)</f>
        <v/>
      </c>
      <c r="AJ17" s="46" t="n"/>
      <c r="AK17" s="74">
        <f>G17+ L17+ V17+ AF17</f>
        <v/>
      </c>
      <c r="AL17" s="74">
        <f>H17+ M17+ W17+ AG17</f>
        <v/>
      </c>
      <c r="AM17" s="74">
        <f>AL17-AK17</f>
        <v/>
      </c>
      <c r="AN17" s="75">
        <f>IF(AK17=0,"",AL17/AK17)</f>
        <v/>
      </c>
      <c r="AO17" s="52" t="n"/>
      <c r="AP17" s="72" t="n"/>
      <c r="AQ17" s="72" t="n"/>
      <c r="AR17" s="72">
        <f>AQ17-AP17</f>
        <v/>
      </c>
      <c r="AS17" s="73">
        <f>IF(AP17=0,"",AQ17/AP17)</f>
        <v/>
      </c>
      <c r="AT17" s="46" t="n"/>
      <c r="AU17" s="74">
        <f>G17+ L17+ V17+ AF17+ AP17</f>
        <v/>
      </c>
      <c r="AV17" s="74">
        <f>H17+ M17+ W17+ AG17+ AQ17</f>
        <v/>
      </c>
      <c r="AW17" s="74">
        <f>AV17-AU17</f>
        <v/>
      </c>
      <c r="AX17" s="75">
        <f>IF(AU17=0,"",AV17/AU17)</f>
        <v/>
      </c>
      <c r="AY17" s="52" t="n"/>
      <c r="AZ17" s="72" t="n"/>
      <c r="BA17" s="72" t="n"/>
      <c r="BB17" s="72">
        <f>BA17-AZ17</f>
        <v/>
      </c>
      <c r="BC17" s="73">
        <f>IF(AZ17=0,"",BA17/AZ17)</f>
        <v/>
      </c>
      <c r="BD17" s="46" t="n"/>
      <c r="BE17" s="74">
        <f>G17+ L17+ V17+ AF17+ AP17+ AZ17</f>
        <v/>
      </c>
      <c r="BF17" s="74">
        <f>H17+ M17+ W17+ AG17+ AQ17+ BA17</f>
        <v/>
      </c>
      <c r="BG17" s="74">
        <f>BF17-BE17</f>
        <v/>
      </c>
      <c r="BH17" s="75">
        <f>IF(BE17=0,"",BF17/BE17)</f>
        <v/>
      </c>
      <c r="BI17" s="52" t="n"/>
      <c r="BJ17" s="72" t="n"/>
      <c r="BK17" s="72" t="n"/>
      <c r="BL17" s="72">
        <f>BK17-BJ17</f>
        <v/>
      </c>
      <c r="BM17" s="73">
        <f>IF(BJ17=0,"",BK17/BJ17)</f>
        <v/>
      </c>
      <c r="BN17" s="46" t="n"/>
      <c r="BO17" s="74">
        <f>G17+ L17+ V17+ AF17+ AP17+ AZ17+ BJ17</f>
        <v/>
      </c>
      <c r="BP17" s="74">
        <f>H17+ M17+ W17+ AG17+ AQ17+ BA17+ BK17</f>
        <v/>
      </c>
      <c r="BQ17" s="74">
        <f>BP17-BO17</f>
        <v/>
      </c>
      <c r="BR17" s="75">
        <f>IF(BO17=0,"",BP17/BO17)</f>
        <v/>
      </c>
      <c r="BS17" s="52" t="n"/>
      <c r="BT17" s="72" t="n"/>
      <c r="BU17" s="72" t="n"/>
      <c r="BV17" s="72">
        <f>BU17-BT17</f>
        <v/>
      </c>
      <c r="BW17" s="73">
        <f>IF(BT17=0,"",BU17/BT17)</f>
        <v/>
      </c>
      <c r="BX17" s="46" t="n"/>
      <c r="BY17" s="74">
        <f>G17+ L17+ V17+ AF17+ AP17+ AZ17+ BJ17+ BT17</f>
        <v/>
      </c>
      <c r="BZ17" s="74">
        <f>H17+ M17+ W17+ AG17+ AQ17+ BA17+ BK17+ BU17</f>
        <v/>
      </c>
      <c r="CA17" s="74">
        <f>BZ17-BY17</f>
        <v/>
      </c>
      <c r="CB17" s="75">
        <f>IF(BY17=0,"",BZ17/BY17)</f>
        <v/>
      </c>
      <c r="CC17" s="52" t="n"/>
      <c r="CD17" s="72" t="n"/>
      <c r="CE17" s="72" t="n"/>
      <c r="CF17" s="72">
        <f>CE17-CD17</f>
        <v/>
      </c>
      <c r="CG17" s="73">
        <f>IF(CD17=0,"",CE17/CD17)</f>
        <v/>
      </c>
      <c r="CH17" s="46" t="n"/>
      <c r="CI17" s="74">
        <f>G17+ L17+ V17+ AF17+ AP17+ AZ17+ BJ17+ BT17+ CD17</f>
        <v/>
      </c>
      <c r="CJ17" s="74">
        <f>H17+ M17+ W17+ AG17+ AQ17+ BA17+ BK17+ BU17+ CE17</f>
        <v/>
      </c>
      <c r="CK17" s="74">
        <f>CJ17-CI17</f>
        <v/>
      </c>
      <c r="CL17" s="75">
        <f>IF(CI17=0,"",CJ17/CI17)</f>
        <v/>
      </c>
      <c r="CM17" s="52" t="n"/>
      <c r="CN17" s="72" t="n"/>
      <c r="CO17" s="72" t="n"/>
      <c r="CP17" s="72">
        <f>CO17-CN17</f>
        <v/>
      </c>
      <c r="CQ17" s="73">
        <f>IF(CN17=0,"",CO17/CN17)</f>
        <v/>
      </c>
      <c r="CR17" s="46" t="n"/>
      <c r="CS17" s="74">
        <f>G17+ L17+ V17+ AF17+ AP17+ AZ17+ BJ17+ BT17+ CD17+ CN17</f>
        <v/>
      </c>
      <c r="CT17" s="74">
        <f>H17+ M17+ W17+ AG17+ AQ17+ BA17+ BK17+ BU17+ CE17+ CO17</f>
        <v/>
      </c>
      <c r="CU17" s="74">
        <f>CT17-CS17</f>
        <v/>
      </c>
      <c r="CV17" s="75">
        <f>IF(CS17=0,"",CT17/CS17)</f>
        <v/>
      </c>
      <c r="CW17" s="52" t="n"/>
      <c r="CX17" s="72" t="n"/>
      <c r="CY17" s="72" t="n"/>
      <c r="CZ17" s="72">
        <f>CY17-CX17</f>
        <v/>
      </c>
      <c r="DA17" s="73">
        <f>IF(CX17=0,"",CY17/CX17)</f>
        <v/>
      </c>
      <c r="DB17" s="46" t="n"/>
      <c r="DC17" s="74">
        <f>G17+ L17+ V17+ AF17+ AP17+ AZ17+ BJ17+ BT17+ CD17+ CN17+ CX17</f>
        <v/>
      </c>
      <c r="DD17" s="74">
        <f>H17+ M17+ W17+ AG17+ AQ17+ BA17+ BK17+ BU17+ CE17+ CO17+ CY17</f>
        <v/>
      </c>
      <c r="DE17" s="74">
        <f>DD17-DC17</f>
        <v/>
      </c>
      <c r="DF17" s="75">
        <f>IF(DC17=0,"",DD17/DC17)</f>
        <v/>
      </c>
      <c r="DG17" s="52" t="n"/>
      <c r="DH17" s="72" t="n"/>
      <c r="DI17" s="72" t="n"/>
      <c r="DJ17" s="72">
        <f>DI17-DH17</f>
        <v/>
      </c>
      <c r="DK17" s="73">
        <f>IF(DH17=0,"",DI17/DH17)</f>
        <v/>
      </c>
      <c r="DL17" s="46" t="n"/>
      <c r="DM17" s="74">
        <f>G17+ L17+ V17+ AF17+ AP17+ AZ17+ BJ17+ BT17+ CD17+ CN17+ CX17+ DH17</f>
        <v/>
      </c>
      <c r="DN17" s="74">
        <f>H17+ M17+ W17+ AG17+ AQ17+ BA17+ BK17+ BU17+ CE17+ CO17+ CY17+ DI17</f>
        <v/>
      </c>
      <c r="DO17" s="74">
        <f>DN17-DM17</f>
        <v/>
      </c>
      <c r="DP17" s="75">
        <f>IF(DM17=0,"",DN17/DM17)</f>
        <v/>
      </c>
      <c r="DQ17" s="52" t="n"/>
      <c r="DR17" s="72">
        <f>G17+L17+V17+AF17+AP17+AZ17+BJ17+BT17+CD17+CN17+CX17+DH17</f>
        <v/>
      </c>
    </row>
    <row r="18" ht="15" customHeight="1">
      <c r="A18" s="67" t="n"/>
      <c r="B18" s="67" t="n"/>
      <c r="C18" s="67" t="n"/>
      <c r="D18" s="46" t="n"/>
      <c r="E18" s="46" t="n"/>
      <c r="F18" s="47" t="n"/>
      <c r="G18" s="72" t="n"/>
      <c r="H18" s="72" t="n"/>
      <c r="I18" s="72">
        <f>H18-G18</f>
        <v/>
      </c>
      <c r="J18" s="73">
        <f>IF(G18=0,"",H18/G18)</f>
        <v/>
      </c>
      <c r="K18" s="46" t="n"/>
      <c r="L18" s="72" t="n"/>
      <c r="M18" s="72" t="n"/>
      <c r="N18" s="72">
        <f>M18-L18</f>
        <v/>
      </c>
      <c r="O18" s="73">
        <f>IF(L18=0,"",M18/L18)</f>
        <v/>
      </c>
      <c r="P18" s="46" t="n"/>
      <c r="Q18" s="74">
        <f>G18+ L18</f>
        <v/>
      </c>
      <c r="R18" s="74">
        <f>H18+ M18</f>
        <v/>
      </c>
      <c r="S18" s="74">
        <f>R18-Q18</f>
        <v/>
      </c>
      <c r="T18" s="75">
        <f>IF(Q18=0,"",R18/Q18)</f>
        <v/>
      </c>
      <c r="U18" s="52" t="n"/>
      <c r="V18" s="72" t="n"/>
      <c r="W18" s="72" t="n"/>
      <c r="X18" s="72">
        <f>W18-V18</f>
        <v/>
      </c>
      <c r="Y18" s="73">
        <f>IF(V18=0,"",W18/V18)</f>
        <v/>
      </c>
      <c r="Z18" s="46" t="n"/>
      <c r="AA18" s="74">
        <f>G18+ L18+ V18</f>
        <v/>
      </c>
      <c r="AB18" s="74">
        <f>H18+ M18+ W18</f>
        <v/>
      </c>
      <c r="AC18" s="74">
        <f>AB18-AA18</f>
        <v/>
      </c>
      <c r="AD18" s="75">
        <f>IF(AA18=0,"",AB18/AA18)</f>
        <v/>
      </c>
      <c r="AE18" s="52" t="n"/>
      <c r="AF18" s="72" t="n"/>
      <c r="AG18" s="72" t="n"/>
      <c r="AH18" s="72">
        <f>AG18-AF18</f>
        <v/>
      </c>
      <c r="AI18" s="73">
        <f>IF(AF18=0,"",AG18/AF18)</f>
        <v/>
      </c>
      <c r="AJ18" s="46" t="n"/>
      <c r="AK18" s="74">
        <f>G18+ L18+ V18+ AF18</f>
        <v/>
      </c>
      <c r="AL18" s="74">
        <f>H18+ M18+ W18+ AG18</f>
        <v/>
      </c>
      <c r="AM18" s="74">
        <f>AL18-AK18</f>
        <v/>
      </c>
      <c r="AN18" s="75">
        <f>IF(AK18=0,"",AL18/AK18)</f>
        <v/>
      </c>
      <c r="AO18" s="52" t="n"/>
      <c r="AP18" s="72" t="n"/>
      <c r="AQ18" s="72" t="n"/>
      <c r="AR18" s="72">
        <f>AQ18-AP18</f>
        <v/>
      </c>
      <c r="AS18" s="73">
        <f>IF(AP18=0,"",AQ18/AP18)</f>
        <v/>
      </c>
      <c r="AT18" s="46" t="n"/>
      <c r="AU18" s="74">
        <f>G18+ L18+ V18+ AF18+ AP18</f>
        <v/>
      </c>
      <c r="AV18" s="74">
        <f>H18+ M18+ W18+ AG18+ AQ18</f>
        <v/>
      </c>
      <c r="AW18" s="74">
        <f>AV18-AU18</f>
        <v/>
      </c>
      <c r="AX18" s="75">
        <f>IF(AU18=0,"",AV18/AU18)</f>
        <v/>
      </c>
      <c r="AY18" s="52" t="n"/>
      <c r="AZ18" s="72" t="n"/>
      <c r="BA18" s="72" t="n"/>
      <c r="BB18" s="72">
        <f>BA18-AZ18</f>
        <v/>
      </c>
      <c r="BC18" s="73">
        <f>IF(AZ18=0,"",BA18/AZ18)</f>
        <v/>
      </c>
      <c r="BD18" s="46" t="n"/>
      <c r="BE18" s="74">
        <f>G18+ L18+ V18+ AF18+ AP18+ AZ18</f>
        <v/>
      </c>
      <c r="BF18" s="74">
        <f>H18+ M18+ W18+ AG18+ AQ18+ BA18</f>
        <v/>
      </c>
      <c r="BG18" s="74">
        <f>BF18-BE18</f>
        <v/>
      </c>
      <c r="BH18" s="75">
        <f>IF(BE18=0,"",BF18/BE18)</f>
        <v/>
      </c>
      <c r="BI18" s="52" t="n"/>
      <c r="BJ18" s="72" t="n"/>
      <c r="BK18" s="72" t="n"/>
      <c r="BL18" s="72">
        <f>BK18-BJ18</f>
        <v/>
      </c>
      <c r="BM18" s="73">
        <f>IF(BJ18=0,"",BK18/BJ18)</f>
        <v/>
      </c>
      <c r="BN18" s="46" t="n"/>
      <c r="BO18" s="74">
        <f>G18+ L18+ V18+ AF18+ AP18+ AZ18+ BJ18</f>
        <v/>
      </c>
      <c r="BP18" s="74">
        <f>H18+ M18+ W18+ AG18+ AQ18+ BA18+ BK18</f>
        <v/>
      </c>
      <c r="BQ18" s="74">
        <f>BP18-BO18</f>
        <v/>
      </c>
      <c r="BR18" s="75">
        <f>IF(BO18=0,"",BP18/BO18)</f>
        <v/>
      </c>
      <c r="BS18" s="52" t="n"/>
      <c r="BT18" s="72" t="n"/>
      <c r="BU18" s="72" t="n"/>
      <c r="BV18" s="72">
        <f>BU18-BT18</f>
        <v/>
      </c>
      <c r="BW18" s="73">
        <f>IF(BT18=0,"",BU18/BT18)</f>
        <v/>
      </c>
      <c r="BX18" s="46" t="n"/>
      <c r="BY18" s="74">
        <f>G18+ L18+ V18+ AF18+ AP18+ AZ18+ BJ18+ BT18</f>
        <v/>
      </c>
      <c r="BZ18" s="74">
        <f>H18+ M18+ W18+ AG18+ AQ18+ BA18+ BK18+ BU18</f>
        <v/>
      </c>
      <c r="CA18" s="74">
        <f>BZ18-BY18</f>
        <v/>
      </c>
      <c r="CB18" s="75">
        <f>IF(BY18=0,"",BZ18/BY18)</f>
        <v/>
      </c>
      <c r="CC18" s="52" t="n"/>
      <c r="CD18" s="72" t="n"/>
      <c r="CE18" s="72" t="n"/>
      <c r="CF18" s="72">
        <f>CE18-CD18</f>
        <v/>
      </c>
      <c r="CG18" s="73">
        <f>IF(CD18=0,"",CE18/CD18)</f>
        <v/>
      </c>
      <c r="CH18" s="46" t="n"/>
      <c r="CI18" s="74">
        <f>G18+ L18+ V18+ AF18+ AP18+ AZ18+ BJ18+ BT18+ CD18</f>
        <v/>
      </c>
      <c r="CJ18" s="74">
        <f>H18+ M18+ W18+ AG18+ AQ18+ BA18+ BK18+ BU18+ CE18</f>
        <v/>
      </c>
      <c r="CK18" s="74">
        <f>CJ18-CI18</f>
        <v/>
      </c>
      <c r="CL18" s="75">
        <f>IF(CI18=0,"",CJ18/CI18)</f>
        <v/>
      </c>
      <c r="CM18" s="52" t="n"/>
      <c r="CN18" s="72" t="n"/>
      <c r="CO18" s="72" t="n"/>
      <c r="CP18" s="72">
        <f>CO18-CN18</f>
        <v/>
      </c>
      <c r="CQ18" s="73">
        <f>IF(CN18=0,"",CO18/CN18)</f>
        <v/>
      </c>
      <c r="CR18" s="46" t="n"/>
      <c r="CS18" s="74">
        <f>G18+ L18+ V18+ AF18+ AP18+ AZ18+ BJ18+ BT18+ CD18+ CN18</f>
        <v/>
      </c>
      <c r="CT18" s="74">
        <f>H18+ M18+ W18+ AG18+ AQ18+ BA18+ BK18+ BU18+ CE18+ CO18</f>
        <v/>
      </c>
      <c r="CU18" s="74">
        <f>CT18-CS18</f>
        <v/>
      </c>
      <c r="CV18" s="75">
        <f>IF(CS18=0,"",CT18/CS18)</f>
        <v/>
      </c>
      <c r="CW18" s="52" t="n"/>
      <c r="CX18" s="72" t="n"/>
      <c r="CY18" s="72" t="n"/>
      <c r="CZ18" s="72">
        <f>CY18-CX18</f>
        <v/>
      </c>
      <c r="DA18" s="73">
        <f>IF(CX18=0,"",CY18/CX18)</f>
        <v/>
      </c>
      <c r="DB18" s="46" t="n"/>
      <c r="DC18" s="74">
        <f>G18+ L18+ V18+ AF18+ AP18+ AZ18+ BJ18+ BT18+ CD18+ CN18+ CX18</f>
        <v/>
      </c>
      <c r="DD18" s="74">
        <f>H18+ M18+ W18+ AG18+ AQ18+ BA18+ BK18+ BU18+ CE18+ CO18+ CY18</f>
        <v/>
      </c>
      <c r="DE18" s="74">
        <f>DD18-DC18</f>
        <v/>
      </c>
      <c r="DF18" s="75">
        <f>IF(DC18=0,"",DD18/DC18)</f>
        <v/>
      </c>
      <c r="DG18" s="52" t="n"/>
      <c r="DH18" s="72" t="n"/>
      <c r="DI18" s="72" t="n"/>
      <c r="DJ18" s="72">
        <f>DI18-DH18</f>
        <v/>
      </c>
      <c r="DK18" s="73">
        <f>IF(DH18=0,"",DI18/DH18)</f>
        <v/>
      </c>
      <c r="DL18" s="46" t="n"/>
      <c r="DM18" s="74">
        <f>G18+ L18+ V18+ AF18+ AP18+ AZ18+ BJ18+ BT18+ CD18+ CN18+ CX18+ DH18</f>
        <v/>
      </c>
      <c r="DN18" s="74">
        <f>H18+ M18+ W18+ AG18+ AQ18+ BA18+ BK18+ BU18+ CE18+ CO18+ CY18+ DI18</f>
        <v/>
      </c>
      <c r="DO18" s="74">
        <f>DN18-DM18</f>
        <v/>
      </c>
      <c r="DP18" s="75">
        <f>IF(DM18=0,"",DN18/DM18)</f>
        <v/>
      </c>
      <c r="DQ18" s="52" t="n"/>
      <c r="DR18" s="72">
        <f>G18+L18+V18+AF18+AP18+AZ18+BJ18+BT18+CD18+CN18+CX18+DH18</f>
        <v/>
      </c>
    </row>
    <row r="19" ht="15" customHeight="1">
      <c r="A19" s="55" t="n"/>
      <c r="B19" s="55" t="n"/>
      <c r="C19" s="55" t="n"/>
      <c r="D19" s="46" t="n"/>
      <c r="E19" s="46" t="n"/>
      <c r="F19" s="47" t="n"/>
      <c r="G19" s="72" t="n"/>
      <c r="H19" s="72" t="n"/>
      <c r="I19" s="72">
        <f>H19-G19</f>
        <v/>
      </c>
      <c r="J19" s="73">
        <f>IF(G19=0,"",H19/G19)</f>
        <v/>
      </c>
      <c r="K19" s="46" t="n"/>
      <c r="L19" s="72" t="n"/>
      <c r="M19" s="72" t="n"/>
      <c r="N19" s="72">
        <f>M19-L19</f>
        <v/>
      </c>
      <c r="O19" s="73">
        <f>IF(L19=0,"",M19/L19)</f>
        <v/>
      </c>
      <c r="P19" s="46" t="n"/>
      <c r="Q19" s="74">
        <f>G19+ L19</f>
        <v/>
      </c>
      <c r="R19" s="74">
        <f>H19+ M19</f>
        <v/>
      </c>
      <c r="S19" s="74">
        <f>R19-Q19</f>
        <v/>
      </c>
      <c r="T19" s="75">
        <f>IF(Q19=0,"",R19/Q19)</f>
        <v/>
      </c>
      <c r="U19" s="52" t="n"/>
      <c r="V19" s="72" t="n"/>
      <c r="W19" s="72" t="n"/>
      <c r="X19" s="72">
        <f>W19-V19</f>
        <v/>
      </c>
      <c r="Y19" s="73">
        <f>IF(V19=0,"",W19/V19)</f>
        <v/>
      </c>
      <c r="Z19" s="46" t="n"/>
      <c r="AA19" s="74">
        <f>G19+ L19+ V19</f>
        <v/>
      </c>
      <c r="AB19" s="74">
        <f>H19+ M19+ W19</f>
        <v/>
      </c>
      <c r="AC19" s="74">
        <f>AB19-AA19</f>
        <v/>
      </c>
      <c r="AD19" s="75">
        <f>IF(AA19=0,"",AB19/AA19)</f>
        <v/>
      </c>
      <c r="AE19" s="52" t="n"/>
      <c r="AF19" s="72" t="n"/>
      <c r="AG19" s="72" t="n"/>
      <c r="AH19" s="72">
        <f>AG19-AF19</f>
        <v/>
      </c>
      <c r="AI19" s="73">
        <f>IF(AF19=0,"",AG19/AF19)</f>
        <v/>
      </c>
      <c r="AJ19" s="46" t="n"/>
      <c r="AK19" s="74">
        <f>G19+ L19+ V19+ AF19</f>
        <v/>
      </c>
      <c r="AL19" s="74">
        <f>H19+ M19+ W19+ AG19</f>
        <v/>
      </c>
      <c r="AM19" s="74">
        <f>AL19-AK19</f>
        <v/>
      </c>
      <c r="AN19" s="75">
        <f>IF(AK19=0,"",AL19/AK19)</f>
        <v/>
      </c>
      <c r="AO19" s="52" t="n"/>
      <c r="AP19" s="72" t="n"/>
      <c r="AQ19" s="72" t="n"/>
      <c r="AR19" s="72">
        <f>AQ19-AP19</f>
        <v/>
      </c>
      <c r="AS19" s="73">
        <f>IF(AP19=0,"",AQ19/AP19)</f>
        <v/>
      </c>
      <c r="AT19" s="46" t="n"/>
      <c r="AU19" s="74">
        <f>G19+ L19+ V19+ AF19+ AP19</f>
        <v/>
      </c>
      <c r="AV19" s="74">
        <f>H19+ M19+ W19+ AG19+ AQ19</f>
        <v/>
      </c>
      <c r="AW19" s="74">
        <f>AV19-AU19</f>
        <v/>
      </c>
      <c r="AX19" s="75">
        <f>IF(AU19=0,"",AV19/AU19)</f>
        <v/>
      </c>
      <c r="AY19" s="52" t="n"/>
      <c r="AZ19" s="72" t="n"/>
      <c r="BA19" s="72" t="n"/>
      <c r="BB19" s="72">
        <f>BA19-AZ19</f>
        <v/>
      </c>
      <c r="BC19" s="73">
        <f>IF(AZ19=0,"",BA19/AZ19)</f>
        <v/>
      </c>
      <c r="BD19" s="46" t="n"/>
      <c r="BE19" s="74">
        <f>G19+ L19+ V19+ AF19+ AP19+ AZ19</f>
        <v/>
      </c>
      <c r="BF19" s="74">
        <f>H19+ M19+ W19+ AG19+ AQ19+ BA19</f>
        <v/>
      </c>
      <c r="BG19" s="74">
        <f>BF19-BE19</f>
        <v/>
      </c>
      <c r="BH19" s="75">
        <f>IF(BE19=0,"",BF19/BE19)</f>
        <v/>
      </c>
      <c r="BI19" s="52" t="n"/>
      <c r="BJ19" s="72" t="n"/>
      <c r="BK19" s="72" t="n"/>
      <c r="BL19" s="72">
        <f>BK19-BJ19</f>
        <v/>
      </c>
      <c r="BM19" s="73">
        <f>IF(BJ19=0,"",BK19/BJ19)</f>
        <v/>
      </c>
      <c r="BN19" s="46" t="n"/>
      <c r="BO19" s="74">
        <f>G19+ L19+ V19+ AF19+ AP19+ AZ19+ BJ19</f>
        <v/>
      </c>
      <c r="BP19" s="74">
        <f>H19+ M19+ W19+ AG19+ AQ19+ BA19+ BK19</f>
        <v/>
      </c>
      <c r="BQ19" s="74">
        <f>BP19-BO19</f>
        <v/>
      </c>
      <c r="BR19" s="75">
        <f>IF(BO19=0,"",BP19/BO19)</f>
        <v/>
      </c>
      <c r="BS19" s="52" t="n"/>
      <c r="BT19" s="72" t="n"/>
      <c r="BU19" s="72" t="n"/>
      <c r="BV19" s="72">
        <f>BU19-BT19</f>
        <v/>
      </c>
      <c r="BW19" s="73">
        <f>IF(BT19=0,"",BU19/BT19)</f>
        <v/>
      </c>
      <c r="BX19" s="46" t="n"/>
      <c r="BY19" s="74">
        <f>G19+ L19+ V19+ AF19+ AP19+ AZ19+ BJ19+ BT19</f>
        <v/>
      </c>
      <c r="BZ19" s="74">
        <f>H19+ M19+ W19+ AG19+ AQ19+ BA19+ BK19+ BU19</f>
        <v/>
      </c>
      <c r="CA19" s="74">
        <f>BZ19-BY19</f>
        <v/>
      </c>
      <c r="CB19" s="75">
        <f>IF(BY19=0,"",BZ19/BY19)</f>
        <v/>
      </c>
      <c r="CC19" s="52" t="n"/>
      <c r="CD19" s="72" t="n"/>
      <c r="CE19" s="72" t="n"/>
      <c r="CF19" s="72">
        <f>CE19-CD19</f>
        <v/>
      </c>
      <c r="CG19" s="73">
        <f>IF(CD19=0,"",CE19/CD19)</f>
        <v/>
      </c>
      <c r="CH19" s="46" t="n"/>
      <c r="CI19" s="74">
        <f>G19+ L19+ V19+ AF19+ AP19+ AZ19+ BJ19+ BT19+ CD19</f>
        <v/>
      </c>
      <c r="CJ19" s="74">
        <f>H19+ M19+ W19+ AG19+ AQ19+ BA19+ BK19+ BU19+ CE19</f>
        <v/>
      </c>
      <c r="CK19" s="74">
        <f>CJ19-CI19</f>
        <v/>
      </c>
      <c r="CL19" s="75">
        <f>IF(CI19=0,"",CJ19/CI19)</f>
        <v/>
      </c>
      <c r="CM19" s="52" t="n"/>
      <c r="CN19" s="72" t="n"/>
      <c r="CO19" s="72" t="n"/>
      <c r="CP19" s="72">
        <f>CO19-CN19</f>
        <v/>
      </c>
      <c r="CQ19" s="73">
        <f>IF(CN19=0,"",CO19/CN19)</f>
        <v/>
      </c>
      <c r="CR19" s="46" t="n"/>
      <c r="CS19" s="74">
        <f>G19+ L19+ V19+ AF19+ AP19+ AZ19+ BJ19+ BT19+ CD19+ CN19</f>
        <v/>
      </c>
      <c r="CT19" s="74">
        <f>H19+ M19+ W19+ AG19+ AQ19+ BA19+ BK19+ BU19+ CE19+ CO19</f>
        <v/>
      </c>
      <c r="CU19" s="74">
        <f>CT19-CS19</f>
        <v/>
      </c>
      <c r="CV19" s="75">
        <f>IF(CS19=0,"",CT19/CS19)</f>
        <v/>
      </c>
      <c r="CW19" s="52" t="n"/>
      <c r="CX19" s="72" t="n"/>
      <c r="CY19" s="72" t="n"/>
      <c r="CZ19" s="72">
        <f>CY19-CX19</f>
        <v/>
      </c>
      <c r="DA19" s="73">
        <f>IF(CX19=0,"",CY19/CX19)</f>
        <v/>
      </c>
      <c r="DB19" s="46" t="n"/>
      <c r="DC19" s="74">
        <f>G19+ L19+ V19+ AF19+ AP19+ AZ19+ BJ19+ BT19+ CD19+ CN19+ CX19</f>
        <v/>
      </c>
      <c r="DD19" s="74">
        <f>H19+ M19+ W19+ AG19+ AQ19+ BA19+ BK19+ BU19+ CE19+ CO19+ CY19</f>
        <v/>
      </c>
      <c r="DE19" s="74">
        <f>DD19-DC19</f>
        <v/>
      </c>
      <c r="DF19" s="75">
        <f>IF(DC19=0,"",DD19/DC19)</f>
        <v/>
      </c>
      <c r="DG19" s="52" t="n"/>
      <c r="DH19" s="72" t="n"/>
      <c r="DI19" s="72" t="n"/>
      <c r="DJ19" s="72">
        <f>DI19-DH19</f>
        <v/>
      </c>
      <c r="DK19" s="73">
        <f>IF(DH19=0,"",DI19/DH19)</f>
        <v/>
      </c>
      <c r="DL19" s="46" t="n"/>
      <c r="DM19" s="74">
        <f>G19+ L19+ V19+ AF19+ AP19+ AZ19+ BJ19+ BT19+ CD19+ CN19+ CX19+ DH19</f>
        <v/>
      </c>
      <c r="DN19" s="74">
        <f>H19+ M19+ W19+ AG19+ AQ19+ BA19+ BK19+ BU19+ CE19+ CO19+ CY19+ DI19</f>
        <v/>
      </c>
      <c r="DO19" s="74">
        <f>DN19-DM19</f>
        <v/>
      </c>
      <c r="DP19" s="75">
        <f>IF(DM19=0,"",DN19/DM19)</f>
        <v/>
      </c>
      <c r="DQ19" s="52" t="n"/>
      <c r="DR19" s="72">
        <f>G19+L19+V19+AF19+AP19+AZ19+BJ19+BT19+CD19+CN19+CX19+DH19</f>
        <v/>
      </c>
    </row>
    <row r="20" ht="15" customHeight="1">
      <c r="A20" s="45" t="n"/>
      <c r="B20" s="45" t="n"/>
      <c r="C20" s="46" t="n"/>
      <c r="D20" s="46" t="n"/>
      <c r="E20" s="46" t="n"/>
      <c r="F20" s="47" t="n"/>
      <c r="G20" s="72" t="n"/>
      <c r="H20" s="72" t="n"/>
      <c r="I20" s="72">
        <f>H20-G20</f>
        <v/>
      </c>
      <c r="J20" s="73">
        <f>IF(G20=0,"",H20/G20)</f>
        <v/>
      </c>
      <c r="K20" s="46" t="n"/>
      <c r="L20" s="72" t="n"/>
      <c r="M20" s="72" t="n"/>
      <c r="N20" s="72">
        <f>M20-L20</f>
        <v/>
      </c>
      <c r="O20" s="73">
        <f>IF(L20=0,"",M20/L20)</f>
        <v/>
      </c>
      <c r="P20" s="46" t="n"/>
      <c r="Q20" s="74">
        <f>G20+ L20</f>
        <v/>
      </c>
      <c r="R20" s="74">
        <f>H20+ M20</f>
        <v/>
      </c>
      <c r="S20" s="74">
        <f>R20-Q20</f>
        <v/>
      </c>
      <c r="T20" s="75">
        <f>IF(Q20=0,"",R20/Q20)</f>
        <v/>
      </c>
      <c r="U20" s="52" t="n"/>
      <c r="V20" s="72" t="n"/>
      <c r="W20" s="72" t="n"/>
      <c r="X20" s="72">
        <f>W20-V20</f>
        <v/>
      </c>
      <c r="Y20" s="73">
        <f>IF(V20=0,"",W20/V20)</f>
        <v/>
      </c>
      <c r="Z20" s="46" t="n"/>
      <c r="AA20" s="74">
        <f>G20+ L20+ V20</f>
        <v/>
      </c>
      <c r="AB20" s="74">
        <f>H20+ M20+ W20</f>
        <v/>
      </c>
      <c r="AC20" s="74">
        <f>AB20-AA20</f>
        <v/>
      </c>
      <c r="AD20" s="75">
        <f>IF(AA20=0,"",AB20/AA20)</f>
        <v/>
      </c>
      <c r="AE20" s="52" t="n"/>
      <c r="AF20" s="72" t="n"/>
      <c r="AG20" s="72" t="n"/>
      <c r="AH20" s="72">
        <f>AG20-AF20</f>
        <v/>
      </c>
      <c r="AI20" s="73">
        <f>IF(AF20=0,"",AG20/AF20)</f>
        <v/>
      </c>
      <c r="AJ20" s="46" t="n"/>
      <c r="AK20" s="74">
        <f>G20+ L20+ V20+ AF20</f>
        <v/>
      </c>
      <c r="AL20" s="74">
        <f>H20+ M20+ W20+ AG20</f>
        <v/>
      </c>
      <c r="AM20" s="74">
        <f>AL20-AK20</f>
        <v/>
      </c>
      <c r="AN20" s="75">
        <f>IF(AK20=0,"",AL20/AK20)</f>
        <v/>
      </c>
      <c r="AO20" s="52" t="n"/>
      <c r="AP20" s="72" t="n"/>
      <c r="AQ20" s="72" t="n"/>
      <c r="AR20" s="72">
        <f>AQ20-AP20</f>
        <v/>
      </c>
      <c r="AS20" s="73">
        <f>IF(AP20=0,"",AQ20/AP20)</f>
        <v/>
      </c>
      <c r="AT20" s="46" t="n"/>
      <c r="AU20" s="74">
        <f>G20+ L20+ V20+ AF20+ AP20</f>
        <v/>
      </c>
      <c r="AV20" s="74">
        <f>H20+ M20+ W20+ AG20+ AQ20</f>
        <v/>
      </c>
      <c r="AW20" s="74">
        <f>AV20-AU20</f>
        <v/>
      </c>
      <c r="AX20" s="75">
        <f>IF(AU20=0,"",AV20/AU20)</f>
        <v/>
      </c>
      <c r="AY20" s="52" t="n"/>
      <c r="AZ20" s="72" t="n"/>
      <c r="BA20" s="72" t="n"/>
      <c r="BB20" s="72">
        <f>BA20-AZ20</f>
        <v/>
      </c>
      <c r="BC20" s="73">
        <f>IF(AZ20=0,"",BA20/AZ20)</f>
        <v/>
      </c>
      <c r="BD20" s="46" t="n"/>
      <c r="BE20" s="74">
        <f>G20+ L20+ V20+ AF20+ AP20+ AZ20</f>
        <v/>
      </c>
      <c r="BF20" s="74">
        <f>H20+ M20+ W20+ AG20+ AQ20+ BA20</f>
        <v/>
      </c>
      <c r="BG20" s="74">
        <f>BF20-BE20</f>
        <v/>
      </c>
      <c r="BH20" s="75">
        <f>IF(BE20=0,"",BF20/BE20)</f>
        <v/>
      </c>
      <c r="BI20" s="52" t="n"/>
      <c r="BJ20" s="72" t="n"/>
      <c r="BK20" s="72" t="n"/>
      <c r="BL20" s="72">
        <f>BK20-BJ20</f>
        <v/>
      </c>
      <c r="BM20" s="73">
        <f>IF(BJ20=0,"",BK20/BJ20)</f>
        <v/>
      </c>
      <c r="BN20" s="46" t="n"/>
      <c r="BO20" s="74">
        <f>G20+ L20+ V20+ AF20+ AP20+ AZ20+ BJ20</f>
        <v/>
      </c>
      <c r="BP20" s="74">
        <f>H20+ M20+ W20+ AG20+ AQ20+ BA20+ BK20</f>
        <v/>
      </c>
      <c r="BQ20" s="74">
        <f>BP20-BO20</f>
        <v/>
      </c>
      <c r="BR20" s="75">
        <f>IF(BO20=0,"",BP20/BO20)</f>
        <v/>
      </c>
      <c r="BS20" s="52" t="n"/>
      <c r="BT20" s="72" t="n"/>
      <c r="BU20" s="72" t="n"/>
      <c r="BV20" s="72">
        <f>BU20-BT20</f>
        <v/>
      </c>
      <c r="BW20" s="73">
        <f>IF(BT20=0,"",BU20/BT20)</f>
        <v/>
      </c>
      <c r="BX20" s="46" t="n"/>
      <c r="BY20" s="74">
        <f>G20+ L20+ V20+ AF20+ AP20+ AZ20+ BJ20+ BT20</f>
        <v/>
      </c>
      <c r="BZ20" s="74">
        <f>H20+ M20+ W20+ AG20+ AQ20+ BA20+ BK20+ BU20</f>
        <v/>
      </c>
      <c r="CA20" s="74">
        <f>BZ20-BY20</f>
        <v/>
      </c>
      <c r="CB20" s="75">
        <f>IF(BY20=0,"",BZ20/BY20)</f>
        <v/>
      </c>
      <c r="CC20" s="52" t="n"/>
      <c r="CD20" s="72" t="n"/>
      <c r="CE20" s="72" t="n"/>
      <c r="CF20" s="72">
        <f>CE20-CD20</f>
        <v/>
      </c>
      <c r="CG20" s="73">
        <f>IF(CD20=0,"",CE20/CD20)</f>
        <v/>
      </c>
      <c r="CH20" s="46" t="n"/>
      <c r="CI20" s="74">
        <f>G20+ L20+ V20+ AF20+ AP20+ AZ20+ BJ20+ BT20+ CD20</f>
        <v/>
      </c>
      <c r="CJ20" s="74">
        <f>H20+ M20+ W20+ AG20+ AQ20+ BA20+ BK20+ BU20+ CE20</f>
        <v/>
      </c>
      <c r="CK20" s="74">
        <f>CJ20-CI20</f>
        <v/>
      </c>
      <c r="CL20" s="75">
        <f>IF(CI20=0,"",CJ20/CI20)</f>
        <v/>
      </c>
      <c r="CM20" s="52" t="n"/>
      <c r="CN20" s="72" t="n"/>
      <c r="CO20" s="72" t="n"/>
      <c r="CP20" s="72">
        <f>CO20-CN20</f>
        <v/>
      </c>
      <c r="CQ20" s="73">
        <f>IF(CN20=0,"",CO20/CN20)</f>
        <v/>
      </c>
      <c r="CR20" s="46" t="n"/>
      <c r="CS20" s="74">
        <f>G20+ L20+ V20+ AF20+ AP20+ AZ20+ BJ20+ BT20+ CD20+ CN20</f>
        <v/>
      </c>
      <c r="CT20" s="74">
        <f>H20+ M20+ W20+ AG20+ AQ20+ BA20+ BK20+ BU20+ CE20+ CO20</f>
        <v/>
      </c>
      <c r="CU20" s="74">
        <f>CT20-CS20</f>
        <v/>
      </c>
      <c r="CV20" s="75">
        <f>IF(CS20=0,"",CT20/CS20)</f>
        <v/>
      </c>
      <c r="CW20" s="52" t="n"/>
      <c r="CX20" s="72" t="n"/>
      <c r="CY20" s="72" t="n"/>
      <c r="CZ20" s="72">
        <f>CY20-CX20</f>
        <v/>
      </c>
      <c r="DA20" s="73">
        <f>IF(CX20=0,"",CY20/CX20)</f>
        <v/>
      </c>
      <c r="DB20" s="46" t="n"/>
      <c r="DC20" s="74">
        <f>G20+ L20+ V20+ AF20+ AP20+ AZ20+ BJ20+ BT20+ CD20+ CN20+ CX20</f>
        <v/>
      </c>
      <c r="DD20" s="74">
        <f>H20+ M20+ W20+ AG20+ AQ20+ BA20+ BK20+ BU20+ CE20+ CO20+ CY20</f>
        <v/>
      </c>
      <c r="DE20" s="74">
        <f>DD20-DC20</f>
        <v/>
      </c>
      <c r="DF20" s="75">
        <f>IF(DC20=0,"",DD20/DC20)</f>
        <v/>
      </c>
      <c r="DG20" s="52" t="n"/>
      <c r="DH20" s="72" t="n"/>
      <c r="DI20" s="72" t="n"/>
      <c r="DJ20" s="72">
        <f>DI20-DH20</f>
        <v/>
      </c>
      <c r="DK20" s="73">
        <f>IF(DH20=0,"",DI20/DH20)</f>
        <v/>
      </c>
      <c r="DL20" s="46" t="n"/>
      <c r="DM20" s="74">
        <f>G20+ L20+ V20+ AF20+ AP20+ AZ20+ BJ20+ BT20+ CD20+ CN20+ CX20+ DH20</f>
        <v/>
      </c>
      <c r="DN20" s="74">
        <f>H20+ M20+ W20+ AG20+ AQ20+ BA20+ BK20+ BU20+ CE20+ CO20+ CY20+ DI20</f>
        <v/>
      </c>
      <c r="DO20" s="74">
        <f>DN20-DM20</f>
        <v/>
      </c>
      <c r="DP20" s="75">
        <f>IF(DM20=0,"",DN20/DM20)</f>
        <v/>
      </c>
      <c r="DQ20" s="52" t="n"/>
      <c r="DR20" s="72">
        <f>G20+L20+V20+AF20+AP20+AZ20+BJ20+BT20+CD20+CN20+CX20+DH20</f>
        <v/>
      </c>
    </row>
    <row r="21" ht="15" customHeight="1">
      <c r="A21" s="55" t="n"/>
      <c r="B21" s="55" t="n"/>
      <c r="C21" s="55" t="n"/>
      <c r="D21" s="46" t="n"/>
      <c r="E21" s="46" t="n"/>
      <c r="F21" s="47" t="n"/>
      <c r="G21" s="72" t="n"/>
      <c r="H21" s="72" t="n"/>
      <c r="I21" s="72">
        <f>H21-G21</f>
        <v/>
      </c>
      <c r="J21" s="73">
        <f>IF(G21=0,"",H21/G21)</f>
        <v/>
      </c>
      <c r="K21" s="46" t="n"/>
      <c r="L21" s="72" t="n"/>
      <c r="M21" s="72" t="n"/>
      <c r="N21" s="72">
        <f>M21-L21</f>
        <v/>
      </c>
      <c r="O21" s="73">
        <f>IF(L21=0,"",M21/L21)</f>
        <v/>
      </c>
      <c r="P21" s="46" t="n"/>
      <c r="Q21" s="74">
        <f>G21+ L21</f>
        <v/>
      </c>
      <c r="R21" s="74">
        <f>H21+ M21</f>
        <v/>
      </c>
      <c r="S21" s="74">
        <f>R21-Q21</f>
        <v/>
      </c>
      <c r="T21" s="75">
        <f>IF(Q21=0,"",R21/Q21)</f>
        <v/>
      </c>
      <c r="U21" s="52" t="n"/>
      <c r="V21" s="72" t="n"/>
      <c r="W21" s="72" t="n"/>
      <c r="X21" s="72">
        <f>W21-V21</f>
        <v/>
      </c>
      <c r="Y21" s="73">
        <f>IF(V21=0,"",W21/V21)</f>
        <v/>
      </c>
      <c r="Z21" s="46" t="n"/>
      <c r="AA21" s="74">
        <f>G21+ L21+ V21</f>
        <v/>
      </c>
      <c r="AB21" s="74">
        <f>H21+ M21+ W21</f>
        <v/>
      </c>
      <c r="AC21" s="74">
        <f>AB21-AA21</f>
        <v/>
      </c>
      <c r="AD21" s="75">
        <f>IF(AA21=0,"",AB21/AA21)</f>
        <v/>
      </c>
      <c r="AE21" s="52" t="n"/>
      <c r="AF21" s="72" t="n"/>
      <c r="AG21" s="72" t="n"/>
      <c r="AH21" s="72">
        <f>AG21-AF21</f>
        <v/>
      </c>
      <c r="AI21" s="73">
        <f>IF(AF21=0,"",AG21/AF21)</f>
        <v/>
      </c>
      <c r="AJ21" s="46" t="n"/>
      <c r="AK21" s="74">
        <f>G21+ L21+ V21+ AF21</f>
        <v/>
      </c>
      <c r="AL21" s="74">
        <f>H21+ M21+ W21+ AG21</f>
        <v/>
      </c>
      <c r="AM21" s="74">
        <f>AL21-AK21</f>
        <v/>
      </c>
      <c r="AN21" s="75">
        <f>IF(AK21=0,"",AL21/AK21)</f>
        <v/>
      </c>
      <c r="AO21" s="52" t="n"/>
      <c r="AP21" s="72" t="n"/>
      <c r="AQ21" s="72" t="n"/>
      <c r="AR21" s="72">
        <f>AQ21-AP21</f>
        <v/>
      </c>
      <c r="AS21" s="73">
        <f>IF(AP21=0,"",AQ21/AP21)</f>
        <v/>
      </c>
      <c r="AT21" s="46" t="n"/>
      <c r="AU21" s="74">
        <f>G21+ L21+ V21+ AF21+ AP21</f>
        <v/>
      </c>
      <c r="AV21" s="74">
        <f>H21+ M21+ W21+ AG21+ AQ21</f>
        <v/>
      </c>
      <c r="AW21" s="74">
        <f>AV21-AU21</f>
        <v/>
      </c>
      <c r="AX21" s="75">
        <f>IF(AU21=0,"",AV21/AU21)</f>
        <v/>
      </c>
      <c r="AY21" s="52" t="n"/>
      <c r="AZ21" s="72" t="n"/>
      <c r="BA21" s="72" t="n"/>
      <c r="BB21" s="72">
        <f>BA21-AZ21</f>
        <v/>
      </c>
      <c r="BC21" s="73">
        <f>IF(AZ21=0,"",BA21/AZ21)</f>
        <v/>
      </c>
      <c r="BD21" s="46" t="n"/>
      <c r="BE21" s="74">
        <f>G21+ L21+ V21+ AF21+ AP21+ AZ21</f>
        <v/>
      </c>
      <c r="BF21" s="74">
        <f>H21+ M21+ W21+ AG21+ AQ21+ BA21</f>
        <v/>
      </c>
      <c r="BG21" s="74">
        <f>BF21-BE21</f>
        <v/>
      </c>
      <c r="BH21" s="75">
        <f>IF(BE21=0,"",BF21/BE21)</f>
        <v/>
      </c>
      <c r="BI21" s="52" t="n"/>
      <c r="BJ21" s="72" t="n"/>
      <c r="BK21" s="72" t="n"/>
      <c r="BL21" s="72">
        <f>BK21-BJ21</f>
        <v/>
      </c>
      <c r="BM21" s="73">
        <f>IF(BJ21=0,"",BK21/BJ21)</f>
        <v/>
      </c>
      <c r="BN21" s="46" t="n"/>
      <c r="BO21" s="74">
        <f>G21+ L21+ V21+ AF21+ AP21+ AZ21+ BJ21</f>
        <v/>
      </c>
      <c r="BP21" s="74">
        <f>H21+ M21+ W21+ AG21+ AQ21+ BA21+ BK21</f>
        <v/>
      </c>
      <c r="BQ21" s="74">
        <f>BP21-BO21</f>
        <v/>
      </c>
      <c r="BR21" s="75">
        <f>IF(BO21=0,"",BP21/BO21)</f>
        <v/>
      </c>
      <c r="BS21" s="52" t="n"/>
      <c r="BT21" s="72" t="n"/>
      <c r="BU21" s="72" t="n"/>
      <c r="BV21" s="72">
        <f>BU21-BT21</f>
        <v/>
      </c>
      <c r="BW21" s="73">
        <f>IF(BT21=0,"",BU21/BT21)</f>
        <v/>
      </c>
      <c r="BX21" s="46" t="n"/>
      <c r="BY21" s="74">
        <f>G21+ L21+ V21+ AF21+ AP21+ AZ21+ BJ21+ BT21</f>
        <v/>
      </c>
      <c r="BZ21" s="74">
        <f>H21+ M21+ W21+ AG21+ AQ21+ BA21+ BK21+ BU21</f>
        <v/>
      </c>
      <c r="CA21" s="74">
        <f>BZ21-BY21</f>
        <v/>
      </c>
      <c r="CB21" s="75">
        <f>IF(BY21=0,"",BZ21/BY21)</f>
        <v/>
      </c>
      <c r="CC21" s="52" t="n"/>
      <c r="CD21" s="72" t="n"/>
      <c r="CE21" s="72" t="n"/>
      <c r="CF21" s="72">
        <f>CE21-CD21</f>
        <v/>
      </c>
      <c r="CG21" s="73">
        <f>IF(CD21=0,"",CE21/CD21)</f>
        <v/>
      </c>
      <c r="CH21" s="46" t="n"/>
      <c r="CI21" s="74">
        <f>G21+ L21+ V21+ AF21+ AP21+ AZ21+ BJ21+ BT21+ CD21</f>
        <v/>
      </c>
      <c r="CJ21" s="74">
        <f>H21+ M21+ W21+ AG21+ AQ21+ BA21+ BK21+ BU21+ CE21</f>
        <v/>
      </c>
      <c r="CK21" s="74">
        <f>CJ21-CI21</f>
        <v/>
      </c>
      <c r="CL21" s="75">
        <f>IF(CI21=0,"",CJ21/CI21)</f>
        <v/>
      </c>
      <c r="CM21" s="52" t="n"/>
      <c r="CN21" s="72" t="n"/>
      <c r="CO21" s="72" t="n"/>
      <c r="CP21" s="72">
        <f>CO21-CN21</f>
        <v/>
      </c>
      <c r="CQ21" s="73">
        <f>IF(CN21=0,"",CO21/CN21)</f>
        <v/>
      </c>
      <c r="CR21" s="46" t="n"/>
      <c r="CS21" s="74">
        <f>G21+ L21+ V21+ AF21+ AP21+ AZ21+ BJ21+ BT21+ CD21+ CN21</f>
        <v/>
      </c>
      <c r="CT21" s="74">
        <f>H21+ M21+ W21+ AG21+ AQ21+ BA21+ BK21+ BU21+ CE21+ CO21</f>
        <v/>
      </c>
      <c r="CU21" s="74">
        <f>CT21-CS21</f>
        <v/>
      </c>
      <c r="CV21" s="75">
        <f>IF(CS21=0,"",CT21/CS21)</f>
        <v/>
      </c>
      <c r="CW21" s="52" t="n"/>
      <c r="CX21" s="72" t="n"/>
      <c r="CY21" s="72" t="n"/>
      <c r="CZ21" s="72">
        <f>CY21-CX21</f>
        <v/>
      </c>
      <c r="DA21" s="73">
        <f>IF(CX21=0,"",CY21/CX21)</f>
        <v/>
      </c>
      <c r="DB21" s="46" t="n"/>
      <c r="DC21" s="74">
        <f>G21+ L21+ V21+ AF21+ AP21+ AZ21+ BJ21+ BT21+ CD21+ CN21+ CX21</f>
        <v/>
      </c>
      <c r="DD21" s="74">
        <f>H21+ M21+ W21+ AG21+ AQ21+ BA21+ BK21+ BU21+ CE21+ CO21+ CY21</f>
        <v/>
      </c>
      <c r="DE21" s="74">
        <f>DD21-DC21</f>
        <v/>
      </c>
      <c r="DF21" s="75">
        <f>IF(DC21=0,"",DD21/DC21)</f>
        <v/>
      </c>
      <c r="DG21" s="52" t="n"/>
      <c r="DH21" s="72" t="n"/>
      <c r="DI21" s="72" t="n"/>
      <c r="DJ21" s="72">
        <f>DI21-DH21</f>
        <v/>
      </c>
      <c r="DK21" s="73">
        <f>IF(DH21=0,"",DI21/DH21)</f>
        <v/>
      </c>
      <c r="DL21" s="46" t="n"/>
      <c r="DM21" s="74">
        <f>G21+ L21+ V21+ AF21+ AP21+ AZ21+ BJ21+ BT21+ CD21+ CN21+ CX21+ DH21</f>
        <v/>
      </c>
      <c r="DN21" s="74">
        <f>H21+ M21+ W21+ AG21+ AQ21+ BA21+ BK21+ BU21+ CE21+ CO21+ CY21+ DI21</f>
        <v/>
      </c>
      <c r="DO21" s="74">
        <f>DN21-DM21</f>
        <v/>
      </c>
      <c r="DP21" s="75">
        <f>IF(DM21=0,"",DN21/DM21)</f>
        <v/>
      </c>
      <c r="DQ21" s="52" t="n"/>
      <c r="DR21" s="72">
        <f>G21+L21+V21+AF21+AP21+AZ21+BJ21+BT21+CD21+CN21+CX21+DH21</f>
        <v/>
      </c>
    </row>
    <row r="22" ht="15" customHeight="1">
      <c r="A22" s="46" t="n"/>
      <c r="B22" s="46" t="n"/>
      <c r="C22" s="45" t="n"/>
      <c r="D22" s="46" t="n"/>
      <c r="E22" s="46" t="n"/>
      <c r="F22" s="47" t="n"/>
      <c r="G22" s="72" t="n"/>
      <c r="H22" s="72" t="n"/>
      <c r="I22" s="72">
        <f>H22-G22</f>
        <v/>
      </c>
      <c r="J22" s="73">
        <f>IF(G22=0,"",H22/G22)</f>
        <v/>
      </c>
      <c r="K22" s="46" t="n"/>
      <c r="L22" s="72" t="n"/>
      <c r="M22" s="72" t="n"/>
      <c r="N22" s="72">
        <f>M22-L22</f>
        <v/>
      </c>
      <c r="O22" s="73">
        <f>IF(L22=0,"",M22/L22)</f>
        <v/>
      </c>
      <c r="P22" s="46" t="n"/>
      <c r="Q22" s="74">
        <f>G22+ L22</f>
        <v/>
      </c>
      <c r="R22" s="74">
        <f>H22+ M22</f>
        <v/>
      </c>
      <c r="S22" s="74">
        <f>R22-Q22</f>
        <v/>
      </c>
      <c r="T22" s="75">
        <f>IF(Q22=0,"",R22/Q22)</f>
        <v/>
      </c>
      <c r="U22" s="52" t="n"/>
      <c r="V22" s="72" t="n"/>
      <c r="W22" s="72" t="n"/>
      <c r="X22" s="72">
        <f>W22-V22</f>
        <v/>
      </c>
      <c r="Y22" s="73">
        <f>IF(V22=0,"",W22/V22)</f>
        <v/>
      </c>
      <c r="Z22" s="46" t="n"/>
      <c r="AA22" s="74">
        <f>G22+ L22+ V22</f>
        <v/>
      </c>
      <c r="AB22" s="74">
        <f>H22+ M22+ W22</f>
        <v/>
      </c>
      <c r="AC22" s="74">
        <f>AB22-AA22</f>
        <v/>
      </c>
      <c r="AD22" s="75">
        <f>IF(AA22=0,"",AB22/AA22)</f>
        <v/>
      </c>
      <c r="AE22" s="52" t="n"/>
      <c r="AF22" s="72" t="n"/>
      <c r="AG22" s="72" t="n"/>
      <c r="AH22" s="72">
        <f>AG22-AF22</f>
        <v/>
      </c>
      <c r="AI22" s="73">
        <f>IF(AF22=0,"",AG22/AF22)</f>
        <v/>
      </c>
      <c r="AJ22" s="46" t="n"/>
      <c r="AK22" s="74">
        <f>G22+ L22+ V22+ AF22</f>
        <v/>
      </c>
      <c r="AL22" s="74">
        <f>H22+ M22+ W22+ AG22</f>
        <v/>
      </c>
      <c r="AM22" s="74">
        <f>AL22-AK22</f>
        <v/>
      </c>
      <c r="AN22" s="75">
        <f>IF(AK22=0,"",AL22/AK22)</f>
        <v/>
      </c>
      <c r="AO22" s="52" t="n"/>
      <c r="AP22" s="72" t="n"/>
      <c r="AQ22" s="72" t="n"/>
      <c r="AR22" s="72">
        <f>AQ22-AP22</f>
        <v/>
      </c>
      <c r="AS22" s="73">
        <f>IF(AP22=0,"",AQ22/AP22)</f>
        <v/>
      </c>
      <c r="AT22" s="46" t="n"/>
      <c r="AU22" s="74">
        <f>G22+ L22+ V22+ AF22+ AP22</f>
        <v/>
      </c>
      <c r="AV22" s="74">
        <f>H22+ M22+ W22+ AG22+ AQ22</f>
        <v/>
      </c>
      <c r="AW22" s="74">
        <f>AV22-AU22</f>
        <v/>
      </c>
      <c r="AX22" s="75">
        <f>IF(AU22=0,"",AV22/AU22)</f>
        <v/>
      </c>
      <c r="AY22" s="52" t="n"/>
      <c r="AZ22" s="72" t="n"/>
      <c r="BA22" s="72" t="n"/>
      <c r="BB22" s="72">
        <f>BA22-AZ22</f>
        <v/>
      </c>
      <c r="BC22" s="73">
        <f>IF(AZ22=0,"",BA22/AZ22)</f>
        <v/>
      </c>
      <c r="BD22" s="46" t="n"/>
      <c r="BE22" s="74">
        <f>G22+ L22+ V22+ AF22+ AP22+ AZ22</f>
        <v/>
      </c>
      <c r="BF22" s="74">
        <f>H22+ M22+ W22+ AG22+ AQ22+ BA22</f>
        <v/>
      </c>
      <c r="BG22" s="74">
        <f>BF22-BE22</f>
        <v/>
      </c>
      <c r="BH22" s="75">
        <f>IF(BE22=0,"",BF22/BE22)</f>
        <v/>
      </c>
      <c r="BI22" s="52" t="n"/>
      <c r="BJ22" s="72" t="n"/>
      <c r="BK22" s="72" t="n"/>
      <c r="BL22" s="72">
        <f>BK22-BJ22</f>
        <v/>
      </c>
      <c r="BM22" s="73">
        <f>IF(BJ22=0,"",BK22/BJ22)</f>
        <v/>
      </c>
      <c r="BN22" s="46" t="n"/>
      <c r="BO22" s="74">
        <f>G22+ L22+ V22+ AF22+ AP22+ AZ22+ BJ22</f>
        <v/>
      </c>
      <c r="BP22" s="74">
        <f>H22+ M22+ W22+ AG22+ AQ22+ BA22+ BK22</f>
        <v/>
      </c>
      <c r="BQ22" s="74">
        <f>BP22-BO22</f>
        <v/>
      </c>
      <c r="BR22" s="75">
        <f>IF(BO22=0,"",BP22/BO22)</f>
        <v/>
      </c>
      <c r="BS22" s="52" t="n"/>
      <c r="BT22" s="72" t="n"/>
      <c r="BU22" s="72" t="n"/>
      <c r="BV22" s="72">
        <f>BU22-BT22</f>
        <v/>
      </c>
      <c r="BW22" s="73">
        <f>IF(BT22=0,"",BU22/BT22)</f>
        <v/>
      </c>
      <c r="BX22" s="46" t="n"/>
      <c r="BY22" s="74">
        <f>G22+ L22+ V22+ AF22+ AP22+ AZ22+ BJ22+ BT22</f>
        <v/>
      </c>
      <c r="BZ22" s="74">
        <f>H22+ M22+ W22+ AG22+ AQ22+ BA22+ BK22+ BU22</f>
        <v/>
      </c>
      <c r="CA22" s="74">
        <f>BZ22-BY22</f>
        <v/>
      </c>
      <c r="CB22" s="75">
        <f>IF(BY22=0,"",BZ22/BY22)</f>
        <v/>
      </c>
      <c r="CC22" s="52" t="n"/>
      <c r="CD22" s="72" t="n"/>
      <c r="CE22" s="72" t="n"/>
      <c r="CF22" s="72">
        <f>CE22-CD22</f>
        <v/>
      </c>
      <c r="CG22" s="73">
        <f>IF(CD22=0,"",CE22/CD22)</f>
        <v/>
      </c>
      <c r="CH22" s="46" t="n"/>
      <c r="CI22" s="74">
        <f>G22+ L22+ V22+ AF22+ AP22+ AZ22+ BJ22+ BT22+ CD22</f>
        <v/>
      </c>
      <c r="CJ22" s="74">
        <f>H22+ M22+ W22+ AG22+ AQ22+ BA22+ BK22+ BU22+ CE22</f>
        <v/>
      </c>
      <c r="CK22" s="74">
        <f>CJ22-CI22</f>
        <v/>
      </c>
      <c r="CL22" s="75">
        <f>IF(CI22=0,"",CJ22/CI22)</f>
        <v/>
      </c>
      <c r="CM22" s="52" t="n"/>
      <c r="CN22" s="72" t="n"/>
      <c r="CO22" s="72" t="n"/>
      <c r="CP22" s="72">
        <f>CO22-CN22</f>
        <v/>
      </c>
      <c r="CQ22" s="73">
        <f>IF(CN22=0,"",CO22/CN22)</f>
        <v/>
      </c>
      <c r="CR22" s="46" t="n"/>
      <c r="CS22" s="74">
        <f>G22+ L22+ V22+ AF22+ AP22+ AZ22+ BJ22+ BT22+ CD22+ CN22</f>
        <v/>
      </c>
      <c r="CT22" s="74">
        <f>H22+ M22+ W22+ AG22+ AQ22+ BA22+ BK22+ BU22+ CE22+ CO22</f>
        <v/>
      </c>
      <c r="CU22" s="74">
        <f>CT22-CS22</f>
        <v/>
      </c>
      <c r="CV22" s="75">
        <f>IF(CS22=0,"",CT22/CS22)</f>
        <v/>
      </c>
      <c r="CW22" s="52" t="n"/>
      <c r="CX22" s="72" t="n"/>
      <c r="CY22" s="72" t="n"/>
      <c r="CZ22" s="72">
        <f>CY22-CX22</f>
        <v/>
      </c>
      <c r="DA22" s="73">
        <f>IF(CX22=0,"",CY22/CX22)</f>
        <v/>
      </c>
      <c r="DB22" s="46" t="n"/>
      <c r="DC22" s="74">
        <f>G22+ L22+ V22+ AF22+ AP22+ AZ22+ BJ22+ BT22+ CD22+ CN22+ CX22</f>
        <v/>
      </c>
      <c r="DD22" s="74">
        <f>H22+ M22+ W22+ AG22+ AQ22+ BA22+ BK22+ BU22+ CE22+ CO22+ CY22</f>
        <v/>
      </c>
      <c r="DE22" s="74">
        <f>DD22-DC22</f>
        <v/>
      </c>
      <c r="DF22" s="75">
        <f>IF(DC22=0,"",DD22/DC22)</f>
        <v/>
      </c>
      <c r="DG22" s="52" t="n"/>
      <c r="DH22" s="72" t="n"/>
      <c r="DI22" s="72" t="n"/>
      <c r="DJ22" s="72">
        <f>DI22-DH22</f>
        <v/>
      </c>
      <c r="DK22" s="73">
        <f>IF(DH22=0,"",DI22/DH22)</f>
        <v/>
      </c>
      <c r="DL22" s="46" t="n"/>
      <c r="DM22" s="74">
        <f>G22+ L22+ V22+ AF22+ AP22+ AZ22+ BJ22+ BT22+ CD22+ CN22+ CX22+ DH22</f>
        <v/>
      </c>
      <c r="DN22" s="74">
        <f>H22+ M22+ W22+ AG22+ AQ22+ BA22+ BK22+ BU22+ CE22+ CO22+ CY22+ DI22</f>
        <v/>
      </c>
      <c r="DO22" s="74">
        <f>DN22-DM22</f>
        <v/>
      </c>
      <c r="DP22" s="75">
        <f>IF(DM22=0,"",DN22/DM22)</f>
        <v/>
      </c>
      <c r="DQ22" s="52" t="n"/>
      <c r="DR22" s="72">
        <f>G22+L22+V22+AF22+AP22+AZ22+BJ22+BT22+CD22+CN22+CX22+DH22</f>
        <v/>
      </c>
    </row>
    <row r="23" ht="15" customHeight="1">
      <c r="A23" s="67" t="n"/>
      <c r="B23" s="67" t="n"/>
      <c r="C23" s="67" t="n"/>
      <c r="D23" s="46" t="n"/>
      <c r="E23" s="46" t="n"/>
      <c r="F23" s="47" t="n"/>
      <c r="G23" s="72" t="n"/>
      <c r="H23" s="72" t="n"/>
      <c r="I23" s="72">
        <f>H23-G23</f>
        <v/>
      </c>
      <c r="J23" s="73">
        <f>IF(G23=0,"",H23/G23)</f>
        <v/>
      </c>
      <c r="K23" s="46" t="n"/>
      <c r="L23" s="72" t="n"/>
      <c r="M23" s="72" t="n"/>
      <c r="N23" s="72">
        <f>M23-L23</f>
        <v/>
      </c>
      <c r="O23" s="73">
        <f>IF(L23=0,"",M23/L23)</f>
        <v/>
      </c>
      <c r="P23" s="46" t="n"/>
      <c r="Q23" s="74">
        <f>G23+ L23</f>
        <v/>
      </c>
      <c r="R23" s="74">
        <f>H23+ M23</f>
        <v/>
      </c>
      <c r="S23" s="74">
        <f>R23-Q23</f>
        <v/>
      </c>
      <c r="T23" s="75">
        <f>IF(Q23=0,"",R23/Q23)</f>
        <v/>
      </c>
      <c r="U23" s="52" t="n"/>
      <c r="V23" s="72" t="n"/>
      <c r="W23" s="72" t="n"/>
      <c r="X23" s="72">
        <f>W23-V23</f>
        <v/>
      </c>
      <c r="Y23" s="73">
        <f>IF(V23=0,"",W23/V23)</f>
        <v/>
      </c>
      <c r="Z23" s="46" t="n"/>
      <c r="AA23" s="74">
        <f>G23+ L23+ V23</f>
        <v/>
      </c>
      <c r="AB23" s="74">
        <f>H23+ M23+ W23</f>
        <v/>
      </c>
      <c r="AC23" s="74">
        <f>AB23-AA23</f>
        <v/>
      </c>
      <c r="AD23" s="75">
        <f>IF(AA23=0,"",AB23/AA23)</f>
        <v/>
      </c>
      <c r="AE23" s="52" t="n"/>
      <c r="AF23" s="72" t="n"/>
      <c r="AG23" s="72" t="n"/>
      <c r="AH23" s="72">
        <f>AG23-AF23</f>
        <v/>
      </c>
      <c r="AI23" s="73">
        <f>IF(AF23=0,"",AG23/AF23)</f>
        <v/>
      </c>
      <c r="AJ23" s="46" t="n"/>
      <c r="AK23" s="74">
        <f>G23+ L23+ V23+ AF23</f>
        <v/>
      </c>
      <c r="AL23" s="74">
        <f>H23+ M23+ W23+ AG23</f>
        <v/>
      </c>
      <c r="AM23" s="74">
        <f>AL23-AK23</f>
        <v/>
      </c>
      <c r="AN23" s="75">
        <f>IF(AK23=0,"",AL23/AK23)</f>
        <v/>
      </c>
      <c r="AO23" s="52" t="n"/>
      <c r="AP23" s="72" t="n"/>
      <c r="AQ23" s="72" t="n"/>
      <c r="AR23" s="72">
        <f>AQ23-AP23</f>
        <v/>
      </c>
      <c r="AS23" s="73">
        <f>IF(AP23=0,"",AQ23/AP23)</f>
        <v/>
      </c>
      <c r="AT23" s="46" t="n"/>
      <c r="AU23" s="74">
        <f>G23+ L23+ V23+ AF23+ AP23</f>
        <v/>
      </c>
      <c r="AV23" s="74">
        <f>H23+ M23+ W23+ AG23+ AQ23</f>
        <v/>
      </c>
      <c r="AW23" s="74">
        <f>AV23-AU23</f>
        <v/>
      </c>
      <c r="AX23" s="75">
        <f>IF(AU23=0,"",AV23/AU23)</f>
        <v/>
      </c>
      <c r="AY23" s="52" t="n"/>
      <c r="AZ23" s="72" t="n"/>
      <c r="BA23" s="72" t="n"/>
      <c r="BB23" s="72">
        <f>BA23-AZ23</f>
        <v/>
      </c>
      <c r="BC23" s="73">
        <f>IF(AZ23=0,"",BA23/AZ23)</f>
        <v/>
      </c>
      <c r="BD23" s="46" t="n"/>
      <c r="BE23" s="74">
        <f>G23+ L23+ V23+ AF23+ AP23+ AZ23</f>
        <v/>
      </c>
      <c r="BF23" s="74">
        <f>H23+ M23+ W23+ AG23+ AQ23+ BA23</f>
        <v/>
      </c>
      <c r="BG23" s="74">
        <f>BF23-BE23</f>
        <v/>
      </c>
      <c r="BH23" s="75">
        <f>IF(BE23=0,"",BF23/BE23)</f>
        <v/>
      </c>
      <c r="BI23" s="52" t="n"/>
      <c r="BJ23" s="72" t="n"/>
      <c r="BK23" s="72" t="n"/>
      <c r="BL23" s="72">
        <f>BK23-BJ23</f>
        <v/>
      </c>
      <c r="BM23" s="73">
        <f>IF(BJ23=0,"",BK23/BJ23)</f>
        <v/>
      </c>
      <c r="BN23" s="46" t="n"/>
      <c r="BO23" s="74">
        <f>G23+ L23+ V23+ AF23+ AP23+ AZ23+ BJ23</f>
        <v/>
      </c>
      <c r="BP23" s="74">
        <f>H23+ M23+ W23+ AG23+ AQ23+ BA23+ BK23</f>
        <v/>
      </c>
      <c r="BQ23" s="74">
        <f>BP23-BO23</f>
        <v/>
      </c>
      <c r="BR23" s="75">
        <f>IF(BO23=0,"",BP23/BO23)</f>
        <v/>
      </c>
      <c r="BS23" s="52" t="n"/>
      <c r="BT23" s="72" t="n"/>
      <c r="BU23" s="72" t="n"/>
      <c r="BV23" s="72">
        <f>BU23-BT23</f>
        <v/>
      </c>
      <c r="BW23" s="73">
        <f>IF(BT23=0,"",BU23/BT23)</f>
        <v/>
      </c>
      <c r="BX23" s="46" t="n"/>
      <c r="BY23" s="74">
        <f>G23+ L23+ V23+ AF23+ AP23+ AZ23+ BJ23+ BT23</f>
        <v/>
      </c>
      <c r="BZ23" s="74">
        <f>H23+ M23+ W23+ AG23+ AQ23+ BA23+ BK23+ BU23</f>
        <v/>
      </c>
      <c r="CA23" s="74">
        <f>BZ23-BY23</f>
        <v/>
      </c>
      <c r="CB23" s="75">
        <f>IF(BY23=0,"",BZ23/BY23)</f>
        <v/>
      </c>
      <c r="CC23" s="52" t="n"/>
      <c r="CD23" s="72" t="n"/>
      <c r="CE23" s="72" t="n"/>
      <c r="CF23" s="72">
        <f>CE23-CD23</f>
        <v/>
      </c>
      <c r="CG23" s="73">
        <f>IF(CD23=0,"",CE23/CD23)</f>
        <v/>
      </c>
      <c r="CH23" s="46" t="n"/>
      <c r="CI23" s="74">
        <f>G23+ L23+ V23+ AF23+ AP23+ AZ23+ BJ23+ BT23+ CD23</f>
        <v/>
      </c>
      <c r="CJ23" s="74">
        <f>H23+ M23+ W23+ AG23+ AQ23+ BA23+ BK23+ BU23+ CE23</f>
        <v/>
      </c>
      <c r="CK23" s="74">
        <f>CJ23-CI23</f>
        <v/>
      </c>
      <c r="CL23" s="75">
        <f>IF(CI23=0,"",CJ23/CI23)</f>
        <v/>
      </c>
      <c r="CM23" s="52" t="n"/>
      <c r="CN23" s="72" t="n"/>
      <c r="CO23" s="72" t="n"/>
      <c r="CP23" s="72">
        <f>CO23-CN23</f>
        <v/>
      </c>
      <c r="CQ23" s="73">
        <f>IF(CN23=0,"",CO23/CN23)</f>
        <v/>
      </c>
      <c r="CR23" s="46" t="n"/>
      <c r="CS23" s="74">
        <f>G23+ L23+ V23+ AF23+ AP23+ AZ23+ BJ23+ BT23+ CD23+ CN23</f>
        <v/>
      </c>
      <c r="CT23" s="74">
        <f>H23+ M23+ W23+ AG23+ AQ23+ BA23+ BK23+ BU23+ CE23+ CO23</f>
        <v/>
      </c>
      <c r="CU23" s="74">
        <f>CT23-CS23</f>
        <v/>
      </c>
      <c r="CV23" s="75">
        <f>IF(CS23=0,"",CT23/CS23)</f>
        <v/>
      </c>
      <c r="CW23" s="52" t="n"/>
      <c r="CX23" s="72" t="n"/>
      <c r="CY23" s="72" t="n"/>
      <c r="CZ23" s="72">
        <f>CY23-CX23</f>
        <v/>
      </c>
      <c r="DA23" s="73">
        <f>IF(CX23=0,"",CY23/CX23)</f>
        <v/>
      </c>
      <c r="DB23" s="46" t="n"/>
      <c r="DC23" s="74">
        <f>G23+ L23+ V23+ AF23+ AP23+ AZ23+ BJ23+ BT23+ CD23+ CN23+ CX23</f>
        <v/>
      </c>
      <c r="DD23" s="74">
        <f>H23+ M23+ W23+ AG23+ AQ23+ BA23+ BK23+ BU23+ CE23+ CO23+ CY23</f>
        <v/>
      </c>
      <c r="DE23" s="74">
        <f>DD23-DC23</f>
        <v/>
      </c>
      <c r="DF23" s="75">
        <f>IF(DC23=0,"",DD23/DC23)</f>
        <v/>
      </c>
      <c r="DG23" s="52" t="n"/>
      <c r="DH23" s="72" t="n"/>
      <c r="DI23" s="72" t="n"/>
      <c r="DJ23" s="72">
        <f>DI23-DH23</f>
        <v/>
      </c>
      <c r="DK23" s="73">
        <f>IF(DH23=0,"",DI23/DH23)</f>
        <v/>
      </c>
      <c r="DL23" s="46" t="n"/>
      <c r="DM23" s="74">
        <f>G23+ L23+ V23+ AF23+ AP23+ AZ23+ BJ23+ BT23+ CD23+ CN23+ CX23+ DH23</f>
        <v/>
      </c>
      <c r="DN23" s="74">
        <f>H23+ M23+ W23+ AG23+ AQ23+ BA23+ BK23+ BU23+ CE23+ CO23+ CY23+ DI23</f>
        <v/>
      </c>
      <c r="DO23" s="74">
        <f>DN23-DM23</f>
        <v/>
      </c>
      <c r="DP23" s="75">
        <f>IF(DM23=0,"",DN23/DM23)</f>
        <v/>
      </c>
      <c r="DQ23" s="52" t="n"/>
      <c r="DR23" s="72">
        <f>G23+L23+V23+AF23+AP23+AZ23+BJ23+BT23+CD23+CN23+CX23+DH23</f>
        <v/>
      </c>
    </row>
    <row r="24" ht="15" customHeight="1">
      <c r="A24" s="67" t="n"/>
      <c r="B24" s="67" t="n"/>
      <c r="C24" s="67" t="n"/>
      <c r="D24" s="46" t="n"/>
      <c r="E24" s="46" t="n"/>
      <c r="F24" s="47" t="n"/>
      <c r="G24" s="72" t="n"/>
      <c r="H24" s="72" t="n"/>
      <c r="I24" s="72">
        <f>H24-G24</f>
        <v/>
      </c>
      <c r="J24" s="73">
        <f>IF(G24=0,"",H24/G24)</f>
        <v/>
      </c>
      <c r="K24" s="46" t="n"/>
      <c r="L24" s="72" t="n"/>
      <c r="M24" s="72" t="n"/>
      <c r="N24" s="72">
        <f>M24-L24</f>
        <v/>
      </c>
      <c r="O24" s="73">
        <f>IF(L24=0,"",M24/L24)</f>
        <v/>
      </c>
      <c r="P24" s="46" t="n"/>
      <c r="Q24" s="74">
        <f>G24+ L24</f>
        <v/>
      </c>
      <c r="R24" s="74">
        <f>H24+ M24</f>
        <v/>
      </c>
      <c r="S24" s="74">
        <f>R24-Q24</f>
        <v/>
      </c>
      <c r="T24" s="75">
        <f>IF(Q24=0,"",R24/Q24)</f>
        <v/>
      </c>
      <c r="U24" s="52" t="n"/>
      <c r="V24" s="72" t="n"/>
      <c r="W24" s="72" t="n"/>
      <c r="X24" s="72">
        <f>W24-V24</f>
        <v/>
      </c>
      <c r="Y24" s="73">
        <f>IF(V24=0,"",W24/V24)</f>
        <v/>
      </c>
      <c r="Z24" s="46" t="n"/>
      <c r="AA24" s="74">
        <f>G24+ L24+ V24</f>
        <v/>
      </c>
      <c r="AB24" s="74">
        <f>H24+ M24+ W24</f>
        <v/>
      </c>
      <c r="AC24" s="74">
        <f>AB24-AA24</f>
        <v/>
      </c>
      <c r="AD24" s="75">
        <f>IF(AA24=0,"",AB24/AA24)</f>
        <v/>
      </c>
      <c r="AE24" s="52" t="n"/>
      <c r="AF24" s="72" t="n"/>
      <c r="AG24" s="72" t="n"/>
      <c r="AH24" s="72">
        <f>AG24-AF24</f>
        <v/>
      </c>
      <c r="AI24" s="73">
        <f>IF(AF24=0,"",AG24/AF24)</f>
        <v/>
      </c>
      <c r="AJ24" s="46" t="n"/>
      <c r="AK24" s="74">
        <f>G24+ L24+ V24+ AF24</f>
        <v/>
      </c>
      <c r="AL24" s="74">
        <f>H24+ M24+ W24+ AG24</f>
        <v/>
      </c>
      <c r="AM24" s="74">
        <f>AL24-AK24</f>
        <v/>
      </c>
      <c r="AN24" s="75">
        <f>IF(AK24=0,"",AL24/AK24)</f>
        <v/>
      </c>
      <c r="AO24" s="52" t="n"/>
      <c r="AP24" s="72" t="n"/>
      <c r="AQ24" s="72" t="n"/>
      <c r="AR24" s="72">
        <f>AQ24-AP24</f>
        <v/>
      </c>
      <c r="AS24" s="73">
        <f>IF(AP24=0,"",AQ24/AP24)</f>
        <v/>
      </c>
      <c r="AT24" s="46" t="n"/>
      <c r="AU24" s="74">
        <f>G24+ L24+ V24+ AF24+ AP24</f>
        <v/>
      </c>
      <c r="AV24" s="74">
        <f>H24+ M24+ W24+ AG24+ AQ24</f>
        <v/>
      </c>
      <c r="AW24" s="74">
        <f>AV24-AU24</f>
        <v/>
      </c>
      <c r="AX24" s="75">
        <f>IF(AU24=0,"",AV24/AU24)</f>
        <v/>
      </c>
      <c r="AY24" s="52" t="n"/>
      <c r="AZ24" s="72" t="n"/>
      <c r="BA24" s="72" t="n"/>
      <c r="BB24" s="72">
        <f>BA24-AZ24</f>
        <v/>
      </c>
      <c r="BC24" s="73">
        <f>IF(AZ24=0,"",BA24/AZ24)</f>
        <v/>
      </c>
      <c r="BD24" s="46" t="n"/>
      <c r="BE24" s="74">
        <f>G24+ L24+ V24+ AF24+ AP24+ AZ24</f>
        <v/>
      </c>
      <c r="BF24" s="74">
        <f>H24+ M24+ W24+ AG24+ AQ24+ BA24</f>
        <v/>
      </c>
      <c r="BG24" s="74">
        <f>BF24-BE24</f>
        <v/>
      </c>
      <c r="BH24" s="75">
        <f>IF(BE24=0,"",BF24/BE24)</f>
        <v/>
      </c>
      <c r="BI24" s="52" t="n"/>
      <c r="BJ24" s="72" t="n"/>
      <c r="BK24" s="72" t="n"/>
      <c r="BL24" s="72">
        <f>BK24-BJ24</f>
        <v/>
      </c>
      <c r="BM24" s="73">
        <f>IF(BJ24=0,"",BK24/BJ24)</f>
        <v/>
      </c>
      <c r="BN24" s="46" t="n"/>
      <c r="BO24" s="74">
        <f>G24+ L24+ V24+ AF24+ AP24+ AZ24+ BJ24</f>
        <v/>
      </c>
      <c r="BP24" s="74">
        <f>H24+ M24+ W24+ AG24+ AQ24+ BA24+ BK24</f>
        <v/>
      </c>
      <c r="BQ24" s="74">
        <f>BP24-BO24</f>
        <v/>
      </c>
      <c r="BR24" s="75">
        <f>IF(BO24=0,"",BP24/BO24)</f>
        <v/>
      </c>
      <c r="BS24" s="52" t="n"/>
      <c r="BT24" s="72" t="n"/>
      <c r="BU24" s="72" t="n"/>
      <c r="BV24" s="72">
        <f>BU24-BT24</f>
        <v/>
      </c>
      <c r="BW24" s="73">
        <f>IF(BT24=0,"",BU24/BT24)</f>
        <v/>
      </c>
      <c r="BX24" s="46" t="n"/>
      <c r="BY24" s="74">
        <f>G24+ L24+ V24+ AF24+ AP24+ AZ24+ BJ24+ BT24</f>
        <v/>
      </c>
      <c r="BZ24" s="74">
        <f>H24+ M24+ W24+ AG24+ AQ24+ BA24+ BK24+ BU24</f>
        <v/>
      </c>
      <c r="CA24" s="74">
        <f>BZ24-BY24</f>
        <v/>
      </c>
      <c r="CB24" s="75">
        <f>IF(BY24=0,"",BZ24/BY24)</f>
        <v/>
      </c>
      <c r="CC24" s="52" t="n"/>
      <c r="CD24" s="72" t="n"/>
      <c r="CE24" s="72" t="n"/>
      <c r="CF24" s="72">
        <f>CE24-CD24</f>
        <v/>
      </c>
      <c r="CG24" s="73">
        <f>IF(CD24=0,"",CE24/CD24)</f>
        <v/>
      </c>
      <c r="CH24" s="46" t="n"/>
      <c r="CI24" s="74">
        <f>G24+ L24+ V24+ AF24+ AP24+ AZ24+ BJ24+ BT24+ CD24</f>
        <v/>
      </c>
      <c r="CJ24" s="74">
        <f>H24+ M24+ W24+ AG24+ AQ24+ BA24+ BK24+ BU24+ CE24</f>
        <v/>
      </c>
      <c r="CK24" s="74">
        <f>CJ24-CI24</f>
        <v/>
      </c>
      <c r="CL24" s="75">
        <f>IF(CI24=0,"",CJ24/CI24)</f>
        <v/>
      </c>
      <c r="CM24" s="52" t="n"/>
      <c r="CN24" s="72" t="n"/>
      <c r="CO24" s="72" t="n"/>
      <c r="CP24" s="72">
        <f>CO24-CN24</f>
        <v/>
      </c>
      <c r="CQ24" s="73">
        <f>IF(CN24=0,"",CO24/CN24)</f>
        <v/>
      </c>
      <c r="CR24" s="46" t="n"/>
      <c r="CS24" s="74">
        <f>G24+ L24+ V24+ AF24+ AP24+ AZ24+ BJ24+ BT24+ CD24+ CN24</f>
        <v/>
      </c>
      <c r="CT24" s="74">
        <f>H24+ M24+ W24+ AG24+ AQ24+ BA24+ BK24+ BU24+ CE24+ CO24</f>
        <v/>
      </c>
      <c r="CU24" s="74">
        <f>CT24-CS24</f>
        <v/>
      </c>
      <c r="CV24" s="75">
        <f>IF(CS24=0,"",CT24/CS24)</f>
        <v/>
      </c>
      <c r="CW24" s="52" t="n"/>
      <c r="CX24" s="72" t="n"/>
      <c r="CY24" s="72" t="n"/>
      <c r="CZ24" s="72">
        <f>CY24-CX24</f>
        <v/>
      </c>
      <c r="DA24" s="73">
        <f>IF(CX24=0,"",CY24/CX24)</f>
        <v/>
      </c>
      <c r="DB24" s="46" t="n"/>
      <c r="DC24" s="74">
        <f>G24+ L24+ V24+ AF24+ AP24+ AZ24+ BJ24+ BT24+ CD24+ CN24+ CX24</f>
        <v/>
      </c>
      <c r="DD24" s="74">
        <f>H24+ M24+ W24+ AG24+ AQ24+ BA24+ BK24+ BU24+ CE24+ CO24+ CY24</f>
        <v/>
      </c>
      <c r="DE24" s="74">
        <f>DD24-DC24</f>
        <v/>
      </c>
      <c r="DF24" s="75">
        <f>IF(DC24=0,"",DD24/DC24)</f>
        <v/>
      </c>
      <c r="DG24" s="52" t="n"/>
      <c r="DH24" s="72" t="n"/>
      <c r="DI24" s="72" t="n"/>
      <c r="DJ24" s="72">
        <f>DI24-DH24</f>
        <v/>
      </c>
      <c r="DK24" s="73">
        <f>IF(DH24=0,"",DI24/DH24)</f>
        <v/>
      </c>
      <c r="DL24" s="46" t="n"/>
      <c r="DM24" s="74">
        <f>G24+ L24+ V24+ AF24+ AP24+ AZ24+ BJ24+ BT24+ CD24+ CN24+ CX24+ DH24</f>
        <v/>
      </c>
      <c r="DN24" s="74">
        <f>H24+ M24+ W24+ AG24+ AQ24+ BA24+ BK24+ BU24+ CE24+ CO24+ CY24+ DI24</f>
        <v/>
      </c>
      <c r="DO24" s="74">
        <f>DN24-DM24</f>
        <v/>
      </c>
      <c r="DP24" s="75">
        <f>IF(DM24=0,"",DN24/DM24)</f>
        <v/>
      </c>
      <c r="DQ24" s="52" t="n"/>
      <c r="DR24" s="72">
        <f>G24+L24+V24+AF24+AP24+AZ24+BJ24+BT24+CD24+CN24+CX24+DH24</f>
        <v/>
      </c>
    </row>
    <row r="25" ht="15" customHeight="1">
      <c r="A25" s="55" t="n"/>
      <c r="B25" s="55" t="n"/>
      <c r="C25" s="55" t="n"/>
      <c r="D25" s="46" t="n"/>
      <c r="E25" s="46" t="n"/>
      <c r="F25" s="47" t="n"/>
      <c r="G25" s="72" t="n"/>
      <c r="H25" s="72" t="n"/>
      <c r="I25" s="72">
        <f>H25-G25</f>
        <v/>
      </c>
      <c r="J25" s="73">
        <f>IF(G25=0,"",H25/G25)</f>
        <v/>
      </c>
      <c r="K25" s="46" t="n"/>
      <c r="L25" s="72" t="n"/>
      <c r="M25" s="72" t="n"/>
      <c r="N25" s="72">
        <f>M25-L25</f>
        <v/>
      </c>
      <c r="O25" s="73">
        <f>IF(L25=0,"",M25/L25)</f>
        <v/>
      </c>
      <c r="P25" s="46" t="n"/>
      <c r="Q25" s="74">
        <f>G25+ L25</f>
        <v/>
      </c>
      <c r="R25" s="74">
        <f>H25+ M25</f>
        <v/>
      </c>
      <c r="S25" s="74">
        <f>R25-Q25</f>
        <v/>
      </c>
      <c r="T25" s="75">
        <f>IF(Q25=0,"",R25/Q25)</f>
        <v/>
      </c>
      <c r="U25" s="52" t="n"/>
      <c r="V25" s="72" t="n"/>
      <c r="W25" s="72" t="n"/>
      <c r="X25" s="72">
        <f>W25-V25</f>
        <v/>
      </c>
      <c r="Y25" s="73">
        <f>IF(V25=0,"",W25/V25)</f>
        <v/>
      </c>
      <c r="Z25" s="46" t="n"/>
      <c r="AA25" s="74">
        <f>G25+ L25+ V25</f>
        <v/>
      </c>
      <c r="AB25" s="74">
        <f>H25+ M25+ W25</f>
        <v/>
      </c>
      <c r="AC25" s="74">
        <f>AB25-AA25</f>
        <v/>
      </c>
      <c r="AD25" s="75">
        <f>IF(AA25=0,"",AB25/AA25)</f>
        <v/>
      </c>
      <c r="AE25" s="52" t="n"/>
      <c r="AF25" s="72" t="n"/>
      <c r="AG25" s="72" t="n"/>
      <c r="AH25" s="72">
        <f>AG25-AF25</f>
        <v/>
      </c>
      <c r="AI25" s="73">
        <f>IF(AF25=0,"",AG25/AF25)</f>
        <v/>
      </c>
      <c r="AJ25" s="46" t="n"/>
      <c r="AK25" s="74">
        <f>G25+ L25+ V25+ AF25</f>
        <v/>
      </c>
      <c r="AL25" s="74">
        <f>H25+ M25+ W25+ AG25</f>
        <v/>
      </c>
      <c r="AM25" s="74">
        <f>AL25-AK25</f>
        <v/>
      </c>
      <c r="AN25" s="75">
        <f>IF(AK25=0,"",AL25/AK25)</f>
        <v/>
      </c>
      <c r="AO25" s="52" t="n"/>
      <c r="AP25" s="72" t="n"/>
      <c r="AQ25" s="72" t="n"/>
      <c r="AR25" s="72">
        <f>AQ25-AP25</f>
        <v/>
      </c>
      <c r="AS25" s="73">
        <f>IF(AP25=0,"",AQ25/AP25)</f>
        <v/>
      </c>
      <c r="AT25" s="46" t="n"/>
      <c r="AU25" s="74">
        <f>G25+ L25+ V25+ AF25+ AP25</f>
        <v/>
      </c>
      <c r="AV25" s="74">
        <f>H25+ M25+ W25+ AG25+ AQ25</f>
        <v/>
      </c>
      <c r="AW25" s="74">
        <f>AV25-AU25</f>
        <v/>
      </c>
      <c r="AX25" s="75">
        <f>IF(AU25=0,"",AV25/AU25)</f>
        <v/>
      </c>
      <c r="AY25" s="52" t="n"/>
      <c r="AZ25" s="72" t="n"/>
      <c r="BA25" s="72" t="n"/>
      <c r="BB25" s="72">
        <f>BA25-AZ25</f>
        <v/>
      </c>
      <c r="BC25" s="73">
        <f>IF(AZ25=0,"",BA25/AZ25)</f>
        <v/>
      </c>
      <c r="BD25" s="46" t="n"/>
      <c r="BE25" s="74">
        <f>G25+ L25+ V25+ AF25+ AP25+ AZ25</f>
        <v/>
      </c>
      <c r="BF25" s="74">
        <f>H25+ M25+ W25+ AG25+ AQ25+ BA25</f>
        <v/>
      </c>
      <c r="BG25" s="74">
        <f>BF25-BE25</f>
        <v/>
      </c>
      <c r="BH25" s="75">
        <f>IF(BE25=0,"",BF25/BE25)</f>
        <v/>
      </c>
      <c r="BI25" s="52" t="n"/>
      <c r="BJ25" s="72" t="n"/>
      <c r="BK25" s="72" t="n"/>
      <c r="BL25" s="72">
        <f>BK25-BJ25</f>
        <v/>
      </c>
      <c r="BM25" s="73">
        <f>IF(BJ25=0,"",BK25/BJ25)</f>
        <v/>
      </c>
      <c r="BN25" s="46" t="n"/>
      <c r="BO25" s="74">
        <f>G25+ L25+ V25+ AF25+ AP25+ AZ25+ BJ25</f>
        <v/>
      </c>
      <c r="BP25" s="74">
        <f>H25+ M25+ W25+ AG25+ AQ25+ BA25+ BK25</f>
        <v/>
      </c>
      <c r="BQ25" s="74">
        <f>BP25-BO25</f>
        <v/>
      </c>
      <c r="BR25" s="75">
        <f>IF(BO25=0,"",BP25/BO25)</f>
        <v/>
      </c>
      <c r="BS25" s="52" t="n"/>
      <c r="BT25" s="72" t="n"/>
      <c r="BU25" s="72" t="n"/>
      <c r="BV25" s="72">
        <f>BU25-BT25</f>
        <v/>
      </c>
      <c r="BW25" s="73">
        <f>IF(BT25=0,"",BU25/BT25)</f>
        <v/>
      </c>
      <c r="BX25" s="46" t="n"/>
      <c r="BY25" s="74">
        <f>G25+ L25+ V25+ AF25+ AP25+ AZ25+ BJ25+ BT25</f>
        <v/>
      </c>
      <c r="BZ25" s="74">
        <f>H25+ M25+ W25+ AG25+ AQ25+ BA25+ BK25+ BU25</f>
        <v/>
      </c>
      <c r="CA25" s="74">
        <f>BZ25-BY25</f>
        <v/>
      </c>
      <c r="CB25" s="75">
        <f>IF(BY25=0,"",BZ25/BY25)</f>
        <v/>
      </c>
      <c r="CC25" s="52" t="n"/>
      <c r="CD25" s="72" t="n"/>
      <c r="CE25" s="72" t="n"/>
      <c r="CF25" s="72">
        <f>CE25-CD25</f>
        <v/>
      </c>
      <c r="CG25" s="73">
        <f>IF(CD25=0,"",CE25/CD25)</f>
        <v/>
      </c>
      <c r="CH25" s="46" t="n"/>
      <c r="CI25" s="74">
        <f>G25+ L25+ V25+ AF25+ AP25+ AZ25+ BJ25+ BT25+ CD25</f>
        <v/>
      </c>
      <c r="CJ25" s="74">
        <f>H25+ M25+ W25+ AG25+ AQ25+ BA25+ BK25+ BU25+ CE25</f>
        <v/>
      </c>
      <c r="CK25" s="74">
        <f>CJ25-CI25</f>
        <v/>
      </c>
      <c r="CL25" s="75">
        <f>IF(CI25=0,"",CJ25/CI25)</f>
        <v/>
      </c>
      <c r="CM25" s="52" t="n"/>
      <c r="CN25" s="72" t="n"/>
      <c r="CO25" s="72" t="n"/>
      <c r="CP25" s="72">
        <f>CO25-CN25</f>
        <v/>
      </c>
      <c r="CQ25" s="73">
        <f>IF(CN25=0,"",CO25/CN25)</f>
        <v/>
      </c>
      <c r="CR25" s="46" t="n"/>
      <c r="CS25" s="74">
        <f>G25+ L25+ V25+ AF25+ AP25+ AZ25+ BJ25+ BT25+ CD25+ CN25</f>
        <v/>
      </c>
      <c r="CT25" s="74">
        <f>H25+ M25+ W25+ AG25+ AQ25+ BA25+ BK25+ BU25+ CE25+ CO25</f>
        <v/>
      </c>
      <c r="CU25" s="74">
        <f>CT25-CS25</f>
        <v/>
      </c>
      <c r="CV25" s="75">
        <f>IF(CS25=0,"",CT25/CS25)</f>
        <v/>
      </c>
      <c r="CW25" s="52" t="n"/>
      <c r="CX25" s="72" t="n"/>
      <c r="CY25" s="72" t="n"/>
      <c r="CZ25" s="72">
        <f>CY25-CX25</f>
        <v/>
      </c>
      <c r="DA25" s="73">
        <f>IF(CX25=0,"",CY25/CX25)</f>
        <v/>
      </c>
      <c r="DB25" s="46" t="n"/>
      <c r="DC25" s="74">
        <f>G25+ L25+ V25+ AF25+ AP25+ AZ25+ BJ25+ BT25+ CD25+ CN25+ CX25</f>
        <v/>
      </c>
      <c r="DD25" s="74">
        <f>H25+ M25+ W25+ AG25+ AQ25+ BA25+ BK25+ BU25+ CE25+ CO25+ CY25</f>
        <v/>
      </c>
      <c r="DE25" s="74">
        <f>DD25-DC25</f>
        <v/>
      </c>
      <c r="DF25" s="75">
        <f>IF(DC25=0,"",DD25/DC25)</f>
        <v/>
      </c>
      <c r="DG25" s="52" t="n"/>
      <c r="DH25" s="72" t="n"/>
      <c r="DI25" s="72" t="n"/>
      <c r="DJ25" s="72">
        <f>DI25-DH25</f>
        <v/>
      </c>
      <c r="DK25" s="73">
        <f>IF(DH25=0,"",DI25/DH25)</f>
        <v/>
      </c>
      <c r="DL25" s="46" t="n"/>
      <c r="DM25" s="74">
        <f>G25+ L25+ V25+ AF25+ AP25+ AZ25+ BJ25+ BT25+ CD25+ CN25+ CX25+ DH25</f>
        <v/>
      </c>
      <c r="DN25" s="74">
        <f>H25+ M25+ W25+ AG25+ AQ25+ BA25+ BK25+ BU25+ CE25+ CO25+ CY25+ DI25</f>
        <v/>
      </c>
      <c r="DO25" s="74">
        <f>DN25-DM25</f>
        <v/>
      </c>
      <c r="DP25" s="75">
        <f>IF(DM25=0,"",DN25/DM25)</f>
        <v/>
      </c>
      <c r="DQ25" s="52" t="n"/>
      <c r="DR25" s="72">
        <f>G25+L25+V25+AF25+AP25+AZ25+BJ25+BT25+CD25+CN25+CX25+DH25</f>
        <v/>
      </c>
    </row>
    <row r="26" ht="15" customHeight="1">
      <c r="A26" s="46" t="n"/>
      <c r="B26" s="46" t="n"/>
      <c r="C26" s="46" t="n"/>
      <c r="D26" s="46" t="n"/>
      <c r="E26" s="46" t="n"/>
      <c r="F26" s="47" t="n"/>
      <c r="G26" s="72" t="n"/>
      <c r="H26" s="72" t="n"/>
      <c r="I26" s="72">
        <f>H26-G26</f>
        <v/>
      </c>
      <c r="J26" s="73">
        <f>IF(G26=0,"",H26/G26)</f>
        <v/>
      </c>
      <c r="K26" s="46" t="n"/>
      <c r="L26" s="72" t="n"/>
      <c r="M26" s="72" t="n"/>
      <c r="N26" s="72">
        <f>M26-L26</f>
        <v/>
      </c>
      <c r="O26" s="73">
        <f>IF(L26=0,"",M26/L26)</f>
        <v/>
      </c>
      <c r="P26" s="46" t="n"/>
      <c r="Q26" s="74">
        <f>G26+ L26</f>
        <v/>
      </c>
      <c r="R26" s="74">
        <f>H26+ M26</f>
        <v/>
      </c>
      <c r="S26" s="74">
        <f>R26-Q26</f>
        <v/>
      </c>
      <c r="T26" s="75">
        <f>IF(Q26=0,"",R26/Q26)</f>
        <v/>
      </c>
      <c r="U26" s="52" t="n"/>
      <c r="V26" s="72" t="n"/>
      <c r="W26" s="72" t="n"/>
      <c r="X26" s="72">
        <f>W26-V26</f>
        <v/>
      </c>
      <c r="Y26" s="73">
        <f>IF(V26=0,"",W26/V26)</f>
        <v/>
      </c>
      <c r="Z26" s="46" t="n"/>
      <c r="AA26" s="74">
        <f>G26+ L26+ V26</f>
        <v/>
      </c>
      <c r="AB26" s="74">
        <f>H26+ M26+ W26</f>
        <v/>
      </c>
      <c r="AC26" s="74">
        <f>AB26-AA26</f>
        <v/>
      </c>
      <c r="AD26" s="75">
        <f>IF(AA26=0,"",AB26/AA26)</f>
        <v/>
      </c>
      <c r="AE26" s="52" t="n"/>
      <c r="AF26" s="72" t="n"/>
      <c r="AG26" s="72" t="n"/>
      <c r="AH26" s="72">
        <f>AG26-AF26</f>
        <v/>
      </c>
      <c r="AI26" s="73">
        <f>IF(AF26=0,"",AG26/AF26)</f>
        <v/>
      </c>
      <c r="AJ26" s="46" t="n"/>
      <c r="AK26" s="74">
        <f>G26+ L26+ V26+ AF26</f>
        <v/>
      </c>
      <c r="AL26" s="74">
        <f>H26+ M26+ W26+ AG26</f>
        <v/>
      </c>
      <c r="AM26" s="74">
        <f>AL26-AK26</f>
        <v/>
      </c>
      <c r="AN26" s="75">
        <f>IF(AK26=0,"",AL26/AK26)</f>
        <v/>
      </c>
      <c r="AO26" s="52" t="n"/>
      <c r="AP26" s="72" t="n"/>
      <c r="AQ26" s="72" t="n"/>
      <c r="AR26" s="72">
        <f>AQ26-AP26</f>
        <v/>
      </c>
      <c r="AS26" s="73">
        <f>IF(AP26=0,"",AQ26/AP26)</f>
        <v/>
      </c>
      <c r="AT26" s="46" t="n"/>
      <c r="AU26" s="74">
        <f>G26+ L26+ V26+ AF26+ AP26</f>
        <v/>
      </c>
      <c r="AV26" s="74">
        <f>H26+ M26+ W26+ AG26+ AQ26</f>
        <v/>
      </c>
      <c r="AW26" s="74">
        <f>AV26-AU26</f>
        <v/>
      </c>
      <c r="AX26" s="75">
        <f>IF(AU26=0,"",AV26/AU26)</f>
        <v/>
      </c>
      <c r="AY26" s="52" t="n"/>
      <c r="AZ26" s="72" t="n"/>
      <c r="BA26" s="72" t="n"/>
      <c r="BB26" s="72">
        <f>BA26-AZ26</f>
        <v/>
      </c>
      <c r="BC26" s="73">
        <f>IF(AZ26=0,"",BA26/AZ26)</f>
        <v/>
      </c>
      <c r="BD26" s="46" t="n"/>
      <c r="BE26" s="74">
        <f>G26+ L26+ V26+ AF26+ AP26+ AZ26</f>
        <v/>
      </c>
      <c r="BF26" s="74">
        <f>H26+ M26+ W26+ AG26+ AQ26+ BA26</f>
        <v/>
      </c>
      <c r="BG26" s="74">
        <f>BF26-BE26</f>
        <v/>
      </c>
      <c r="BH26" s="75">
        <f>IF(BE26=0,"",BF26/BE26)</f>
        <v/>
      </c>
      <c r="BI26" s="52" t="n"/>
      <c r="BJ26" s="72" t="n"/>
      <c r="BK26" s="72" t="n"/>
      <c r="BL26" s="72">
        <f>BK26-BJ26</f>
        <v/>
      </c>
      <c r="BM26" s="73">
        <f>IF(BJ26=0,"",BK26/BJ26)</f>
        <v/>
      </c>
      <c r="BN26" s="46" t="n"/>
      <c r="BO26" s="74">
        <f>G26+ L26+ V26+ AF26+ AP26+ AZ26+ BJ26</f>
        <v/>
      </c>
      <c r="BP26" s="74">
        <f>H26+ M26+ W26+ AG26+ AQ26+ BA26+ BK26</f>
        <v/>
      </c>
      <c r="BQ26" s="74">
        <f>BP26-BO26</f>
        <v/>
      </c>
      <c r="BR26" s="75">
        <f>IF(BO26=0,"",BP26/BO26)</f>
        <v/>
      </c>
      <c r="BS26" s="52" t="n"/>
      <c r="BT26" s="72" t="n"/>
      <c r="BU26" s="72" t="n"/>
      <c r="BV26" s="72">
        <f>BU26-BT26</f>
        <v/>
      </c>
      <c r="BW26" s="73">
        <f>IF(BT26=0,"",BU26/BT26)</f>
        <v/>
      </c>
      <c r="BX26" s="46" t="n"/>
      <c r="BY26" s="74">
        <f>G26+ L26+ V26+ AF26+ AP26+ AZ26+ BJ26+ BT26</f>
        <v/>
      </c>
      <c r="BZ26" s="74">
        <f>H26+ M26+ W26+ AG26+ AQ26+ BA26+ BK26+ BU26</f>
        <v/>
      </c>
      <c r="CA26" s="74">
        <f>BZ26-BY26</f>
        <v/>
      </c>
      <c r="CB26" s="75">
        <f>IF(BY26=0,"",BZ26/BY26)</f>
        <v/>
      </c>
      <c r="CC26" s="52" t="n"/>
      <c r="CD26" s="72" t="n"/>
      <c r="CE26" s="72" t="n"/>
      <c r="CF26" s="72">
        <f>CE26-CD26</f>
        <v/>
      </c>
      <c r="CG26" s="73">
        <f>IF(CD26=0,"",CE26/CD26)</f>
        <v/>
      </c>
      <c r="CH26" s="46" t="n"/>
      <c r="CI26" s="74">
        <f>G26+ L26+ V26+ AF26+ AP26+ AZ26+ BJ26+ BT26+ CD26</f>
        <v/>
      </c>
      <c r="CJ26" s="74">
        <f>H26+ M26+ W26+ AG26+ AQ26+ BA26+ BK26+ BU26+ CE26</f>
        <v/>
      </c>
      <c r="CK26" s="74">
        <f>CJ26-CI26</f>
        <v/>
      </c>
      <c r="CL26" s="75">
        <f>IF(CI26=0,"",CJ26/CI26)</f>
        <v/>
      </c>
      <c r="CM26" s="52" t="n"/>
      <c r="CN26" s="72" t="n"/>
      <c r="CO26" s="72" t="n"/>
      <c r="CP26" s="72">
        <f>CO26-CN26</f>
        <v/>
      </c>
      <c r="CQ26" s="73">
        <f>IF(CN26=0,"",CO26/CN26)</f>
        <v/>
      </c>
      <c r="CR26" s="46" t="n"/>
      <c r="CS26" s="74">
        <f>G26+ L26+ V26+ AF26+ AP26+ AZ26+ BJ26+ BT26+ CD26+ CN26</f>
        <v/>
      </c>
      <c r="CT26" s="74">
        <f>H26+ M26+ W26+ AG26+ AQ26+ BA26+ BK26+ BU26+ CE26+ CO26</f>
        <v/>
      </c>
      <c r="CU26" s="74">
        <f>CT26-CS26</f>
        <v/>
      </c>
      <c r="CV26" s="75">
        <f>IF(CS26=0,"",CT26/CS26)</f>
        <v/>
      </c>
      <c r="CW26" s="52" t="n"/>
      <c r="CX26" s="72" t="n"/>
      <c r="CY26" s="72" t="n"/>
      <c r="CZ26" s="72">
        <f>CY26-CX26</f>
        <v/>
      </c>
      <c r="DA26" s="73">
        <f>IF(CX26=0,"",CY26/CX26)</f>
        <v/>
      </c>
      <c r="DB26" s="46" t="n"/>
      <c r="DC26" s="74">
        <f>G26+ L26+ V26+ AF26+ AP26+ AZ26+ BJ26+ BT26+ CD26+ CN26+ CX26</f>
        <v/>
      </c>
      <c r="DD26" s="74">
        <f>H26+ M26+ W26+ AG26+ AQ26+ BA26+ BK26+ BU26+ CE26+ CO26+ CY26</f>
        <v/>
      </c>
      <c r="DE26" s="74">
        <f>DD26-DC26</f>
        <v/>
      </c>
      <c r="DF26" s="75">
        <f>IF(DC26=0,"",DD26/DC26)</f>
        <v/>
      </c>
      <c r="DG26" s="52" t="n"/>
      <c r="DH26" s="72" t="n"/>
      <c r="DI26" s="72" t="n"/>
      <c r="DJ26" s="72">
        <f>DI26-DH26</f>
        <v/>
      </c>
      <c r="DK26" s="73">
        <f>IF(DH26=0,"",DI26/DH26)</f>
        <v/>
      </c>
      <c r="DL26" s="46" t="n"/>
      <c r="DM26" s="74">
        <f>G26+ L26+ V26+ AF26+ AP26+ AZ26+ BJ26+ BT26+ CD26+ CN26+ CX26+ DH26</f>
        <v/>
      </c>
      <c r="DN26" s="74">
        <f>H26+ M26+ W26+ AG26+ AQ26+ BA26+ BK26+ BU26+ CE26+ CO26+ CY26+ DI26</f>
        <v/>
      </c>
      <c r="DO26" s="74">
        <f>DN26-DM26</f>
        <v/>
      </c>
      <c r="DP26" s="75">
        <f>IF(DM26=0,"",DN26/DM26)</f>
        <v/>
      </c>
      <c r="DQ26" s="52" t="n"/>
      <c r="DR26" s="72">
        <f>G26+L26+V26+AF26+AP26+AZ26+BJ26+BT26+CD26+CN26+CX26+DH26</f>
        <v/>
      </c>
    </row>
    <row r="27" ht="15" customHeight="1">
      <c r="A27" s="55" t="n"/>
      <c r="B27" s="55" t="n"/>
      <c r="C27" s="55" t="n"/>
      <c r="D27" s="46" t="n"/>
      <c r="E27" s="46" t="n"/>
      <c r="F27" s="47" t="n"/>
      <c r="G27" s="72" t="n"/>
      <c r="H27" s="72" t="n"/>
      <c r="I27" s="72">
        <f>H27-G27</f>
        <v/>
      </c>
      <c r="J27" s="73">
        <f>IF(G27=0,"",H27/G27)</f>
        <v/>
      </c>
      <c r="K27" s="46" t="n"/>
      <c r="L27" s="72" t="n"/>
      <c r="M27" s="72" t="n"/>
      <c r="N27" s="72">
        <f>M27-L27</f>
        <v/>
      </c>
      <c r="O27" s="73">
        <f>IF(L27=0,"",M27/L27)</f>
        <v/>
      </c>
      <c r="P27" s="46" t="n"/>
      <c r="Q27" s="74">
        <f>G27+ L27</f>
        <v/>
      </c>
      <c r="R27" s="74">
        <f>H27+ M27</f>
        <v/>
      </c>
      <c r="S27" s="74">
        <f>R27-Q27</f>
        <v/>
      </c>
      <c r="T27" s="75">
        <f>IF(Q27=0,"",R27/Q27)</f>
        <v/>
      </c>
      <c r="U27" s="52" t="n"/>
      <c r="V27" s="72" t="n"/>
      <c r="W27" s="72" t="n"/>
      <c r="X27" s="72">
        <f>W27-V27</f>
        <v/>
      </c>
      <c r="Y27" s="73">
        <f>IF(V27=0,"",W27/V27)</f>
        <v/>
      </c>
      <c r="Z27" s="46" t="n"/>
      <c r="AA27" s="74">
        <f>G27+ L27+ V27</f>
        <v/>
      </c>
      <c r="AB27" s="74">
        <f>H27+ M27+ W27</f>
        <v/>
      </c>
      <c r="AC27" s="74">
        <f>AB27-AA27</f>
        <v/>
      </c>
      <c r="AD27" s="75">
        <f>IF(AA27=0,"",AB27/AA27)</f>
        <v/>
      </c>
      <c r="AE27" s="52" t="n"/>
      <c r="AF27" s="72" t="n"/>
      <c r="AG27" s="72" t="n"/>
      <c r="AH27" s="72">
        <f>AG27-AF27</f>
        <v/>
      </c>
      <c r="AI27" s="73">
        <f>IF(AF27=0,"",AG27/AF27)</f>
        <v/>
      </c>
      <c r="AJ27" s="46" t="n"/>
      <c r="AK27" s="74">
        <f>G27+ L27+ V27+ AF27</f>
        <v/>
      </c>
      <c r="AL27" s="74">
        <f>H27+ M27+ W27+ AG27</f>
        <v/>
      </c>
      <c r="AM27" s="74">
        <f>AL27-AK27</f>
        <v/>
      </c>
      <c r="AN27" s="75">
        <f>IF(AK27=0,"",AL27/AK27)</f>
        <v/>
      </c>
      <c r="AO27" s="52" t="n"/>
      <c r="AP27" s="72" t="n"/>
      <c r="AQ27" s="72" t="n"/>
      <c r="AR27" s="72">
        <f>AQ27-AP27</f>
        <v/>
      </c>
      <c r="AS27" s="73">
        <f>IF(AP27=0,"",AQ27/AP27)</f>
        <v/>
      </c>
      <c r="AT27" s="46" t="n"/>
      <c r="AU27" s="74">
        <f>G27+ L27+ V27+ AF27+ AP27</f>
        <v/>
      </c>
      <c r="AV27" s="74">
        <f>H27+ M27+ W27+ AG27+ AQ27</f>
        <v/>
      </c>
      <c r="AW27" s="74">
        <f>AV27-AU27</f>
        <v/>
      </c>
      <c r="AX27" s="75">
        <f>IF(AU27=0,"",AV27/AU27)</f>
        <v/>
      </c>
      <c r="AY27" s="52" t="n"/>
      <c r="AZ27" s="72" t="n"/>
      <c r="BA27" s="72" t="n"/>
      <c r="BB27" s="72">
        <f>BA27-AZ27</f>
        <v/>
      </c>
      <c r="BC27" s="73">
        <f>IF(AZ27=0,"",BA27/AZ27)</f>
        <v/>
      </c>
      <c r="BD27" s="46" t="n"/>
      <c r="BE27" s="74">
        <f>G27+ L27+ V27+ AF27+ AP27+ AZ27</f>
        <v/>
      </c>
      <c r="BF27" s="74">
        <f>H27+ M27+ W27+ AG27+ AQ27+ BA27</f>
        <v/>
      </c>
      <c r="BG27" s="74">
        <f>BF27-BE27</f>
        <v/>
      </c>
      <c r="BH27" s="75">
        <f>IF(BE27=0,"",BF27/BE27)</f>
        <v/>
      </c>
      <c r="BI27" s="52" t="n"/>
      <c r="BJ27" s="72" t="n"/>
      <c r="BK27" s="72" t="n"/>
      <c r="BL27" s="72">
        <f>BK27-BJ27</f>
        <v/>
      </c>
      <c r="BM27" s="73">
        <f>IF(BJ27=0,"",BK27/BJ27)</f>
        <v/>
      </c>
      <c r="BN27" s="46" t="n"/>
      <c r="BO27" s="74">
        <f>G27+ L27+ V27+ AF27+ AP27+ AZ27+ BJ27</f>
        <v/>
      </c>
      <c r="BP27" s="74">
        <f>H27+ M27+ W27+ AG27+ AQ27+ BA27+ BK27</f>
        <v/>
      </c>
      <c r="BQ27" s="74">
        <f>BP27-BO27</f>
        <v/>
      </c>
      <c r="BR27" s="75">
        <f>IF(BO27=0,"",BP27/BO27)</f>
        <v/>
      </c>
      <c r="BS27" s="52" t="n"/>
      <c r="BT27" s="72" t="n"/>
      <c r="BU27" s="72" t="n"/>
      <c r="BV27" s="72">
        <f>BU27-BT27</f>
        <v/>
      </c>
      <c r="BW27" s="73">
        <f>IF(BT27=0,"",BU27/BT27)</f>
        <v/>
      </c>
      <c r="BX27" s="46" t="n"/>
      <c r="BY27" s="74">
        <f>G27+ L27+ V27+ AF27+ AP27+ AZ27+ BJ27+ BT27</f>
        <v/>
      </c>
      <c r="BZ27" s="74">
        <f>H27+ M27+ W27+ AG27+ AQ27+ BA27+ BK27+ BU27</f>
        <v/>
      </c>
      <c r="CA27" s="74">
        <f>BZ27-BY27</f>
        <v/>
      </c>
      <c r="CB27" s="75">
        <f>IF(BY27=0,"",BZ27/BY27)</f>
        <v/>
      </c>
      <c r="CC27" s="52" t="n"/>
      <c r="CD27" s="72" t="n"/>
      <c r="CE27" s="72" t="n"/>
      <c r="CF27" s="72">
        <f>CE27-CD27</f>
        <v/>
      </c>
      <c r="CG27" s="73">
        <f>IF(CD27=0,"",CE27/CD27)</f>
        <v/>
      </c>
      <c r="CH27" s="46" t="n"/>
      <c r="CI27" s="74">
        <f>G27+ L27+ V27+ AF27+ AP27+ AZ27+ BJ27+ BT27+ CD27</f>
        <v/>
      </c>
      <c r="CJ27" s="74">
        <f>H27+ M27+ W27+ AG27+ AQ27+ BA27+ BK27+ BU27+ CE27</f>
        <v/>
      </c>
      <c r="CK27" s="74">
        <f>CJ27-CI27</f>
        <v/>
      </c>
      <c r="CL27" s="75">
        <f>IF(CI27=0,"",CJ27/CI27)</f>
        <v/>
      </c>
      <c r="CM27" s="52" t="n"/>
      <c r="CN27" s="72" t="n"/>
      <c r="CO27" s="72" t="n"/>
      <c r="CP27" s="72">
        <f>CO27-CN27</f>
        <v/>
      </c>
      <c r="CQ27" s="73">
        <f>IF(CN27=0,"",CO27/CN27)</f>
        <v/>
      </c>
      <c r="CR27" s="46" t="n"/>
      <c r="CS27" s="74">
        <f>G27+ L27+ V27+ AF27+ AP27+ AZ27+ BJ27+ BT27+ CD27+ CN27</f>
        <v/>
      </c>
      <c r="CT27" s="74">
        <f>H27+ M27+ W27+ AG27+ AQ27+ BA27+ BK27+ BU27+ CE27+ CO27</f>
        <v/>
      </c>
      <c r="CU27" s="74">
        <f>CT27-CS27</f>
        <v/>
      </c>
      <c r="CV27" s="75">
        <f>IF(CS27=0,"",CT27/CS27)</f>
        <v/>
      </c>
      <c r="CW27" s="52" t="n"/>
      <c r="CX27" s="72" t="n"/>
      <c r="CY27" s="72" t="n"/>
      <c r="CZ27" s="72">
        <f>CY27-CX27</f>
        <v/>
      </c>
      <c r="DA27" s="73">
        <f>IF(CX27=0,"",CY27/CX27)</f>
        <v/>
      </c>
      <c r="DB27" s="46" t="n"/>
      <c r="DC27" s="74">
        <f>G27+ L27+ V27+ AF27+ AP27+ AZ27+ BJ27+ BT27+ CD27+ CN27+ CX27</f>
        <v/>
      </c>
      <c r="DD27" s="74">
        <f>H27+ M27+ W27+ AG27+ AQ27+ BA27+ BK27+ BU27+ CE27+ CO27+ CY27</f>
        <v/>
      </c>
      <c r="DE27" s="74">
        <f>DD27-DC27</f>
        <v/>
      </c>
      <c r="DF27" s="75">
        <f>IF(DC27=0,"",DD27/DC27)</f>
        <v/>
      </c>
      <c r="DG27" s="52" t="n"/>
      <c r="DH27" s="72" t="n"/>
      <c r="DI27" s="72" t="n"/>
      <c r="DJ27" s="72">
        <f>DI27-DH27</f>
        <v/>
      </c>
      <c r="DK27" s="73">
        <f>IF(DH27=0,"",DI27/DH27)</f>
        <v/>
      </c>
      <c r="DL27" s="46" t="n"/>
      <c r="DM27" s="74">
        <f>G27+ L27+ V27+ AF27+ AP27+ AZ27+ BJ27+ BT27+ CD27+ CN27+ CX27+ DH27</f>
        <v/>
      </c>
      <c r="DN27" s="74">
        <f>H27+ M27+ W27+ AG27+ AQ27+ BA27+ BK27+ BU27+ CE27+ CO27+ CY27+ DI27</f>
        <v/>
      </c>
      <c r="DO27" s="74">
        <f>DN27-DM27</f>
        <v/>
      </c>
      <c r="DP27" s="75">
        <f>IF(DM27=0,"",DN27/DM27)</f>
        <v/>
      </c>
      <c r="DQ27" s="52" t="n"/>
      <c r="DR27" s="72">
        <f>G27+L27+V27+AF27+AP27+AZ27+BJ27+BT27+CD27+CN27+CX27+DH27</f>
        <v/>
      </c>
    </row>
    <row r="28" ht="15" customHeight="1">
      <c r="A28" s="46" t="n"/>
      <c r="B28" s="46" t="n"/>
      <c r="C28" s="46" t="n"/>
      <c r="D28" s="46" t="n"/>
      <c r="E28" s="46" t="n"/>
      <c r="F28" s="47" t="n"/>
      <c r="G28" s="72" t="n"/>
      <c r="H28" s="72" t="n"/>
      <c r="I28" s="72">
        <f>H28-G28</f>
        <v/>
      </c>
      <c r="J28" s="73">
        <f>IF(G28=0,"",H28/G28)</f>
        <v/>
      </c>
      <c r="K28" s="46" t="n"/>
      <c r="L28" s="72" t="n"/>
      <c r="M28" s="72" t="n"/>
      <c r="N28" s="72">
        <f>M28-L28</f>
        <v/>
      </c>
      <c r="O28" s="73">
        <f>IF(L28=0,"",M28/L28)</f>
        <v/>
      </c>
      <c r="P28" s="46" t="n"/>
      <c r="Q28" s="74">
        <f>G28+ L28</f>
        <v/>
      </c>
      <c r="R28" s="74">
        <f>H28+ M28</f>
        <v/>
      </c>
      <c r="S28" s="74">
        <f>R28-Q28</f>
        <v/>
      </c>
      <c r="T28" s="75">
        <f>IF(Q28=0,"",R28/Q28)</f>
        <v/>
      </c>
      <c r="U28" s="52" t="n"/>
      <c r="V28" s="72" t="n"/>
      <c r="W28" s="72" t="n"/>
      <c r="X28" s="72">
        <f>W28-V28</f>
        <v/>
      </c>
      <c r="Y28" s="73">
        <f>IF(V28=0,"",W28/V28)</f>
        <v/>
      </c>
      <c r="Z28" s="46" t="n"/>
      <c r="AA28" s="74">
        <f>G28+ L28+ V28</f>
        <v/>
      </c>
      <c r="AB28" s="74">
        <f>H28+ M28+ W28</f>
        <v/>
      </c>
      <c r="AC28" s="74">
        <f>AB28-AA28</f>
        <v/>
      </c>
      <c r="AD28" s="75">
        <f>IF(AA28=0,"",AB28/AA28)</f>
        <v/>
      </c>
      <c r="AE28" s="52" t="n"/>
      <c r="AF28" s="72" t="n"/>
      <c r="AG28" s="72" t="n"/>
      <c r="AH28" s="72">
        <f>AG28-AF28</f>
        <v/>
      </c>
      <c r="AI28" s="73">
        <f>IF(AF28=0,"",AG28/AF28)</f>
        <v/>
      </c>
      <c r="AJ28" s="46" t="n"/>
      <c r="AK28" s="74">
        <f>G28+ L28+ V28+ AF28</f>
        <v/>
      </c>
      <c r="AL28" s="74">
        <f>H28+ M28+ W28+ AG28</f>
        <v/>
      </c>
      <c r="AM28" s="74">
        <f>AL28-AK28</f>
        <v/>
      </c>
      <c r="AN28" s="75">
        <f>IF(AK28=0,"",AL28/AK28)</f>
        <v/>
      </c>
      <c r="AO28" s="52" t="n"/>
      <c r="AP28" s="72" t="n"/>
      <c r="AQ28" s="72" t="n"/>
      <c r="AR28" s="72">
        <f>AQ28-AP28</f>
        <v/>
      </c>
      <c r="AS28" s="73">
        <f>IF(AP28=0,"",AQ28/AP28)</f>
        <v/>
      </c>
      <c r="AT28" s="46" t="n"/>
      <c r="AU28" s="74">
        <f>G28+ L28+ V28+ AF28+ AP28</f>
        <v/>
      </c>
      <c r="AV28" s="74">
        <f>H28+ M28+ W28+ AG28+ AQ28</f>
        <v/>
      </c>
      <c r="AW28" s="74">
        <f>AV28-AU28</f>
        <v/>
      </c>
      <c r="AX28" s="75">
        <f>IF(AU28=0,"",AV28/AU28)</f>
        <v/>
      </c>
      <c r="AY28" s="52" t="n"/>
      <c r="AZ28" s="72" t="n"/>
      <c r="BA28" s="72" t="n"/>
      <c r="BB28" s="72">
        <f>BA28-AZ28</f>
        <v/>
      </c>
      <c r="BC28" s="73">
        <f>IF(AZ28=0,"",BA28/AZ28)</f>
        <v/>
      </c>
      <c r="BD28" s="46" t="n"/>
      <c r="BE28" s="74">
        <f>G28+ L28+ V28+ AF28+ AP28+ AZ28</f>
        <v/>
      </c>
      <c r="BF28" s="74">
        <f>H28+ M28+ W28+ AG28+ AQ28+ BA28</f>
        <v/>
      </c>
      <c r="BG28" s="74">
        <f>BF28-BE28</f>
        <v/>
      </c>
      <c r="BH28" s="75">
        <f>IF(BE28=0,"",BF28/BE28)</f>
        <v/>
      </c>
      <c r="BI28" s="52" t="n"/>
      <c r="BJ28" s="72" t="n"/>
      <c r="BK28" s="72" t="n"/>
      <c r="BL28" s="72">
        <f>BK28-BJ28</f>
        <v/>
      </c>
      <c r="BM28" s="73">
        <f>IF(BJ28=0,"",BK28/BJ28)</f>
        <v/>
      </c>
      <c r="BN28" s="46" t="n"/>
      <c r="BO28" s="74">
        <f>G28+ L28+ V28+ AF28+ AP28+ AZ28+ BJ28</f>
        <v/>
      </c>
      <c r="BP28" s="74">
        <f>H28+ M28+ W28+ AG28+ AQ28+ BA28+ BK28</f>
        <v/>
      </c>
      <c r="BQ28" s="74">
        <f>BP28-BO28</f>
        <v/>
      </c>
      <c r="BR28" s="75">
        <f>IF(BO28=0,"",BP28/BO28)</f>
        <v/>
      </c>
      <c r="BS28" s="52" t="n"/>
      <c r="BT28" s="72" t="n"/>
      <c r="BU28" s="72" t="n"/>
      <c r="BV28" s="72">
        <f>BU28-BT28</f>
        <v/>
      </c>
      <c r="BW28" s="73">
        <f>IF(BT28=0,"",BU28/BT28)</f>
        <v/>
      </c>
      <c r="BX28" s="46" t="n"/>
      <c r="BY28" s="74">
        <f>G28+ L28+ V28+ AF28+ AP28+ AZ28+ BJ28+ BT28</f>
        <v/>
      </c>
      <c r="BZ28" s="74">
        <f>H28+ M28+ W28+ AG28+ AQ28+ BA28+ BK28+ BU28</f>
        <v/>
      </c>
      <c r="CA28" s="74">
        <f>BZ28-BY28</f>
        <v/>
      </c>
      <c r="CB28" s="75">
        <f>IF(BY28=0,"",BZ28/BY28)</f>
        <v/>
      </c>
      <c r="CC28" s="52" t="n"/>
      <c r="CD28" s="72" t="n"/>
      <c r="CE28" s="72" t="n"/>
      <c r="CF28" s="72">
        <f>CE28-CD28</f>
        <v/>
      </c>
      <c r="CG28" s="73">
        <f>IF(CD28=0,"",CE28/CD28)</f>
        <v/>
      </c>
      <c r="CH28" s="46" t="n"/>
      <c r="CI28" s="74">
        <f>G28+ L28+ V28+ AF28+ AP28+ AZ28+ BJ28+ BT28+ CD28</f>
        <v/>
      </c>
      <c r="CJ28" s="74">
        <f>H28+ M28+ W28+ AG28+ AQ28+ BA28+ BK28+ BU28+ CE28</f>
        <v/>
      </c>
      <c r="CK28" s="74">
        <f>CJ28-CI28</f>
        <v/>
      </c>
      <c r="CL28" s="75">
        <f>IF(CI28=0,"",CJ28/CI28)</f>
        <v/>
      </c>
      <c r="CM28" s="52" t="n"/>
      <c r="CN28" s="72" t="n"/>
      <c r="CO28" s="72" t="n"/>
      <c r="CP28" s="72">
        <f>CO28-CN28</f>
        <v/>
      </c>
      <c r="CQ28" s="73">
        <f>IF(CN28=0,"",CO28/CN28)</f>
        <v/>
      </c>
      <c r="CR28" s="46" t="n"/>
      <c r="CS28" s="74">
        <f>G28+ L28+ V28+ AF28+ AP28+ AZ28+ BJ28+ BT28+ CD28+ CN28</f>
        <v/>
      </c>
      <c r="CT28" s="74">
        <f>H28+ M28+ W28+ AG28+ AQ28+ BA28+ BK28+ BU28+ CE28+ CO28</f>
        <v/>
      </c>
      <c r="CU28" s="74">
        <f>CT28-CS28</f>
        <v/>
      </c>
      <c r="CV28" s="75">
        <f>IF(CS28=0,"",CT28/CS28)</f>
        <v/>
      </c>
      <c r="CW28" s="52" t="n"/>
      <c r="CX28" s="72" t="n"/>
      <c r="CY28" s="72" t="n"/>
      <c r="CZ28" s="72">
        <f>CY28-CX28</f>
        <v/>
      </c>
      <c r="DA28" s="73">
        <f>IF(CX28=0,"",CY28/CX28)</f>
        <v/>
      </c>
      <c r="DB28" s="46" t="n"/>
      <c r="DC28" s="74">
        <f>G28+ L28+ V28+ AF28+ AP28+ AZ28+ BJ28+ BT28+ CD28+ CN28+ CX28</f>
        <v/>
      </c>
      <c r="DD28" s="74">
        <f>H28+ M28+ W28+ AG28+ AQ28+ BA28+ BK28+ BU28+ CE28+ CO28+ CY28</f>
        <v/>
      </c>
      <c r="DE28" s="74">
        <f>DD28-DC28</f>
        <v/>
      </c>
      <c r="DF28" s="75">
        <f>IF(DC28=0,"",DD28/DC28)</f>
        <v/>
      </c>
      <c r="DG28" s="52" t="n"/>
      <c r="DH28" s="72" t="n"/>
      <c r="DI28" s="72" t="n"/>
      <c r="DJ28" s="72">
        <f>DI28-DH28</f>
        <v/>
      </c>
      <c r="DK28" s="73">
        <f>IF(DH28=0,"",DI28/DH28)</f>
        <v/>
      </c>
      <c r="DL28" s="46" t="n"/>
      <c r="DM28" s="74">
        <f>G28+ L28+ V28+ AF28+ AP28+ AZ28+ BJ28+ BT28+ CD28+ CN28+ CX28+ DH28</f>
        <v/>
      </c>
      <c r="DN28" s="74">
        <f>H28+ M28+ W28+ AG28+ AQ28+ BA28+ BK28+ BU28+ CE28+ CO28+ CY28+ DI28</f>
        <v/>
      </c>
      <c r="DO28" s="74">
        <f>DN28-DM28</f>
        <v/>
      </c>
      <c r="DP28" s="75">
        <f>IF(DM28=0,"",DN28/DM28)</f>
        <v/>
      </c>
      <c r="DQ28" s="52" t="n"/>
      <c r="DR28" s="72">
        <f>G28+L28+V28+AF28+AP28+AZ28+BJ28+BT28+CD28+CN28+CX28+DH28</f>
        <v/>
      </c>
    </row>
    <row r="29" ht="15" customHeight="1">
      <c r="A29" s="67" t="n"/>
      <c r="B29" s="67" t="n"/>
      <c r="C29" s="67" t="n"/>
      <c r="D29" s="46" t="n"/>
      <c r="E29" s="46" t="n"/>
      <c r="F29" s="47" t="n"/>
      <c r="G29" s="72" t="n"/>
      <c r="H29" s="72" t="n"/>
      <c r="I29" s="72">
        <f>H29-G29</f>
        <v/>
      </c>
      <c r="J29" s="73">
        <f>IF(G29=0,"",H29/G29)</f>
        <v/>
      </c>
      <c r="K29" s="46" t="n"/>
      <c r="L29" s="72" t="n"/>
      <c r="M29" s="72" t="n"/>
      <c r="N29" s="72">
        <f>M29-L29</f>
        <v/>
      </c>
      <c r="O29" s="73">
        <f>IF(L29=0,"",M29/L29)</f>
        <v/>
      </c>
      <c r="P29" s="46" t="n"/>
      <c r="Q29" s="74">
        <f>G29+ L29</f>
        <v/>
      </c>
      <c r="R29" s="74">
        <f>H29+ M29</f>
        <v/>
      </c>
      <c r="S29" s="74">
        <f>R29-Q29</f>
        <v/>
      </c>
      <c r="T29" s="75">
        <f>IF(Q29=0,"",R29/Q29)</f>
        <v/>
      </c>
      <c r="U29" s="52" t="n"/>
      <c r="V29" s="72" t="n"/>
      <c r="W29" s="72" t="n"/>
      <c r="X29" s="72">
        <f>W29-V29</f>
        <v/>
      </c>
      <c r="Y29" s="73">
        <f>IF(V29=0,"",W29/V29)</f>
        <v/>
      </c>
      <c r="Z29" s="46" t="n"/>
      <c r="AA29" s="74">
        <f>G29+ L29+ V29</f>
        <v/>
      </c>
      <c r="AB29" s="74">
        <f>H29+ M29+ W29</f>
        <v/>
      </c>
      <c r="AC29" s="74">
        <f>AB29-AA29</f>
        <v/>
      </c>
      <c r="AD29" s="75">
        <f>IF(AA29=0,"",AB29/AA29)</f>
        <v/>
      </c>
      <c r="AE29" s="52" t="n"/>
      <c r="AF29" s="72" t="n"/>
      <c r="AG29" s="72" t="n"/>
      <c r="AH29" s="72">
        <f>AG29-AF29</f>
        <v/>
      </c>
      <c r="AI29" s="73">
        <f>IF(AF29=0,"",AG29/AF29)</f>
        <v/>
      </c>
      <c r="AJ29" s="46" t="n"/>
      <c r="AK29" s="74">
        <f>G29+ L29+ V29+ AF29</f>
        <v/>
      </c>
      <c r="AL29" s="74">
        <f>H29+ M29+ W29+ AG29</f>
        <v/>
      </c>
      <c r="AM29" s="74">
        <f>AL29-AK29</f>
        <v/>
      </c>
      <c r="AN29" s="75">
        <f>IF(AK29=0,"",AL29/AK29)</f>
        <v/>
      </c>
      <c r="AO29" s="52" t="n"/>
      <c r="AP29" s="72" t="n"/>
      <c r="AQ29" s="72" t="n"/>
      <c r="AR29" s="72">
        <f>AQ29-AP29</f>
        <v/>
      </c>
      <c r="AS29" s="73">
        <f>IF(AP29=0,"",AQ29/AP29)</f>
        <v/>
      </c>
      <c r="AT29" s="46" t="n"/>
      <c r="AU29" s="74">
        <f>G29+ L29+ V29+ AF29+ AP29</f>
        <v/>
      </c>
      <c r="AV29" s="74">
        <f>H29+ M29+ W29+ AG29+ AQ29</f>
        <v/>
      </c>
      <c r="AW29" s="74">
        <f>AV29-AU29</f>
        <v/>
      </c>
      <c r="AX29" s="75">
        <f>IF(AU29=0,"",AV29/AU29)</f>
        <v/>
      </c>
      <c r="AY29" s="52" t="n"/>
      <c r="AZ29" s="72" t="n"/>
      <c r="BA29" s="72" t="n"/>
      <c r="BB29" s="72">
        <f>BA29-AZ29</f>
        <v/>
      </c>
      <c r="BC29" s="73">
        <f>IF(AZ29=0,"",BA29/AZ29)</f>
        <v/>
      </c>
      <c r="BD29" s="46" t="n"/>
      <c r="BE29" s="74">
        <f>G29+ L29+ V29+ AF29+ AP29+ AZ29</f>
        <v/>
      </c>
      <c r="BF29" s="74">
        <f>H29+ M29+ W29+ AG29+ AQ29+ BA29</f>
        <v/>
      </c>
      <c r="BG29" s="74">
        <f>BF29-BE29</f>
        <v/>
      </c>
      <c r="BH29" s="75">
        <f>IF(BE29=0,"",BF29/BE29)</f>
        <v/>
      </c>
      <c r="BI29" s="52" t="n"/>
      <c r="BJ29" s="72" t="n"/>
      <c r="BK29" s="72" t="n"/>
      <c r="BL29" s="72">
        <f>BK29-BJ29</f>
        <v/>
      </c>
      <c r="BM29" s="73">
        <f>IF(BJ29=0,"",BK29/BJ29)</f>
        <v/>
      </c>
      <c r="BN29" s="46" t="n"/>
      <c r="BO29" s="74">
        <f>G29+ L29+ V29+ AF29+ AP29+ AZ29+ BJ29</f>
        <v/>
      </c>
      <c r="BP29" s="74">
        <f>H29+ M29+ W29+ AG29+ AQ29+ BA29+ BK29</f>
        <v/>
      </c>
      <c r="BQ29" s="74">
        <f>BP29-BO29</f>
        <v/>
      </c>
      <c r="BR29" s="75">
        <f>IF(BO29=0,"",BP29/BO29)</f>
        <v/>
      </c>
      <c r="BS29" s="52" t="n"/>
      <c r="BT29" s="72" t="n"/>
      <c r="BU29" s="72" t="n"/>
      <c r="BV29" s="72">
        <f>BU29-BT29</f>
        <v/>
      </c>
      <c r="BW29" s="73">
        <f>IF(BT29=0,"",BU29/BT29)</f>
        <v/>
      </c>
      <c r="BX29" s="46" t="n"/>
      <c r="BY29" s="74">
        <f>G29+ L29+ V29+ AF29+ AP29+ AZ29+ BJ29+ BT29</f>
        <v/>
      </c>
      <c r="BZ29" s="74">
        <f>H29+ M29+ W29+ AG29+ AQ29+ BA29+ BK29+ BU29</f>
        <v/>
      </c>
      <c r="CA29" s="74">
        <f>BZ29-BY29</f>
        <v/>
      </c>
      <c r="CB29" s="75">
        <f>IF(BY29=0,"",BZ29/BY29)</f>
        <v/>
      </c>
      <c r="CC29" s="52" t="n"/>
      <c r="CD29" s="72" t="n"/>
      <c r="CE29" s="72" t="n"/>
      <c r="CF29" s="72">
        <f>CE29-CD29</f>
        <v/>
      </c>
      <c r="CG29" s="73">
        <f>IF(CD29=0,"",CE29/CD29)</f>
        <v/>
      </c>
      <c r="CH29" s="46" t="n"/>
      <c r="CI29" s="74">
        <f>G29+ L29+ V29+ AF29+ AP29+ AZ29+ BJ29+ BT29+ CD29</f>
        <v/>
      </c>
      <c r="CJ29" s="74">
        <f>H29+ M29+ W29+ AG29+ AQ29+ BA29+ BK29+ BU29+ CE29</f>
        <v/>
      </c>
      <c r="CK29" s="74">
        <f>CJ29-CI29</f>
        <v/>
      </c>
      <c r="CL29" s="75">
        <f>IF(CI29=0,"",CJ29/CI29)</f>
        <v/>
      </c>
      <c r="CM29" s="52" t="n"/>
      <c r="CN29" s="72" t="n"/>
      <c r="CO29" s="72" t="n"/>
      <c r="CP29" s="72">
        <f>CO29-CN29</f>
        <v/>
      </c>
      <c r="CQ29" s="73">
        <f>IF(CN29=0,"",CO29/CN29)</f>
        <v/>
      </c>
      <c r="CR29" s="46" t="n"/>
      <c r="CS29" s="74">
        <f>G29+ L29+ V29+ AF29+ AP29+ AZ29+ BJ29+ BT29+ CD29+ CN29</f>
        <v/>
      </c>
      <c r="CT29" s="74">
        <f>H29+ M29+ W29+ AG29+ AQ29+ BA29+ BK29+ BU29+ CE29+ CO29</f>
        <v/>
      </c>
      <c r="CU29" s="74">
        <f>CT29-CS29</f>
        <v/>
      </c>
      <c r="CV29" s="75">
        <f>IF(CS29=0,"",CT29/CS29)</f>
        <v/>
      </c>
      <c r="CW29" s="52" t="n"/>
      <c r="CX29" s="72" t="n"/>
      <c r="CY29" s="72" t="n"/>
      <c r="CZ29" s="72">
        <f>CY29-CX29</f>
        <v/>
      </c>
      <c r="DA29" s="73">
        <f>IF(CX29=0,"",CY29/CX29)</f>
        <v/>
      </c>
      <c r="DB29" s="46" t="n"/>
      <c r="DC29" s="74">
        <f>G29+ L29+ V29+ AF29+ AP29+ AZ29+ BJ29+ BT29+ CD29+ CN29+ CX29</f>
        <v/>
      </c>
      <c r="DD29" s="74">
        <f>H29+ M29+ W29+ AG29+ AQ29+ BA29+ BK29+ BU29+ CE29+ CO29+ CY29</f>
        <v/>
      </c>
      <c r="DE29" s="74">
        <f>DD29-DC29</f>
        <v/>
      </c>
      <c r="DF29" s="75">
        <f>IF(DC29=0,"",DD29/DC29)</f>
        <v/>
      </c>
      <c r="DG29" s="52" t="n"/>
      <c r="DH29" s="72" t="n"/>
      <c r="DI29" s="72" t="n"/>
      <c r="DJ29" s="72">
        <f>DI29-DH29</f>
        <v/>
      </c>
      <c r="DK29" s="73">
        <f>IF(DH29=0,"",DI29/DH29)</f>
        <v/>
      </c>
      <c r="DL29" s="46" t="n"/>
      <c r="DM29" s="74">
        <f>G29+ L29+ V29+ AF29+ AP29+ AZ29+ BJ29+ BT29+ CD29+ CN29+ CX29+ DH29</f>
        <v/>
      </c>
      <c r="DN29" s="74">
        <f>H29+ M29+ W29+ AG29+ AQ29+ BA29+ BK29+ BU29+ CE29+ CO29+ CY29+ DI29</f>
        <v/>
      </c>
      <c r="DO29" s="74">
        <f>DN29-DM29</f>
        <v/>
      </c>
      <c r="DP29" s="75">
        <f>IF(DM29=0,"",DN29/DM29)</f>
        <v/>
      </c>
      <c r="DQ29" s="52" t="n"/>
      <c r="DR29" s="72">
        <f>G29+L29+V29+AF29+AP29+AZ29+BJ29+BT29+CD29+CN29+CX29+DH29</f>
        <v/>
      </c>
    </row>
    <row r="30" ht="15" customHeight="1">
      <c r="A30" s="67" t="n"/>
      <c r="B30" s="67" t="n"/>
      <c r="C30" s="67" t="n"/>
      <c r="D30" s="46" t="n"/>
      <c r="E30" s="46" t="n"/>
      <c r="F30" s="47" t="n"/>
      <c r="G30" s="72" t="n"/>
      <c r="H30" s="72" t="n"/>
      <c r="I30" s="72">
        <f>H30-G30</f>
        <v/>
      </c>
      <c r="J30" s="73">
        <f>IF(G30=0,"",H30/G30)</f>
        <v/>
      </c>
      <c r="K30" s="46" t="n"/>
      <c r="L30" s="72" t="n"/>
      <c r="M30" s="72" t="n"/>
      <c r="N30" s="72">
        <f>M30-L30</f>
        <v/>
      </c>
      <c r="O30" s="73">
        <f>IF(L30=0,"",M30/L30)</f>
        <v/>
      </c>
      <c r="P30" s="46" t="n"/>
      <c r="Q30" s="74">
        <f>G30+ L30</f>
        <v/>
      </c>
      <c r="R30" s="74">
        <f>H30+ M30</f>
        <v/>
      </c>
      <c r="S30" s="74">
        <f>R30-Q30</f>
        <v/>
      </c>
      <c r="T30" s="75">
        <f>IF(Q30=0,"",R30/Q30)</f>
        <v/>
      </c>
      <c r="U30" s="52" t="n"/>
      <c r="V30" s="72" t="n"/>
      <c r="W30" s="72" t="n"/>
      <c r="X30" s="72">
        <f>W30-V30</f>
        <v/>
      </c>
      <c r="Y30" s="73">
        <f>IF(V30=0,"",W30/V30)</f>
        <v/>
      </c>
      <c r="Z30" s="46" t="n"/>
      <c r="AA30" s="74">
        <f>G30+ L30+ V30</f>
        <v/>
      </c>
      <c r="AB30" s="74">
        <f>H30+ M30+ W30</f>
        <v/>
      </c>
      <c r="AC30" s="74">
        <f>AB30-AA30</f>
        <v/>
      </c>
      <c r="AD30" s="75">
        <f>IF(AA30=0,"",AB30/AA30)</f>
        <v/>
      </c>
      <c r="AE30" s="52" t="n"/>
      <c r="AF30" s="72" t="n"/>
      <c r="AG30" s="72" t="n"/>
      <c r="AH30" s="72">
        <f>AG30-AF30</f>
        <v/>
      </c>
      <c r="AI30" s="73">
        <f>IF(AF30=0,"",AG30/AF30)</f>
        <v/>
      </c>
      <c r="AJ30" s="46" t="n"/>
      <c r="AK30" s="74">
        <f>G30+ L30+ V30+ AF30</f>
        <v/>
      </c>
      <c r="AL30" s="74">
        <f>H30+ M30+ W30+ AG30</f>
        <v/>
      </c>
      <c r="AM30" s="74">
        <f>AL30-AK30</f>
        <v/>
      </c>
      <c r="AN30" s="75">
        <f>IF(AK30=0,"",AL30/AK30)</f>
        <v/>
      </c>
      <c r="AO30" s="52" t="n"/>
      <c r="AP30" s="72" t="n"/>
      <c r="AQ30" s="72" t="n"/>
      <c r="AR30" s="72">
        <f>AQ30-AP30</f>
        <v/>
      </c>
      <c r="AS30" s="73">
        <f>IF(AP30=0,"",AQ30/AP30)</f>
        <v/>
      </c>
      <c r="AT30" s="46" t="n"/>
      <c r="AU30" s="74">
        <f>G30+ L30+ V30+ AF30+ AP30</f>
        <v/>
      </c>
      <c r="AV30" s="74">
        <f>H30+ M30+ W30+ AG30+ AQ30</f>
        <v/>
      </c>
      <c r="AW30" s="74">
        <f>AV30-AU30</f>
        <v/>
      </c>
      <c r="AX30" s="75">
        <f>IF(AU30=0,"",AV30/AU30)</f>
        <v/>
      </c>
      <c r="AY30" s="52" t="n"/>
      <c r="AZ30" s="72" t="n"/>
      <c r="BA30" s="72" t="n"/>
      <c r="BB30" s="72">
        <f>BA30-AZ30</f>
        <v/>
      </c>
      <c r="BC30" s="73">
        <f>IF(AZ30=0,"",BA30/AZ30)</f>
        <v/>
      </c>
      <c r="BD30" s="46" t="n"/>
      <c r="BE30" s="74">
        <f>G30+ L30+ V30+ AF30+ AP30+ AZ30</f>
        <v/>
      </c>
      <c r="BF30" s="74">
        <f>H30+ M30+ W30+ AG30+ AQ30+ BA30</f>
        <v/>
      </c>
      <c r="BG30" s="74">
        <f>BF30-BE30</f>
        <v/>
      </c>
      <c r="BH30" s="75">
        <f>IF(BE30=0,"",BF30/BE30)</f>
        <v/>
      </c>
      <c r="BI30" s="52" t="n"/>
      <c r="BJ30" s="72" t="n"/>
      <c r="BK30" s="72" t="n"/>
      <c r="BL30" s="72">
        <f>BK30-BJ30</f>
        <v/>
      </c>
      <c r="BM30" s="73">
        <f>IF(BJ30=0,"",BK30/BJ30)</f>
        <v/>
      </c>
      <c r="BN30" s="46" t="n"/>
      <c r="BO30" s="74">
        <f>G30+ L30+ V30+ AF30+ AP30+ AZ30+ BJ30</f>
        <v/>
      </c>
      <c r="BP30" s="74">
        <f>H30+ M30+ W30+ AG30+ AQ30+ BA30+ BK30</f>
        <v/>
      </c>
      <c r="BQ30" s="74">
        <f>BP30-BO30</f>
        <v/>
      </c>
      <c r="BR30" s="75">
        <f>IF(BO30=0,"",BP30/BO30)</f>
        <v/>
      </c>
      <c r="BS30" s="52" t="n"/>
      <c r="BT30" s="72" t="n"/>
      <c r="BU30" s="72" t="n"/>
      <c r="BV30" s="72">
        <f>BU30-BT30</f>
        <v/>
      </c>
      <c r="BW30" s="73">
        <f>IF(BT30=0,"",BU30/BT30)</f>
        <v/>
      </c>
      <c r="BX30" s="46" t="n"/>
      <c r="BY30" s="74">
        <f>G30+ L30+ V30+ AF30+ AP30+ AZ30+ BJ30+ BT30</f>
        <v/>
      </c>
      <c r="BZ30" s="74">
        <f>H30+ M30+ W30+ AG30+ AQ30+ BA30+ BK30+ BU30</f>
        <v/>
      </c>
      <c r="CA30" s="74">
        <f>BZ30-BY30</f>
        <v/>
      </c>
      <c r="CB30" s="75">
        <f>IF(BY30=0,"",BZ30/BY30)</f>
        <v/>
      </c>
      <c r="CC30" s="52" t="n"/>
      <c r="CD30" s="72" t="n"/>
      <c r="CE30" s="72" t="n"/>
      <c r="CF30" s="72">
        <f>CE30-CD30</f>
        <v/>
      </c>
      <c r="CG30" s="73">
        <f>IF(CD30=0,"",CE30/CD30)</f>
        <v/>
      </c>
      <c r="CH30" s="46" t="n"/>
      <c r="CI30" s="74">
        <f>G30+ L30+ V30+ AF30+ AP30+ AZ30+ BJ30+ BT30+ CD30</f>
        <v/>
      </c>
      <c r="CJ30" s="74">
        <f>H30+ M30+ W30+ AG30+ AQ30+ BA30+ BK30+ BU30+ CE30</f>
        <v/>
      </c>
      <c r="CK30" s="74">
        <f>CJ30-CI30</f>
        <v/>
      </c>
      <c r="CL30" s="75">
        <f>IF(CI30=0,"",CJ30/CI30)</f>
        <v/>
      </c>
      <c r="CM30" s="52" t="n"/>
      <c r="CN30" s="72" t="n"/>
      <c r="CO30" s="72" t="n"/>
      <c r="CP30" s="72">
        <f>CO30-CN30</f>
        <v/>
      </c>
      <c r="CQ30" s="73">
        <f>IF(CN30=0,"",CO30/CN30)</f>
        <v/>
      </c>
      <c r="CR30" s="46" t="n"/>
      <c r="CS30" s="74">
        <f>G30+ L30+ V30+ AF30+ AP30+ AZ30+ BJ30+ BT30+ CD30+ CN30</f>
        <v/>
      </c>
      <c r="CT30" s="74">
        <f>H30+ M30+ W30+ AG30+ AQ30+ BA30+ BK30+ BU30+ CE30+ CO30</f>
        <v/>
      </c>
      <c r="CU30" s="74">
        <f>CT30-CS30</f>
        <v/>
      </c>
      <c r="CV30" s="75">
        <f>IF(CS30=0,"",CT30/CS30)</f>
        <v/>
      </c>
      <c r="CW30" s="52" t="n"/>
      <c r="CX30" s="72" t="n"/>
      <c r="CY30" s="72" t="n"/>
      <c r="CZ30" s="72">
        <f>CY30-CX30</f>
        <v/>
      </c>
      <c r="DA30" s="73">
        <f>IF(CX30=0,"",CY30/CX30)</f>
        <v/>
      </c>
      <c r="DB30" s="46" t="n"/>
      <c r="DC30" s="74">
        <f>G30+ L30+ V30+ AF30+ AP30+ AZ30+ BJ30+ BT30+ CD30+ CN30+ CX30</f>
        <v/>
      </c>
      <c r="DD30" s="74">
        <f>H30+ M30+ W30+ AG30+ AQ30+ BA30+ BK30+ BU30+ CE30+ CO30+ CY30</f>
        <v/>
      </c>
      <c r="DE30" s="74">
        <f>DD30-DC30</f>
        <v/>
      </c>
      <c r="DF30" s="75">
        <f>IF(DC30=0,"",DD30/DC30)</f>
        <v/>
      </c>
      <c r="DG30" s="52" t="n"/>
      <c r="DH30" s="72" t="n"/>
      <c r="DI30" s="72" t="n"/>
      <c r="DJ30" s="72">
        <f>DI30-DH30</f>
        <v/>
      </c>
      <c r="DK30" s="73">
        <f>IF(DH30=0,"",DI30/DH30)</f>
        <v/>
      </c>
      <c r="DL30" s="46" t="n"/>
      <c r="DM30" s="74">
        <f>G30+ L30+ V30+ AF30+ AP30+ AZ30+ BJ30+ BT30+ CD30+ CN30+ CX30+ DH30</f>
        <v/>
      </c>
      <c r="DN30" s="74">
        <f>H30+ M30+ W30+ AG30+ AQ30+ BA30+ BK30+ BU30+ CE30+ CO30+ CY30+ DI30</f>
        <v/>
      </c>
      <c r="DO30" s="74">
        <f>DN30-DM30</f>
        <v/>
      </c>
      <c r="DP30" s="75">
        <f>IF(DM30=0,"",DN30/DM30)</f>
        <v/>
      </c>
      <c r="DQ30" s="52" t="n"/>
      <c r="DR30" s="72">
        <f>G30+L30+V30+AF30+AP30+AZ30+BJ30+BT30+CD30+CN30+CX30+DH30</f>
        <v/>
      </c>
    </row>
    <row r="31" ht="15" customHeight="1">
      <c r="A31" s="55" t="n"/>
      <c r="B31" s="55" t="n"/>
      <c r="C31" s="55" t="n"/>
      <c r="D31" s="46" t="n"/>
      <c r="E31" s="46" t="n"/>
      <c r="F31" s="47" t="n"/>
      <c r="G31" s="72" t="n"/>
      <c r="H31" s="72" t="n"/>
      <c r="I31" s="72">
        <f>H31-G31</f>
        <v/>
      </c>
      <c r="J31" s="73">
        <f>IF(G31=0,"",H31/G31)</f>
        <v/>
      </c>
      <c r="K31" s="46" t="n"/>
      <c r="L31" s="72" t="n"/>
      <c r="M31" s="72" t="n"/>
      <c r="N31" s="72">
        <f>M31-L31</f>
        <v/>
      </c>
      <c r="O31" s="73">
        <f>IF(L31=0,"",M31/L31)</f>
        <v/>
      </c>
      <c r="P31" s="46" t="n"/>
      <c r="Q31" s="74">
        <f>G31+ L31</f>
        <v/>
      </c>
      <c r="R31" s="74">
        <f>H31+ M31</f>
        <v/>
      </c>
      <c r="S31" s="74">
        <f>R31-Q31</f>
        <v/>
      </c>
      <c r="T31" s="75">
        <f>IF(Q31=0,"",R31/Q31)</f>
        <v/>
      </c>
      <c r="U31" s="52" t="n"/>
      <c r="V31" s="72" t="n"/>
      <c r="W31" s="72" t="n"/>
      <c r="X31" s="72">
        <f>W31-V31</f>
        <v/>
      </c>
      <c r="Y31" s="73">
        <f>IF(V31=0,"",W31/V31)</f>
        <v/>
      </c>
      <c r="Z31" s="46" t="n"/>
      <c r="AA31" s="74">
        <f>G31+ L31+ V31</f>
        <v/>
      </c>
      <c r="AB31" s="74">
        <f>H31+ M31+ W31</f>
        <v/>
      </c>
      <c r="AC31" s="74">
        <f>AB31-AA31</f>
        <v/>
      </c>
      <c r="AD31" s="75">
        <f>IF(AA31=0,"",AB31/AA31)</f>
        <v/>
      </c>
      <c r="AE31" s="52" t="n"/>
      <c r="AF31" s="72" t="n"/>
      <c r="AG31" s="72" t="n"/>
      <c r="AH31" s="72">
        <f>AG31-AF31</f>
        <v/>
      </c>
      <c r="AI31" s="73">
        <f>IF(AF31=0,"",AG31/AF31)</f>
        <v/>
      </c>
      <c r="AJ31" s="46" t="n"/>
      <c r="AK31" s="74">
        <f>G31+ L31+ V31+ AF31</f>
        <v/>
      </c>
      <c r="AL31" s="74">
        <f>H31+ M31+ W31+ AG31</f>
        <v/>
      </c>
      <c r="AM31" s="74">
        <f>AL31-AK31</f>
        <v/>
      </c>
      <c r="AN31" s="75">
        <f>IF(AK31=0,"",AL31/AK31)</f>
        <v/>
      </c>
      <c r="AO31" s="52" t="n"/>
      <c r="AP31" s="72" t="n"/>
      <c r="AQ31" s="72" t="n"/>
      <c r="AR31" s="72">
        <f>AQ31-AP31</f>
        <v/>
      </c>
      <c r="AS31" s="73">
        <f>IF(AP31=0,"",AQ31/AP31)</f>
        <v/>
      </c>
      <c r="AT31" s="46" t="n"/>
      <c r="AU31" s="74">
        <f>G31+ L31+ V31+ AF31+ AP31</f>
        <v/>
      </c>
      <c r="AV31" s="74">
        <f>H31+ M31+ W31+ AG31+ AQ31</f>
        <v/>
      </c>
      <c r="AW31" s="74">
        <f>AV31-AU31</f>
        <v/>
      </c>
      <c r="AX31" s="75">
        <f>IF(AU31=0,"",AV31/AU31)</f>
        <v/>
      </c>
      <c r="AY31" s="52" t="n"/>
      <c r="AZ31" s="72" t="n"/>
      <c r="BA31" s="72" t="n"/>
      <c r="BB31" s="72">
        <f>BA31-AZ31</f>
        <v/>
      </c>
      <c r="BC31" s="73">
        <f>IF(AZ31=0,"",BA31/AZ31)</f>
        <v/>
      </c>
      <c r="BD31" s="46" t="n"/>
      <c r="BE31" s="74">
        <f>G31+ L31+ V31+ AF31+ AP31+ AZ31</f>
        <v/>
      </c>
      <c r="BF31" s="74">
        <f>H31+ M31+ W31+ AG31+ AQ31+ BA31</f>
        <v/>
      </c>
      <c r="BG31" s="74">
        <f>BF31-BE31</f>
        <v/>
      </c>
      <c r="BH31" s="75">
        <f>IF(BE31=0,"",BF31/BE31)</f>
        <v/>
      </c>
      <c r="BI31" s="52" t="n"/>
      <c r="BJ31" s="72" t="n"/>
      <c r="BK31" s="72" t="n"/>
      <c r="BL31" s="72">
        <f>BK31-BJ31</f>
        <v/>
      </c>
      <c r="BM31" s="73">
        <f>IF(BJ31=0,"",BK31/BJ31)</f>
        <v/>
      </c>
      <c r="BN31" s="46" t="n"/>
      <c r="BO31" s="74">
        <f>G31+ L31+ V31+ AF31+ AP31+ AZ31+ BJ31</f>
        <v/>
      </c>
      <c r="BP31" s="74">
        <f>H31+ M31+ W31+ AG31+ AQ31+ BA31+ BK31</f>
        <v/>
      </c>
      <c r="BQ31" s="74">
        <f>BP31-BO31</f>
        <v/>
      </c>
      <c r="BR31" s="75">
        <f>IF(BO31=0,"",BP31/BO31)</f>
        <v/>
      </c>
      <c r="BS31" s="52" t="n"/>
      <c r="BT31" s="72" t="n"/>
      <c r="BU31" s="72" t="n"/>
      <c r="BV31" s="72">
        <f>BU31-BT31</f>
        <v/>
      </c>
      <c r="BW31" s="73">
        <f>IF(BT31=0,"",BU31/BT31)</f>
        <v/>
      </c>
      <c r="BX31" s="46" t="n"/>
      <c r="BY31" s="74">
        <f>G31+ L31+ V31+ AF31+ AP31+ AZ31+ BJ31+ BT31</f>
        <v/>
      </c>
      <c r="BZ31" s="74">
        <f>H31+ M31+ W31+ AG31+ AQ31+ BA31+ BK31+ BU31</f>
        <v/>
      </c>
      <c r="CA31" s="74">
        <f>BZ31-BY31</f>
        <v/>
      </c>
      <c r="CB31" s="75">
        <f>IF(BY31=0,"",BZ31/BY31)</f>
        <v/>
      </c>
      <c r="CC31" s="52" t="n"/>
      <c r="CD31" s="72" t="n"/>
      <c r="CE31" s="72" t="n"/>
      <c r="CF31" s="72">
        <f>CE31-CD31</f>
        <v/>
      </c>
      <c r="CG31" s="73">
        <f>IF(CD31=0,"",CE31/CD31)</f>
        <v/>
      </c>
      <c r="CH31" s="46" t="n"/>
      <c r="CI31" s="74">
        <f>G31+ L31+ V31+ AF31+ AP31+ AZ31+ BJ31+ BT31+ CD31</f>
        <v/>
      </c>
      <c r="CJ31" s="74">
        <f>H31+ M31+ W31+ AG31+ AQ31+ BA31+ BK31+ BU31+ CE31</f>
        <v/>
      </c>
      <c r="CK31" s="74">
        <f>CJ31-CI31</f>
        <v/>
      </c>
      <c r="CL31" s="75">
        <f>IF(CI31=0,"",CJ31/CI31)</f>
        <v/>
      </c>
      <c r="CM31" s="52" t="n"/>
      <c r="CN31" s="72" t="n"/>
      <c r="CO31" s="72" t="n"/>
      <c r="CP31" s="72">
        <f>CO31-CN31</f>
        <v/>
      </c>
      <c r="CQ31" s="73">
        <f>IF(CN31=0,"",CO31/CN31)</f>
        <v/>
      </c>
      <c r="CR31" s="46" t="n"/>
      <c r="CS31" s="74">
        <f>G31+ L31+ V31+ AF31+ AP31+ AZ31+ BJ31+ BT31+ CD31+ CN31</f>
        <v/>
      </c>
      <c r="CT31" s="74">
        <f>H31+ M31+ W31+ AG31+ AQ31+ BA31+ BK31+ BU31+ CE31+ CO31</f>
        <v/>
      </c>
      <c r="CU31" s="74">
        <f>CT31-CS31</f>
        <v/>
      </c>
      <c r="CV31" s="75">
        <f>IF(CS31=0,"",CT31/CS31)</f>
        <v/>
      </c>
      <c r="CW31" s="52" t="n"/>
      <c r="CX31" s="72" t="n"/>
      <c r="CY31" s="72" t="n"/>
      <c r="CZ31" s="72">
        <f>CY31-CX31</f>
        <v/>
      </c>
      <c r="DA31" s="73">
        <f>IF(CX31=0,"",CY31/CX31)</f>
        <v/>
      </c>
      <c r="DB31" s="46" t="n"/>
      <c r="DC31" s="74">
        <f>G31+ L31+ V31+ AF31+ AP31+ AZ31+ BJ31+ BT31+ CD31+ CN31+ CX31</f>
        <v/>
      </c>
      <c r="DD31" s="74">
        <f>H31+ M31+ W31+ AG31+ AQ31+ BA31+ BK31+ BU31+ CE31+ CO31+ CY31</f>
        <v/>
      </c>
      <c r="DE31" s="74">
        <f>DD31-DC31</f>
        <v/>
      </c>
      <c r="DF31" s="75">
        <f>IF(DC31=0,"",DD31/DC31)</f>
        <v/>
      </c>
      <c r="DG31" s="52" t="n"/>
      <c r="DH31" s="72" t="n"/>
      <c r="DI31" s="72" t="n"/>
      <c r="DJ31" s="72">
        <f>DI31-DH31</f>
        <v/>
      </c>
      <c r="DK31" s="73">
        <f>IF(DH31=0,"",DI31/DH31)</f>
        <v/>
      </c>
      <c r="DL31" s="46" t="n"/>
      <c r="DM31" s="74">
        <f>G31+ L31+ V31+ AF31+ AP31+ AZ31+ BJ31+ BT31+ CD31+ CN31+ CX31+ DH31</f>
        <v/>
      </c>
      <c r="DN31" s="74">
        <f>H31+ M31+ W31+ AG31+ AQ31+ BA31+ BK31+ BU31+ CE31+ CO31+ CY31+ DI31</f>
        <v/>
      </c>
      <c r="DO31" s="74">
        <f>DN31-DM31</f>
        <v/>
      </c>
      <c r="DP31" s="75">
        <f>IF(DM31=0,"",DN31/DM31)</f>
        <v/>
      </c>
      <c r="DQ31" s="52" t="n"/>
      <c r="DR31" s="72">
        <f>G31+L31+V31+AF31+AP31+AZ31+BJ31+BT31+CD31+CN31+CX31+DH31</f>
        <v/>
      </c>
    </row>
    <row r="32" ht="15" customHeight="1">
      <c r="A32" s="46" t="n"/>
      <c r="B32" s="46" t="n"/>
      <c r="C32" s="46" t="n"/>
      <c r="D32" s="46" t="n"/>
      <c r="E32" s="46" t="n"/>
      <c r="F32" s="47" t="n"/>
      <c r="G32" s="72" t="n"/>
      <c r="H32" s="72" t="n"/>
      <c r="I32" s="72">
        <f>H32-G32</f>
        <v/>
      </c>
      <c r="J32" s="73">
        <f>IF(G32=0,"",H32/G32)</f>
        <v/>
      </c>
      <c r="K32" s="46" t="n"/>
      <c r="L32" s="72" t="n"/>
      <c r="M32" s="72" t="n"/>
      <c r="N32" s="72">
        <f>M32-L32</f>
        <v/>
      </c>
      <c r="O32" s="73">
        <f>IF(L32=0,"",M32/L32)</f>
        <v/>
      </c>
      <c r="P32" s="46" t="n"/>
      <c r="Q32" s="74">
        <f>G32+ L32</f>
        <v/>
      </c>
      <c r="R32" s="74">
        <f>H32+ M32</f>
        <v/>
      </c>
      <c r="S32" s="74">
        <f>R32-Q32</f>
        <v/>
      </c>
      <c r="T32" s="75">
        <f>IF(Q32=0,"",R32/Q32)</f>
        <v/>
      </c>
      <c r="U32" s="52" t="n"/>
      <c r="V32" s="72" t="n"/>
      <c r="W32" s="72" t="n"/>
      <c r="X32" s="72">
        <f>W32-V32</f>
        <v/>
      </c>
      <c r="Y32" s="73">
        <f>IF(V32=0,"",W32/V32)</f>
        <v/>
      </c>
      <c r="Z32" s="46" t="n"/>
      <c r="AA32" s="74">
        <f>G32+ L32+ V32</f>
        <v/>
      </c>
      <c r="AB32" s="74">
        <f>H32+ M32+ W32</f>
        <v/>
      </c>
      <c r="AC32" s="74">
        <f>AB32-AA32</f>
        <v/>
      </c>
      <c r="AD32" s="75">
        <f>IF(AA32=0,"",AB32/AA32)</f>
        <v/>
      </c>
      <c r="AE32" s="52" t="n"/>
      <c r="AF32" s="72" t="n"/>
      <c r="AG32" s="72" t="n"/>
      <c r="AH32" s="72">
        <f>AG32-AF32</f>
        <v/>
      </c>
      <c r="AI32" s="73">
        <f>IF(AF32=0,"",AG32/AF32)</f>
        <v/>
      </c>
      <c r="AJ32" s="46" t="n"/>
      <c r="AK32" s="74">
        <f>G32+ L32+ V32+ AF32</f>
        <v/>
      </c>
      <c r="AL32" s="74">
        <f>H32+ M32+ W32+ AG32</f>
        <v/>
      </c>
      <c r="AM32" s="74">
        <f>AL32-AK32</f>
        <v/>
      </c>
      <c r="AN32" s="75">
        <f>IF(AK32=0,"",AL32/AK32)</f>
        <v/>
      </c>
      <c r="AO32" s="52" t="n"/>
      <c r="AP32" s="72" t="n"/>
      <c r="AQ32" s="72" t="n"/>
      <c r="AR32" s="72">
        <f>AQ32-AP32</f>
        <v/>
      </c>
      <c r="AS32" s="73">
        <f>IF(AP32=0,"",AQ32/AP32)</f>
        <v/>
      </c>
      <c r="AT32" s="46" t="n"/>
      <c r="AU32" s="74">
        <f>G32+ L32+ V32+ AF32+ AP32</f>
        <v/>
      </c>
      <c r="AV32" s="74">
        <f>H32+ M32+ W32+ AG32+ AQ32</f>
        <v/>
      </c>
      <c r="AW32" s="74">
        <f>AV32-AU32</f>
        <v/>
      </c>
      <c r="AX32" s="75">
        <f>IF(AU32=0,"",AV32/AU32)</f>
        <v/>
      </c>
      <c r="AY32" s="52" t="n"/>
      <c r="AZ32" s="72" t="n"/>
      <c r="BA32" s="72" t="n"/>
      <c r="BB32" s="72">
        <f>BA32-AZ32</f>
        <v/>
      </c>
      <c r="BC32" s="73">
        <f>IF(AZ32=0,"",BA32/AZ32)</f>
        <v/>
      </c>
      <c r="BD32" s="46" t="n"/>
      <c r="BE32" s="74">
        <f>G32+ L32+ V32+ AF32+ AP32+ AZ32</f>
        <v/>
      </c>
      <c r="BF32" s="74">
        <f>H32+ M32+ W32+ AG32+ AQ32+ BA32</f>
        <v/>
      </c>
      <c r="BG32" s="74">
        <f>BF32-BE32</f>
        <v/>
      </c>
      <c r="BH32" s="75">
        <f>IF(BE32=0,"",BF32/BE32)</f>
        <v/>
      </c>
      <c r="BI32" s="52" t="n"/>
      <c r="BJ32" s="72" t="n"/>
      <c r="BK32" s="72" t="n"/>
      <c r="BL32" s="72">
        <f>BK32-BJ32</f>
        <v/>
      </c>
      <c r="BM32" s="73">
        <f>IF(BJ32=0,"",BK32/BJ32)</f>
        <v/>
      </c>
      <c r="BN32" s="46" t="n"/>
      <c r="BO32" s="74">
        <f>G32+ L32+ V32+ AF32+ AP32+ AZ32+ BJ32</f>
        <v/>
      </c>
      <c r="BP32" s="74">
        <f>H32+ M32+ W32+ AG32+ AQ32+ BA32+ BK32</f>
        <v/>
      </c>
      <c r="BQ32" s="74">
        <f>BP32-BO32</f>
        <v/>
      </c>
      <c r="BR32" s="75">
        <f>IF(BO32=0,"",BP32/BO32)</f>
        <v/>
      </c>
      <c r="BS32" s="52" t="n"/>
      <c r="BT32" s="72" t="n"/>
      <c r="BU32" s="72" t="n"/>
      <c r="BV32" s="72">
        <f>BU32-BT32</f>
        <v/>
      </c>
      <c r="BW32" s="73">
        <f>IF(BT32=0,"",BU32/BT32)</f>
        <v/>
      </c>
      <c r="BX32" s="46" t="n"/>
      <c r="BY32" s="74">
        <f>G32+ L32+ V32+ AF32+ AP32+ AZ32+ BJ32+ BT32</f>
        <v/>
      </c>
      <c r="BZ32" s="74">
        <f>H32+ M32+ W32+ AG32+ AQ32+ BA32+ BK32+ BU32</f>
        <v/>
      </c>
      <c r="CA32" s="74">
        <f>BZ32-BY32</f>
        <v/>
      </c>
      <c r="CB32" s="75">
        <f>IF(BY32=0,"",BZ32/BY32)</f>
        <v/>
      </c>
      <c r="CC32" s="52" t="n"/>
      <c r="CD32" s="72" t="n"/>
      <c r="CE32" s="72" t="n"/>
      <c r="CF32" s="72">
        <f>CE32-CD32</f>
        <v/>
      </c>
      <c r="CG32" s="73">
        <f>IF(CD32=0,"",CE32/CD32)</f>
        <v/>
      </c>
      <c r="CH32" s="46" t="n"/>
      <c r="CI32" s="74">
        <f>G32+ L32+ V32+ AF32+ AP32+ AZ32+ BJ32+ BT32+ CD32</f>
        <v/>
      </c>
      <c r="CJ32" s="74">
        <f>H32+ M32+ W32+ AG32+ AQ32+ BA32+ BK32+ BU32+ CE32</f>
        <v/>
      </c>
      <c r="CK32" s="74">
        <f>CJ32-CI32</f>
        <v/>
      </c>
      <c r="CL32" s="75">
        <f>IF(CI32=0,"",CJ32/CI32)</f>
        <v/>
      </c>
      <c r="CM32" s="52" t="n"/>
      <c r="CN32" s="72" t="n"/>
      <c r="CO32" s="72" t="n"/>
      <c r="CP32" s="72">
        <f>CO32-CN32</f>
        <v/>
      </c>
      <c r="CQ32" s="73">
        <f>IF(CN32=0,"",CO32/CN32)</f>
        <v/>
      </c>
      <c r="CR32" s="46" t="n"/>
      <c r="CS32" s="74">
        <f>G32+ L32+ V32+ AF32+ AP32+ AZ32+ BJ32+ BT32+ CD32+ CN32</f>
        <v/>
      </c>
      <c r="CT32" s="74">
        <f>H32+ M32+ W32+ AG32+ AQ32+ BA32+ BK32+ BU32+ CE32+ CO32</f>
        <v/>
      </c>
      <c r="CU32" s="74">
        <f>CT32-CS32</f>
        <v/>
      </c>
      <c r="CV32" s="75">
        <f>IF(CS32=0,"",CT32/CS32)</f>
        <v/>
      </c>
      <c r="CW32" s="52" t="n"/>
      <c r="CX32" s="72" t="n"/>
      <c r="CY32" s="72" t="n"/>
      <c r="CZ32" s="72">
        <f>CY32-CX32</f>
        <v/>
      </c>
      <c r="DA32" s="73">
        <f>IF(CX32=0,"",CY32/CX32)</f>
        <v/>
      </c>
      <c r="DB32" s="46" t="n"/>
      <c r="DC32" s="74">
        <f>G32+ L32+ V32+ AF32+ AP32+ AZ32+ BJ32+ BT32+ CD32+ CN32+ CX32</f>
        <v/>
      </c>
      <c r="DD32" s="74">
        <f>H32+ M32+ W32+ AG32+ AQ32+ BA32+ BK32+ BU32+ CE32+ CO32+ CY32</f>
        <v/>
      </c>
      <c r="DE32" s="74">
        <f>DD32-DC32</f>
        <v/>
      </c>
      <c r="DF32" s="75">
        <f>IF(DC32=0,"",DD32/DC32)</f>
        <v/>
      </c>
      <c r="DG32" s="52" t="n"/>
      <c r="DH32" s="72" t="n"/>
      <c r="DI32" s="72" t="n"/>
      <c r="DJ32" s="72">
        <f>DI32-DH32</f>
        <v/>
      </c>
      <c r="DK32" s="73">
        <f>IF(DH32=0,"",DI32/DH32)</f>
        <v/>
      </c>
      <c r="DL32" s="46" t="n"/>
      <c r="DM32" s="74">
        <f>G32+ L32+ V32+ AF32+ AP32+ AZ32+ BJ32+ BT32+ CD32+ CN32+ CX32+ DH32</f>
        <v/>
      </c>
      <c r="DN32" s="74">
        <f>H32+ M32+ W32+ AG32+ AQ32+ BA32+ BK32+ BU32+ CE32+ CO32+ CY32+ DI32</f>
        <v/>
      </c>
      <c r="DO32" s="74">
        <f>DN32-DM32</f>
        <v/>
      </c>
      <c r="DP32" s="75">
        <f>IF(DM32=0,"",DN32/DM32)</f>
        <v/>
      </c>
      <c r="DQ32" s="52" t="n"/>
      <c r="DR32" s="72">
        <f>G32+L32+V32+AF32+AP32+AZ32+BJ32+BT32+CD32+CN32+CX32+DH32</f>
        <v/>
      </c>
    </row>
    <row r="33" ht="15" customHeight="1">
      <c r="A33" s="67" t="n"/>
      <c r="B33" s="67" t="n"/>
      <c r="C33" s="67" t="n"/>
      <c r="D33" s="46" t="n"/>
      <c r="E33" s="46" t="n"/>
      <c r="F33" s="47" t="n"/>
      <c r="G33" s="72" t="n"/>
      <c r="H33" s="72" t="n"/>
      <c r="I33" s="72">
        <f>H33-G33</f>
        <v/>
      </c>
      <c r="J33" s="73">
        <f>IF(G33=0,"",H33/G33)</f>
        <v/>
      </c>
      <c r="K33" s="46" t="n"/>
      <c r="L33" s="72" t="n"/>
      <c r="M33" s="72" t="n"/>
      <c r="N33" s="72">
        <f>M33-L33</f>
        <v/>
      </c>
      <c r="O33" s="73">
        <f>IF(L33=0,"",M33/L33)</f>
        <v/>
      </c>
      <c r="P33" s="46" t="n"/>
      <c r="Q33" s="74">
        <f>G33+ L33</f>
        <v/>
      </c>
      <c r="R33" s="74">
        <f>H33+ M33</f>
        <v/>
      </c>
      <c r="S33" s="74">
        <f>R33-Q33</f>
        <v/>
      </c>
      <c r="T33" s="75">
        <f>IF(Q33=0,"",R33/Q33)</f>
        <v/>
      </c>
      <c r="U33" s="52" t="n"/>
      <c r="V33" s="72" t="n"/>
      <c r="W33" s="72" t="n"/>
      <c r="X33" s="72">
        <f>W33-V33</f>
        <v/>
      </c>
      <c r="Y33" s="73">
        <f>IF(V33=0,"",W33/V33)</f>
        <v/>
      </c>
      <c r="Z33" s="46" t="n"/>
      <c r="AA33" s="74">
        <f>G33+ L33+ V33</f>
        <v/>
      </c>
      <c r="AB33" s="74">
        <f>H33+ M33+ W33</f>
        <v/>
      </c>
      <c r="AC33" s="74">
        <f>AB33-AA33</f>
        <v/>
      </c>
      <c r="AD33" s="75">
        <f>IF(AA33=0,"",AB33/AA33)</f>
        <v/>
      </c>
      <c r="AE33" s="52" t="n"/>
      <c r="AF33" s="72" t="n"/>
      <c r="AG33" s="72" t="n"/>
      <c r="AH33" s="72">
        <f>AG33-AF33</f>
        <v/>
      </c>
      <c r="AI33" s="73">
        <f>IF(AF33=0,"",AG33/AF33)</f>
        <v/>
      </c>
      <c r="AJ33" s="46" t="n"/>
      <c r="AK33" s="74">
        <f>G33+ L33+ V33+ AF33</f>
        <v/>
      </c>
      <c r="AL33" s="74">
        <f>H33+ M33+ W33+ AG33</f>
        <v/>
      </c>
      <c r="AM33" s="74">
        <f>AL33-AK33</f>
        <v/>
      </c>
      <c r="AN33" s="75">
        <f>IF(AK33=0,"",AL33/AK33)</f>
        <v/>
      </c>
      <c r="AO33" s="52" t="n"/>
      <c r="AP33" s="72" t="n"/>
      <c r="AQ33" s="72" t="n"/>
      <c r="AR33" s="72">
        <f>AQ33-AP33</f>
        <v/>
      </c>
      <c r="AS33" s="73">
        <f>IF(AP33=0,"",AQ33/AP33)</f>
        <v/>
      </c>
      <c r="AT33" s="46" t="n"/>
      <c r="AU33" s="74">
        <f>G33+ L33+ V33+ AF33+ AP33</f>
        <v/>
      </c>
      <c r="AV33" s="74">
        <f>H33+ M33+ W33+ AG33+ AQ33</f>
        <v/>
      </c>
      <c r="AW33" s="74">
        <f>AV33-AU33</f>
        <v/>
      </c>
      <c r="AX33" s="75">
        <f>IF(AU33=0,"",AV33/AU33)</f>
        <v/>
      </c>
      <c r="AY33" s="52" t="n"/>
      <c r="AZ33" s="72" t="n"/>
      <c r="BA33" s="72" t="n"/>
      <c r="BB33" s="72">
        <f>BA33-AZ33</f>
        <v/>
      </c>
      <c r="BC33" s="73">
        <f>IF(AZ33=0,"",BA33/AZ33)</f>
        <v/>
      </c>
      <c r="BD33" s="46" t="n"/>
      <c r="BE33" s="74">
        <f>G33+ L33+ V33+ AF33+ AP33+ AZ33</f>
        <v/>
      </c>
      <c r="BF33" s="74">
        <f>H33+ M33+ W33+ AG33+ AQ33+ BA33</f>
        <v/>
      </c>
      <c r="BG33" s="74">
        <f>BF33-BE33</f>
        <v/>
      </c>
      <c r="BH33" s="75">
        <f>IF(BE33=0,"",BF33/BE33)</f>
        <v/>
      </c>
      <c r="BI33" s="52" t="n"/>
      <c r="BJ33" s="72" t="n"/>
      <c r="BK33" s="72" t="n"/>
      <c r="BL33" s="72">
        <f>BK33-BJ33</f>
        <v/>
      </c>
      <c r="BM33" s="73">
        <f>IF(BJ33=0,"",BK33/BJ33)</f>
        <v/>
      </c>
      <c r="BN33" s="46" t="n"/>
      <c r="BO33" s="74">
        <f>G33+ L33+ V33+ AF33+ AP33+ AZ33+ BJ33</f>
        <v/>
      </c>
      <c r="BP33" s="74">
        <f>H33+ M33+ W33+ AG33+ AQ33+ BA33+ BK33</f>
        <v/>
      </c>
      <c r="BQ33" s="74">
        <f>BP33-BO33</f>
        <v/>
      </c>
      <c r="BR33" s="75">
        <f>IF(BO33=0,"",BP33/BO33)</f>
        <v/>
      </c>
      <c r="BS33" s="52" t="n"/>
      <c r="BT33" s="72" t="n"/>
      <c r="BU33" s="72" t="n"/>
      <c r="BV33" s="72">
        <f>BU33-BT33</f>
        <v/>
      </c>
      <c r="BW33" s="73">
        <f>IF(BT33=0,"",BU33/BT33)</f>
        <v/>
      </c>
      <c r="BX33" s="46" t="n"/>
      <c r="BY33" s="74">
        <f>G33+ L33+ V33+ AF33+ AP33+ AZ33+ BJ33+ BT33</f>
        <v/>
      </c>
      <c r="BZ33" s="74">
        <f>H33+ M33+ W33+ AG33+ AQ33+ BA33+ BK33+ BU33</f>
        <v/>
      </c>
      <c r="CA33" s="74">
        <f>BZ33-BY33</f>
        <v/>
      </c>
      <c r="CB33" s="75">
        <f>IF(BY33=0,"",BZ33/BY33)</f>
        <v/>
      </c>
      <c r="CC33" s="52" t="n"/>
      <c r="CD33" s="72" t="n"/>
      <c r="CE33" s="72" t="n"/>
      <c r="CF33" s="72">
        <f>CE33-CD33</f>
        <v/>
      </c>
      <c r="CG33" s="73">
        <f>IF(CD33=0,"",CE33/CD33)</f>
        <v/>
      </c>
      <c r="CH33" s="46" t="n"/>
      <c r="CI33" s="74">
        <f>G33+ L33+ V33+ AF33+ AP33+ AZ33+ BJ33+ BT33+ CD33</f>
        <v/>
      </c>
      <c r="CJ33" s="74">
        <f>H33+ M33+ W33+ AG33+ AQ33+ BA33+ BK33+ BU33+ CE33</f>
        <v/>
      </c>
      <c r="CK33" s="74">
        <f>CJ33-CI33</f>
        <v/>
      </c>
      <c r="CL33" s="75">
        <f>IF(CI33=0,"",CJ33/CI33)</f>
        <v/>
      </c>
      <c r="CM33" s="52" t="n"/>
      <c r="CN33" s="72" t="n"/>
      <c r="CO33" s="72" t="n"/>
      <c r="CP33" s="72">
        <f>CO33-CN33</f>
        <v/>
      </c>
      <c r="CQ33" s="73">
        <f>IF(CN33=0,"",CO33/CN33)</f>
        <v/>
      </c>
      <c r="CR33" s="46" t="n"/>
      <c r="CS33" s="74">
        <f>G33+ L33+ V33+ AF33+ AP33+ AZ33+ BJ33+ BT33+ CD33+ CN33</f>
        <v/>
      </c>
      <c r="CT33" s="74">
        <f>H33+ M33+ W33+ AG33+ AQ33+ BA33+ BK33+ BU33+ CE33+ CO33</f>
        <v/>
      </c>
      <c r="CU33" s="74">
        <f>CT33-CS33</f>
        <v/>
      </c>
      <c r="CV33" s="75">
        <f>IF(CS33=0,"",CT33/CS33)</f>
        <v/>
      </c>
      <c r="CW33" s="52" t="n"/>
      <c r="CX33" s="72" t="n"/>
      <c r="CY33" s="72" t="n"/>
      <c r="CZ33" s="72">
        <f>CY33-CX33</f>
        <v/>
      </c>
      <c r="DA33" s="73">
        <f>IF(CX33=0,"",CY33/CX33)</f>
        <v/>
      </c>
      <c r="DB33" s="46" t="n"/>
      <c r="DC33" s="74">
        <f>G33+ L33+ V33+ AF33+ AP33+ AZ33+ BJ33+ BT33+ CD33+ CN33+ CX33</f>
        <v/>
      </c>
      <c r="DD33" s="74">
        <f>H33+ M33+ W33+ AG33+ AQ33+ BA33+ BK33+ BU33+ CE33+ CO33+ CY33</f>
        <v/>
      </c>
      <c r="DE33" s="74">
        <f>DD33-DC33</f>
        <v/>
      </c>
      <c r="DF33" s="75">
        <f>IF(DC33=0,"",DD33/DC33)</f>
        <v/>
      </c>
      <c r="DG33" s="52" t="n"/>
      <c r="DH33" s="72" t="n"/>
      <c r="DI33" s="72" t="n"/>
      <c r="DJ33" s="72">
        <f>DI33-DH33</f>
        <v/>
      </c>
      <c r="DK33" s="73">
        <f>IF(DH33=0,"",DI33/DH33)</f>
        <v/>
      </c>
      <c r="DL33" s="46" t="n"/>
      <c r="DM33" s="74">
        <f>G33+ L33+ V33+ AF33+ AP33+ AZ33+ BJ33+ BT33+ CD33+ CN33+ CX33+ DH33</f>
        <v/>
      </c>
      <c r="DN33" s="74">
        <f>H33+ M33+ W33+ AG33+ AQ33+ BA33+ BK33+ BU33+ CE33+ CO33+ CY33+ DI33</f>
        <v/>
      </c>
      <c r="DO33" s="74">
        <f>DN33-DM33</f>
        <v/>
      </c>
      <c r="DP33" s="75">
        <f>IF(DM33=0,"",DN33/DM33)</f>
        <v/>
      </c>
      <c r="DQ33" s="52" t="n"/>
      <c r="DR33" s="72">
        <f>G33+L33+V33+AF33+AP33+AZ33+BJ33+BT33+CD33+CN33+CX33+DH33</f>
        <v/>
      </c>
    </row>
    <row r="34" ht="15" customHeight="1">
      <c r="A34" s="67" t="n"/>
      <c r="B34" s="67" t="n"/>
      <c r="C34" s="67" t="n"/>
      <c r="D34" s="46" t="n"/>
      <c r="E34" s="46" t="n"/>
      <c r="F34" s="47" t="n"/>
      <c r="G34" s="72" t="n"/>
      <c r="H34" s="72" t="n"/>
      <c r="I34" s="72">
        <f>H34-G34</f>
        <v/>
      </c>
      <c r="J34" s="73">
        <f>IF(G34=0,"",H34/G34)</f>
        <v/>
      </c>
      <c r="K34" s="46" t="n"/>
      <c r="L34" s="72" t="n"/>
      <c r="M34" s="72" t="n"/>
      <c r="N34" s="72">
        <f>M34-L34</f>
        <v/>
      </c>
      <c r="O34" s="73">
        <f>IF(L34=0,"",M34/L34)</f>
        <v/>
      </c>
      <c r="P34" s="46" t="n"/>
      <c r="Q34" s="74">
        <f>G34+ L34</f>
        <v/>
      </c>
      <c r="R34" s="74">
        <f>H34+ M34</f>
        <v/>
      </c>
      <c r="S34" s="74">
        <f>R34-Q34</f>
        <v/>
      </c>
      <c r="T34" s="75">
        <f>IF(Q34=0,"",R34/Q34)</f>
        <v/>
      </c>
      <c r="U34" s="52" t="n"/>
      <c r="V34" s="72" t="n"/>
      <c r="W34" s="72" t="n"/>
      <c r="X34" s="72">
        <f>W34-V34</f>
        <v/>
      </c>
      <c r="Y34" s="73">
        <f>IF(V34=0,"",W34/V34)</f>
        <v/>
      </c>
      <c r="Z34" s="46" t="n"/>
      <c r="AA34" s="74">
        <f>G34+ L34+ V34</f>
        <v/>
      </c>
      <c r="AB34" s="74">
        <f>H34+ M34+ W34</f>
        <v/>
      </c>
      <c r="AC34" s="74">
        <f>AB34-AA34</f>
        <v/>
      </c>
      <c r="AD34" s="75">
        <f>IF(AA34=0,"",AB34/AA34)</f>
        <v/>
      </c>
      <c r="AE34" s="52" t="n"/>
      <c r="AF34" s="72" t="n"/>
      <c r="AG34" s="72" t="n"/>
      <c r="AH34" s="72">
        <f>AG34-AF34</f>
        <v/>
      </c>
      <c r="AI34" s="73">
        <f>IF(AF34=0,"",AG34/AF34)</f>
        <v/>
      </c>
      <c r="AJ34" s="46" t="n"/>
      <c r="AK34" s="74">
        <f>G34+ L34+ V34+ AF34</f>
        <v/>
      </c>
      <c r="AL34" s="74">
        <f>H34+ M34+ W34+ AG34</f>
        <v/>
      </c>
      <c r="AM34" s="74">
        <f>AL34-AK34</f>
        <v/>
      </c>
      <c r="AN34" s="75">
        <f>IF(AK34=0,"",AL34/AK34)</f>
        <v/>
      </c>
      <c r="AO34" s="52" t="n"/>
      <c r="AP34" s="72" t="n"/>
      <c r="AQ34" s="72" t="n"/>
      <c r="AR34" s="72">
        <f>AQ34-AP34</f>
        <v/>
      </c>
      <c r="AS34" s="73">
        <f>IF(AP34=0,"",AQ34/AP34)</f>
        <v/>
      </c>
      <c r="AT34" s="46" t="n"/>
      <c r="AU34" s="74">
        <f>G34+ L34+ V34+ AF34+ AP34</f>
        <v/>
      </c>
      <c r="AV34" s="74">
        <f>H34+ M34+ W34+ AG34+ AQ34</f>
        <v/>
      </c>
      <c r="AW34" s="74">
        <f>AV34-AU34</f>
        <v/>
      </c>
      <c r="AX34" s="75">
        <f>IF(AU34=0,"",AV34/AU34)</f>
        <v/>
      </c>
      <c r="AY34" s="52" t="n"/>
      <c r="AZ34" s="72" t="n"/>
      <c r="BA34" s="72" t="n"/>
      <c r="BB34" s="72">
        <f>BA34-AZ34</f>
        <v/>
      </c>
      <c r="BC34" s="73">
        <f>IF(AZ34=0,"",BA34/AZ34)</f>
        <v/>
      </c>
      <c r="BD34" s="46" t="n"/>
      <c r="BE34" s="74">
        <f>G34+ L34+ V34+ AF34+ AP34+ AZ34</f>
        <v/>
      </c>
      <c r="BF34" s="74">
        <f>H34+ M34+ W34+ AG34+ AQ34+ BA34</f>
        <v/>
      </c>
      <c r="BG34" s="74">
        <f>BF34-BE34</f>
        <v/>
      </c>
      <c r="BH34" s="75">
        <f>IF(BE34=0,"",BF34/BE34)</f>
        <v/>
      </c>
      <c r="BI34" s="52" t="n"/>
      <c r="BJ34" s="72" t="n"/>
      <c r="BK34" s="72" t="n"/>
      <c r="BL34" s="72">
        <f>BK34-BJ34</f>
        <v/>
      </c>
      <c r="BM34" s="73">
        <f>IF(BJ34=0,"",BK34/BJ34)</f>
        <v/>
      </c>
      <c r="BN34" s="46" t="n"/>
      <c r="BO34" s="74">
        <f>G34+ L34+ V34+ AF34+ AP34+ AZ34+ BJ34</f>
        <v/>
      </c>
      <c r="BP34" s="74">
        <f>H34+ M34+ W34+ AG34+ AQ34+ BA34+ BK34</f>
        <v/>
      </c>
      <c r="BQ34" s="74">
        <f>BP34-BO34</f>
        <v/>
      </c>
      <c r="BR34" s="75">
        <f>IF(BO34=0,"",BP34/BO34)</f>
        <v/>
      </c>
      <c r="BS34" s="52" t="n"/>
      <c r="BT34" s="72" t="n"/>
      <c r="BU34" s="72" t="n"/>
      <c r="BV34" s="72">
        <f>BU34-BT34</f>
        <v/>
      </c>
      <c r="BW34" s="73">
        <f>IF(BT34=0,"",BU34/BT34)</f>
        <v/>
      </c>
      <c r="BX34" s="46" t="n"/>
      <c r="BY34" s="74">
        <f>G34+ L34+ V34+ AF34+ AP34+ AZ34+ BJ34+ BT34</f>
        <v/>
      </c>
      <c r="BZ34" s="74">
        <f>H34+ M34+ W34+ AG34+ AQ34+ BA34+ BK34+ BU34</f>
        <v/>
      </c>
      <c r="CA34" s="74">
        <f>BZ34-BY34</f>
        <v/>
      </c>
      <c r="CB34" s="75">
        <f>IF(BY34=0,"",BZ34/BY34)</f>
        <v/>
      </c>
      <c r="CC34" s="52" t="n"/>
      <c r="CD34" s="72" t="n"/>
      <c r="CE34" s="72" t="n"/>
      <c r="CF34" s="72">
        <f>CE34-CD34</f>
        <v/>
      </c>
      <c r="CG34" s="73">
        <f>IF(CD34=0,"",CE34/CD34)</f>
        <v/>
      </c>
      <c r="CH34" s="46" t="n"/>
      <c r="CI34" s="74">
        <f>G34+ L34+ V34+ AF34+ AP34+ AZ34+ BJ34+ BT34+ CD34</f>
        <v/>
      </c>
      <c r="CJ34" s="74">
        <f>H34+ M34+ W34+ AG34+ AQ34+ BA34+ BK34+ BU34+ CE34</f>
        <v/>
      </c>
      <c r="CK34" s="74">
        <f>CJ34-CI34</f>
        <v/>
      </c>
      <c r="CL34" s="75">
        <f>IF(CI34=0,"",CJ34/CI34)</f>
        <v/>
      </c>
      <c r="CM34" s="52" t="n"/>
      <c r="CN34" s="72" t="n"/>
      <c r="CO34" s="72" t="n"/>
      <c r="CP34" s="72">
        <f>CO34-CN34</f>
        <v/>
      </c>
      <c r="CQ34" s="73">
        <f>IF(CN34=0,"",CO34/CN34)</f>
        <v/>
      </c>
      <c r="CR34" s="46" t="n"/>
      <c r="CS34" s="74">
        <f>G34+ L34+ V34+ AF34+ AP34+ AZ34+ BJ34+ BT34+ CD34+ CN34</f>
        <v/>
      </c>
      <c r="CT34" s="74">
        <f>H34+ M34+ W34+ AG34+ AQ34+ BA34+ BK34+ BU34+ CE34+ CO34</f>
        <v/>
      </c>
      <c r="CU34" s="74">
        <f>CT34-CS34</f>
        <v/>
      </c>
      <c r="CV34" s="75">
        <f>IF(CS34=0,"",CT34/CS34)</f>
        <v/>
      </c>
      <c r="CW34" s="52" t="n"/>
      <c r="CX34" s="72" t="n"/>
      <c r="CY34" s="72" t="n"/>
      <c r="CZ34" s="72">
        <f>CY34-CX34</f>
        <v/>
      </c>
      <c r="DA34" s="73">
        <f>IF(CX34=0,"",CY34/CX34)</f>
        <v/>
      </c>
      <c r="DB34" s="46" t="n"/>
      <c r="DC34" s="74">
        <f>G34+ L34+ V34+ AF34+ AP34+ AZ34+ BJ34+ BT34+ CD34+ CN34+ CX34</f>
        <v/>
      </c>
      <c r="DD34" s="74">
        <f>H34+ M34+ W34+ AG34+ AQ34+ BA34+ BK34+ BU34+ CE34+ CO34+ CY34</f>
        <v/>
      </c>
      <c r="DE34" s="74">
        <f>DD34-DC34</f>
        <v/>
      </c>
      <c r="DF34" s="75">
        <f>IF(DC34=0,"",DD34/DC34)</f>
        <v/>
      </c>
      <c r="DG34" s="52" t="n"/>
      <c r="DH34" s="72" t="n"/>
      <c r="DI34" s="72" t="n"/>
      <c r="DJ34" s="72">
        <f>DI34-DH34</f>
        <v/>
      </c>
      <c r="DK34" s="73">
        <f>IF(DH34=0,"",DI34/DH34)</f>
        <v/>
      </c>
      <c r="DL34" s="46" t="n"/>
      <c r="DM34" s="74">
        <f>G34+ L34+ V34+ AF34+ AP34+ AZ34+ BJ34+ BT34+ CD34+ CN34+ CX34+ DH34</f>
        <v/>
      </c>
      <c r="DN34" s="74">
        <f>H34+ M34+ W34+ AG34+ AQ34+ BA34+ BK34+ BU34+ CE34+ CO34+ CY34+ DI34</f>
        <v/>
      </c>
      <c r="DO34" s="74">
        <f>DN34-DM34</f>
        <v/>
      </c>
      <c r="DP34" s="75">
        <f>IF(DM34=0,"",DN34/DM34)</f>
        <v/>
      </c>
      <c r="DQ34" s="52" t="n"/>
      <c r="DR34" s="72">
        <f>G34+L34+V34+AF34+AP34+AZ34+BJ34+BT34+CD34+CN34+CX34+DH34</f>
        <v/>
      </c>
    </row>
    <row r="35" ht="15" customHeight="1">
      <c r="A35" s="55" t="n"/>
      <c r="B35" s="55" t="n"/>
      <c r="C35" s="55" t="n"/>
      <c r="D35" s="46" t="n"/>
      <c r="E35" s="46" t="n"/>
      <c r="F35" s="47" t="n"/>
      <c r="G35" s="72" t="n"/>
      <c r="H35" s="72" t="n"/>
      <c r="I35" s="72">
        <f>H35-G35</f>
        <v/>
      </c>
      <c r="J35" s="73">
        <f>IF(G35=0,"",H35/G35)</f>
        <v/>
      </c>
      <c r="K35" s="46" t="n"/>
      <c r="L35" s="72" t="n"/>
      <c r="M35" s="72" t="n"/>
      <c r="N35" s="72">
        <f>M35-L35</f>
        <v/>
      </c>
      <c r="O35" s="73">
        <f>IF(L35=0,"",M35/L35)</f>
        <v/>
      </c>
      <c r="P35" s="46" t="n"/>
      <c r="Q35" s="74">
        <f>G35+ L35</f>
        <v/>
      </c>
      <c r="R35" s="74">
        <f>H35+ M35</f>
        <v/>
      </c>
      <c r="S35" s="74">
        <f>R35-Q35</f>
        <v/>
      </c>
      <c r="T35" s="75">
        <f>IF(Q35=0,"",R35/Q35)</f>
        <v/>
      </c>
      <c r="U35" s="52" t="n"/>
      <c r="V35" s="72" t="n"/>
      <c r="W35" s="72" t="n"/>
      <c r="X35" s="72">
        <f>W35-V35</f>
        <v/>
      </c>
      <c r="Y35" s="73">
        <f>IF(V35=0,"",W35/V35)</f>
        <v/>
      </c>
      <c r="Z35" s="46" t="n"/>
      <c r="AA35" s="74">
        <f>G35+ L35+ V35</f>
        <v/>
      </c>
      <c r="AB35" s="74">
        <f>H35+ M35+ W35</f>
        <v/>
      </c>
      <c r="AC35" s="74">
        <f>AB35-AA35</f>
        <v/>
      </c>
      <c r="AD35" s="75">
        <f>IF(AA35=0,"",AB35/AA35)</f>
        <v/>
      </c>
      <c r="AE35" s="52" t="n"/>
      <c r="AF35" s="72" t="n"/>
      <c r="AG35" s="72" t="n"/>
      <c r="AH35" s="72">
        <f>AG35-AF35</f>
        <v/>
      </c>
      <c r="AI35" s="73">
        <f>IF(AF35=0,"",AG35/AF35)</f>
        <v/>
      </c>
      <c r="AJ35" s="46" t="n"/>
      <c r="AK35" s="74">
        <f>G35+ L35+ V35+ AF35</f>
        <v/>
      </c>
      <c r="AL35" s="74">
        <f>H35+ M35+ W35+ AG35</f>
        <v/>
      </c>
      <c r="AM35" s="74">
        <f>AL35-AK35</f>
        <v/>
      </c>
      <c r="AN35" s="75">
        <f>IF(AK35=0,"",AL35/AK35)</f>
        <v/>
      </c>
      <c r="AO35" s="52" t="n"/>
      <c r="AP35" s="72" t="n"/>
      <c r="AQ35" s="72" t="n"/>
      <c r="AR35" s="72">
        <f>AQ35-AP35</f>
        <v/>
      </c>
      <c r="AS35" s="73">
        <f>IF(AP35=0,"",AQ35/AP35)</f>
        <v/>
      </c>
      <c r="AT35" s="46" t="n"/>
      <c r="AU35" s="74">
        <f>G35+ L35+ V35+ AF35+ AP35</f>
        <v/>
      </c>
      <c r="AV35" s="74">
        <f>H35+ M35+ W35+ AG35+ AQ35</f>
        <v/>
      </c>
      <c r="AW35" s="74">
        <f>AV35-AU35</f>
        <v/>
      </c>
      <c r="AX35" s="75">
        <f>IF(AU35=0,"",AV35/AU35)</f>
        <v/>
      </c>
      <c r="AY35" s="52" t="n"/>
      <c r="AZ35" s="72" t="n"/>
      <c r="BA35" s="72" t="n"/>
      <c r="BB35" s="72">
        <f>BA35-AZ35</f>
        <v/>
      </c>
      <c r="BC35" s="73">
        <f>IF(AZ35=0,"",BA35/AZ35)</f>
        <v/>
      </c>
      <c r="BD35" s="46" t="n"/>
      <c r="BE35" s="74">
        <f>G35+ L35+ V35+ AF35+ AP35+ AZ35</f>
        <v/>
      </c>
      <c r="BF35" s="74">
        <f>H35+ M35+ W35+ AG35+ AQ35+ BA35</f>
        <v/>
      </c>
      <c r="BG35" s="74">
        <f>BF35-BE35</f>
        <v/>
      </c>
      <c r="BH35" s="75">
        <f>IF(BE35=0,"",BF35/BE35)</f>
        <v/>
      </c>
      <c r="BI35" s="52" t="n"/>
      <c r="BJ35" s="72" t="n"/>
      <c r="BK35" s="72" t="n"/>
      <c r="BL35" s="72">
        <f>BK35-BJ35</f>
        <v/>
      </c>
      <c r="BM35" s="73">
        <f>IF(BJ35=0,"",BK35/BJ35)</f>
        <v/>
      </c>
      <c r="BN35" s="46" t="n"/>
      <c r="BO35" s="74">
        <f>G35+ L35+ V35+ AF35+ AP35+ AZ35+ BJ35</f>
        <v/>
      </c>
      <c r="BP35" s="74">
        <f>H35+ M35+ W35+ AG35+ AQ35+ BA35+ BK35</f>
        <v/>
      </c>
      <c r="BQ35" s="74">
        <f>BP35-BO35</f>
        <v/>
      </c>
      <c r="BR35" s="75">
        <f>IF(BO35=0,"",BP35/BO35)</f>
        <v/>
      </c>
      <c r="BS35" s="52" t="n"/>
      <c r="BT35" s="72" t="n"/>
      <c r="BU35" s="72" t="n"/>
      <c r="BV35" s="72">
        <f>BU35-BT35</f>
        <v/>
      </c>
      <c r="BW35" s="73">
        <f>IF(BT35=0,"",BU35/BT35)</f>
        <v/>
      </c>
      <c r="BX35" s="46" t="n"/>
      <c r="BY35" s="74">
        <f>G35+ L35+ V35+ AF35+ AP35+ AZ35+ BJ35+ BT35</f>
        <v/>
      </c>
      <c r="BZ35" s="74">
        <f>H35+ M35+ W35+ AG35+ AQ35+ BA35+ BK35+ BU35</f>
        <v/>
      </c>
      <c r="CA35" s="74">
        <f>BZ35-BY35</f>
        <v/>
      </c>
      <c r="CB35" s="75">
        <f>IF(BY35=0,"",BZ35/BY35)</f>
        <v/>
      </c>
      <c r="CC35" s="52" t="n"/>
      <c r="CD35" s="72" t="n"/>
      <c r="CE35" s="72" t="n"/>
      <c r="CF35" s="72">
        <f>CE35-CD35</f>
        <v/>
      </c>
      <c r="CG35" s="73">
        <f>IF(CD35=0,"",CE35/CD35)</f>
        <v/>
      </c>
      <c r="CH35" s="46" t="n"/>
      <c r="CI35" s="74">
        <f>G35+ L35+ V35+ AF35+ AP35+ AZ35+ BJ35+ BT35+ CD35</f>
        <v/>
      </c>
      <c r="CJ35" s="74">
        <f>H35+ M35+ W35+ AG35+ AQ35+ BA35+ BK35+ BU35+ CE35</f>
        <v/>
      </c>
      <c r="CK35" s="74">
        <f>CJ35-CI35</f>
        <v/>
      </c>
      <c r="CL35" s="75">
        <f>IF(CI35=0,"",CJ35/CI35)</f>
        <v/>
      </c>
      <c r="CM35" s="52" t="n"/>
      <c r="CN35" s="72" t="n"/>
      <c r="CO35" s="72" t="n"/>
      <c r="CP35" s="72">
        <f>CO35-CN35</f>
        <v/>
      </c>
      <c r="CQ35" s="73">
        <f>IF(CN35=0,"",CO35/CN35)</f>
        <v/>
      </c>
      <c r="CR35" s="46" t="n"/>
      <c r="CS35" s="74">
        <f>G35+ L35+ V35+ AF35+ AP35+ AZ35+ BJ35+ BT35+ CD35+ CN35</f>
        <v/>
      </c>
      <c r="CT35" s="74">
        <f>H35+ M35+ W35+ AG35+ AQ35+ BA35+ BK35+ BU35+ CE35+ CO35</f>
        <v/>
      </c>
      <c r="CU35" s="74">
        <f>CT35-CS35</f>
        <v/>
      </c>
      <c r="CV35" s="75">
        <f>IF(CS35=0,"",CT35/CS35)</f>
        <v/>
      </c>
      <c r="CW35" s="52" t="n"/>
      <c r="CX35" s="72" t="n"/>
      <c r="CY35" s="72" t="n"/>
      <c r="CZ35" s="72">
        <f>CY35-CX35</f>
        <v/>
      </c>
      <c r="DA35" s="73">
        <f>IF(CX35=0,"",CY35/CX35)</f>
        <v/>
      </c>
      <c r="DB35" s="46" t="n"/>
      <c r="DC35" s="74">
        <f>G35+ L35+ V35+ AF35+ AP35+ AZ35+ BJ35+ BT35+ CD35+ CN35+ CX35</f>
        <v/>
      </c>
      <c r="DD35" s="74">
        <f>H35+ M35+ W35+ AG35+ AQ35+ BA35+ BK35+ BU35+ CE35+ CO35+ CY35</f>
        <v/>
      </c>
      <c r="DE35" s="74">
        <f>DD35-DC35</f>
        <v/>
      </c>
      <c r="DF35" s="75">
        <f>IF(DC35=0,"",DD35/DC35)</f>
        <v/>
      </c>
      <c r="DG35" s="52" t="n"/>
      <c r="DH35" s="72" t="n"/>
      <c r="DI35" s="72" t="n"/>
      <c r="DJ35" s="72">
        <f>DI35-DH35</f>
        <v/>
      </c>
      <c r="DK35" s="73">
        <f>IF(DH35=0,"",DI35/DH35)</f>
        <v/>
      </c>
      <c r="DL35" s="46" t="n"/>
      <c r="DM35" s="74">
        <f>G35+ L35+ V35+ AF35+ AP35+ AZ35+ BJ35+ BT35+ CD35+ CN35+ CX35+ DH35</f>
        <v/>
      </c>
      <c r="DN35" s="74">
        <f>H35+ M35+ W35+ AG35+ AQ35+ BA35+ BK35+ BU35+ CE35+ CO35+ CY35+ DI35</f>
        <v/>
      </c>
      <c r="DO35" s="74">
        <f>DN35-DM35</f>
        <v/>
      </c>
      <c r="DP35" s="75">
        <f>IF(DM35=0,"",DN35/DM35)</f>
        <v/>
      </c>
      <c r="DQ35" s="52" t="n"/>
      <c r="DR35" s="72">
        <f>G35+L35+V35+AF35+AP35+AZ35+BJ35+BT35+CD35+CN35+CX35+DH35</f>
        <v/>
      </c>
    </row>
    <row r="36" ht="15" customHeight="1">
      <c r="A36" s="46" t="n"/>
      <c r="B36" s="46" t="n"/>
      <c r="C36" s="45" t="n"/>
      <c r="D36" s="46" t="n"/>
      <c r="E36" s="46" t="n"/>
      <c r="F36" s="47" t="n"/>
      <c r="G36" s="72" t="n"/>
      <c r="H36" s="72" t="n"/>
      <c r="I36" s="72">
        <f>H36-G36</f>
        <v/>
      </c>
      <c r="J36" s="73">
        <f>IF(G36=0,"",H36/G36)</f>
        <v/>
      </c>
      <c r="K36" s="46" t="n"/>
      <c r="L36" s="72" t="n"/>
      <c r="M36" s="72" t="n"/>
      <c r="N36" s="72">
        <f>M36-L36</f>
        <v/>
      </c>
      <c r="O36" s="73">
        <f>IF(L36=0,"",M36/L36)</f>
        <v/>
      </c>
      <c r="P36" s="46" t="n"/>
      <c r="Q36" s="74">
        <f>G36+ L36</f>
        <v/>
      </c>
      <c r="R36" s="74">
        <f>H36+ M36</f>
        <v/>
      </c>
      <c r="S36" s="74">
        <f>R36-Q36</f>
        <v/>
      </c>
      <c r="T36" s="75">
        <f>IF(Q36=0,"",R36/Q36)</f>
        <v/>
      </c>
      <c r="U36" s="52" t="n"/>
      <c r="V36" s="72" t="n"/>
      <c r="W36" s="72" t="n"/>
      <c r="X36" s="72">
        <f>W36-V36</f>
        <v/>
      </c>
      <c r="Y36" s="73">
        <f>IF(V36=0,"",W36/V36)</f>
        <v/>
      </c>
      <c r="Z36" s="46" t="n"/>
      <c r="AA36" s="74">
        <f>G36+ L36+ V36</f>
        <v/>
      </c>
      <c r="AB36" s="74">
        <f>H36+ M36+ W36</f>
        <v/>
      </c>
      <c r="AC36" s="74">
        <f>AB36-AA36</f>
        <v/>
      </c>
      <c r="AD36" s="75">
        <f>IF(AA36=0,"",AB36/AA36)</f>
        <v/>
      </c>
      <c r="AE36" s="52" t="n"/>
      <c r="AF36" s="72" t="n"/>
      <c r="AG36" s="72" t="n"/>
      <c r="AH36" s="72">
        <f>AG36-AF36</f>
        <v/>
      </c>
      <c r="AI36" s="73">
        <f>IF(AF36=0,"",AG36/AF36)</f>
        <v/>
      </c>
      <c r="AJ36" s="46" t="n"/>
      <c r="AK36" s="74">
        <f>G36+ L36+ V36+ AF36</f>
        <v/>
      </c>
      <c r="AL36" s="74">
        <f>H36+ M36+ W36+ AG36</f>
        <v/>
      </c>
      <c r="AM36" s="74">
        <f>AL36-AK36</f>
        <v/>
      </c>
      <c r="AN36" s="75">
        <f>IF(AK36=0,"",AL36/AK36)</f>
        <v/>
      </c>
      <c r="AO36" s="52" t="n"/>
      <c r="AP36" s="72" t="n"/>
      <c r="AQ36" s="72" t="n"/>
      <c r="AR36" s="72">
        <f>AQ36-AP36</f>
        <v/>
      </c>
      <c r="AS36" s="73">
        <f>IF(AP36=0,"",AQ36/AP36)</f>
        <v/>
      </c>
      <c r="AT36" s="46" t="n"/>
      <c r="AU36" s="74">
        <f>G36+ L36+ V36+ AF36+ AP36</f>
        <v/>
      </c>
      <c r="AV36" s="74">
        <f>H36+ M36+ W36+ AG36+ AQ36</f>
        <v/>
      </c>
      <c r="AW36" s="74">
        <f>AV36-AU36</f>
        <v/>
      </c>
      <c r="AX36" s="75">
        <f>IF(AU36=0,"",AV36/AU36)</f>
        <v/>
      </c>
      <c r="AY36" s="52" t="n"/>
      <c r="AZ36" s="72" t="n"/>
      <c r="BA36" s="72" t="n"/>
      <c r="BB36" s="72">
        <f>BA36-AZ36</f>
        <v/>
      </c>
      <c r="BC36" s="73">
        <f>IF(AZ36=0,"",BA36/AZ36)</f>
        <v/>
      </c>
      <c r="BD36" s="46" t="n"/>
      <c r="BE36" s="74">
        <f>G36+ L36+ V36+ AF36+ AP36+ AZ36</f>
        <v/>
      </c>
      <c r="BF36" s="74">
        <f>H36+ M36+ W36+ AG36+ AQ36+ BA36</f>
        <v/>
      </c>
      <c r="BG36" s="74">
        <f>BF36-BE36</f>
        <v/>
      </c>
      <c r="BH36" s="75">
        <f>IF(BE36=0,"",BF36/BE36)</f>
        <v/>
      </c>
      <c r="BI36" s="52" t="n"/>
      <c r="BJ36" s="72" t="n"/>
      <c r="BK36" s="72" t="n"/>
      <c r="BL36" s="72">
        <f>BK36-BJ36</f>
        <v/>
      </c>
      <c r="BM36" s="73">
        <f>IF(BJ36=0,"",BK36/BJ36)</f>
        <v/>
      </c>
      <c r="BN36" s="46" t="n"/>
      <c r="BO36" s="74">
        <f>G36+ L36+ V36+ AF36+ AP36+ AZ36+ BJ36</f>
        <v/>
      </c>
      <c r="BP36" s="74">
        <f>H36+ M36+ W36+ AG36+ AQ36+ BA36+ BK36</f>
        <v/>
      </c>
      <c r="BQ36" s="74">
        <f>BP36-BO36</f>
        <v/>
      </c>
      <c r="BR36" s="75">
        <f>IF(BO36=0,"",BP36/BO36)</f>
        <v/>
      </c>
      <c r="BS36" s="52" t="n"/>
      <c r="BT36" s="72" t="n"/>
      <c r="BU36" s="72" t="n"/>
      <c r="BV36" s="72">
        <f>BU36-BT36</f>
        <v/>
      </c>
      <c r="BW36" s="73">
        <f>IF(BT36=0,"",BU36/BT36)</f>
        <v/>
      </c>
      <c r="BX36" s="46" t="n"/>
      <c r="BY36" s="74">
        <f>G36+ L36+ V36+ AF36+ AP36+ AZ36+ BJ36+ BT36</f>
        <v/>
      </c>
      <c r="BZ36" s="74">
        <f>H36+ M36+ W36+ AG36+ AQ36+ BA36+ BK36+ BU36</f>
        <v/>
      </c>
      <c r="CA36" s="74">
        <f>BZ36-BY36</f>
        <v/>
      </c>
      <c r="CB36" s="75">
        <f>IF(BY36=0,"",BZ36/BY36)</f>
        <v/>
      </c>
      <c r="CC36" s="52" t="n"/>
      <c r="CD36" s="72" t="n"/>
      <c r="CE36" s="72" t="n"/>
      <c r="CF36" s="72">
        <f>CE36-CD36</f>
        <v/>
      </c>
      <c r="CG36" s="73">
        <f>IF(CD36=0,"",CE36/CD36)</f>
        <v/>
      </c>
      <c r="CH36" s="46" t="n"/>
      <c r="CI36" s="74">
        <f>G36+ L36+ V36+ AF36+ AP36+ AZ36+ BJ36+ BT36+ CD36</f>
        <v/>
      </c>
      <c r="CJ36" s="74">
        <f>H36+ M36+ W36+ AG36+ AQ36+ BA36+ BK36+ BU36+ CE36</f>
        <v/>
      </c>
      <c r="CK36" s="74">
        <f>CJ36-CI36</f>
        <v/>
      </c>
      <c r="CL36" s="75">
        <f>IF(CI36=0,"",CJ36/CI36)</f>
        <v/>
      </c>
      <c r="CM36" s="52" t="n"/>
      <c r="CN36" s="72" t="n"/>
      <c r="CO36" s="72" t="n"/>
      <c r="CP36" s="72">
        <f>CO36-CN36</f>
        <v/>
      </c>
      <c r="CQ36" s="73">
        <f>IF(CN36=0,"",CO36/CN36)</f>
        <v/>
      </c>
      <c r="CR36" s="46" t="n"/>
      <c r="CS36" s="74">
        <f>G36+ L36+ V36+ AF36+ AP36+ AZ36+ BJ36+ BT36+ CD36+ CN36</f>
        <v/>
      </c>
      <c r="CT36" s="74">
        <f>H36+ M36+ W36+ AG36+ AQ36+ BA36+ BK36+ BU36+ CE36+ CO36</f>
        <v/>
      </c>
      <c r="CU36" s="74">
        <f>CT36-CS36</f>
        <v/>
      </c>
      <c r="CV36" s="75">
        <f>IF(CS36=0,"",CT36/CS36)</f>
        <v/>
      </c>
      <c r="CW36" s="52" t="n"/>
      <c r="CX36" s="72" t="n"/>
      <c r="CY36" s="72" t="n"/>
      <c r="CZ36" s="72">
        <f>CY36-CX36</f>
        <v/>
      </c>
      <c r="DA36" s="73">
        <f>IF(CX36=0,"",CY36/CX36)</f>
        <v/>
      </c>
      <c r="DB36" s="46" t="n"/>
      <c r="DC36" s="74">
        <f>G36+ L36+ V36+ AF36+ AP36+ AZ36+ BJ36+ BT36+ CD36+ CN36+ CX36</f>
        <v/>
      </c>
      <c r="DD36" s="74">
        <f>H36+ M36+ W36+ AG36+ AQ36+ BA36+ BK36+ BU36+ CE36+ CO36+ CY36</f>
        <v/>
      </c>
      <c r="DE36" s="74">
        <f>DD36-DC36</f>
        <v/>
      </c>
      <c r="DF36" s="75">
        <f>IF(DC36=0,"",DD36/DC36)</f>
        <v/>
      </c>
      <c r="DG36" s="52" t="n"/>
      <c r="DH36" s="72" t="n"/>
      <c r="DI36" s="72" t="n"/>
      <c r="DJ36" s="72">
        <f>DI36-DH36</f>
        <v/>
      </c>
      <c r="DK36" s="73">
        <f>IF(DH36=0,"",DI36/DH36)</f>
        <v/>
      </c>
      <c r="DL36" s="46" t="n"/>
      <c r="DM36" s="74">
        <f>G36+ L36+ V36+ AF36+ AP36+ AZ36+ BJ36+ BT36+ CD36+ CN36+ CX36+ DH36</f>
        <v/>
      </c>
      <c r="DN36" s="74">
        <f>H36+ M36+ W36+ AG36+ AQ36+ BA36+ BK36+ BU36+ CE36+ CO36+ CY36+ DI36</f>
        <v/>
      </c>
      <c r="DO36" s="74">
        <f>DN36-DM36</f>
        <v/>
      </c>
      <c r="DP36" s="75">
        <f>IF(DM36=0,"",DN36/DM36)</f>
        <v/>
      </c>
      <c r="DQ36" s="52" t="n"/>
      <c r="DR36" s="72">
        <f>G36+L36+V36+AF36+AP36+AZ36+BJ36+BT36+CD36+CN36+CX36+DH36</f>
        <v/>
      </c>
    </row>
    <row r="37" ht="15" customHeight="1">
      <c r="A37" s="67" t="n"/>
      <c r="B37" s="67" t="n"/>
      <c r="C37" s="67" t="n"/>
      <c r="D37" s="46" t="n"/>
      <c r="E37" s="46" t="n"/>
      <c r="F37" s="47" t="n"/>
      <c r="G37" s="72" t="n"/>
      <c r="H37" s="72" t="n"/>
      <c r="I37" s="72">
        <f>H37-G37</f>
        <v/>
      </c>
      <c r="J37" s="73">
        <f>IF(G37=0,"",H37/G37)</f>
        <v/>
      </c>
      <c r="K37" s="46" t="n"/>
      <c r="L37" s="72" t="n"/>
      <c r="M37" s="72" t="n"/>
      <c r="N37" s="72">
        <f>M37-L37</f>
        <v/>
      </c>
      <c r="O37" s="73">
        <f>IF(L37=0,"",M37/L37)</f>
        <v/>
      </c>
      <c r="P37" s="46" t="n"/>
      <c r="Q37" s="74">
        <f>G37+ L37</f>
        <v/>
      </c>
      <c r="R37" s="74">
        <f>H37+ M37</f>
        <v/>
      </c>
      <c r="S37" s="74">
        <f>R37-Q37</f>
        <v/>
      </c>
      <c r="T37" s="75">
        <f>IF(Q37=0,"",R37/Q37)</f>
        <v/>
      </c>
      <c r="U37" s="52" t="n"/>
      <c r="V37" s="72" t="n"/>
      <c r="W37" s="72" t="n"/>
      <c r="X37" s="72">
        <f>W37-V37</f>
        <v/>
      </c>
      <c r="Y37" s="73">
        <f>IF(V37=0,"",W37/V37)</f>
        <v/>
      </c>
      <c r="Z37" s="46" t="n"/>
      <c r="AA37" s="74">
        <f>G37+ L37+ V37</f>
        <v/>
      </c>
      <c r="AB37" s="74">
        <f>H37+ M37+ W37</f>
        <v/>
      </c>
      <c r="AC37" s="74">
        <f>AB37-AA37</f>
        <v/>
      </c>
      <c r="AD37" s="75">
        <f>IF(AA37=0,"",AB37/AA37)</f>
        <v/>
      </c>
      <c r="AE37" s="52" t="n"/>
      <c r="AF37" s="72" t="n"/>
      <c r="AG37" s="72" t="n"/>
      <c r="AH37" s="72">
        <f>AG37-AF37</f>
        <v/>
      </c>
      <c r="AI37" s="73">
        <f>IF(AF37=0,"",AG37/AF37)</f>
        <v/>
      </c>
      <c r="AJ37" s="46" t="n"/>
      <c r="AK37" s="74">
        <f>G37+ L37+ V37+ AF37</f>
        <v/>
      </c>
      <c r="AL37" s="74">
        <f>H37+ M37+ W37+ AG37</f>
        <v/>
      </c>
      <c r="AM37" s="74">
        <f>AL37-AK37</f>
        <v/>
      </c>
      <c r="AN37" s="75">
        <f>IF(AK37=0,"",AL37/AK37)</f>
        <v/>
      </c>
      <c r="AO37" s="52" t="n"/>
      <c r="AP37" s="72" t="n"/>
      <c r="AQ37" s="72" t="n"/>
      <c r="AR37" s="72">
        <f>AQ37-AP37</f>
        <v/>
      </c>
      <c r="AS37" s="73">
        <f>IF(AP37=0,"",AQ37/AP37)</f>
        <v/>
      </c>
      <c r="AT37" s="46" t="n"/>
      <c r="AU37" s="74">
        <f>G37+ L37+ V37+ AF37+ AP37</f>
        <v/>
      </c>
      <c r="AV37" s="74">
        <f>H37+ M37+ W37+ AG37+ AQ37</f>
        <v/>
      </c>
      <c r="AW37" s="74">
        <f>AV37-AU37</f>
        <v/>
      </c>
      <c r="AX37" s="75">
        <f>IF(AU37=0,"",AV37/AU37)</f>
        <v/>
      </c>
      <c r="AY37" s="52" t="n"/>
      <c r="AZ37" s="72" t="n"/>
      <c r="BA37" s="72" t="n"/>
      <c r="BB37" s="72">
        <f>BA37-AZ37</f>
        <v/>
      </c>
      <c r="BC37" s="73">
        <f>IF(AZ37=0,"",BA37/AZ37)</f>
        <v/>
      </c>
      <c r="BD37" s="46" t="n"/>
      <c r="BE37" s="74">
        <f>G37+ L37+ V37+ AF37+ AP37+ AZ37</f>
        <v/>
      </c>
      <c r="BF37" s="74">
        <f>H37+ M37+ W37+ AG37+ AQ37+ BA37</f>
        <v/>
      </c>
      <c r="BG37" s="74">
        <f>BF37-BE37</f>
        <v/>
      </c>
      <c r="BH37" s="75">
        <f>IF(BE37=0,"",BF37/BE37)</f>
        <v/>
      </c>
      <c r="BI37" s="52" t="n"/>
      <c r="BJ37" s="72" t="n"/>
      <c r="BK37" s="72" t="n"/>
      <c r="BL37" s="72">
        <f>BK37-BJ37</f>
        <v/>
      </c>
      <c r="BM37" s="73">
        <f>IF(BJ37=0,"",BK37/BJ37)</f>
        <v/>
      </c>
      <c r="BN37" s="46" t="n"/>
      <c r="BO37" s="74">
        <f>G37+ L37+ V37+ AF37+ AP37+ AZ37+ BJ37</f>
        <v/>
      </c>
      <c r="BP37" s="74">
        <f>H37+ M37+ W37+ AG37+ AQ37+ BA37+ BK37</f>
        <v/>
      </c>
      <c r="BQ37" s="74">
        <f>BP37-BO37</f>
        <v/>
      </c>
      <c r="BR37" s="75">
        <f>IF(BO37=0,"",BP37/BO37)</f>
        <v/>
      </c>
      <c r="BS37" s="52" t="n"/>
      <c r="BT37" s="72" t="n"/>
      <c r="BU37" s="72" t="n"/>
      <c r="BV37" s="72">
        <f>BU37-BT37</f>
        <v/>
      </c>
      <c r="BW37" s="73">
        <f>IF(BT37=0,"",BU37/BT37)</f>
        <v/>
      </c>
      <c r="BX37" s="46" t="n"/>
      <c r="BY37" s="74">
        <f>G37+ L37+ V37+ AF37+ AP37+ AZ37+ BJ37+ BT37</f>
        <v/>
      </c>
      <c r="BZ37" s="74">
        <f>H37+ M37+ W37+ AG37+ AQ37+ BA37+ BK37+ BU37</f>
        <v/>
      </c>
      <c r="CA37" s="74">
        <f>BZ37-BY37</f>
        <v/>
      </c>
      <c r="CB37" s="75">
        <f>IF(BY37=0,"",BZ37/BY37)</f>
        <v/>
      </c>
      <c r="CC37" s="52" t="n"/>
      <c r="CD37" s="72" t="n"/>
      <c r="CE37" s="72" t="n"/>
      <c r="CF37" s="72">
        <f>CE37-CD37</f>
        <v/>
      </c>
      <c r="CG37" s="73">
        <f>IF(CD37=0,"",CE37/CD37)</f>
        <v/>
      </c>
      <c r="CH37" s="46" t="n"/>
      <c r="CI37" s="74">
        <f>G37+ L37+ V37+ AF37+ AP37+ AZ37+ BJ37+ BT37+ CD37</f>
        <v/>
      </c>
      <c r="CJ37" s="74">
        <f>H37+ M37+ W37+ AG37+ AQ37+ BA37+ BK37+ BU37+ CE37</f>
        <v/>
      </c>
      <c r="CK37" s="74">
        <f>CJ37-CI37</f>
        <v/>
      </c>
      <c r="CL37" s="75">
        <f>IF(CI37=0,"",CJ37/CI37)</f>
        <v/>
      </c>
      <c r="CM37" s="52" t="n"/>
      <c r="CN37" s="72" t="n"/>
      <c r="CO37" s="72" t="n"/>
      <c r="CP37" s="72">
        <f>CO37-CN37</f>
        <v/>
      </c>
      <c r="CQ37" s="73">
        <f>IF(CN37=0,"",CO37/CN37)</f>
        <v/>
      </c>
      <c r="CR37" s="46" t="n"/>
      <c r="CS37" s="74">
        <f>G37+ L37+ V37+ AF37+ AP37+ AZ37+ BJ37+ BT37+ CD37+ CN37</f>
        <v/>
      </c>
      <c r="CT37" s="74">
        <f>H37+ M37+ W37+ AG37+ AQ37+ BA37+ BK37+ BU37+ CE37+ CO37</f>
        <v/>
      </c>
      <c r="CU37" s="74">
        <f>CT37-CS37</f>
        <v/>
      </c>
      <c r="CV37" s="75">
        <f>IF(CS37=0,"",CT37/CS37)</f>
        <v/>
      </c>
      <c r="CW37" s="52" t="n"/>
      <c r="CX37" s="72" t="n"/>
      <c r="CY37" s="72" t="n"/>
      <c r="CZ37" s="72">
        <f>CY37-CX37</f>
        <v/>
      </c>
      <c r="DA37" s="73">
        <f>IF(CX37=0,"",CY37/CX37)</f>
        <v/>
      </c>
      <c r="DB37" s="46" t="n"/>
      <c r="DC37" s="74">
        <f>G37+ L37+ V37+ AF37+ AP37+ AZ37+ BJ37+ BT37+ CD37+ CN37+ CX37</f>
        <v/>
      </c>
      <c r="DD37" s="74">
        <f>H37+ M37+ W37+ AG37+ AQ37+ BA37+ BK37+ BU37+ CE37+ CO37+ CY37</f>
        <v/>
      </c>
      <c r="DE37" s="74">
        <f>DD37-DC37</f>
        <v/>
      </c>
      <c r="DF37" s="75">
        <f>IF(DC37=0,"",DD37/DC37)</f>
        <v/>
      </c>
      <c r="DG37" s="52" t="n"/>
      <c r="DH37" s="72" t="n"/>
      <c r="DI37" s="72" t="n"/>
      <c r="DJ37" s="72">
        <f>DI37-DH37</f>
        <v/>
      </c>
      <c r="DK37" s="73">
        <f>IF(DH37=0,"",DI37/DH37)</f>
        <v/>
      </c>
      <c r="DL37" s="46" t="n"/>
      <c r="DM37" s="74">
        <f>G37+ L37+ V37+ AF37+ AP37+ AZ37+ BJ37+ BT37+ CD37+ CN37+ CX37+ DH37</f>
        <v/>
      </c>
      <c r="DN37" s="74">
        <f>H37+ M37+ W37+ AG37+ AQ37+ BA37+ BK37+ BU37+ CE37+ CO37+ CY37+ DI37</f>
        <v/>
      </c>
      <c r="DO37" s="74">
        <f>DN37-DM37</f>
        <v/>
      </c>
      <c r="DP37" s="75">
        <f>IF(DM37=0,"",DN37/DM37)</f>
        <v/>
      </c>
      <c r="DQ37" s="52" t="n"/>
      <c r="DR37" s="72">
        <f>G37+L37+V37+AF37+AP37+AZ37+BJ37+BT37+CD37+CN37+CX37+DH37</f>
        <v/>
      </c>
    </row>
    <row r="38" ht="15" customHeight="1">
      <c r="A38" s="67" t="n"/>
      <c r="B38" s="67" t="n"/>
      <c r="C38" s="67" t="n"/>
      <c r="D38" s="46" t="n"/>
      <c r="E38" s="46" t="n"/>
      <c r="F38" s="47" t="n"/>
      <c r="G38" s="72" t="n"/>
      <c r="H38" s="72" t="n"/>
      <c r="I38" s="72">
        <f>H38-G38</f>
        <v/>
      </c>
      <c r="J38" s="73">
        <f>IF(G38=0,"",H38/G38)</f>
        <v/>
      </c>
      <c r="K38" s="46" t="n"/>
      <c r="L38" s="72" t="n"/>
      <c r="M38" s="72" t="n"/>
      <c r="N38" s="72">
        <f>M38-L38</f>
        <v/>
      </c>
      <c r="O38" s="73">
        <f>IF(L38=0,"",M38/L38)</f>
        <v/>
      </c>
      <c r="P38" s="46" t="n"/>
      <c r="Q38" s="74">
        <f>G38+ L38</f>
        <v/>
      </c>
      <c r="R38" s="74">
        <f>H38+ M38</f>
        <v/>
      </c>
      <c r="S38" s="74">
        <f>R38-Q38</f>
        <v/>
      </c>
      <c r="T38" s="75">
        <f>IF(Q38=0,"",R38/Q38)</f>
        <v/>
      </c>
      <c r="U38" s="52" t="n"/>
      <c r="V38" s="72" t="n"/>
      <c r="W38" s="72" t="n"/>
      <c r="X38" s="72">
        <f>W38-V38</f>
        <v/>
      </c>
      <c r="Y38" s="73">
        <f>IF(V38=0,"",W38/V38)</f>
        <v/>
      </c>
      <c r="Z38" s="46" t="n"/>
      <c r="AA38" s="74">
        <f>G38+ L38+ V38</f>
        <v/>
      </c>
      <c r="AB38" s="74">
        <f>H38+ M38+ W38</f>
        <v/>
      </c>
      <c r="AC38" s="74">
        <f>AB38-AA38</f>
        <v/>
      </c>
      <c r="AD38" s="75">
        <f>IF(AA38=0,"",AB38/AA38)</f>
        <v/>
      </c>
      <c r="AE38" s="52" t="n"/>
      <c r="AF38" s="72" t="n"/>
      <c r="AG38" s="72" t="n"/>
      <c r="AH38" s="72">
        <f>AG38-AF38</f>
        <v/>
      </c>
      <c r="AI38" s="73">
        <f>IF(AF38=0,"",AG38/AF38)</f>
        <v/>
      </c>
      <c r="AJ38" s="46" t="n"/>
      <c r="AK38" s="74">
        <f>G38+ L38+ V38+ AF38</f>
        <v/>
      </c>
      <c r="AL38" s="74">
        <f>H38+ M38+ W38+ AG38</f>
        <v/>
      </c>
      <c r="AM38" s="74">
        <f>AL38-AK38</f>
        <v/>
      </c>
      <c r="AN38" s="75">
        <f>IF(AK38=0,"",AL38/AK38)</f>
        <v/>
      </c>
      <c r="AO38" s="52" t="n"/>
      <c r="AP38" s="72" t="n"/>
      <c r="AQ38" s="72" t="n"/>
      <c r="AR38" s="72">
        <f>AQ38-AP38</f>
        <v/>
      </c>
      <c r="AS38" s="73">
        <f>IF(AP38=0,"",AQ38/AP38)</f>
        <v/>
      </c>
      <c r="AT38" s="46" t="n"/>
      <c r="AU38" s="74">
        <f>G38+ L38+ V38+ AF38+ AP38</f>
        <v/>
      </c>
      <c r="AV38" s="74">
        <f>H38+ M38+ W38+ AG38+ AQ38</f>
        <v/>
      </c>
      <c r="AW38" s="74">
        <f>AV38-AU38</f>
        <v/>
      </c>
      <c r="AX38" s="75">
        <f>IF(AU38=0,"",AV38/AU38)</f>
        <v/>
      </c>
      <c r="AY38" s="52" t="n"/>
      <c r="AZ38" s="72" t="n"/>
      <c r="BA38" s="72" t="n"/>
      <c r="BB38" s="72">
        <f>BA38-AZ38</f>
        <v/>
      </c>
      <c r="BC38" s="73">
        <f>IF(AZ38=0,"",BA38/AZ38)</f>
        <v/>
      </c>
      <c r="BD38" s="46" t="n"/>
      <c r="BE38" s="74">
        <f>G38+ L38+ V38+ AF38+ AP38+ AZ38</f>
        <v/>
      </c>
      <c r="BF38" s="74">
        <f>H38+ M38+ W38+ AG38+ AQ38+ BA38</f>
        <v/>
      </c>
      <c r="BG38" s="74">
        <f>BF38-BE38</f>
        <v/>
      </c>
      <c r="BH38" s="75">
        <f>IF(BE38=0,"",BF38/BE38)</f>
        <v/>
      </c>
      <c r="BI38" s="52" t="n"/>
      <c r="BJ38" s="72" t="n"/>
      <c r="BK38" s="72" t="n"/>
      <c r="BL38" s="72">
        <f>BK38-BJ38</f>
        <v/>
      </c>
      <c r="BM38" s="73">
        <f>IF(BJ38=0,"",BK38/BJ38)</f>
        <v/>
      </c>
      <c r="BN38" s="46" t="n"/>
      <c r="BO38" s="74">
        <f>G38+ L38+ V38+ AF38+ AP38+ AZ38+ BJ38</f>
        <v/>
      </c>
      <c r="BP38" s="74">
        <f>H38+ M38+ W38+ AG38+ AQ38+ BA38+ BK38</f>
        <v/>
      </c>
      <c r="BQ38" s="74">
        <f>BP38-BO38</f>
        <v/>
      </c>
      <c r="BR38" s="75">
        <f>IF(BO38=0,"",BP38/BO38)</f>
        <v/>
      </c>
      <c r="BS38" s="52" t="n"/>
      <c r="BT38" s="72" t="n"/>
      <c r="BU38" s="72" t="n"/>
      <c r="BV38" s="72">
        <f>BU38-BT38</f>
        <v/>
      </c>
      <c r="BW38" s="73">
        <f>IF(BT38=0,"",BU38/BT38)</f>
        <v/>
      </c>
      <c r="BX38" s="46" t="n"/>
      <c r="BY38" s="74">
        <f>G38+ L38+ V38+ AF38+ AP38+ AZ38+ BJ38+ BT38</f>
        <v/>
      </c>
      <c r="BZ38" s="74">
        <f>H38+ M38+ W38+ AG38+ AQ38+ BA38+ BK38+ BU38</f>
        <v/>
      </c>
      <c r="CA38" s="74">
        <f>BZ38-BY38</f>
        <v/>
      </c>
      <c r="CB38" s="75">
        <f>IF(BY38=0,"",BZ38/BY38)</f>
        <v/>
      </c>
      <c r="CC38" s="52" t="n"/>
      <c r="CD38" s="72" t="n"/>
      <c r="CE38" s="72" t="n"/>
      <c r="CF38" s="72">
        <f>CE38-CD38</f>
        <v/>
      </c>
      <c r="CG38" s="73">
        <f>IF(CD38=0,"",CE38/CD38)</f>
        <v/>
      </c>
      <c r="CH38" s="46" t="n"/>
      <c r="CI38" s="74">
        <f>G38+ L38+ V38+ AF38+ AP38+ AZ38+ BJ38+ BT38+ CD38</f>
        <v/>
      </c>
      <c r="CJ38" s="74">
        <f>H38+ M38+ W38+ AG38+ AQ38+ BA38+ BK38+ BU38+ CE38</f>
        <v/>
      </c>
      <c r="CK38" s="74">
        <f>CJ38-CI38</f>
        <v/>
      </c>
      <c r="CL38" s="75">
        <f>IF(CI38=0,"",CJ38/CI38)</f>
        <v/>
      </c>
      <c r="CM38" s="52" t="n"/>
      <c r="CN38" s="72" t="n"/>
      <c r="CO38" s="72" t="n"/>
      <c r="CP38" s="72">
        <f>CO38-CN38</f>
        <v/>
      </c>
      <c r="CQ38" s="73">
        <f>IF(CN38=0,"",CO38/CN38)</f>
        <v/>
      </c>
      <c r="CR38" s="46" t="n"/>
      <c r="CS38" s="74">
        <f>G38+ L38+ V38+ AF38+ AP38+ AZ38+ BJ38+ BT38+ CD38+ CN38</f>
        <v/>
      </c>
      <c r="CT38" s="74">
        <f>H38+ M38+ W38+ AG38+ AQ38+ BA38+ BK38+ BU38+ CE38+ CO38</f>
        <v/>
      </c>
      <c r="CU38" s="74">
        <f>CT38-CS38</f>
        <v/>
      </c>
      <c r="CV38" s="75">
        <f>IF(CS38=0,"",CT38/CS38)</f>
        <v/>
      </c>
      <c r="CW38" s="52" t="n"/>
      <c r="CX38" s="72" t="n"/>
      <c r="CY38" s="72" t="n"/>
      <c r="CZ38" s="72">
        <f>CY38-CX38</f>
        <v/>
      </c>
      <c r="DA38" s="73">
        <f>IF(CX38=0,"",CY38/CX38)</f>
        <v/>
      </c>
      <c r="DB38" s="46" t="n"/>
      <c r="DC38" s="74">
        <f>G38+ L38+ V38+ AF38+ AP38+ AZ38+ BJ38+ BT38+ CD38+ CN38+ CX38</f>
        <v/>
      </c>
      <c r="DD38" s="74">
        <f>H38+ M38+ W38+ AG38+ AQ38+ BA38+ BK38+ BU38+ CE38+ CO38+ CY38</f>
        <v/>
      </c>
      <c r="DE38" s="74">
        <f>DD38-DC38</f>
        <v/>
      </c>
      <c r="DF38" s="75">
        <f>IF(DC38=0,"",DD38/DC38)</f>
        <v/>
      </c>
      <c r="DG38" s="52" t="n"/>
      <c r="DH38" s="72" t="n"/>
      <c r="DI38" s="72" t="n"/>
      <c r="DJ38" s="72">
        <f>DI38-DH38</f>
        <v/>
      </c>
      <c r="DK38" s="73">
        <f>IF(DH38=0,"",DI38/DH38)</f>
        <v/>
      </c>
      <c r="DL38" s="46" t="n"/>
      <c r="DM38" s="74">
        <f>G38+ L38+ V38+ AF38+ AP38+ AZ38+ BJ38+ BT38+ CD38+ CN38+ CX38+ DH38</f>
        <v/>
      </c>
      <c r="DN38" s="74">
        <f>H38+ M38+ W38+ AG38+ AQ38+ BA38+ BK38+ BU38+ CE38+ CO38+ CY38+ DI38</f>
        <v/>
      </c>
      <c r="DO38" s="74">
        <f>DN38-DM38</f>
        <v/>
      </c>
      <c r="DP38" s="75">
        <f>IF(DM38=0,"",DN38/DM38)</f>
        <v/>
      </c>
      <c r="DQ38" s="52" t="n"/>
      <c r="DR38" s="72">
        <f>G38+L38+V38+AF38+AP38+AZ38+BJ38+BT38+CD38+CN38+CX38+DH38</f>
        <v/>
      </c>
    </row>
    <row r="39" ht="15" customHeight="1">
      <c r="A39" s="55" t="n"/>
      <c r="B39" s="55" t="n"/>
      <c r="C39" s="55" t="n"/>
      <c r="D39" s="46" t="n"/>
      <c r="E39" s="46" t="n"/>
      <c r="F39" s="47" t="n"/>
      <c r="G39" s="72" t="n"/>
      <c r="H39" s="72" t="n"/>
      <c r="I39" s="72">
        <f>H39-G39</f>
        <v/>
      </c>
      <c r="J39" s="73">
        <f>IF(G39=0,"",H39/G39)</f>
        <v/>
      </c>
      <c r="K39" s="46" t="n"/>
      <c r="L39" s="72" t="n"/>
      <c r="M39" s="72" t="n"/>
      <c r="N39" s="72">
        <f>M39-L39</f>
        <v/>
      </c>
      <c r="O39" s="73">
        <f>IF(L39=0,"",M39/L39)</f>
        <v/>
      </c>
      <c r="P39" s="46" t="n"/>
      <c r="Q39" s="74">
        <f>G39+ L39</f>
        <v/>
      </c>
      <c r="R39" s="74">
        <f>H39+ M39</f>
        <v/>
      </c>
      <c r="S39" s="74">
        <f>R39-Q39</f>
        <v/>
      </c>
      <c r="T39" s="75">
        <f>IF(Q39=0,"",R39/Q39)</f>
        <v/>
      </c>
      <c r="U39" s="52" t="n"/>
      <c r="V39" s="72" t="n"/>
      <c r="W39" s="72" t="n"/>
      <c r="X39" s="72">
        <f>W39-V39</f>
        <v/>
      </c>
      <c r="Y39" s="73">
        <f>IF(V39=0,"",W39/V39)</f>
        <v/>
      </c>
      <c r="Z39" s="46" t="n"/>
      <c r="AA39" s="74">
        <f>G39+ L39+ V39</f>
        <v/>
      </c>
      <c r="AB39" s="74">
        <f>H39+ M39+ W39</f>
        <v/>
      </c>
      <c r="AC39" s="74">
        <f>AB39-AA39</f>
        <v/>
      </c>
      <c r="AD39" s="75">
        <f>IF(AA39=0,"",AB39/AA39)</f>
        <v/>
      </c>
      <c r="AE39" s="52" t="n"/>
      <c r="AF39" s="72" t="n"/>
      <c r="AG39" s="72" t="n"/>
      <c r="AH39" s="72">
        <f>AG39-AF39</f>
        <v/>
      </c>
      <c r="AI39" s="73">
        <f>IF(AF39=0,"",AG39/AF39)</f>
        <v/>
      </c>
      <c r="AJ39" s="46" t="n"/>
      <c r="AK39" s="74">
        <f>G39+ L39+ V39+ AF39</f>
        <v/>
      </c>
      <c r="AL39" s="74">
        <f>H39+ M39+ W39+ AG39</f>
        <v/>
      </c>
      <c r="AM39" s="74">
        <f>AL39-AK39</f>
        <v/>
      </c>
      <c r="AN39" s="75">
        <f>IF(AK39=0,"",AL39/AK39)</f>
        <v/>
      </c>
      <c r="AO39" s="52" t="n"/>
      <c r="AP39" s="72" t="n"/>
      <c r="AQ39" s="72" t="n"/>
      <c r="AR39" s="72">
        <f>AQ39-AP39</f>
        <v/>
      </c>
      <c r="AS39" s="73">
        <f>IF(AP39=0,"",AQ39/AP39)</f>
        <v/>
      </c>
      <c r="AT39" s="46" t="n"/>
      <c r="AU39" s="74">
        <f>G39+ L39+ V39+ AF39+ AP39</f>
        <v/>
      </c>
      <c r="AV39" s="74">
        <f>H39+ M39+ W39+ AG39+ AQ39</f>
        <v/>
      </c>
      <c r="AW39" s="74">
        <f>AV39-AU39</f>
        <v/>
      </c>
      <c r="AX39" s="75">
        <f>IF(AU39=0,"",AV39/AU39)</f>
        <v/>
      </c>
      <c r="AY39" s="52" t="n"/>
      <c r="AZ39" s="72" t="n"/>
      <c r="BA39" s="72" t="n"/>
      <c r="BB39" s="72">
        <f>BA39-AZ39</f>
        <v/>
      </c>
      <c r="BC39" s="73">
        <f>IF(AZ39=0,"",BA39/AZ39)</f>
        <v/>
      </c>
      <c r="BD39" s="46" t="n"/>
      <c r="BE39" s="74">
        <f>G39+ L39+ V39+ AF39+ AP39+ AZ39</f>
        <v/>
      </c>
      <c r="BF39" s="74">
        <f>H39+ M39+ W39+ AG39+ AQ39+ BA39</f>
        <v/>
      </c>
      <c r="BG39" s="74">
        <f>BF39-BE39</f>
        <v/>
      </c>
      <c r="BH39" s="75">
        <f>IF(BE39=0,"",BF39/BE39)</f>
        <v/>
      </c>
      <c r="BI39" s="52" t="n"/>
      <c r="BJ39" s="72" t="n"/>
      <c r="BK39" s="72" t="n"/>
      <c r="BL39" s="72">
        <f>BK39-BJ39</f>
        <v/>
      </c>
      <c r="BM39" s="73">
        <f>IF(BJ39=0,"",BK39/BJ39)</f>
        <v/>
      </c>
      <c r="BN39" s="46" t="n"/>
      <c r="BO39" s="74">
        <f>G39+ L39+ V39+ AF39+ AP39+ AZ39+ BJ39</f>
        <v/>
      </c>
      <c r="BP39" s="74">
        <f>H39+ M39+ W39+ AG39+ AQ39+ BA39+ BK39</f>
        <v/>
      </c>
      <c r="BQ39" s="74">
        <f>BP39-BO39</f>
        <v/>
      </c>
      <c r="BR39" s="75">
        <f>IF(BO39=0,"",BP39/BO39)</f>
        <v/>
      </c>
      <c r="BS39" s="52" t="n"/>
      <c r="BT39" s="72" t="n"/>
      <c r="BU39" s="72" t="n"/>
      <c r="BV39" s="72">
        <f>BU39-BT39</f>
        <v/>
      </c>
      <c r="BW39" s="73">
        <f>IF(BT39=0,"",BU39/BT39)</f>
        <v/>
      </c>
      <c r="BX39" s="46" t="n"/>
      <c r="BY39" s="74">
        <f>G39+ L39+ V39+ AF39+ AP39+ AZ39+ BJ39+ BT39</f>
        <v/>
      </c>
      <c r="BZ39" s="74">
        <f>H39+ M39+ W39+ AG39+ AQ39+ BA39+ BK39+ BU39</f>
        <v/>
      </c>
      <c r="CA39" s="74">
        <f>BZ39-BY39</f>
        <v/>
      </c>
      <c r="CB39" s="75">
        <f>IF(BY39=0,"",BZ39/BY39)</f>
        <v/>
      </c>
      <c r="CC39" s="52" t="n"/>
      <c r="CD39" s="72" t="n"/>
      <c r="CE39" s="72" t="n"/>
      <c r="CF39" s="72">
        <f>CE39-CD39</f>
        <v/>
      </c>
      <c r="CG39" s="73">
        <f>IF(CD39=0,"",CE39/CD39)</f>
        <v/>
      </c>
      <c r="CH39" s="46" t="n"/>
      <c r="CI39" s="74">
        <f>G39+ L39+ V39+ AF39+ AP39+ AZ39+ BJ39+ BT39+ CD39</f>
        <v/>
      </c>
      <c r="CJ39" s="74">
        <f>H39+ M39+ W39+ AG39+ AQ39+ BA39+ BK39+ BU39+ CE39</f>
        <v/>
      </c>
      <c r="CK39" s="74">
        <f>CJ39-CI39</f>
        <v/>
      </c>
      <c r="CL39" s="75">
        <f>IF(CI39=0,"",CJ39/CI39)</f>
        <v/>
      </c>
      <c r="CM39" s="52" t="n"/>
      <c r="CN39" s="72" t="n"/>
      <c r="CO39" s="72" t="n"/>
      <c r="CP39" s="72">
        <f>CO39-CN39</f>
        <v/>
      </c>
      <c r="CQ39" s="73">
        <f>IF(CN39=0,"",CO39/CN39)</f>
        <v/>
      </c>
      <c r="CR39" s="46" t="n"/>
      <c r="CS39" s="74">
        <f>G39+ L39+ V39+ AF39+ AP39+ AZ39+ BJ39+ BT39+ CD39+ CN39</f>
        <v/>
      </c>
      <c r="CT39" s="74">
        <f>H39+ M39+ W39+ AG39+ AQ39+ BA39+ BK39+ BU39+ CE39+ CO39</f>
        <v/>
      </c>
      <c r="CU39" s="74">
        <f>CT39-CS39</f>
        <v/>
      </c>
      <c r="CV39" s="75">
        <f>IF(CS39=0,"",CT39/CS39)</f>
        <v/>
      </c>
      <c r="CW39" s="52" t="n"/>
      <c r="CX39" s="72" t="n"/>
      <c r="CY39" s="72" t="n"/>
      <c r="CZ39" s="72">
        <f>CY39-CX39</f>
        <v/>
      </c>
      <c r="DA39" s="73">
        <f>IF(CX39=0,"",CY39/CX39)</f>
        <v/>
      </c>
      <c r="DB39" s="46" t="n"/>
      <c r="DC39" s="74">
        <f>G39+ L39+ V39+ AF39+ AP39+ AZ39+ BJ39+ BT39+ CD39+ CN39+ CX39</f>
        <v/>
      </c>
      <c r="DD39" s="74">
        <f>H39+ M39+ W39+ AG39+ AQ39+ BA39+ BK39+ BU39+ CE39+ CO39+ CY39</f>
        <v/>
      </c>
      <c r="DE39" s="74">
        <f>DD39-DC39</f>
        <v/>
      </c>
      <c r="DF39" s="75">
        <f>IF(DC39=0,"",DD39/DC39)</f>
        <v/>
      </c>
      <c r="DG39" s="52" t="n"/>
      <c r="DH39" s="72" t="n"/>
      <c r="DI39" s="72" t="n"/>
      <c r="DJ39" s="72">
        <f>DI39-DH39</f>
        <v/>
      </c>
      <c r="DK39" s="73">
        <f>IF(DH39=0,"",DI39/DH39)</f>
        <v/>
      </c>
      <c r="DL39" s="46" t="n"/>
      <c r="DM39" s="74">
        <f>G39+ L39+ V39+ AF39+ AP39+ AZ39+ BJ39+ BT39+ CD39+ CN39+ CX39+ DH39</f>
        <v/>
      </c>
      <c r="DN39" s="74">
        <f>H39+ M39+ W39+ AG39+ AQ39+ BA39+ BK39+ BU39+ CE39+ CO39+ CY39+ DI39</f>
        <v/>
      </c>
      <c r="DO39" s="74">
        <f>DN39-DM39</f>
        <v/>
      </c>
      <c r="DP39" s="75">
        <f>IF(DM39=0,"",DN39/DM39)</f>
        <v/>
      </c>
      <c r="DQ39" s="52" t="n"/>
      <c r="DR39" s="72">
        <f>G39+L39+V39+AF39+AP39+AZ39+BJ39+BT39+CD39+CN39+CX39+DH39</f>
        <v/>
      </c>
    </row>
    <row r="40" ht="15" customHeight="1">
      <c r="A40" s="42" t="n"/>
      <c r="B40" s="39" t="n"/>
      <c r="C40" s="39" t="n"/>
      <c r="D40" s="39" t="n"/>
      <c r="E40" s="39" t="n"/>
      <c r="F40" s="39" t="n"/>
      <c r="G40" s="70">
        <f>SUM(G41,G42,G43,G44,G45,G46,G47,G48,G49,G50,G51,G52,G53,G54,G55,G56,G57,G58,G59,G60,G61,G62,G63,G64,G65,G66,G67,G68)</f>
        <v/>
      </c>
      <c r="H40" s="70">
        <f>SUM(H41,H42,H43,H44,H45,H46,H47,H48,H49,H50,H51,H52,H53,H54,H55,H56,H57,H58,H59,H60,H61,H62,H63,H64,H65,H66,H67,H68)</f>
        <v/>
      </c>
      <c r="I40" s="70">
        <f>H40-G40</f>
        <v/>
      </c>
      <c r="J40" s="71">
        <f>IF(G40=0,"",H40/G40)</f>
        <v/>
      </c>
      <c r="K40" s="39" t="n"/>
      <c r="L40" s="70">
        <f>SUM(L41,L42,L43,L44,L45,L46,L47,L48,L49,L50,L51,L52,L53,L54,L55,L56,L57,L58,L59,L60,L61,L62,L63,L64,L65,L66,L67,L68)</f>
        <v/>
      </c>
      <c r="M40" s="70">
        <f>SUM(M41,M42,M43,M44,M45,M46,M47,M48,M49,M50,M51,M52,M53,M54,M55,M56,M57,M58,M59,M60,M61,M62,M63,M64,M65,M66,M67,M68)</f>
        <v/>
      </c>
      <c r="N40" s="70">
        <f>M40-L40</f>
        <v/>
      </c>
      <c r="O40" s="71">
        <f>IF(L40=0,"",M40/L40)</f>
        <v/>
      </c>
      <c r="P40" s="39" t="n"/>
      <c r="Q40" s="70">
        <f>G40+ L40</f>
        <v/>
      </c>
      <c r="R40" s="70">
        <f>H40+ M40</f>
        <v/>
      </c>
      <c r="S40" s="70">
        <f>R40-Q40</f>
        <v/>
      </c>
      <c r="T40" s="71">
        <f>IF(Q40=0,"",R40/Q40)</f>
        <v/>
      </c>
      <c r="U40" s="39" t="n"/>
      <c r="V40" s="70">
        <f>SUM(V41,V42,V43,V44,V45,V46,V47,V48,V49,V50,V51,V52,V53,V54,V55,V56,V57,V58,V59,V60,V61,V62,V63,V64,V65,V66,V67,V68)</f>
        <v/>
      </c>
      <c r="W40" s="70">
        <f>SUM(W41,W42,W43,W44,W45,W46,W47,W48,W49,W50,W51,W52,W53,W54,W55,W56,W57,W58,W59,W60,W61,W62,W63,W64,W65,W66,W67,W68)</f>
        <v/>
      </c>
      <c r="X40" s="70">
        <f>W40-V40</f>
        <v/>
      </c>
      <c r="Y40" s="71">
        <f>IF(V40=0,"",W40/V40)</f>
        <v/>
      </c>
      <c r="Z40" s="39" t="n"/>
      <c r="AA40" s="70">
        <f>G40+ L40+ V40</f>
        <v/>
      </c>
      <c r="AB40" s="70">
        <f>H40+ M40+ W40</f>
        <v/>
      </c>
      <c r="AC40" s="70">
        <f>AB40-AA40</f>
        <v/>
      </c>
      <c r="AD40" s="71">
        <f>IF(AA40=0,"",AB40/AA40)</f>
        <v/>
      </c>
      <c r="AE40" s="39" t="n"/>
      <c r="AF40" s="70">
        <f>SUM(AF41,AF42,AF43,AF44,AF45,AF46,AF47,AF48,AF49,AF50,AF51,AF52,AF53,AF54,AF55,AF56,AF57,AF58,AF59,AF60,AF61,AF62,AF63,AF64,AF65,AF66,AF67,AF68)</f>
        <v/>
      </c>
      <c r="AG40" s="70">
        <f>SUM(AG41,AG42,AG43,AG44,AG45,AG46,AG47,AG48,AG49,AG50,AG51,AG52,AG53,AG54,AG55,AG56,AG57,AG58,AG59,AG60,AG61,AG62,AG63,AG64,AG65,AG66,AG67,AG68)</f>
        <v/>
      </c>
      <c r="AH40" s="70">
        <f>AG40-AF40</f>
        <v/>
      </c>
      <c r="AI40" s="71">
        <f>IF(AF40=0,"",AG40/AF40)</f>
        <v/>
      </c>
      <c r="AJ40" s="39" t="n"/>
      <c r="AK40" s="70">
        <f>G40+ L40+ V40+ AF40</f>
        <v/>
      </c>
      <c r="AL40" s="70">
        <f>H40+ M40+ W40+ AG40</f>
        <v/>
      </c>
      <c r="AM40" s="70">
        <f>AL40-AK40</f>
        <v/>
      </c>
      <c r="AN40" s="71">
        <f>IF(AK40=0,"",AL40/AK40)</f>
        <v/>
      </c>
      <c r="AO40" s="39" t="n"/>
      <c r="AP40" s="70">
        <f>SUM(AP41,AP42,AP43,AP44,AP45,AP46,AP47,AP48,AP49,AP50,AP51,AP52,AP53,AP54,AP55,AP56,AP57,AP58,AP59,AP60,AP61,AP62,AP63,AP64,AP65,AP66,AP67,AP68)</f>
        <v/>
      </c>
      <c r="AQ40" s="70">
        <f>SUM(AQ41,AQ42,AQ43,AQ44,AQ45,AQ46,AQ47,AQ48,AQ49,AQ50,AQ51,AQ52,AQ53,AQ54,AQ55,AQ56,AQ57,AQ58,AQ59,AQ60,AQ61,AQ62,AQ63,AQ64,AQ65,AQ66,AQ67,AQ68)</f>
        <v/>
      </c>
      <c r="AR40" s="70">
        <f>AQ40-AP40</f>
        <v/>
      </c>
      <c r="AS40" s="71">
        <f>IF(AP40=0,"",AQ40/AP40)</f>
        <v/>
      </c>
      <c r="AT40" s="39" t="n"/>
      <c r="AU40" s="70">
        <f>G40+ L40+ V40+ AF40+ AP40</f>
        <v/>
      </c>
      <c r="AV40" s="70">
        <f>H40+ M40+ W40+ AG40+ AQ40</f>
        <v/>
      </c>
      <c r="AW40" s="70">
        <f>AV40-AU40</f>
        <v/>
      </c>
      <c r="AX40" s="71">
        <f>IF(AU40=0,"",AV40/AU40)</f>
        <v/>
      </c>
      <c r="AY40" s="39" t="n"/>
      <c r="AZ40" s="70">
        <f>SUM(AZ41,AZ42,AZ43,AZ44,AZ45,AZ46,AZ47,AZ48,AZ49,AZ50,AZ51,AZ52,AZ53,AZ54,AZ55,AZ56,AZ57,AZ58,AZ59,AZ60,AZ61,AZ62,AZ63,AZ64,AZ65,AZ66,AZ67,AZ68)</f>
        <v/>
      </c>
      <c r="BA40" s="70">
        <f>SUM(BA41,BA42,BA43,BA44,BA45,BA46,BA47,BA48,BA49,BA50,BA51,BA52,BA53,BA54,BA55,BA56,BA57,BA58,BA59,BA60,BA61,BA62,BA63,BA64,BA65,BA66,BA67,BA68)</f>
        <v/>
      </c>
      <c r="BB40" s="70">
        <f>BA40-AZ40</f>
        <v/>
      </c>
      <c r="BC40" s="71">
        <f>IF(AZ40=0,"",BA40/AZ40)</f>
        <v/>
      </c>
      <c r="BD40" s="39" t="n"/>
      <c r="BE40" s="70">
        <f>G40+ L40+ V40+ AF40+ AP40+ AZ40</f>
        <v/>
      </c>
      <c r="BF40" s="70">
        <f>H40+ M40+ W40+ AG40+ AQ40+ BA40</f>
        <v/>
      </c>
      <c r="BG40" s="70">
        <f>BF40-BE40</f>
        <v/>
      </c>
      <c r="BH40" s="71">
        <f>IF(BE40=0,"",BF40/BE40)</f>
        <v/>
      </c>
      <c r="BI40" s="39" t="n"/>
      <c r="BJ40" s="70">
        <f>SUM(BJ41,BJ42,BJ43,BJ44,BJ45,BJ46,BJ47,BJ48,BJ49,BJ50,BJ51,BJ52,BJ53,BJ54,BJ55,BJ56,BJ57,BJ58,BJ59,BJ60,BJ61,BJ62,BJ63,BJ64,BJ65,BJ66,BJ67,BJ68)</f>
        <v/>
      </c>
      <c r="BK40" s="70">
        <f>SUM(BK41,BK42,BK43,BK44,BK45,BK46,BK47,BK48,BK49,BK50,BK51,BK52,BK53,BK54,BK55,BK56,BK57,BK58,BK59,BK60,BK61,BK62,BK63,BK64,BK65,BK66,BK67,BK68)</f>
        <v/>
      </c>
      <c r="BL40" s="70">
        <f>BK40-BJ40</f>
        <v/>
      </c>
      <c r="BM40" s="71">
        <f>IF(BJ40=0,"",BK40/BJ40)</f>
        <v/>
      </c>
      <c r="BN40" s="39" t="n"/>
      <c r="BO40" s="70">
        <f>G40+ L40+ V40+ AF40+ AP40+ AZ40+ BJ40</f>
        <v/>
      </c>
      <c r="BP40" s="70">
        <f>H40+ M40+ W40+ AG40+ AQ40+ BA40+ BK40</f>
        <v/>
      </c>
      <c r="BQ40" s="70">
        <f>BP40-BO40</f>
        <v/>
      </c>
      <c r="BR40" s="71">
        <f>IF(BO40=0,"",BP40/BO40)</f>
        <v/>
      </c>
      <c r="BS40" s="39" t="n"/>
      <c r="BT40" s="70">
        <f>SUM(BT41,BT42,BT43,BT44,BT45,BT46,BT47,BT48,BT49,BT50,BT51,BT52,BT53,BT54,BT55,BT56,BT57,BT58,BT59,BT60,BT61,BT62,BT63,BT64,BT65,BT66,BT67,BT68)</f>
        <v/>
      </c>
      <c r="BU40" s="70">
        <f>SUM(BU41,BU42,BU43,BU44,BU45,BU46,BU47,BU48,BU49,BU50,BU51,BU52,BU53,BU54,BU55,BU56,BU57,BU58,BU59,BU60,BU61,BU62,BU63,BU64,BU65,BU66,BU67,BU68)</f>
        <v/>
      </c>
      <c r="BV40" s="70">
        <f>BU40-BT40</f>
        <v/>
      </c>
      <c r="BW40" s="71">
        <f>IF(BT40=0,"",BU40/BT40)</f>
        <v/>
      </c>
      <c r="BX40" s="39" t="n"/>
      <c r="BY40" s="70">
        <f>G40+ L40+ V40+ AF40+ AP40+ AZ40+ BJ40+ BT40</f>
        <v/>
      </c>
      <c r="BZ40" s="70">
        <f>H40+ M40+ W40+ AG40+ AQ40+ BA40+ BK40+ BU40</f>
        <v/>
      </c>
      <c r="CA40" s="70">
        <f>BZ40-BY40</f>
        <v/>
      </c>
      <c r="CB40" s="71">
        <f>IF(BY40=0,"",BZ40/BY40)</f>
        <v/>
      </c>
      <c r="CC40" s="39" t="n"/>
      <c r="CD40" s="70">
        <f>SUM(CD41,CD42,CD43,CD44,CD45,CD46,CD47,CD48,CD49,CD50,CD51,CD52,CD53,CD54,CD55,CD56,CD57,CD58,CD59,CD60,CD61,CD62,CD63,CD64,CD65,CD66,CD67,CD68)</f>
        <v/>
      </c>
      <c r="CE40" s="70">
        <f>SUM(CE41,CE42,CE43,CE44,CE45,CE46,CE47,CE48,CE49,CE50,CE51,CE52,CE53,CE54,CE55,CE56,CE57,CE58,CE59,CE60,CE61,CE62,CE63,CE64,CE65,CE66,CE67,CE68)</f>
        <v/>
      </c>
      <c r="CF40" s="70">
        <f>CE40-CD40</f>
        <v/>
      </c>
      <c r="CG40" s="71">
        <f>IF(CD40=0,"",CE40/CD40)</f>
        <v/>
      </c>
      <c r="CH40" s="39" t="n"/>
      <c r="CI40" s="70">
        <f>G40+ L40+ V40+ AF40+ AP40+ AZ40+ BJ40+ BT40+ CD40</f>
        <v/>
      </c>
      <c r="CJ40" s="70">
        <f>H40+ M40+ W40+ AG40+ AQ40+ BA40+ BK40+ BU40+ CE40</f>
        <v/>
      </c>
      <c r="CK40" s="70">
        <f>CJ40-CI40</f>
        <v/>
      </c>
      <c r="CL40" s="71">
        <f>IF(CI40=0,"",CJ40/CI40)</f>
        <v/>
      </c>
      <c r="CM40" s="39" t="n"/>
      <c r="CN40" s="70">
        <f>SUM(CN41,CN42,CN43,CN44,CN45,CN46,CN47,CN48,CN49,CN50,CN51,CN52,CN53,CN54,CN55,CN56,CN57,CN58,CN59,CN60,CN61,CN62,CN63,CN64,CN65,CN66,CN67,CN68)</f>
        <v/>
      </c>
      <c r="CO40" s="70">
        <f>SUM(CO41,CO42,CO43,CO44,CO45,CO46,CO47,CO48,CO49,CO50,CO51,CO52,CO53,CO54,CO55,CO56,CO57,CO58,CO59,CO60,CO61,CO62,CO63,CO64,CO65,CO66,CO67,CO68)</f>
        <v/>
      </c>
      <c r="CP40" s="70">
        <f>CO40-CN40</f>
        <v/>
      </c>
      <c r="CQ40" s="71">
        <f>IF(CN40=0,"",CO40/CN40)</f>
        <v/>
      </c>
      <c r="CR40" s="39" t="n"/>
      <c r="CS40" s="70">
        <f>G40+ L40+ V40+ AF40+ AP40+ AZ40+ BJ40+ BT40+ CD40+ CN40</f>
        <v/>
      </c>
      <c r="CT40" s="70">
        <f>H40+ M40+ W40+ AG40+ AQ40+ BA40+ BK40+ BU40+ CE40+ CO40</f>
        <v/>
      </c>
      <c r="CU40" s="70">
        <f>CT40-CS40</f>
        <v/>
      </c>
      <c r="CV40" s="71">
        <f>IF(CS40=0,"",CT40/CS40)</f>
        <v/>
      </c>
      <c r="CW40" s="39" t="n"/>
      <c r="CX40" s="70">
        <f>SUM(CX41,CX42,CX43,CX44,CX45,CX46,CX47,CX48,CX49,CX50,CX51,CX52,CX53,CX54,CX55,CX56,CX57,CX58,CX59,CX60,CX61,CX62,CX63,CX64,CX65,CX66,CX67,CX68)</f>
        <v/>
      </c>
      <c r="CY40" s="70">
        <f>SUM(CY41,CY42,CY43,CY44,CY45,CY46,CY47,CY48,CY49,CY50,CY51,CY52,CY53,CY54,CY55,CY56,CY57,CY58,CY59,CY60,CY61,CY62,CY63,CY64,CY65,CY66,CY67,CY68)</f>
        <v/>
      </c>
      <c r="CZ40" s="70">
        <f>CY40-CX40</f>
        <v/>
      </c>
      <c r="DA40" s="71">
        <f>IF(CX40=0,"",CY40/CX40)</f>
        <v/>
      </c>
      <c r="DB40" s="39" t="n"/>
      <c r="DC40" s="70">
        <f>G40+ L40+ V40+ AF40+ AP40+ AZ40+ BJ40+ BT40+ CD40+ CN40+ CX40</f>
        <v/>
      </c>
      <c r="DD40" s="70">
        <f>H40+ M40+ W40+ AG40+ AQ40+ BA40+ BK40+ BU40+ CE40+ CO40+ CY40</f>
        <v/>
      </c>
      <c r="DE40" s="70">
        <f>DD40-DC40</f>
        <v/>
      </c>
      <c r="DF40" s="71">
        <f>IF(DC40=0,"",DD40/DC40)</f>
        <v/>
      </c>
      <c r="DG40" s="39" t="n"/>
      <c r="DH40" s="70">
        <f>SUM(DH41,DH42,DH43,DH44,DH45,DH46,DH47,DH48,DH49,DH50,DH51,DH52,DH53,DH54,DH55,DH56,DH57,DH58,DH59,DH60,DH61,DH62,DH63,DH64,DH65,DH66,DH67,DH68)</f>
        <v/>
      </c>
      <c r="DI40" s="70">
        <f>SUM(DI41,DI42,DI43,DI44,DI45,DI46,DI47,DI48,DI49,DI50,DI51,DI52,DI53,DI54,DI55,DI56,DI57,DI58,DI59,DI60,DI61,DI62,DI63,DI64,DI65,DI66,DI67,DI68)</f>
        <v/>
      </c>
      <c r="DJ40" s="70">
        <f>DI40-DH40</f>
        <v/>
      </c>
      <c r="DK40" s="71">
        <f>IF(DH40=0,"",DI40/DH40)</f>
        <v/>
      </c>
      <c r="DL40" s="39" t="n"/>
      <c r="DM40" s="70">
        <f>G40+ L40+ V40+ AF40+ AP40+ AZ40+ BJ40+ BT40+ CD40+ CN40+ CX40+ DH40</f>
        <v/>
      </c>
      <c r="DN40" s="70">
        <f>H40+ M40+ W40+ AG40+ AQ40+ BA40+ BK40+ BU40+ CE40+ CO40+ CY40+ DI40</f>
        <v/>
      </c>
      <c r="DO40" s="70">
        <f>DN40-DM40</f>
        <v/>
      </c>
      <c r="DP40" s="71">
        <f>IF(DM40=0,"",DN40/DM40)</f>
        <v/>
      </c>
      <c r="DQ40" s="39" t="n"/>
      <c r="DR40" s="70">
        <f>SUM(DR41,DR42,DR43,DR44,DR45,DR46,DR47,DR48,DR49,DR50,DR51,DR52,DR53,DR54,DR55,DR56,DR57,DR58,DR59,DR60,DR61,DR62,DR63,DR64,DR65,DR66,DR67,DR68)</f>
        <v/>
      </c>
    </row>
    <row r="41" ht="15" customHeight="1">
      <c r="A41" s="46" t="n"/>
      <c r="B41" s="46" t="n"/>
      <c r="C41" s="46" t="n"/>
      <c r="D41" s="46" t="n"/>
      <c r="E41" s="46" t="n"/>
      <c r="F41" s="47" t="n"/>
      <c r="G41" s="72" t="n"/>
      <c r="H41" s="72" t="n"/>
      <c r="I41" s="72">
        <f>H41-G41</f>
        <v/>
      </c>
      <c r="J41" s="73">
        <f>IF(G41=0,"",H41/G41)</f>
        <v/>
      </c>
      <c r="K41" s="46" t="n"/>
      <c r="L41" s="72" t="n"/>
      <c r="M41" s="72" t="n"/>
      <c r="N41" s="72">
        <f>M41-L41</f>
        <v/>
      </c>
      <c r="O41" s="73">
        <f>IF(L41=0,"",M41/L41)</f>
        <v/>
      </c>
      <c r="P41" s="46" t="n"/>
      <c r="Q41" s="74">
        <f>G41+ L41</f>
        <v/>
      </c>
      <c r="R41" s="74">
        <f>H41+ M41</f>
        <v/>
      </c>
      <c r="S41" s="74">
        <f>R41-Q41</f>
        <v/>
      </c>
      <c r="T41" s="75">
        <f>IF(Q41=0,"",R41/Q41)</f>
        <v/>
      </c>
      <c r="U41" s="52" t="n"/>
      <c r="V41" s="72" t="n"/>
      <c r="W41" s="72" t="n"/>
      <c r="X41" s="72">
        <f>W41-V41</f>
        <v/>
      </c>
      <c r="Y41" s="73">
        <f>IF(V41=0,"",W41/V41)</f>
        <v/>
      </c>
      <c r="Z41" s="46" t="n"/>
      <c r="AA41" s="74">
        <f>G41+ L41+ V41</f>
        <v/>
      </c>
      <c r="AB41" s="74">
        <f>H41+ M41+ W41</f>
        <v/>
      </c>
      <c r="AC41" s="74">
        <f>AB41-AA41</f>
        <v/>
      </c>
      <c r="AD41" s="75">
        <f>IF(AA41=0,"",AB41/AA41)</f>
        <v/>
      </c>
      <c r="AE41" s="52" t="n"/>
      <c r="AF41" s="72" t="n"/>
      <c r="AG41" s="72" t="n"/>
      <c r="AH41" s="72">
        <f>AG41-AF41</f>
        <v/>
      </c>
      <c r="AI41" s="73">
        <f>IF(AF41=0,"",AG41/AF41)</f>
        <v/>
      </c>
      <c r="AJ41" s="46" t="n"/>
      <c r="AK41" s="74">
        <f>G41+ L41+ V41+ AF41</f>
        <v/>
      </c>
      <c r="AL41" s="74">
        <f>H41+ M41+ W41+ AG41</f>
        <v/>
      </c>
      <c r="AM41" s="74">
        <f>AL41-AK41</f>
        <v/>
      </c>
      <c r="AN41" s="75">
        <f>IF(AK41=0,"",AL41/AK41)</f>
        <v/>
      </c>
      <c r="AO41" s="52" t="n"/>
      <c r="AP41" s="72" t="n"/>
      <c r="AQ41" s="72" t="n"/>
      <c r="AR41" s="72">
        <f>AQ41-AP41</f>
        <v/>
      </c>
      <c r="AS41" s="73">
        <f>IF(AP41=0,"",AQ41/AP41)</f>
        <v/>
      </c>
      <c r="AT41" s="46" t="n"/>
      <c r="AU41" s="74">
        <f>G41+ L41+ V41+ AF41+ AP41</f>
        <v/>
      </c>
      <c r="AV41" s="74">
        <f>H41+ M41+ W41+ AG41+ AQ41</f>
        <v/>
      </c>
      <c r="AW41" s="74">
        <f>AV41-AU41</f>
        <v/>
      </c>
      <c r="AX41" s="75">
        <f>IF(AU41=0,"",AV41/AU41)</f>
        <v/>
      </c>
      <c r="AY41" s="52" t="n"/>
      <c r="AZ41" s="72" t="n"/>
      <c r="BA41" s="72" t="n"/>
      <c r="BB41" s="72">
        <f>BA41-AZ41</f>
        <v/>
      </c>
      <c r="BC41" s="73">
        <f>IF(AZ41=0,"",BA41/AZ41)</f>
        <v/>
      </c>
      <c r="BD41" s="46" t="n"/>
      <c r="BE41" s="74">
        <f>G41+ L41+ V41+ AF41+ AP41+ AZ41</f>
        <v/>
      </c>
      <c r="BF41" s="74">
        <f>H41+ M41+ W41+ AG41+ AQ41+ BA41</f>
        <v/>
      </c>
      <c r="BG41" s="74">
        <f>BF41-BE41</f>
        <v/>
      </c>
      <c r="BH41" s="75">
        <f>IF(BE41=0,"",BF41/BE41)</f>
        <v/>
      </c>
      <c r="BI41" s="52" t="n"/>
      <c r="BJ41" s="72" t="n"/>
      <c r="BK41" s="72" t="n"/>
      <c r="BL41" s="72">
        <f>BK41-BJ41</f>
        <v/>
      </c>
      <c r="BM41" s="73">
        <f>IF(BJ41=0,"",BK41/BJ41)</f>
        <v/>
      </c>
      <c r="BN41" s="46" t="n"/>
      <c r="BO41" s="74">
        <f>G41+ L41+ V41+ AF41+ AP41+ AZ41+ BJ41</f>
        <v/>
      </c>
      <c r="BP41" s="74">
        <f>H41+ M41+ W41+ AG41+ AQ41+ BA41+ BK41</f>
        <v/>
      </c>
      <c r="BQ41" s="74">
        <f>BP41-BO41</f>
        <v/>
      </c>
      <c r="BR41" s="75">
        <f>IF(BO41=0,"",BP41/BO41)</f>
        <v/>
      </c>
      <c r="BS41" s="52" t="n"/>
      <c r="BT41" s="72" t="n"/>
      <c r="BU41" s="72" t="n"/>
      <c r="BV41" s="72">
        <f>BU41-BT41</f>
        <v/>
      </c>
      <c r="BW41" s="73">
        <f>IF(BT41=0,"",BU41/BT41)</f>
        <v/>
      </c>
      <c r="BX41" s="46" t="n"/>
      <c r="BY41" s="74">
        <f>G41+ L41+ V41+ AF41+ AP41+ AZ41+ BJ41+ BT41</f>
        <v/>
      </c>
      <c r="BZ41" s="74">
        <f>H41+ M41+ W41+ AG41+ AQ41+ BA41+ BK41+ BU41</f>
        <v/>
      </c>
      <c r="CA41" s="74">
        <f>BZ41-BY41</f>
        <v/>
      </c>
      <c r="CB41" s="75">
        <f>IF(BY41=0,"",BZ41/BY41)</f>
        <v/>
      </c>
      <c r="CC41" s="52" t="n"/>
      <c r="CD41" s="72" t="n"/>
      <c r="CE41" s="72" t="n"/>
      <c r="CF41" s="72">
        <f>CE41-CD41</f>
        <v/>
      </c>
      <c r="CG41" s="73">
        <f>IF(CD41=0,"",CE41/CD41)</f>
        <v/>
      </c>
      <c r="CH41" s="46" t="n"/>
      <c r="CI41" s="74">
        <f>G41+ L41+ V41+ AF41+ AP41+ AZ41+ BJ41+ BT41+ CD41</f>
        <v/>
      </c>
      <c r="CJ41" s="74">
        <f>H41+ M41+ W41+ AG41+ AQ41+ BA41+ BK41+ BU41+ CE41</f>
        <v/>
      </c>
      <c r="CK41" s="74">
        <f>CJ41-CI41</f>
        <v/>
      </c>
      <c r="CL41" s="75">
        <f>IF(CI41=0,"",CJ41/CI41)</f>
        <v/>
      </c>
      <c r="CM41" s="52" t="n"/>
      <c r="CN41" s="72" t="n"/>
      <c r="CO41" s="72" t="n"/>
      <c r="CP41" s="72">
        <f>CO41-CN41</f>
        <v/>
      </c>
      <c r="CQ41" s="73">
        <f>IF(CN41=0,"",CO41/CN41)</f>
        <v/>
      </c>
      <c r="CR41" s="46" t="n"/>
      <c r="CS41" s="74">
        <f>G41+ L41+ V41+ AF41+ AP41+ AZ41+ BJ41+ BT41+ CD41+ CN41</f>
        <v/>
      </c>
      <c r="CT41" s="74">
        <f>H41+ M41+ W41+ AG41+ AQ41+ BA41+ BK41+ BU41+ CE41+ CO41</f>
        <v/>
      </c>
      <c r="CU41" s="74">
        <f>CT41-CS41</f>
        <v/>
      </c>
      <c r="CV41" s="75">
        <f>IF(CS41=0,"",CT41/CS41)</f>
        <v/>
      </c>
      <c r="CW41" s="52" t="n"/>
      <c r="CX41" s="72" t="n"/>
      <c r="CY41" s="72" t="n"/>
      <c r="CZ41" s="72">
        <f>CY41-CX41</f>
        <v/>
      </c>
      <c r="DA41" s="73">
        <f>IF(CX41=0,"",CY41/CX41)</f>
        <v/>
      </c>
      <c r="DB41" s="46" t="n"/>
      <c r="DC41" s="74">
        <f>G41+ L41+ V41+ AF41+ AP41+ AZ41+ BJ41+ BT41+ CD41+ CN41+ CX41</f>
        <v/>
      </c>
      <c r="DD41" s="74">
        <f>H41+ M41+ W41+ AG41+ AQ41+ BA41+ BK41+ BU41+ CE41+ CO41+ CY41</f>
        <v/>
      </c>
      <c r="DE41" s="74">
        <f>DD41-DC41</f>
        <v/>
      </c>
      <c r="DF41" s="75">
        <f>IF(DC41=0,"",DD41/DC41)</f>
        <v/>
      </c>
      <c r="DG41" s="52" t="n"/>
      <c r="DH41" s="72" t="n"/>
      <c r="DI41" s="72" t="n"/>
      <c r="DJ41" s="72">
        <f>DI41-DH41</f>
        <v/>
      </c>
      <c r="DK41" s="73">
        <f>IF(DH41=0,"",DI41/DH41)</f>
        <v/>
      </c>
      <c r="DL41" s="46" t="n"/>
      <c r="DM41" s="74">
        <f>G41+ L41+ V41+ AF41+ AP41+ AZ41+ BJ41+ BT41+ CD41+ CN41+ CX41+ DH41</f>
        <v/>
      </c>
      <c r="DN41" s="74">
        <f>H41+ M41+ W41+ AG41+ AQ41+ BA41+ BK41+ BU41+ CE41+ CO41+ CY41+ DI41</f>
        <v/>
      </c>
      <c r="DO41" s="74">
        <f>DN41-DM41</f>
        <v/>
      </c>
      <c r="DP41" s="75">
        <f>IF(DM41=0,"",DN41/DM41)</f>
        <v/>
      </c>
      <c r="DQ41" s="52" t="n"/>
      <c r="DR41" s="72">
        <f>G41+L41+V41+AF41+AP41+AZ41+BJ41+BT41+CD41+CN41+CX41+DH41</f>
        <v/>
      </c>
    </row>
    <row r="42" ht="15" customHeight="1">
      <c r="A42" s="67" t="n"/>
      <c r="B42" s="67" t="n"/>
      <c r="C42" s="67" t="n"/>
      <c r="D42" s="46" t="n"/>
      <c r="E42" s="46" t="n"/>
      <c r="F42" s="47" t="n"/>
      <c r="G42" s="72" t="n"/>
      <c r="H42" s="72" t="n"/>
      <c r="I42" s="72">
        <f>H42-G42</f>
        <v/>
      </c>
      <c r="J42" s="73">
        <f>IF(G42=0,"",H42/G42)</f>
        <v/>
      </c>
      <c r="K42" s="46" t="n"/>
      <c r="L42" s="72" t="n"/>
      <c r="M42" s="72" t="n"/>
      <c r="N42" s="72">
        <f>M42-L42</f>
        <v/>
      </c>
      <c r="O42" s="73">
        <f>IF(L42=0,"",M42/L42)</f>
        <v/>
      </c>
      <c r="P42" s="46" t="n"/>
      <c r="Q42" s="74">
        <f>G42+ L42</f>
        <v/>
      </c>
      <c r="R42" s="74">
        <f>H42+ M42</f>
        <v/>
      </c>
      <c r="S42" s="74">
        <f>R42-Q42</f>
        <v/>
      </c>
      <c r="T42" s="75">
        <f>IF(Q42=0,"",R42/Q42)</f>
        <v/>
      </c>
      <c r="U42" s="52" t="n"/>
      <c r="V42" s="72" t="n"/>
      <c r="W42" s="72" t="n"/>
      <c r="X42" s="72">
        <f>W42-V42</f>
        <v/>
      </c>
      <c r="Y42" s="73">
        <f>IF(V42=0,"",W42/V42)</f>
        <v/>
      </c>
      <c r="Z42" s="46" t="n"/>
      <c r="AA42" s="74">
        <f>G42+ L42+ V42</f>
        <v/>
      </c>
      <c r="AB42" s="74">
        <f>H42+ M42+ W42</f>
        <v/>
      </c>
      <c r="AC42" s="74">
        <f>AB42-AA42</f>
        <v/>
      </c>
      <c r="AD42" s="75">
        <f>IF(AA42=0,"",AB42/AA42)</f>
        <v/>
      </c>
      <c r="AE42" s="52" t="n"/>
      <c r="AF42" s="72" t="n"/>
      <c r="AG42" s="72" t="n"/>
      <c r="AH42" s="72">
        <f>AG42-AF42</f>
        <v/>
      </c>
      <c r="AI42" s="73">
        <f>IF(AF42=0,"",AG42/AF42)</f>
        <v/>
      </c>
      <c r="AJ42" s="46" t="n"/>
      <c r="AK42" s="74">
        <f>G42+ L42+ V42+ AF42</f>
        <v/>
      </c>
      <c r="AL42" s="74">
        <f>H42+ M42+ W42+ AG42</f>
        <v/>
      </c>
      <c r="AM42" s="74">
        <f>AL42-AK42</f>
        <v/>
      </c>
      <c r="AN42" s="75">
        <f>IF(AK42=0,"",AL42/AK42)</f>
        <v/>
      </c>
      <c r="AO42" s="52" t="n"/>
      <c r="AP42" s="72" t="n"/>
      <c r="AQ42" s="72" t="n"/>
      <c r="AR42" s="72">
        <f>AQ42-AP42</f>
        <v/>
      </c>
      <c r="AS42" s="73">
        <f>IF(AP42=0,"",AQ42/AP42)</f>
        <v/>
      </c>
      <c r="AT42" s="46" t="n"/>
      <c r="AU42" s="74">
        <f>G42+ L42+ V42+ AF42+ AP42</f>
        <v/>
      </c>
      <c r="AV42" s="74">
        <f>H42+ M42+ W42+ AG42+ AQ42</f>
        <v/>
      </c>
      <c r="AW42" s="74">
        <f>AV42-AU42</f>
        <v/>
      </c>
      <c r="AX42" s="75">
        <f>IF(AU42=0,"",AV42/AU42)</f>
        <v/>
      </c>
      <c r="AY42" s="52" t="n"/>
      <c r="AZ42" s="72" t="n"/>
      <c r="BA42" s="72" t="n"/>
      <c r="BB42" s="72">
        <f>BA42-AZ42</f>
        <v/>
      </c>
      <c r="BC42" s="73">
        <f>IF(AZ42=0,"",BA42/AZ42)</f>
        <v/>
      </c>
      <c r="BD42" s="46" t="n"/>
      <c r="BE42" s="74">
        <f>G42+ L42+ V42+ AF42+ AP42+ AZ42</f>
        <v/>
      </c>
      <c r="BF42" s="74">
        <f>H42+ M42+ W42+ AG42+ AQ42+ BA42</f>
        <v/>
      </c>
      <c r="BG42" s="74">
        <f>BF42-BE42</f>
        <v/>
      </c>
      <c r="BH42" s="75">
        <f>IF(BE42=0,"",BF42/BE42)</f>
        <v/>
      </c>
      <c r="BI42" s="52" t="n"/>
      <c r="BJ42" s="72" t="n"/>
      <c r="BK42" s="72" t="n"/>
      <c r="BL42" s="72">
        <f>BK42-BJ42</f>
        <v/>
      </c>
      <c r="BM42" s="73">
        <f>IF(BJ42=0,"",BK42/BJ42)</f>
        <v/>
      </c>
      <c r="BN42" s="46" t="n"/>
      <c r="BO42" s="74">
        <f>G42+ L42+ V42+ AF42+ AP42+ AZ42+ BJ42</f>
        <v/>
      </c>
      <c r="BP42" s="74">
        <f>H42+ M42+ W42+ AG42+ AQ42+ BA42+ BK42</f>
        <v/>
      </c>
      <c r="BQ42" s="74">
        <f>BP42-BO42</f>
        <v/>
      </c>
      <c r="BR42" s="75">
        <f>IF(BO42=0,"",BP42/BO42)</f>
        <v/>
      </c>
      <c r="BS42" s="52" t="n"/>
      <c r="BT42" s="72" t="n"/>
      <c r="BU42" s="72" t="n"/>
      <c r="BV42" s="72">
        <f>BU42-BT42</f>
        <v/>
      </c>
      <c r="BW42" s="73">
        <f>IF(BT42=0,"",BU42/BT42)</f>
        <v/>
      </c>
      <c r="BX42" s="46" t="n"/>
      <c r="BY42" s="74">
        <f>G42+ L42+ V42+ AF42+ AP42+ AZ42+ BJ42+ BT42</f>
        <v/>
      </c>
      <c r="BZ42" s="74">
        <f>H42+ M42+ W42+ AG42+ AQ42+ BA42+ BK42+ BU42</f>
        <v/>
      </c>
      <c r="CA42" s="74">
        <f>BZ42-BY42</f>
        <v/>
      </c>
      <c r="CB42" s="75">
        <f>IF(BY42=0,"",BZ42/BY42)</f>
        <v/>
      </c>
      <c r="CC42" s="52" t="n"/>
      <c r="CD42" s="72" t="n"/>
      <c r="CE42" s="72" t="n"/>
      <c r="CF42" s="72">
        <f>CE42-CD42</f>
        <v/>
      </c>
      <c r="CG42" s="73">
        <f>IF(CD42=0,"",CE42/CD42)</f>
        <v/>
      </c>
      <c r="CH42" s="46" t="n"/>
      <c r="CI42" s="74">
        <f>G42+ L42+ V42+ AF42+ AP42+ AZ42+ BJ42+ BT42+ CD42</f>
        <v/>
      </c>
      <c r="CJ42" s="74">
        <f>H42+ M42+ W42+ AG42+ AQ42+ BA42+ BK42+ BU42+ CE42</f>
        <v/>
      </c>
      <c r="CK42" s="74">
        <f>CJ42-CI42</f>
        <v/>
      </c>
      <c r="CL42" s="75">
        <f>IF(CI42=0,"",CJ42/CI42)</f>
        <v/>
      </c>
      <c r="CM42" s="52" t="n"/>
      <c r="CN42" s="72" t="n"/>
      <c r="CO42" s="72" t="n"/>
      <c r="CP42" s="72">
        <f>CO42-CN42</f>
        <v/>
      </c>
      <c r="CQ42" s="73">
        <f>IF(CN42=0,"",CO42/CN42)</f>
        <v/>
      </c>
      <c r="CR42" s="46" t="n"/>
      <c r="CS42" s="74">
        <f>G42+ L42+ V42+ AF42+ AP42+ AZ42+ BJ42+ BT42+ CD42+ CN42</f>
        <v/>
      </c>
      <c r="CT42" s="74">
        <f>H42+ M42+ W42+ AG42+ AQ42+ BA42+ BK42+ BU42+ CE42+ CO42</f>
        <v/>
      </c>
      <c r="CU42" s="74">
        <f>CT42-CS42</f>
        <v/>
      </c>
      <c r="CV42" s="75">
        <f>IF(CS42=0,"",CT42/CS42)</f>
        <v/>
      </c>
      <c r="CW42" s="52" t="n"/>
      <c r="CX42" s="72" t="n"/>
      <c r="CY42" s="72" t="n"/>
      <c r="CZ42" s="72">
        <f>CY42-CX42</f>
        <v/>
      </c>
      <c r="DA42" s="73">
        <f>IF(CX42=0,"",CY42/CX42)</f>
        <v/>
      </c>
      <c r="DB42" s="46" t="n"/>
      <c r="DC42" s="74">
        <f>G42+ L42+ V42+ AF42+ AP42+ AZ42+ BJ42+ BT42+ CD42+ CN42+ CX42</f>
        <v/>
      </c>
      <c r="DD42" s="74">
        <f>H42+ M42+ W42+ AG42+ AQ42+ BA42+ BK42+ BU42+ CE42+ CO42+ CY42</f>
        <v/>
      </c>
      <c r="DE42" s="74">
        <f>DD42-DC42</f>
        <v/>
      </c>
      <c r="DF42" s="75">
        <f>IF(DC42=0,"",DD42/DC42)</f>
        <v/>
      </c>
      <c r="DG42" s="52" t="n"/>
      <c r="DH42" s="72" t="n"/>
      <c r="DI42" s="72" t="n"/>
      <c r="DJ42" s="72">
        <f>DI42-DH42</f>
        <v/>
      </c>
      <c r="DK42" s="73">
        <f>IF(DH42=0,"",DI42/DH42)</f>
        <v/>
      </c>
      <c r="DL42" s="46" t="n"/>
      <c r="DM42" s="74">
        <f>G42+ L42+ V42+ AF42+ AP42+ AZ42+ BJ42+ BT42+ CD42+ CN42+ CX42+ DH42</f>
        <v/>
      </c>
      <c r="DN42" s="74">
        <f>H42+ M42+ W42+ AG42+ AQ42+ BA42+ BK42+ BU42+ CE42+ CO42+ CY42+ DI42</f>
        <v/>
      </c>
      <c r="DO42" s="74">
        <f>DN42-DM42</f>
        <v/>
      </c>
      <c r="DP42" s="75">
        <f>IF(DM42=0,"",DN42/DM42)</f>
        <v/>
      </c>
      <c r="DQ42" s="52" t="n"/>
      <c r="DR42" s="72">
        <f>G42+L42+V42+AF42+AP42+AZ42+BJ42+BT42+CD42+CN42+CX42+DH42</f>
        <v/>
      </c>
    </row>
    <row r="43" ht="15" customHeight="1">
      <c r="A43" s="67" t="n"/>
      <c r="B43" s="67" t="n"/>
      <c r="C43" s="67" t="n"/>
      <c r="D43" s="46" t="n"/>
      <c r="E43" s="46" t="n"/>
      <c r="F43" s="47" t="n"/>
      <c r="G43" s="72" t="n"/>
      <c r="H43" s="72" t="n"/>
      <c r="I43" s="72">
        <f>H43-G43</f>
        <v/>
      </c>
      <c r="J43" s="73">
        <f>IF(G43=0,"",H43/G43)</f>
        <v/>
      </c>
      <c r="K43" s="46" t="n"/>
      <c r="L43" s="72" t="n"/>
      <c r="M43" s="72" t="n"/>
      <c r="N43" s="72">
        <f>M43-L43</f>
        <v/>
      </c>
      <c r="O43" s="73">
        <f>IF(L43=0,"",M43/L43)</f>
        <v/>
      </c>
      <c r="P43" s="46" t="n"/>
      <c r="Q43" s="74">
        <f>G43+ L43</f>
        <v/>
      </c>
      <c r="R43" s="74">
        <f>H43+ M43</f>
        <v/>
      </c>
      <c r="S43" s="74">
        <f>R43-Q43</f>
        <v/>
      </c>
      <c r="T43" s="75">
        <f>IF(Q43=0,"",R43/Q43)</f>
        <v/>
      </c>
      <c r="U43" s="52" t="n"/>
      <c r="V43" s="72" t="n"/>
      <c r="W43" s="72" t="n"/>
      <c r="X43" s="72">
        <f>W43-V43</f>
        <v/>
      </c>
      <c r="Y43" s="73">
        <f>IF(V43=0,"",W43/V43)</f>
        <v/>
      </c>
      <c r="Z43" s="46" t="n"/>
      <c r="AA43" s="74">
        <f>G43+ L43+ V43</f>
        <v/>
      </c>
      <c r="AB43" s="74">
        <f>H43+ M43+ W43</f>
        <v/>
      </c>
      <c r="AC43" s="74">
        <f>AB43-AA43</f>
        <v/>
      </c>
      <c r="AD43" s="75">
        <f>IF(AA43=0,"",AB43/AA43)</f>
        <v/>
      </c>
      <c r="AE43" s="52" t="n"/>
      <c r="AF43" s="72" t="n"/>
      <c r="AG43" s="72" t="n"/>
      <c r="AH43" s="72">
        <f>AG43-AF43</f>
        <v/>
      </c>
      <c r="AI43" s="73">
        <f>IF(AF43=0,"",AG43/AF43)</f>
        <v/>
      </c>
      <c r="AJ43" s="46" t="n"/>
      <c r="AK43" s="74">
        <f>G43+ L43+ V43+ AF43</f>
        <v/>
      </c>
      <c r="AL43" s="74">
        <f>H43+ M43+ W43+ AG43</f>
        <v/>
      </c>
      <c r="AM43" s="74">
        <f>AL43-AK43</f>
        <v/>
      </c>
      <c r="AN43" s="75">
        <f>IF(AK43=0,"",AL43/AK43)</f>
        <v/>
      </c>
      <c r="AO43" s="52" t="n"/>
      <c r="AP43" s="72" t="n"/>
      <c r="AQ43" s="72" t="n"/>
      <c r="AR43" s="72">
        <f>AQ43-AP43</f>
        <v/>
      </c>
      <c r="AS43" s="73">
        <f>IF(AP43=0,"",AQ43/AP43)</f>
        <v/>
      </c>
      <c r="AT43" s="46" t="n"/>
      <c r="AU43" s="74">
        <f>G43+ L43+ V43+ AF43+ AP43</f>
        <v/>
      </c>
      <c r="AV43" s="74">
        <f>H43+ M43+ W43+ AG43+ AQ43</f>
        <v/>
      </c>
      <c r="AW43" s="74">
        <f>AV43-AU43</f>
        <v/>
      </c>
      <c r="AX43" s="75">
        <f>IF(AU43=0,"",AV43/AU43)</f>
        <v/>
      </c>
      <c r="AY43" s="52" t="n"/>
      <c r="AZ43" s="72" t="n"/>
      <c r="BA43" s="72" t="n"/>
      <c r="BB43" s="72">
        <f>BA43-AZ43</f>
        <v/>
      </c>
      <c r="BC43" s="73">
        <f>IF(AZ43=0,"",BA43/AZ43)</f>
        <v/>
      </c>
      <c r="BD43" s="46" t="n"/>
      <c r="BE43" s="74">
        <f>G43+ L43+ V43+ AF43+ AP43+ AZ43</f>
        <v/>
      </c>
      <c r="BF43" s="74">
        <f>H43+ M43+ W43+ AG43+ AQ43+ BA43</f>
        <v/>
      </c>
      <c r="BG43" s="74">
        <f>BF43-BE43</f>
        <v/>
      </c>
      <c r="BH43" s="75">
        <f>IF(BE43=0,"",BF43/BE43)</f>
        <v/>
      </c>
      <c r="BI43" s="52" t="n"/>
      <c r="BJ43" s="72" t="n"/>
      <c r="BK43" s="72" t="n"/>
      <c r="BL43" s="72">
        <f>BK43-BJ43</f>
        <v/>
      </c>
      <c r="BM43" s="73">
        <f>IF(BJ43=0,"",BK43/BJ43)</f>
        <v/>
      </c>
      <c r="BN43" s="46" t="n"/>
      <c r="BO43" s="74">
        <f>G43+ L43+ V43+ AF43+ AP43+ AZ43+ BJ43</f>
        <v/>
      </c>
      <c r="BP43" s="74">
        <f>H43+ M43+ W43+ AG43+ AQ43+ BA43+ BK43</f>
        <v/>
      </c>
      <c r="BQ43" s="74">
        <f>BP43-BO43</f>
        <v/>
      </c>
      <c r="BR43" s="75">
        <f>IF(BO43=0,"",BP43/BO43)</f>
        <v/>
      </c>
      <c r="BS43" s="52" t="n"/>
      <c r="BT43" s="72" t="n"/>
      <c r="BU43" s="72" t="n"/>
      <c r="BV43" s="72">
        <f>BU43-BT43</f>
        <v/>
      </c>
      <c r="BW43" s="73">
        <f>IF(BT43=0,"",BU43/BT43)</f>
        <v/>
      </c>
      <c r="BX43" s="46" t="n"/>
      <c r="BY43" s="74">
        <f>G43+ L43+ V43+ AF43+ AP43+ AZ43+ BJ43+ BT43</f>
        <v/>
      </c>
      <c r="BZ43" s="74">
        <f>H43+ M43+ W43+ AG43+ AQ43+ BA43+ BK43+ BU43</f>
        <v/>
      </c>
      <c r="CA43" s="74">
        <f>BZ43-BY43</f>
        <v/>
      </c>
      <c r="CB43" s="75">
        <f>IF(BY43=0,"",BZ43/BY43)</f>
        <v/>
      </c>
      <c r="CC43" s="52" t="n"/>
      <c r="CD43" s="72" t="n"/>
      <c r="CE43" s="72" t="n"/>
      <c r="CF43" s="72">
        <f>CE43-CD43</f>
        <v/>
      </c>
      <c r="CG43" s="73">
        <f>IF(CD43=0,"",CE43/CD43)</f>
        <v/>
      </c>
      <c r="CH43" s="46" t="n"/>
      <c r="CI43" s="74">
        <f>G43+ L43+ V43+ AF43+ AP43+ AZ43+ BJ43+ BT43+ CD43</f>
        <v/>
      </c>
      <c r="CJ43" s="74">
        <f>H43+ M43+ W43+ AG43+ AQ43+ BA43+ BK43+ BU43+ CE43</f>
        <v/>
      </c>
      <c r="CK43" s="74">
        <f>CJ43-CI43</f>
        <v/>
      </c>
      <c r="CL43" s="75">
        <f>IF(CI43=0,"",CJ43/CI43)</f>
        <v/>
      </c>
      <c r="CM43" s="52" t="n"/>
      <c r="CN43" s="72" t="n"/>
      <c r="CO43" s="72" t="n"/>
      <c r="CP43" s="72">
        <f>CO43-CN43</f>
        <v/>
      </c>
      <c r="CQ43" s="73">
        <f>IF(CN43=0,"",CO43/CN43)</f>
        <v/>
      </c>
      <c r="CR43" s="46" t="n"/>
      <c r="CS43" s="74">
        <f>G43+ L43+ V43+ AF43+ AP43+ AZ43+ BJ43+ BT43+ CD43+ CN43</f>
        <v/>
      </c>
      <c r="CT43" s="74">
        <f>H43+ M43+ W43+ AG43+ AQ43+ BA43+ BK43+ BU43+ CE43+ CO43</f>
        <v/>
      </c>
      <c r="CU43" s="74">
        <f>CT43-CS43</f>
        <v/>
      </c>
      <c r="CV43" s="75">
        <f>IF(CS43=0,"",CT43/CS43)</f>
        <v/>
      </c>
      <c r="CW43" s="52" t="n"/>
      <c r="CX43" s="72" t="n"/>
      <c r="CY43" s="72" t="n"/>
      <c r="CZ43" s="72">
        <f>CY43-CX43</f>
        <v/>
      </c>
      <c r="DA43" s="73">
        <f>IF(CX43=0,"",CY43/CX43)</f>
        <v/>
      </c>
      <c r="DB43" s="46" t="n"/>
      <c r="DC43" s="74">
        <f>G43+ L43+ V43+ AF43+ AP43+ AZ43+ BJ43+ BT43+ CD43+ CN43+ CX43</f>
        <v/>
      </c>
      <c r="DD43" s="74">
        <f>H43+ M43+ W43+ AG43+ AQ43+ BA43+ BK43+ BU43+ CE43+ CO43+ CY43</f>
        <v/>
      </c>
      <c r="DE43" s="74">
        <f>DD43-DC43</f>
        <v/>
      </c>
      <c r="DF43" s="75">
        <f>IF(DC43=0,"",DD43/DC43)</f>
        <v/>
      </c>
      <c r="DG43" s="52" t="n"/>
      <c r="DH43" s="72" t="n"/>
      <c r="DI43" s="72" t="n"/>
      <c r="DJ43" s="72">
        <f>DI43-DH43</f>
        <v/>
      </c>
      <c r="DK43" s="73">
        <f>IF(DH43=0,"",DI43/DH43)</f>
        <v/>
      </c>
      <c r="DL43" s="46" t="n"/>
      <c r="DM43" s="74">
        <f>G43+ L43+ V43+ AF43+ AP43+ AZ43+ BJ43+ BT43+ CD43+ CN43+ CX43+ DH43</f>
        <v/>
      </c>
      <c r="DN43" s="74">
        <f>H43+ M43+ W43+ AG43+ AQ43+ BA43+ BK43+ BU43+ CE43+ CO43+ CY43+ DI43</f>
        <v/>
      </c>
      <c r="DO43" s="74">
        <f>DN43-DM43</f>
        <v/>
      </c>
      <c r="DP43" s="75">
        <f>IF(DM43=0,"",DN43/DM43)</f>
        <v/>
      </c>
      <c r="DQ43" s="52" t="n"/>
      <c r="DR43" s="72">
        <f>G43+L43+V43+AF43+AP43+AZ43+BJ43+BT43+CD43+CN43+CX43+DH43</f>
        <v/>
      </c>
    </row>
    <row r="44" ht="15" customHeight="1">
      <c r="A44" s="67" t="n"/>
      <c r="B44" s="67" t="n"/>
      <c r="C44" s="67" t="n"/>
      <c r="D44" s="46" t="n"/>
      <c r="E44" s="46" t="n"/>
      <c r="F44" s="47" t="n"/>
      <c r="G44" s="72" t="n"/>
      <c r="H44" s="72" t="n"/>
      <c r="I44" s="72">
        <f>H44-G44</f>
        <v/>
      </c>
      <c r="J44" s="73">
        <f>IF(G44=0,"",H44/G44)</f>
        <v/>
      </c>
      <c r="K44" s="46" t="n"/>
      <c r="L44" s="72" t="n"/>
      <c r="M44" s="72" t="n"/>
      <c r="N44" s="72">
        <f>M44-L44</f>
        <v/>
      </c>
      <c r="O44" s="73">
        <f>IF(L44=0,"",M44/L44)</f>
        <v/>
      </c>
      <c r="P44" s="46" t="n"/>
      <c r="Q44" s="74">
        <f>G44+ L44</f>
        <v/>
      </c>
      <c r="R44" s="74">
        <f>H44+ M44</f>
        <v/>
      </c>
      <c r="S44" s="74">
        <f>R44-Q44</f>
        <v/>
      </c>
      <c r="T44" s="75">
        <f>IF(Q44=0,"",R44/Q44)</f>
        <v/>
      </c>
      <c r="U44" s="52" t="n"/>
      <c r="V44" s="72" t="n"/>
      <c r="W44" s="72" t="n"/>
      <c r="X44" s="72">
        <f>W44-V44</f>
        <v/>
      </c>
      <c r="Y44" s="73">
        <f>IF(V44=0,"",W44/V44)</f>
        <v/>
      </c>
      <c r="Z44" s="46" t="n"/>
      <c r="AA44" s="74">
        <f>G44+ L44+ V44</f>
        <v/>
      </c>
      <c r="AB44" s="74">
        <f>H44+ M44+ W44</f>
        <v/>
      </c>
      <c r="AC44" s="74">
        <f>AB44-AA44</f>
        <v/>
      </c>
      <c r="AD44" s="75">
        <f>IF(AA44=0,"",AB44/AA44)</f>
        <v/>
      </c>
      <c r="AE44" s="52" t="n"/>
      <c r="AF44" s="72" t="n"/>
      <c r="AG44" s="72" t="n"/>
      <c r="AH44" s="72">
        <f>AG44-AF44</f>
        <v/>
      </c>
      <c r="AI44" s="73">
        <f>IF(AF44=0,"",AG44/AF44)</f>
        <v/>
      </c>
      <c r="AJ44" s="46" t="n"/>
      <c r="AK44" s="74">
        <f>G44+ L44+ V44+ AF44</f>
        <v/>
      </c>
      <c r="AL44" s="74">
        <f>H44+ M44+ W44+ AG44</f>
        <v/>
      </c>
      <c r="AM44" s="74">
        <f>AL44-AK44</f>
        <v/>
      </c>
      <c r="AN44" s="75">
        <f>IF(AK44=0,"",AL44/AK44)</f>
        <v/>
      </c>
      <c r="AO44" s="52" t="n"/>
      <c r="AP44" s="72" t="n"/>
      <c r="AQ44" s="72" t="n"/>
      <c r="AR44" s="72">
        <f>AQ44-AP44</f>
        <v/>
      </c>
      <c r="AS44" s="73">
        <f>IF(AP44=0,"",AQ44/AP44)</f>
        <v/>
      </c>
      <c r="AT44" s="46" t="n"/>
      <c r="AU44" s="74">
        <f>G44+ L44+ V44+ AF44+ AP44</f>
        <v/>
      </c>
      <c r="AV44" s="74">
        <f>H44+ M44+ W44+ AG44+ AQ44</f>
        <v/>
      </c>
      <c r="AW44" s="74">
        <f>AV44-AU44</f>
        <v/>
      </c>
      <c r="AX44" s="75">
        <f>IF(AU44=0,"",AV44/AU44)</f>
        <v/>
      </c>
      <c r="AY44" s="52" t="n"/>
      <c r="AZ44" s="72" t="n"/>
      <c r="BA44" s="72" t="n"/>
      <c r="BB44" s="72">
        <f>BA44-AZ44</f>
        <v/>
      </c>
      <c r="BC44" s="73">
        <f>IF(AZ44=0,"",BA44/AZ44)</f>
        <v/>
      </c>
      <c r="BD44" s="46" t="n"/>
      <c r="BE44" s="74">
        <f>G44+ L44+ V44+ AF44+ AP44+ AZ44</f>
        <v/>
      </c>
      <c r="BF44" s="74">
        <f>H44+ M44+ W44+ AG44+ AQ44+ BA44</f>
        <v/>
      </c>
      <c r="BG44" s="74">
        <f>BF44-BE44</f>
        <v/>
      </c>
      <c r="BH44" s="75">
        <f>IF(BE44=0,"",BF44/BE44)</f>
        <v/>
      </c>
      <c r="BI44" s="52" t="n"/>
      <c r="BJ44" s="72" t="n"/>
      <c r="BK44" s="72" t="n"/>
      <c r="BL44" s="72">
        <f>BK44-BJ44</f>
        <v/>
      </c>
      <c r="BM44" s="73">
        <f>IF(BJ44=0,"",BK44/BJ44)</f>
        <v/>
      </c>
      <c r="BN44" s="46" t="n"/>
      <c r="BO44" s="74">
        <f>G44+ L44+ V44+ AF44+ AP44+ AZ44+ BJ44</f>
        <v/>
      </c>
      <c r="BP44" s="74">
        <f>H44+ M44+ W44+ AG44+ AQ44+ BA44+ BK44</f>
        <v/>
      </c>
      <c r="BQ44" s="74">
        <f>BP44-BO44</f>
        <v/>
      </c>
      <c r="BR44" s="75">
        <f>IF(BO44=0,"",BP44/BO44)</f>
        <v/>
      </c>
      <c r="BS44" s="52" t="n"/>
      <c r="BT44" s="72" t="n"/>
      <c r="BU44" s="72" t="n"/>
      <c r="BV44" s="72">
        <f>BU44-BT44</f>
        <v/>
      </c>
      <c r="BW44" s="73">
        <f>IF(BT44=0,"",BU44/BT44)</f>
        <v/>
      </c>
      <c r="BX44" s="46" t="n"/>
      <c r="BY44" s="74">
        <f>G44+ L44+ V44+ AF44+ AP44+ AZ44+ BJ44+ BT44</f>
        <v/>
      </c>
      <c r="BZ44" s="74">
        <f>H44+ M44+ W44+ AG44+ AQ44+ BA44+ BK44+ BU44</f>
        <v/>
      </c>
      <c r="CA44" s="74">
        <f>BZ44-BY44</f>
        <v/>
      </c>
      <c r="CB44" s="75">
        <f>IF(BY44=0,"",BZ44/BY44)</f>
        <v/>
      </c>
      <c r="CC44" s="52" t="n"/>
      <c r="CD44" s="72" t="n"/>
      <c r="CE44" s="72" t="n"/>
      <c r="CF44" s="72">
        <f>CE44-CD44</f>
        <v/>
      </c>
      <c r="CG44" s="73">
        <f>IF(CD44=0,"",CE44/CD44)</f>
        <v/>
      </c>
      <c r="CH44" s="46" t="n"/>
      <c r="CI44" s="74">
        <f>G44+ L44+ V44+ AF44+ AP44+ AZ44+ BJ44+ BT44+ CD44</f>
        <v/>
      </c>
      <c r="CJ44" s="74">
        <f>H44+ M44+ W44+ AG44+ AQ44+ BA44+ BK44+ BU44+ CE44</f>
        <v/>
      </c>
      <c r="CK44" s="74">
        <f>CJ44-CI44</f>
        <v/>
      </c>
      <c r="CL44" s="75">
        <f>IF(CI44=0,"",CJ44/CI44)</f>
        <v/>
      </c>
      <c r="CM44" s="52" t="n"/>
      <c r="CN44" s="72" t="n"/>
      <c r="CO44" s="72" t="n"/>
      <c r="CP44" s="72">
        <f>CO44-CN44</f>
        <v/>
      </c>
      <c r="CQ44" s="73">
        <f>IF(CN44=0,"",CO44/CN44)</f>
        <v/>
      </c>
      <c r="CR44" s="46" t="n"/>
      <c r="CS44" s="74">
        <f>G44+ L44+ V44+ AF44+ AP44+ AZ44+ BJ44+ BT44+ CD44+ CN44</f>
        <v/>
      </c>
      <c r="CT44" s="74">
        <f>H44+ M44+ W44+ AG44+ AQ44+ BA44+ BK44+ BU44+ CE44+ CO44</f>
        <v/>
      </c>
      <c r="CU44" s="74">
        <f>CT44-CS44</f>
        <v/>
      </c>
      <c r="CV44" s="75">
        <f>IF(CS44=0,"",CT44/CS44)</f>
        <v/>
      </c>
      <c r="CW44" s="52" t="n"/>
      <c r="CX44" s="72" t="n"/>
      <c r="CY44" s="72" t="n"/>
      <c r="CZ44" s="72">
        <f>CY44-CX44</f>
        <v/>
      </c>
      <c r="DA44" s="73">
        <f>IF(CX44=0,"",CY44/CX44)</f>
        <v/>
      </c>
      <c r="DB44" s="46" t="n"/>
      <c r="DC44" s="74">
        <f>G44+ L44+ V44+ AF44+ AP44+ AZ44+ BJ44+ BT44+ CD44+ CN44+ CX44</f>
        <v/>
      </c>
      <c r="DD44" s="74">
        <f>H44+ M44+ W44+ AG44+ AQ44+ BA44+ BK44+ BU44+ CE44+ CO44+ CY44</f>
        <v/>
      </c>
      <c r="DE44" s="74">
        <f>DD44-DC44</f>
        <v/>
      </c>
      <c r="DF44" s="75">
        <f>IF(DC44=0,"",DD44/DC44)</f>
        <v/>
      </c>
      <c r="DG44" s="52" t="n"/>
      <c r="DH44" s="72" t="n"/>
      <c r="DI44" s="72" t="n"/>
      <c r="DJ44" s="72">
        <f>DI44-DH44</f>
        <v/>
      </c>
      <c r="DK44" s="73">
        <f>IF(DH44=0,"",DI44/DH44)</f>
        <v/>
      </c>
      <c r="DL44" s="46" t="n"/>
      <c r="DM44" s="74">
        <f>G44+ L44+ V44+ AF44+ AP44+ AZ44+ BJ44+ BT44+ CD44+ CN44+ CX44+ DH44</f>
        <v/>
      </c>
      <c r="DN44" s="74">
        <f>H44+ M44+ W44+ AG44+ AQ44+ BA44+ BK44+ BU44+ CE44+ CO44+ CY44+ DI44</f>
        <v/>
      </c>
      <c r="DO44" s="74">
        <f>DN44-DM44</f>
        <v/>
      </c>
      <c r="DP44" s="75">
        <f>IF(DM44=0,"",DN44/DM44)</f>
        <v/>
      </c>
      <c r="DQ44" s="52" t="n"/>
      <c r="DR44" s="72">
        <f>G44+L44+V44+AF44+AP44+AZ44+BJ44+BT44+CD44+CN44+CX44+DH44</f>
        <v/>
      </c>
    </row>
    <row r="45" ht="15" customHeight="1">
      <c r="A45" s="55" t="n"/>
      <c r="B45" s="55" t="n"/>
      <c r="C45" s="55" t="n"/>
      <c r="D45" s="46" t="n"/>
      <c r="E45" s="46" t="n"/>
      <c r="F45" s="47" t="n"/>
      <c r="G45" s="72" t="n"/>
      <c r="H45" s="72" t="n"/>
      <c r="I45" s="72">
        <f>H45-G45</f>
        <v/>
      </c>
      <c r="J45" s="73">
        <f>IF(G45=0,"",H45/G45)</f>
        <v/>
      </c>
      <c r="K45" s="46" t="n"/>
      <c r="L45" s="72" t="n"/>
      <c r="M45" s="72" t="n"/>
      <c r="N45" s="72">
        <f>M45-L45</f>
        <v/>
      </c>
      <c r="O45" s="73">
        <f>IF(L45=0,"",M45/L45)</f>
        <v/>
      </c>
      <c r="P45" s="46" t="n"/>
      <c r="Q45" s="74">
        <f>G45+ L45</f>
        <v/>
      </c>
      <c r="R45" s="74">
        <f>H45+ M45</f>
        <v/>
      </c>
      <c r="S45" s="74">
        <f>R45-Q45</f>
        <v/>
      </c>
      <c r="T45" s="75">
        <f>IF(Q45=0,"",R45/Q45)</f>
        <v/>
      </c>
      <c r="U45" s="52" t="n"/>
      <c r="V45" s="72" t="n"/>
      <c r="W45" s="72" t="n"/>
      <c r="X45" s="72">
        <f>W45-V45</f>
        <v/>
      </c>
      <c r="Y45" s="73">
        <f>IF(V45=0,"",W45/V45)</f>
        <v/>
      </c>
      <c r="Z45" s="46" t="n"/>
      <c r="AA45" s="74">
        <f>G45+ L45+ V45</f>
        <v/>
      </c>
      <c r="AB45" s="74">
        <f>H45+ M45+ W45</f>
        <v/>
      </c>
      <c r="AC45" s="74">
        <f>AB45-AA45</f>
        <v/>
      </c>
      <c r="AD45" s="75">
        <f>IF(AA45=0,"",AB45/AA45)</f>
        <v/>
      </c>
      <c r="AE45" s="52" t="n"/>
      <c r="AF45" s="72" t="n"/>
      <c r="AG45" s="72" t="n"/>
      <c r="AH45" s="72">
        <f>AG45-AF45</f>
        <v/>
      </c>
      <c r="AI45" s="73">
        <f>IF(AF45=0,"",AG45/AF45)</f>
        <v/>
      </c>
      <c r="AJ45" s="46" t="n"/>
      <c r="AK45" s="74">
        <f>G45+ L45+ V45+ AF45</f>
        <v/>
      </c>
      <c r="AL45" s="74">
        <f>H45+ M45+ W45+ AG45</f>
        <v/>
      </c>
      <c r="AM45" s="74">
        <f>AL45-AK45</f>
        <v/>
      </c>
      <c r="AN45" s="75">
        <f>IF(AK45=0,"",AL45/AK45)</f>
        <v/>
      </c>
      <c r="AO45" s="52" t="n"/>
      <c r="AP45" s="72" t="n"/>
      <c r="AQ45" s="72" t="n"/>
      <c r="AR45" s="72">
        <f>AQ45-AP45</f>
        <v/>
      </c>
      <c r="AS45" s="73">
        <f>IF(AP45=0,"",AQ45/AP45)</f>
        <v/>
      </c>
      <c r="AT45" s="46" t="n"/>
      <c r="AU45" s="74">
        <f>G45+ L45+ V45+ AF45+ AP45</f>
        <v/>
      </c>
      <c r="AV45" s="74">
        <f>H45+ M45+ W45+ AG45+ AQ45</f>
        <v/>
      </c>
      <c r="AW45" s="74">
        <f>AV45-AU45</f>
        <v/>
      </c>
      <c r="AX45" s="75">
        <f>IF(AU45=0,"",AV45/AU45)</f>
        <v/>
      </c>
      <c r="AY45" s="52" t="n"/>
      <c r="AZ45" s="72" t="n"/>
      <c r="BA45" s="72" t="n"/>
      <c r="BB45" s="72">
        <f>BA45-AZ45</f>
        <v/>
      </c>
      <c r="BC45" s="73">
        <f>IF(AZ45=0,"",BA45/AZ45)</f>
        <v/>
      </c>
      <c r="BD45" s="46" t="n"/>
      <c r="BE45" s="74">
        <f>G45+ L45+ V45+ AF45+ AP45+ AZ45</f>
        <v/>
      </c>
      <c r="BF45" s="74">
        <f>H45+ M45+ W45+ AG45+ AQ45+ BA45</f>
        <v/>
      </c>
      <c r="BG45" s="74">
        <f>BF45-BE45</f>
        <v/>
      </c>
      <c r="BH45" s="75">
        <f>IF(BE45=0,"",BF45/BE45)</f>
        <v/>
      </c>
      <c r="BI45" s="52" t="n"/>
      <c r="BJ45" s="72" t="n"/>
      <c r="BK45" s="72" t="n"/>
      <c r="BL45" s="72">
        <f>BK45-BJ45</f>
        <v/>
      </c>
      <c r="BM45" s="73">
        <f>IF(BJ45=0,"",BK45/BJ45)</f>
        <v/>
      </c>
      <c r="BN45" s="46" t="n"/>
      <c r="BO45" s="74">
        <f>G45+ L45+ V45+ AF45+ AP45+ AZ45+ BJ45</f>
        <v/>
      </c>
      <c r="BP45" s="74">
        <f>H45+ M45+ W45+ AG45+ AQ45+ BA45+ BK45</f>
        <v/>
      </c>
      <c r="BQ45" s="74">
        <f>BP45-BO45</f>
        <v/>
      </c>
      <c r="BR45" s="75">
        <f>IF(BO45=0,"",BP45/BO45)</f>
        <v/>
      </c>
      <c r="BS45" s="52" t="n"/>
      <c r="BT45" s="72" t="n"/>
      <c r="BU45" s="72" t="n"/>
      <c r="BV45" s="72">
        <f>BU45-BT45</f>
        <v/>
      </c>
      <c r="BW45" s="73">
        <f>IF(BT45=0,"",BU45/BT45)</f>
        <v/>
      </c>
      <c r="BX45" s="46" t="n"/>
      <c r="BY45" s="74">
        <f>G45+ L45+ V45+ AF45+ AP45+ AZ45+ BJ45+ BT45</f>
        <v/>
      </c>
      <c r="BZ45" s="74">
        <f>H45+ M45+ W45+ AG45+ AQ45+ BA45+ BK45+ BU45</f>
        <v/>
      </c>
      <c r="CA45" s="74">
        <f>BZ45-BY45</f>
        <v/>
      </c>
      <c r="CB45" s="75">
        <f>IF(BY45=0,"",BZ45/BY45)</f>
        <v/>
      </c>
      <c r="CC45" s="52" t="n"/>
      <c r="CD45" s="72" t="n"/>
      <c r="CE45" s="72" t="n"/>
      <c r="CF45" s="72">
        <f>CE45-CD45</f>
        <v/>
      </c>
      <c r="CG45" s="73">
        <f>IF(CD45=0,"",CE45/CD45)</f>
        <v/>
      </c>
      <c r="CH45" s="46" t="n"/>
      <c r="CI45" s="74">
        <f>G45+ L45+ V45+ AF45+ AP45+ AZ45+ BJ45+ BT45+ CD45</f>
        <v/>
      </c>
      <c r="CJ45" s="74">
        <f>H45+ M45+ W45+ AG45+ AQ45+ BA45+ BK45+ BU45+ CE45</f>
        <v/>
      </c>
      <c r="CK45" s="74">
        <f>CJ45-CI45</f>
        <v/>
      </c>
      <c r="CL45" s="75">
        <f>IF(CI45=0,"",CJ45/CI45)</f>
        <v/>
      </c>
      <c r="CM45" s="52" t="n"/>
      <c r="CN45" s="72" t="n"/>
      <c r="CO45" s="72" t="n"/>
      <c r="CP45" s="72">
        <f>CO45-CN45</f>
        <v/>
      </c>
      <c r="CQ45" s="73">
        <f>IF(CN45=0,"",CO45/CN45)</f>
        <v/>
      </c>
      <c r="CR45" s="46" t="n"/>
      <c r="CS45" s="74">
        <f>G45+ L45+ V45+ AF45+ AP45+ AZ45+ BJ45+ BT45+ CD45+ CN45</f>
        <v/>
      </c>
      <c r="CT45" s="74">
        <f>H45+ M45+ W45+ AG45+ AQ45+ BA45+ BK45+ BU45+ CE45+ CO45</f>
        <v/>
      </c>
      <c r="CU45" s="74">
        <f>CT45-CS45</f>
        <v/>
      </c>
      <c r="CV45" s="75">
        <f>IF(CS45=0,"",CT45/CS45)</f>
        <v/>
      </c>
      <c r="CW45" s="52" t="n"/>
      <c r="CX45" s="72" t="n"/>
      <c r="CY45" s="72" t="n"/>
      <c r="CZ45" s="72">
        <f>CY45-CX45</f>
        <v/>
      </c>
      <c r="DA45" s="73">
        <f>IF(CX45=0,"",CY45/CX45)</f>
        <v/>
      </c>
      <c r="DB45" s="46" t="n"/>
      <c r="DC45" s="74">
        <f>G45+ L45+ V45+ AF45+ AP45+ AZ45+ BJ45+ BT45+ CD45+ CN45+ CX45</f>
        <v/>
      </c>
      <c r="DD45" s="74">
        <f>H45+ M45+ W45+ AG45+ AQ45+ BA45+ BK45+ BU45+ CE45+ CO45+ CY45</f>
        <v/>
      </c>
      <c r="DE45" s="74">
        <f>DD45-DC45</f>
        <v/>
      </c>
      <c r="DF45" s="75">
        <f>IF(DC45=0,"",DD45/DC45)</f>
        <v/>
      </c>
      <c r="DG45" s="52" t="n"/>
      <c r="DH45" s="72" t="n"/>
      <c r="DI45" s="72" t="n"/>
      <c r="DJ45" s="72">
        <f>DI45-DH45</f>
        <v/>
      </c>
      <c r="DK45" s="73">
        <f>IF(DH45=0,"",DI45/DH45)</f>
        <v/>
      </c>
      <c r="DL45" s="46" t="n"/>
      <c r="DM45" s="74">
        <f>G45+ L45+ V45+ AF45+ AP45+ AZ45+ BJ45+ BT45+ CD45+ CN45+ CX45+ DH45</f>
        <v/>
      </c>
      <c r="DN45" s="74">
        <f>H45+ M45+ W45+ AG45+ AQ45+ BA45+ BK45+ BU45+ CE45+ CO45+ CY45+ DI45</f>
        <v/>
      </c>
      <c r="DO45" s="74">
        <f>DN45-DM45</f>
        <v/>
      </c>
      <c r="DP45" s="75">
        <f>IF(DM45=0,"",DN45/DM45)</f>
        <v/>
      </c>
      <c r="DQ45" s="52" t="n"/>
      <c r="DR45" s="72">
        <f>G45+L45+V45+AF45+AP45+AZ45+BJ45+BT45+CD45+CN45+CX45+DH45</f>
        <v/>
      </c>
    </row>
    <row r="46" ht="15" customHeight="1">
      <c r="A46" s="46" t="n"/>
      <c r="B46" s="46" t="n"/>
      <c r="C46" s="45" t="n"/>
      <c r="D46" s="46" t="n"/>
      <c r="E46" s="46" t="n"/>
      <c r="F46" s="47" t="n"/>
      <c r="G46" s="72" t="n"/>
      <c r="H46" s="72" t="n"/>
      <c r="I46" s="72">
        <f>H46-G46</f>
        <v/>
      </c>
      <c r="J46" s="73">
        <f>IF(G46=0,"",H46/G46)</f>
        <v/>
      </c>
      <c r="K46" s="46" t="n"/>
      <c r="L46" s="72" t="n"/>
      <c r="M46" s="72" t="n"/>
      <c r="N46" s="72">
        <f>M46-L46</f>
        <v/>
      </c>
      <c r="O46" s="73">
        <f>IF(L46=0,"",M46/L46)</f>
        <v/>
      </c>
      <c r="P46" s="46" t="n"/>
      <c r="Q46" s="74">
        <f>G46+ L46</f>
        <v/>
      </c>
      <c r="R46" s="74">
        <f>H46+ M46</f>
        <v/>
      </c>
      <c r="S46" s="74">
        <f>R46-Q46</f>
        <v/>
      </c>
      <c r="T46" s="75">
        <f>IF(Q46=0,"",R46/Q46)</f>
        <v/>
      </c>
      <c r="U46" s="52" t="n"/>
      <c r="V46" s="72" t="n"/>
      <c r="W46" s="72" t="n"/>
      <c r="X46" s="72">
        <f>W46-V46</f>
        <v/>
      </c>
      <c r="Y46" s="73">
        <f>IF(V46=0,"",W46/V46)</f>
        <v/>
      </c>
      <c r="Z46" s="46" t="n"/>
      <c r="AA46" s="74">
        <f>G46+ L46+ V46</f>
        <v/>
      </c>
      <c r="AB46" s="74">
        <f>H46+ M46+ W46</f>
        <v/>
      </c>
      <c r="AC46" s="74">
        <f>AB46-AA46</f>
        <v/>
      </c>
      <c r="AD46" s="75">
        <f>IF(AA46=0,"",AB46/AA46)</f>
        <v/>
      </c>
      <c r="AE46" s="52" t="n"/>
      <c r="AF46" s="72" t="n"/>
      <c r="AG46" s="72" t="n"/>
      <c r="AH46" s="72">
        <f>AG46-AF46</f>
        <v/>
      </c>
      <c r="AI46" s="73">
        <f>IF(AF46=0,"",AG46/AF46)</f>
        <v/>
      </c>
      <c r="AJ46" s="46" t="n"/>
      <c r="AK46" s="74">
        <f>G46+ L46+ V46+ AF46</f>
        <v/>
      </c>
      <c r="AL46" s="74">
        <f>H46+ M46+ W46+ AG46</f>
        <v/>
      </c>
      <c r="AM46" s="74">
        <f>AL46-AK46</f>
        <v/>
      </c>
      <c r="AN46" s="75">
        <f>IF(AK46=0,"",AL46/AK46)</f>
        <v/>
      </c>
      <c r="AO46" s="52" t="n"/>
      <c r="AP46" s="72" t="n"/>
      <c r="AQ46" s="72" t="n"/>
      <c r="AR46" s="72">
        <f>AQ46-AP46</f>
        <v/>
      </c>
      <c r="AS46" s="73">
        <f>IF(AP46=0,"",AQ46/AP46)</f>
        <v/>
      </c>
      <c r="AT46" s="46" t="n"/>
      <c r="AU46" s="74">
        <f>G46+ L46+ V46+ AF46+ AP46</f>
        <v/>
      </c>
      <c r="AV46" s="74">
        <f>H46+ M46+ W46+ AG46+ AQ46</f>
        <v/>
      </c>
      <c r="AW46" s="74">
        <f>AV46-AU46</f>
        <v/>
      </c>
      <c r="AX46" s="75">
        <f>IF(AU46=0,"",AV46/AU46)</f>
        <v/>
      </c>
      <c r="AY46" s="52" t="n"/>
      <c r="AZ46" s="72" t="n"/>
      <c r="BA46" s="72" t="n"/>
      <c r="BB46" s="72">
        <f>BA46-AZ46</f>
        <v/>
      </c>
      <c r="BC46" s="73">
        <f>IF(AZ46=0,"",BA46/AZ46)</f>
        <v/>
      </c>
      <c r="BD46" s="46" t="n"/>
      <c r="BE46" s="74">
        <f>G46+ L46+ V46+ AF46+ AP46+ AZ46</f>
        <v/>
      </c>
      <c r="BF46" s="74">
        <f>H46+ M46+ W46+ AG46+ AQ46+ BA46</f>
        <v/>
      </c>
      <c r="BG46" s="74">
        <f>BF46-BE46</f>
        <v/>
      </c>
      <c r="BH46" s="75">
        <f>IF(BE46=0,"",BF46/BE46)</f>
        <v/>
      </c>
      <c r="BI46" s="52" t="n"/>
      <c r="BJ46" s="72" t="n"/>
      <c r="BK46" s="72" t="n"/>
      <c r="BL46" s="72">
        <f>BK46-BJ46</f>
        <v/>
      </c>
      <c r="BM46" s="73">
        <f>IF(BJ46=0,"",BK46/BJ46)</f>
        <v/>
      </c>
      <c r="BN46" s="46" t="n"/>
      <c r="BO46" s="74">
        <f>G46+ L46+ V46+ AF46+ AP46+ AZ46+ BJ46</f>
        <v/>
      </c>
      <c r="BP46" s="74">
        <f>H46+ M46+ W46+ AG46+ AQ46+ BA46+ BK46</f>
        <v/>
      </c>
      <c r="BQ46" s="74">
        <f>BP46-BO46</f>
        <v/>
      </c>
      <c r="BR46" s="75">
        <f>IF(BO46=0,"",BP46/BO46)</f>
        <v/>
      </c>
      <c r="BS46" s="52" t="n"/>
      <c r="BT46" s="72" t="n"/>
      <c r="BU46" s="72" t="n"/>
      <c r="BV46" s="72">
        <f>BU46-BT46</f>
        <v/>
      </c>
      <c r="BW46" s="73">
        <f>IF(BT46=0,"",BU46/BT46)</f>
        <v/>
      </c>
      <c r="BX46" s="46" t="n"/>
      <c r="BY46" s="74">
        <f>G46+ L46+ V46+ AF46+ AP46+ AZ46+ BJ46+ BT46</f>
        <v/>
      </c>
      <c r="BZ46" s="74">
        <f>H46+ M46+ W46+ AG46+ AQ46+ BA46+ BK46+ BU46</f>
        <v/>
      </c>
      <c r="CA46" s="74">
        <f>BZ46-BY46</f>
        <v/>
      </c>
      <c r="CB46" s="75">
        <f>IF(BY46=0,"",BZ46/BY46)</f>
        <v/>
      </c>
      <c r="CC46" s="52" t="n"/>
      <c r="CD46" s="72" t="n"/>
      <c r="CE46" s="72" t="n"/>
      <c r="CF46" s="72">
        <f>CE46-CD46</f>
        <v/>
      </c>
      <c r="CG46" s="73">
        <f>IF(CD46=0,"",CE46/CD46)</f>
        <v/>
      </c>
      <c r="CH46" s="46" t="n"/>
      <c r="CI46" s="74">
        <f>G46+ L46+ V46+ AF46+ AP46+ AZ46+ BJ46+ BT46+ CD46</f>
        <v/>
      </c>
      <c r="CJ46" s="74">
        <f>H46+ M46+ W46+ AG46+ AQ46+ BA46+ BK46+ BU46+ CE46</f>
        <v/>
      </c>
      <c r="CK46" s="74">
        <f>CJ46-CI46</f>
        <v/>
      </c>
      <c r="CL46" s="75">
        <f>IF(CI46=0,"",CJ46/CI46)</f>
        <v/>
      </c>
      <c r="CM46" s="52" t="n"/>
      <c r="CN46" s="72" t="n"/>
      <c r="CO46" s="72" t="n"/>
      <c r="CP46" s="72">
        <f>CO46-CN46</f>
        <v/>
      </c>
      <c r="CQ46" s="73">
        <f>IF(CN46=0,"",CO46/CN46)</f>
        <v/>
      </c>
      <c r="CR46" s="46" t="n"/>
      <c r="CS46" s="74">
        <f>G46+ L46+ V46+ AF46+ AP46+ AZ46+ BJ46+ BT46+ CD46+ CN46</f>
        <v/>
      </c>
      <c r="CT46" s="74">
        <f>H46+ M46+ W46+ AG46+ AQ46+ BA46+ BK46+ BU46+ CE46+ CO46</f>
        <v/>
      </c>
      <c r="CU46" s="74">
        <f>CT46-CS46</f>
        <v/>
      </c>
      <c r="CV46" s="75">
        <f>IF(CS46=0,"",CT46/CS46)</f>
        <v/>
      </c>
      <c r="CW46" s="52" t="n"/>
      <c r="CX46" s="72" t="n"/>
      <c r="CY46" s="72" t="n"/>
      <c r="CZ46" s="72">
        <f>CY46-CX46</f>
        <v/>
      </c>
      <c r="DA46" s="73">
        <f>IF(CX46=0,"",CY46/CX46)</f>
        <v/>
      </c>
      <c r="DB46" s="46" t="n"/>
      <c r="DC46" s="74">
        <f>G46+ L46+ V46+ AF46+ AP46+ AZ46+ BJ46+ BT46+ CD46+ CN46+ CX46</f>
        <v/>
      </c>
      <c r="DD46" s="74">
        <f>H46+ M46+ W46+ AG46+ AQ46+ BA46+ BK46+ BU46+ CE46+ CO46+ CY46</f>
        <v/>
      </c>
      <c r="DE46" s="74">
        <f>DD46-DC46</f>
        <v/>
      </c>
      <c r="DF46" s="75">
        <f>IF(DC46=0,"",DD46/DC46)</f>
        <v/>
      </c>
      <c r="DG46" s="52" t="n"/>
      <c r="DH46" s="72" t="n"/>
      <c r="DI46" s="72" t="n"/>
      <c r="DJ46" s="72">
        <f>DI46-DH46</f>
        <v/>
      </c>
      <c r="DK46" s="73">
        <f>IF(DH46=0,"",DI46/DH46)</f>
        <v/>
      </c>
      <c r="DL46" s="46" t="n"/>
      <c r="DM46" s="74">
        <f>G46+ L46+ V46+ AF46+ AP46+ AZ46+ BJ46+ BT46+ CD46+ CN46+ CX46+ DH46</f>
        <v/>
      </c>
      <c r="DN46" s="74">
        <f>H46+ M46+ W46+ AG46+ AQ46+ BA46+ BK46+ BU46+ CE46+ CO46+ CY46+ DI46</f>
        <v/>
      </c>
      <c r="DO46" s="74">
        <f>DN46-DM46</f>
        <v/>
      </c>
      <c r="DP46" s="75">
        <f>IF(DM46=0,"",DN46/DM46)</f>
        <v/>
      </c>
      <c r="DQ46" s="52" t="n"/>
      <c r="DR46" s="72">
        <f>G46+L46+V46+AF46+AP46+AZ46+BJ46+BT46+CD46+CN46+CX46+DH46</f>
        <v/>
      </c>
    </row>
    <row r="47" ht="15" customHeight="1">
      <c r="A47" s="67" t="n"/>
      <c r="B47" s="67" t="n"/>
      <c r="C47" s="67" t="n"/>
      <c r="D47" s="46" t="n"/>
      <c r="E47" s="46" t="n"/>
      <c r="F47" s="47" t="n"/>
      <c r="G47" s="72" t="n"/>
      <c r="H47" s="72" t="n"/>
      <c r="I47" s="72">
        <f>H47-G47</f>
        <v/>
      </c>
      <c r="J47" s="73">
        <f>IF(G47=0,"",H47/G47)</f>
        <v/>
      </c>
      <c r="K47" s="46" t="n"/>
      <c r="L47" s="72" t="n"/>
      <c r="M47" s="72" t="n"/>
      <c r="N47" s="72">
        <f>M47-L47</f>
        <v/>
      </c>
      <c r="O47" s="73">
        <f>IF(L47=0,"",M47/L47)</f>
        <v/>
      </c>
      <c r="P47" s="46" t="n"/>
      <c r="Q47" s="74">
        <f>G47+ L47</f>
        <v/>
      </c>
      <c r="R47" s="74">
        <f>H47+ M47</f>
        <v/>
      </c>
      <c r="S47" s="74">
        <f>R47-Q47</f>
        <v/>
      </c>
      <c r="T47" s="75">
        <f>IF(Q47=0,"",R47/Q47)</f>
        <v/>
      </c>
      <c r="U47" s="52" t="n"/>
      <c r="V47" s="72" t="n"/>
      <c r="W47" s="72" t="n"/>
      <c r="X47" s="72">
        <f>W47-V47</f>
        <v/>
      </c>
      <c r="Y47" s="73">
        <f>IF(V47=0,"",W47/V47)</f>
        <v/>
      </c>
      <c r="Z47" s="46" t="n"/>
      <c r="AA47" s="74">
        <f>G47+ L47+ V47</f>
        <v/>
      </c>
      <c r="AB47" s="74">
        <f>H47+ M47+ W47</f>
        <v/>
      </c>
      <c r="AC47" s="74">
        <f>AB47-AA47</f>
        <v/>
      </c>
      <c r="AD47" s="75">
        <f>IF(AA47=0,"",AB47/AA47)</f>
        <v/>
      </c>
      <c r="AE47" s="52" t="n"/>
      <c r="AF47" s="72" t="n"/>
      <c r="AG47" s="72" t="n"/>
      <c r="AH47" s="72">
        <f>AG47-AF47</f>
        <v/>
      </c>
      <c r="AI47" s="73">
        <f>IF(AF47=0,"",AG47/AF47)</f>
        <v/>
      </c>
      <c r="AJ47" s="46" t="n"/>
      <c r="AK47" s="74">
        <f>G47+ L47+ V47+ AF47</f>
        <v/>
      </c>
      <c r="AL47" s="74">
        <f>H47+ M47+ W47+ AG47</f>
        <v/>
      </c>
      <c r="AM47" s="74">
        <f>AL47-AK47</f>
        <v/>
      </c>
      <c r="AN47" s="75">
        <f>IF(AK47=0,"",AL47/AK47)</f>
        <v/>
      </c>
      <c r="AO47" s="52" t="n"/>
      <c r="AP47" s="72" t="n"/>
      <c r="AQ47" s="72" t="n"/>
      <c r="AR47" s="72">
        <f>AQ47-AP47</f>
        <v/>
      </c>
      <c r="AS47" s="73">
        <f>IF(AP47=0,"",AQ47/AP47)</f>
        <v/>
      </c>
      <c r="AT47" s="46" t="n"/>
      <c r="AU47" s="74">
        <f>G47+ L47+ V47+ AF47+ AP47</f>
        <v/>
      </c>
      <c r="AV47" s="74">
        <f>H47+ M47+ W47+ AG47+ AQ47</f>
        <v/>
      </c>
      <c r="AW47" s="74">
        <f>AV47-AU47</f>
        <v/>
      </c>
      <c r="AX47" s="75">
        <f>IF(AU47=0,"",AV47/AU47)</f>
        <v/>
      </c>
      <c r="AY47" s="52" t="n"/>
      <c r="AZ47" s="72" t="n"/>
      <c r="BA47" s="72" t="n"/>
      <c r="BB47" s="72">
        <f>BA47-AZ47</f>
        <v/>
      </c>
      <c r="BC47" s="73">
        <f>IF(AZ47=0,"",BA47/AZ47)</f>
        <v/>
      </c>
      <c r="BD47" s="46" t="n"/>
      <c r="BE47" s="74">
        <f>G47+ L47+ V47+ AF47+ AP47+ AZ47</f>
        <v/>
      </c>
      <c r="BF47" s="74">
        <f>H47+ M47+ W47+ AG47+ AQ47+ BA47</f>
        <v/>
      </c>
      <c r="BG47" s="74">
        <f>BF47-BE47</f>
        <v/>
      </c>
      <c r="BH47" s="75">
        <f>IF(BE47=0,"",BF47/BE47)</f>
        <v/>
      </c>
      <c r="BI47" s="52" t="n"/>
      <c r="BJ47" s="72" t="n"/>
      <c r="BK47" s="72" t="n"/>
      <c r="BL47" s="72">
        <f>BK47-BJ47</f>
        <v/>
      </c>
      <c r="BM47" s="73">
        <f>IF(BJ47=0,"",BK47/BJ47)</f>
        <v/>
      </c>
      <c r="BN47" s="46" t="n"/>
      <c r="BO47" s="74">
        <f>G47+ L47+ V47+ AF47+ AP47+ AZ47+ BJ47</f>
        <v/>
      </c>
      <c r="BP47" s="74">
        <f>H47+ M47+ W47+ AG47+ AQ47+ BA47+ BK47</f>
        <v/>
      </c>
      <c r="BQ47" s="74">
        <f>BP47-BO47</f>
        <v/>
      </c>
      <c r="BR47" s="75">
        <f>IF(BO47=0,"",BP47/BO47)</f>
        <v/>
      </c>
      <c r="BS47" s="52" t="n"/>
      <c r="BT47" s="72" t="n"/>
      <c r="BU47" s="72" t="n"/>
      <c r="BV47" s="72">
        <f>BU47-BT47</f>
        <v/>
      </c>
      <c r="BW47" s="73">
        <f>IF(BT47=0,"",BU47/BT47)</f>
        <v/>
      </c>
      <c r="BX47" s="46" t="n"/>
      <c r="BY47" s="74">
        <f>G47+ L47+ V47+ AF47+ AP47+ AZ47+ BJ47+ BT47</f>
        <v/>
      </c>
      <c r="BZ47" s="74">
        <f>H47+ M47+ W47+ AG47+ AQ47+ BA47+ BK47+ BU47</f>
        <v/>
      </c>
      <c r="CA47" s="74">
        <f>BZ47-BY47</f>
        <v/>
      </c>
      <c r="CB47" s="75">
        <f>IF(BY47=0,"",BZ47/BY47)</f>
        <v/>
      </c>
      <c r="CC47" s="52" t="n"/>
      <c r="CD47" s="72" t="n"/>
      <c r="CE47" s="72" t="n"/>
      <c r="CF47" s="72">
        <f>CE47-CD47</f>
        <v/>
      </c>
      <c r="CG47" s="73">
        <f>IF(CD47=0,"",CE47/CD47)</f>
        <v/>
      </c>
      <c r="CH47" s="46" t="n"/>
      <c r="CI47" s="74">
        <f>G47+ L47+ V47+ AF47+ AP47+ AZ47+ BJ47+ BT47+ CD47</f>
        <v/>
      </c>
      <c r="CJ47" s="74">
        <f>H47+ M47+ W47+ AG47+ AQ47+ BA47+ BK47+ BU47+ CE47</f>
        <v/>
      </c>
      <c r="CK47" s="74">
        <f>CJ47-CI47</f>
        <v/>
      </c>
      <c r="CL47" s="75">
        <f>IF(CI47=0,"",CJ47/CI47)</f>
        <v/>
      </c>
      <c r="CM47" s="52" t="n"/>
      <c r="CN47" s="72" t="n"/>
      <c r="CO47" s="72" t="n"/>
      <c r="CP47" s="72">
        <f>CO47-CN47</f>
        <v/>
      </c>
      <c r="CQ47" s="73">
        <f>IF(CN47=0,"",CO47/CN47)</f>
        <v/>
      </c>
      <c r="CR47" s="46" t="n"/>
      <c r="CS47" s="74">
        <f>G47+ L47+ V47+ AF47+ AP47+ AZ47+ BJ47+ BT47+ CD47+ CN47</f>
        <v/>
      </c>
      <c r="CT47" s="74">
        <f>H47+ M47+ W47+ AG47+ AQ47+ BA47+ BK47+ BU47+ CE47+ CO47</f>
        <v/>
      </c>
      <c r="CU47" s="74">
        <f>CT47-CS47</f>
        <v/>
      </c>
      <c r="CV47" s="75">
        <f>IF(CS47=0,"",CT47/CS47)</f>
        <v/>
      </c>
      <c r="CW47" s="52" t="n"/>
      <c r="CX47" s="72" t="n"/>
      <c r="CY47" s="72" t="n"/>
      <c r="CZ47" s="72">
        <f>CY47-CX47</f>
        <v/>
      </c>
      <c r="DA47" s="73">
        <f>IF(CX47=0,"",CY47/CX47)</f>
        <v/>
      </c>
      <c r="DB47" s="46" t="n"/>
      <c r="DC47" s="74">
        <f>G47+ L47+ V47+ AF47+ AP47+ AZ47+ BJ47+ BT47+ CD47+ CN47+ CX47</f>
        <v/>
      </c>
      <c r="DD47" s="74">
        <f>H47+ M47+ W47+ AG47+ AQ47+ BA47+ BK47+ BU47+ CE47+ CO47+ CY47</f>
        <v/>
      </c>
      <c r="DE47" s="74">
        <f>DD47-DC47</f>
        <v/>
      </c>
      <c r="DF47" s="75">
        <f>IF(DC47=0,"",DD47/DC47)</f>
        <v/>
      </c>
      <c r="DG47" s="52" t="n"/>
      <c r="DH47" s="72" t="n"/>
      <c r="DI47" s="72" t="n"/>
      <c r="DJ47" s="72">
        <f>DI47-DH47</f>
        <v/>
      </c>
      <c r="DK47" s="73">
        <f>IF(DH47=0,"",DI47/DH47)</f>
        <v/>
      </c>
      <c r="DL47" s="46" t="n"/>
      <c r="DM47" s="74">
        <f>G47+ L47+ V47+ AF47+ AP47+ AZ47+ BJ47+ BT47+ CD47+ CN47+ CX47+ DH47</f>
        <v/>
      </c>
      <c r="DN47" s="74">
        <f>H47+ M47+ W47+ AG47+ AQ47+ BA47+ BK47+ BU47+ CE47+ CO47+ CY47+ DI47</f>
        <v/>
      </c>
      <c r="DO47" s="74">
        <f>DN47-DM47</f>
        <v/>
      </c>
      <c r="DP47" s="75">
        <f>IF(DM47=0,"",DN47/DM47)</f>
        <v/>
      </c>
      <c r="DQ47" s="52" t="n"/>
      <c r="DR47" s="72">
        <f>G47+L47+V47+AF47+AP47+AZ47+BJ47+BT47+CD47+CN47+CX47+DH47</f>
        <v/>
      </c>
    </row>
    <row r="48" ht="15" customHeight="1">
      <c r="A48" s="67" t="n"/>
      <c r="B48" s="67" t="n"/>
      <c r="C48" s="67" t="n"/>
      <c r="D48" s="46" t="n"/>
      <c r="E48" s="46" t="n"/>
      <c r="F48" s="47" t="n"/>
      <c r="G48" s="72" t="n"/>
      <c r="H48" s="72" t="n"/>
      <c r="I48" s="72">
        <f>H48-G48</f>
        <v/>
      </c>
      <c r="J48" s="73">
        <f>IF(G48=0,"",H48/G48)</f>
        <v/>
      </c>
      <c r="K48" s="46" t="n"/>
      <c r="L48" s="72" t="n"/>
      <c r="M48" s="72" t="n"/>
      <c r="N48" s="72">
        <f>M48-L48</f>
        <v/>
      </c>
      <c r="O48" s="73">
        <f>IF(L48=0,"",M48/L48)</f>
        <v/>
      </c>
      <c r="P48" s="46" t="n"/>
      <c r="Q48" s="74">
        <f>G48+ L48</f>
        <v/>
      </c>
      <c r="R48" s="74">
        <f>H48+ M48</f>
        <v/>
      </c>
      <c r="S48" s="74">
        <f>R48-Q48</f>
        <v/>
      </c>
      <c r="T48" s="75">
        <f>IF(Q48=0,"",R48/Q48)</f>
        <v/>
      </c>
      <c r="U48" s="52" t="n"/>
      <c r="V48" s="72" t="n"/>
      <c r="W48" s="72" t="n"/>
      <c r="X48" s="72">
        <f>W48-V48</f>
        <v/>
      </c>
      <c r="Y48" s="73">
        <f>IF(V48=0,"",W48/V48)</f>
        <v/>
      </c>
      <c r="Z48" s="46" t="n"/>
      <c r="AA48" s="74">
        <f>G48+ L48+ V48</f>
        <v/>
      </c>
      <c r="AB48" s="74">
        <f>H48+ M48+ W48</f>
        <v/>
      </c>
      <c r="AC48" s="74">
        <f>AB48-AA48</f>
        <v/>
      </c>
      <c r="AD48" s="75">
        <f>IF(AA48=0,"",AB48/AA48)</f>
        <v/>
      </c>
      <c r="AE48" s="52" t="n"/>
      <c r="AF48" s="72" t="n"/>
      <c r="AG48" s="72" t="n"/>
      <c r="AH48" s="72">
        <f>AG48-AF48</f>
        <v/>
      </c>
      <c r="AI48" s="73">
        <f>IF(AF48=0,"",AG48/AF48)</f>
        <v/>
      </c>
      <c r="AJ48" s="46" t="n"/>
      <c r="AK48" s="74">
        <f>G48+ L48+ V48+ AF48</f>
        <v/>
      </c>
      <c r="AL48" s="74">
        <f>H48+ M48+ W48+ AG48</f>
        <v/>
      </c>
      <c r="AM48" s="74">
        <f>AL48-AK48</f>
        <v/>
      </c>
      <c r="AN48" s="75">
        <f>IF(AK48=0,"",AL48/AK48)</f>
        <v/>
      </c>
      <c r="AO48" s="52" t="n"/>
      <c r="AP48" s="72" t="n"/>
      <c r="AQ48" s="72" t="n"/>
      <c r="AR48" s="72">
        <f>AQ48-AP48</f>
        <v/>
      </c>
      <c r="AS48" s="73">
        <f>IF(AP48=0,"",AQ48/AP48)</f>
        <v/>
      </c>
      <c r="AT48" s="46" t="n"/>
      <c r="AU48" s="74">
        <f>G48+ L48+ V48+ AF48+ AP48</f>
        <v/>
      </c>
      <c r="AV48" s="74">
        <f>H48+ M48+ W48+ AG48+ AQ48</f>
        <v/>
      </c>
      <c r="AW48" s="74">
        <f>AV48-AU48</f>
        <v/>
      </c>
      <c r="AX48" s="75">
        <f>IF(AU48=0,"",AV48/AU48)</f>
        <v/>
      </c>
      <c r="AY48" s="52" t="n"/>
      <c r="AZ48" s="72" t="n"/>
      <c r="BA48" s="72" t="n"/>
      <c r="BB48" s="72">
        <f>BA48-AZ48</f>
        <v/>
      </c>
      <c r="BC48" s="73">
        <f>IF(AZ48=0,"",BA48/AZ48)</f>
        <v/>
      </c>
      <c r="BD48" s="46" t="n"/>
      <c r="BE48" s="74">
        <f>G48+ L48+ V48+ AF48+ AP48+ AZ48</f>
        <v/>
      </c>
      <c r="BF48" s="74">
        <f>H48+ M48+ W48+ AG48+ AQ48+ BA48</f>
        <v/>
      </c>
      <c r="BG48" s="74">
        <f>BF48-BE48</f>
        <v/>
      </c>
      <c r="BH48" s="75">
        <f>IF(BE48=0,"",BF48/BE48)</f>
        <v/>
      </c>
      <c r="BI48" s="52" t="n"/>
      <c r="BJ48" s="72" t="n"/>
      <c r="BK48" s="72" t="n"/>
      <c r="BL48" s="72">
        <f>BK48-BJ48</f>
        <v/>
      </c>
      <c r="BM48" s="73">
        <f>IF(BJ48=0,"",BK48/BJ48)</f>
        <v/>
      </c>
      <c r="BN48" s="46" t="n"/>
      <c r="BO48" s="74">
        <f>G48+ L48+ V48+ AF48+ AP48+ AZ48+ BJ48</f>
        <v/>
      </c>
      <c r="BP48" s="74">
        <f>H48+ M48+ W48+ AG48+ AQ48+ BA48+ BK48</f>
        <v/>
      </c>
      <c r="BQ48" s="74">
        <f>BP48-BO48</f>
        <v/>
      </c>
      <c r="BR48" s="75">
        <f>IF(BO48=0,"",BP48/BO48)</f>
        <v/>
      </c>
      <c r="BS48" s="52" t="n"/>
      <c r="BT48" s="72" t="n"/>
      <c r="BU48" s="72" t="n"/>
      <c r="BV48" s="72">
        <f>BU48-BT48</f>
        <v/>
      </c>
      <c r="BW48" s="73">
        <f>IF(BT48=0,"",BU48/BT48)</f>
        <v/>
      </c>
      <c r="BX48" s="46" t="n"/>
      <c r="BY48" s="74">
        <f>G48+ L48+ V48+ AF48+ AP48+ AZ48+ BJ48+ BT48</f>
        <v/>
      </c>
      <c r="BZ48" s="74">
        <f>H48+ M48+ W48+ AG48+ AQ48+ BA48+ BK48+ BU48</f>
        <v/>
      </c>
      <c r="CA48" s="74">
        <f>BZ48-BY48</f>
        <v/>
      </c>
      <c r="CB48" s="75">
        <f>IF(BY48=0,"",BZ48/BY48)</f>
        <v/>
      </c>
      <c r="CC48" s="52" t="n"/>
      <c r="CD48" s="72" t="n"/>
      <c r="CE48" s="72" t="n"/>
      <c r="CF48" s="72">
        <f>CE48-CD48</f>
        <v/>
      </c>
      <c r="CG48" s="73">
        <f>IF(CD48=0,"",CE48/CD48)</f>
        <v/>
      </c>
      <c r="CH48" s="46" t="n"/>
      <c r="CI48" s="74">
        <f>G48+ L48+ V48+ AF48+ AP48+ AZ48+ BJ48+ BT48+ CD48</f>
        <v/>
      </c>
      <c r="CJ48" s="74">
        <f>H48+ M48+ W48+ AG48+ AQ48+ BA48+ BK48+ BU48+ CE48</f>
        <v/>
      </c>
      <c r="CK48" s="74">
        <f>CJ48-CI48</f>
        <v/>
      </c>
      <c r="CL48" s="75">
        <f>IF(CI48=0,"",CJ48/CI48)</f>
        <v/>
      </c>
      <c r="CM48" s="52" t="n"/>
      <c r="CN48" s="72" t="n"/>
      <c r="CO48" s="72" t="n"/>
      <c r="CP48" s="72">
        <f>CO48-CN48</f>
        <v/>
      </c>
      <c r="CQ48" s="73">
        <f>IF(CN48=0,"",CO48/CN48)</f>
        <v/>
      </c>
      <c r="CR48" s="46" t="n"/>
      <c r="CS48" s="74">
        <f>G48+ L48+ V48+ AF48+ AP48+ AZ48+ BJ48+ BT48+ CD48+ CN48</f>
        <v/>
      </c>
      <c r="CT48" s="74">
        <f>H48+ M48+ W48+ AG48+ AQ48+ BA48+ BK48+ BU48+ CE48+ CO48</f>
        <v/>
      </c>
      <c r="CU48" s="74">
        <f>CT48-CS48</f>
        <v/>
      </c>
      <c r="CV48" s="75">
        <f>IF(CS48=0,"",CT48/CS48)</f>
        <v/>
      </c>
      <c r="CW48" s="52" t="n"/>
      <c r="CX48" s="72" t="n"/>
      <c r="CY48" s="72" t="n"/>
      <c r="CZ48" s="72">
        <f>CY48-CX48</f>
        <v/>
      </c>
      <c r="DA48" s="73">
        <f>IF(CX48=0,"",CY48/CX48)</f>
        <v/>
      </c>
      <c r="DB48" s="46" t="n"/>
      <c r="DC48" s="74">
        <f>G48+ L48+ V48+ AF48+ AP48+ AZ48+ BJ48+ BT48+ CD48+ CN48+ CX48</f>
        <v/>
      </c>
      <c r="DD48" s="74">
        <f>H48+ M48+ W48+ AG48+ AQ48+ BA48+ BK48+ BU48+ CE48+ CO48+ CY48</f>
        <v/>
      </c>
      <c r="DE48" s="74">
        <f>DD48-DC48</f>
        <v/>
      </c>
      <c r="DF48" s="75">
        <f>IF(DC48=0,"",DD48/DC48)</f>
        <v/>
      </c>
      <c r="DG48" s="52" t="n"/>
      <c r="DH48" s="72" t="n"/>
      <c r="DI48" s="72" t="n"/>
      <c r="DJ48" s="72">
        <f>DI48-DH48</f>
        <v/>
      </c>
      <c r="DK48" s="73">
        <f>IF(DH48=0,"",DI48/DH48)</f>
        <v/>
      </c>
      <c r="DL48" s="46" t="n"/>
      <c r="DM48" s="74">
        <f>G48+ L48+ V48+ AF48+ AP48+ AZ48+ BJ48+ BT48+ CD48+ CN48+ CX48+ DH48</f>
        <v/>
      </c>
      <c r="DN48" s="74">
        <f>H48+ M48+ W48+ AG48+ AQ48+ BA48+ BK48+ BU48+ CE48+ CO48+ CY48+ DI48</f>
        <v/>
      </c>
      <c r="DO48" s="74">
        <f>DN48-DM48</f>
        <v/>
      </c>
      <c r="DP48" s="75">
        <f>IF(DM48=0,"",DN48/DM48)</f>
        <v/>
      </c>
      <c r="DQ48" s="52" t="n"/>
      <c r="DR48" s="72">
        <f>G48+L48+V48+AF48+AP48+AZ48+BJ48+BT48+CD48+CN48+CX48+DH48</f>
        <v/>
      </c>
    </row>
    <row r="49" ht="15" customHeight="1">
      <c r="A49" s="55" t="n"/>
      <c r="B49" s="55" t="n"/>
      <c r="C49" s="55" t="n"/>
      <c r="D49" s="46" t="n"/>
      <c r="E49" s="46" t="n"/>
      <c r="F49" s="47" t="n"/>
      <c r="G49" s="72" t="n"/>
      <c r="H49" s="72" t="n"/>
      <c r="I49" s="72">
        <f>H49-G49</f>
        <v/>
      </c>
      <c r="J49" s="73">
        <f>IF(G49=0,"",H49/G49)</f>
        <v/>
      </c>
      <c r="K49" s="46" t="n"/>
      <c r="L49" s="72" t="n"/>
      <c r="M49" s="72" t="n"/>
      <c r="N49" s="72">
        <f>M49-L49</f>
        <v/>
      </c>
      <c r="O49" s="73">
        <f>IF(L49=0,"",M49/L49)</f>
        <v/>
      </c>
      <c r="P49" s="46" t="n"/>
      <c r="Q49" s="74">
        <f>G49+ L49</f>
        <v/>
      </c>
      <c r="R49" s="74">
        <f>H49+ M49</f>
        <v/>
      </c>
      <c r="S49" s="74">
        <f>R49-Q49</f>
        <v/>
      </c>
      <c r="T49" s="75">
        <f>IF(Q49=0,"",R49/Q49)</f>
        <v/>
      </c>
      <c r="U49" s="52" t="n"/>
      <c r="V49" s="72" t="n"/>
      <c r="W49" s="72" t="n"/>
      <c r="X49" s="72">
        <f>W49-V49</f>
        <v/>
      </c>
      <c r="Y49" s="73">
        <f>IF(V49=0,"",W49/V49)</f>
        <v/>
      </c>
      <c r="Z49" s="46" t="n"/>
      <c r="AA49" s="74">
        <f>G49+ L49+ V49</f>
        <v/>
      </c>
      <c r="AB49" s="74">
        <f>H49+ M49+ W49</f>
        <v/>
      </c>
      <c r="AC49" s="74">
        <f>AB49-AA49</f>
        <v/>
      </c>
      <c r="AD49" s="75">
        <f>IF(AA49=0,"",AB49/AA49)</f>
        <v/>
      </c>
      <c r="AE49" s="52" t="n"/>
      <c r="AF49" s="72" t="n"/>
      <c r="AG49" s="72" t="n"/>
      <c r="AH49" s="72">
        <f>AG49-AF49</f>
        <v/>
      </c>
      <c r="AI49" s="73">
        <f>IF(AF49=0,"",AG49/AF49)</f>
        <v/>
      </c>
      <c r="AJ49" s="46" t="n"/>
      <c r="AK49" s="74">
        <f>G49+ L49+ V49+ AF49</f>
        <v/>
      </c>
      <c r="AL49" s="74">
        <f>H49+ M49+ W49+ AG49</f>
        <v/>
      </c>
      <c r="AM49" s="74">
        <f>AL49-AK49</f>
        <v/>
      </c>
      <c r="AN49" s="75">
        <f>IF(AK49=0,"",AL49/AK49)</f>
        <v/>
      </c>
      <c r="AO49" s="52" t="n"/>
      <c r="AP49" s="72" t="n"/>
      <c r="AQ49" s="72" t="n"/>
      <c r="AR49" s="72">
        <f>AQ49-AP49</f>
        <v/>
      </c>
      <c r="AS49" s="73">
        <f>IF(AP49=0,"",AQ49/AP49)</f>
        <v/>
      </c>
      <c r="AT49" s="46" t="n"/>
      <c r="AU49" s="74">
        <f>G49+ L49+ V49+ AF49+ AP49</f>
        <v/>
      </c>
      <c r="AV49" s="74">
        <f>H49+ M49+ W49+ AG49+ AQ49</f>
        <v/>
      </c>
      <c r="AW49" s="74">
        <f>AV49-AU49</f>
        <v/>
      </c>
      <c r="AX49" s="75">
        <f>IF(AU49=0,"",AV49/AU49)</f>
        <v/>
      </c>
      <c r="AY49" s="52" t="n"/>
      <c r="AZ49" s="72" t="n"/>
      <c r="BA49" s="72" t="n"/>
      <c r="BB49" s="72">
        <f>BA49-AZ49</f>
        <v/>
      </c>
      <c r="BC49" s="73">
        <f>IF(AZ49=0,"",BA49/AZ49)</f>
        <v/>
      </c>
      <c r="BD49" s="46" t="n"/>
      <c r="BE49" s="74">
        <f>G49+ L49+ V49+ AF49+ AP49+ AZ49</f>
        <v/>
      </c>
      <c r="BF49" s="74">
        <f>H49+ M49+ W49+ AG49+ AQ49+ BA49</f>
        <v/>
      </c>
      <c r="BG49" s="74">
        <f>BF49-BE49</f>
        <v/>
      </c>
      <c r="BH49" s="75">
        <f>IF(BE49=0,"",BF49/BE49)</f>
        <v/>
      </c>
      <c r="BI49" s="52" t="n"/>
      <c r="BJ49" s="72" t="n"/>
      <c r="BK49" s="72" t="n"/>
      <c r="BL49" s="72">
        <f>BK49-BJ49</f>
        <v/>
      </c>
      <c r="BM49" s="73">
        <f>IF(BJ49=0,"",BK49/BJ49)</f>
        <v/>
      </c>
      <c r="BN49" s="46" t="n"/>
      <c r="BO49" s="74">
        <f>G49+ L49+ V49+ AF49+ AP49+ AZ49+ BJ49</f>
        <v/>
      </c>
      <c r="BP49" s="74">
        <f>H49+ M49+ W49+ AG49+ AQ49+ BA49+ BK49</f>
        <v/>
      </c>
      <c r="BQ49" s="74">
        <f>BP49-BO49</f>
        <v/>
      </c>
      <c r="BR49" s="75">
        <f>IF(BO49=0,"",BP49/BO49)</f>
        <v/>
      </c>
      <c r="BS49" s="52" t="n"/>
      <c r="BT49" s="72" t="n"/>
      <c r="BU49" s="72" t="n"/>
      <c r="BV49" s="72">
        <f>BU49-BT49</f>
        <v/>
      </c>
      <c r="BW49" s="73">
        <f>IF(BT49=0,"",BU49/BT49)</f>
        <v/>
      </c>
      <c r="BX49" s="46" t="n"/>
      <c r="BY49" s="74">
        <f>G49+ L49+ V49+ AF49+ AP49+ AZ49+ BJ49+ BT49</f>
        <v/>
      </c>
      <c r="BZ49" s="74">
        <f>H49+ M49+ W49+ AG49+ AQ49+ BA49+ BK49+ BU49</f>
        <v/>
      </c>
      <c r="CA49" s="74">
        <f>BZ49-BY49</f>
        <v/>
      </c>
      <c r="CB49" s="75">
        <f>IF(BY49=0,"",BZ49/BY49)</f>
        <v/>
      </c>
      <c r="CC49" s="52" t="n"/>
      <c r="CD49" s="72" t="n"/>
      <c r="CE49" s="72" t="n"/>
      <c r="CF49" s="72">
        <f>CE49-CD49</f>
        <v/>
      </c>
      <c r="CG49" s="73">
        <f>IF(CD49=0,"",CE49/CD49)</f>
        <v/>
      </c>
      <c r="CH49" s="46" t="n"/>
      <c r="CI49" s="74">
        <f>G49+ L49+ V49+ AF49+ AP49+ AZ49+ BJ49+ BT49+ CD49</f>
        <v/>
      </c>
      <c r="CJ49" s="74">
        <f>H49+ M49+ W49+ AG49+ AQ49+ BA49+ BK49+ BU49+ CE49</f>
        <v/>
      </c>
      <c r="CK49" s="74">
        <f>CJ49-CI49</f>
        <v/>
      </c>
      <c r="CL49" s="75">
        <f>IF(CI49=0,"",CJ49/CI49)</f>
        <v/>
      </c>
      <c r="CM49" s="52" t="n"/>
      <c r="CN49" s="72" t="n"/>
      <c r="CO49" s="72" t="n"/>
      <c r="CP49" s="72">
        <f>CO49-CN49</f>
        <v/>
      </c>
      <c r="CQ49" s="73">
        <f>IF(CN49=0,"",CO49/CN49)</f>
        <v/>
      </c>
      <c r="CR49" s="46" t="n"/>
      <c r="CS49" s="74">
        <f>G49+ L49+ V49+ AF49+ AP49+ AZ49+ BJ49+ BT49+ CD49+ CN49</f>
        <v/>
      </c>
      <c r="CT49" s="74">
        <f>H49+ M49+ W49+ AG49+ AQ49+ BA49+ BK49+ BU49+ CE49+ CO49</f>
        <v/>
      </c>
      <c r="CU49" s="74">
        <f>CT49-CS49</f>
        <v/>
      </c>
      <c r="CV49" s="75">
        <f>IF(CS49=0,"",CT49/CS49)</f>
        <v/>
      </c>
      <c r="CW49" s="52" t="n"/>
      <c r="CX49" s="72" t="n"/>
      <c r="CY49" s="72" t="n"/>
      <c r="CZ49" s="72">
        <f>CY49-CX49</f>
        <v/>
      </c>
      <c r="DA49" s="73">
        <f>IF(CX49=0,"",CY49/CX49)</f>
        <v/>
      </c>
      <c r="DB49" s="46" t="n"/>
      <c r="DC49" s="74">
        <f>G49+ L49+ V49+ AF49+ AP49+ AZ49+ BJ49+ BT49+ CD49+ CN49+ CX49</f>
        <v/>
      </c>
      <c r="DD49" s="74">
        <f>H49+ M49+ W49+ AG49+ AQ49+ BA49+ BK49+ BU49+ CE49+ CO49+ CY49</f>
        <v/>
      </c>
      <c r="DE49" s="74">
        <f>DD49-DC49</f>
        <v/>
      </c>
      <c r="DF49" s="75">
        <f>IF(DC49=0,"",DD49/DC49)</f>
        <v/>
      </c>
      <c r="DG49" s="52" t="n"/>
      <c r="DH49" s="72" t="n"/>
      <c r="DI49" s="72" t="n"/>
      <c r="DJ49" s="72">
        <f>DI49-DH49</f>
        <v/>
      </c>
      <c r="DK49" s="73">
        <f>IF(DH49=0,"",DI49/DH49)</f>
        <v/>
      </c>
      <c r="DL49" s="46" t="n"/>
      <c r="DM49" s="74">
        <f>G49+ L49+ V49+ AF49+ AP49+ AZ49+ BJ49+ BT49+ CD49+ CN49+ CX49+ DH49</f>
        <v/>
      </c>
      <c r="DN49" s="74">
        <f>H49+ M49+ W49+ AG49+ AQ49+ BA49+ BK49+ BU49+ CE49+ CO49+ CY49+ DI49</f>
        <v/>
      </c>
      <c r="DO49" s="74">
        <f>DN49-DM49</f>
        <v/>
      </c>
      <c r="DP49" s="75">
        <f>IF(DM49=0,"",DN49/DM49)</f>
        <v/>
      </c>
      <c r="DQ49" s="52" t="n"/>
      <c r="DR49" s="72">
        <f>G49+L49+V49+AF49+AP49+AZ49+BJ49+BT49+CD49+CN49+CX49+DH49</f>
        <v/>
      </c>
    </row>
    <row r="50" ht="15" customHeight="1">
      <c r="A50" s="46" t="n"/>
      <c r="B50" s="46" t="n"/>
      <c r="C50" s="45" t="n"/>
      <c r="D50" s="46" t="n"/>
      <c r="E50" s="46" t="n"/>
      <c r="F50" s="47" t="n"/>
      <c r="G50" s="72" t="n"/>
      <c r="H50" s="72" t="n"/>
      <c r="I50" s="72">
        <f>H50-G50</f>
        <v/>
      </c>
      <c r="J50" s="73">
        <f>IF(G50=0,"",H50/G50)</f>
        <v/>
      </c>
      <c r="K50" s="46" t="n"/>
      <c r="L50" s="72" t="n"/>
      <c r="M50" s="72" t="n"/>
      <c r="N50" s="72">
        <f>M50-L50</f>
        <v/>
      </c>
      <c r="O50" s="73">
        <f>IF(L50=0,"",M50/L50)</f>
        <v/>
      </c>
      <c r="P50" s="46" t="n"/>
      <c r="Q50" s="74">
        <f>G50+ L50</f>
        <v/>
      </c>
      <c r="R50" s="74">
        <f>H50+ M50</f>
        <v/>
      </c>
      <c r="S50" s="74">
        <f>R50-Q50</f>
        <v/>
      </c>
      <c r="T50" s="75">
        <f>IF(Q50=0,"",R50/Q50)</f>
        <v/>
      </c>
      <c r="U50" s="52" t="n"/>
      <c r="V50" s="72" t="n"/>
      <c r="W50" s="72" t="n"/>
      <c r="X50" s="72">
        <f>W50-V50</f>
        <v/>
      </c>
      <c r="Y50" s="73">
        <f>IF(V50=0,"",W50/V50)</f>
        <v/>
      </c>
      <c r="Z50" s="46" t="n"/>
      <c r="AA50" s="74">
        <f>G50+ L50+ V50</f>
        <v/>
      </c>
      <c r="AB50" s="74">
        <f>H50+ M50+ W50</f>
        <v/>
      </c>
      <c r="AC50" s="74">
        <f>AB50-AA50</f>
        <v/>
      </c>
      <c r="AD50" s="75">
        <f>IF(AA50=0,"",AB50/AA50)</f>
        <v/>
      </c>
      <c r="AE50" s="52" t="n"/>
      <c r="AF50" s="72" t="n"/>
      <c r="AG50" s="72" t="n"/>
      <c r="AH50" s="72">
        <f>AG50-AF50</f>
        <v/>
      </c>
      <c r="AI50" s="73">
        <f>IF(AF50=0,"",AG50/AF50)</f>
        <v/>
      </c>
      <c r="AJ50" s="46" t="n"/>
      <c r="AK50" s="74">
        <f>G50+ L50+ V50+ AF50</f>
        <v/>
      </c>
      <c r="AL50" s="74">
        <f>H50+ M50+ W50+ AG50</f>
        <v/>
      </c>
      <c r="AM50" s="74">
        <f>AL50-AK50</f>
        <v/>
      </c>
      <c r="AN50" s="75">
        <f>IF(AK50=0,"",AL50/AK50)</f>
        <v/>
      </c>
      <c r="AO50" s="52" t="n"/>
      <c r="AP50" s="72" t="n"/>
      <c r="AQ50" s="72" t="n"/>
      <c r="AR50" s="72">
        <f>AQ50-AP50</f>
        <v/>
      </c>
      <c r="AS50" s="73">
        <f>IF(AP50=0,"",AQ50/AP50)</f>
        <v/>
      </c>
      <c r="AT50" s="46" t="n"/>
      <c r="AU50" s="74">
        <f>G50+ L50+ V50+ AF50+ AP50</f>
        <v/>
      </c>
      <c r="AV50" s="74">
        <f>H50+ M50+ W50+ AG50+ AQ50</f>
        <v/>
      </c>
      <c r="AW50" s="74">
        <f>AV50-AU50</f>
        <v/>
      </c>
      <c r="AX50" s="75">
        <f>IF(AU50=0,"",AV50/AU50)</f>
        <v/>
      </c>
      <c r="AY50" s="52" t="n"/>
      <c r="AZ50" s="72" t="n"/>
      <c r="BA50" s="72" t="n"/>
      <c r="BB50" s="72">
        <f>BA50-AZ50</f>
        <v/>
      </c>
      <c r="BC50" s="73">
        <f>IF(AZ50=0,"",BA50/AZ50)</f>
        <v/>
      </c>
      <c r="BD50" s="46" t="n"/>
      <c r="BE50" s="74">
        <f>G50+ L50+ V50+ AF50+ AP50+ AZ50</f>
        <v/>
      </c>
      <c r="BF50" s="74">
        <f>H50+ M50+ W50+ AG50+ AQ50+ BA50</f>
        <v/>
      </c>
      <c r="BG50" s="74">
        <f>BF50-BE50</f>
        <v/>
      </c>
      <c r="BH50" s="75">
        <f>IF(BE50=0,"",BF50/BE50)</f>
        <v/>
      </c>
      <c r="BI50" s="52" t="n"/>
      <c r="BJ50" s="72" t="n"/>
      <c r="BK50" s="72" t="n"/>
      <c r="BL50" s="72">
        <f>BK50-BJ50</f>
        <v/>
      </c>
      <c r="BM50" s="73">
        <f>IF(BJ50=0,"",BK50/BJ50)</f>
        <v/>
      </c>
      <c r="BN50" s="46" t="n"/>
      <c r="BO50" s="74">
        <f>G50+ L50+ V50+ AF50+ AP50+ AZ50+ BJ50</f>
        <v/>
      </c>
      <c r="BP50" s="74">
        <f>H50+ M50+ W50+ AG50+ AQ50+ BA50+ BK50</f>
        <v/>
      </c>
      <c r="BQ50" s="74">
        <f>BP50-BO50</f>
        <v/>
      </c>
      <c r="BR50" s="75">
        <f>IF(BO50=0,"",BP50/BO50)</f>
        <v/>
      </c>
      <c r="BS50" s="52" t="n"/>
      <c r="BT50" s="72" t="n"/>
      <c r="BU50" s="72" t="n"/>
      <c r="BV50" s="72">
        <f>BU50-BT50</f>
        <v/>
      </c>
      <c r="BW50" s="73">
        <f>IF(BT50=0,"",BU50/BT50)</f>
        <v/>
      </c>
      <c r="BX50" s="46" t="n"/>
      <c r="BY50" s="74">
        <f>G50+ L50+ V50+ AF50+ AP50+ AZ50+ BJ50+ BT50</f>
        <v/>
      </c>
      <c r="BZ50" s="74">
        <f>H50+ M50+ W50+ AG50+ AQ50+ BA50+ BK50+ BU50</f>
        <v/>
      </c>
      <c r="CA50" s="74">
        <f>BZ50-BY50</f>
        <v/>
      </c>
      <c r="CB50" s="75">
        <f>IF(BY50=0,"",BZ50/BY50)</f>
        <v/>
      </c>
      <c r="CC50" s="52" t="n"/>
      <c r="CD50" s="72" t="n"/>
      <c r="CE50" s="72" t="n"/>
      <c r="CF50" s="72">
        <f>CE50-CD50</f>
        <v/>
      </c>
      <c r="CG50" s="73">
        <f>IF(CD50=0,"",CE50/CD50)</f>
        <v/>
      </c>
      <c r="CH50" s="46" t="n"/>
      <c r="CI50" s="74">
        <f>G50+ L50+ V50+ AF50+ AP50+ AZ50+ BJ50+ BT50+ CD50</f>
        <v/>
      </c>
      <c r="CJ50" s="74">
        <f>H50+ M50+ W50+ AG50+ AQ50+ BA50+ BK50+ BU50+ CE50</f>
        <v/>
      </c>
      <c r="CK50" s="74">
        <f>CJ50-CI50</f>
        <v/>
      </c>
      <c r="CL50" s="75">
        <f>IF(CI50=0,"",CJ50/CI50)</f>
        <v/>
      </c>
      <c r="CM50" s="52" t="n"/>
      <c r="CN50" s="72" t="n"/>
      <c r="CO50" s="72" t="n"/>
      <c r="CP50" s="72">
        <f>CO50-CN50</f>
        <v/>
      </c>
      <c r="CQ50" s="73">
        <f>IF(CN50=0,"",CO50/CN50)</f>
        <v/>
      </c>
      <c r="CR50" s="46" t="n"/>
      <c r="CS50" s="74">
        <f>G50+ L50+ V50+ AF50+ AP50+ AZ50+ BJ50+ BT50+ CD50+ CN50</f>
        <v/>
      </c>
      <c r="CT50" s="74">
        <f>H50+ M50+ W50+ AG50+ AQ50+ BA50+ BK50+ BU50+ CE50+ CO50</f>
        <v/>
      </c>
      <c r="CU50" s="74">
        <f>CT50-CS50</f>
        <v/>
      </c>
      <c r="CV50" s="75">
        <f>IF(CS50=0,"",CT50/CS50)</f>
        <v/>
      </c>
      <c r="CW50" s="52" t="n"/>
      <c r="CX50" s="72" t="n"/>
      <c r="CY50" s="72" t="n"/>
      <c r="CZ50" s="72">
        <f>CY50-CX50</f>
        <v/>
      </c>
      <c r="DA50" s="73">
        <f>IF(CX50=0,"",CY50/CX50)</f>
        <v/>
      </c>
      <c r="DB50" s="46" t="n"/>
      <c r="DC50" s="74">
        <f>G50+ L50+ V50+ AF50+ AP50+ AZ50+ BJ50+ BT50+ CD50+ CN50+ CX50</f>
        <v/>
      </c>
      <c r="DD50" s="74">
        <f>H50+ M50+ W50+ AG50+ AQ50+ BA50+ BK50+ BU50+ CE50+ CO50+ CY50</f>
        <v/>
      </c>
      <c r="DE50" s="74">
        <f>DD50-DC50</f>
        <v/>
      </c>
      <c r="DF50" s="75">
        <f>IF(DC50=0,"",DD50/DC50)</f>
        <v/>
      </c>
      <c r="DG50" s="52" t="n"/>
      <c r="DH50" s="72" t="n"/>
      <c r="DI50" s="72" t="n"/>
      <c r="DJ50" s="72">
        <f>DI50-DH50</f>
        <v/>
      </c>
      <c r="DK50" s="73">
        <f>IF(DH50=0,"",DI50/DH50)</f>
        <v/>
      </c>
      <c r="DL50" s="46" t="n"/>
      <c r="DM50" s="74">
        <f>G50+ L50+ V50+ AF50+ AP50+ AZ50+ BJ50+ BT50+ CD50+ CN50+ CX50+ DH50</f>
        <v/>
      </c>
      <c r="DN50" s="74">
        <f>H50+ M50+ W50+ AG50+ AQ50+ BA50+ BK50+ BU50+ CE50+ CO50+ CY50+ DI50</f>
        <v/>
      </c>
      <c r="DO50" s="74">
        <f>DN50-DM50</f>
        <v/>
      </c>
      <c r="DP50" s="75">
        <f>IF(DM50=0,"",DN50/DM50)</f>
        <v/>
      </c>
      <c r="DQ50" s="52" t="n"/>
      <c r="DR50" s="72">
        <f>G50+L50+V50+AF50+AP50+AZ50+BJ50+BT50+CD50+CN50+CX50+DH50</f>
        <v/>
      </c>
    </row>
    <row r="51" ht="15" customHeight="1">
      <c r="A51" s="67" t="n"/>
      <c r="B51" s="67" t="n"/>
      <c r="C51" s="67" t="n"/>
      <c r="D51" s="46" t="n"/>
      <c r="E51" s="46" t="n"/>
      <c r="F51" s="47" t="n"/>
      <c r="G51" s="72" t="n"/>
      <c r="H51" s="72" t="n"/>
      <c r="I51" s="72">
        <f>H51-G51</f>
        <v/>
      </c>
      <c r="J51" s="73">
        <f>IF(G51=0,"",H51/G51)</f>
        <v/>
      </c>
      <c r="K51" s="46" t="n"/>
      <c r="L51" s="72" t="n"/>
      <c r="M51" s="72" t="n"/>
      <c r="N51" s="72">
        <f>M51-L51</f>
        <v/>
      </c>
      <c r="O51" s="73">
        <f>IF(L51=0,"",M51/L51)</f>
        <v/>
      </c>
      <c r="P51" s="46" t="n"/>
      <c r="Q51" s="74">
        <f>G51+ L51</f>
        <v/>
      </c>
      <c r="R51" s="74">
        <f>H51+ M51</f>
        <v/>
      </c>
      <c r="S51" s="74">
        <f>R51-Q51</f>
        <v/>
      </c>
      <c r="T51" s="75">
        <f>IF(Q51=0,"",R51/Q51)</f>
        <v/>
      </c>
      <c r="U51" s="52" t="n"/>
      <c r="V51" s="72" t="n"/>
      <c r="W51" s="72" t="n"/>
      <c r="X51" s="72">
        <f>W51-V51</f>
        <v/>
      </c>
      <c r="Y51" s="73">
        <f>IF(V51=0,"",W51/V51)</f>
        <v/>
      </c>
      <c r="Z51" s="46" t="n"/>
      <c r="AA51" s="74">
        <f>G51+ L51+ V51</f>
        <v/>
      </c>
      <c r="AB51" s="74">
        <f>H51+ M51+ W51</f>
        <v/>
      </c>
      <c r="AC51" s="74">
        <f>AB51-AA51</f>
        <v/>
      </c>
      <c r="AD51" s="75">
        <f>IF(AA51=0,"",AB51/AA51)</f>
        <v/>
      </c>
      <c r="AE51" s="52" t="n"/>
      <c r="AF51" s="72" t="n"/>
      <c r="AG51" s="72" t="n"/>
      <c r="AH51" s="72">
        <f>AG51-AF51</f>
        <v/>
      </c>
      <c r="AI51" s="73">
        <f>IF(AF51=0,"",AG51/AF51)</f>
        <v/>
      </c>
      <c r="AJ51" s="46" t="n"/>
      <c r="AK51" s="74">
        <f>G51+ L51+ V51+ AF51</f>
        <v/>
      </c>
      <c r="AL51" s="74">
        <f>H51+ M51+ W51+ AG51</f>
        <v/>
      </c>
      <c r="AM51" s="74">
        <f>AL51-AK51</f>
        <v/>
      </c>
      <c r="AN51" s="75">
        <f>IF(AK51=0,"",AL51/AK51)</f>
        <v/>
      </c>
      <c r="AO51" s="52" t="n"/>
      <c r="AP51" s="72" t="n"/>
      <c r="AQ51" s="72" t="n"/>
      <c r="AR51" s="72">
        <f>AQ51-AP51</f>
        <v/>
      </c>
      <c r="AS51" s="73">
        <f>IF(AP51=0,"",AQ51/AP51)</f>
        <v/>
      </c>
      <c r="AT51" s="46" t="n"/>
      <c r="AU51" s="74">
        <f>G51+ L51+ V51+ AF51+ AP51</f>
        <v/>
      </c>
      <c r="AV51" s="74">
        <f>H51+ M51+ W51+ AG51+ AQ51</f>
        <v/>
      </c>
      <c r="AW51" s="74">
        <f>AV51-AU51</f>
        <v/>
      </c>
      <c r="AX51" s="75">
        <f>IF(AU51=0,"",AV51/AU51)</f>
        <v/>
      </c>
      <c r="AY51" s="52" t="n"/>
      <c r="AZ51" s="72" t="n"/>
      <c r="BA51" s="72" t="n"/>
      <c r="BB51" s="72">
        <f>BA51-AZ51</f>
        <v/>
      </c>
      <c r="BC51" s="73">
        <f>IF(AZ51=0,"",BA51/AZ51)</f>
        <v/>
      </c>
      <c r="BD51" s="46" t="n"/>
      <c r="BE51" s="74">
        <f>G51+ L51+ V51+ AF51+ AP51+ AZ51</f>
        <v/>
      </c>
      <c r="BF51" s="74">
        <f>H51+ M51+ W51+ AG51+ AQ51+ BA51</f>
        <v/>
      </c>
      <c r="BG51" s="74">
        <f>BF51-BE51</f>
        <v/>
      </c>
      <c r="BH51" s="75">
        <f>IF(BE51=0,"",BF51/BE51)</f>
        <v/>
      </c>
      <c r="BI51" s="52" t="n"/>
      <c r="BJ51" s="72" t="n"/>
      <c r="BK51" s="72" t="n"/>
      <c r="BL51" s="72">
        <f>BK51-BJ51</f>
        <v/>
      </c>
      <c r="BM51" s="73">
        <f>IF(BJ51=0,"",BK51/BJ51)</f>
        <v/>
      </c>
      <c r="BN51" s="46" t="n"/>
      <c r="BO51" s="74">
        <f>G51+ L51+ V51+ AF51+ AP51+ AZ51+ BJ51</f>
        <v/>
      </c>
      <c r="BP51" s="74">
        <f>H51+ M51+ W51+ AG51+ AQ51+ BA51+ BK51</f>
        <v/>
      </c>
      <c r="BQ51" s="74">
        <f>BP51-BO51</f>
        <v/>
      </c>
      <c r="BR51" s="75">
        <f>IF(BO51=0,"",BP51/BO51)</f>
        <v/>
      </c>
      <c r="BS51" s="52" t="n"/>
      <c r="BT51" s="72" t="n"/>
      <c r="BU51" s="72" t="n"/>
      <c r="BV51" s="72">
        <f>BU51-BT51</f>
        <v/>
      </c>
      <c r="BW51" s="73">
        <f>IF(BT51=0,"",BU51/BT51)</f>
        <v/>
      </c>
      <c r="BX51" s="46" t="n"/>
      <c r="BY51" s="74">
        <f>G51+ L51+ V51+ AF51+ AP51+ AZ51+ BJ51+ BT51</f>
        <v/>
      </c>
      <c r="BZ51" s="74">
        <f>H51+ M51+ W51+ AG51+ AQ51+ BA51+ BK51+ BU51</f>
        <v/>
      </c>
      <c r="CA51" s="74">
        <f>BZ51-BY51</f>
        <v/>
      </c>
      <c r="CB51" s="75">
        <f>IF(BY51=0,"",BZ51/BY51)</f>
        <v/>
      </c>
      <c r="CC51" s="52" t="n"/>
      <c r="CD51" s="72" t="n"/>
      <c r="CE51" s="72" t="n"/>
      <c r="CF51" s="72">
        <f>CE51-CD51</f>
        <v/>
      </c>
      <c r="CG51" s="73">
        <f>IF(CD51=0,"",CE51/CD51)</f>
        <v/>
      </c>
      <c r="CH51" s="46" t="n"/>
      <c r="CI51" s="74">
        <f>G51+ L51+ V51+ AF51+ AP51+ AZ51+ BJ51+ BT51+ CD51</f>
        <v/>
      </c>
      <c r="CJ51" s="74">
        <f>H51+ M51+ W51+ AG51+ AQ51+ BA51+ BK51+ BU51+ CE51</f>
        <v/>
      </c>
      <c r="CK51" s="74">
        <f>CJ51-CI51</f>
        <v/>
      </c>
      <c r="CL51" s="75">
        <f>IF(CI51=0,"",CJ51/CI51)</f>
        <v/>
      </c>
      <c r="CM51" s="52" t="n"/>
      <c r="CN51" s="72" t="n"/>
      <c r="CO51" s="72" t="n"/>
      <c r="CP51" s="72">
        <f>CO51-CN51</f>
        <v/>
      </c>
      <c r="CQ51" s="73">
        <f>IF(CN51=0,"",CO51/CN51)</f>
        <v/>
      </c>
      <c r="CR51" s="46" t="n"/>
      <c r="CS51" s="74">
        <f>G51+ L51+ V51+ AF51+ AP51+ AZ51+ BJ51+ BT51+ CD51+ CN51</f>
        <v/>
      </c>
      <c r="CT51" s="74">
        <f>H51+ M51+ W51+ AG51+ AQ51+ BA51+ BK51+ BU51+ CE51+ CO51</f>
        <v/>
      </c>
      <c r="CU51" s="74">
        <f>CT51-CS51</f>
        <v/>
      </c>
      <c r="CV51" s="75">
        <f>IF(CS51=0,"",CT51/CS51)</f>
        <v/>
      </c>
      <c r="CW51" s="52" t="n"/>
      <c r="CX51" s="72" t="n"/>
      <c r="CY51" s="72" t="n"/>
      <c r="CZ51" s="72">
        <f>CY51-CX51</f>
        <v/>
      </c>
      <c r="DA51" s="73">
        <f>IF(CX51=0,"",CY51/CX51)</f>
        <v/>
      </c>
      <c r="DB51" s="46" t="n"/>
      <c r="DC51" s="74">
        <f>G51+ L51+ V51+ AF51+ AP51+ AZ51+ BJ51+ BT51+ CD51+ CN51+ CX51</f>
        <v/>
      </c>
      <c r="DD51" s="74">
        <f>H51+ M51+ W51+ AG51+ AQ51+ BA51+ BK51+ BU51+ CE51+ CO51+ CY51</f>
        <v/>
      </c>
      <c r="DE51" s="74">
        <f>DD51-DC51</f>
        <v/>
      </c>
      <c r="DF51" s="75">
        <f>IF(DC51=0,"",DD51/DC51)</f>
        <v/>
      </c>
      <c r="DG51" s="52" t="n"/>
      <c r="DH51" s="72" t="n"/>
      <c r="DI51" s="72" t="n"/>
      <c r="DJ51" s="72">
        <f>DI51-DH51</f>
        <v/>
      </c>
      <c r="DK51" s="73">
        <f>IF(DH51=0,"",DI51/DH51)</f>
        <v/>
      </c>
      <c r="DL51" s="46" t="n"/>
      <c r="DM51" s="74">
        <f>G51+ L51+ V51+ AF51+ AP51+ AZ51+ BJ51+ BT51+ CD51+ CN51+ CX51+ DH51</f>
        <v/>
      </c>
      <c r="DN51" s="74">
        <f>H51+ M51+ W51+ AG51+ AQ51+ BA51+ BK51+ BU51+ CE51+ CO51+ CY51+ DI51</f>
        <v/>
      </c>
      <c r="DO51" s="74">
        <f>DN51-DM51</f>
        <v/>
      </c>
      <c r="DP51" s="75">
        <f>IF(DM51=0,"",DN51/DM51)</f>
        <v/>
      </c>
      <c r="DQ51" s="52" t="n"/>
      <c r="DR51" s="72">
        <f>G51+L51+V51+AF51+AP51+AZ51+BJ51+BT51+CD51+CN51+CX51+DH51</f>
        <v/>
      </c>
    </row>
    <row r="52" ht="15" customHeight="1">
      <c r="A52" s="67" t="n"/>
      <c r="B52" s="67" t="n"/>
      <c r="C52" s="67" t="n"/>
      <c r="D52" s="46" t="n"/>
      <c r="E52" s="46" t="n"/>
      <c r="F52" s="47" t="n"/>
      <c r="G52" s="72" t="n"/>
      <c r="H52" s="72" t="n"/>
      <c r="I52" s="72">
        <f>H52-G52</f>
        <v/>
      </c>
      <c r="J52" s="73">
        <f>IF(G52=0,"",H52/G52)</f>
        <v/>
      </c>
      <c r="K52" s="46" t="n"/>
      <c r="L52" s="72" t="n"/>
      <c r="M52" s="72" t="n"/>
      <c r="N52" s="72">
        <f>M52-L52</f>
        <v/>
      </c>
      <c r="O52" s="73">
        <f>IF(L52=0,"",M52/L52)</f>
        <v/>
      </c>
      <c r="P52" s="46" t="n"/>
      <c r="Q52" s="74">
        <f>G52+ L52</f>
        <v/>
      </c>
      <c r="R52" s="74">
        <f>H52+ M52</f>
        <v/>
      </c>
      <c r="S52" s="74">
        <f>R52-Q52</f>
        <v/>
      </c>
      <c r="T52" s="75">
        <f>IF(Q52=0,"",R52/Q52)</f>
        <v/>
      </c>
      <c r="U52" s="52" t="n"/>
      <c r="V52" s="72" t="n"/>
      <c r="W52" s="72" t="n"/>
      <c r="X52" s="72">
        <f>W52-V52</f>
        <v/>
      </c>
      <c r="Y52" s="73">
        <f>IF(V52=0,"",W52/V52)</f>
        <v/>
      </c>
      <c r="Z52" s="46" t="n"/>
      <c r="AA52" s="74">
        <f>G52+ L52+ V52</f>
        <v/>
      </c>
      <c r="AB52" s="74">
        <f>H52+ M52+ W52</f>
        <v/>
      </c>
      <c r="AC52" s="74">
        <f>AB52-AA52</f>
        <v/>
      </c>
      <c r="AD52" s="75">
        <f>IF(AA52=0,"",AB52/AA52)</f>
        <v/>
      </c>
      <c r="AE52" s="52" t="n"/>
      <c r="AF52" s="72" t="n"/>
      <c r="AG52" s="72" t="n"/>
      <c r="AH52" s="72">
        <f>AG52-AF52</f>
        <v/>
      </c>
      <c r="AI52" s="73">
        <f>IF(AF52=0,"",AG52/AF52)</f>
        <v/>
      </c>
      <c r="AJ52" s="46" t="n"/>
      <c r="AK52" s="74">
        <f>G52+ L52+ V52+ AF52</f>
        <v/>
      </c>
      <c r="AL52" s="74">
        <f>H52+ M52+ W52+ AG52</f>
        <v/>
      </c>
      <c r="AM52" s="74">
        <f>AL52-AK52</f>
        <v/>
      </c>
      <c r="AN52" s="75">
        <f>IF(AK52=0,"",AL52/AK52)</f>
        <v/>
      </c>
      <c r="AO52" s="52" t="n"/>
      <c r="AP52" s="72" t="n"/>
      <c r="AQ52" s="72" t="n"/>
      <c r="AR52" s="72">
        <f>AQ52-AP52</f>
        <v/>
      </c>
      <c r="AS52" s="73">
        <f>IF(AP52=0,"",AQ52/AP52)</f>
        <v/>
      </c>
      <c r="AT52" s="46" t="n"/>
      <c r="AU52" s="74">
        <f>G52+ L52+ V52+ AF52+ AP52</f>
        <v/>
      </c>
      <c r="AV52" s="74">
        <f>H52+ M52+ W52+ AG52+ AQ52</f>
        <v/>
      </c>
      <c r="AW52" s="74">
        <f>AV52-AU52</f>
        <v/>
      </c>
      <c r="AX52" s="75">
        <f>IF(AU52=0,"",AV52/AU52)</f>
        <v/>
      </c>
      <c r="AY52" s="52" t="n"/>
      <c r="AZ52" s="72" t="n"/>
      <c r="BA52" s="72" t="n"/>
      <c r="BB52" s="72">
        <f>BA52-AZ52</f>
        <v/>
      </c>
      <c r="BC52" s="73">
        <f>IF(AZ52=0,"",BA52/AZ52)</f>
        <v/>
      </c>
      <c r="BD52" s="46" t="n"/>
      <c r="BE52" s="74">
        <f>G52+ L52+ V52+ AF52+ AP52+ AZ52</f>
        <v/>
      </c>
      <c r="BF52" s="74">
        <f>H52+ M52+ W52+ AG52+ AQ52+ BA52</f>
        <v/>
      </c>
      <c r="BG52" s="74">
        <f>BF52-BE52</f>
        <v/>
      </c>
      <c r="BH52" s="75">
        <f>IF(BE52=0,"",BF52/BE52)</f>
        <v/>
      </c>
      <c r="BI52" s="52" t="n"/>
      <c r="BJ52" s="72" t="n"/>
      <c r="BK52" s="72" t="n"/>
      <c r="BL52" s="72">
        <f>BK52-BJ52</f>
        <v/>
      </c>
      <c r="BM52" s="73">
        <f>IF(BJ52=0,"",BK52/BJ52)</f>
        <v/>
      </c>
      <c r="BN52" s="46" t="n"/>
      <c r="BO52" s="74">
        <f>G52+ L52+ V52+ AF52+ AP52+ AZ52+ BJ52</f>
        <v/>
      </c>
      <c r="BP52" s="74">
        <f>H52+ M52+ W52+ AG52+ AQ52+ BA52+ BK52</f>
        <v/>
      </c>
      <c r="BQ52" s="74">
        <f>BP52-BO52</f>
        <v/>
      </c>
      <c r="BR52" s="75">
        <f>IF(BO52=0,"",BP52/BO52)</f>
        <v/>
      </c>
      <c r="BS52" s="52" t="n"/>
      <c r="BT52" s="72" t="n"/>
      <c r="BU52" s="72" t="n"/>
      <c r="BV52" s="72">
        <f>BU52-BT52</f>
        <v/>
      </c>
      <c r="BW52" s="73">
        <f>IF(BT52=0,"",BU52/BT52)</f>
        <v/>
      </c>
      <c r="BX52" s="46" t="n"/>
      <c r="BY52" s="74">
        <f>G52+ L52+ V52+ AF52+ AP52+ AZ52+ BJ52+ BT52</f>
        <v/>
      </c>
      <c r="BZ52" s="74">
        <f>H52+ M52+ W52+ AG52+ AQ52+ BA52+ BK52+ BU52</f>
        <v/>
      </c>
      <c r="CA52" s="74">
        <f>BZ52-BY52</f>
        <v/>
      </c>
      <c r="CB52" s="75">
        <f>IF(BY52=0,"",BZ52/BY52)</f>
        <v/>
      </c>
      <c r="CC52" s="52" t="n"/>
      <c r="CD52" s="72" t="n"/>
      <c r="CE52" s="72" t="n"/>
      <c r="CF52" s="72">
        <f>CE52-CD52</f>
        <v/>
      </c>
      <c r="CG52" s="73">
        <f>IF(CD52=0,"",CE52/CD52)</f>
        <v/>
      </c>
      <c r="CH52" s="46" t="n"/>
      <c r="CI52" s="74">
        <f>G52+ L52+ V52+ AF52+ AP52+ AZ52+ BJ52+ BT52+ CD52</f>
        <v/>
      </c>
      <c r="CJ52" s="74">
        <f>H52+ M52+ W52+ AG52+ AQ52+ BA52+ BK52+ BU52+ CE52</f>
        <v/>
      </c>
      <c r="CK52" s="74">
        <f>CJ52-CI52</f>
        <v/>
      </c>
      <c r="CL52" s="75">
        <f>IF(CI52=0,"",CJ52/CI52)</f>
        <v/>
      </c>
      <c r="CM52" s="52" t="n"/>
      <c r="CN52" s="72" t="n"/>
      <c r="CO52" s="72" t="n"/>
      <c r="CP52" s="72">
        <f>CO52-CN52</f>
        <v/>
      </c>
      <c r="CQ52" s="73">
        <f>IF(CN52=0,"",CO52/CN52)</f>
        <v/>
      </c>
      <c r="CR52" s="46" t="n"/>
      <c r="CS52" s="74">
        <f>G52+ L52+ V52+ AF52+ AP52+ AZ52+ BJ52+ BT52+ CD52+ CN52</f>
        <v/>
      </c>
      <c r="CT52" s="74">
        <f>H52+ M52+ W52+ AG52+ AQ52+ BA52+ BK52+ BU52+ CE52+ CO52</f>
        <v/>
      </c>
      <c r="CU52" s="74">
        <f>CT52-CS52</f>
        <v/>
      </c>
      <c r="CV52" s="75">
        <f>IF(CS52=0,"",CT52/CS52)</f>
        <v/>
      </c>
      <c r="CW52" s="52" t="n"/>
      <c r="CX52" s="72" t="n"/>
      <c r="CY52" s="72" t="n"/>
      <c r="CZ52" s="72">
        <f>CY52-CX52</f>
        <v/>
      </c>
      <c r="DA52" s="73">
        <f>IF(CX52=0,"",CY52/CX52)</f>
        <v/>
      </c>
      <c r="DB52" s="46" t="n"/>
      <c r="DC52" s="74">
        <f>G52+ L52+ V52+ AF52+ AP52+ AZ52+ BJ52+ BT52+ CD52+ CN52+ CX52</f>
        <v/>
      </c>
      <c r="DD52" s="74">
        <f>H52+ M52+ W52+ AG52+ AQ52+ BA52+ BK52+ BU52+ CE52+ CO52+ CY52</f>
        <v/>
      </c>
      <c r="DE52" s="74">
        <f>DD52-DC52</f>
        <v/>
      </c>
      <c r="DF52" s="75">
        <f>IF(DC52=0,"",DD52/DC52)</f>
        <v/>
      </c>
      <c r="DG52" s="52" t="n"/>
      <c r="DH52" s="72" t="n"/>
      <c r="DI52" s="72" t="n"/>
      <c r="DJ52" s="72">
        <f>DI52-DH52</f>
        <v/>
      </c>
      <c r="DK52" s="73">
        <f>IF(DH52=0,"",DI52/DH52)</f>
        <v/>
      </c>
      <c r="DL52" s="46" t="n"/>
      <c r="DM52" s="74">
        <f>G52+ L52+ V52+ AF52+ AP52+ AZ52+ BJ52+ BT52+ CD52+ CN52+ CX52+ DH52</f>
        <v/>
      </c>
      <c r="DN52" s="74">
        <f>H52+ M52+ W52+ AG52+ AQ52+ BA52+ BK52+ BU52+ CE52+ CO52+ CY52+ DI52</f>
        <v/>
      </c>
      <c r="DO52" s="74">
        <f>DN52-DM52</f>
        <v/>
      </c>
      <c r="DP52" s="75">
        <f>IF(DM52=0,"",DN52/DM52)</f>
        <v/>
      </c>
      <c r="DQ52" s="52" t="n"/>
      <c r="DR52" s="72">
        <f>G52+L52+V52+AF52+AP52+AZ52+BJ52+BT52+CD52+CN52+CX52+DH52</f>
        <v/>
      </c>
    </row>
    <row r="53" ht="15" customHeight="1">
      <c r="A53" s="55" t="n"/>
      <c r="B53" s="55" t="n"/>
      <c r="C53" s="55" t="n"/>
      <c r="D53" s="46" t="n"/>
      <c r="E53" s="46" t="n"/>
      <c r="F53" s="47" t="n"/>
      <c r="G53" s="72" t="n"/>
      <c r="H53" s="72" t="n"/>
      <c r="I53" s="72">
        <f>H53-G53</f>
        <v/>
      </c>
      <c r="J53" s="73">
        <f>IF(G53=0,"",H53/G53)</f>
        <v/>
      </c>
      <c r="K53" s="46" t="n"/>
      <c r="L53" s="72" t="n"/>
      <c r="M53" s="72" t="n"/>
      <c r="N53" s="72">
        <f>M53-L53</f>
        <v/>
      </c>
      <c r="O53" s="73">
        <f>IF(L53=0,"",M53/L53)</f>
        <v/>
      </c>
      <c r="P53" s="46" t="n"/>
      <c r="Q53" s="74">
        <f>G53+ L53</f>
        <v/>
      </c>
      <c r="R53" s="74">
        <f>H53+ M53</f>
        <v/>
      </c>
      <c r="S53" s="74">
        <f>R53-Q53</f>
        <v/>
      </c>
      <c r="T53" s="75">
        <f>IF(Q53=0,"",R53/Q53)</f>
        <v/>
      </c>
      <c r="U53" s="52" t="n"/>
      <c r="V53" s="72" t="n"/>
      <c r="W53" s="72" t="n"/>
      <c r="X53" s="72">
        <f>W53-V53</f>
        <v/>
      </c>
      <c r="Y53" s="73">
        <f>IF(V53=0,"",W53/V53)</f>
        <v/>
      </c>
      <c r="Z53" s="46" t="n"/>
      <c r="AA53" s="74">
        <f>G53+ L53+ V53</f>
        <v/>
      </c>
      <c r="AB53" s="74">
        <f>H53+ M53+ W53</f>
        <v/>
      </c>
      <c r="AC53" s="74">
        <f>AB53-AA53</f>
        <v/>
      </c>
      <c r="AD53" s="75">
        <f>IF(AA53=0,"",AB53/AA53)</f>
        <v/>
      </c>
      <c r="AE53" s="52" t="n"/>
      <c r="AF53" s="72" t="n"/>
      <c r="AG53" s="72" t="n"/>
      <c r="AH53" s="72">
        <f>AG53-AF53</f>
        <v/>
      </c>
      <c r="AI53" s="73">
        <f>IF(AF53=0,"",AG53/AF53)</f>
        <v/>
      </c>
      <c r="AJ53" s="46" t="n"/>
      <c r="AK53" s="74">
        <f>G53+ L53+ V53+ AF53</f>
        <v/>
      </c>
      <c r="AL53" s="74">
        <f>H53+ M53+ W53+ AG53</f>
        <v/>
      </c>
      <c r="AM53" s="74">
        <f>AL53-AK53</f>
        <v/>
      </c>
      <c r="AN53" s="75">
        <f>IF(AK53=0,"",AL53/AK53)</f>
        <v/>
      </c>
      <c r="AO53" s="52" t="n"/>
      <c r="AP53" s="72" t="n"/>
      <c r="AQ53" s="72" t="n"/>
      <c r="AR53" s="72">
        <f>AQ53-AP53</f>
        <v/>
      </c>
      <c r="AS53" s="73">
        <f>IF(AP53=0,"",AQ53/AP53)</f>
        <v/>
      </c>
      <c r="AT53" s="46" t="n"/>
      <c r="AU53" s="74">
        <f>G53+ L53+ V53+ AF53+ AP53</f>
        <v/>
      </c>
      <c r="AV53" s="74">
        <f>H53+ M53+ W53+ AG53+ AQ53</f>
        <v/>
      </c>
      <c r="AW53" s="74">
        <f>AV53-AU53</f>
        <v/>
      </c>
      <c r="AX53" s="75">
        <f>IF(AU53=0,"",AV53/AU53)</f>
        <v/>
      </c>
      <c r="AY53" s="52" t="n"/>
      <c r="AZ53" s="72" t="n"/>
      <c r="BA53" s="72" t="n"/>
      <c r="BB53" s="72">
        <f>BA53-AZ53</f>
        <v/>
      </c>
      <c r="BC53" s="73">
        <f>IF(AZ53=0,"",BA53/AZ53)</f>
        <v/>
      </c>
      <c r="BD53" s="46" t="n"/>
      <c r="BE53" s="74">
        <f>G53+ L53+ V53+ AF53+ AP53+ AZ53</f>
        <v/>
      </c>
      <c r="BF53" s="74">
        <f>H53+ M53+ W53+ AG53+ AQ53+ BA53</f>
        <v/>
      </c>
      <c r="BG53" s="74">
        <f>BF53-BE53</f>
        <v/>
      </c>
      <c r="BH53" s="75">
        <f>IF(BE53=0,"",BF53/BE53)</f>
        <v/>
      </c>
      <c r="BI53" s="52" t="n"/>
      <c r="BJ53" s="72" t="n"/>
      <c r="BK53" s="72" t="n"/>
      <c r="BL53" s="72">
        <f>BK53-BJ53</f>
        <v/>
      </c>
      <c r="BM53" s="73">
        <f>IF(BJ53=0,"",BK53/BJ53)</f>
        <v/>
      </c>
      <c r="BN53" s="46" t="n"/>
      <c r="BO53" s="74">
        <f>G53+ L53+ V53+ AF53+ AP53+ AZ53+ BJ53</f>
        <v/>
      </c>
      <c r="BP53" s="74">
        <f>H53+ M53+ W53+ AG53+ AQ53+ BA53+ BK53</f>
        <v/>
      </c>
      <c r="BQ53" s="74">
        <f>BP53-BO53</f>
        <v/>
      </c>
      <c r="BR53" s="75">
        <f>IF(BO53=0,"",BP53/BO53)</f>
        <v/>
      </c>
      <c r="BS53" s="52" t="n"/>
      <c r="BT53" s="72" t="n"/>
      <c r="BU53" s="72" t="n"/>
      <c r="BV53" s="72">
        <f>BU53-BT53</f>
        <v/>
      </c>
      <c r="BW53" s="73">
        <f>IF(BT53=0,"",BU53/BT53)</f>
        <v/>
      </c>
      <c r="BX53" s="46" t="n"/>
      <c r="BY53" s="74">
        <f>G53+ L53+ V53+ AF53+ AP53+ AZ53+ BJ53+ BT53</f>
        <v/>
      </c>
      <c r="BZ53" s="74">
        <f>H53+ M53+ W53+ AG53+ AQ53+ BA53+ BK53+ BU53</f>
        <v/>
      </c>
      <c r="CA53" s="74">
        <f>BZ53-BY53</f>
        <v/>
      </c>
      <c r="CB53" s="75">
        <f>IF(BY53=0,"",BZ53/BY53)</f>
        <v/>
      </c>
      <c r="CC53" s="52" t="n"/>
      <c r="CD53" s="72" t="n"/>
      <c r="CE53" s="72" t="n"/>
      <c r="CF53" s="72">
        <f>CE53-CD53</f>
        <v/>
      </c>
      <c r="CG53" s="73">
        <f>IF(CD53=0,"",CE53/CD53)</f>
        <v/>
      </c>
      <c r="CH53" s="46" t="n"/>
      <c r="CI53" s="74">
        <f>G53+ L53+ V53+ AF53+ AP53+ AZ53+ BJ53+ BT53+ CD53</f>
        <v/>
      </c>
      <c r="CJ53" s="74">
        <f>H53+ M53+ W53+ AG53+ AQ53+ BA53+ BK53+ BU53+ CE53</f>
        <v/>
      </c>
      <c r="CK53" s="74">
        <f>CJ53-CI53</f>
        <v/>
      </c>
      <c r="CL53" s="75">
        <f>IF(CI53=0,"",CJ53/CI53)</f>
        <v/>
      </c>
      <c r="CM53" s="52" t="n"/>
      <c r="CN53" s="72" t="n"/>
      <c r="CO53" s="72" t="n"/>
      <c r="CP53" s="72">
        <f>CO53-CN53</f>
        <v/>
      </c>
      <c r="CQ53" s="73">
        <f>IF(CN53=0,"",CO53/CN53)</f>
        <v/>
      </c>
      <c r="CR53" s="46" t="n"/>
      <c r="CS53" s="74">
        <f>G53+ L53+ V53+ AF53+ AP53+ AZ53+ BJ53+ BT53+ CD53+ CN53</f>
        <v/>
      </c>
      <c r="CT53" s="74">
        <f>H53+ M53+ W53+ AG53+ AQ53+ BA53+ BK53+ BU53+ CE53+ CO53</f>
        <v/>
      </c>
      <c r="CU53" s="74">
        <f>CT53-CS53</f>
        <v/>
      </c>
      <c r="CV53" s="75">
        <f>IF(CS53=0,"",CT53/CS53)</f>
        <v/>
      </c>
      <c r="CW53" s="52" t="n"/>
      <c r="CX53" s="72" t="n"/>
      <c r="CY53" s="72" t="n"/>
      <c r="CZ53" s="72">
        <f>CY53-CX53</f>
        <v/>
      </c>
      <c r="DA53" s="73">
        <f>IF(CX53=0,"",CY53/CX53)</f>
        <v/>
      </c>
      <c r="DB53" s="46" t="n"/>
      <c r="DC53" s="74">
        <f>G53+ L53+ V53+ AF53+ AP53+ AZ53+ BJ53+ BT53+ CD53+ CN53+ CX53</f>
        <v/>
      </c>
      <c r="DD53" s="74">
        <f>H53+ M53+ W53+ AG53+ AQ53+ BA53+ BK53+ BU53+ CE53+ CO53+ CY53</f>
        <v/>
      </c>
      <c r="DE53" s="74">
        <f>DD53-DC53</f>
        <v/>
      </c>
      <c r="DF53" s="75">
        <f>IF(DC53=0,"",DD53/DC53)</f>
        <v/>
      </c>
      <c r="DG53" s="52" t="n"/>
      <c r="DH53" s="72" t="n"/>
      <c r="DI53" s="72" t="n"/>
      <c r="DJ53" s="72">
        <f>DI53-DH53</f>
        <v/>
      </c>
      <c r="DK53" s="73">
        <f>IF(DH53=0,"",DI53/DH53)</f>
        <v/>
      </c>
      <c r="DL53" s="46" t="n"/>
      <c r="DM53" s="74">
        <f>G53+ L53+ V53+ AF53+ AP53+ AZ53+ BJ53+ BT53+ CD53+ CN53+ CX53+ DH53</f>
        <v/>
      </c>
      <c r="DN53" s="74">
        <f>H53+ M53+ W53+ AG53+ AQ53+ BA53+ BK53+ BU53+ CE53+ CO53+ CY53+ DI53</f>
        <v/>
      </c>
      <c r="DO53" s="74">
        <f>DN53-DM53</f>
        <v/>
      </c>
      <c r="DP53" s="75">
        <f>IF(DM53=0,"",DN53/DM53)</f>
        <v/>
      </c>
      <c r="DQ53" s="52" t="n"/>
      <c r="DR53" s="72">
        <f>G53+L53+V53+AF53+AP53+AZ53+BJ53+BT53+CD53+CN53+CX53+DH53</f>
        <v/>
      </c>
    </row>
    <row r="54" ht="15" customHeight="1">
      <c r="A54" s="46" t="n"/>
      <c r="B54" s="46" t="n"/>
      <c r="C54" s="46" t="n"/>
      <c r="D54" s="46" t="n"/>
      <c r="E54" s="46" t="n"/>
      <c r="F54" s="47" t="n"/>
      <c r="G54" s="72" t="n"/>
      <c r="H54" s="72" t="n"/>
      <c r="I54" s="72">
        <f>H54-G54</f>
        <v/>
      </c>
      <c r="J54" s="73">
        <f>IF(G54=0,"",H54/G54)</f>
        <v/>
      </c>
      <c r="K54" s="46" t="n"/>
      <c r="L54" s="72" t="n"/>
      <c r="M54" s="72" t="n"/>
      <c r="N54" s="72">
        <f>M54-L54</f>
        <v/>
      </c>
      <c r="O54" s="73">
        <f>IF(L54=0,"",M54/L54)</f>
        <v/>
      </c>
      <c r="P54" s="46" t="n"/>
      <c r="Q54" s="74">
        <f>G54+ L54</f>
        <v/>
      </c>
      <c r="R54" s="74">
        <f>H54+ M54</f>
        <v/>
      </c>
      <c r="S54" s="74">
        <f>R54-Q54</f>
        <v/>
      </c>
      <c r="T54" s="75">
        <f>IF(Q54=0,"",R54/Q54)</f>
        <v/>
      </c>
      <c r="U54" s="52" t="n"/>
      <c r="V54" s="72" t="n"/>
      <c r="W54" s="72" t="n"/>
      <c r="X54" s="72">
        <f>W54-V54</f>
        <v/>
      </c>
      <c r="Y54" s="73">
        <f>IF(V54=0,"",W54/V54)</f>
        <v/>
      </c>
      <c r="Z54" s="46" t="n"/>
      <c r="AA54" s="74">
        <f>G54+ L54+ V54</f>
        <v/>
      </c>
      <c r="AB54" s="74">
        <f>H54+ M54+ W54</f>
        <v/>
      </c>
      <c r="AC54" s="74">
        <f>AB54-AA54</f>
        <v/>
      </c>
      <c r="AD54" s="75">
        <f>IF(AA54=0,"",AB54/AA54)</f>
        <v/>
      </c>
      <c r="AE54" s="52" t="n"/>
      <c r="AF54" s="72" t="n"/>
      <c r="AG54" s="72" t="n"/>
      <c r="AH54" s="72">
        <f>AG54-AF54</f>
        <v/>
      </c>
      <c r="AI54" s="73">
        <f>IF(AF54=0,"",AG54/AF54)</f>
        <v/>
      </c>
      <c r="AJ54" s="46" t="n"/>
      <c r="AK54" s="74">
        <f>G54+ L54+ V54+ AF54</f>
        <v/>
      </c>
      <c r="AL54" s="74">
        <f>H54+ M54+ W54+ AG54</f>
        <v/>
      </c>
      <c r="AM54" s="74">
        <f>AL54-AK54</f>
        <v/>
      </c>
      <c r="AN54" s="75">
        <f>IF(AK54=0,"",AL54/AK54)</f>
        <v/>
      </c>
      <c r="AO54" s="52" t="n"/>
      <c r="AP54" s="72" t="n"/>
      <c r="AQ54" s="72" t="n"/>
      <c r="AR54" s="72">
        <f>AQ54-AP54</f>
        <v/>
      </c>
      <c r="AS54" s="73">
        <f>IF(AP54=0,"",AQ54/AP54)</f>
        <v/>
      </c>
      <c r="AT54" s="46" t="n"/>
      <c r="AU54" s="74">
        <f>G54+ L54+ V54+ AF54+ AP54</f>
        <v/>
      </c>
      <c r="AV54" s="74">
        <f>H54+ M54+ W54+ AG54+ AQ54</f>
        <v/>
      </c>
      <c r="AW54" s="74">
        <f>AV54-AU54</f>
        <v/>
      </c>
      <c r="AX54" s="75">
        <f>IF(AU54=0,"",AV54/AU54)</f>
        <v/>
      </c>
      <c r="AY54" s="52" t="n"/>
      <c r="AZ54" s="72" t="n"/>
      <c r="BA54" s="72" t="n"/>
      <c r="BB54" s="72">
        <f>BA54-AZ54</f>
        <v/>
      </c>
      <c r="BC54" s="73">
        <f>IF(AZ54=0,"",BA54/AZ54)</f>
        <v/>
      </c>
      <c r="BD54" s="46" t="n"/>
      <c r="BE54" s="74">
        <f>G54+ L54+ V54+ AF54+ AP54+ AZ54</f>
        <v/>
      </c>
      <c r="BF54" s="74">
        <f>H54+ M54+ W54+ AG54+ AQ54+ BA54</f>
        <v/>
      </c>
      <c r="BG54" s="74">
        <f>BF54-BE54</f>
        <v/>
      </c>
      <c r="BH54" s="75">
        <f>IF(BE54=0,"",BF54/BE54)</f>
        <v/>
      </c>
      <c r="BI54" s="52" t="n"/>
      <c r="BJ54" s="72" t="n"/>
      <c r="BK54" s="72" t="n"/>
      <c r="BL54" s="72">
        <f>BK54-BJ54</f>
        <v/>
      </c>
      <c r="BM54" s="73">
        <f>IF(BJ54=0,"",BK54/BJ54)</f>
        <v/>
      </c>
      <c r="BN54" s="46" t="n"/>
      <c r="BO54" s="74">
        <f>G54+ L54+ V54+ AF54+ AP54+ AZ54+ BJ54</f>
        <v/>
      </c>
      <c r="BP54" s="74">
        <f>H54+ M54+ W54+ AG54+ AQ54+ BA54+ BK54</f>
        <v/>
      </c>
      <c r="BQ54" s="74">
        <f>BP54-BO54</f>
        <v/>
      </c>
      <c r="BR54" s="75">
        <f>IF(BO54=0,"",BP54/BO54)</f>
        <v/>
      </c>
      <c r="BS54" s="52" t="n"/>
      <c r="BT54" s="72" t="n"/>
      <c r="BU54" s="72" t="n"/>
      <c r="BV54" s="72">
        <f>BU54-BT54</f>
        <v/>
      </c>
      <c r="BW54" s="73">
        <f>IF(BT54=0,"",BU54/BT54)</f>
        <v/>
      </c>
      <c r="BX54" s="46" t="n"/>
      <c r="BY54" s="74">
        <f>G54+ L54+ V54+ AF54+ AP54+ AZ54+ BJ54+ BT54</f>
        <v/>
      </c>
      <c r="BZ54" s="74">
        <f>H54+ M54+ W54+ AG54+ AQ54+ BA54+ BK54+ BU54</f>
        <v/>
      </c>
      <c r="CA54" s="74">
        <f>BZ54-BY54</f>
        <v/>
      </c>
      <c r="CB54" s="75">
        <f>IF(BY54=0,"",BZ54/BY54)</f>
        <v/>
      </c>
      <c r="CC54" s="52" t="n"/>
      <c r="CD54" s="72" t="n"/>
      <c r="CE54" s="72" t="n"/>
      <c r="CF54" s="72">
        <f>CE54-CD54</f>
        <v/>
      </c>
      <c r="CG54" s="73">
        <f>IF(CD54=0,"",CE54/CD54)</f>
        <v/>
      </c>
      <c r="CH54" s="46" t="n"/>
      <c r="CI54" s="74">
        <f>G54+ L54+ V54+ AF54+ AP54+ AZ54+ BJ54+ BT54+ CD54</f>
        <v/>
      </c>
      <c r="CJ54" s="74">
        <f>H54+ M54+ W54+ AG54+ AQ54+ BA54+ BK54+ BU54+ CE54</f>
        <v/>
      </c>
      <c r="CK54" s="74">
        <f>CJ54-CI54</f>
        <v/>
      </c>
      <c r="CL54" s="75">
        <f>IF(CI54=0,"",CJ54/CI54)</f>
        <v/>
      </c>
      <c r="CM54" s="52" t="n"/>
      <c r="CN54" s="72" t="n"/>
      <c r="CO54" s="72" t="n"/>
      <c r="CP54" s="72">
        <f>CO54-CN54</f>
        <v/>
      </c>
      <c r="CQ54" s="73">
        <f>IF(CN54=0,"",CO54/CN54)</f>
        <v/>
      </c>
      <c r="CR54" s="46" t="n"/>
      <c r="CS54" s="74">
        <f>G54+ L54+ V54+ AF54+ AP54+ AZ54+ BJ54+ BT54+ CD54+ CN54</f>
        <v/>
      </c>
      <c r="CT54" s="74">
        <f>H54+ M54+ W54+ AG54+ AQ54+ BA54+ BK54+ BU54+ CE54+ CO54</f>
        <v/>
      </c>
      <c r="CU54" s="74">
        <f>CT54-CS54</f>
        <v/>
      </c>
      <c r="CV54" s="75">
        <f>IF(CS54=0,"",CT54/CS54)</f>
        <v/>
      </c>
      <c r="CW54" s="52" t="n"/>
      <c r="CX54" s="72" t="n"/>
      <c r="CY54" s="72" t="n"/>
      <c r="CZ54" s="72">
        <f>CY54-CX54</f>
        <v/>
      </c>
      <c r="DA54" s="73">
        <f>IF(CX54=0,"",CY54/CX54)</f>
        <v/>
      </c>
      <c r="DB54" s="46" t="n"/>
      <c r="DC54" s="74">
        <f>G54+ L54+ V54+ AF54+ AP54+ AZ54+ BJ54+ BT54+ CD54+ CN54+ CX54</f>
        <v/>
      </c>
      <c r="DD54" s="74">
        <f>H54+ M54+ W54+ AG54+ AQ54+ BA54+ BK54+ BU54+ CE54+ CO54+ CY54</f>
        <v/>
      </c>
      <c r="DE54" s="74">
        <f>DD54-DC54</f>
        <v/>
      </c>
      <c r="DF54" s="75">
        <f>IF(DC54=0,"",DD54/DC54)</f>
        <v/>
      </c>
      <c r="DG54" s="52" t="n"/>
      <c r="DH54" s="72" t="n"/>
      <c r="DI54" s="72" t="n"/>
      <c r="DJ54" s="72">
        <f>DI54-DH54</f>
        <v/>
      </c>
      <c r="DK54" s="73">
        <f>IF(DH54=0,"",DI54/DH54)</f>
        <v/>
      </c>
      <c r="DL54" s="46" t="n"/>
      <c r="DM54" s="74">
        <f>G54+ L54+ V54+ AF54+ AP54+ AZ54+ BJ54+ BT54+ CD54+ CN54+ CX54+ DH54</f>
        <v/>
      </c>
      <c r="DN54" s="74">
        <f>H54+ M54+ W54+ AG54+ AQ54+ BA54+ BK54+ BU54+ CE54+ CO54+ CY54+ DI54</f>
        <v/>
      </c>
      <c r="DO54" s="74">
        <f>DN54-DM54</f>
        <v/>
      </c>
      <c r="DP54" s="75">
        <f>IF(DM54=0,"",DN54/DM54)</f>
        <v/>
      </c>
      <c r="DQ54" s="52" t="n"/>
      <c r="DR54" s="72">
        <f>G54+L54+V54+AF54+AP54+AZ54+BJ54+BT54+CD54+CN54+CX54+DH54</f>
        <v/>
      </c>
    </row>
    <row r="55" ht="15" customHeight="1">
      <c r="A55" s="67" t="n"/>
      <c r="B55" s="67" t="n"/>
      <c r="C55" s="67" t="n"/>
      <c r="D55" s="46" t="n"/>
      <c r="E55" s="46" t="n"/>
      <c r="F55" s="47" t="n"/>
      <c r="G55" s="72" t="n"/>
      <c r="H55" s="72" t="n"/>
      <c r="I55" s="72">
        <f>H55-G55</f>
        <v/>
      </c>
      <c r="J55" s="73">
        <f>IF(G55=0,"",H55/G55)</f>
        <v/>
      </c>
      <c r="K55" s="46" t="n"/>
      <c r="L55" s="72" t="n"/>
      <c r="M55" s="72" t="n"/>
      <c r="N55" s="72">
        <f>M55-L55</f>
        <v/>
      </c>
      <c r="O55" s="73">
        <f>IF(L55=0,"",M55/L55)</f>
        <v/>
      </c>
      <c r="P55" s="46" t="n"/>
      <c r="Q55" s="74">
        <f>G55+ L55</f>
        <v/>
      </c>
      <c r="R55" s="74">
        <f>H55+ M55</f>
        <v/>
      </c>
      <c r="S55" s="74">
        <f>R55-Q55</f>
        <v/>
      </c>
      <c r="T55" s="75">
        <f>IF(Q55=0,"",R55/Q55)</f>
        <v/>
      </c>
      <c r="U55" s="52" t="n"/>
      <c r="V55" s="72" t="n"/>
      <c r="W55" s="72" t="n"/>
      <c r="X55" s="72">
        <f>W55-V55</f>
        <v/>
      </c>
      <c r="Y55" s="73">
        <f>IF(V55=0,"",W55/V55)</f>
        <v/>
      </c>
      <c r="Z55" s="46" t="n"/>
      <c r="AA55" s="74">
        <f>G55+ L55+ V55</f>
        <v/>
      </c>
      <c r="AB55" s="74">
        <f>H55+ M55+ W55</f>
        <v/>
      </c>
      <c r="AC55" s="74">
        <f>AB55-AA55</f>
        <v/>
      </c>
      <c r="AD55" s="75">
        <f>IF(AA55=0,"",AB55/AA55)</f>
        <v/>
      </c>
      <c r="AE55" s="52" t="n"/>
      <c r="AF55" s="72" t="n"/>
      <c r="AG55" s="72" t="n"/>
      <c r="AH55" s="72">
        <f>AG55-AF55</f>
        <v/>
      </c>
      <c r="AI55" s="73">
        <f>IF(AF55=0,"",AG55/AF55)</f>
        <v/>
      </c>
      <c r="AJ55" s="46" t="n"/>
      <c r="AK55" s="74">
        <f>G55+ L55+ V55+ AF55</f>
        <v/>
      </c>
      <c r="AL55" s="74">
        <f>H55+ M55+ W55+ AG55</f>
        <v/>
      </c>
      <c r="AM55" s="74">
        <f>AL55-AK55</f>
        <v/>
      </c>
      <c r="AN55" s="75">
        <f>IF(AK55=0,"",AL55/AK55)</f>
        <v/>
      </c>
      <c r="AO55" s="52" t="n"/>
      <c r="AP55" s="72" t="n"/>
      <c r="AQ55" s="72" t="n"/>
      <c r="AR55" s="72">
        <f>AQ55-AP55</f>
        <v/>
      </c>
      <c r="AS55" s="73">
        <f>IF(AP55=0,"",AQ55/AP55)</f>
        <v/>
      </c>
      <c r="AT55" s="46" t="n"/>
      <c r="AU55" s="74">
        <f>G55+ L55+ V55+ AF55+ AP55</f>
        <v/>
      </c>
      <c r="AV55" s="74">
        <f>H55+ M55+ W55+ AG55+ AQ55</f>
        <v/>
      </c>
      <c r="AW55" s="74">
        <f>AV55-AU55</f>
        <v/>
      </c>
      <c r="AX55" s="75">
        <f>IF(AU55=0,"",AV55/AU55)</f>
        <v/>
      </c>
      <c r="AY55" s="52" t="n"/>
      <c r="AZ55" s="72" t="n"/>
      <c r="BA55" s="72" t="n"/>
      <c r="BB55" s="72">
        <f>BA55-AZ55</f>
        <v/>
      </c>
      <c r="BC55" s="73">
        <f>IF(AZ55=0,"",BA55/AZ55)</f>
        <v/>
      </c>
      <c r="BD55" s="46" t="n"/>
      <c r="BE55" s="74">
        <f>G55+ L55+ V55+ AF55+ AP55+ AZ55</f>
        <v/>
      </c>
      <c r="BF55" s="74">
        <f>H55+ M55+ W55+ AG55+ AQ55+ BA55</f>
        <v/>
      </c>
      <c r="BG55" s="74">
        <f>BF55-BE55</f>
        <v/>
      </c>
      <c r="BH55" s="75">
        <f>IF(BE55=0,"",BF55/BE55)</f>
        <v/>
      </c>
      <c r="BI55" s="52" t="n"/>
      <c r="BJ55" s="72" t="n"/>
      <c r="BK55" s="72" t="n"/>
      <c r="BL55" s="72">
        <f>BK55-BJ55</f>
        <v/>
      </c>
      <c r="BM55" s="73">
        <f>IF(BJ55=0,"",BK55/BJ55)</f>
        <v/>
      </c>
      <c r="BN55" s="46" t="n"/>
      <c r="BO55" s="74">
        <f>G55+ L55+ V55+ AF55+ AP55+ AZ55+ BJ55</f>
        <v/>
      </c>
      <c r="BP55" s="74">
        <f>H55+ M55+ W55+ AG55+ AQ55+ BA55+ BK55</f>
        <v/>
      </c>
      <c r="BQ55" s="74">
        <f>BP55-BO55</f>
        <v/>
      </c>
      <c r="BR55" s="75">
        <f>IF(BO55=0,"",BP55/BO55)</f>
        <v/>
      </c>
      <c r="BS55" s="52" t="n"/>
      <c r="BT55" s="72" t="n"/>
      <c r="BU55" s="72" t="n"/>
      <c r="BV55" s="72">
        <f>BU55-BT55</f>
        <v/>
      </c>
      <c r="BW55" s="73">
        <f>IF(BT55=0,"",BU55/BT55)</f>
        <v/>
      </c>
      <c r="BX55" s="46" t="n"/>
      <c r="BY55" s="74">
        <f>G55+ L55+ V55+ AF55+ AP55+ AZ55+ BJ55+ BT55</f>
        <v/>
      </c>
      <c r="BZ55" s="74">
        <f>H55+ M55+ W55+ AG55+ AQ55+ BA55+ BK55+ BU55</f>
        <v/>
      </c>
      <c r="CA55" s="74">
        <f>BZ55-BY55</f>
        <v/>
      </c>
      <c r="CB55" s="75">
        <f>IF(BY55=0,"",BZ55/BY55)</f>
        <v/>
      </c>
      <c r="CC55" s="52" t="n"/>
      <c r="CD55" s="72" t="n"/>
      <c r="CE55" s="72" t="n"/>
      <c r="CF55" s="72">
        <f>CE55-CD55</f>
        <v/>
      </c>
      <c r="CG55" s="73">
        <f>IF(CD55=0,"",CE55/CD55)</f>
        <v/>
      </c>
      <c r="CH55" s="46" t="n"/>
      <c r="CI55" s="74">
        <f>G55+ L55+ V55+ AF55+ AP55+ AZ55+ BJ55+ BT55+ CD55</f>
        <v/>
      </c>
      <c r="CJ55" s="74">
        <f>H55+ M55+ W55+ AG55+ AQ55+ BA55+ BK55+ BU55+ CE55</f>
        <v/>
      </c>
      <c r="CK55" s="74">
        <f>CJ55-CI55</f>
        <v/>
      </c>
      <c r="CL55" s="75">
        <f>IF(CI55=0,"",CJ55/CI55)</f>
        <v/>
      </c>
      <c r="CM55" s="52" t="n"/>
      <c r="CN55" s="72" t="n"/>
      <c r="CO55" s="72" t="n"/>
      <c r="CP55" s="72">
        <f>CO55-CN55</f>
        <v/>
      </c>
      <c r="CQ55" s="73">
        <f>IF(CN55=0,"",CO55/CN55)</f>
        <v/>
      </c>
      <c r="CR55" s="46" t="n"/>
      <c r="CS55" s="74">
        <f>G55+ L55+ V55+ AF55+ AP55+ AZ55+ BJ55+ BT55+ CD55+ CN55</f>
        <v/>
      </c>
      <c r="CT55" s="74">
        <f>H55+ M55+ W55+ AG55+ AQ55+ BA55+ BK55+ BU55+ CE55+ CO55</f>
        <v/>
      </c>
      <c r="CU55" s="74">
        <f>CT55-CS55</f>
        <v/>
      </c>
      <c r="CV55" s="75">
        <f>IF(CS55=0,"",CT55/CS55)</f>
        <v/>
      </c>
      <c r="CW55" s="52" t="n"/>
      <c r="CX55" s="72" t="n"/>
      <c r="CY55" s="72" t="n"/>
      <c r="CZ55" s="72">
        <f>CY55-CX55</f>
        <v/>
      </c>
      <c r="DA55" s="73">
        <f>IF(CX55=0,"",CY55/CX55)</f>
        <v/>
      </c>
      <c r="DB55" s="46" t="n"/>
      <c r="DC55" s="74">
        <f>G55+ L55+ V55+ AF55+ AP55+ AZ55+ BJ55+ BT55+ CD55+ CN55+ CX55</f>
        <v/>
      </c>
      <c r="DD55" s="74">
        <f>H55+ M55+ W55+ AG55+ AQ55+ BA55+ BK55+ BU55+ CE55+ CO55+ CY55</f>
        <v/>
      </c>
      <c r="DE55" s="74">
        <f>DD55-DC55</f>
        <v/>
      </c>
      <c r="DF55" s="75">
        <f>IF(DC55=0,"",DD55/DC55)</f>
        <v/>
      </c>
      <c r="DG55" s="52" t="n"/>
      <c r="DH55" s="72" t="n"/>
      <c r="DI55" s="72" t="n"/>
      <c r="DJ55" s="72">
        <f>DI55-DH55</f>
        <v/>
      </c>
      <c r="DK55" s="73">
        <f>IF(DH55=0,"",DI55/DH55)</f>
        <v/>
      </c>
      <c r="DL55" s="46" t="n"/>
      <c r="DM55" s="74">
        <f>G55+ L55+ V55+ AF55+ AP55+ AZ55+ BJ55+ BT55+ CD55+ CN55+ CX55+ DH55</f>
        <v/>
      </c>
      <c r="DN55" s="74">
        <f>H55+ M55+ W55+ AG55+ AQ55+ BA55+ BK55+ BU55+ CE55+ CO55+ CY55+ DI55</f>
        <v/>
      </c>
      <c r="DO55" s="74">
        <f>DN55-DM55</f>
        <v/>
      </c>
      <c r="DP55" s="75">
        <f>IF(DM55=0,"",DN55/DM55)</f>
        <v/>
      </c>
      <c r="DQ55" s="52" t="n"/>
      <c r="DR55" s="72">
        <f>G55+L55+V55+AF55+AP55+AZ55+BJ55+BT55+CD55+CN55+CX55+DH55</f>
        <v/>
      </c>
    </row>
    <row r="56" ht="15" customHeight="1">
      <c r="A56" s="67" t="n"/>
      <c r="B56" s="67" t="n"/>
      <c r="C56" s="67" t="n"/>
      <c r="D56" s="46" t="n"/>
      <c r="E56" s="46" t="n"/>
      <c r="F56" s="47" t="n"/>
      <c r="G56" s="72" t="n"/>
      <c r="H56" s="72" t="n"/>
      <c r="I56" s="72">
        <f>H56-G56</f>
        <v/>
      </c>
      <c r="J56" s="73">
        <f>IF(G56=0,"",H56/G56)</f>
        <v/>
      </c>
      <c r="K56" s="46" t="n"/>
      <c r="L56" s="72" t="n"/>
      <c r="M56" s="72" t="n"/>
      <c r="N56" s="72">
        <f>M56-L56</f>
        <v/>
      </c>
      <c r="O56" s="73">
        <f>IF(L56=0,"",M56/L56)</f>
        <v/>
      </c>
      <c r="P56" s="46" t="n"/>
      <c r="Q56" s="74">
        <f>G56+ L56</f>
        <v/>
      </c>
      <c r="R56" s="74">
        <f>H56+ M56</f>
        <v/>
      </c>
      <c r="S56" s="74">
        <f>R56-Q56</f>
        <v/>
      </c>
      <c r="T56" s="75">
        <f>IF(Q56=0,"",R56/Q56)</f>
        <v/>
      </c>
      <c r="U56" s="52" t="n"/>
      <c r="V56" s="72" t="n"/>
      <c r="W56" s="72" t="n"/>
      <c r="X56" s="72">
        <f>W56-V56</f>
        <v/>
      </c>
      <c r="Y56" s="73">
        <f>IF(V56=0,"",W56/V56)</f>
        <v/>
      </c>
      <c r="Z56" s="46" t="n"/>
      <c r="AA56" s="74">
        <f>G56+ L56+ V56</f>
        <v/>
      </c>
      <c r="AB56" s="74">
        <f>H56+ M56+ W56</f>
        <v/>
      </c>
      <c r="AC56" s="74">
        <f>AB56-AA56</f>
        <v/>
      </c>
      <c r="AD56" s="75">
        <f>IF(AA56=0,"",AB56/AA56)</f>
        <v/>
      </c>
      <c r="AE56" s="52" t="n"/>
      <c r="AF56" s="72" t="n"/>
      <c r="AG56" s="72" t="n"/>
      <c r="AH56" s="72">
        <f>AG56-AF56</f>
        <v/>
      </c>
      <c r="AI56" s="73">
        <f>IF(AF56=0,"",AG56/AF56)</f>
        <v/>
      </c>
      <c r="AJ56" s="46" t="n"/>
      <c r="AK56" s="74">
        <f>G56+ L56+ V56+ AF56</f>
        <v/>
      </c>
      <c r="AL56" s="74">
        <f>H56+ M56+ W56+ AG56</f>
        <v/>
      </c>
      <c r="AM56" s="74">
        <f>AL56-AK56</f>
        <v/>
      </c>
      <c r="AN56" s="75">
        <f>IF(AK56=0,"",AL56/AK56)</f>
        <v/>
      </c>
      <c r="AO56" s="52" t="n"/>
      <c r="AP56" s="72" t="n"/>
      <c r="AQ56" s="72" t="n"/>
      <c r="AR56" s="72">
        <f>AQ56-AP56</f>
        <v/>
      </c>
      <c r="AS56" s="73">
        <f>IF(AP56=0,"",AQ56/AP56)</f>
        <v/>
      </c>
      <c r="AT56" s="46" t="n"/>
      <c r="AU56" s="74">
        <f>G56+ L56+ V56+ AF56+ AP56</f>
        <v/>
      </c>
      <c r="AV56" s="74">
        <f>H56+ M56+ W56+ AG56+ AQ56</f>
        <v/>
      </c>
      <c r="AW56" s="74">
        <f>AV56-AU56</f>
        <v/>
      </c>
      <c r="AX56" s="75">
        <f>IF(AU56=0,"",AV56/AU56)</f>
        <v/>
      </c>
      <c r="AY56" s="52" t="n"/>
      <c r="AZ56" s="72" t="n"/>
      <c r="BA56" s="72" t="n"/>
      <c r="BB56" s="72">
        <f>BA56-AZ56</f>
        <v/>
      </c>
      <c r="BC56" s="73">
        <f>IF(AZ56=0,"",BA56/AZ56)</f>
        <v/>
      </c>
      <c r="BD56" s="46" t="n"/>
      <c r="BE56" s="74">
        <f>G56+ L56+ V56+ AF56+ AP56+ AZ56</f>
        <v/>
      </c>
      <c r="BF56" s="74">
        <f>H56+ M56+ W56+ AG56+ AQ56+ BA56</f>
        <v/>
      </c>
      <c r="BG56" s="74">
        <f>BF56-BE56</f>
        <v/>
      </c>
      <c r="BH56" s="75">
        <f>IF(BE56=0,"",BF56/BE56)</f>
        <v/>
      </c>
      <c r="BI56" s="52" t="n"/>
      <c r="BJ56" s="72" t="n"/>
      <c r="BK56" s="72" t="n"/>
      <c r="BL56" s="72">
        <f>BK56-BJ56</f>
        <v/>
      </c>
      <c r="BM56" s="73">
        <f>IF(BJ56=0,"",BK56/BJ56)</f>
        <v/>
      </c>
      <c r="BN56" s="46" t="n"/>
      <c r="BO56" s="74">
        <f>G56+ L56+ V56+ AF56+ AP56+ AZ56+ BJ56</f>
        <v/>
      </c>
      <c r="BP56" s="74">
        <f>H56+ M56+ W56+ AG56+ AQ56+ BA56+ BK56</f>
        <v/>
      </c>
      <c r="BQ56" s="74">
        <f>BP56-BO56</f>
        <v/>
      </c>
      <c r="BR56" s="75">
        <f>IF(BO56=0,"",BP56/BO56)</f>
        <v/>
      </c>
      <c r="BS56" s="52" t="n"/>
      <c r="BT56" s="72" t="n"/>
      <c r="BU56" s="72" t="n"/>
      <c r="BV56" s="72">
        <f>BU56-BT56</f>
        <v/>
      </c>
      <c r="BW56" s="73">
        <f>IF(BT56=0,"",BU56/BT56)</f>
        <v/>
      </c>
      <c r="BX56" s="46" t="n"/>
      <c r="BY56" s="74">
        <f>G56+ L56+ V56+ AF56+ AP56+ AZ56+ BJ56+ BT56</f>
        <v/>
      </c>
      <c r="BZ56" s="74">
        <f>H56+ M56+ W56+ AG56+ AQ56+ BA56+ BK56+ BU56</f>
        <v/>
      </c>
      <c r="CA56" s="74">
        <f>BZ56-BY56</f>
        <v/>
      </c>
      <c r="CB56" s="75">
        <f>IF(BY56=0,"",BZ56/BY56)</f>
        <v/>
      </c>
      <c r="CC56" s="52" t="n"/>
      <c r="CD56" s="72" t="n"/>
      <c r="CE56" s="72" t="n"/>
      <c r="CF56" s="72">
        <f>CE56-CD56</f>
        <v/>
      </c>
      <c r="CG56" s="73">
        <f>IF(CD56=0,"",CE56/CD56)</f>
        <v/>
      </c>
      <c r="CH56" s="46" t="n"/>
      <c r="CI56" s="74">
        <f>G56+ L56+ V56+ AF56+ AP56+ AZ56+ BJ56+ BT56+ CD56</f>
        <v/>
      </c>
      <c r="CJ56" s="74">
        <f>H56+ M56+ W56+ AG56+ AQ56+ BA56+ BK56+ BU56+ CE56</f>
        <v/>
      </c>
      <c r="CK56" s="74">
        <f>CJ56-CI56</f>
        <v/>
      </c>
      <c r="CL56" s="75">
        <f>IF(CI56=0,"",CJ56/CI56)</f>
        <v/>
      </c>
      <c r="CM56" s="52" t="n"/>
      <c r="CN56" s="72" t="n"/>
      <c r="CO56" s="72" t="n"/>
      <c r="CP56" s="72">
        <f>CO56-CN56</f>
        <v/>
      </c>
      <c r="CQ56" s="73">
        <f>IF(CN56=0,"",CO56/CN56)</f>
        <v/>
      </c>
      <c r="CR56" s="46" t="n"/>
      <c r="CS56" s="74">
        <f>G56+ L56+ V56+ AF56+ AP56+ AZ56+ BJ56+ BT56+ CD56+ CN56</f>
        <v/>
      </c>
      <c r="CT56" s="74">
        <f>H56+ M56+ W56+ AG56+ AQ56+ BA56+ BK56+ BU56+ CE56+ CO56</f>
        <v/>
      </c>
      <c r="CU56" s="74">
        <f>CT56-CS56</f>
        <v/>
      </c>
      <c r="CV56" s="75">
        <f>IF(CS56=0,"",CT56/CS56)</f>
        <v/>
      </c>
      <c r="CW56" s="52" t="n"/>
      <c r="CX56" s="72" t="n"/>
      <c r="CY56" s="72" t="n"/>
      <c r="CZ56" s="72">
        <f>CY56-CX56</f>
        <v/>
      </c>
      <c r="DA56" s="73">
        <f>IF(CX56=0,"",CY56/CX56)</f>
        <v/>
      </c>
      <c r="DB56" s="46" t="n"/>
      <c r="DC56" s="74">
        <f>G56+ L56+ V56+ AF56+ AP56+ AZ56+ BJ56+ BT56+ CD56+ CN56+ CX56</f>
        <v/>
      </c>
      <c r="DD56" s="74">
        <f>H56+ M56+ W56+ AG56+ AQ56+ BA56+ BK56+ BU56+ CE56+ CO56+ CY56</f>
        <v/>
      </c>
      <c r="DE56" s="74">
        <f>DD56-DC56</f>
        <v/>
      </c>
      <c r="DF56" s="75">
        <f>IF(DC56=0,"",DD56/DC56)</f>
        <v/>
      </c>
      <c r="DG56" s="52" t="n"/>
      <c r="DH56" s="72" t="n"/>
      <c r="DI56" s="72" t="n"/>
      <c r="DJ56" s="72">
        <f>DI56-DH56</f>
        <v/>
      </c>
      <c r="DK56" s="73">
        <f>IF(DH56=0,"",DI56/DH56)</f>
        <v/>
      </c>
      <c r="DL56" s="46" t="n"/>
      <c r="DM56" s="74">
        <f>G56+ L56+ V56+ AF56+ AP56+ AZ56+ BJ56+ BT56+ CD56+ CN56+ CX56+ DH56</f>
        <v/>
      </c>
      <c r="DN56" s="74">
        <f>H56+ M56+ W56+ AG56+ AQ56+ BA56+ BK56+ BU56+ CE56+ CO56+ CY56+ DI56</f>
        <v/>
      </c>
      <c r="DO56" s="74">
        <f>DN56-DM56</f>
        <v/>
      </c>
      <c r="DP56" s="75">
        <f>IF(DM56=0,"",DN56/DM56)</f>
        <v/>
      </c>
      <c r="DQ56" s="52" t="n"/>
      <c r="DR56" s="72">
        <f>G56+L56+V56+AF56+AP56+AZ56+BJ56+BT56+CD56+CN56+CX56+DH56</f>
        <v/>
      </c>
    </row>
    <row r="57" ht="15" customHeight="1">
      <c r="A57" s="67" t="n"/>
      <c r="B57" s="67" t="n"/>
      <c r="C57" s="67" t="n"/>
      <c r="D57" s="46" t="n"/>
      <c r="E57" s="46" t="n"/>
      <c r="F57" s="47" t="n"/>
      <c r="G57" s="72" t="n"/>
      <c r="H57" s="72" t="n"/>
      <c r="I57" s="72">
        <f>H57-G57</f>
        <v/>
      </c>
      <c r="J57" s="73">
        <f>IF(G57=0,"",H57/G57)</f>
        <v/>
      </c>
      <c r="K57" s="46" t="n"/>
      <c r="L57" s="72" t="n"/>
      <c r="M57" s="72" t="n"/>
      <c r="N57" s="72">
        <f>M57-L57</f>
        <v/>
      </c>
      <c r="O57" s="73">
        <f>IF(L57=0,"",M57/L57)</f>
        <v/>
      </c>
      <c r="P57" s="46" t="n"/>
      <c r="Q57" s="74">
        <f>G57+ L57</f>
        <v/>
      </c>
      <c r="R57" s="74">
        <f>H57+ M57</f>
        <v/>
      </c>
      <c r="S57" s="74">
        <f>R57-Q57</f>
        <v/>
      </c>
      <c r="T57" s="75">
        <f>IF(Q57=0,"",R57/Q57)</f>
        <v/>
      </c>
      <c r="U57" s="52" t="n"/>
      <c r="V57" s="72" t="n"/>
      <c r="W57" s="72" t="n"/>
      <c r="X57" s="72">
        <f>W57-V57</f>
        <v/>
      </c>
      <c r="Y57" s="73">
        <f>IF(V57=0,"",W57/V57)</f>
        <v/>
      </c>
      <c r="Z57" s="46" t="n"/>
      <c r="AA57" s="74">
        <f>G57+ L57+ V57</f>
        <v/>
      </c>
      <c r="AB57" s="74">
        <f>H57+ M57+ W57</f>
        <v/>
      </c>
      <c r="AC57" s="74">
        <f>AB57-AA57</f>
        <v/>
      </c>
      <c r="AD57" s="75">
        <f>IF(AA57=0,"",AB57/AA57)</f>
        <v/>
      </c>
      <c r="AE57" s="52" t="n"/>
      <c r="AF57" s="72" t="n"/>
      <c r="AG57" s="72" t="n"/>
      <c r="AH57" s="72">
        <f>AG57-AF57</f>
        <v/>
      </c>
      <c r="AI57" s="73">
        <f>IF(AF57=0,"",AG57/AF57)</f>
        <v/>
      </c>
      <c r="AJ57" s="46" t="n"/>
      <c r="AK57" s="74">
        <f>G57+ L57+ V57+ AF57</f>
        <v/>
      </c>
      <c r="AL57" s="74">
        <f>H57+ M57+ W57+ AG57</f>
        <v/>
      </c>
      <c r="AM57" s="74">
        <f>AL57-AK57</f>
        <v/>
      </c>
      <c r="AN57" s="75">
        <f>IF(AK57=0,"",AL57/AK57)</f>
        <v/>
      </c>
      <c r="AO57" s="52" t="n"/>
      <c r="AP57" s="72" t="n"/>
      <c r="AQ57" s="72" t="n"/>
      <c r="AR57" s="72">
        <f>AQ57-AP57</f>
        <v/>
      </c>
      <c r="AS57" s="73">
        <f>IF(AP57=0,"",AQ57/AP57)</f>
        <v/>
      </c>
      <c r="AT57" s="46" t="n"/>
      <c r="AU57" s="74">
        <f>G57+ L57+ V57+ AF57+ AP57</f>
        <v/>
      </c>
      <c r="AV57" s="74">
        <f>H57+ M57+ W57+ AG57+ AQ57</f>
        <v/>
      </c>
      <c r="AW57" s="74">
        <f>AV57-AU57</f>
        <v/>
      </c>
      <c r="AX57" s="75">
        <f>IF(AU57=0,"",AV57/AU57)</f>
        <v/>
      </c>
      <c r="AY57" s="52" t="n"/>
      <c r="AZ57" s="72" t="n"/>
      <c r="BA57" s="72" t="n"/>
      <c r="BB57" s="72">
        <f>BA57-AZ57</f>
        <v/>
      </c>
      <c r="BC57" s="73">
        <f>IF(AZ57=0,"",BA57/AZ57)</f>
        <v/>
      </c>
      <c r="BD57" s="46" t="n"/>
      <c r="BE57" s="74">
        <f>G57+ L57+ V57+ AF57+ AP57+ AZ57</f>
        <v/>
      </c>
      <c r="BF57" s="74">
        <f>H57+ M57+ W57+ AG57+ AQ57+ BA57</f>
        <v/>
      </c>
      <c r="BG57" s="74">
        <f>BF57-BE57</f>
        <v/>
      </c>
      <c r="BH57" s="75">
        <f>IF(BE57=0,"",BF57/BE57)</f>
        <v/>
      </c>
      <c r="BI57" s="52" t="n"/>
      <c r="BJ57" s="72" t="n"/>
      <c r="BK57" s="72" t="n"/>
      <c r="BL57" s="72">
        <f>BK57-BJ57</f>
        <v/>
      </c>
      <c r="BM57" s="73">
        <f>IF(BJ57=0,"",BK57/BJ57)</f>
        <v/>
      </c>
      <c r="BN57" s="46" t="n"/>
      <c r="BO57" s="74">
        <f>G57+ L57+ V57+ AF57+ AP57+ AZ57+ BJ57</f>
        <v/>
      </c>
      <c r="BP57" s="74">
        <f>H57+ M57+ W57+ AG57+ AQ57+ BA57+ BK57</f>
        <v/>
      </c>
      <c r="BQ57" s="74">
        <f>BP57-BO57</f>
        <v/>
      </c>
      <c r="BR57" s="75">
        <f>IF(BO57=0,"",BP57/BO57)</f>
        <v/>
      </c>
      <c r="BS57" s="52" t="n"/>
      <c r="BT57" s="72" t="n"/>
      <c r="BU57" s="72" t="n"/>
      <c r="BV57" s="72">
        <f>BU57-BT57</f>
        <v/>
      </c>
      <c r="BW57" s="73">
        <f>IF(BT57=0,"",BU57/BT57)</f>
        <v/>
      </c>
      <c r="BX57" s="46" t="n"/>
      <c r="BY57" s="74">
        <f>G57+ L57+ V57+ AF57+ AP57+ AZ57+ BJ57+ BT57</f>
        <v/>
      </c>
      <c r="BZ57" s="74">
        <f>H57+ M57+ W57+ AG57+ AQ57+ BA57+ BK57+ BU57</f>
        <v/>
      </c>
      <c r="CA57" s="74">
        <f>BZ57-BY57</f>
        <v/>
      </c>
      <c r="CB57" s="75">
        <f>IF(BY57=0,"",BZ57/BY57)</f>
        <v/>
      </c>
      <c r="CC57" s="52" t="n"/>
      <c r="CD57" s="72" t="n"/>
      <c r="CE57" s="72" t="n"/>
      <c r="CF57" s="72">
        <f>CE57-CD57</f>
        <v/>
      </c>
      <c r="CG57" s="73">
        <f>IF(CD57=0,"",CE57/CD57)</f>
        <v/>
      </c>
      <c r="CH57" s="46" t="n"/>
      <c r="CI57" s="74">
        <f>G57+ L57+ V57+ AF57+ AP57+ AZ57+ BJ57+ BT57+ CD57</f>
        <v/>
      </c>
      <c r="CJ57" s="74">
        <f>H57+ M57+ W57+ AG57+ AQ57+ BA57+ BK57+ BU57+ CE57</f>
        <v/>
      </c>
      <c r="CK57" s="74">
        <f>CJ57-CI57</f>
        <v/>
      </c>
      <c r="CL57" s="75">
        <f>IF(CI57=0,"",CJ57/CI57)</f>
        <v/>
      </c>
      <c r="CM57" s="52" t="n"/>
      <c r="CN57" s="72" t="n"/>
      <c r="CO57" s="72" t="n"/>
      <c r="CP57" s="72">
        <f>CO57-CN57</f>
        <v/>
      </c>
      <c r="CQ57" s="73">
        <f>IF(CN57=0,"",CO57/CN57)</f>
        <v/>
      </c>
      <c r="CR57" s="46" t="n"/>
      <c r="CS57" s="74">
        <f>G57+ L57+ V57+ AF57+ AP57+ AZ57+ BJ57+ BT57+ CD57+ CN57</f>
        <v/>
      </c>
      <c r="CT57" s="74">
        <f>H57+ M57+ W57+ AG57+ AQ57+ BA57+ BK57+ BU57+ CE57+ CO57</f>
        <v/>
      </c>
      <c r="CU57" s="74">
        <f>CT57-CS57</f>
        <v/>
      </c>
      <c r="CV57" s="75">
        <f>IF(CS57=0,"",CT57/CS57)</f>
        <v/>
      </c>
      <c r="CW57" s="52" t="n"/>
      <c r="CX57" s="72" t="n"/>
      <c r="CY57" s="72" t="n"/>
      <c r="CZ57" s="72">
        <f>CY57-CX57</f>
        <v/>
      </c>
      <c r="DA57" s="73">
        <f>IF(CX57=0,"",CY57/CX57)</f>
        <v/>
      </c>
      <c r="DB57" s="46" t="n"/>
      <c r="DC57" s="74">
        <f>G57+ L57+ V57+ AF57+ AP57+ AZ57+ BJ57+ BT57+ CD57+ CN57+ CX57</f>
        <v/>
      </c>
      <c r="DD57" s="74">
        <f>H57+ M57+ W57+ AG57+ AQ57+ BA57+ BK57+ BU57+ CE57+ CO57+ CY57</f>
        <v/>
      </c>
      <c r="DE57" s="74">
        <f>DD57-DC57</f>
        <v/>
      </c>
      <c r="DF57" s="75">
        <f>IF(DC57=0,"",DD57/DC57)</f>
        <v/>
      </c>
      <c r="DG57" s="52" t="n"/>
      <c r="DH57" s="72" t="n"/>
      <c r="DI57" s="72" t="n"/>
      <c r="DJ57" s="72">
        <f>DI57-DH57</f>
        <v/>
      </c>
      <c r="DK57" s="73">
        <f>IF(DH57=0,"",DI57/DH57)</f>
        <v/>
      </c>
      <c r="DL57" s="46" t="n"/>
      <c r="DM57" s="74">
        <f>G57+ L57+ V57+ AF57+ AP57+ AZ57+ BJ57+ BT57+ CD57+ CN57+ CX57+ DH57</f>
        <v/>
      </c>
      <c r="DN57" s="74">
        <f>H57+ M57+ W57+ AG57+ AQ57+ BA57+ BK57+ BU57+ CE57+ CO57+ CY57+ DI57</f>
        <v/>
      </c>
      <c r="DO57" s="74">
        <f>DN57-DM57</f>
        <v/>
      </c>
      <c r="DP57" s="75">
        <f>IF(DM57=0,"",DN57/DM57)</f>
        <v/>
      </c>
      <c r="DQ57" s="52" t="n"/>
      <c r="DR57" s="72">
        <f>G57+L57+V57+AF57+AP57+AZ57+BJ57+BT57+CD57+CN57+CX57+DH57</f>
        <v/>
      </c>
    </row>
    <row r="58" ht="15" customHeight="1">
      <c r="A58" s="55" t="n"/>
      <c r="B58" s="55" t="n"/>
      <c r="C58" s="55" t="n"/>
      <c r="D58" s="46" t="n"/>
      <c r="E58" s="46" t="n"/>
      <c r="F58" s="47" t="n"/>
      <c r="G58" s="72" t="n"/>
      <c r="H58" s="72" t="n"/>
      <c r="I58" s="72">
        <f>H58-G58</f>
        <v/>
      </c>
      <c r="J58" s="73">
        <f>IF(G58=0,"",H58/G58)</f>
        <v/>
      </c>
      <c r="K58" s="46" t="n"/>
      <c r="L58" s="72" t="n"/>
      <c r="M58" s="72" t="n"/>
      <c r="N58" s="72">
        <f>M58-L58</f>
        <v/>
      </c>
      <c r="O58" s="73">
        <f>IF(L58=0,"",M58/L58)</f>
        <v/>
      </c>
      <c r="P58" s="46" t="n"/>
      <c r="Q58" s="74">
        <f>G58+ L58</f>
        <v/>
      </c>
      <c r="R58" s="74">
        <f>H58+ M58</f>
        <v/>
      </c>
      <c r="S58" s="74">
        <f>R58-Q58</f>
        <v/>
      </c>
      <c r="T58" s="75">
        <f>IF(Q58=0,"",R58/Q58)</f>
        <v/>
      </c>
      <c r="U58" s="52" t="n"/>
      <c r="V58" s="72" t="n"/>
      <c r="W58" s="72" t="n"/>
      <c r="X58" s="72">
        <f>W58-V58</f>
        <v/>
      </c>
      <c r="Y58" s="73">
        <f>IF(V58=0,"",W58/V58)</f>
        <v/>
      </c>
      <c r="Z58" s="46" t="n"/>
      <c r="AA58" s="74">
        <f>G58+ L58+ V58</f>
        <v/>
      </c>
      <c r="AB58" s="74">
        <f>H58+ M58+ W58</f>
        <v/>
      </c>
      <c r="AC58" s="74">
        <f>AB58-AA58</f>
        <v/>
      </c>
      <c r="AD58" s="75">
        <f>IF(AA58=0,"",AB58/AA58)</f>
        <v/>
      </c>
      <c r="AE58" s="52" t="n"/>
      <c r="AF58" s="72" t="n"/>
      <c r="AG58" s="72" t="n"/>
      <c r="AH58" s="72">
        <f>AG58-AF58</f>
        <v/>
      </c>
      <c r="AI58" s="73">
        <f>IF(AF58=0,"",AG58/AF58)</f>
        <v/>
      </c>
      <c r="AJ58" s="46" t="n"/>
      <c r="AK58" s="74">
        <f>G58+ L58+ V58+ AF58</f>
        <v/>
      </c>
      <c r="AL58" s="74">
        <f>H58+ M58+ W58+ AG58</f>
        <v/>
      </c>
      <c r="AM58" s="74">
        <f>AL58-AK58</f>
        <v/>
      </c>
      <c r="AN58" s="75">
        <f>IF(AK58=0,"",AL58/AK58)</f>
        <v/>
      </c>
      <c r="AO58" s="52" t="n"/>
      <c r="AP58" s="72" t="n"/>
      <c r="AQ58" s="72" t="n"/>
      <c r="AR58" s="72">
        <f>AQ58-AP58</f>
        <v/>
      </c>
      <c r="AS58" s="73">
        <f>IF(AP58=0,"",AQ58/AP58)</f>
        <v/>
      </c>
      <c r="AT58" s="46" t="n"/>
      <c r="AU58" s="74">
        <f>G58+ L58+ V58+ AF58+ AP58</f>
        <v/>
      </c>
      <c r="AV58" s="74">
        <f>H58+ M58+ W58+ AG58+ AQ58</f>
        <v/>
      </c>
      <c r="AW58" s="74">
        <f>AV58-AU58</f>
        <v/>
      </c>
      <c r="AX58" s="75">
        <f>IF(AU58=0,"",AV58/AU58)</f>
        <v/>
      </c>
      <c r="AY58" s="52" t="n"/>
      <c r="AZ58" s="72" t="n"/>
      <c r="BA58" s="72" t="n"/>
      <c r="BB58" s="72">
        <f>BA58-AZ58</f>
        <v/>
      </c>
      <c r="BC58" s="73">
        <f>IF(AZ58=0,"",BA58/AZ58)</f>
        <v/>
      </c>
      <c r="BD58" s="46" t="n"/>
      <c r="BE58" s="74">
        <f>G58+ L58+ V58+ AF58+ AP58+ AZ58</f>
        <v/>
      </c>
      <c r="BF58" s="74">
        <f>H58+ M58+ W58+ AG58+ AQ58+ BA58</f>
        <v/>
      </c>
      <c r="BG58" s="74">
        <f>BF58-BE58</f>
        <v/>
      </c>
      <c r="BH58" s="75">
        <f>IF(BE58=0,"",BF58/BE58)</f>
        <v/>
      </c>
      <c r="BI58" s="52" t="n"/>
      <c r="BJ58" s="72" t="n"/>
      <c r="BK58" s="72" t="n"/>
      <c r="BL58" s="72">
        <f>BK58-BJ58</f>
        <v/>
      </c>
      <c r="BM58" s="73">
        <f>IF(BJ58=0,"",BK58/BJ58)</f>
        <v/>
      </c>
      <c r="BN58" s="46" t="n"/>
      <c r="BO58" s="74">
        <f>G58+ L58+ V58+ AF58+ AP58+ AZ58+ BJ58</f>
        <v/>
      </c>
      <c r="BP58" s="74">
        <f>H58+ M58+ W58+ AG58+ AQ58+ BA58+ BK58</f>
        <v/>
      </c>
      <c r="BQ58" s="74">
        <f>BP58-BO58</f>
        <v/>
      </c>
      <c r="BR58" s="75">
        <f>IF(BO58=0,"",BP58/BO58)</f>
        <v/>
      </c>
      <c r="BS58" s="52" t="n"/>
      <c r="BT58" s="72" t="n"/>
      <c r="BU58" s="72" t="n"/>
      <c r="BV58" s="72">
        <f>BU58-BT58</f>
        <v/>
      </c>
      <c r="BW58" s="73">
        <f>IF(BT58=0,"",BU58/BT58)</f>
        <v/>
      </c>
      <c r="BX58" s="46" t="n"/>
      <c r="BY58" s="74">
        <f>G58+ L58+ V58+ AF58+ AP58+ AZ58+ BJ58+ BT58</f>
        <v/>
      </c>
      <c r="BZ58" s="74">
        <f>H58+ M58+ W58+ AG58+ AQ58+ BA58+ BK58+ BU58</f>
        <v/>
      </c>
      <c r="CA58" s="74">
        <f>BZ58-BY58</f>
        <v/>
      </c>
      <c r="CB58" s="75">
        <f>IF(BY58=0,"",BZ58/BY58)</f>
        <v/>
      </c>
      <c r="CC58" s="52" t="n"/>
      <c r="CD58" s="72" t="n"/>
      <c r="CE58" s="72" t="n"/>
      <c r="CF58" s="72">
        <f>CE58-CD58</f>
        <v/>
      </c>
      <c r="CG58" s="73">
        <f>IF(CD58=0,"",CE58/CD58)</f>
        <v/>
      </c>
      <c r="CH58" s="46" t="n"/>
      <c r="CI58" s="74">
        <f>G58+ L58+ V58+ AF58+ AP58+ AZ58+ BJ58+ BT58+ CD58</f>
        <v/>
      </c>
      <c r="CJ58" s="74">
        <f>H58+ M58+ W58+ AG58+ AQ58+ BA58+ BK58+ BU58+ CE58</f>
        <v/>
      </c>
      <c r="CK58" s="74">
        <f>CJ58-CI58</f>
        <v/>
      </c>
      <c r="CL58" s="75">
        <f>IF(CI58=0,"",CJ58/CI58)</f>
        <v/>
      </c>
      <c r="CM58" s="52" t="n"/>
      <c r="CN58" s="72" t="n"/>
      <c r="CO58" s="72" t="n"/>
      <c r="CP58" s="72">
        <f>CO58-CN58</f>
        <v/>
      </c>
      <c r="CQ58" s="73">
        <f>IF(CN58=0,"",CO58/CN58)</f>
        <v/>
      </c>
      <c r="CR58" s="46" t="n"/>
      <c r="CS58" s="74">
        <f>G58+ L58+ V58+ AF58+ AP58+ AZ58+ BJ58+ BT58+ CD58+ CN58</f>
        <v/>
      </c>
      <c r="CT58" s="74">
        <f>H58+ M58+ W58+ AG58+ AQ58+ BA58+ BK58+ BU58+ CE58+ CO58</f>
        <v/>
      </c>
      <c r="CU58" s="74">
        <f>CT58-CS58</f>
        <v/>
      </c>
      <c r="CV58" s="75">
        <f>IF(CS58=0,"",CT58/CS58)</f>
        <v/>
      </c>
      <c r="CW58" s="52" t="n"/>
      <c r="CX58" s="72" t="n"/>
      <c r="CY58" s="72" t="n"/>
      <c r="CZ58" s="72">
        <f>CY58-CX58</f>
        <v/>
      </c>
      <c r="DA58" s="73">
        <f>IF(CX58=0,"",CY58/CX58)</f>
        <v/>
      </c>
      <c r="DB58" s="46" t="n"/>
      <c r="DC58" s="74">
        <f>G58+ L58+ V58+ AF58+ AP58+ AZ58+ BJ58+ BT58+ CD58+ CN58+ CX58</f>
        <v/>
      </c>
      <c r="DD58" s="74">
        <f>H58+ M58+ W58+ AG58+ AQ58+ BA58+ BK58+ BU58+ CE58+ CO58+ CY58</f>
        <v/>
      </c>
      <c r="DE58" s="74">
        <f>DD58-DC58</f>
        <v/>
      </c>
      <c r="DF58" s="75">
        <f>IF(DC58=0,"",DD58/DC58)</f>
        <v/>
      </c>
      <c r="DG58" s="52" t="n"/>
      <c r="DH58" s="72" t="n"/>
      <c r="DI58" s="72" t="n"/>
      <c r="DJ58" s="72">
        <f>DI58-DH58</f>
        <v/>
      </c>
      <c r="DK58" s="73">
        <f>IF(DH58=0,"",DI58/DH58)</f>
        <v/>
      </c>
      <c r="DL58" s="46" t="n"/>
      <c r="DM58" s="74">
        <f>G58+ L58+ V58+ AF58+ AP58+ AZ58+ BJ58+ BT58+ CD58+ CN58+ CX58+ DH58</f>
        <v/>
      </c>
      <c r="DN58" s="74">
        <f>H58+ M58+ W58+ AG58+ AQ58+ BA58+ BK58+ BU58+ CE58+ CO58+ CY58+ DI58</f>
        <v/>
      </c>
      <c r="DO58" s="74">
        <f>DN58-DM58</f>
        <v/>
      </c>
      <c r="DP58" s="75">
        <f>IF(DM58=0,"",DN58/DM58)</f>
        <v/>
      </c>
      <c r="DQ58" s="52" t="n"/>
      <c r="DR58" s="72">
        <f>G58+L58+V58+AF58+AP58+AZ58+BJ58+BT58+CD58+CN58+CX58+DH58</f>
        <v/>
      </c>
    </row>
    <row r="59" ht="15" customHeight="1">
      <c r="A59" s="46" t="n"/>
      <c r="B59" s="46" t="n"/>
      <c r="C59" s="46" t="n"/>
      <c r="D59" s="46" t="n"/>
      <c r="E59" s="46" t="n"/>
      <c r="F59" s="47" t="n"/>
      <c r="G59" s="72" t="n"/>
      <c r="H59" s="72" t="n"/>
      <c r="I59" s="72">
        <f>H59-G59</f>
        <v/>
      </c>
      <c r="J59" s="73">
        <f>IF(G59=0,"",H59/G59)</f>
        <v/>
      </c>
      <c r="K59" s="46" t="n"/>
      <c r="L59" s="72" t="n"/>
      <c r="M59" s="72" t="n"/>
      <c r="N59" s="72">
        <f>M59-L59</f>
        <v/>
      </c>
      <c r="O59" s="73">
        <f>IF(L59=0,"",M59/L59)</f>
        <v/>
      </c>
      <c r="P59" s="46" t="n"/>
      <c r="Q59" s="74">
        <f>G59+ L59</f>
        <v/>
      </c>
      <c r="R59" s="74">
        <f>H59+ M59</f>
        <v/>
      </c>
      <c r="S59" s="74">
        <f>R59-Q59</f>
        <v/>
      </c>
      <c r="T59" s="75">
        <f>IF(Q59=0,"",R59/Q59)</f>
        <v/>
      </c>
      <c r="U59" s="52" t="n"/>
      <c r="V59" s="72" t="n"/>
      <c r="W59" s="72" t="n"/>
      <c r="X59" s="72">
        <f>W59-V59</f>
        <v/>
      </c>
      <c r="Y59" s="73">
        <f>IF(V59=0,"",W59/V59)</f>
        <v/>
      </c>
      <c r="Z59" s="46" t="n"/>
      <c r="AA59" s="74">
        <f>G59+ L59+ V59</f>
        <v/>
      </c>
      <c r="AB59" s="74">
        <f>H59+ M59+ W59</f>
        <v/>
      </c>
      <c r="AC59" s="74">
        <f>AB59-AA59</f>
        <v/>
      </c>
      <c r="AD59" s="75">
        <f>IF(AA59=0,"",AB59/AA59)</f>
        <v/>
      </c>
      <c r="AE59" s="52" t="n"/>
      <c r="AF59" s="72" t="n"/>
      <c r="AG59" s="72" t="n"/>
      <c r="AH59" s="72">
        <f>AG59-AF59</f>
        <v/>
      </c>
      <c r="AI59" s="73">
        <f>IF(AF59=0,"",AG59/AF59)</f>
        <v/>
      </c>
      <c r="AJ59" s="46" t="n"/>
      <c r="AK59" s="74">
        <f>G59+ L59+ V59+ AF59</f>
        <v/>
      </c>
      <c r="AL59" s="74">
        <f>H59+ M59+ W59+ AG59</f>
        <v/>
      </c>
      <c r="AM59" s="74">
        <f>AL59-AK59</f>
        <v/>
      </c>
      <c r="AN59" s="75">
        <f>IF(AK59=0,"",AL59/AK59)</f>
        <v/>
      </c>
      <c r="AO59" s="52" t="n"/>
      <c r="AP59" s="72" t="n"/>
      <c r="AQ59" s="72" t="n"/>
      <c r="AR59" s="72">
        <f>AQ59-AP59</f>
        <v/>
      </c>
      <c r="AS59" s="73">
        <f>IF(AP59=0,"",AQ59/AP59)</f>
        <v/>
      </c>
      <c r="AT59" s="46" t="n"/>
      <c r="AU59" s="74">
        <f>G59+ L59+ V59+ AF59+ AP59</f>
        <v/>
      </c>
      <c r="AV59" s="74">
        <f>H59+ M59+ W59+ AG59+ AQ59</f>
        <v/>
      </c>
      <c r="AW59" s="74">
        <f>AV59-AU59</f>
        <v/>
      </c>
      <c r="AX59" s="75">
        <f>IF(AU59=0,"",AV59/AU59)</f>
        <v/>
      </c>
      <c r="AY59" s="52" t="n"/>
      <c r="AZ59" s="72" t="n"/>
      <c r="BA59" s="72" t="n"/>
      <c r="BB59" s="72">
        <f>BA59-AZ59</f>
        <v/>
      </c>
      <c r="BC59" s="73">
        <f>IF(AZ59=0,"",BA59/AZ59)</f>
        <v/>
      </c>
      <c r="BD59" s="46" t="n"/>
      <c r="BE59" s="74">
        <f>G59+ L59+ V59+ AF59+ AP59+ AZ59</f>
        <v/>
      </c>
      <c r="BF59" s="74">
        <f>H59+ M59+ W59+ AG59+ AQ59+ BA59</f>
        <v/>
      </c>
      <c r="BG59" s="74">
        <f>BF59-BE59</f>
        <v/>
      </c>
      <c r="BH59" s="75">
        <f>IF(BE59=0,"",BF59/BE59)</f>
        <v/>
      </c>
      <c r="BI59" s="52" t="n"/>
      <c r="BJ59" s="72" t="n"/>
      <c r="BK59" s="72" t="n"/>
      <c r="BL59" s="72">
        <f>BK59-BJ59</f>
        <v/>
      </c>
      <c r="BM59" s="73">
        <f>IF(BJ59=0,"",BK59/BJ59)</f>
        <v/>
      </c>
      <c r="BN59" s="46" t="n"/>
      <c r="BO59" s="74">
        <f>G59+ L59+ V59+ AF59+ AP59+ AZ59+ BJ59</f>
        <v/>
      </c>
      <c r="BP59" s="74">
        <f>H59+ M59+ W59+ AG59+ AQ59+ BA59+ BK59</f>
        <v/>
      </c>
      <c r="BQ59" s="74">
        <f>BP59-BO59</f>
        <v/>
      </c>
      <c r="BR59" s="75">
        <f>IF(BO59=0,"",BP59/BO59)</f>
        <v/>
      </c>
      <c r="BS59" s="52" t="n"/>
      <c r="BT59" s="72" t="n"/>
      <c r="BU59" s="72" t="n"/>
      <c r="BV59" s="72">
        <f>BU59-BT59</f>
        <v/>
      </c>
      <c r="BW59" s="73">
        <f>IF(BT59=0,"",BU59/BT59)</f>
        <v/>
      </c>
      <c r="BX59" s="46" t="n"/>
      <c r="BY59" s="74">
        <f>G59+ L59+ V59+ AF59+ AP59+ AZ59+ BJ59+ BT59</f>
        <v/>
      </c>
      <c r="BZ59" s="74">
        <f>H59+ M59+ W59+ AG59+ AQ59+ BA59+ BK59+ BU59</f>
        <v/>
      </c>
      <c r="CA59" s="74">
        <f>BZ59-BY59</f>
        <v/>
      </c>
      <c r="CB59" s="75">
        <f>IF(BY59=0,"",BZ59/BY59)</f>
        <v/>
      </c>
      <c r="CC59" s="52" t="n"/>
      <c r="CD59" s="72" t="n"/>
      <c r="CE59" s="72" t="n"/>
      <c r="CF59" s="72">
        <f>CE59-CD59</f>
        <v/>
      </c>
      <c r="CG59" s="73">
        <f>IF(CD59=0,"",CE59/CD59)</f>
        <v/>
      </c>
      <c r="CH59" s="46" t="n"/>
      <c r="CI59" s="74">
        <f>G59+ L59+ V59+ AF59+ AP59+ AZ59+ BJ59+ BT59+ CD59</f>
        <v/>
      </c>
      <c r="CJ59" s="74">
        <f>H59+ M59+ W59+ AG59+ AQ59+ BA59+ BK59+ BU59+ CE59</f>
        <v/>
      </c>
      <c r="CK59" s="74">
        <f>CJ59-CI59</f>
        <v/>
      </c>
      <c r="CL59" s="75">
        <f>IF(CI59=0,"",CJ59/CI59)</f>
        <v/>
      </c>
      <c r="CM59" s="52" t="n"/>
      <c r="CN59" s="72" t="n"/>
      <c r="CO59" s="72" t="n"/>
      <c r="CP59" s="72">
        <f>CO59-CN59</f>
        <v/>
      </c>
      <c r="CQ59" s="73">
        <f>IF(CN59=0,"",CO59/CN59)</f>
        <v/>
      </c>
      <c r="CR59" s="46" t="n"/>
      <c r="CS59" s="74">
        <f>G59+ L59+ V59+ AF59+ AP59+ AZ59+ BJ59+ BT59+ CD59+ CN59</f>
        <v/>
      </c>
      <c r="CT59" s="74">
        <f>H59+ M59+ W59+ AG59+ AQ59+ BA59+ BK59+ BU59+ CE59+ CO59</f>
        <v/>
      </c>
      <c r="CU59" s="74">
        <f>CT59-CS59</f>
        <v/>
      </c>
      <c r="CV59" s="75">
        <f>IF(CS59=0,"",CT59/CS59)</f>
        <v/>
      </c>
      <c r="CW59" s="52" t="n"/>
      <c r="CX59" s="72" t="n"/>
      <c r="CY59" s="72" t="n"/>
      <c r="CZ59" s="72">
        <f>CY59-CX59</f>
        <v/>
      </c>
      <c r="DA59" s="73">
        <f>IF(CX59=0,"",CY59/CX59)</f>
        <v/>
      </c>
      <c r="DB59" s="46" t="n"/>
      <c r="DC59" s="74">
        <f>G59+ L59+ V59+ AF59+ AP59+ AZ59+ BJ59+ BT59+ CD59+ CN59+ CX59</f>
        <v/>
      </c>
      <c r="DD59" s="74">
        <f>H59+ M59+ W59+ AG59+ AQ59+ BA59+ BK59+ BU59+ CE59+ CO59+ CY59</f>
        <v/>
      </c>
      <c r="DE59" s="74">
        <f>DD59-DC59</f>
        <v/>
      </c>
      <c r="DF59" s="75">
        <f>IF(DC59=0,"",DD59/DC59)</f>
        <v/>
      </c>
      <c r="DG59" s="52" t="n"/>
      <c r="DH59" s="72" t="n"/>
      <c r="DI59" s="72" t="n"/>
      <c r="DJ59" s="72">
        <f>DI59-DH59</f>
        <v/>
      </c>
      <c r="DK59" s="73">
        <f>IF(DH59=0,"",DI59/DH59)</f>
        <v/>
      </c>
      <c r="DL59" s="46" t="n"/>
      <c r="DM59" s="74">
        <f>G59+ L59+ V59+ AF59+ AP59+ AZ59+ BJ59+ BT59+ CD59+ CN59+ CX59+ DH59</f>
        <v/>
      </c>
      <c r="DN59" s="74">
        <f>H59+ M59+ W59+ AG59+ AQ59+ BA59+ BK59+ BU59+ CE59+ CO59+ CY59+ DI59</f>
        <v/>
      </c>
      <c r="DO59" s="74">
        <f>DN59-DM59</f>
        <v/>
      </c>
      <c r="DP59" s="75">
        <f>IF(DM59=0,"",DN59/DM59)</f>
        <v/>
      </c>
      <c r="DQ59" s="52" t="n"/>
      <c r="DR59" s="72">
        <f>G59+L59+V59+AF59+AP59+AZ59+BJ59+BT59+CD59+CN59+CX59+DH59</f>
        <v/>
      </c>
    </row>
    <row r="60" ht="15" customHeight="1">
      <c r="A60" s="67" t="n"/>
      <c r="B60" s="67" t="n"/>
      <c r="C60" s="67" t="n"/>
      <c r="D60" s="46" t="n"/>
      <c r="E60" s="46" t="n"/>
      <c r="F60" s="47" t="n"/>
      <c r="G60" s="72" t="n"/>
      <c r="H60" s="72" t="n"/>
      <c r="I60" s="72">
        <f>H60-G60</f>
        <v/>
      </c>
      <c r="J60" s="73">
        <f>IF(G60=0,"",H60/G60)</f>
        <v/>
      </c>
      <c r="K60" s="46" t="n"/>
      <c r="L60" s="72" t="n"/>
      <c r="M60" s="72" t="n"/>
      <c r="N60" s="72">
        <f>M60-L60</f>
        <v/>
      </c>
      <c r="O60" s="73">
        <f>IF(L60=0,"",M60/L60)</f>
        <v/>
      </c>
      <c r="P60" s="46" t="n"/>
      <c r="Q60" s="74">
        <f>G60+ L60</f>
        <v/>
      </c>
      <c r="R60" s="74">
        <f>H60+ M60</f>
        <v/>
      </c>
      <c r="S60" s="74">
        <f>R60-Q60</f>
        <v/>
      </c>
      <c r="T60" s="75">
        <f>IF(Q60=0,"",R60/Q60)</f>
        <v/>
      </c>
      <c r="U60" s="52" t="n"/>
      <c r="V60" s="72" t="n"/>
      <c r="W60" s="72" t="n"/>
      <c r="X60" s="72">
        <f>W60-V60</f>
        <v/>
      </c>
      <c r="Y60" s="73">
        <f>IF(V60=0,"",W60/V60)</f>
        <v/>
      </c>
      <c r="Z60" s="46" t="n"/>
      <c r="AA60" s="74">
        <f>G60+ L60+ V60</f>
        <v/>
      </c>
      <c r="AB60" s="74">
        <f>H60+ M60+ W60</f>
        <v/>
      </c>
      <c r="AC60" s="74">
        <f>AB60-AA60</f>
        <v/>
      </c>
      <c r="AD60" s="75">
        <f>IF(AA60=0,"",AB60/AA60)</f>
        <v/>
      </c>
      <c r="AE60" s="52" t="n"/>
      <c r="AF60" s="72" t="n"/>
      <c r="AG60" s="72" t="n"/>
      <c r="AH60" s="72">
        <f>AG60-AF60</f>
        <v/>
      </c>
      <c r="AI60" s="73">
        <f>IF(AF60=0,"",AG60/AF60)</f>
        <v/>
      </c>
      <c r="AJ60" s="46" t="n"/>
      <c r="AK60" s="74">
        <f>G60+ L60+ V60+ AF60</f>
        <v/>
      </c>
      <c r="AL60" s="74">
        <f>H60+ M60+ W60+ AG60</f>
        <v/>
      </c>
      <c r="AM60" s="74">
        <f>AL60-AK60</f>
        <v/>
      </c>
      <c r="AN60" s="75">
        <f>IF(AK60=0,"",AL60/AK60)</f>
        <v/>
      </c>
      <c r="AO60" s="52" t="n"/>
      <c r="AP60" s="72" t="n"/>
      <c r="AQ60" s="72" t="n"/>
      <c r="AR60" s="72">
        <f>AQ60-AP60</f>
        <v/>
      </c>
      <c r="AS60" s="73">
        <f>IF(AP60=0,"",AQ60/AP60)</f>
        <v/>
      </c>
      <c r="AT60" s="46" t="n"/>
      <c r="AU60" s="74">
        <f>G60+ L60+ V60+ AF60+ AP60</f>
        <v/>
      </c>
      <c r="AV60" s="74">
        <f>H60+ M60+ W60+ AG60+ AQ60</f>
        <v/>
      </c>
      <c r="AW60" s="74">
        <f>AV60-AU60</f>
        <v/>
      </c>
      <c r="AX60" s="75">
        <f>IF(AU60=0,"",AV60/AU60)</f>
        <v/>
      </c>
      <c r="AY60" s="52" t="n"/>
      <c r="AZ60" s="72" t="n"/>
      <c r="BA60" s="72" t="n"/>
      <c r="BB60" s="72">
        <f>BA60-AZ60</f>
        <v/>
      </c>
      <c r="BC60" s="73">
        <f>IF(AZ60=0,"",BA60/AZ60)</f>
        <v/>
      </c>
      <c r="BD60" s="46" t="n"/>
      <c r="BE60" s="74">
        <f>G60+ L60+ V60+ AF60+ AP60+ AZ60</f>
        <v/>
      </c>
      <c r="BF60" s="74">
        <f>H60+ M60+ W60+ AG60+ AQ60+ BA60</f>
        <v/>
      </c>
      <c r="BG60" s="74">
        <f>BF60-BE60</f>
        <v/>
      </c>
      <c r="BH60" s="75">
        <f>IF(BE60=0,"",BF60/BE60)</f>
        <v/>
      </c>
      <c r="BI60" s="52" t="n"/>
      <c r="BJ60" s="72" t="n"/>
      <c r="BK60" s="72" t="n"/>
      <c r="BL60" s="72">
        <f>BK60-BJ60</f>
        <v/>
      </c>
      <c r="BM60" s="73">
        <f>IF(BJ60=0,"",BK60/BJ60)</f>
        <v/>
      </c>
      <c r="BN60" s="46" t="n"/>
      <c r="BO60" s="74">
        <f>G60+ L60+ V60+ AF60+ AP60+ AZ60+ BJ60</f>
        <v/>
      </c>
      <c r="BP60" s="74">
        <f>H60+ M60+ W60+ AG60+ AQ60+ BA60+ BK60</f>
        <v/>
      </c>
      <c r="BQ60" s="74">
        <f>BP60-BO60</f>
        <v/>
      </c>
      <c r="BR60" s="75">
        <f>IF(BO60=0,"",BP60/BO60)</f>
        <v/>
      </c>
      <c r="BS60" s="52" t="n"/>
      <c r="BT60" s="72" t="n"/>
      <c r="BU60" s="72" t="n"/>
      <c r="BV60" s="72">
        <f>BU60-BT60</f>
        <v/>
      </c>
      <c r="BW60" s="73">
        <f>IF(BT60=0,"",BU60/BT60)</f>
        <v/>
      </c>
      <c r="BX60" s="46" t="n"/>
      <c r="BY60" s="74">
        <f>G60+ L60+ V60+ AF60+ AP60+ AZ60+ BJ60+ BT60</f>
        <v/>
      </c>
      <c r="BZ60" s="74">
        <f>H60+ M60+ W60+ AG60+ AQ60+ BA60+ BK60+ BU60</f>
        <v/>
      </c>
      <c r="CA60" s="74">
        <f>BZ60-BY60</f>
        <v/>
      </c>
      <c r="CB60" s="75">
        <f>IF(BY60=0,"",BZ60/BY60)</f>
        <v/>
      </c>
      <c r="CC60" s="52" t="n"/>
      <c r="CD60" s="72" t="n"/>
      <c r="CE60" s="72" t="n"/>
      <c r="CF60" s="72">
        <f>CE60-CD60</f>
        <v/>
      </c>
      <c r="CG60" s="73">
        <f>IF(CD60=0,"",CE60/CD60)</f>
        <v/>
      </c>
      <c r="CH60" s="46" t="n"/>
      <c r="CI60" s="74">
        <f>G60+ L60+ V60+ AF60+ AP60+ AZ60+ BJ60+ BT60+ CD60</f>
        <v/>
      </c>
      <c r="CJ60" s="74">
        <f>H60+ M60+ W60+ AG60+ AQ60+ BA60+ BK60+ BU60+ CE60</f>
        <v/>
      </c>
      <c r="CK60" s="74">
        <f>CJ60-CI60</f>
        <v/>
      </c>
      <c r="CL60" s="75">
        <f>IF(CI60=0,"",CJ60/CI60)</f>
        <v/>
      </c>
      <c r="CM60" s="52" t="n"/>
      <c r="CN60" s="72" t="n"/>
      <c r="CO60" s="72" t="n"/>
      <c r="CP60" s="72">
        <f>CO60-CN60</f>
        <v/>
      </c>
      <c r="CQ60" s="73">
        <f>IF(CN60=0,"",CO60/CN60)</f>
        <v/>
      </c>
      <c r="CR60" s="46" t="n"/>
      <c r="CS60" s="74">
        <f>G60+ L60+ V60+ AF60+ AP60+ AZ60+ BJ60+ BT60+ CD60+ CN60</f>
        <v/>
      </c>
      <c r="CT60" s="74">
        <f>H60+ M60+ W60+ AG60+ AQ60+ BA60+ BK60+ BU60+ CE60+ CO60</f>
        <v/>
      </c>
      <c r="CU60" s="74">
        <f>CT60-CS60</f>
        <v/>
      </c>
      <c r="CV60" s="75">
        <f>IF(CS60=0,"",CT60/CS60)</f>
        <v/>
      </c>
      <c r="CW60" s="52" t="n"/>
      <c r="CX60" s="72" t="n"/>
      <c r="CY60" s="72" t="n"/>
      <c r="CZ60" s="72">
        <f>CY60-CX60</f>
        <v/>
      </c>
      <c r="DA60" s="73">
        <f>IF(CX60=0,"",CY60/CX60)</f>
        <v/>
      </c>
      <c r="DB60" s="46" t="n"/>
      <c r="DC60" s="74">
        <f>G60+ L60+ V60+ AF60+ AP60+ AZ60+ BJ60+ BT60+ CD60+ CN60+ CX60</f>
        <v/>
      </c>
      <c r="DD60" s="74">
        <f>H60+ M60+ W60+ AG60+ AQ60+ BA60+ BK60+ BU60+ CE60+ CO60+ CY60</f>
        <v/>
      </c>
      <c r="DE60" s="74">
        <f>DD60-DC60</f>
        <v/>
      </c>
      <c r="DF60" s="75">
        <f>IF(DC60=0,"",DD60/DC60)</f>
        <v/>
      </c>
      <c r="DG60" s="52" t="n"/>
      <c r="DH60" s="72" t="n"/>
      <c r="DI60" s="72" t="n"/>
      <c r="DJ60" s="72">
        <f>DI60-DH60</f>
        <v/>
      </c>
      <c r="DK60" s="73">
        <f>IF(DH60=0,"",DI60/DH60)</f>
        <v/>
      </c>
      <c r="DL60" s="46" t="n"/>
      <c r="DM60" s="74">
        <f>G60+ L60+ V60+ AF60+ AP60+ AZ60+ BJ60+ BT60+ CD60+ CN60+ CX60+ DH60</f>
        <v/>
      </c>
      <c r="DN60" s="74">
        <f>H60+ M60+ W60+ AG60+ AQ60+ BA60+ BK60+ BU60+ CE60+ CO60+ CY60+ DI60</f>
        <v/>
      </c>
      <c r="DO60" s="74">
        <f>DN60-DM60</f>
        <v/>
      </c>
      <c r="DP60" s="75">
        <f>IF(DM60=0,"",DN60/DM60)</f>
        <v/>
      </c>
      <c r="DQ60" s="52" t="n"/>
      <c r="DR60" s="72">
        <f>G60+L60+V60+AF60+AP60+AZ60+BJ60+BT60+CD60+CN60+CX60+DH60</f>
        <v/>
      </c>
    </row>
    <row r="61" ht="15" customHeight="1">
      <c r="A61" s="67" t="n"/>
      <c r="B61" s="67" t="n"/>
      <c r="C61" s="67" t="n"/>
      <c r="D61" s="46" t="n"/>
      <c r="E61" s="46" t="n"/>
      <c r="F61" s="47" t="n"/>
      <c r="G61" s="72" t="n"/>
      <c r="H61" s="72" t="n"/>
      <c r="I61" s="72">
        <f>H61-G61</f>
        <v/>
      </c>
      <c r="J61" s="73">
        <f>IF(G61=0,"",H61/G61)</f>
        <v/>
      </c>
      <c r="K61" s="46" t="n"/>
      <c r="L61" s="72" t="n"/>
      <c r="M61" s="72" t="n"/>
      <c r="N61" s="72">
        <f>M61-L61</f>
        <v/>
      </c>
      <c r="O61" s="73">
        <f>IF(L61=0,"",M61/L61)</f>
        <v/>
      </c>
      <c r="P61" s="46" t="n"/>
      <c r="Q61" s="74">
        <f>G61+ L61</f>
        <v/>
      </c>
      <c r="R61" s="74">
        <f>H61+ M61</f>
        <v/>
      </c>
      <c r="S61" s="74">
        <f>R61-Q61</f>
        <v/>
      </c>
      <c r="T61" s="75">
        <f>IF(Q61=0,"",R61/Q61)</f>
        <v/>
      </c>
      <c r="U61" s="52" t="n"/>
      <c r="V61" s="72" t="n"/>
      <c r="W61" s="72" t="n"/>
      <c r="X61" s="72">
        <f>W61-V61</f>
        <v/>
      </c>
      <c r="Y61" s="73">
        <f>IF(V61=0,"",W61/V61)</f>
        <v/>
      </c>
      <c r="Z61" s="46" t="n"/>
      <c r="AA61" s="74">
        <f>G61+ L61+ V61</f>
        <v/>
      </c>
      <c r="AB61" s="74">
        <f>H61+ M61+ W61</f>
        <v/>
      </c>
      <c r="AC61" s="74">
        <f>AB61-AA61</f>
        <v/>
      </c>
      <c r="AD61" s="75">
        <f>IF(AA61=0,"",AB61/AA61)</f>
        <v/>
      </c>
      <c r="AE61" s="52" t="n"/>
      <c r="AF61" s="72" t="n"/>
      <c r="AG61" s="72" t="n"/>
      <c r="AH61" s="72">
        <f>AG61-AF61</f>
        <v/>
      </c>
      <c r="AI61" s="73">
        <f>IF(AF61=0,"",AG61/AF61)</f>
        <v/>
      </c>
      <c r="AJ61" s="46" t="n"/>
      <c r="AK61" s="74">
        <f>G61+ L61+ V61+ AF61</f>
        <v/>
      </c>
      <c r="AL61" s="74">
        <f>H61+ M61+ W61+ AG61</f>
        <v/>
      </c>
      <c r="AM61" s="74">
        <f>AL61-AK61</f>
        <v/>
      </c>
      <c r="AN61" s="75">
        <f>IF(AK61=0,"",AL61/AK61)</f>
        <v/>
      </c>
      <c r="AO61" s="52" t="n"/>
      <c r="AP61" s="72" t="n"/>
      <c r="AQ61" s="72" t="n"/>
      <c r="AR61" s="72">
        <f>AQ61-AP61</f>
        <v/>
      </c>
      <c r="AS61" s="73">
        <f>IF(AP61=0,"",AQ61/AP61)</f>
        <v/>
      </c>
      <c r="AT61" s="46" t="n"/>
      <c r="AU61" s="74">
        <f>G61+ L61+ V61+ AF61+ AP61</f>
        <v/>
      </c>
      <c r="AV61" s="74">
        <f>H61+ M61+ W61+ AG61+ AQ61</f>
        <v/>
      </c>
      <c r="AW61" s="74">
        <f>AV61-AU61</f>
        <v/>
      </c>
      <c r="AX61" s="75">
        <f>IF(AU61=0,"",AV61/AU61)</f>
        <v/>
      </c>
      <c r="AY61" s="52" t="n"/>
      <c r="AZ61" s="72" t="n"/>
      <c r="BA61" s="72" t="n"/>
      <c r="BB61" s="72">
        <f>BA61-AZ61</f>
        <v/>
      </c>
      <c r="BC61" s="73">
        <f>IF(AZ61=0,"",BA61/AZ61)</f>
        <v/>
      </c>
      <c r="BD61" s="46" t="n"/>
      <c r="BE61" s="74">
        <f>G61+ L61+ V61+ AF61+ AP61+ AZ61</f>
        <v/>
      </c>
      <c r="BF61" s="74">
        <f>H61+ M61+ W61+ AG61+ AQ61+ BA61</f>
        <v/>
      </c>
      <c r="BG61" s="74">
        <f>BF61-BE61</f>
        <v/>
      </c>
      <c r="BH61" s="75">
        <f>IF(BE61=0,"",BF61/BE61)</f>
        <v/>
      </c>
      <c r="BI61" s="52" t="n"/>
      <c r="BJ61" s="72" t="n"/>
      <c r="BK61" s="72" t="n"/>
      <c r="BL61" s="72">
        <f>BK61-BJ61</f>
        <v/>
      </c>
      <c r="BM61" s="73">
        <f>IF(BJ61=0,"",BK61/BJ61)</f>
        <v/>
      </c>
      <c r="BN61" s="46" t="n"/>
      <c r="BO61" s="74">
        <f>G61+ L61+ V61+ AF61+ AP61+ AZ61+ BJ61</f>
        <v/>
      </c>
      <c r="BP61" s="74">
        <f>H61+ M61+ W61+ AG61+ AQ61+ BA61+ BK61</f>
        <v/>
      </c>
      <c r="BQ61" s="74">
        <f>BP61-BO61</f>
        <v/>
      </c>
      <c r="BR61" s="75">
        <f>IF(BO61=0,"",BP61/BO61)</f>
        <v/>
      </c>
      <c r="BS61" s="52" t="n"/>
      <c r="BT61" s="72" t="n"/>
      <c r="BU61" s="72" t="n"/>
      <c r="BV61" s="72">
        <f>BU61-BT61</f>
        <v/>
      </c>
      <c r="BW61" s="73">
        <f>IF(BT61=0,"",BU61/BT61)</f>
        <v/>
      </c>
      <c r="BX61" s="46" t="n"/>
      <c r="BY61" s="74">
        <f>G61+ L61+ V61+ AF61+ AP61+ AZ61+ BJ61+ BT61</f>
        <v/>
      </c>
      <c r="BZ61" s="74">
        <f>H61+ M61+ W61+ AG61+ AQ61+ BA61+ BK61+ BU61</f>
        <v/>
      </c>
      <c r="CA61" s="74">
        <f>BZ61-BY61</f>
        <v/>
      </c>
      <c r="CB61" s="75">
        <f>IF(BY61=0,"",BZ61/BY61)</f>
        <v/>
      </c>
      <c r="CC61" s="52" t="n"/>
      <c r="CD61" s="72" t="n"/>
      <c r="CE61" s="72" t="n"/>
      <c r="CF61" s="72">
        <f>CE61-CD61</f>
        <v/>
      </c>
      <c r="CG61" s="73">
        <f>IF(CD61=0,"",CE61/CD61)</f>
        <v/>
      </c>
      <c r="CH61" s="46" t="n"/>
      <c r="CI61" s="74">
        <f>G61+ L61+ V61+ AF61+ AP61+ AZ61+ BJ61+ BT61+ CD61</f>
        <v/>
      </c>
      <c r="CJ61" s="74">
        <f>H61+ M61+ W61+ AG61+ AQ61+ BA61+ BK61+ BU61+ CE61</f>
        <v/>
      </c>
      <c r="CK61" s="74">
        <f>CJ61-CI61</f>
        <v/>
      </c>
      <c r="CL61" s="75">
        <f>IF(CI61=0,"",CJ61/CI61)</f>
        <v/>
      </c>
      <c r="CM61" s="52" t="n"/>
      <c r="CN61" s="72" t="n"/>
      <c r="CO61" s="72" t="n"/>
      <c r="CP61" s="72">
        <f>CO61-CN61</f>
        <v/>
      </c>
      <c r="CQ61" s="73">
        <f>IF(CN61=0,"",CO61/CN61)</f>
        <v/>
      </c>
      <c r="CR61" s="46" t="n"/>
      <c r="CS61" s="74">
        <f>G61+ L61+ V61+ AF61+ AP61+ AZ61+ BJ61+ BT61+ CD61+ CN61</f>
        <v/>
      </c>
      <c r="CT61" s="74">
        <f>H61+ M61+ W61+ AG61+ AQ61+ BA61+ BK61+ BU61+ CE61+ CO61</f>
        <v/>
      </c>
      <c r="CU61" s="74">
        <f>CT61-CS61</f>
        <v/>
      </c>
      <c r="CV61" s="75">
        <f>IF(CS61=0,"",CT61/CS61)</f>
        <v/>
      </c>
      <c r="CW61" s="52" t="n"/>
      <c r="CX61" s="72" t="n"/>
      <c r="CY61" s="72" t="n"/>
      <c r="CZ61" s="72">
        <f>CY61-CX61</f>
        <v/>
      </c>
      <c r="DA61" s="73">
        <f>IF(CX61=0,"",CY61/CX61)</f>
        <v/>
      </c>
      <c r="DB61" s="46" t="n"/>
      <c r="DC61" s="74">
        <f>G61+ L61+ V61+ AF61+ AP61+ AZ61+ BJ61+ BT61+ CD61+ CN61+ CX61</f>
        <v/>
      </c>
      <c r="DD61" s="74">
        <f>H61+ M61+ W61+ AG61+ AQ61+ BA61+ BK61+ BU61+ CE61+ CO61+ CY61</f>
        <v/>
      </c>
      <c r="DE61" s="74">
        <f>DD61-DC61</f>
        <v/>
      </c>
      <c r="DF61" s="75">
        <f>IF(DC61=0,"",DD61/DC61)</f>
        <v/>
      </c>
      <c r="DG61" s="52" t="n"/>
      <c r="DH61" s="72" t="n"/>
      <c r="DI61" s="72" t="n"/>
      <c r="DJ61" s="72">
        <f>DI61-DH61</f>
        <v/>
      </c>
      <c r="DK61" s="73">
        <f>IF(DH61=0,"",DI61/DH61)</f>
        <v/>
      </c>
      <c r="DL61" s="46" t="n"/>
      <c r="DM61" s="74">
        <f>G61+ L61+ V61+ AF61+ AP61+ AZ61+ BJ61+ BT61+ CD61+ CN61+ CX61+ DH61</f>
        <v/>
      </c>
      <c r="DN61" s="74">
        <f>H61+ M61+ W61+ AG61+ AQ61+ BA61+ BK61+ BU61+ CE61+ CO61+ CY61+ DI61</f>
        <v/>
      </c>
      <c r="DO61" s="74">
        <f>DN61-DM61</f>
        <v/>
      </c>
      <c r="DP61" s="75">
        <f>IF(DM61=0,"",DN61/DM61)</f>
        <v/>
      </c>
      <c r="DQ61" s="52" t="n"/>
      <c r="DR61" s="72">
        <f>G61+L61+V61+AF61+AP61+AZ61+BJ61+BT61+CD61+CN61+CX61+DH61</f>
        <v/>
      </c>
    </row>
    <row r="62" ht="15" customHeight="1">
      <c r="A62" s="55" t="n"/>
      <c r="B62" s="55" t="n"/>
      <c r="C62" s="55" t="n"/>
      <c r="D62" s="46" t="n"/>
      <c r="E62" s="46" t="n"/>
      <c r="F62" s="47" t="n"/>
      <c r="G62" s="72" t="n"/>
      <c r="H62" s="72" t="n"/>
      <c r="I62" s="72">
        <f>H62-G62</f>
        <v/>
      </c>
      <c r="J62" s="73">
        <f>IF(G62=0,"",H62/G62)</f>
        <v/>
      </c>
      <c r="K62" s="46" t="n"/>
      <c r="L62" s="72" t="n"/>
      <c r="M62" s="72" t="n"/>
      <c r="N62" s="72">
        <f>M62-L62</f>
        <v/>
      </c>
      <c r="O62" s="73">
        <f>IF(L62=0,"",M62/L62)</f>
        <v/>
      </c>
      <c r="P62" s="46" t="n"/>
      <c r="Q62" s="74">
        <f>G62+ L62</f>
        <v/>
      </c>
      <c r="R62" s="74">
        <f>H62+ M62</f>
        <v/>
      </c>
      <c r="S62" s="74">
        <f>R62-Q62</f>
        <v/>
      </c>
      <c r="T62" s="75">
        <f>IF(Q62=0,"",R62/Q62)</f>
        <v/>
      </c>
      <c r="U62" s="52" t="n"/>
      <c r="V62" s="72" t="n"/>
      <c r="W62" s="72" t="n"/>
      <c r="X62" s="72">
        <f>W62-V62</f>
        <v/>
      </c>
      <c r="Y62" s="73">
        <f>IF(V62=0,"",W62/V62)</f>
        <v/>
      </c>
      <c r="Z62" s="46" t="n"/>
      <c r="AA62" s="74">
        <f>G62+ L62+ V62</f>
        <v/>
      </c>
      <c r="AB62" s="74">
        <f>H62+ M62+ W62</f>
        <v/>
      </c>
      <c r="AC62" s="74">
        <f>AB62-AA62</f>
        <v/>
      </c>
      <c r="AD62" s="75">
        <f>IF(AA62=0,"",AB62/AA62)</f>
        <v/>
      </c>
      <c r="AE62" s="52" t="n"/>
      <c r="AF62" s="72" t="n"/>
      <c r="AG62" s="72" t="n"/>
      <c r="AH62" s="72">
        <f>AG62-AF62</f>
        <v/>
      </c>
      <c r="AI62" s="73">
        <f>IF(AF62=0,"",AG62/AF62)</f>
        <v/>
      </c>
      <c r="AJ62" s="46" t="n"/>
      <c r="AK62" s="74">
        <f>G62+ L62+ V62+ AF62</f>
        <v/>
      </c>
      <c r="AL62" s="74">
        <f>H62+ M62+ W62+ AG62</f>
        <v/>
      </c>
      <c r="AM62" s="74">
        <f>AL62-AK62</f>
        <v/>
      </c>
      <c r="AN62" s="75">
        <f>IF(AK62=0,"",AL62/AK62)</f>
        <v/>
      </c>
      <c r="AO62" s="52" t="n"/>
      <c r="AP62" s="72" t="n"/>
      <c r="AQ62" s="72" t="n"/>
      <c r="AR62" s="72">
        <f>AQ62-AP62</f>
        <v/>
      </c>
      <c r="AS62" s="73">
        <f>IF(AP62=0,"",AQ62/AP62)</f>
        <v/>
      </c>
      <c r="AT62" s="46" t="n"/>
      <c r="AU62" s="74">
        <f>G62+ L62+ V62+ AF62+ AP62</f>
        <v/>
      </c>
      <c r="AV62" s="74">
        <f>H62+ M62+ W62+ AG62+ AQ62</f>
        <v/>
      </c>
      <c r="AW62" s="74">
        <f>AV62-AU62</f>
        <v/>
      </c>
      <c r="AX62" s="75">
        <f>IF(AU62=0,"",AV62/AU62)</f>
        <v/>
      </c>
      <c r="AY62" s="52" t="n"/>
      <c r="AZ62" s="72" t="n"/>
      <c r="BA62" s="72" t="n"/>
      <c r="BB62" s="72">
        <f>BA62-AZ62</f>
        <v/>
      </c>
      <c r="BC62" s="73">
        <f>IF(AZ62=0,"",BA62/AZ62)</f>
        <v/>
      </c>
      <c r="BD62" s="46" t="n"/>
      <c r="BE62" s="74">
        <f>G62+ L62+ V62+ AF62+ AP62+ AZ62</f>
        <v/>
      </c>
      <c r="BF62" s="74">
        <f>H62+ M62+ W62+ AG62+ AQ62+ BA62</f>
        <v/>
      </c>
      <c r="BG62" s="74">
        <f>BF62-BE62</f>
        <v/>
      </c>
      <c r="BH62" s="75">
        <f>IF(BE62=0,"",BF62/BE62)</f>
        <v/>
      </c>
      <c r="BI62" s="52" t="n"/>
      <c r="BJ62" s="72" t="n"/>
      <c r="BK62" s="72" t="n"/>
      <c r="BL62" s="72">
        <f>BK62-BJ62</f>
        <v/>
      </c>
      <c r="BM62" s="73">
        <f>IF(BJ62=0,"",BK62/BJ62)</f>
        <v/>
      </c>
      <c r="BN62" s="46" t="n"/>
      <c r="BO62" s="74">
        <f>G62+ L62+ V62+ AF62+ AP62+ AZ62+ BJ62</f>
        <v/>
      </c>
      <c r="BP62" s="74">
        <f>H62+ M62+ W62+ AG62+ AQ62+ BA62+ BK62</f>
        <v/>
      </c>
      <c r="BQ62" s="74">
        <f>BP62-BO62</f>
        <v/>
      </c>
      <c r="BR62" s="75">
        <f>IF(BO62=0,"",BP62/BO62)</f>
        <v/>
      </c>
      <c r="BS62" s="52" t="n"/>
      <c r="BT62" s="72" t="n"/>
      <c r="BU62" s="72" t="n"/>
      <c r="BV62" s="72">
        <f>BU62-BT62</f>
        <v/>
      </c>
      <c r="BW62" s="73">
        <f>IF(BT62=0,"",BU62/BT62)</f>
        <v/>
      </c>
      <c r="BX62" s="46" t="n"/>
      <c r="BY62" s="74">
        <f>G62+ L62+ V62+ AF62+ AP62+ AZ62+ BJ62+ BT62</f>
        <v/>
      </c>
      <c r="BZ62" s="74">
        <f>H62+ M62+ W62+ AG62+ AQ62+ BA62+ BK62+ BU62</f>
        <v/>
      </c>
      <c r="CA62" s="74">
        <f>BZ62-BY62</f>
        <v/>
      </c>
      <c r="CB62" s="75">
        <f>IF(BY62=0,"",BZ62/BY62)</f>
        <v/>
      </c>
      <c r="CC62" s="52" t="n"/>
      <c r="CD62" s="72" t="n"/>
      <c r="CE62" s="72" t="n"/>
      <c r="CF62" s="72">
        <f>CE62-CD62</f>
        <v/>
      </c>
      <c r="CG62" s="73">
        <f>IF(CD62=0,"",CE62/CD62)</f>
        <v/>
      </c>
      <c r="CH62" s="46" t="n"/>
      <c r="CI62" s="74">
        <f>G62+ L62+ V62+ AF62+ AP62+ AZ62+ BJ62+ BT62+ CD62</f>
        <v/>
      </c>
      <c r="CJ62" s="74">
        <f>H62+ M62+ W62+ AG62+ AQ62+ BA62+ BK62+ BU62+ CE62</f>
        <v/>
      </c>
      <c r="CK62" s="74">
        <f>CJ62-CI62</f>
        <v/>
      </c>
      <c r="CL62" s="75">
        <f>IF(CI62=0,"",CJ62/CI62)</f>
        <v/>
      </c>
      <c r="CM62" s="52" t="n"/>
      <c r="CN62" s="72" t="n"/>
      <c r="CO62" s="72" t="n"/>
      <c r="CP62" s="72">
        <f>CO62-CN62</f>
        <v/>
      </c>
      <c r="CQ62" s="73">
        <f>IF(CN62=0,"",CO62/CN62)</f>
        <v/>
      </c>
      <c r="CR62" s="46" t="n"/>
      <c r="CS62" s="74">
        <f>G62+ L62+ V62+ AF62+ AP62+ AZ62+ BJ62+ BT62+ CD62+ CN62</f>
        <v/>
      </c>
      <c r="CT62" s="74">
        <f>H62+ M62+ W62+ AG62+ AQ62+ BA62+ BK62+ BU62+ CE62+ CO62</f>
        <v/>
      </c>
      <c r="CU62" s="74">
        <f>CT62-CS62</f>
        <v/>
      </c>
      <c r="CV62" s="75">
        <f>IF(CS62=0,"",CT62/CS62)</f>
        <v/>
      </c>
      <c r="CW62" s="52" t="n"/>
      <c r="CX62" s="72" t="n"/>
      <c r="CY62" s="72" t="n"/>
      <c r="CZ62" s="72">
        <f>CY62-CX62</f>
        <v/>
      </c>
      <c r="DA62" s="73">
        <f>IF(CX62=0,"",CY62/CX62)</f>
        <v/>
      </c>
      <c r="DB62" s="46" t="n"/>
      <c r="DC62" s="74">
        <f>G62+ L62+ V62+ AF62+ AP62+ AZ62+ BJ62+ BT62+ CD62+ CN62+ CX62</f>
        <v/>
      </c>
      <c r="DD62" s="74">
        <f>H62+ M62+ W62+ AG62+ AQ62+ BA62+ BK62+ BU62+ CE62+ CO62+ CY62</f>
        <v/>
      </c>
      <c r="DE62" s="74">
        <f>DD62-DC62</f>
        <v/>
      </c>
      <c r="DF62" s="75">
        <f>IF(DC62=0,"",DD62/DC62)</f>
        <v/>
      </c>
      <c r="DG62" s="52" t="n"/>
      <c r="DH62" s="72" t="n"/>
      <c r="DI62" s="72" t="n"/>
      <c r="DJ62" s="72">
        <f>DI62-DH62</f>
        <v/>
      </c>
      <c r="DK62" s="73">
        <f>IF(DH62=0,"",DI62/DH62)</f>
        <v/>
      </c>
      <c r="DL62" s="46" t="n"/>
      <c r="DM62" s="74">
        <f>G62+ L62+ V62+ AF62+ AP62+ AZ62+ BJ62+ BT62+ CD62+ CN62+ CX62+ DH62</f>
        <v/>
      </c>
      <c r="DN62" s="74">
        <f>H62+ M62+ W62+ AG62+ AQ62+ BA62+ BK62+ BU62+ CE62+ CO62+ CY62+ DI62</f>
        <v/>
      </c>
      <c r="DO62" s="74">
        <f>DN62-DM62</f>
        <v/>
      </c>
      <c r="DP62" s="75">
        <f>IF(DM62=0,"",DN62/DM62)</f>
        <v/>
      </c>
      <c r="DQ62" s="52" t="n"/>
      <c r="DR62" s="72">
        <f>G62+L62+V62+AF62+AP62+AZ62+BJ62+BT62+CD62+CN62+CX62+DH62</f>
        <v/>
      </c>
    </row>
    <row r="63" ht="15" customHeight="1">
      <c r="A63" s="45" t="n"/>
      <c r="B63" s="45" t="n"/>
      <c r="C63" s="46" t="n"/>
      <c r="D63" s="46" t="n"/>
      <c r="E63" s="46" t="n"/>
      <c r="F63" s="47" t="n"/>
      <c r="G63" s="72" t="n"/>
      <c r="H63" s="72" t="n"/>
      <c r="I63" s="72">
        <f>H63-G63</f>
        <v/>
      </c>
      <c r="J63" s="73">
        <f>IF(G63=0,"",H63/G63)</f>
        <v/>
      </c>
      <c r="K63" s="46" t="n"/>
      <c r="L63" s="72" t="n"/>
      <c r="M63" s="72" t="n"/>
      <c r="N63" s="72">
        <f>M63-L63</f>
        <v/>
      </c>
      <c r="O63" s="73">
        <f>IF(L63=0,"",M63/L63)</f>
        <v/>
      </c>
      <c r="P63" s="46" t="n"/>
      <c r="Q63" s="74">
        <f>G63+ L63</f>
        <v/>
      </c>
      <c r="R63" s="74">
        <f>H63+ M63</f>
        <v/>
      </c>
      <c r="S63" s="74">
        <f>R63-Q63</f>
        <v/>
      </c>
      <c r="T63" s="75">
        <f>IF(Q63=0,"",R63/Q63)</f>
        <v/>
      </c>
      <c r="U63" s="52" t="n"/>
      <c r="V63" s="72" t="n"/>
      <c r="W63" s="72" t="n"/>
      <c r="X63" s="72">
        <f>W63-V63</f>
        <v/>
      </c>
      <c r="Y63" s="73">
        <f>IF(V63=0,"",W63/V63)</f>
        <v/>
      </c>
      <c r="Z63" s="46" t="n"/>
      <c r="AA63" s="74">
        <f>G63+ L63+ V63</f>
        <v/>
      </c>
      <c r="AB63" s="74">
        <f>H63+ M63+ W63</f>
        <v/>
      </c>
      <c r="AC63" s="74">
        <f>AB63-AA63</f>
        <v/>
      </c>
      <c r="AD63" s="75">
        <f>IF(AA63=0,"",AB63/AA63)</f>
        <v/>
      </c>
      <c r="AE63" s="52" t="n"/>
      <c r="AF63" s="72" t="n"/>
      <c r="AG63" s="72" t="n"/>
      <c r="AH63" s="72">
        <f>AG63-AF63</f>
        <v/>
      </c>
      <c r="AI63" s="73">
        <f>IF(AF63=0,"",AG63/AF63)</f>
        <v/>
      </c>
      <c r="AJ63" s="46" t="n"/>
      <c r="AK63" s="74">
        <f>G63+ L63+ V63+ AF63</f>
        <v/>
      </c>
      <c r="AL63" s="74">
        <f>H63+ M63+ W63+ AG63</f>
        <v/>
      </c>
      <c r="AM63" s="74">
        <f>AL63-AK63</f>
        <v/>
      </c>
      <c r="AN63" s="75">
        <f>IF(AK63=0,"",AL63/AK63)</f>
        <v/>
      </c>
      <c r="AO63" s="52" t="n"/>
      <c r="AP63" s="72" t="n"/>
      <c r="AQ63" s="72" t="n"/>
      <c r="AR63" s="72">
        <f>AQ63-AP63</f>
        <v/>
      </c>
      <c r="AS63" s="73">
        <f>IF(AP63=0,"",AQ63/AP63)</f>
        <v/>
      </c>
      <c r="AT63" s="46" t="n"/>
      <c r="AU63" s="74">
        <f>G63+ L63+ V63+ AF63+ AP63</f>
        <v/>
      </c>
      <c r="AV63" s="74">
        <f>H63+ M63+ W63+ AG63+ AQ63</f>
        <v/>
      </c>
      <c r="AW63" s="74">
        <f>AV63-AU63</f>
        <v/>
      </c>
      <c r="AX63" s="75">
        <f>IF(AU63=0,"",AV63/AU63)</f>
        <v/>
      </c>
      <c r="AY63" s="52" t="n"/>
      <c r="AZ63" s="72" t="n"/>
      <c r="BA63" s="72" t="n"/>
      <c r="BB63" s="72">
        <f>BA63-AZ63</f>
        <v/>
      </c>
      <c r="BC63" s="73">
        <f>IF(AZ63=0,"",BA63/AZ63)</f>
        <v/>
      </c>
      <c r="BD63" s="46" t="n"/>
      <c r="BE63" s="74">
        <f>G63+ L63+ V63+ AF63+ AP63+ AZ63</f>
        <v/>
      </c>
      <c r="BF63" s="74">
        <f>H63+ M63+ W63+ AG63+ AQ63+ BA63</f>
        <v/>
      </c>
      <c r="BG63" s="74">
        <f>BF63-BE63</f>
        <v/>
      </c>
      <c r="BH63" s="75">
        <f>IF(BE63=0,"",BF63/BE63)</f>
        <v/>
      </c>
      <c r="BI63" s="52" t="n"/>
      <c r="BJ63" s="72" t="n"/>
      <c r="BK63" s="72" t="n"/>
      <c r="BL63" s="72">
        <f>BK63-BJ63</f>
        <v/>
      </c>
      <c r="BM63" s="73">
        <f>IF(BJ63=0,"",BK63/BJ63)</f>
        <v/>
      </c>
      <c r="BN63" s="46" t="n"/>
      <c r="BO63" s="74">
        <f>G63+ L63+ V63+ AF63+ AP63+ AZ63+ BJ63</f>
        <v/>
      </c>
      <c r="BP63" s="74">
        <f>H63+ M63+ W63+ AG63+ AQ63+ BA63+ BK63</f>
        <v/>
      </c>
      <c r="BQ63" s="74">
        <f>BP63-BO63</f>
        <v/>
      </c>
      <c r="BR63" s="75">
        <f>IF(BO63=0,"",BP63/BO63)</f>
        <v/>
      </c>
      <c r="BS63" s="52" t="n"/>
      <c r="BT63" s="72" t="n"/>
      <c r="BU63" s="72" t="n"/>
      <c r="BV63" s="72">
        <f>BU63-BT63</f>
        <v/>
      </c>
      <c r="BW63" s="73">
        <f>IF(BT63=0,"",BU63/BT63)</f>
        <v/>
      </c>
      <c r="BX63" s="46" t="n"/>
      <c r="BY63" s="74">
        <f>G63+ L63+ V63+ AF63+ AP63+ AZ63+ BJ63+ BT63</f>
        <v/>
      </c>
      <c r="BZ63" s="74">
        <f>H63+ M63+ W63+ AG63+ AQ63+ BA63+ BK63+ BU63</f>
        <v/>
      </c>
      <c r="CA63" s="74">
        <f>BZ63-BY63</f>
        <v/>
      </c>
      <c r="CB63" s="75">
        <f>IF(BY63=0,"",BZ63/BY63)</f>
        <v/>
      </c>
      <c r="CC63" s="52" t="n"/>
      <c r="CD63" s="72" t="n"/>
      <c r="CE63" s="72" t="n"/>
      <c r="CF63" s="72">
        <f>CE63-CD63</f>
        <v/>
      </c>
      <c r="CG63" s="73">
        <f>IF(CD63=0,"",CE63/CD63)</f>
        <v/>
      </c>
      <c r="CH63" s="46" t="n"/>
      <c r="CI63" s="74">
        <f>G63+ L63+ V63+ AF63+ AP63+ AZ63+ BJ63+ BT63+ CD63</f>
        <v/>
      </c>
      <c r="CJ63" s="74">
        <f>H63+ M63+ W63+ AG63+ AQ63+ BA63+ BK63+ BU63+ CE63</f>
        <v/>
      </c>
      <c r="CK63" s="74">
        <f>CJ63-CI63</f>
        <v/>
      </c>
      <c r="CL63" s="75">
        <f>IF(CI63=0,"",CJ63/CI63)</f>
        <v/>
      </c>
      <c r="CM63" s="52" t="n"/>
      <c r="CN63" s="72" t="n"/>
      <c r="CO63" s="72" t="n"/>
      <c r="CP63" s="72">
        <f>CO63-CN63</f>
        <v/>
      </c>
      <c r="CQ63" s="73">
        <f>IF(CN63=0,"",CO63/CN63)</f>
        <v/>
      </c>
      <c r="CR63" s="46" t="n"/>
      <c r="CS63" s="74">
        <f>G63+ L63+ V63+ AF63+ AP63+ AZ63+ BJ63+ BT63+ CD63+ CN63</f>
        <v/>
      </c>
      <c r="CT63" s="74">
        <f>H63+ M63+ W63+ AG63+ AQ63+ BA63+ BK63+ BU63+ CE63+ CO63</f>
        <v/>
      </c>
      <c r="CU63" s="74">
        <f>CT63-CS63</f>
        <v/>
      </c>
      <c r="CV63" s="75">
        <f>IF(CS63=0,"",CT63/CS63)</f>
        <v/>
      </c>
      <c r="CW63" s="52" t="n"/>
      <c r="CX63" s="72" t="n"/>
      <c r="CY63" s="72" t="n"/>
      <c r="CZ63" s="72">
        <f>CY63-CX63</f>
        <v/>
      </c>
      <c r="DA63" s="73">
        <f>IF(CX63=0,"",CY63/CX63)</f>
        <v/>
      </c>
      <c r="DB63" s="46" t="n"/>
      <c r="DC63" s="74">
        <f>G63+ L63+ V63+ AF63+ AP63+ AZ63+ BJ63+ BT63+ CD63+ CN63+ CX63</f>
        <v/>
      </c>
      <c r="DD63" s="74">
        <f>H63+ M63+ W63+ AG63+ AQ63+ BA63+ BK63+ BU63+ CE63+ CO63+ CY63</f>
        <v/>
      </c>
      <c r="DE63" s="74">
        <f>DD63-DC63</f>
        <v/>
      </c>
      <c r="DF63" s="75">
        <f>IF(DC63=0,"",DD63/DC63)</f>
        <v/>
      </c>
      <c r="DG63" s="52" t="n"/>
      <c r="DH63" s="72" t="n"/>
      <c r="DI63" s="72" t="n"/>
      <c r="DJ63" s="72">
        <f>DI63-DH63</f>
        <v/>
      </c>
      <c r="DK63" s="73">
        <f>IF(DH63=0,"",DI63/DH63)</f>
        <v/>
      </c>
      <c r="DL63" s="46" t="n"/>
      <c r="DM63" s="74">
        <f>G63+ L63+ V63+ AF63+ AP63+ AZ63+ BJ63+ BT63+ CD63+ CN63+ CX63+ DH63</f>
        <v/>
      </c>
      <c r="DN63" s="74">
        <f>H63+ M63+ W63+ AG63+ AQ63+ BA63+ BK63+ BU63+ CE63+ CO63+ CY63+ DI63</f>
        <v/>
      </c>
      <c r="DO63" s="74">
        <f>DN63-DM63</f>
        <v/>
      </c>
      <c r="DP63" s="75">
        <f>IF(DM63=0,"",DN63/DM63)</f>
        <v/>
      </c>
      <c r="DQ63" s="52" t="n"/>
      <c r="DR63" s="72">
        <f>G63+L63+V63+AF63+AP63+AZ63+BJ63+BT63+CD63+CN63+CX63+DH63</f>
        <v/>
      </c>
    </row>
    <row r="64" ht="15" customHeight="1">
      <c r="A64" s="67" t="n"/>
      <c r="B64" s="67" t="n"/>
      <c r="C64" s="67" t="n"/>
      <c r="D64" s="46" t="n"/>
      <c r="E64" s="46" t="n"/>
      <c r="F64" s="47" t="n"/>
      <c r="G64" s="72" t="n"/>
      <c r="H64" s="72" t="n"/>
      <c r="I64" s="72">
        <f>H64-G64</f>
        <v/>
      </c>
      <c r="J64" s="73">
        <f>IF(G64=0,"",H64/G64)</f>
        <v/>
      </c>
      <c r="K64" s="46" t="n"/>
      <c r="L64" s="72" t="n"/>
      <c r="M64" s="72" t="n"/>
      <c r="N64" s="72">
        <f>M64-L64</f>
        <v/>
      </c>
      <c r="O64" s="73">
        <f>IF(L64=0,"",M64/L64)</f>
        <v/>
      </c>
      <c r="P64" s="46" t="n"/>
      <c r="Q64" s="74">
        <f>G64+ L64</f>
        <v/>
      </c>
      <c r="R64" s="74">
        <f>H64+ M64</f>
        <v/>
      </c>
      <c r="S64" s="74">
        <f>R64-Q64</f>
        <v/>
      </c>
      <c r="T64" s="75">
        <f>IF(Q64=0,"",R64/Q64)</f>
        <v/>
      </c>
      <c r="U64" s="52" t="n"/>
      <c r="V64" s="72" t="n"/>
      <c r="W64" s="72" t="n"/>
      <c r="X64" s="72">
        <f>W64-V64</f>
        <v/>
      </c>
      <c r="Y64" s="73">
        <f>IF(V64=0,"",W64/V64)</f>
        <v/>
      </c>
      <c r="Z64" s="46" t="n"/>
      <c r="AA64" s="74">
        <f>G64+ L64+ V64</f>
        <v/>
      </c>
      <c r="AB64" s="74">
        <f>H64+ M64+ W64</f>
        <v/>
      </c>
      <c r="AC64" s="74">
        <f>AB64-AA64</f>
        <v/>
      </c>
      <c r="AD64" s="75">
        <f>IF(AA64=0,"",AB64/AA64)</f>
        <v/>
      </c>
      <c r="AE64" s="52" t="n"/>
      <c r="AF64" s="72" t="n"/>
      <c r="AG64" s="72" t="n"/>
      <c r="AH64" s="72">
        <f>AG64-AF64</f>
        <v/>
      </c>
      <c r="AI64" s="73">
        <f>IF(AF64=0,"",AG64/AF64)</f>
        <v/>
      </c>
      <c r="AJ64" s="46" t="n"/>
      <c r="AK64" s="74">
        <f>G64+ L64+ V64+ AF64</f>
        <v/>
      </c>
      <c r="AL64" s="74">
        <f>H64+ M64+ W64+ AG64</f>
        <v/>
      </c>
      <c r="AM64" s="74">
        <f>AL64-AK64</f>
        <v/>
      </c>
      <c r="AN64" s="75">
        <f>IF(AK64=0,"",AL64/AK64)</f>
        <v/>
      </c>
      <c r="AO64" s="52" t="n"/>
      <c r="AP64" s="72" t="n"/>
      <c r="AQ64" s="72" t="n"/>
      <c r="AR64" s="72">
        <f>AQ64-AP64</f>
        <v/>
      </c>
      <c r="AS64" s="73">
        <f>IF(AP64=0,"",AQ64/AP64)</f>
        <v/>
      </c>
      <c r="AT64" s="46" t="n"/>
      <c r="AU64" s="74">
        <f>G64+ L64+ V64+ AF64+ AP64</f>
        <v/>
      </c>
      <c r="AV64" s="74">
        <f>H64+ M64+ W64+ AG64+ AQ64</f>
        <v/>
      </c>
      <c r="AW64" s="74">
        <f>AV64-AU64</f>
        <v/>
      </c>
      <c r="AX64" s="75">
        <f>IF(AU64=0,"",AV64/AU64)</f>
        <v/>
      </c>
      <c r="AY64" s="52" t="n"/>
      <c r="AZ64" s="72" t="n"/>
      <c r="BA64" s="72" t="n"/>
      <c r="BB64" s="72">
        <f>BA64-AZ64</f>
        <v/>
      </c>
      <c r="BC64" s="73">
        <f>IF(AZ64=0,"",BA64/AZ64)</f>
        <v/>
      </c>
      <c r="BD64" s="46" t="n"/>
      <c r="BE64" s="74">
        <f>G64+ L64+ V64+ AF64+ AP64+ AZ64</f>
        <v/>
      </c>
      <c r="BF64" s="74">
        <f>H64+ M64+ W64+ AG64+ AQ64+ BA64</f>
        <v/>
      </c>
      <c r="BG64" s="74">
        <f>BF64-BE64</f>
        <v/>
      </c>
      <c r="BH64" s="75">
        <f>IF(BE64=0,"",BF64/BE64)</f>
        <v/>
      </c>
      <c r="BI64" s="52" t="n"/>
      <c r="BJ64" s="72" t="n"/>
      <c r="BK64" s="72" t="n"/>
      <c r="BL64" s="72">
        <f>BK64-BJ64</f>
        <v/>
      </c>
      <c r="BM64" s="73">
        <f>IF(BJ64=0,"",BK64/BJ64)</f>
        <v/>
      </c>
      <c r="BN64" s="46" t="n"/>
      <c r="BO64" s="74">
        <f>G64+ L64+ V64+ AF64+ AP64+ AZ64+ BJ64</f>
        <v/>
      </c>
      <c r="BP64" s="74">
        <f>H64+ M64+ W64+ AG64+ AQ64+ BA64+ BK64</f>
        <v/>
      </c>
      <c r="BQ64" s="74">
        <f>BP64-BO64</f>
        <v/>
      </c>
      <c r="BR64" s="75">
        <f>IF(BO64=0,"",BP64/BO64)</f>
        <v/>
      </c>
      <c r="BS64" s="52" t="n"/>
      <c r="BT64" s="72" t="n"/>
      <c r="BU64" s="72" t="n"/>
      <c r="BV64" s="72">
        <f>BU64-BT64</f>
        <v/>
      </c>
      <c r="BW64" s="73">
        <f>IF(BT64=0,"",BU64/BT64)</f>
        <v/>
      </c>
      <c r="BX64" s="46" t="n"/>
      <c r="BY64" s="74">
        <f>G64+ L64+ V64+ AF64+ AP64+ AZ64+ BJ64+ BT64</f>
        <v/>
      </c>
      <c r="BZ64" s="74">
        <f>H64+ M64+ W64+ AG64+ AQ64+ BA64+ BK64+ BU64</f>
        <v/>
      </c>
      <c r="CA64" s="74">
        <f>BZ64-BY64</f>
        <v/>
      </c>
      <c r="CB64" s="75">
        <f>IF(BY64=0,"",BZ64/BY64)</f>
        <v/>
      </c>
      <c r="CC64" s="52" t="n"/>
      <c r="CD64" s="72" t="n"/>
      <c r="CE64" s="72" t="n"/>
      <c r="CF64" s="72">
        <f>CE64-CD64</f>
        <v/>
      </c>
      <c r="CG64" s="73">
        <f>IF(CD64=0,"",CE64/CD64)</f>
        <v/>
      </c>
      <c r="CH64" s="46" t="n"/>
      <c r="CI64" s="74">
        <f>G64+ L64+ V64+ AF64+ AP64+ AZ64+ BJ64+ BT64+ CD64</f>
        <v/>
      </c>
      <c r="CJ64" s="74">
        <f>H64+ M64+ W64+ AG64+ AQ64+ BA64+ BK64+ BU64+ CE64</f>
        <v/>
      </c>
      <c r="CK64" s="74">
        <f>CJ64-CI64</f>
        <v/>
      </c>
      <c r="CL64" s="75">
        <f>IF(CI64=0,"",CJ64/CI64)</f>
        <v/>
      </c>
      <c r="CM64" s="52" t="n"/>
      <c r="CN64" s="72" t="n"/>
      <c r="CO64" s="72" t="n"/>
      <c r="CP64" s="72">
        <f>CO64-CN64</f>
        <v/>
      </c>
      <c r="CQ64" s="73">
        <f>IF(CN64=0,"",CO64/CN64)</f>
        <v/>
      </c>
      <c r="CR64" s="46" t="n"/>
      <c r="CS64" s="74">
        <f>G64+ L64+ V64+ AF64+ AP64+ AZ64+ BJ64+ BT64+ CD64+ CN64</f>
        <v/>
      </c>
      <c r="CT64" s="74">
        <f>H64+ M64+ W64+ AG64+ AQ64+ BA64+ BK64+ BU64+ CE64+ CO64</f>
        <v/>
      </c>
      <c r="CU64" s="74">
        <f>CT64-CS64</f>
        <v/>
      </c>
      <c r="CV64" s="75">
        <f>IF(CS64=0,"",CT64/CS64)</f>
        <v/>
      </c>
      <c r="CW64" s="52" t="n"/>
      <c r="CX64" s="72" t="n"/>
      <c r="CY64" s="72" t="n"/>
      <c r="CZ64" s="72">
        <f>CY64-CX64</f>
        <v/>
      </c>
      <c r="DA64" s="73">
        <f>IF(CX64=0,"",CY64/CX64)</f>
        <v/>
      </c>
      <c r="DB64" s="46" t="n"/>
      <c r="DC64" s="74">
        <f>G64+ L64+ V64+ AF64+ AP64+ AZ64+ BJ64+ BT64+ CD64+ CN64+ CX64</f>
        <v/>
      </c>
      <c r="DD64" s="74">
        <f>H64+ M64+ W64+ AG64+ AQ64+ BA64+ BK64+ BU64+ CE64+ CO64+ CY64</f>
        <v/>
      </c>
      <c r="DE64" s="74">
        <f>DD64-DC64</f>
        <v/>
      </c>
      <c r="DF64" s="75">
        <f>IF(DC64=0,"",DD64/DC64)</f>
        <v/>
      </c>
      <c r="DG64" s="52" t="n"/>
      <c r="DH64" s="72" t="n"/>
      <c r="DI64" s="72" t="n"/>
      <c r="DJ64" s="72">
        <f>DI64-DH64</f>
        <v/>
      </c>
      <c r="DK64" s="73">
        <f>IF(DH64=0,"",DI64/DH64)</f>
        <v/>
      </c>
      <c r="DL64" s="46" t="n"/>
      <c r="DM64" s="74">
        <f>G64+ L64+ V64+ AF64+ AP64+ AZ64+ BJ64+ BT64+ CD64+ CN64+ CX64+ DH64</f>
        <v/>
      </c>
      <c r="DN64" s="74">
        <f>H64+ M64+ W64+ AG64+ AQ64+ BA64+ BK64+ BU64+ CE64+ CO64+ CY64+ DI64</f>
        <v/>
      </c>
      <c r="DO64" s="74">
        <f>DN64-DM64</f>
        <v/>
      </c>
      <c r="DP64" s="75">
        <f>IF(DM64=0,"",DN64/DM64)</f>
        <v/>
      </c>
      <c r="DQ64" s="52" t="n"/>
      <c r="DR64" s="72">
        <f>G64+L64+V64+AF64+AP64+AZ64+BJ64+BT64+CD64+CN64+CX64+DH64</f>
        <v/>
      </c>
    </row>
    <row r="65" ht="15" customHeight="1">
      <c r="A65" s="55" t="n"/>
      <c r="B65" s="55" t="n"/>
      <c r="C65" s="55" t="n"/>
      <c r="D65" s="46" t="n"/>
      <c r="E65" s="46" t="n"/>
      <c r="F65" s="47" t="n"/>
      <c r="G65" s="72" t="n"/>
      <c r="H65" s="72" t="n"/>
      <c r="I65" s="72">
        <f>H65-G65</f>
        <v/>
      </c>
      <c r="J65" s="73">
        <f>IF(G65=0,"",H65/G65)</f>
        <v/>
      </c>
      <c r="K65" s="46" t="n"/>
      <c r="L65" s="72" t="n"/>
      <c r="M65" s="72" t="n"/>
      <c r="N65" s="72">
        <f>M65-L65</f>
        <v/>
      </c>
      <c r="O65" s="73">
        <f>IF(L65=0,"",M65/L65)</f>
        <v/>
      </c>
      <c r="P65" s="46" t="n"/>
      <c r="Q65" s="74">
        <f>G65+ L65</f>
        <v/>
      </c>
      <c r="R65" s="74">
        <f>H65+ M65</f>
        <v/>
      </c>
      <c r="S65" s="74">
        <f>R65-Q65</f>
        <v/>
      </c>
      <c r="T65" s="75">
        <f>IF(Q65=0,"",R65/Q65)</f>
        <v/>
      </c>
      <c r="U65" s="52" t="n"/>
      <c r="V65" s="72" t="n"/>
      <c r="W65" s="72" t="n"/>
      <c r="X65" s="72">
        <f>W65-V65</f>
        <v/>
      </c>
      <c r="Y65" s="73">
        <f>IF(V65=0,"",W65/V65)</f>
        <v/>
      </c>
      <c r="Z65" s="46" t="n"/>
      <c r="AA65" s="74">
        <f>G65+ L65+ V65</f>
        <v/>
      </c>
      <c r="AB65" s="74">
        <f>H65+ M65+ W65</f>
        <v/>
      </c>
      <c r="AC65" s="74">
        <f>AB65-AA65</f>
        <v/>
      </c>
      <c r="AD65" s="75">
        <f>IF(AA65=0,"",AB65/AA65)</f>
        <v/>
      </c>
      <c r="AE65" s="52" t="n"/>
      <c r="AF65" s="72" t="n"/>
      <c r="AG65" s="72" t="n"/>
      <c r="AH65" s="72">
        <f>AG65-AF65</f>
        <v/>
      </c>
      <c r="AI65" s="73">
        <f>IF(AF65=0,"",AG65/AF65)</f>
        <v/>
      </c>
      <c r="AJ65" s="46" t="n"/>
      <c r="AK65" s="74">
        <f>G65+ L65+ V65+ AF65</f>
        <v/>
      </c>
      <c r="AL65" s="74">
        <f>H65+ M65+ W65+ AG65</f>
        <v/>
      </c>
      <c r="AM65" s="74">
        <f>AL65-AK65</f>
        <v/>
      </c>
      <c r="AN65" s="75">
        <f>IF(AK65=0,"",AL65/AK65)</f>
        <v/>
      </c>
      <c r="AO65" s="52" t="n"/>
      <c r="AP65" s="72" t="n"/>
      <c r="AQ65" s="72" t="n"/>
      <c r="AR65" s="72">
        <f>AQ65-AP65</f>
        <v/>
      </c>
      <c r="AS65" s="73">
        <f>IF(AP65=0,"",AQ65/AP65)</f>
        <v/>
      </c>
      <c r="AT65" s="46" t="n"/>
      <c r="AU65" s="74">
        <f>G65+ L65+ V65+ AF65+ AP65</f>
        <v/>
      </c>
      <c r="AV65" s="74">
        <f>H65+ M65+ W65+ AG65+ AQ65</f>
        <v/>
      </c>
      <c r="AW65" s="74">
        <f>AV65-AU65</f>
        <v/>
      </c>
      <c r="AX65" s="75">
        <f>IF(AU65=0,"",AV65/AU65)</f>
        <v/>
      </c>
      <c r="AY65" s="52" t="n"/>
      <c r="AZ65" s="72" t="n"/>
      <c r="BA65" s="72" t="n"/>
      <c r="BB65" s="72">
        <f>BA65-AZ65</f>
        <v/>
      </c>
      <c r="BC65" s="73">
        <f>IF(AZ65=0,"",BA65/AZ65)</f>
        <v/>
      </c>
      <c r="BD65" s="46" t="n"/>
      <c r="BE65" s="74">
        <f>G65+ L65+ V65+ AF65+ AP65+ AZ65</f>
        <v/>
      </c>
      <c r="BF65" s="74">
        <f>H65+ M65+ W65+ AG65+ AQ65+ BA65</f>
        <v/>
      </c>
      <c r="BG65" s="74">
        <f>BF65-BE65</f>
        <v/>
      </c>
      <c r="BH65" s="75">
        <f>IF(BE65=0,"",BF65/BE65)</f>
        <v/>
      </c>
      <c r="BI65" s="52" t="n"/>
      <c r="BJ65" s="72" t="n"/>
      <c r="BK65" s="72" t="n"/>
      <c r="BL65" s="72">
        <f>BK65-BJ65</f>
        <v/>
      </c>
      <c r="BM65" s="73">
        <f>IF(BJ65=0,"",BK65/BJ65)</f>
        <v/>
      </c>
      <c r="BN65" s="46" t="n"/>
      <c r="BO65" s="74">
        <f>G65+ L65+ V65+ AF65+ AP65+ AZ65+ BJ65</f>
        <v/>
      </c>
      <c r="BP65" s="74">
        <f>H65+ M65+ W65+ AG65+ AQ65+ BA65+ BK65</f>
        <v/>
      </c>
      <c r="BQ65" s="74">
        <f>BP65-BO65</f>
        <v/>
      </c>
      <c r="BR65" s="75">
        <f>IF(BO65=0,"",BP65/BO65)</f>
        <v/>
      </c>
      <c r="BS65" s="52" t="n"/>
      <c r="BT65" s="72" t="n"/>
      <c r="BU65" s="72" t="n"/>
      <c r="BV65" s="72">
        <f>BU65-BT65</f>
        <v/>
      </c>
      <c r="BW65" s="73">
        <f>IF(BT65=0,"",BU65/BT65)</f>
        <v/>
      </c>
      <c r="BX65" s="46" t="n"/>
      <c r="BY65" s="74">
        <f>G65+ L65+ V65+ AF65+ AP65+ AZ65+ BJ65+ BT65</f>
        <v/>
      </c>
      <c r="BZ65" s="74">
        <f>H65+ M65+ W65+ AG65+ AQ65+ BA65+ BK65+ BU65</f>
        <v/>
      </c>
      <c r="CA65" s="74">
        <f>BZ65-BY65</f>
        <v/>
      </c>
      <c r="CB65" s="75">
        <f>IF(BY65=0,"",BZ65/BY65)</f>
        <v/>
      </c>
      <c r="CC65" s="52" t="n"/>
      <c r="CD65" s="72" t="n"/>
      <c r="CE65" s="72" t="n"/>
      <c r="CF65" s="72">
        <f>CE65-CD65</f>
        <v/>
      </c>
      <c r="CG65" s="73">
        <f>IF(CD65=0,"",CE65/CD65)</f>
        <v/>
      </c>
      <c r="CH65" s="46" t="n"/>
      <c r="CI65" s="74">
        <f>G65+ L65+ V65+ AF65+ AP65+ AZ65+ BJ65+ BT65+ CD65</f>
        <v/>
      </c>
      <c r="CJ65" s="74">
        <f>H65+ M65+ W65+ AG65+ AQ65+ BA65+ BK65+ BU65+ CE65</f>
        <v/>
      </c>
      <c r="CK65" s="74">
        <f>CJ65-CI65</f>
        <v/>
      </c>
      <c r="CL65" s="75">
        <f>IF(CI65=0,"",CJ65/CI65)</f>
        <v/>
      </c>
      <c r="CM65" s="52" t="n"/>
      <c r="CN65" s="72" t="n"/>
      <c r="CO65" s="72" t="n"/>
      <c r="CP65" s="72">
        <f>CO65-CN65</f>
        <v/>
      </c>
      <c r="CQ65" s="73">
        <f>IF(CN65=0,"",CO65/CN65)</f>
        <v/>
      </c>
      <c r="CR65" s="46" t="n"/>
      <c r="CS65" s="74">
        <f>G65+ L65+ V65+ AF65+ AP65+ AZ65+ BJ65+ BT65+ CD65+ CN65</f>
        <v/>
      </c>
      <c r="CT65" s="74">
        <f>H65+ M65+ W65+ AG65+ AQ65+ BA65+ BK65+ BU65+ CE65+ CO65</f>
        <v/>
      </c>
      <c r="CU65" s="74">
        <f>CT65-CS65</f>
        <v/>
      </c>
      <c r="CV65" s="75">
        <f>IF(CS65=0,"",CT65/CS65)</f>
        <v/>
      </c>
      <c r="CW65" s="52" t="n"/>
      <c r="CX65" s="72" t="n"/>
      <c r="CY65" s="72" t="n"/>
      <c r="CZ65" s="72">
        <f>CY65-CX65</f>
        <v/>
      </c>
      <c r="DA65" s="73">
        <f>IF(CX65=0,"",CY65/CX65)</f>
        <v/>
      </c>
      <c r="DB65" s="46" t="n"/>
      <c r="DC65" s="74">
        <f>G65+ L65+ V65+ AF65+ AP65+ AZ65+ BJ65+ BT65+ CD65+ CN65+ CX65</f>
        <v/>
      </c>
      <c r="DD65" s="74">
        <f>H65+ M65+ W65+ AG65+ AQ65+ BA65+ BK65+ BU65+ CE65+ CO65+ CY65</f>
        <v/>
      </c>
      <c r="DE65" s="74">
        <f>DD65-DC65</f>
        <v/>
      </c>
      <c r="DF65" s="75">
        <f>IF(DC65=0,"",DD65/DC65)</f>
        <v/>
      </c>
      <c r="DG65" s="52" t="n"/>
      <c r="DH65" s="72" t="n"/>
      <c r="DI65" s="72" t="n"/>
      <c r="DJ65" s="72">
        <f>DI65-DH65</f>
        <v/>
      </c>
      <c r="DK65" s="73">
        <f>IF(DH65=0,"",DI65/DH65)</f>
        <v/>
      </c>
      <c r="DL65" s="46" t="n"/>
      <c r="DM65" s="74">
        <f>G65+ L65+ V65+ AF65+ AP65+ AZ65+ BJ65+ BT65+ CD65+ CN65+ CX65+ DH65</f>
        <v/>
      </c>
      <c r="DN65" s="74">
        <f>H65+ M65+ W65+ AG65+ AQ65+ BA65+ BK65+ BU65+ CE65+ CO65+ CY65+ DI65</f>
        <v/>
      </c>
      <c r="DO65" s="74">
        <f>DN65-DM65</f>
        <v/>
      </c>
      <c r="DP65" s="75">
        <f>IF(DM65=0,"",DN65/DM65)</f>
        <v/>
      </c>
      <c r="DQ65" s="52" t="n"/>
      <c r="DR65" s="72">
        <f>G65+L65+V65+AF65+AP65+AZ65+BJ65+BT65+CD65+CN65+CX65+DH65</f>
        <v/>
      </c>
    </row>
    <row r="66" ht="15" customHeight="1">
      <c r="A66" s="47" t="n"/>
      <c r="B66" s="46" t="n"/>
      <c r="C66" s="45" t="n"/>
      <c r="D66" s="46" t="n"/>
      <c r="E66" s="46" t="n"/>
      <c r="F66" s="47" t="n"/>
      <c r="G66" s="72" t="n"/>
      <c r="H66" s="72" t="n"/>
      <c r="I66" s="72">
        <f>H66-G66</f>
        <v/>
      </c>
      <c r="J66" s="73">
        <f>IF(G66=0,"",H66/G66)</f>
        <v/>
      </c>
      <c r="K66" s="46" t="n"/>
      <c r="L66" s="72" t="n"/>
      <c r="M66" s="72" t="n"/>
      <c r="N66" s="72">
        <f>M66-L66</f>
        <v/>
      </c>
      <c r="O66" s="73">
        <f>IF(L66=0,"",M66/L66)</f>
        <v/>
      </c>
      <c r="P66" s="46" t="n"/>
      <c r="Q66" s="74">
        <f>G66+ L66</f>
        <v/>
      </c>
      <c r="R66" s="74">
        <f>H66+ M66</f>
        <v/>
      </c>
      <c r="S66" s="74">
        <f>R66-Q66</f>
        <v/>
      </c>
      <c r="T66" s="75">
        <f>IF(Q66=0,"",R66/Q66)</f>
        <v/>
      </c>
      <c r="U66" s="52" t="n"/>
      <c r="V66" s="72" t="n"/>
      <c r="W66" s="72" t="n"/>
      <c r="X66" s="72">
        <f>W66-V66</f>
        <v/>
      </c>
      <c r="Y66" s="73">
        <f>IF(V66=0,"",W66/V66)</f>
        <v/>
      </c>
      <c r="Z66" s="46" t="n"/>
      <c r="AA66" s="74">
        <f>G66+ L66+ V66</f>
        <v/>
      </c>
      <c r="AB66" s="74">
        <f>H66+ M66+ W66</f>
        <v/>
      </c>
      <c r="AC66" s="74">
        <f>AB66-AA66</f>
        <v/>
      </c>
      <c r="AD66" s="75">
        <f>IF(AA66=0,"",AB66/AA66)</f>
        <v/>
      </c>
      <c r="AE66" s="52" t="n"/>
      <c r="AF66" s="72" t="n"/>
      <c r="AG66" s="72" t="n"/>
      <c r="AH66" s="72">
        <f>AG66-AF66</f>
        <v/>
      </c>
      <c r="AI66" s="73">
        <f>IF(AF66=0,"",AG66/AF66)</f>
        <v/>
      </c>
      <c r="AJ66" s="46" t="n"/>
      <c r="AK66" s="74">
        <f>G66+ L66+ V66+ AF66</f>
        <v/>
      </c>
      <c r="AL66" s="74">
        <f>H66+ M66+ W66+ AG66</f>
        <v/>
      </c>
      <c r="AM66" s="74">
        <f>AL66-AK66</f>
        <v/>
      </c>
      <c r="AN66" s="75">
        <f>IF(AK66=0,"",AL66/AK66)</f>
        <v/>
      </c>
      <c r="AO66" s="52" t="n"/>
      <c r="AP66" s="72" t="n"/>
      <c r="AQ66" s="72" t="n"/>
      <c r="AR66" s="72">
        <f>AQ66-AP66</f>
        <v/>
      </c>
      <c r="AS66" s="73">
        <f>IF(AP66=0,"",AQ66/AP66)</f>
        <v/>
      </c>
      <c r="AT66" s="46" t="n"/>
      <c r="AU66" s="74">
        <f>G66+ L66+ V66+ AF66+ AP66</f>
        <v/>
      </c>
      <c r="AV66" s="74">
        <f>H66+ M66+ W66+ AG66+ AQ66</f>
        <v/>
      </c>
      <c r="AW66" s="74">
        <f>AV66-AU66</f>
        <v/>
      </c>
      <c r="AX66" s="75">
        <f>IF(AU66=0,"",AV66/AU66)</f>
        <v/>
      </c>
      <c r="AY66" s="52" t="n"/>
      <c r="AZ66" s="72" t="n"/>
      <c r="BA66" s="72" t="n"/>
      <c r="BB66" s="72">
        <f>BA66-AZ66</f>
        <v/>
      </c>
      <c r="BC66" s="73">
        <f>IF(AZ66=0,"",BA66/AZ66)</f>
        <v/>
      </c>
      <c r="BD66" s="46" t="n"/>
      <c r="BE66" s="74">
        <f>G66+ L66+ V66+ AF66+ AP66+ AZ66</f>
        <v/>
      </c>
      <c r="BF66" s="74">
        <f>H66+ M66+ W66+ AG66+ AQ66+ BA66</f>
        <v/>
      </c>
      <c r="BG66" s="74">
        <f>BF66-BE66</f>
        <v/>
      </c>
      <c r="BH66" s="75">
        <f>IF(BE66=0,"",BF66/BE66)</f>
        <v/>
      </c>
      <c r="BI66" s="52" t="n"/>
      <c r="BJ66" s="72" t="n"/>
      <c r="BK66" s="72" t="n"/>
      <c r="BL66" s="72">
        <f>BK66-BJ66</f>
        <v/>
      </c>
      <c r="BM66" s="73">
        <f>IF(BJ66=0,"",BK66/BJ66)</f>
        <v/>
      </c>
      <c r="BN66" s="46" t="n"/>
      <c r="BO66" s="74">
        <f>G66+ L66+ V66+ AF66+ AP66+ AZ66+ BJ66</f>
        <v/>
      </c>
      <c r="BP66" s="74">
        <f>H66+ M66+ W66+ AG66+ AQ66+ BA66+ BK66</f>
        <v/>
      </c>
      <c r="BQ66" s="74">
        <f>BP66-BO66</f>
        <v/>
      </c>
      <c r="BR66" s="75">
        <f>IF(BO66=0,"",BP66/BO66)</f>
        <v/>
      </c>
      <c r="BS66" s="52" t="n"/>
      <c r="BT66" s="72" t="n"/>
      <c r="BU66" s="72" t="n"/>
      <c r="BV66" s="72">
        <f>BU66-BT66</f>
        <v/>
      </c>
      <c r="BW66" s="73">
        <f>IF(BT66=0,"",BU66/BT66)</f>
        <v/>
      </c>
      <c r="BX66" s="46" t="n"/>
      <c r="BY66" s="74">
        <f>G66+ L66+ V66+ AF66+ AP66+ AZ66+ BJ66+ BT66</f>
        <v/>
      </c>
      <c r="BZ66" s="74">
        <f>H66+ M66+ W66+ AG66+ AQ66+ BA66+ BK66+ BU66</f>
        <v/>
      </c>
      <c r="CA66" s="74">
        <f>BZ66-BY66</f>
        <v/>
      </c>
      <c r="CB66" s="75">
        <f>IF(BY66=0,"",BZ66/BY66)</f>
        <v/>
      </c>
      <c r="CC66" s="52" t="n"/>
      <c r="CD66" s="72" t="n"/>
      <c r="CE66" s="72" t="n"/>
      <c r="CF66" s="72">
        <f>CE66-CD66</f>
        <v/>
      </c>
      <c r="CG66" s="73">
        <f>IF(CD66=0,"",CE66/CD66)</f>
        <v/>
      </c>
      <c r="CH66" s="46" t="n"/>
      <c r="CI66" s="74">
        <f>G66+ L66+ V66+ AF66+ AP66+ AZ66+ BJ66+ BT66+ CD66</f>
        <v/>
      </c>
      <c r="CJ66" s="74">
        <f>H66+ M66+ W66+ AG66+ AQ66+ BA66+ BK66+ BU66+ CE66</f>
        <v/>
      </c>
      <c r="CK66" s="74">
        <f>CJ66-CI66</f>
        <v/>
      </c>
      <c r="CL66" s="75">
        <f>IF(CI66=0,"",CJ66/CI66)</f>
        <v/>
      </c>
      <c r="CM66" s="52" t="n"/>
      <c r="CN66" s="72" t="n"/>
      <c r="CO66" s="72" t="n"/>
      <c r="CP66" s="72">
        <f>CO66-CN66</f>
        <v/>
      </c>
      <c r="CQ66" s="73">
        <f>IF(CN66=0,"",CO66/CN66)</f>
        <v/>
      </c>
      <c r="CR66" s="46" t="n"/>
      <c r="CS66" s="74">
        <f>G66+ L66+ V66+ AF66+ AP66+ AZ66+ BJ66+ BT66+ CD66+ CN66</f>
        <v/>
      </c>
      <c r="CT66" s="74">
        <f>H66+ M66+ W66+ AG66+ AQ66+ BA66+ BK66+ BU66+ CE66+ CO66</f>
        <v/>
      </c>
      <c r="CU66" s="74">
        <f>CT66-CS66</f>
        <v/>
      </c>
      <c r="CV66" s="75">
        <f>IF(CS66=0,"",CT66/CS66)</f>
        <v/>
      </c>
      <c r="CW66" s="52" t="n"/>
      <c r="CX66" s="72" t="n"/>
      <c r="CY66" s="72" t="n"/>
      <c r="CZ66" s="72">
        <f>CY66-CX66</f>
        <v/>
      </c>
      <c r="DA66" s="73">
        <f>IF(CX66=0,"",CY66/CX66)</f>
        <v/>
      </c>
      <c r="DB66" s="46" t="n"/>
      <c r="DC66" s="74">
        <f>G66+ L66+ V66+ AF66+ AP66+ AZ66+ BJ66+ BT66+ CD66+ CN66+ CX66</f>
        <v/>
      </c>
      <c r="DD66" s="74">
        <f>H66+ M66+ W66+ AG66+ AQ66+ BA66+ BK66+ BU66+ CE66+ CO66+ CY66</f>
        <v/>
      </c>
      <c r="DE66" s="74">
        <f>DD66-DC66</f>
        <v/>
      </c>
      <c r="DF66" s="75">
        <f>IF(DC66=0,"",DD66/DC66)</f>
        <v/>
      </c>
      <c r="DG66" s="52" t="n"/>
      <c r="DH66" s="72" t="n"/>
      <c r="DI66" s="72" t="n"/>
      <c r="DJ66" s="72">
        <f>DI66-DH66</f>
        <v/>
      </c>
      <c r="DK66" s="73">
        <f>IF(DH66=0,"",DI66/DH66)</f>
        <v/>
      </c>
      <c r="DL66" s="46" t="n"/>
      <c r="DM66" s="74">
        <f>G66+ L66+ V66+ AF66+ AP66+ AZ66+ BJ66+ BT66+ CD66+ CN66+ CX66+ DH66</f>
        <v/>
      </c>
      <c r="DN66" s="74">
        <f>H66+ M66+ W66+ AG66+ AQ66+ BA66+ BK66+ BU66+ CE66+ CO66+ CY66+ DI66</f>
        <v/>
      </c>
      <c r="DO66" s="74">
        <f>DN66-DM66</f>
        <v/>
      </c>
      <c r="DP66" s="75">
        <f>IF(DM66=0,"",DN66/DM66)</f>
        <v/>
      </c>
      <c r="DQ66" s="52" t="n"/>
      <c r="DR66" s="72">
        <f>G66+L66+V66+AF66+AP66+AZ66+BJ66+BT66+CD66+CN66+CX66+DH66</f>
        <v/>
      </c>
    </row>
    <row r="67" ht="15" customHeight="1">
      <c r="A67" s="46" t="n"/>
      <c r="B67" s="46" t="n"/>
      <c r="C67" s="46" t="n"/>
      <c r="D67" s="46" t="n"/>
      <c r="E67" s="46" t="n"/>
      <c r="F67" s="47" t="n"/>
      <c r="G67" s="72" t="n"/>
      <c r="H67" s="72" t="n"/>
      <c r="I67" s="72">
        <f>H67-G67</f>
        <v/>
      </c>
      <c r="J67" s="73">
        <f>IF(G67=0,"",H67/G67)</f>
        <v/>
      </c>
      <c r="K67" s="46" t="n"/>
      <c r="L67" s="72" t="n"/>
      <c r="M67" s="72" t="n"/>
      <c r="N67" s="72">
        <f>M67-L67</f>
        <v/>
      </c>
      <c r="O67" s="73">
        <f>IF(L67=0,"",M67/L67)</f>
        <v/>
      </c>
      <c r="P67" s="46" t="n"/>
      <c r="Q67" s="74">
        <f>G67+ L67</f>
        <v/>
      </c>
      <c r="R67" s="74">
        <f>H67+ M67</f>
        <v/>
      </c>
      <c r="S67" s="74">
        <f>R67-Q67</f>
        <v/>
      </c>
      <c r="T67" s="75">
        <f>IF(Q67=0,"",R67/Q67)</f>
        <v/>
      </c>
      <c r="U67" s="52" t="n"/>
      <c r="V67" s="72" t="n"/>
      <c r="W67" s="72" t="n"/>
      <c r="X67" s="72">
        <f>W67-V67</f>
        <v/>
      </c>
      <c r="Y67" s="73">
        <f>IF(V67=0,"",W67/V67)</f>
        <v/>
      </c>
      <c r="Z67" s="46" t="n"/>
      <c r="AA67" s="74">
        <f>G67+ L67+ V67</f>
        <v/>
      </c>
      <c r="AB67" s="74">
        <f>H67+ M67+ W67</f>
        <v/>
      </c>
      <c r="AC67" s="74">
        <f>AB67-AA67</f>
        <v/>
      </c>
      <c r="AD67" s="75">
        <f>IF(AA67=0,"",AB67/AA67)</f>
        <v/>
      </c>
      <c r="AE67" s="52" t="n"/>
      <c r="AF67" s="72" t="n"/>
      <c r="AG67" s="72" t="n"/>
      <c r="AH67" s="72">
        <f>AG67-AF67</f>
        <v/>
      </c>
      <c r="AI67" s="73">
        <f>IF(AF67=0,"",AG67/AF67)</f>
        <v/>
      </c>
      <c r="AJ67" s="46" t="n"/>
      <c r="AK67" s="74">
        <f>G67+ L67+ V67+ AF67</f>
        <v/>
      </c>
      <c r="AL67" s="74">
        <f>H67+ M67+ W67+ AG67</f>
        <v/>
      </c>
      <c r="AM67" s="74">
        <f>AL67-AK67</f>
        <v/>
      </c>
      <c r="AN67" s="75">
        <f>IF(AK67=0,"",AL67/AK67)</f>
        <v/>
      </c>
      <c r="AO67" s="52" t="n"/>
      <c r="AP67" s="72" t="n"/>
      <c r="AQ67" s="72" t="n"/>
      <c r="AR67" s="72">
        <f>AQ67-AP67</f>
        <v/>
      </c>
      <c r="AS67" s="73">
        <f>IF(AP67=0,"",AQ67/AP67)</f>
        <v/>
      </c>
      <c r="AT67" s="46" t="n"/>
      <c r="AU67" s="74">
        <f>G67+ L67+ V67+ AF67+ AP67</f>
        <v/>
      </c>
      <c r="AV67" s="74">
        <f>H67+ M67+ W67+ AG67+ AQ67</f>
        <v/>
      </c>
      <c r="AW67" s="74">
        <f>AV67-AU67</f>
        <v/>
      </c>
      <c r="AX67" s="75">
        <f>IF(AU67=0,"",AV67/AU67)</f>
        <v/>
      </c>
      <c r="AY67" s="52" t="n"/>
      <c r="AZ67" s="72" t="n"/>
      <c r="BA67" s="72" t="n"/>
      <c r="BB67" s="72">
        <f>BA67-AZ67</f>
        <v/>
      </c>
      <c r="BC67" s="73">
        <f>IF(AZ67=0,"",BA67/AZ67)</f>
        <v/>
      </c>
      <c r="BD67" s="46" t="n"/>
      <c r="BE67" s="74">
        <f>G67+ L67+ V67+ AF67+ AP67+ AZ67</f>
        <v/>
      </c>
      <c r="BF67" s="74">
        <f>H67+ M67+ W67+ AG67+ AQ67+ BA67</f>
        <v/>
      </c>
      <c r="BG67" s="74">
        <f>BF67-BE67</f>
        <v/>
      </c>
      <c r="BH67" s="75">
        <f>IF(BE67=0,"",BF67/BE67)</f>
        <v/>
      </c>
      <c r="BI67" s="52" t="n"/>
      <c r="BJ67" s="72" t="n"/>
      <c r="BK67" s="72" t="n"/>
      <c r="BL67" s="72">
        <f>BK67-BJ67</f>
        <v/>
      </c>
      <c r="BM67" s="73">
        <f>IF(BJ67=0,"",BK67/BJ67)</f>
        <v/>
      </c>
      <c r="BN67" s="46" t="n"/>
      <c r="BO67" s="74">
        <f>G67+ L67+ V67+ AF67+ AP67+ AZ67+ BJ67</f>
        <v/>
      </c>
      <c r="BP67" s="74">
        <f>H67+ M67+ W67+ AG67+ AQ67+ BA67+ BK67</f>
        <v/>
      </c>
      <c r="BQ67" s="74">
        <f>BP67-BO67</f>
        <v/>
      </c>
      <c r="BR67" s="75">
        <f>IF(BO67=0,"",BP67/BO67)</f>
        <v/>
      </c>
      <c r="BS67" s="52" t="n"/>
      <c r="BT67" s="72" t="n"/>
      <c r="BU67" s="72" t="n"/>
      <c r="BV67" s="72">
        <f>BU67-BT67</f>
        <v/>
      </c>
      <c r="BW67" s="73">
        <f>IF(BT67=0,"",BU67/BT67)</f>
        <v/>
      </c>
      <c r="BX67" s="46" t="n"/>
      <c r="BY67" s="74">
        <f>G67+ L67+ V67+ AF67+ AP67+ AZ67+ BJ67+ BT67</f>
        <v/>
      </c>
      <c r="BZ67" s="74">
        <f>H67+ M67+ W67+ AG67+ AQ67+ BA67+ BK67+ BU67</f>
        <v/>
      </c>
      <c r="CA67" s="74">
        <f>BZ67-BY67</f>
        <v/>
      </c>
      <c r="CB67" s="75">
        <f>IF(BY67=0,"",BZ67/BY67)</f>
        <v/>
      </c>
      <c r="CC67" s="52" t="n"/>
      <c r="CD67" s="72" t="n"/>
      <c r="CE67" s="72" t="n"/>
      <c r="CF67" s="72">
        <f>CE67-CD67</f>
        <v/>
      </c>
      <c r="CG67" s="73">
        <f>IF(CD67=0,"",CE67/CD67)</f>
        <v/>
      </c>
      <c r="CH67" s="46" t="n"/>
      <c r="CI67" s="74">
        <f>G67+ L67+ V67+ AF67+ AP67+ AZ67+ BJ67+ BT67+ CD67</f>
        <v/>
      </c>
      <c r="CJ67" s="74">
        <f>H67+ M67+ W67+ AG67+ AQ67+ BA67+ BK67+ BU67+ CE67</f>
        <v/>
      </c>
      <c r="CK67" s="74">
        <f>CJ67-CI67</f>
        <v/>
      </c>
      <c r="CL67" s="75">
        <f>IF(CI67=0,"",CJ67/CI67)</f>
        <v/>
      </c>
      <c r="CM67" s="52" t="n"/>
      <c r="CN67" s="72" t="n"/>
      <c r="CO67" s="72" t="n"/>
      <c r="CP67" s="72">
        <f>CO67-CN67</f>
        <v/>
      </c>
      <c r="CQ67" s="73">
        <f>IF(CN67=0,"",CO67/CN67)</f>
        <v/>
      </c>
      <c r="CR67" s="46" t="n"/>
      <c r="CS67" s="74">
        <f>G67+ L67+ V67+ AF67+ AP67+ AZ67+ BJ67+ BT67+ CD67+ CN67</f>
        <v/>
      </c>
      <c r="CT67" s="74">
        <f>H67+ M67+ W67+ AG67+ AQ67+ BA67+ BK67+ BU67+ CE67+ CO67</f>
        <v/>
      </c>
      <c r="CU67" s="74">
        <f>CT67-CS67</f>
        <v/>
      </c>
      <c r="CV67" s="75">
        <f>IF(CS67=0,"",CT67/CS67)</f>
        <v/>
      </c>
      <c r="CW67" s="52" t="n"/>
      <c r="CX67" s="72" t="n"/>
      <c r="CY67" s="72" t="n"/>
      <c r="CZ67" s="72">
        <f>CY67-CX67</f>
        <v/>
      </c>
      <c r="DA67" s="73">
        <f>IF(CX67=0,"",CY67/CX67)</f>
        <v/>
      </c>
      <c r="DB67" s="46" t="n"/>
      <c r="DC67" s="74">
        <f>G67+ L67+ V67+ AF67+ AP67+ AZ67+ BJ67+ BT67+ CD67+ CN67+ CX67</f>
        <v/>
      </c>
      <c r="DD67" s="74">
        <f>H67+ M67+ W67+ AG67+ AQ67+ BA67+ BK67+ BU67+ CE67+ CO67+ CY67</f>
        <v/>
      </c>
      <c r="DE67" s="74">
        <f>DD67-DC67</f>
        <v/>
      </c>
      <c r="DF67" s="75">
        <f>IF(DC67=0,"",DD67/DC67)</f>
        <v/>
      </c>
      <c r="DG67" s="52" t="n"/>
      <c r="DH67" s="72" t="n"/>
      <c r="DI67" s="72" t="n"/>
      <c r="DJ67" s="72">
        <f>DI67-DH67</f>
        <v/>
      </c>
      <c r="DK67" s="73">
        <f>IF(DH67=0,"",DI67/DH67)</f>
        <v/>
      </c>
      <c r="DL67" s="46" t="n"/>
      <c r="DM67" s="74">
        <f>G67+ L67+ V67+ AF67+ AP67+ AZ67+ BJ67+ BT67+ CD67+ CN67+ CX67+ DH67</f>
        <v/>
      </c>
      <c r="DN67" s="74">
        <f>H67+ M67+ W67+ AG67+ AQ67+ BA67+ BK67+ BU67+ CE67+ CO67+ CY67+ DI67</f>
        <v/>
      </c>
      <c r="DO67" s="74">
        <f>DN67-DM67</f>
        <v/>
      </c>
      <c r="DP67" s="75">
        <f>IF(DM67=0,"",DN67/DM67)</f>
        <v/>
      </c>
      <c r="DQ67" s="52" t="n"/>
      <c r="DR67" s="72">
        <f>G67+L67+V67+AF67+AP67+AZ67+BJ67+BT67+CD67+CN67+CX67+DH67</f>
        <v/>
      </c>
    </row>
    <row r="68" ht="15" customHeight="1">
      <c r="A68" s="55" t="n"/>
      <c r="B68" s="55" t="n"/>
      <c r="C68" s="55" t="n"/>
      <c r="D68" s="46" t="n"/>
      <c r="E68" s="46" t="n"/>
      <c r="F68" s="47" t="n"/>
      <c r="G68" s="72" t="n"/>
      <c r="H68" s="72" t="n"/>
      <c r="I68" s="72">
        <f>H68-G68</f>
        <v/>
      </c>
      <c r="J68" s="73">
        <f>IF(G68=0,"",H68/G68)</f>
        <v/>
      </c>
      <c r="K68" s="46" t="n"/>
      <c r="L68" s="72" t="n"/>
      <c r="M68" s="72" t="n"/>
      <c r="N68" s="72">
        <f>M68-L68</f>
        <v/>
      </c>
      <c r="O68" s="73">
        <f>IF(L68=0,"",M68/L68)</f>
        <v/>
      </c>
      <c r="P68" s="46" t="n"/>
      <c r="Q68" s="74">
        <f>G68+ L68</f>
        <v/>
      </c>
      <c r="R68" s="74">
        <f>H68+ M68</f>
        <v/>
      </c>
      <c r="S68" s="74">
        <f>R68-Q68</f>
        <v/>
      </c>
      <c r="T68" s="75">
        <f>IF(Q68=0,"",R68/Q68)</f>
        <v/>
      </c>
      <c r="U68" s="52" t="n"/>
      <c r="V68" s="72" t="n"/>
      <c r="W68" s="72" t="n"/>
      <c r="X68" s="72">
        <f>W68-V68</f>
        <v/>
      </c>
      <c r="Y68" s="73">
        <f>IF(V68=0,"",W68/V68)</f>
        <v/>
      </c>
      <c r="Z68" s="46" t="n"/>
      <c r="AA68" s="74">
        <f>G68+ L68+ V68</f>
        <v/>
      </c>
      <c r="AB68" s="74">
        <f>H68+ M68+ W68</f>
        <v/>
      </c>
      <c r="AC68" s="74">
        <f>AB68-AA68</f>
        <v/>
      </c>
      <c r="AD68" s="75">
        <f>IF(AA68=0,"",AB68/AA68)</f>
        <v/>
      </c>
      <c r="AE68" s="52" t="n"/>
      <c r="AF68" s="72" t="n"/>
      <c r="AG68" s="72" t="n"/>
      <c r="AH68" s="72">
        <f>AG68-AF68</f>
        <v/>
      </c>
      <c r="AI68" s="73">
        <f>IF(AF68=0,"",AG68/AF68)</f>
        <v/>
      </c>
      <c r="AJ68" s="46" t="n"/>
      <c r="AK68" s="74">
        <f>G68+ L68+ V68+ AF68</f>
        <v/>
      </c>
      <c r="AL68" s="74">
        <f>H68+ M68+ W68+ AG68</f>
        <v/>
      </c>
      <c r="AM68" s="74">
        <f>AL68-AK68</f>
        <v/>
      </c>
      <c r="AN68" s="75">
        <f>IF(AK68=0,"",AL68/AK68)</f>
        <v/>
      </c>
      <c r="AO68" s="52" t="n"/>
      <c r="AP68" s="72" t="n"/>
      <c r="AQ68" s="72" t="n"/>
      <c r="AR68" s="72">
        <f>AQ68-AP68</f>
        <v/>
      </c>
      <c r="AS68" s="73">
        <f>IF(AP68=0,"",AQ68/AP68)</f>
        <v/>
      </c>
      <c r="AT68" s="46" t="n"/>
      <c r="AU68" s="74">
        <f>G68+ L68+ V68+ AF68+ AP68</f>
        <v/>
      </c>
      <c r="AV68" s="74">
        <f>H68+ M68+ W68+ AG68+ AQ68</f>
        <v/>
      </c>
      <c r="AW68" s="74">
        <f>AV68-AU68</f>
        <v/>
      </c>
      <c r="AX68" s="75">
        <f>IF(AU68=0,"",AV68/AU68)</f>
        <v/>
      </c>
      <c r="AY68" s="52" t="n"/>
      <c r="AZ68" s="72" t="n"/>
      <c r="BA68" s="72" t="n"/>
      <c r="BB68" s="72">
        <f>BA68-AZ68</f>
        <v/>
      </c>
      <c r="BC68" s="73">
        <f>IF(AZ68=0,"",BA68/AZ68)</f>
        <v/>
      </c>
      <c r="BD68" s="46" t="n"/>
      <c r="BE68" s="74">
        <f>G68+ L68+ V68+ AF68+ AP68+ AZ68</f>
        <v/>
      </c>
      <c r="BF68" s="74">
        <f>H68+ M68+ W68+ AG68+ AQ68+ BA68</f>
        <v/>
      </c>
      <c r="BG68" s="74">
        <f>BF68-BE68</f>
        <v/>
      </c>
      <c r="BH68" s="75">
        <f>IF(BE68=0,"",BF68/BE68)</f>
        <v/>
      </c>
      <c r="BI68" s="52" t="n"/>
      <c r="BJ68" s="72" t="n"/>
      <c r="BK68" s="72" t="n"/>
      <c r="BL68" s="72">
        <f>BK68-BJ68</f>
        <v/>
      </c>
      <c r="BM68" s="73">
        <f>IF(BJ68=0,"",BK68/BJ68)</f>
        <v/>
      </c>
      <c r="BN68" s="46" t="n"/>
      <c r="BO68" s="74">
        <f>G68+ L68+ V68+ AF68+ AP68+ AZ68+ BJ68</f>
        <v/>
      </c>
      <c r="BP68" s="74">
        <f>H68+ M68+ W68+ AG68+ AQ68+ BA68+ BK68</f>
        <v/>
      </c>
      <c r="BQ68" s="74">
        <f>BP68-BO68</f>
        <v/>
      </c>
      <c r="BR68" s="75">
        <f>IF(BO68=0,"",BP68/BO68)</f>
        <v/>
      </c>
      <c r="BS68" s="52" t="n"/>
      <c r="BT68" s="72" t="n"/>
      <c r="BU68" s="72" t="n"/>
      <c r="BV68" s="72">
        <f>BU68-BT68</f>
        <v/>
      </c>
      <c r="BW68" s="73">
        <f>IF(BT68=0,"",BU68/BT68)</f>
        <v/>
      </c>
      <c r="BX68" s="46" t="n"/>
      <c r="BY68" s="74">
        <f>G68+ L68+ V68+ AF68+ AP68+ AZ68+ BJ68+ BT68</f>
        <v/>
      </c>
      <c r="BZ68" s="74">
        <f>H68+ M68+ W68+ AG68+ AQ68+ BA68+ BK68+ BU68</f>
        <v/>
      </c>
      <c r="CA68" s="74">
        <f>BZ68-BY68</f>
        <v/>
      </c>
      <c r="CB68" s="75">
        <f>IF(BY68=0,"",BZ68/BY68)</f>
        <v/>
      </c>
      <c r="CC68" s="52" t="n"/>
      <c r="CD68" s="72" t="n"/>
      <c r="CE68" s="72" t="n"/>
      <c r="CF68" s="72">
        <f>CE68-CD68</f>
        <v/>
      </c>
      <c r="CG68" s="73">
        <f>IF(CD68=0,"",CE68/CD68)</f>
        <v/>
      </c>
      <c r="CH68" s="46" t="n"/>
      <c r="CI68" s="74">
        <f>G68+ L68+ V68+ AF68+ AP68+ AZ68+ BJ68+ BT68+ CD68</f>
        <v/>
      </c>
      <c r="CJ68" s="74">
        <f>H68+ M68+ W68+ AG68+ AQ68+ BA68+ BK68+ BU68+ CE68</f>
        <v/>
      </c>
      <c r="CK68" s="74">
        <f>CJ68-CI68</f>
        <v/>
      </c>
      <c r="CL68" s="75">
        <f>IF(CI68=0,"",CJ68/CI68)</f>
        <v/>
      </c>
      <c r="CM68" s="52" t="n"/>
      <c r="CN68" s="72" t="n"/>
      <c r="CO68" s="72" t="n"/>
      <c r="CP68" s="72">
        <f>CO68-CN68</f>
        <v/>
      </c>
      <c r="CQ68" s="73">
        <f>IF(CN68=0,"",CO68/CN68)</f>
        <v/>
      </c>
      <c r="CR68" s="46" t="n"/>
      <c r="CS68" s="74">
        <f>G68+ L68+ V68+ AF68+ AP68+ AZ68+ BJ68+ BT68+ CD68+ CN68</f>
        <v/>
      </c>
      <c r="CT68" s="74">
        <f>H68+ M68+ W68+ AG68+ AQ68+ BA68+ BK68+ BU68+ CE68+ CO68</f>
        <v/>
      </c>
      <c r="CU68" s="74">
        <f>CT68-CS68</f>
        <v/>
      </c>
      <c r="CV68" s="75">
        <f>IF(CS68=0,"",CT68/CS68)</f>
        <v/>
      </c>
      <c r="CW68" s="52" t="n"/>
      <c r="CX68" s="72" t="n"/>
      <c r="CY68" s="72" t="n"/>
      <c r="CZ68" s="72">
        <f>CY68-CX68</f>
        <v/>
      </c>
      <c r="DA68" s="73">
        <f>IF(CX68=0,"",CY68/CX68)</f>
        <v/>
      </c>
      <c r="DB68" s="46" t="n"/>
      <c r="DC68" s="74">
        <f>G68+ L68+ V68+ AF68+ AP68+ AZ68+ BJ68+ BT68+ CD68+ CN68+ CX68</f>
        <v/>
      </c>
      <c r="DD68" s="74">
        <f>H68+ M68+ W68+ AG68+ AQ68+ BA68+ BK68+ BU68+ CE68+ CO68+ CY68</f>
        <v/>
      </c>
      <c r="DE68" s="74">
        <f>DD68-DC68</f>
        <v/>
      </c>
      <c r="DF68" s="75">
        <f>IF(DC68=0,"",DD68/DC68)</f>
        <v/>
      </c>
      <c r="DG68" s="52" t="n"/>
      <c r="DH68" s="72" t="n"/>
      <c r="DI68" s="72" t="n"/>
      <c r="DJ68" s="72">
        <f>DI68-DH68</f>
        <v/>
      </c>
      <c r="DK68" s="73">
        <f>IF(DH68=0,"",DI68/DH68)</f>
        <v/>
      </c>
      <c r="DL68" s="46" t="n"/>
      <c r="DM68" s="74">
        <f>G68+ L68+ V68+ AF68+ AP68+ AZ68+ BJ68+ BT68+ CD68+ CN68+ CX68+ DH68</f>
        <v/>
      </c>
      <c r="DN68" s="74">
        <f>H68+ M68+ W68+ AG68+ AQ68+ BA68+ BK68+ BU68+ CE68+ CO68+ CY68+ DI68</f>
        <v/>
      </c>
      <c r="DO68" s="74">
        <f>DN68-DM68</f>
        <v/>
      </c>
      <c r="DP68" s="75">
        <f>IF(DM68=0,"",DN68/DM68)</f>
        <v/>
      </c>
      <c r="DQ68" s="52" t="n"/>
      <c r="DR68" s="72">
        <f>G68+L68+V68+AF68+AP68+AZ68+BJ68+BT68+CD68+CN68+CX68+DH68</f>
        <v/>
      </c>
    </row>
    <row r="69" ht="15" customHeight="1">
      <c r="A69" s="42" t="n"/>
      <c r="B69" s="39" t="n"/>
      <c r="C69" s="39" t="n"/>
      <c r="D69" s="39" t="n"/>
      <c r="E69" s="39" t="n"/>
      <c r="F69" s="39" t="n"/>
      <c r="G69" s="70">
        <f>SUM(G70,G71,G72,G73,G74)</f>
        <v/>
      </c>
      <c r="H69" s="70">
        <f>SUM(H70,H71,H72,H73,H74)</f>
        <v/>
      </c>
      <c r="I69" s="70">
        <f>H69-G69</f>
        <v/>
      </c>
      <c r="J69" s="71">
        <f>IF(G69=0,"",H69/G69)</f>
        <v/>
      </c>
      <c r="K69" s="39" t="n"/>
      <c r="L69" s="70">
        <f>SUM(L70,L71,L72,L73,L74)</f>
        <v/>
      </c>
      <c r="M69" s="70">
        <f>SUM(M70,M71,M72,M73,M74)</f>
        <v/>
      </c>
      <c r="N69" s="70">
        <f>M69-L69</f>
        <v/>
      </c>
      <c r="O69" s="71">
        <f>IF(L69=0,"",M69/L69)</f>
        <v/>
      </c>
      <c r="P69" s="39" t="n"/>
      <c r="Q69" s="70">
        <f>G69+ L69</f>
        <v/>
      </c>
      <c r="R69" s="70">
        <f>H69+ M69</f>
        <v/>
      </c>
      <c r="S69" s="70">
        <f>R69-Q69</f>
        <v/>
      </c>
      <c r="T69" s="71">
        <f>IF(Q69=0,"",R69/Q69)</f>
        <v/>
      </c>
      <c r="U69" s="39" t="n"/>
      <c r="V69" s="70">
        <f>SUM(V70,V71,V72,V73,V74)</f>
        <v/>
      </c>
      <c r="W69" s="70">
        <f>SUM(W70,W71,W72,W73,W74)</f>
        <v/>
      </c>
      <c r="X69" s="70">
        <f>W69-V69</f>
        <v/>
      </c>
      <c r="Y69" s="71">
        <f>IF(V69=0,"",W69/V69)</f>
        <v/>
      </c>
      <c r="Z69" s="39" t="n"/>
      <c r="AA69" s="70">
        <f>G69+ L69+ V69</f>
        <v/>
      </c>
      <c r="AB69" s="70">
        <f>H69+ M69+ W69</f>
        <v/>
      </c>
      <c r="AC69" s="70">
        <f>AB69-AA69</f>
        <v/>
      </c>
      <c r="AD69" s="71">
        <f>IF(AA69=0,"",AB69/AA69)</f>
        <v/>
      </c>
      <c r="AE69" s="39" t="n"/>
      <c r="AF69" s="70">
        <f>SUM(AF70,AF71,AF72,AF73,AF74)</f>
        <v/>
      </c>
      <c r="AG69" s="70">
        <f>SUM(AG70,AG71,AG72,AG73,AG74)</f>
        <v/>
      </c>
      <c r="AH69" s="70">
        <f>AG69-AF69</f>
        <v/>
      </c>
      <c r="AI69" s="71">
        <f>IF(AF69=0,"",AG69/AF69)</f>
        <v/>
      </c>
      <c r="AJ69" s="39" t="n"/>
      <c r="AK69" s="70">
        <f>G69+ L69+ V69+ AF69</f>
        <v/>
      </c>
      <c r="AL69" s="70">
        <f>H69+ M69+ W69+ AG69</f>
        <v/>
      </c>
      <c r="AM69" s="70">
        <f>AL69-AK69</f>
        <v/>
      </c>
      <c r="AN69" s="71">
        <f>IF(AK69=0,"",AL69/AK69)</f>
        <v/>
      </c>
      <c r="AO69" s="39" t="n"/>
      <c r="AP69" s="70">
        <f>SUM(AP70,AP71,AP72,AP73,AP74)</f>
        <v/>
      </c>
      <c r="AQ69" s="70">
        <f>SUM(AQ70,AQ71,AQ72,AQ73,AQ74)</f>
        <v/>
      </c>
      <c r="AR69" s="70">
        <f>AQ69-AP69</f>
        <v/>
      </c>
      <c r="AS69" s="71">
        <f>IF(AP69=0,"",AQ69/AP69)</f>
        <v/>
      </c>
      <c r="AT69" s="39" t="n"/>
      <c r="AU69" s="70">
        <f>G69+ L69+ V69+ AF69+ AP69</f>
        <v/>
      </c>
      <c r="AV69" s="70">
        <f>H69+ M69+ W69+ AG69+ AQ69</f>
        <v/>
      </c>
      <c r="AW69" s="70">
        <f>AV69-AU69</f>
        <v/>
      </c>
      <c r="AX69" s="71">
        <f>IF(AU69=0,"",AV69/AU69)</f>
        <v/>
      </c>
      <c r="AY69" s="39" t="n"/>
      <c r="AZ69" s="70">
        <f>SUM(AZ70,AZ71,AZ72,AZ73,AZ74)</f>
        <v/>
      </c>
      <c r="BA69" s="70">
        <f>SUM(BA70,BA71,BA72,BA73,BA74)</f>
        <v/>
      </c>
      <c r="BB69" s="70">
        <f>BA69-AZ69</f>
        <v/>
      </c>
      <c r="BC69" s="71">
        <f>IF(AZ69=0,"",BA69/AZ69)</f>
        <v/>
      </c>
      <c r="BD69" s="39" t="n"/>
      <c r="BE69" s="70">
        <f>G69+ L69+ V69+ AF69+ AP69+ AZ69</f>
        <v/>
      </c>
      <c r="BF69" s="70">
        <f>H69+ M69+ W69+ AG69+ AQ69+ BA69</f>
        <v/>
      </c>
      <c r="BG69" s="70">
        <f>BF69-BE69</f>
        <v/>
      </c>
      <c r="BH69" s="71">
        <f>IF(BE69=0,"",BF69/BE69)</f>
        <v/>
      </c>
      <c r="BI69" s="39" t="n"/>
      <c r="BJ69" s="70">
        <f>SUM(BJ70,BJ71,BJ72,BJ73,BJ74)</f>
        <v/>
      </c>
      <c r="BK69" s="70">
        <f>SUM(BK70,BK71,BK72,BK73,BK74)</f>
        <v/>
      </c>
      <c r="BL69" s="70">
        <f>BK69-BJ69</f>
        <v/>
      </c>
      <c r="BM69" s="71">
        <f>IF(BJ69=0,"",BK69/BJ69)</f>
        <v/>
      </c>
      <c r="BN69" s="39" t="n"/>
      <c r="BO69" s="70">
        <f>G69+ L69+ V69+ AF69+ AP69+ AZ69+ BJ69</f>
        <v/>
      </c>
      <c r="BP69" s="70">
        <f>H69+ M69+ W69+ AG69+ AQ69+ BA69+ BK69</f>
        <v/>
      </c>
      <c r="BQ69" s="70">
        <f>BP69-BO69</f>
        <v/>
      </c>
      <c r="BR69" s="71">
        <f>IF(BO69=0,"",BP69/BO69)</f>
        <v/>
      </c>
      <c r="BS69" s="39" t="n"/>
      <c r="BT69" s="70">
        <f>SUM(BT70,BT71,BT72,BT73,BT74)</f>
        <v/>
      </c>
      <c r="BU69" s="70">
        <f>SUM(BU70,BU71,BU72,BU73,BU74)</f>
        <v/>
      </c>
      <c r="BV69" s="70">
        <f>BU69-BT69</f>
        <v/>
      </c>
      <c r="BW69" s="71">
        <f>IF(BT69=0,"",BU69/BT69)</f>
        <v/>
      </c>
      <c r="BX69" s="39" t="n"/>
      <c r="BY69" s="70">
        <f>G69+ L69+ V69+ AF69+ AP69+ AZ69+ BJ69+ BT69</f>
        <v/>
      </c>
      <c r="BZ69" s="70">
        <f>H69+ M69+ W69+ AG69+ AQ69+ BA69+ BK69+ BU69</f>
        <v/>
      </c>
      <c r="CA69" s="70">
        <f>BZ69-BY69</f>
        <v/>
      </c>
      <c r="CB69" s="71">
        <f>IF(BY69=0,"",BZ69/BY69)</f>
        <v/>
      </c>
      <c r="CC69" s="39" t="n"/>
      <c r="CD69" s="70">
        <f>SUM(CD70,CD71,CD72,CD73,CD74)</f>
        <v/>
      </c>
      <c r="CE69" s="70">
        <f>SUM(CE70,CE71,CE72,CE73,CE74)</f>
        <v/>
      </c>
      <c r="CF69" s="70">
        <f>CE69-CD69</f>
        <v/>
      </c>
      <c r="CG69" s="71">
        <f>IF(CD69=0,"",CE69/CD69)</f>
        <v/>
      </c>
      <c r="CH69" s="39" t="n"/>
      <c r="CI69" s="70">
        <f>G69+ L69+ V69+ AF69+ AP69+ AZ69+ BJ69+ BT69+ CD69</f>
        <v/>
      </c>
      <c r="CJ69" s="70">
        <f>H69+ M69+ W69+ AG69+ AQ69+ BA69+ BK69+ BU69+ CE69</f>
        <v/>
      </c>
      <c r="CK69" s="70">
        <f>CJ69-CI69</f>
        <v/>
      </c>
      <c r="CL69" s="71">
        <f>IF(CI69=0,"",CJ69/CI69)</f>
        <v/>
      </c>
      <c r="CM69" s="39" t="n"/>
      <c r="CN69" s="70">
        <f>SUM(CN70,CN71,CN72,CN73,CN74)</f>
        <v/>
      </c>
      <c r="CO69" s="70">
        <f>SUM(CO70,CO71,CO72,CO73,CO74)</f>
        <v/>
      </c>
      <c r="CP69" s="70">
        <f>CO69-CN69</f>
        <v/>
      </c>
      <c r="CQ69" s="71">
        <f>IF(CN69=0,"",CO69/CN69)</f>
        <v/>
      </c>
      <c r="CR69" s="39" t="n"/>
      <c r="CS69" s="70">
        <f>G69+ L69+ V69+ AF69+ AP69+ AZ69+ BJ69+ BT69+ CD69+ CN69</f>
        <v/>
      </c>
      <c r="CT69" s="70">
        <f>H69+ M69+ W69+ AG69+ AQ69+ BA69+ BK69+ BU69+ CE69+ CO69</f>
        <v/>
      </c>
      <c r="CU69" s="70">
        <f>CT69-CS69</f>
        <v/>
      </c>
      <c r="CV69" s="71">
        <f>IF(CS69=0,"",CT69/CS69)</f>
        <v/>
      </c>
      <c r="CW69" s="39" t="n"/>
      <c r="CX69" s="70">
        <f>SUM(CX70,CX71,CX72,CX73,CX74)</f>
        <v/>
      </c>
      <c r="CY69" s="70">
        <f>SUM(CY70,CY71,CY72,CY73,CY74)</f>
        <v/>
      </c>
      <c r="CZ69" s="70">
        <f>CY69-CX69</f>
        <v/>
      </c>
      <c r="DA69" s="71">
        <f>IF(CX69=0,"",CY69/CX69)</f>
        <v/>
      </c>
      <c r="DB69" s="39" t="n"/>
      <c r="DC69" s="70">
        <f>G69+ L69+ V69+ AF69+ AP69+ AZ69+ BJ69+ BT69+ CD69+ CN69+ CX69</f>
        <v/>
      </c>
      <c r="DD69" s="70">
        <f>H69+ M69+ W69+ AG69+ AQ69+ BA69+ BK69+ BU69+ CE69+ CO69+ CY69</f>
        <v/>
      </c>
      <c r="DE69" s="70">
        <f>DD69-DC69</f>
        <v/>
      </c>
      <c r="DF69" s="71">
        <f>IF(DC69=0,"",DD69/DC69)</f>
        <v/>
      </c>
      <c r="DG69" s="39" t="n"/>
      <c r="DH69" s="70">
        <f>SUM(DH70,DH71,DH72,DH73,DH74)</f>
        <v/>
      </c>
      <c r="DI69" s="70">
        <f>SUM(DI70,DI71,DI72,DI73,DI74)</f>
        <v/>
      </c>
      <c r="DJ69" s="70">
        <f>DI69-DH69</f>
        <v/>
      </c>
      <c r="DK69" s="71">
        <f>IF(DH69=0,"",DI69/DH69)</f>
        <v/>
      </c>
      <c r="DL69" s="39" t="n"/>
      <c r="DM69" s="70">
        <f>G69+ L69+ V69+ AF69+ AP69+ AZ69+ BJ69+ BT69+ CD69+ CN69+ CX69+ DH69</f>
        <v/>
      </c>
      <c r="DN69" s="70">
        <f>H69+ M69+ W69+ AG69+ AQ69+ BA69+ BK69+ BU69+ CE69+ CO69+ CY69+ DI69</f>
        <v/>
      </c>
      <c r="DO69" s="70">
        <f>DN69-DM69</f>
        <v/>
      </c>
      <c r="DP69" s="71">
        <f>IF(DM69=0,"",DN69/DM69)</f>
        <v/>
      </c>
      <c r="DQ69" s="39" t="n"/>
      <c r="DR69" s="70">
        <f>SUM(DR70,DR71,DR72,DR73,DR74)</f>
        <v/>
      </c>
    </row>
    <row r="70" ht="15" customHeight="1">
      <c r="A70" s="46" t="n"/>
      <c r="B70" s="46" t="n"/>
      <c r="C70" s="46" t="n"/>
      <c r="D70" s="46" t="n"/>
      <c r="E70" s="46" t="n"/>
      <c r="F70" s="47" t="n"/>
      <c r="G70" s="72" t="n"/>
      <c r="H70" s="72" t="n"/>
      <c r="I70" s="72">
        <f>H70-G70</f>
        <v/>
      </c>
      <c r="J70" s="73">
        <f>IF(G70=0,"",H70/G70)</f>
        <v/>
      </c>
      <c r="K70" s="46" t="n"/>
      <c r="L70" s="72" t="n"/>
      <c r="M70" s="72" t="n"/>
      <c r="N70" s="72">
        <f>M70-L70</f>
        <v/>
      </c>
      <c r="O70" s="73">
        <f>IF(L70=0,"",M70/L70)</f>
        <v/>
      </c>
      <c r="P70" s="46" t="n"/>
      <c r="Q70" s="74">
        <f>G70+ L70</f>
        <v/>
      </c>
      <c r="R70" s="74">
        <f>H70+ M70</f>
        <v/>
      </c>
      <c r="S70" s="74">
        <f>R70-Q70</f>
        <v/>
      </c>
      <c r="T70" s="75">
        <f>IF(Q70=0,"",R70/Q70)</f>
        <v/>
      </c>
      <c r="U70" s="52" t="n"/>
      <c r="V70" s="72" t="n"/>
      <c r="W70" s="72" t="n"/>
      <c r="X70" s="72">
        <f>W70-V70</f>
        <v/>
      </c>
      <c r="Y70" s="73">
        <f>IF(V70=0,"",W70/V70)</f>
        <v/>
      </c>
      <c r="Z70" s="46" t="n"/>
      <c r="AA70" s="74">
        <f>G70+ L70+ V70</f>
        <v/>
      </c>
      <c r="AB70" s="74">
        <f>H70+ M70+ W70</f>
        <v/>
      </c>
      <c r="AC70" s="74">
        <f>AB70-AA70</f>
        <v/>
      </c>
      <c r="AD70" s="75">
        <f>IF(AA70=0,"",AB70/AA70)</f>
        <v/>
      </c>
      <c r="AE70" s="52" t="n"/>
      <c r="AF70" s="72" t="n"/>
      <c r="AG70" s="72" t="n"/>
      <c r="AH70" s="72">
        <f>AG70-AF70</f>
        <v/>
      </c>
      <c r="AI70" s="73">
        <f>IF(AF70=0,"",AG70/AF70)</f>
        <v/>
      </c>
      <c r="AJ70" s="46" t="n"/>
      <c r="AK70" s="74">
        <f>G70+ L70+ V70+ AF70</f>
        <v/>
      </c>
      <c r="AL70" s="74">
        <f>H70+ M70+ W70+ AG70</f>
        <v/>
      </c>
      <c r="AM70" s="74">
        <f>AL70-AK70</f>
        <v/>
      </c>
      <c r="AN70" s="75">
        <f>IF(AK70=0,"",AL70/AK70)</f>
        <v/>
      </c>
      <c r="AO70" s="52" t="n"/>
      <c r="AP70" s="72" t="n"/>
      <c r="AQ70" s="72" t="n"/>
      <c r="AR70" s="72">
        <f>AQ70-AP70</f>
        <v/>
      </c>
      <c r="AS70" s="73">
        <f>IF(AP70=0,"",AQ70/AP70)</f>
        <v/>
      </c>
      <c r="AT70" s="46" t="n"/>
      <c r="AU70" s="74">
        <f>G70+ L70+ V70+ AF70+ AP70</f>
        <v/>
      </c>
      <c r="AV70" s="74">
        <f>H70+ M70+ W70+ AG70+ AQ70</f>
        <v/>
      </c>
      <c r="AW70" s="74">
        <f>AV70-AU70</f>
        <v/>
      </c>
      <c r="AX70" s="75">
        <f>IF(AU70=0,"",AV70/AU70)</f>
        <v/>
      </c>
      <c r="AY70" s="52" t="n"/>
      <c r="AZ70" s="72" t="n"/>
      <c r="BA70" s="72" t="n"/>
      <c r="BB70" s="72">
        <f>BA70-AZ70</f>
        <v/>
      </c>
      <c r="BC70" s="73">
        <f>IF(AZ70=0,"",BA70/AZ70)</f>
        <v/>
      </c>
      <c r="BD70" s="46" t="n"/>
      <c r="BE70" s="74">
        <f>G70+ L70+ V70+ AF70+ AP70+ AZ70</f>
        <v/>
      </c>
      <c r="BF70" s="74">
        <f>H70+ M70+ W70+ AG70+ AQ70+ BA70</f>
        <v/>
      </c>
      <c r="BG70" s="74">
        <f>BF70-BE70</f>
        <v/>
      </c>
      <c r="BH70" s="75">
        <f>IF(BE70=0,"",BF70/BE70)</f>
        <v/>
      </c>
      <c r="BI70" s="52" t="n"/>
      <c r="BJ70" s="72" t="n"/>
      <c r="BK70" s="72" t="n"/>
      <c r="BL70" s="72">
        <f>BK70-BJ70</f>
        <v/>
      </c>
      <c r="BM70" s="73">
        <f>IF(BJ70=0,"",BK70/BJ70)</f>
        <v/>
      </c>
      <c r="BN70" s="46" t="n"/>
      <c r="BO70" s="74">
        <f>G70+ L70+ V70+ AF70+ AP70+ AZ70+ BJ70</f>
        <v/>
      </c>
      <c r="BP70" s="74">
        <f>H70+ M70+ W70+ AG70+ AQ70+ BA70+ BK70</f>
        <v/>
      </c>
      <c r="BQ70" s="74">
        <f>BP70-BO70</f>
        <v/>
      </c>
      <c r="BR70" s="75">
        <f>IF(BO70=0,"",BP70/BO70)</f>
        <v/>
      </c>
      <c r="BS70" s="52" t="n"/>
      <c r="BT70" s="72" t="n"/>
      <c r="BU70" s="72" t="n"/>
      <c r="BV70" s="72">
        <f>BU70-BT70</f>
        <v/>
      </c>
      <c r="BW70" s="73">
        <f>IF(BT70=0,"",BU70/BT70)</f>
        <v/>
      </c>
      <c r="BX70" s="46" t="n"/>
      <c r="BY70" s="74">
        <f>G70+ L70+ V70+ AF70+ AP70+ AZ70+ BJ70+ BT70</f>
        <v/>
      </c>
      <c r="BZ70" s="74">
        <f>H70+ M70+ W70+ AG70+ AQ70+ BA70+ BK70+ BU70</f>
        <v/>
      </c>
      <c r="CA70" s="74">
        <f>BZ70-BY70</f>
        <v/>
      </c>
      <c r="CB70" s="75">
        <f>IF(BY70=0,"",BZ70/BY70)</f>
        <v/>
      </c>
      <c r="CC70" s="52" t="n"/>
      <c r="CD70" s="72" t="n"/>
      <c r="CE70" s="72" t="n"/>
      <c r="CF70" s="72">
        <f>CE70-CD70</f>
        <v/>
      </c>
      <c r="CG70" s="73">
        <f>IF(CD70=0,"",CE70/CD70)</f>
        <v/>
      </c>
      <c r="CH70" s="46" t="n"/>
      <c r="CI70" s="74">
        <f>G70+ L70+ V70+ AF70+ AP70+ AZ70+ BJ70+ BT70+ CD70</f>
        <v/>
      </c>
      <c r="CJ70" s="74">
        <f>H70+ M70+ W70+ AG70+ AQ70+ BA70+ BK70+ BU70+ CE70</f>
        <v/>
      </c>
      <c r="CK70" s="74">
        <f>CJ70-CI70</f>
        <v/>
      </c>
      <c r="CL70" s="75">
        <f>IF(CI70=0,"",CJ70/CI70)</f>
        <v/>
      </c>
      <c r="CM70" s="52" t="n"/>
      <c r="CN70" s="72" t="n"/>
      <c r="CO70" s="72" t="n"/>
      <c r="CP70" s="72">
        <f>CO70-CN70</f>
        <v/>
      </c>
      <c r="CQ70" s="73">
        <f>IF(CN70=0,"",CO70/CN70)</f>
        <v/>
      </c>
      <c r="CR70" s="46" t="n"/>
      <c r="CS70" s="74">
        <f>G70+ L70+ V70+ AF70+ AP70+ AZ70+ BJ70+ BT70+ CD70+ CN70</f>
        <v/>
      </c>
      <c r="CT70" s="74">
        <f>H70+ M70+ W70+ AG70+ AQ70+ BA70+ BK70+ BU70+ CE70+ CO70</f>
        <v/>
      </c>
      <c r="CU70" s="74">
        <f>CT70-CS70</f>
        <v/>
      </c>
      <c r="CV70" s="75">
        <f>IF(CS70=0,"",CT70/CS70)</f>
        <v/>
      </c>
      <c r="CW70" s="52" t="n"/>
      <c r="CX70" s="72" t="n"/>
      <c r="CY70" s="72" t="n"/>
      <c r="CZ70" s="72">
        <f>CY70-CX70</f>
        <v/>
      </c>
      <c r="DA70" s="73">
        <f>IF(CX70=0,"",CY70/CX70)</f>
        <v/>
      </c>
      <c r="DB70" s="46" t="n"/>
      <c r="DC70" s="74">
        <f>G70+ L70+ V70+ AF70+ AP70+ AZ70+ BJ70+ BT70+ CD70+ CN70+ CX70</f>
        <v/>
      </c>
      <c r="DD70" s="74">
        <f>H70+ M70+ W70+ AG70+ AQ70+ BA70+ BK70+ BU70+ CE70+ CO70+ CY70</f>
        <v/>
      </c>
      <c r="DE70" s="74">
        <f>DD70-DC70</f>
        <v/>
      </c>
      <c r="DF70" s="75">
        <f>IF(DC70=0,"",DD70/DC70)</f>
        <v/>
      </c>
      <c r="DG70" s="52" t="n"/>
      <c r="DH70" s="72" t="n"/>
      <c r="DI70" s="72" t="n"/>
      <c r="DJ70" s="72">
        <f>DI70-DH70</f>
        <v/>
      </c>
      <c r="DK70" s="73">
        <f>IF(DH70=0,"",DI70/DH70)</f>
        <v/>
      </c>
      <c r="DL70" s="46" t="n"/>
      <c r="DM70" s="74">
        <f>G70+ L70+ V70+ AF70+ AP70+ AZ70+ BJ70+ BT70+ CD70+ CN70+ CX70+ DH70</f>
        <v/>
      </c>
      <c r="DN70" s="74">
        <f>H70+ M70+ W70+ AG70+ AQ70+ BA70+ BK70+ BU70+ CE70+ CO70+ CY70+ DI70</f>
        <v/>
      </c>
      <c r="DO70" s="74">
        <f>DN70-DM70</f>
        <v/>
      </c>
      <c r="DP70" s="75">
        <f>IF(DM70=0,"",DN70/DM70)</f>
        <v/>
      </c>
      <c r="DQ70" s="52" t="n"/>
      <c r="DR70" s="72">
        <f>G70+L70+V70+AF70+AP70+AZ70+BJ70+BT70+CD70+CN70+CX70+DH70</f>
        <v/>
      </c>
    </row>
    <row r="71" ht="15" customHeight="1">
      <c r="A71" s="67" t="n"/>
      <c r="B71" s="67" t="n"/>
      <c r="C71" s="67" t="n"/>
      <c r="D71" s="46" t="n"/>
      <c r="E71" s="46" t="n"/>
      <c r="F71" s="47" t="n"/>
      <c r="G71" s="72" t="n"/>
      <c r="H71" s="72" t="n"/>
      <c r="I71" s="72">
        <f>H71-G71</f>
        <v/>
      </c>
      <c r="J71" s="73">
        <f>IF(G71=0,"",H71/G71)</f>
        <v/>
      </c>
      <c r="K71" s="46" t="n"/>
      <c r="L71" s="72" t="n"/>
      <c r="M71" s="72" t="n"/>
      <c r="N71" s="72">
        <f>M71-L71</f>
        <v/>
      </c>
      <c r="O71" s="73">
        <f>IF(L71=0,"",M71/L71)</f>
        <v/>
      </c>
      <c r="P71" s="46" t="n"/>
      <c r="Q71" s="74">
        <f>G71+ L71</f>
        <v/>
      </c>
      <c r="R71" s="74">
        <f>H71+ M71</f>
        <v/>
      </c>
      <c r="S71" s="74">
        <f>R71-Q71</f>
        <v/>
      </c>
      <c r="T71" s="75">
        <f>IF(Q71=0,"",R71/Q71)</f>
        <v/>
      </c>
      <c r="U71" s="52" t="n"/>
      <c r="V71" s="72" t="n"/>
      <c r="W71" s="72" t="n"/>
      <c r="X71" s="72">
        <f>W71-V71</f>
        <v/>
      </c>
      <c r="Y71" s="73">
        <f>IF(V71=0,"",W71/V71)</f>
        <v/>
      </c>
      <c r="Z71" s="46" t="n"/>
      <c r="AA71" s="74">
        <f>G71+ L71+ V71</f>
        <v/>
      </c>
      <c r="AB71" s="74">
        <f>H71+ M71+ W71</f>
        <v/>
      </c>
      <c r="AC71" s="74">
        <f>AB71-AA71</f>
        <v/>
      </c>
      <c r="AD71" s="75">
        <f>IF(AA71=0,"",AB71/AA71)</f>
        <v/>
      </c>
      <c r="AE71" s="52" t="n"/>
      <c r="AF71" s="72" t="n"/>
      <c r="AG71" s="72" t="n"/>
      <c r="AH71" s="72">
        <f>AG71-AF71</f>
        <v/>
      </c>
      <c r="AI71" s="73">
        <f>IF(AF71=0,"",AG71/AF71)</f>
        <v/>
      </c>
      <c r="AJ71" s="46" t="n"/>
      <c r="AK71" s="74">
        <f>G71+ L71+ V71+ AF71</f>
        <v/>
      </c>
      <c r="AL71" s="74">
        <f>H71+ M71+ W71+ AG71</f>
        <v/>
      </c>
      <c r="AM71" s="74">
        <f>AL71-AK71</f>
        <v/>
      </c>
      <c r="AN71" s="75">
        <f>IF(AK71=0,"",AL71/AK71)</f>
        <v/>
      </c>
      <c r="AO71" s="52" t="n"/>
      <c r="AP71" s="72" t="n"/>
      <c r="AQ71" s="72" t="n"/>
      <c r="AR71" s="72">
        <f>AQ71-AP71</f>
        <v/>
      </c>
      <c r="AS71" s="73">
        <f>IF(AP71=0,"",AQ71/AP71)</f>
        <v/>
      </c>
      <c r="AT71" s="46" t="n"/>
      <c r="AU71" s="74">
        <f>G71+ L71+ V71+ AF71+ AP71</f>
        <v/>
      </c>
      <c r="AV71" s="74">
        <f>H71+ M71+ W71+ AG71+ AQ71</f>
        <v/>
      </c>
      <c r="AW71" s="74">
        <f>AV71-AU71</f>
        <v/>
      </c>
      <c r="AX71" s="75">
        <f>IF(AU71=0,"",AV71/AU71)</f>
        <v/>
      </c>
      <c r="AY71" s="52" t="n"/>
      <c r="AZ71" s="72" t="n"/>
      <c r="BA71" s="72" t="n"/>
      <c r="BB71" s="72">
        <f>BA71-AZ71</f>
        <v/>
      </c>
      <c r="BC71" s="73">
        <f>IF(AZ71=0,"",BA71/AZ71)</f>
        <v/>
      </c>
      <c r="BD71" s="46" t="n"/>
      <c r="BE71" s="74">
        <f>G71+ L71+ V71+ AF71+ AP71+ AZ71</f>
        <v/>
      </c>
      <c r="BF71" s="74">
        <f>H71+ M71+ W71+ AG71+ AQ71+ BA71</f>
        <v/>
      </c>
      <c r="BG71" s="74">
        <f>BF71-BE71</f>
        <v/>
      </c>
      <c r="BH71" s="75">
        <f>IF(BE71=0,"",BF71/BE71)</f>
        <v/>
      </c>
      <c r="BI71" s="52" t="n"/>
      <c r="BJ71" s="72" t="n"/>
      <c r="BK71" s="72" t="n"/>
      <c r="BL71" s="72">
        <f>BK71-BJ71</f>
        <v/>
      </c>
      <c r="BM71" s="73">
        <f>IF(BJ71=0,"",BK71/BJ71)</f>
        <v/>
      </c>
      <c r="BN71" s="46" t="n"/>
      <c r="BO71" s="74">
        <f>G71+ L71+ V71+ AF71+ AP71+ AZ71+ BJ71</f>
        <v/>
      </c>
      <c r="BP71" s="74">
        <f>H71+ M71+ W71+ AG71+ AQ71+ BA71+ BK71</f>
        <v/>
      </c>
      <c r="BQ71" s="74">
        <f>BP71-BO71</f>
        <v/>
      </c>
      <c r="BR71" s="75">
        <f>IF(BO71=0,"",BP71/BO71)</f>
        <v/>
      </c>
      <c r="BS71" s="52" t="n"/>
      <c r="BT71" s="72" t="n"/>
      <c r="BU71" s="72" t="n"/>
      <c r="BV71" s="72">
        <f>BU71-BT71</f>
        <v/>
      </c>
      <c r="BW71" s="73">
        <f>IF(BT71=0,"",BU71/BT71)</f>
        <v/>
      </c>
      <c r="BX71" s="46" t="n"/>
      <c r="BY71" s="74">
        <f>G71+ L71+ V71+ AF71+ AP71+ AZ71+ BJ71+ BT71</f>
        <v/>
      </c>
      <c r="BZ71" s="74">
        <f>H71+ M71+ W71+ AG71+ AQ71+ BA71+ BK71+ BU71</f>
        <v/>
      </c>
      <c r="CA71" s="74">
        <f>BZ71-BY71</f>
        <v/>
      </c>
      <c r="CB71" s="75">
        <f>IF(BY71=0,"",BZ71/BY71)</f>
        <v/>
      </c>
      <c r="CC71" s="52" t="n"/>
      <c r="CD71" s="72" t="n"/>
      <c r="CE71" s="72" t="n"/>
      <c r="CF71" s="72">
        <f>CE71-CD71</f>
        <v/>
      </c>
      <c r="CG71" s="73">
        <f>IF(CD71=0,"",CE71/CD71)</f>
        <v/>
      </c>
      <c r="CH71" s="46" t="n"/>
      <c r="CI71" s="74">
        <f>G71+ L71+ V71+ AF71+ AP71+ AZ71+ BJ71+ BT71+ CD71</f>
        <v/>
      </c>
      <c r="CJ71" s="74">
        <f>H71+ M71+ W71+ AG71+ AQ71+ BA71+ BK71+ BU71+ CE71</f>
        <v/>
      </c>
      <c r="CK71" s="74">
        <f>CJ71-CI71</f>
        <v/>
      </c>
      <c r="CL71" s="75">
        <f>IF(CI71=0,"",CJ71/CI71)</f>
        <v/>
      </c>
      <c r="CM71" s="52" t="n"/>
      <c r="CN71" s="72" t="n"/>
      <c r="CO71" s="72" t="n"/>
      <c r="CP71" s="72">
        <f>CO71-CN71</f>
        <v/>
      </c>
      <c r="CQ71" s="73">
        <f>IF(CN71=0,"",CO71/CN71)</f>
        <v/>
      </c>
      <c r="CR71" s="46" t="n"/>
      <c r="CS71" s="74">
        <f>G71+ L71+ V71+ AF71+ AP71+ AZ71+ BJ71+ BT71+ CD71+ CN71</f>
        <v/>
      </c>
      <c r="CT71" s="74">
        <f>H71+ M71+ W71+ AG71+ AQ71+ BA71+ BK71+ BU71+ CE71+ CO71</f>
        <v/>
      </c>
      <c r="CU71" s="74">
        <f>CT71-CS71</f>
        <v/>
      </c>
      <c r="CV71" s="75">
        <f>IF(CS71=0,"",CT71/CS71)</f>
        <v/>
      </c>
      <c r="CW71" s="52" t="n"/>
      <c r="CX71" s="72" t="n"/>
      <c r="CY71" s="72" t="n"/>
      <c r="CZ71" s="72">
        <f>CY71-CX71</f>
        <v/>
      </c>
      <c r="DA71" s="73">
        <f>IF(CX71=0,"",CY71/CX71)</f>
        <v/>
      </c>
      <c r="DB71" s="46" t="n"/>
      <c r="DC71" s="74">
        <f>G71+ L71+ V71+ AF71+ AP71+ AZ71+ BJ71+ BT71+ CD71+ CN71+ CX71</f>
        <v/>
      </c>
      <c r="DD71" s="74">
        <f>H71+ M71+ W71+ AG71+ AQ71+ BA71+ BK71+ BU71+ CE71+ CO71+ CY71</f>
        <v/>
      </c>
      <c r="DE71" s="74">
        <f>DD71-DC71</f>
        <v/>
      </c>
      <c r="DF71" s="75">
        <f>IF(DC71=0,"",DD71/DC71)</f>
        <v/>
      </c>
      <c r="DG71" s="52" t="n"/>
      <c r="DH71" s="72" t="n"/>
      <c r="DI71" s="72" t="n"/>
      <c r="DJ71" s="72">
        <f>DI71-DH71</f>
        <v/>
      </c>
      <c r="DK71" s="73">
        <f>IF(DH71=0,"",DI71/DH71)</f>
        <v/>
      </c>
      <c r="DL71" s="46" t="n"/>
      <c r="DM71" s="74">
        <f>G71+ L71+ V71+ AF71+ AP71+ AZ71+ BJ71+ BT71+ CD71+ CN71+ CX71+ DH71</f>
        <v/>
      </c>
      <c r="DN71" s="74">
        <f>H71+ M71+ W71+ AG71+ AQ71+ BA71+ BK71+ BU71+ CE71+ CO71+ CY71+ DI71</f>
        <v/>
      </c>
      <c r="DO71" s="74">
        <f>DN71-DM71</f>
        <v/>
      </c>
      <c r="DP71" s="75">
        <f>IF(DM71=0,"",DN71/DM71)</f>
        <v/>
      </c>
      <c r="DQ71" s="52" t="n"/>
      <c r="DR71" s="72">
        <f>G71+L71+V71+AF71+AP71+AZ71+BJ71+BT71+CD71+CN71+CX71+DH71</f>
        <v/>
      </c>
    </row>
    <row r="72" ht="15" customHeight="1">
      <c r="A72" s="67" t="n"/>
      <c r="B72" s="67" t="n"/>
      <c r="C72" s="67" t="n"/>
      <c r="D72" s="46" t="n"/>
      <c r="E72" s="46" t="n"/>
      <c r="F72" s="47" t="n"/>
      <c r="G72" s="72" t="n"/>
      <c r="H72" s="72" t="n"/>
      <c r="I72" s="72">
        <f>H72-G72</f>
        <v/>
      </c>
      <c r="J72" s="73">
        <f>IF(G72=0,"",H72/G72)</f>
        <v/>
      </c>
      <c r="K72" s="46" t="n"/>
      <c r="L72" s="72" t="n"/>
      <c r="M72" s="72" t="n"/>
      <c r="N72" s="72">
        <f>M72-L72</f>
        <v/>
      </c>
      <c r="O72" s="73">
        <f>IF(L72=0,"",M72/L72)</f>
        <v/>
      </c>
      <c r="P72" s="46" t="n"/>
      <c r="Q72" s="74">
        <f>G72+ L72</f>
        <v/>
      </c>
      <c r="R72" s="74">
        <f>H72+ M72</f>
        <v/>
      </c>
      <c r="S72" s="74">
        <f>R72-Q72</f>
        <v/>
      </c>
      <c r="T72" s="75">
        <f>IF(Q72=0,"",R72/Q72)</f>
        <v/>
      </c>
      <c r="U72" s="52" t="n"/>
      <c r="V72" s="72" t="n"/>
      <c r="W72" s="72" t="n"/>
      <c r="X72" s="72">
        <f>W72-V72</f>
        <v/>
      </c>
      <c r="Y72" s="73">
        <f>IF(V72=0,"",W72/V72)</f>
        <v/>
      </c>
      <c r="Z72" s="46" t="n"/>
      <c r="AA72" s="74">
        <f>G72+ L72+ V72</f>
        <v/>
      </c>
      <c r="AB72" s="74">
        <f>H72+ M72+ W72</f>
        <v/>
      </c>
      <c r="AC72" s="74">
        <f>AB72-AA72</f>
        <v/>
      </c>
      <c r="AD72" s="75">
        <f>IF(AA72=0,"",AB72/AA72)</f>
        <v/>
      </c>
      <c r="AE72" s="52" t="n"/>
      <c r="AF72" s="72" t="n"/>
      <c r="AG72" s="72" t="n"/>
      <c r="AH72" s="72">
        <f>AG72-AF72</f>
        <v/>
      </c>
      <c r="AI72" s="73">
        <f>IF(AF72=0,"",AG72/AF72)</f>
        <v/>
      </c>
      <c r="AJ72" s="46" t="n"/>
      <c r="AK72" s="74">
        <f>G72+ L72+ V72+ AF72</f>
        <v/>
      </c>
      <c r="AL72" s="74">
        <f>H72+ M72+ W72+ AG72</f>
        <v/>
      </c>
      <c r="AM72" s="74">
        <f>AL72-AK72</f>
        <v/>
      </c>
      <c r="AN72" s="75">
        <f>IF(AK72=0,"",AL72/AK72)</f>
        <v/>
      </c>
      <c r="AO72" s="52" t="n"/>
      <c r="AP72" s="72" t="n"/>
      <c r="AQ72" s="72" t="n"/>
      <c r="AR72" s="72">
        <f>AQ72-AP72</f>
        <v/>
      </c>
      <c r="AS72" s="73">
        <f>IF(AP72=0,"",AQ72/AP72)</f>
        <v/>
      </c>
      <c r="AT72" s="46" t="n"/>
      <c r="AU72" s="74">
        <f>G72+ L72+ V72+ AF72+ AP72</f>
        <v/>
      </c>
      <c r="AV72" s="74">
        <f>H72+ M72+ W72+ AG72+ AQ72</f>
        <v/>
      </c>
      <c r="AW72" s="74">
        <f>AV72-AU72</f>
        <v/>
      </c>
      <c r="AX72" s="75">
        <f>IF(AU72=0,"",AV72/AU72)</f>
        <v/>
      </c>
      <c r="AY72" s="52" t="n"/>
      <c r="AZ72" s="72" t="n"/>
      <c r="BA72" s="72" t="n"/>
      <c r="BB72" s="72">
        <f>BA72-AZ72</f>
        <v/>
      </c>
      <c r="BC72" s="73">
        <f>IF(AZ72=0,"",BA72/AZ72)</f>
        <v/>
      </c>
      <c r="BD72" s="46" t="n"/>
      <c r="BE72" s="74">
        <f>G72+ L72+ V72+ AF72+ AP72+ AZ72</f>
        <v/>
      </c>
      <c r="BF72" s="74">
        <f>H72+ M72+ W72+ AG72+ AQ72+ BA72</f>
        <v/>
      </c>
      <c r="BG72" s="74">
        <f>BF72-BE72</f>
        <v/>
      </c>
      <c r="BH72" s="75">
        <f>IF(BE72=0,"",BF72/BE72)</f>
        <v/>
      </c>
      <c r="BI72" s="52" t="n"/>
      <c r="BJ72" s="72" t="n"/>
      <c r="BK72" s="72" t="n"/>
      <c r="BL72" s="72">
        <f>BK72-BJ72</f>
        <v/>
      </c>
      <c r="BM72" s="73">
        <f>IF(BJ72=0,"",BK72/BJ72)</f>
        <v/>
      </c>
      <c r="BN72" s="46" t="n"/>
      <c r="BO72" s="74">
        <f>G72+ L72+ V72+ AF72+ AP72+ AZ72+ BJ72</f>
        <v/>
      </c>
      <c r="BP72" s="74">
        <f>H72+ M72+ W72+ AG72+ AQ72+ BA72+ BK72</f>
        <v/>
      </c>
      <c r="BQ72" s="74">
        <f>BP72-BO72</f>
        <v/>
      </c>
      <c r="BR72" s="75">
        <f>IF(BO72=0,"",BP72/BO72)</f>
        <v/>
      </c>
      <c r="BS72" s="52" t="n"/>
      <c r="BT72" s="72" t="n"/>
      <c r="BU72" s="72" t="n"/>
      <c r="BV72" s="72">
        <f>BU72-BT72</f>
        <v/>
      </c>
      <c r="BW72" s="73">
        <f>IF(BT72=0,"",BU72/BT72)</f>
        <v/>
      </c>
      <c r="BX72" s="46" t="n"/>
      <c r="BY72" s="74">
        <f>G72+ L72+ V72+ AF72+ AP72+ AZ72+ BJ72+ BT72</f>
        <v/>
      </c>
      <c r="BZ72" s="74">
        <f>H72+ M72+ W72+ AG72+ AQ72+ BA72+ BK72+ BU72</f>
        <v/>
      </c>
      <c r="CA72" s="74">
        <f>BZ72-BY72</f>
        <v/>
      </c>
      <c r="CB72" s="75">
        <f>IF(BY72=0,"",BZ72/BY72)</f>
        <v/>
      </c>
      <c r="CC72" s="52" t="n"/>
      <c r="CD72" s="72" t="n"/>
      <c r="CE72" s="72" t="n"/>
      <c r="CF72" s="72">
        <f>CE72-CD72</f>
        <v/>
      </c>
      <c r="CG72" s="73">
        <f>IF(CD72=0,"",CE72/CD72)</f>
        <v/>
      </c>
      <c r="CH72" s="46" t="n"/>
      <c r="CI72" s="74">
        <f>G72+ L72+ V72+ AF72+ AP72+ AZ72+ BJ72+ BT72+ CD72</f>
        <v/>
      </c>
      <c r="CJ72" s="74">
        <f>H72+ M72+ W72+ AG72+ AQ72+ BA72+ BK72+ BU72+ CE72</f>
        <v/>
      </c>
      <c r="CK72" s="74">
        <f>CJ72-CI72</f>
        <v/>
      </c>
      <c r="CL72" s="75">
        <f>IF(CI72=0,"",CJ72/CI72)</f>
        <v/>
      </c>
      <c r="CM72" s="52" t="n"/>
      <c r="CN72" s="72" t="n"/>
      <c r="CO72" s="72" t="n"/>
      <c r="CP72" s="72">
        <f>CO72-CN72</f>
        <v/>
      </c>
      <c r="CQ72" s="73">
        <f>IF(CN72=0,"",CO72/CN72)</f>
        <v/>
      </c>
      <c r="CR72" s="46" t="n"/>
      <c r="CS72" s="74">
        <f>G72+ L72+ V72+ AF72+ AP72+ AZ72+ BJ72+ BT72+ CD72+ CN72</f>
        <v/>
      </c>
      <c r="CT72" s="74">
        <f>H72+ M72+ W72+ AG72+ AQ72+ BA72+ BK72+ BU72+ CE72+ CO72</f>
        <v/>
      </c>
      <c r="CU72" s="74">
        <f>CT72-CS72</f>
        <v/>
      </c>
      <c r="CV72" s="75">
        <f>IF(CS72=0,"",CT72/CS72)</f>
        <v/>
      </c>
      <c r="CW72" s="52" t="n"/>
      <c r="CX72" s="72" t="n"/>
      <c r="CY72" s="72" t="n"/>
      <c r="CZ72" s="72">
        <f>CY72-CX72</f>
        <v/>
      </c>
      <c r="DA72" s="73">
        <f>IF(CX72=0,"",CY72/CX72)</f>
        <v/>
      </c>
      <c r="DB72" s="46" t="n"/>
      <c r="DC72" s="74">
        <f>G72+ L72+ V72+ AF72+ AP72+ AZ72+ BJ72+ BT72+ CD72+ CN72+ CX72</f>
        <v/>
      </c>
      <c r="DD72" s="74">
        <f>H72+ M72+ W72+ AG72+ AQ72+ BA72+ BK72+ BU72+ CE72+ CO72+ CY72</f>
        <v/>
      </c>
      <c r="DE72" s="74">
        <f>DD72-DC72</f>
        <v/>
      </c>
      <c r="DF72" s="75">
        <f>IF(DC72=0,"",DD72/DC72)</f>
        <v/>
      </c>
      <c r="DG72" s="52" t="n"/>
      <c r="DH72" s="72" t="n"/>
      <c r="DI72" s="72" t="n"/>
      <c r="DJ72" s="72">
        <f>DI72-DH72</f>
        <v/>
      </c>
      <c r="DK72" s="73">
        <f>IF(DH72=0,"",DI72/DH72)</f>
        <v/>
      </c>
      <c r="DL72" s="46" t="n"/>
      <c r="DM72" s="74">
        <f>G72+ L72+ V72+ AF72+ AP72+ AZ72+ BJ72+ BT72+ CD72+ CN72+ CX72+ DH72</f>
        <v/>
      </c>
      <c r="DN72" s="74">
        <f>H72+ M72+ W72+ AG72+ AQ72+ BA72+ BK72+ BU72+ CE72+ CO72+ CY72+ DI72</f>
        <v/>
      </c>
      <c r="DO72" s="74">
        <f>DN72-DM72</f>
        <v/>
      </c>
      <c r="DP72" s="75">
        <f>IF(DM72=0,"",DN72/DM72)</f>
        <v/>
      </c>
      <c r="DQ72" s="52" t="n"/>
      <c r="DR72" s="72">
        <f>G72+L72+V72+AF72+AP72+AZ72+BJ72+BT72+CD72+CN72+CX72+DH72</f>
        <v/>
      </c>
    </row>
    <row r="73" ht="15" customHeight="1">
      <c r="A73" s="55" t="n"/>
      <c r="B73" s="55" t="n"/>
      <c r="C73" s="55" t="n"/>
      <c r="D73" s="46" t="n"/>
      <c r="E73" s="46" t="n"/>
      <c r="F73" s="47" t="n"/>
      <c r="G73" s="72" t="n"/>
      <c r="H73" s="72" t="n"/>
      <c r="I73" s="72">
        <f>H73-G73</f>
        <v/>
      </c>
      <c r="J73" s="73">
        <f>IF(G73=0,"",H73/G73)</f>
        <v/>
      </c>
      <c r="K73" s="46" t="n"/>
      <c r="L73" s="72" t="n"/>
      <c r="M73" s="72" t="n"/>
      <c r="N73" s="72">
        <f>M73-L73</f>
        <v/>
      </c>
      <c r="O73" s="73">
        <f>IF(L73=0,"",M73/L73)</f>
        <v/>
      </c>
      <c r="P73" s="46" t="n"/>
      <c r="Q73" s="74">
        <f>G73+ L73</f>
        <v/>
      </c>
      <c r="R73" s="74">
        <f>H73+ M73</f>
        <v/>
      </c>
      <c r="S73" s="74">
        <f>R73-Q73</f>
        <v/>
      </c>
      <c r="T73" s="75">
        <f>IF(Q73=0,"",R73/Q73)</f>
        <v/>
      </c>
      <c r="U73" s="52" t="n"/>
      <c r="V73" s="72" t="n"/>
      <c r="W73" s="72" t="n"/>
      <c r="X73" s="72">
        <f>W73-V73</f>
        <v/>
      </c>
      <c r="Y73" s="73">
        <f>IF(V73=0,"",W73/V73)</f>
        <v/>
      </c>
      <c r="Z73" s="46" t="n"/>
      <c r="AA73" s="74">
        <f>G73+ L73+ V73</f>
        <v/>
      </c>
      <c r="AB73" s="74">
        <f>H73+ M73+ W73</f>
        <v/>
      </c>
      <c r="AC73" s="74">
        <f>AB73-AA73</f>
        <v/>
      </c>
      <c r="AD73" s="75">
        <f>IF(AA73=0,"",AB73/AA73)</f>
        <v/>
      </c>
      <c r="AE73" s="52" t="n"/>
      <c r="AF73" s="72" t="n"/>
      <c r="AG73" s="72" t="n"/>
      <c r="AH73" s="72">
        <f>AG73-AF73</f>
        <v/>
      </c>
      <c r="AI73" s="73">
        <f>IF(AF73=0,"",AG73/AF73)</f>
        <v/>
      </c>
      <c r="AJ73" s="46" t="n"/>
      <c r="AK73" s="74">
        <f>G73+ L73+ V73+ AF73</f>
        <v/>
      </c>
      <c r="AL73" s="74">
        <f>H73+ M73+ W73+ AG73</f>
        <v/>
      </c>
      <c r="AM73" s="74">
        <f>AL73-AK73</f>
        <v/>
      </c>
      <c r="AN73" s="75">
        <f>IF(AK73=0,"",AL73/AK73)</f>
        <v/>
      </c>
      <c r="AO73" s="52" t="n"/>
      <c r="AP73" s="72" t="n"/>
      <c r="AQ73" s="72" t="n"/>
      <c r="AR73" s="72">
        <f>AQ73-AP73</f>
        <v/>
      </c>
      <c r="AS73" s="73">
        <f>IF(AP73=0,"",AQ73/AP73)</f>
        <v/>
      </c>
      <c r="AT73" s="46" t="n"/>
      <c r="AU73" s="74">
        <f>G73+ L73+ V73+ AF73+ AP73</f>
        <v/>
      </c>
      <c r="AV73" s="74">
        <f>H73+ M73+ W73+ AG73+ AQ73</f>
        <v/>
      </c>
      <c r="AW73" s="74">
        <f>AV73-AU73</f>
        <v/>
      </c>
      <c r="AX73" s="75">
        <f>IF(AU73=0,"",AV73/AU73)</f>
        <v/>
      </c>
      <c r="AY73" s="52" t="n"/>
      <c r="AZ73" s="72" t="n"/>
      <c r="BA73" s="72" t="n"/>
      <c r="BB73" s="72">
        <f>BA73-AZ73</f>
        <v/>
      </c>
      <c r="BC73" s="73">
        <f>IF(AZ73=0,"",BA73/AZ73)</f>
        <v/>
      </c>
      <c r="BD73" s="46" t="n"/>
      <c r="BE73" s="74">
        <f>G73+ L73+ V73+ AF73+ AP73+ AZ73</f>
        <v/>
      </c>
      <c r="BF73" s="74">
        <f>H73+ M73+ W73+ AG73+ AQ73+ BA73</f>
        <v/>
      </c>
      <c r="BG73" s="74">
        <f>BF73-BE73</f>
        <v/>
      </c>
      <c r="BH73" s="75">
        <f>IF(BE73=0,"",BF73/BE73)</f>
        <v/>
      </c>
      <c r="BI73" s="52" t="n"/>
      <c r="BJ73" s="72" t="n"/>
      <c r="BK73" s="72" t="n"/>
      <c r="BL73" s="72">
        <f>BK73-BJ73</f>
        <v/>
      </c>
      <c r="BM73" s="73">
        <f>IF(BJ73=0,"",BK73/BJ73)</f>
        <v/>
      </c>
      <c r="BN73" s="46" t="n"/>
      <c r="BO73" s="74">
        <f>G73+ L73+ V73+ AF73+ AP73+ AZ73+ BJ73</f>
        <v/>
      </c>
      <c r="BP73" s="74">
        <f>H73+ M73+ W73+ AG73+ AQ73+ BA73+ BK73</f>
        <v/>
      </c>
      <c r="BQ73" s="74">
        <f>BP73-BO73</f>
        <v/>
      </c>
      <c r="BR73" s="75">
        <f>IF(BO73=0,"",BP73/BO73)</f>
        <v/>
      </c>
      <c r="BS73" s="52" t="n"/>
      <c r="BT73" s="72" t="n"/>
      <c r="BU73" s="72" t="n"/>
      <c r="BV73" s="72">
        <f>BU73-BT73</f>
        <v/>
      </c>
      <c r="BW73" s="73">
        <f>IF(BT73=0,"",BU73/BT73)</f>
        <v/>
      </c>
      <c r="BX73" s="46" t="n"/>
      <c r="BY73" s="74">
        <f>G73+ L73+ V73+ AF73+ AP73+ AZ73+ BJ73+ BT73</f>
        <v/>
      </c>
      <c r="BZ73" s="74">
        <f>H73+ M73+ W73+ AG73+ AQ73+ BA73+ BK73+ BU73</f>
        <v/>
      </c>
      <c r="CA73" s="74">
        <f>BZ73-BY73</f>
        <v/>
      </c>
      <c r="CB73" s="75">
        <f>IF(BY73=0,"",BZ73/BY73)</f>
        <v/>
      </c>
      <c r="CC73" s="52" t="n"/>
      <c r="CD73" s="72" t="n"/>
      <c r="CE73" s="72" t="n"/>
      <c r="CF73" s="72">
        <f>CE73-CD73</f>
        <v/>
      </c>
      <c r="CG73" s="73">
        <f>IF(CD73=0,"",CE73/CD73)</f>
        <v/>
      </c>
      <c r="CH73" s="46" t="n"/>
      <c r="CI73" s="74">
        <f>G73+ L73+ V73+ AF73+ AP73+ AZ73+ BJ73+ BT73+ CD73</f>
        <v/>
      </c>
      <c r="CJ73" s="74">
        <f>H73+ M73+ W73+ AG73+ AQ73+ BA73+ BK73+ BU73+ CE73</f>
        <v/>
      </c>
      <c r="CK73" s="74">
        <f>CJ73-CI73</f>
        <v/>
      </c>
      <c r="CL73" s="75">
        <f>IF(CI73=0,"",CJ73/CI73)</f>
        <v/>
      </c>
      <c r="CM73" s="52" t="n"/>
      <c r="CN73" s="72" t="n"/>
      <c r="CO73" s="72" t="n"/>
      <c r="CP73" s="72">
        <f>CO73-CN73</f>
        <v/>
      </c>
      <c r="CQ73" s="73">
        <f>IF(CN73=0,"",CO73/CN73)</f>
        <v/>
      </c>
      <c r="CR73" s="46" t="n"/>
      <c r="CS73" s="74">
        <f>G73+ L73+ V73+ AF73+ AP73+ AZ73+ BJ73+ BT73+ CD73+ CN73</f>
        <v/>
      </c>
      <c r="CT73" s="74">
        <f>H73+ M73+ W73+ AG73+ AQ73+ BA73+ BK73+ BU73+ CE73+ CO73</f>
        <v/>
      </c>
      <c r="CU73" s="74">
        <f>CT73-CS73</f>
        <v/>
      </c>
      <c r="CV73" s="75">
        <f>IF(CS73=0,"",CT73/CS73)</f>
        <v/>
      </c>
      <c r="CW73" s="52" t="n"/>
      <c r="CX73" s="72" t="n"/>
      <c r="CY73" s="72" t="n"/>
      <c r="CZ73" s="72">
        <f>CY73-CX73</f>
        <v/>
      </c>
      <c r="DA73" s="73">
        <f>IF(CX73=0,"",CY73/CX73)</f>
        <v/>
      </c>
      <c r="DB73" s="46" t="n"/>
      <c r="DC73" s="74">
        <f>G73+ L73+ V73+ AF73+ AP73+ AZ73+ BJ73+ BT73+ CD73+ CN73+ CX73</f>
        <v/>
      </c>
      <c r="DD73" s="74">
        <f>H73+ M73+ W73+ AG73+ AQ73+ BA73+ BK73+ BU73+ CE73+ CO73+ CY73</f>
        <v/>
      </c>
      <c r="DE73" s="74">
        <f>DD73-DC73</f>
        <v/>
      </c>
      <c r="DF73" s="75">
        <f>IF(DC73=0,"",DD73/DC73)</f>
        <v/>
      </c>
      <c r="DG73" s="52" t="n"/>
      <c r="DH73" s="72" t="n"/>
      <c r="DI73" s="72" t="n"/>
      <c r="DJ73" s="72">
        <f>DI73-DH73</f>
        <v/>
      </c>
      <c r="DK73" s="73">
        <f>IF(DH73=0,"",DI73/DH73)</f>
        <v/>
      </c>
      <c r="DL73" s="46" t="n"/>
      <c r="DM73" s="74">
        <f>G73+ L73+ V73+ AF73+ AP73+ AZ73+ BJ73+ BT73+ CD73+ CN73+ CX73+ DH73</f>
        <v/>
      </c>
      <c r="DN73" s="74">
        <f>H73+ M73+ W73+ AG73+ AQ73+ BA73+ BK73+ BU73+ CE73+ CO73+ CY73+ DI73</f>
        <v/>
      </c>
      <c r="DO73" s="74">
        <f>DN73-DM73</f>
        <v/>
      </c>
      <c r="DP73" s="75">
        <f>IF(DM73=0,"",DN73/DM73)</f>
        <v/>
      </c>
      <c r="DQ73" s="52" t="n"/>
      <c r="DR73" s="72">
        <f>G73+L73+V73+AF73+AP73+AZ73+BJ73+BT73+CD73+CN73+CX73+DH73</f>
        <v/>
      </c>
    </row>
    <row r="74" ht="15" customHeight="1">
      <c r="A74" s="47" t="n"/>
      <c r="B74" s="46" t="n"/>
      <c r="C74" s="45" t="n"/>
      <c r="D74" s="46" t="n"/>
      <c r="E74" s="46" t="n"/>
      <c r="F74" s="47" t="n"/>
      <c r="G74" s="72" t="n"/>
      <c r="H74" s="72" t="n"/>
      <c r="I74" s="72">
        <f>H74-G74</f>
        <v/>
      </c>
      <c r="J74" s="73">
        <f>IF(G74=0,"",H74/G74)</f>
        <v/>
      </c>
      <c r="K74" s="46" t="n"/>
      <c r="L74" s="72" t="n"/>
      <c r="M74" s="72" t="n"/>
      <c r="N74" s="72">
        <f>M74-L74</f>
        <v/>
      </c>
      <c r="O74" s="73">
        <f>IF(L74=0,"",M74/L74)</f>
        <v/>
      </c>
      <c r="P74" s="46" t="n"/>
      <c r="Q74" s="74">
        <f>G74+ L74</f>
        <v/>
      </c>
      <c r="R74" s="74">
        <f>H74+ M74</f>
        <v/>
      </c>
      <c r="S74" s="74">
        <f>R74-Q74</f>
        <v/>
      </c>
      <c r="T74" s="75">
        <f>IF(Q74=0,"",R74/Q74)</f>
        <v/>
      </c>
      <c r="U74" s="52" t="n"/>
      <c r="V74" s="72" t="n"/>
      <c r="W74" s="72" t="n"/>
      <c r="X74" s="72">
        <f>W74-V74</f>
        <v/>
      </c>
      <c r="Y74" s="73">
        <f>IF(V74=0,"",W74/V74)</f>
        <v/>
      </c>
      <c r="Z74" s="46" t="n"/>
      <c r="AA74" s="74">
        <f>G74+ L74+ V74</f>
        <v/>
      </c>
      <c r="AB74" s="74">
        <f>H74+ M74+ W74</f>
        <v/>
      </c>
      <c r="AC74" s="74">
        <f>AB74-AA74</f>
        <v/>
      </c>
      <c r="AD74" s="75">
        <f>IF(AA74=0,"",AB74/AA74)</f>
        <v/>
      </c>
      <c r="AE74" s="52" t="n"/>
      <c r="AF74" s="72" t="n"/>
      <c r="AG74" s="72" t="n"/>
      <c r="AH74" s="72">
        <f>AG74-AF74</f>
        <v/>
      </c>
      <c r="AI74" s="73">
        <f>IF(AF74=0,"",AG74/AF74)</f>
        <v/>
      </c>
      <c r="AJ74" s="46" t="n"/>
      <c r="AK74" s="74">
        <f>G74+ L74+ V74+ AF74</f>
        <v/>
      </c>
      <c r="AL74" s="74">
        <f>H74+ M74+ W74+ AG74</f>
        <v/>
      </c>
      <c r="AM74" s="74">
        <f>AL74-AK74</f>
        <v/>
      </c>
      <c r="AN74" s="75">
        <f>IF(AK74=0,"",AL74/AK74)</f>
        <v/>
      </c>
      <c r="AO74" s="52" t="n"/>
      <c r="AP74" s="72" t="n"/>
      <c r="AQ74" s="72" t="n"/>
      <c r="AR74" s="72">
        <f>AQ74-AP74</f>
        <v/>
      </c>
      <c r="AS74" s="73">
        <f>IF(AP74=0,"",AQ74/AP74)</f>
        <v/>
      </c>
      <c r="AT74" s="46" t="n"/>
      <c r="AU74" s="74">
        <f>G74+ L74+ V74+ AF74+ AP74</f>
        <v/>
      </c>
      <c r="AV74" s="74">
        <f>H74+ M74+ W74+ AG74+ AQ74</f>
        <v/>
      </c>
      <c r="AW74" s="74">
        <f>AV74-AU74</f>
        <v/>
      </c>
      <c r="AX74" s="75">
        <f>IF(AU74=0,"",AV74/AU74)</f>
        <v/>
      </c>
      <c r="AY74" s="52" t="n"/>
      <c r="AZ74" s="72" t="n"/>
      <c r="BA74" s="72" t="n"/>
      <c r="BB74" s="72">
        <f>BA74-AZ74</f>
        <v/>
      </c>
      <c r="BC74" s="73">
        <f>IF(AZ74=0,"",BA74/AZ74)</f>
        <v/>
      </c>
      <c r="BD74" s="46" t="n"/>
      <c r="BE74" s="74">
        <f>G74+ L74+ V74+ AF74+ AP74+ AZ74</f>
        <v/>
      </c>
      <c r="BF74" s="74">
        <f>H74+ M74+ W74+ AG74+ AQ74+ BA74</f>
        <v/>
      </c>
      <c r="BG74" s="74">
        <f>BF74-BE74</f>
        <v/>
      </c>
      <c r="BH74" s="75">
        <f>IF(BE74=0,"",BF74/BE74)</f>
        <v/>
      </c>
      <c r="BI74" s="52" t="n"/>
      <c r="BJ74" s="72" t="n"/>
      <c r="BK74" s="72" t="n"/>
      <c r="BL74" s="72">
        <f>BK74-BJ74</f>
        <v/>
      </c>
      <c r="BM74" s="73">
        <f>IF(BJ74=0,"",BK74/BJ74)</f>
        <v/>
      </c>
      <c r="BN74" s="46" t="n"/>
      <c r="BO74" s="74">
        <f>G74+ L74+ V74+ AF74+ AP74+ AZ74+ BJ74</f>
        <v/>
      </c>
      <c r="BP74" s="74">
        <f>H74+ M74+ W74+ AG74+ AQ74+ BA74+ BK74</f>
        <v/>
      </c>
      <c r="BQ74" s="74">
        <f>BP74-BO74</f>
        <v/>
      </c>
      <c r="BR74" s="75">
        <f>IF(BO74=0,"",BP74/BO74)</f>
        <v/>
      </c>
      <c r="BS74" s="52" t="n"/>
      <c r="BT74" s="72" t="n"/>
      <c r="BU74" s="72" t="n"/>
      <c r="BV74" s="72">
        <f>BU74-BT74</f>
        <v/>
      </c>
      <c r="BW74" s="73">
        <f>IF(BT74=0,"",BU74/BT74)</f>
        <v/>
      </c>
      <c r="BX74" s="46" t="n"/>
      <c r="BY74" s="74">
        <f>G74+ L74+ V74+ AF74+ AP74+ AZ74+ BJ74+ BT74</f>
        <v/>
      </c>
      <c r="BZ74" s="74">
        <f>H74+ M74+ W74+ AG74+ AQ74+ BA74+ BK74+ BU74</f>
        <v/>
      </c>
      <c r="CA74" s="74">
        <f>BZ74-BY74</f>
        <v/>
      </c>
      <c r="CB74" s="75">
        <f>IF(BY74=0,"",BZ74/BY74)</f>
        <v/>
      </c>
      <c r="CC74" s="52" t="n"/>
      <c r="CD74" s="72" t="n"/>
      <c r="CE74" s="72" t="n"/>
      <c r="CF74" s="72">
        <f>CE74-CD74</f>
        <v/>
      </c>
      <c r="CG74" s="73">
        <f>IF(CD74=0,"",CE74/CD74)</f>
        <v/>
      </c>
      <c r="CH74" s="46" t="n"/>
      <c r="CI74" s="74">
        <f>G74+ L74+ V74+ AF74+ AP74+ AZ74+ BJ74+ BT74+ CD74</f>
        <v/>
      </c>
      <c r="CJ74" s="74">
        <f>H74+ M74+ W74+ AG74+ AQ74+ BA74+ BK74+ BU74+ CE74</f>
        <v/>
      </c>
      <c r="CK74" s="74">
        <f>CJ74-CI74</f>
        <v/>
      </c>
      <c r="CL74" s="75">
        <f>IF(CI74=0,"",CJ74/CI74)</f>
        <v/>
      </c>
      <c r="CM74" s="52" t="n"/>
      <c r="CN74" s="72" t="n"/>
      <c r="CO74" s="72" t="n"/>
      <c r="CP74" s="72">
        <f>CO74-CN74</f>
        <v/>
      </c>
      <c r="CQ74" s="73">
        <f>IF(CN74=0,"",CO74/CN74)</f>
        <v/>
      </c>
      <c r="CR74" s="46" t="n"/>
      <c r="CS74" s="74">
        <f>G74+ L74+ V74+ AF74+ AP74+ AZ74+ BJ74+ BT74+ CD74+ CN74</f>
        <v/>
      </c>
      <c r="CT74" s="74">
        <f>H74+ M74+ W74+ AG74+ AQ74+ BA74+ BK74+ BU74+ CE74+ CO74</f>
        <v/>
      </c>
      <c r="CU74" s="74">
        <f>CT74-CS74</f>
        <v/>
      </c>
      <c r="CV74" s="75">
        <f>IF(CS74=0,"",CT74/CS74)</f>
        <v/>
      </c>
      <c r="CW74" s="52" t="n"/>
      <c r="CX74" s="72" t="n"/>
      <c r="CY74" s="72" t="n"/>
      <c r="CZ74" s="72">
        <f>CY74-CX74</f>
        <v/>
      </c>
      <c r="DA74" s="73">
        <f>IF(CX74=0,"",CY74/CX74)</f>
        <v/>
      </c>
      <c r="DB74" s="46" t="n"/>
      <c r="DC74" s="74">
        <f>G74+ L74+ V74+ AF74+ AP74+ AZ74+ BJ74+ BT74+ CD74+ CN74+ CX74</f>
        <v/>
      </c>
      <c r="DD74" s="74">
        <f>H74+ M74+ W74+ AG74+ AQ74+ BA74+ BK74+ BU74+ CE74+ CO74+ CY74</f>
        <v/>
      </c>
      <c r="DE74" s="74">
        <f>DD74-DC74</f>
        <v/>
      </c>
      <c r="DF74" s="75">
        <f>IF(DC74=0,"",DD74/DC74)</f>
        <v/>
      </c>
      <c r="DG74" s="52" t="n"/>
      <c r="DH74" s="72" t="n"/>
      <c r="DI74" s="72" t="n"/>
      <c r="DJ74" s="72">
        <f>DI74-DH74</f>
        <v/>
      </c>
      <c r="DK74" s="73">
        <f>IF(DH74=0,"",DI74/DH74)</f>
        <v/>
      </c>
      <c r="DL74" s="46" t="n"/>
      <c r="DM74" s="74">
        <f>G74+ L74+ V74+ AF74+ AP74+ AZ74+ BJ74+ BT74+ CD74+ CN74+ CX74+ DH74</f>
        <v/>
      </c>
      <c r="DN74" s="74">
        <f>H74+ M74+ W74+ AG74+ AQ74+ BA74+ BK74+ BU74+ CE74+ CO74+ CY74+ DI74</f>
        <v/>
      </c>
      <c r="DO74" s="74">
        <f>DN74-DM74</f>
        <v/>
      </c>
      <c r="DP74" s="75">
        <f>IF(DM74=0,"",DN74/DM74)</f>
        <v/>
      </c>
      <c r="DQ74" s="52" t="n"/>
      <c r="DR74" s="72">
        <f>G74+L74+V74+AF74+AP74+AZ74+BJ74+BT74+CD74+CN74+CX74+DH74</f>
        <v/>
      </c>
    </row>
    <row r="75" ht="15" customHeight="1">
      <c r="A75" s="42" t="n"/>
      <c r="B75" s="39" t="n"/>
      <c r="C75" s="39" t="n"/>
      <c r="D75" s="39" t="n"/>
      <c r="E75" s="39" t="n"/>
      <c r="F75" s="39" t="n"/>
      <c r="G75" s="70">
        <f>SUM(G76,G77,G78,G79,G80,G81,G82,G83,G84,G85,G86,G87,G88,G89,G90,G91,G92,G93,G94,G95,G96,G97,G98,G99,G100,G101,G102,G103,G104,G105,G106,G107,G108,G109,G110,G111,G112,G113,G114,G115,G116,G117,G118,G119,G120,G121,G122,G123,G124,G125)</f>
        <v/>
      </c>
      <c r="H75" s="70">
        <f>SUM(H76,H77,H78,H79,H80,H81,H82,H83,H84,H85,H86,H87,H88,H89,H90,H91,H92,H93,H94,H95,H96,H97,H98,H99,H100,H101,H102,H103,H104,H105,H106,H107,H108,H109,H110,H111,H112,H113,H114,H115,H116,H117,H118,H119,H120,H121,H122,H123,H124,H125)</f>
        <v/>
      </c>
      <c r="I75" s="70">
        <f>H75-G75</f>
        <v/>
      </c>
      <c r="J75" s="71">
        <f>IF(G75=0,"",H75/G75)</f>
        <v/>
      </c>
      <c r="K75" s="39" t="n"/>
      <c r="L75" s="70">
        <f>SUM(L76,L77,L78,L79,L80,L81,L82,L83,L84,L85,L86,L87,L88,L89,L90,L91,L92,L93,L94,L95,L96,L97,L98,L99,L100,L101,L102,L103,L104,L105,L106,L107,L108,L109,L110,L111,L112,L113,L114,L115,L116,L117,L118,L119,L120,L121,L122,L123,L124,L125)</f>
        <v/>
      </c>
      <c r="M75" s="70">
        <f>SUM(M76,M77,M78,M79,M80,M81,M82,M83,M84,M85,M86,M87,M88,M89,M90,M91,M92,M93,M94,M95,M96,M97,M98,M99,M100,M101,M102,M103,M104,M105,M106,M107,M108,M109,M110,M111,M112,M113,M114,M115,M116,M117,M118,M119,M120,M121,M122,M123,M124,M125)</f>
        <v/>
      </c>
      <c r="N75" s="70">
        <f>M75-L75</f>
        <v/>
      </c>
      <c r="O75" s="71">
        <f>IF(L75=0,"",M75/L75)</f>
        <v/>
      </c>
      <c r="P75" s="39" t="n"/>
      <c r="Q75" s="70">
        <f>G75+ L75</f>
        <v/>
      </c>
      <c r="R75" s="70">
        <f>H75+ M75</f>
        <v/>
      </c>
      <c r="S75" s="70">
        <f>R75-Q75</f>
        <v/>
      </c>
      <c r="T75" s="71">
        <f>IF(Q75=0,"",R75/Q75)</f>
        <v/>
      </c>
      <c r="U75" s="39" t="n"/>
      <c r="V75" s="70">
        <f>SUM(V76,V77,V78,V79,V80,V81,V82,V83,V84,V85,V86,V87,V88,V89,V90,V91,V92,V93,V94,V95,V96,V97,V98,V99,V100,V101,V102,V103,V104,V105,V106,V107,V108,V109,V110,V111,V112,V113,V114,V115,V116,V117,V118,V119,V120,V121,V122,V123,V124,V125)</f>
        <v/>
      </c>
      <c r="W75" s="70">
        <f>SUM(W76,W77,W78,W79,W80,W81,W82,W83,W84,W85,W86,W87,W88,W89,W90,W91,W92,W93,W94,W95,W96,W97,W98,W99,W100,W101,W102,W103,W104,W105,W106,W107,W108,W109,W110,W111,W112,W113,W114,W115,W116,W117,W118,W119,W120,W121,W122,W123,W124,W125)</f>
        <v/>
      </c>
      <c r="X75" s="70">
        <f>W75-V75</f>
        <v/>
      </c>
      <c r="Y75" s="71">
        <f>IF(V75=0,"",W75/V75)</f>
        <v/>
      </c>
      <c r="Z75" s="39" t="n"/>
      <c r="AA75" s="70">
        <f>G75+ L75+ V75</f>
        <v/>
      </c>
      <c r="AB75" s="70">
        <f>H75+ M75+ W75</f>
        <v/>
      </c>
      <c r="AC75" s="70">
        <f>AB75-AA75</f>
        <v/>
      </c>
      <c r="AD75" s="71">
        <f>IF(AA75=0,"",AB75/AA75)</f>
        <v/>
      </c>
      <c r="AE75" s="39" t="n"/>
      <c r="AF75" s="70">
        <f>SUM(AF76,AF77,AF78,AF79,AF80,AF81,AF82,AF83,AF84,AF85,AF86,AF87,AF88,AF89,AF90,AF91,AF92,AF93,AF94,AF95,AF96,AF97,AF98,AF99,AF100,AF101,AF102,AF103,AF104,AF105,AF106,AF107,AF108,AF109,AF110,AF111,AF112,AF113,AF114,AF115,AF116,AF117,AF118,AF119,AF120,AF121,AF122,AF123,AF124,AF125)</f>
        <v/>
      </c>
      <c r="AG75" s="70">
        <f>SUM(AG76,AG77,AG78,AG79,AG80,AG81,AG82,AG83,AG84,AG85,AG86,AG87,AG88,AG89,AG90,AG91,AG92,AG93,AG94,AG95,AG96,AG97,AG98,AG99,AG100,AG101,AG102,AG103,AG104,AG105,AG106,AG107,AG108,AG109,AG110,AG111,AG112,AG113,AG114,AG115,AG116,AG117,AG118,AG119,AG120,AG121,AG122,AG123,AG124,AG125)</f>
        <v/>
      </c>
      <c r="AH75" s="70">
        <f>AG75-AF75</f>
        <v/>
      </c>
      <c r="AI75" s="71">
        <f>IF(AF75=0,"",AG75/AF75)</f>
        <v/>
      </c>
      <c r="AJ75" s="39" t="n"/>
      <c r="AK75" s="70">
        <f>G75+ L75+ V75+ AF75</f>
        <v/>
      </c>
      <c r="AL75" s="70">
        <f>H75+ M75+ W75+ AG75</f>
        <v/>
      </c>
      <c r="AM75" s="70">
        <f>AL75-AK75</f>
        <v/>
      </c>
      <c r="AN75" s="71">
        <f>IF(AK75=0,"",AL75/AK75)</f>
        <v/>
      </c>
      <c r="AO75" s="39" t="n"/>
      <c r="AP75" s="70">
        <f>SUM(AP76,AP77,AP78,AP79,AP80,AP81,AP82,AP83,AP84,AP85,AP86,AP87,AP88,AP89,AP90,AP91,AP92,AP93,AP94,AP95,AP96,AP97,AP98,AP99,AP100,AP101,AP102,AP103,AP104,AP105,AP106,AP107,AP108,AP109,AP110,AP111,AP112,AP113,AP114,AP115,AP116,AP117,AP118,AP119,AP120,AP121,AP122,AP123,AP124,AP125)</f>
        <v/>
      </c>
      <c r="AQ75" s="70">
        <f>SUM(AQ76,AQ77,AQ78,AQ79,AQ80,AQ81,AQ82,AQ83,AQ84,AQ85,AQ86,AQ87,AQ88,AQ89,AQ90,AQ91,AQ92,AQ93,AQ94,AQ95,AQ96,AQ97,AQ98,AQ99,AQ100,AQ101,AQ102,AQ103,AQ104,AQ105,AQ106,AQ107,AQ108,AQ109,AQ110,AQ111,AQ112,AQ113,AQ114,AQ115,AQ116,AQ117,AQ118,AQ119,AQ120,AQ121,AQ122,AQ123,AQ124,AQ125)</f>
        <v/>
      </c>
      <c r="AR75" s="70">
        <f>AQ75-AP75</f>
        <v/>
      </c>
      <c r="AS75" s="71">
        <f>IF(AP75=0,"",AQ75/AP75)</f>
        <v/>
      </c>
      <c r="AT75" s="39" t="n"/>
      <c r="AU75" s="70">
        <f>G75+ L75+ V75+ AF75+ AP75</f>
        <v/>
      </c>
      <c r="AV75" s="70">
        <f>H75+ M75+ W75+ AG75+ AQ75</f>
        <v/>
      </c>
      <c r="AW75" s="70">
        <f>AV75-AU75</f>
        <v/>
      </c>
      <c r="AX75" s="71">
        <f>IF(AU75=0,"",AV75/AU75)</f>
        <v/>
      </c>
      <c r="AY75" s="39" t="n"/>
      <c r="AZ75" s="70">
        <f>SUM(AZ76,AZ77,AZ78,AZ79,AZ80,AZ81,AZ82,AZ83,AZ84,AZ85,AZ86,AZ87,AZ88,AZ89,AZ90,AZ91,AZ92,AZ93,AZ94,AZ95,AZ96,AZ97,AZ98,AZ99,AZ100,AZ101,AZ102,AZ103,AZ104,AZ105,AZ106,AZ107,AZ108,AZ109,AZ110,AZ111,AZ112,AZ113,AZ114,AZ115,AZ116,AZ117,AZ118,AZ119,AZ120,AZ121,AZ122,AZ123,AZ124,AZ125)</f>
        <v/>
      </c>
      <c r="BA75" s="70">
        <f>SUM(BA76,BA77,BA78,BA79,BA80,BA81,BA82,BA83,BA84,BA85,BA86,BA87,BA88,BA89,BA90,BA91,BA92,BA93,BA94,BA95,BA96,BA97,BA98,BA99,BA100,BA101,BA102,BA103,BA104,BA105,BA106,BA107,BA108,BA109,BA110,BA111,BA112,BA113,BA114,BA115,BA116,BA117,BA118,BA119,BA120,BA121,BA122,BA123,BA124,BA125)</f>
        <v/>
      </c>
      <c r="BB75" s="70">
        <f>BA75-AZ75</f>
        <v/>
      </c>
      <c r="BC75" s="71">
        <f>IF(AZ75=0,"",BA75/AZ75)</f>
        <v/>
      </c>
      <c r="BD75" s="39" t="n"/>
      <c r="BE75" s="70">
        <f>G75+ L75+ V75+ AF75+ AP75+ AZ75</f>
        <v/>
      </c>
      <c r="BF75" s="70">
        <f>H75+ M75+ W75+ AG75+ AQ75+ BA75</f>
        <v/>
      </c>
      <c r="BG75" s="70">
        <f>BF75-BE75</f>
        <v/>
      </c>
      <c r="BH75" s="71">
        <f>IF(BE75=0,"",BF75/BE75)</f>
        <v/>
      </c>
      <c r="BI75" s="39" t="n"/>
      <c r="BJ75" s="70">
        <f>SUM(BJ76,BJ77,BJ78,BJ79,BJ80,BJ81,BJ82,BJ83,BJ84,BJ85,BJ86,BJ87,BJ88,BJ89,BJ90,BJ91,BJ92,BJ93,BJ94,BJ95,BJ96,BJ97,BJ98,BJ99,BJ100,BJ101,BJ102,BJ103,BJ104,BJ105,BJ106,BJ107,BJ108,BJ109,BJ110,BJ111,BJ112,BJ113,BJ114,BJ115,BJ116,BJ117,BJ118,BJ119,BJ120,BJ121,BJ122,BJ123,BJ124,BJ125)</f>
        <v/>
      </c>
      <c r="BK75" s="70">
        <f>SUM(BK76,BK77,BK78,BK79,BK80,BK81,BK82,BK83,BK84,BK85,BK86,BK87,BK88,BK89,BK90,BK91,BK92,BK93,BK94,BK95,BK96,BK97,BK98,BK99,BK100,BK101,BK102,BK103,BK104,BK105,BK106,BK107,BK108,BK109,BK110,BK111,BK112,BK113,BK114,BK115,BK116,BK117,BK118,BK119,BK120,BK121,BK122,BK123,BK124,BK125)</f>
        <v/>
      </c>
      <c r="BL75" s="70">
        <f>BK75-BJ75</f>
        <v/>
      </c>
      <c r="BM75" s="71">
        <f>IF(BJ75=0,"",BK75/BJ75)</f>
        <v/>
      </c>
      <c r="BN75" s="39" t="n"/>
      <c r="BO75" s="70">
        <f>G75+ L75+ V75+ AF75+ AP75+ AZ75+ BJ75</f>
        <v/>
      </c>
      <c r="BP75" s="70">
        <f>H75+ M75+ W75+ AG75+ AQ75+ BA75+ BK75</f>
        <v/>
      </c>
      <c r="BQ75" s="70">
        <f>BP75-BO75</f>
        <v/>
      </c>
      <c r="BR75" s="71">
        <f>IF(BO75=0,"",BP75/BO75)</f>
        <v/>
      </c>
      <c r="BS75" s="39" t="n"/>
      <c r="BT75" s="70">
        <f>SUM(BT76,BT77,BT78,BT79,BT80,BT81,BT82,BT83,BT84,BT85,BT86,BT87,BT88,BT89,BT90,BT91,BT92,BT93,BT94,BT95,BT96,BT97,BT98,BT99,BT100,BT101,BT102,BT103,BT104,BT105,BT106,BT107,BT108,BT109,BT110,BT111,BT112,BT113,BT114,BT115,BT116,BT117,BT118,BT119,BT120,BT121,BT122,BT123,BT124,BT125)</f>
        <v/>
      </c>
      <c r="BU75" s="70">
        <f>SUM(BU76,BU77,BU78,BU79,BU80,BU81,BU82,BU83,BU84,BU85,BU86,BU87,BU88,BU89,BU90,BU91,BU92,BU93,BU94,BU95,BU96,BU97,BU98,BU99,BU100,BU101,BU102,BU103,BU104,BU105,BU106,BU107,BU108,BU109,BU110,BU111,BU112,BU113,BU114,BU115,BU116,BU117,BU118,BU119,BU120,BU121,BU122,BU123,BU124,BU125)</f>
        <v/>
      </c>
      <c r="BV75" s="70">
        <f>BU75-BT75</f>
        <v/>
      </c>
      <c r="BW75" s="71">
        <f>IF(BT75=0,"",BU75/BT75)</f>
        <v/>
      </c>
      <c r="BX75" s="39" t="n"/>
      <c r="BY75" s="70">
        <f>G75+ L75+ V75+ AF75+ AP75+ AZ75+ BJ75+ BT75</f>
        <v/>
      </c>
      <c r="BZ75" s="70">
        <f>H75+ M75+ W75+ AG75+ AQ75+ BA75+ BK75+ BU75</f>
        <v/>
      </c>
      <c r="CA75" s="70">
        <f>BZ75-BY75</f>
        <v/>
      </c>
      <c r="CB75" s="71">
        <f>IF(BY75=0,"",BZ75/BY75)</f>
        <v/>
      </c>
      <c r="CC75" s="39" t="n"/>
      <c r="CD75" s="70">
        <f>SUM(CD76,CD77,CD78,CD79,CD80,CD81,CD82,CD83,CD84,CD85,CD86,CD87,CD88,CD89,CD90,CD91,CD92,CD93,CD94,CD95,CD96,CD97,CD98,CD99,CD100,CD101,CD102,CD103,CD104,CD105,CD106,CD107,CD108,CD109,CD110,CD111,CD112,CD113,CD114,CD115,CD116,CD117,CD118,CD119,CD120,CD121,CD122,CD123,CD124,CD125)</f>
        <v/>
      </c>
      <c r="CE75" s="70">
        <f>SUM(CE76,CE77,CE78,CE79,CE80,CE81,CE82,CE83,CE84,CE85,CE86,CE87,CE88,CE89,CE90,CE91,CE92,CE93,CE94,CE95,CE96,CE97,CE98,CE99,CE100,CE101,CE102,CE103,CE104,CE105,CE106,CE107,CE108,CE109,CE110,CE111,CE112,CE113,CE114,CE115,CE116,CE117,CE118,CE119,CE120,CE121,CE122,CE123,CE124,CE125)</f>
        <v/>
      </c>
      <c r="CF75" s="70">
        <f>CE75-CD75</f>
        <v/>
      </c>
      <c r="CG75" s="71">
        <f>IF(CD75=0,"",CE75/CD75)</f>
        <v/>
      </c>
      <c r="CH75" s="39" t="n"/>
      <c r="CI75" s="70">
        <f>G75+ L75+ V75+ AF75+ AP75+ AZ75+ BJ75+ BT75+ CD75</f>
        <v/>
      </c>
      <c r="CJ75" s="70">
        <f>H75+ M75+ W75+ AG75+ AQ75+ BA75+ BK75+ BU75+ CE75</f>
        <v/>
      </c>
      <c r="CK75" s="70">
        <f>CJ75-CI75</f>
        <v/>
      </c>
      <c r="CL75" s="71">
        <f>IF(CI75=0,"",CJ75/CI75)</f>
        <v/>
      </c>
      <c r="CM75" s="39" t="n"/>
      <c r="CN75" s="70">
        <f>SUM(CN76,CN77,CN78,CN79,CN80,CN81,CN82,CN83,CN84,CN85,CN86,CN87,CN88,CN89,CN90,CN91,CN92,CN93,CN94,CN95,CN96,CN97,CN98,CN99,CN100,CN101,CN102,CN103,CN104,CN105,CN106,CN107,CN108,CN109,CN110,CN111,CN112,CN113,CN114,CN115,CN116,CN117,CN118,CN119,CN120,CN121,CN122,CN123,CN124,CN125)</f>
        <v/>
      </c>
      <c r="CO75" s="70">
        <f>SUM(CO76,CO77,CO78,CO79,CO80,CO81,CO82,CO83,CO84,CO85,CO86,CO87,CO88,CO89,CO90,CO91,CO92,CO93,CO94,CO95,CO96,CO97,CO98,CO99,CO100,CO101,CO102,CO103,CO104,CO105,CO106,CO107,CO108,CO109,CO110,CO111,CO112,CO113,CO114,CO115,CO116,CO117,CO118,CO119,CO120,CO121,CO122,CO123,CO124,CO125)</f>
        <v/>
      </c>
      <c r="CP75" s="70">
        <f>CO75-CN75</f>
        <v/>
      </c>
      <c r="CQ75" s="71">
        <f>IF(CN75=0,"",CO75/CN75)</f>
        <v/>
      </c>
      <c r="CR75" s="39" t="n"/>
      <c r="CS75" s="70">
        <f>G75+ L75+ V75+ AF75+ AP75+ AZ75+ BJ75+ BT75+ CD75+ CN75</f>
        <v/>
      </c>
      <c r="CT75" s="70">
        <f>H75+ M75+ W75+ AG75+ AQ75+ BA75+ BK75+ BU75+ CE75+ CO75</f>
        <v/>
      </c>
      <c r="CU75" s="70">
        <f>CT75-CS75</f>
        <v/>
      </c>
      <c r="CV75" s="71">
        <f>IF(CS75=0,"",CT75/CS75)</f>
        <v/>
      </c>
      <c r="CW75" s="39" t="n"/>
      <c r="CX75" s="70">
        <f>SUM(CX76,CX77,CX78,CX79,CX80,CX81,CX82,CX83,CX84,CX85,CX86,CX87,CX88,CX89,CX90,CX91,CX92,CX93,CX94,CX95,CX96,CX97,CX98,CX99,CX100,CX101,CX102,CX103,CX104,CX105,CX106,CX107,CX108,CX109,CX110,CX111,CX112,CX113,CX114,CX115,CX116,CX117,CX118,CX119,CX120,CX121,CX122,CX123,CX124,CX125)</f>
        <v/>
      </c>
      <c r="CY75" s="70">
        <f>SUM(CY76,CY77,CY78,CY79,CY80,CY81,CY82,CY83,CY84,CY85,CY86,CY87,CY88,CY89,CY90,CY91,CY92,CY93,CY94,CY95,CY96,CY97,CY98,CY99,CY100,CY101,CY102,CY103,CY104,CY105,CY106,CY107,CY108,CY109,CY110,CY111,CY112,CY113,CY114,CY115,CY116,CY117,CY118,CY119,CY120,CY121,CY122,CY123,CY124,CY125)</f>
        <v/>
      </c>
      <c r="CZ75" s="70">
        <f>CY75-CX75</f>
        <v/>
      </c>
      <c r="DA75" s="71">
        <f>IF(CX75=0,"",CY75/CX75)</f>
        <v/>
      </c>
      <c r="DB75" s="39" t="n"/>
      <c r="DC75" s="70">
        <f>G75+ L75+ V75+ AF75+ AP75+ AZ75+ BJ75+ BT75+ CD75+ CN75+ CX75</f>
        <v/>
      </c>
      <c r="DD75" s="70">
        <f>H75+ M75+ W75+ AG75+ AQ75+ BA75+ BK75+ BU75+ CE75+ CO75+ CY75</f>
        <v/>
      </c>
      <c r="DE75" s="70">
        <f>DD75-DC75</f>
        <v/>
      </c>
      <c r="DF75" s="71">
        <f>IF(DC75=0,"",DD75/DC75)</f>
        <v/>
      </c>
      <c r="DG75" s="39" t="n"/>
      <c r="DH75" s="70">
        <f>SUM(DH76,DH77,DH78,DH79,DH80,DH81,DH82,DH83,DH84,DH85,DH86,DH87,DH88,DH89,DH90,DH91,DH92,DH93,DH94,DH95,DH96,DH97,DH98,DH99,DH100,DH101,DH102,DH103,DH104,DH105,DH106,DH107,DH108,DH109,DH110,DH111,DH112,DH113,DH114,DH115,DH116,DH117,DH118,DH119,DH120,DH121,DH122,DH123,DH124,DH125)</f>
        <v/>
      </c>
      <c r="DI75" s="70">
        <f>SUM(DI76,DI77,DI78,DI79,DI80,DI81,DI82,DI83,DI84,DI85,DI86,DI87,DI88,DI89,DI90,DI91,DI92,DI93,DI94,DI95,DI96,DI97,DI98,DI99,DI100,DI101,DI102,DI103,DI104,DI105,DI106,DI107,DI108,DI109,DI110,DI111,DI112,DI113,DI114,DI115,DI116,DI117,DI118,DI119,DI120,DI121,DI122,DI123,DI124,DI125)</f>
        <v/>
      </c>
      <c r="DJ75" s="70">
        <f>DI75-DH75</f>
        <v/>
      </c>
      <c r="DK75" s="71">
        <f>IF(DH75=0,"",DI75/DH75)</f>
        <v/>
      </c>
      <c r="DL75" s="39" t="n"/>
      <c r="DM75" s="70">
        <f>G75+ L75+ V75+ AF75+ AP75+ AZ75+ BJ75+ BT75+ CD75+ CN75+ CX75+ DH75</f>
        <v/>
      </c>
      <c r="DN75" s="70">
        <f>H75+ M75+ W75+ AG75+ AQ75+ BA75+ BK75+ BU75+ CE75+ CO75+ CY75+ DI75</f>
        <v/>
      </c>
      <c r="DO75" s="70">
        <f>DN75-DM75</f>
        <v/>
      </c>
      <c r="DP75" s="71">
        <f>IF(DM75=0,"",DN75/DM75)</f>
        <v/>
      </c>
      <c r="DQ75" s="39" t="n"/>
      <c r="DR75" s="70">
        <f>SUM(DR76,DR77,DR78,DR79,DR80,DR81,DR82,DR83,DR84,DR85,DR86,DR87,DR88,DR89,DR90,DR91,DR92,DR93,DR94,DR95,DR96,DR97,DR98,DR99,DR100,DR101,DR102,DR103,DR104,DR105,DR106,DR107,DR108,DR109,DR110,DR111,DR112,DR113,DR114,DR115,DR116,DR117,DR118,DR119,DR120,DR121,DR122,DR123,DR124,DR125)</f>
        <v/>
      </c>
    </row>
    <row r="76" ht="15" customHeight="1">
      <c r="A76" s="46" t="n"/>
      <c r="B76" s="46" t="n"/>
      <c r="C76" s="45" t="n"/>
      <c r="D76" s="46" t="n"/>
      <c r="E76" s="46" t="n"/>
      <c r="F76" s="47" t="n"/>
      <c r="G76" s="72" t="n"/>
      <c r="H76" s="72" t="n"/>
      <c r="I76" s="72">
        <f>H76-G76</f>
        <v/>
      </c>
      <c r="J76" s="73">
        <f>IF(G76=0,"",H76/G76)</f>
        <v/>
      </c>
      <c r="K76" s="46" t="n"/>
      <c r="L76" s="72" t="n"/>
      <c r="M76" s="72" t="n"/>
      <c r="N76" s="72">
        <f>M76-L76</f>
        <v/>
      </c>
      <c r="O76" s="73">
        <f>IF(L76=0,"",M76/L76)</f>
        <v/>
      </c>
      <c r="P76" s="46" t="n"/>
      <c r="Q76" s="74">
        <f>G76+ L76</f>
        <v/>
      </c>
      <c r="R76" s="74">
        <f>H76+ M76</f>
        <v/>
      </c>
      <c r="S76" s="74">
        <f>R76-Q76</f>
        <v/>
      </c>
      <c r="T76" s="75">
        <f>IF(Q76=0,"",R76/Q76)</f>
        <v/>
      </c>
      <c r="U76" s="52" t="n"/>
      <c r="V76" s="72" t="n"/>
      <c r="W76" s="72" t="n"/>
      <c r="X76" s="72">
        <f>W76-V76</f>
        <v/>
      </c>
      <c r="Y76" s="73">
        <f>IF(V76=0,"",W76/V76)</f>
        <v/>
      </c>
      <c r="Z76" s="46" t="n"/>
      <c r="AA76" s="74">
        <f>G76+ L76+ V76</f>
        <v/>
      </c>
      <c r="AB76" s="74">
        <f>H76+ M76+ W76</f>
        <v/>
      </c>
      <c r="AC76" s="74">
        <f>AB76-AA76</f>
        <v/>
      </c>
      <c r="AD76" s="75">
        <f>IF(AA76=0,"",AB76/AA76)</f>
        <v/>
      </c>
      <c r="AE76" s="52" t="n"/>
      <c r="AF76" s="72" t="n"/>
      <c r="AG76" s="72" t="n"/>
      <c r="AH76" s="72">
        <f>AG76-AF76</f>
        <v/>
      </c>
      <c r="AI76" s="73">
        <f>IF(AF76=0,"",AG76/AF76)</f>
        <v/>
      </c>
      <c r="AJ76" s="46" t="n"/>
      <c r="AK76" s="74">
        <f>G76+ L76+ V76+ AF76</f>
        <v/>
      </c>
      <c r="AL76" s="74">
        <f>H76+ M76+ W76+ AG76</f>
        <v/>
      </c>
      <c r="AM76" s="74">
        <f>AL76-AK76</f>
        <v/>
      </c>
      <c r="AN76" s="75">
        <f>IF(AK76=0,"",AL76/AK76)</f>
        <v/>
      </c>
      <c r="AO76" s="52" t="n"/>
      <c r="AP76" s="72" t="n"/>
      <c r="AQ76" s="72" t="n"/>
      <c r="AR76" s="72">
        <f>AQ76-AP76</f>
        <v/>
      </c>
      <c r="AS76" s="73">
        <f>IF(AP76=0,"",AQ76/AP76)</f>
        <v/>
      </c>
      <c r="AT76" s="46" t="n"/>
      <c r="AU76" s="74">
        <f>G76+ L76+ V76+ AF76+ AP76</f>
        <v/>
      </c>
      <c r="AV76" s="74">
        <f>H76+ M76+ W76+ AG76+ AQ76</f>
        <v/>
      </c>
      <c r="AW76" s="74">
        <f>AV76-AU76</f>
        <v/>
      </c>
      <c r="AX76" s="75">
        <f>IF(AU76=0,"",AV76/AU76)</f>
        <v/>
      </c>
      <c r="AY76" s="52" t="n"/>
      <c r="AZ76" s="72" t="n"/>
      <c r="BA76" s="72" t="n"/>
      <c r="BB76" s="72">
        <f>BA76-AZ76</f>
        <v/>
      </c>
      <c r="BC76" s="73">
        <f>IF(AZ76=0,"",BA76/AZ76)</f>
        <v/>
      </c>
      <c r="BD76" s="46" t="n"/>
      <c r="BE76" s="74">
        <f>G76+ L76+ V76+ AF76+ AP76+ AZ76</f>
        <v/>
      </c>
      <c r="BF76" s="74">
        <f>H76+ M76+ W76+ AG76+ AQ76+ BA76</f>
        <v/>
      </c>
      <c r="BG76" s="74">
        <f>BF76-BE76</f>
        <v/>
      </c>
      <c r="BH76" s="75">
        <f>IF(BE76=0,"",BF76/BE76)</f>
        <v/>
      </c>
      <c r="BI76" s="52" t="n"/>
      <c r="BJ76" s="72" t="n"/>
      <c r="BK76" s="72" t="n"/>
      <c r="BL76" s="72">
        <f>BK76-BJ76</f>
        <v/>
      </c>
      <c r="BM76" s="73">
        <f>IF(BJ76=0,"",BK76/BJ76)</f>
        <v/>
      </c>
      <c r="BN76" s="46" t="n"/>
      <c r="BO76" s="74">
        <f>G76+ L76+ V76+ AF76+ AP76+ AZ76+ BJ76</f>
        <v/>
      </c>
      <c r="BP76" s="74">
        <f>H76+ M76+ W76+ AG76+ AQ76+ BA76+ BK76</f>
        <v/>
      </c>
      <c r="BQ76" s="74">
        <f>BP76-BO76</f>
        <v/>
      </c>
      <c r="BR76" s="75">
        <f>IF(BO76=0,"",BP76/BO76)</f>
        <v/>
      </c>
      <c r="BS76" s="52" t="n"/>
      <c r="BT76" s="72" t="n"/>
      <c r="BU76" s="72" t="n"/>
      <c r="BV76" s="72">
        <f>BU76-BT76</f>
        <v/>
      </c>
      <c r="BW76" s="73">
        <f>IF(BT76=0,"",BU76/BT76)</f>
        <v/>
      </c>
      <c r="BX76" s="46" t="n"/>
      <c r="BY76" s="74">
        <f>G76+ L76+ V76+ AF76+ AP76+ AZ76+ BJ76+ BT76</f>
        <v/>
      </c>
      <c r="BZ76" s="74">
        <f>H76+ M76+ W76+ AG76+ AQ76+ BA76+ BK76+ BU76</f>
        <v/>
      </c>
      <c r="CA76" s="74">
        <f>BZ76-BY76</f>
        <v/>
      </c>
      <c r="CB76" s="75">
        <f>IF(BY76=0,"",BZ76/BY76)</f>
        <v/>
      </c>
      <c r="CC76" s="52" t="n"/>
      <c r="CD76" s="72" t="n"/>
      <c r="CE76" s="72" t="n"/>
      <c r="CF76" s="72">
        <f>CE76-CD76</f>
        <v/>
      </c>
      <c r="CG76" s="73">
        <f>IF(CD76=0,"",CE76/CD76)</f>
        <v/>
      </c>
      <c r="CH76" s="46" t="n"/>
      <c r="CI76" s="74">
        <f>G76+ L76+ V76+ AF76+ AP76+ AZ76+ BJ76+ BT76+ CD76</f>
        <v/>
      </c>
      <c r="CJ76" s="74">
        <f>H76+ M76+ W76+ AG76+ AQ76+ BA76+ BK76+ BU76+ CE76</f>
        <v/>
      </c>
      <c r="CK76" s="74">
        <f>CJ76-CI76</f>
        <v/>
      </c>
      <c r="CL76" s="75">
        <f>IF(CI76=0,"",CJ76/CI76)</f>
        <v/>
      </c>
      <c r="CM76" s="52" t="n"/>
      <c r="CN76" s="72" t="n"/>
      <c r="CO76" s="72" t="n"/>
      <c r="CP76" s="72">
        <f>CO76-CN76</f>
        <v/>
      </c>
      <c r="CQ76" s="73">
        <f>IF(CN76=0,"",CO76/CN76)</f>
        <v/>
      </c>
      <c r="CR76" s="46" t="n"/>
      <c r="CS76" s="74">
        <f>G76+ L76+ V76+ AF76+ AP76+ AZ76+ BJ76+ BT76+ CD76+ CN76</f>
        <v/>
      </c>
      <c r="CT76" s="74">
        <f>H76+ M76+ W76+ AG76+ AQ76+ BA76+ BK76+ BU76+ CE76+ CO76</f>
        <v/>
      </c>
      <c r="CU76" s="74">
        <f>CT76-CS76</f>
        <v/>
      </c>
      <c r="CV76" s="75">
        <f>IF(CS76=0,"",CT76/CS76)</f>
        <v/>
      </c>
      <c r="CW76" s="52" t="n"/>
      <c r="CX76" s="72" t="n"/>
      <c r="CY76" s="72" t="n"/>
      <c r="CZ76" s="72">
        <f>CY76-CX76</f>
        <v/>
      </c>
      <c r="DA76" s="73">
        <f>IF(CX76=0,"",CY76/CX76)</f>
        <v/>
      </c>
      <c r="DB76" s="46" t="n"/>
      <c r="DC76" s="74">
        <f>G76+ L76+ V76+ AF76+ AP76+ AZ76+ BJ76+ BT76+ CD76+ CN76+ CX76</f>
        <v/>
      </c>
      <c r="DD76" s="74">
        <f>H76+ M76+ W76+ AG76+ AQ76+ BA76+ BK76+ BU76+ CE76+ CO76+ CY76</f>
        <v/>
      </c>
      <c r="DE76" s="74">
        <f>DD76-DC76</f>
        <v/>
      </c>
      <c r="DF76" s="75">
        <f>IF(DC76=0,"",DD76/DC76)</f>
        <v/>
      </c>
      <c r="DG76" s="52" t="n"/>
      <c r="DH76" s="72" t="n"/>
      <c r="DI76" s="72" t="n"/>
      <c r="DJ76" s="72">
        <f>DI76-DH76</f>
        <v/>
      </c>
      <c r="DK76" s="73">
        <f>IF(DH76=0,"",DI76/DH76)</f>
        <v/>
      </c>
      <c r="DL76" s="46" t="n"/>
      <c r="DM76" s="74">
        <f>G76+ L76+ V76+ AF76+ AP76+ AZ76+ BJ76+ BT76+ CD76+ CN76+ CX76+ DH76</f>
        <v/>
      </c>
      <c r="DN76" s="74">
        <f>H76+ M76+ W76+ AG76+ AQ76+ BA76+ BK76+ BU76+ CE76+ CO76+ CY76+ DI76</f>
        <v/>
      </c>
      <c r="DO76" s="74">
        <f>DN76-DM76</f>
        <v/>
      </c>
      <c r="DP76" s="75">
        <f>IF(DM76=0,"",DN76/DM76)</f>
        <v/>
      </c>
      <c r="DQ76" s="52" t="n"/>
      <c r="DR76" s="72">
        <f>G76+L76+V76+AF76+AP76+AZ76+BJ76+BT76+CD76+CN76+CX76+DH76</f>
        <v/>
      </c>
    </row>
    <row r="77" ht="15" customHeight="1">
      <c r="A77" s="67" t="n"/>
      <c r="B77" s="67" t="n"/>
      <c r="C77" s="67" t="n"/>
      <c r="D77" s="46" t="n"/>
      <c r="E77" s="46" t="n"/>
      <c r="F77" s="47" t="n"/>
      <c r="G77" s="72" t="n"/>
      <c r="H77" s="72" t="n"/>
      <c r="I77" s="72">
        <f>H77-G77</f>
        <v/>
      </c>
      <c r="J77" s="73">
        <f>IF(G77=0,"",H77/G77)</f>
        <v/>
      </c>
      <c r="K77" s="46" t="n"/>
      <c r="L77" s="72" t="n"/>
      <c r="M77" s="72" t="n"/>
      <c r="N77" s="72">
        <f>M77-L77</f>
        <v/>
      </c>
      <c r="O77" s="73">
        <f>IF(L77=0,"",M77/L77)</f>
        <v/>
      </c>
      <c r="P77" s="46" t="n"/>
      <c r="Q77" s="74">
        <f>G77+ L77</f>
        <v/>
      </c>
      <c r="R77" s="74">
        <f>H77+ M77</f>
        <v/>
      </c>
      <c r="S77" s="74">
        <f>R77-Q77</f>
        <v/>
      </c>
      <c r="T77" s="75">
        <f>IF(Q77=0,"",R77/Q77)</f>
        <v/>
      </c>
      <c r="U77" s="52" t="n"/>
      <c r="V77" s="72" t="n"/>
      <c r="W77" s="72" t="n"/>
      <c r="X77" s="72">
        <f>W77-V77</f>
        <v/>
      </c>
      <c r="Y77" s="73">
        <f>IF(V77=0,"",W77/V77)</f>
        <v/>
      </c>
      <c r="Z77" s="46" t="n"/>
      <c r="AA77" s="74">
        <f>G77+ L77+ V77</f>
        <v/>
      </c>
      <c r="AB77" s="74">
        <f>H77+ M77+ W77</f>
        <v/>
      </c>
      <c r="AC77" s="74">
        <f>AB77-AA77</f>
        <v/>
      </c>
      <c r="AD77" s="75">
        <f>IF(AA77=0,"",AB77/AA77)</f>
        <v/>
      </c>
      <c r="AE77" s="52" t="n"/>
      <c r="AF77" s="72" t="n"/>
      <c r="AG77" s="72" t="n"/>
      <c r="AH77" s="72">
        <f>AG77-AF77</f>
        <v/>
      </c>
      <c r="AI77" s="73">
        <f>IF(AF77=0,"",AG77/AF77)</f>
        <v/>
      </c>
      <c r="AJ77" s="46" t="n"/>
      <c r="AK77" s="74">
        <f>G77+ L77+ V77+ AF77</f>
        <v/>
      </c>
      <c r="AL77" s="74">
        <f>H77+ M77+ W77+ AG77</f>
        <v/>
      </c>
      <c r="AM77" s="74">
        <f>AL77-AK77</f>
        <v/>
      </c>
      <c r="AN77" s="75">
        <f>IF(AK77=0,"",AL77/AK77)</f>
        <v/>
      </c>
      <c r="AO77" s="52" t="n"/>
      <c r="AP77" s="72" t="n"/>
      <c r="AQ77" s="72" t="n"/>
      <c r="AR77" s="72">
        <f>AQ77-AP77</f>
        <v/>
      </c>
      <c r="AS77" s="73">
        <f>IF(AP77=0,"",AQ77/AP77)</f>
        <v/>
      </c>
      <c r="AT77" s="46" t="n"/>
      <c r="AU77" s="74">
        <f>G77+ L77+ V77+ AF77+ AP77</f>
        <v/>
      </c>
      <c r="AV77" s="74">
        <f>H77+ M77+ W77+ AG77+ AQ77</f>
        <v/>
      </c>
      <c r="AW77" s="74">
        <f>AV77-AU77</f>
        <v/>
      </c>
      <c r="AX77" s="75">
        <f>IF(AU77=0,"",AV77/AU77)</f>
        <v/>
      </c>
      <c r="AY77" s="52" t="n"/>
      <c r="AZ77" s="72" t="n"/>
      <c r="BA77" s="72" t="n"/>
      <c r="BB77" s="72">
        <f>BA77-AZ77</f>
        <v/>
      </c>
      <c r="BC77" s="73">
        <f>IF(AZ77=0,"",BA77/AZ77)</f>
        <v/>
      </c>
      <c r="BD77" s="46" t="n"/>
      <c r="BE77" s="74">
        <f>G77+ L77+ V77+ AF77+ AP77+ AZ77</f>
        <v/>
      </c>
      <c r="BF77" s="74">
        <f>H77+ M77+ W77+ AG77+ AQ77+ BA77</f>
        <v/>
      </c>
      <c r="BG77" s="74">
        <f>BF77-BE77</f>
        <v/>
      </c>
      <c r="BH77" s="75">
        <f>IF(BE77=0,"",BF77/BE77)</f>
        <v/>
      </c>
      <c r="BI77" s="52" t="n"/>
      <c r="BJ77" s="72" t="n"/>
      <c r="BK77" s="72" t="n"/>
      <c r="BL77" s="72">
        <f>BK77-BJ77</f>
        <v/>
      </c>
      <c r="BM77" s="73">
        <f>IF(BJ77=0,"",BK77/BJ77)</f>
        <v/>
      </c>
      <c r="BN77" s="46" t="n"/>
      <c r="BO77" s="74">
        <f>G77+ L77+ V77+ AF77+ AP77+ AZ77+ BJ77</f>
        <v/>
      </c>
      <c r="BP77" s="74">
        <f>H77+ M77+ W77+ AG77+ AQ77+ BA77+ BK77</f>
        <v/>
      </c>
      <c r="BQ77" s="74">
        <f>BP77-BO77</f>
        <v/>
      </c>
      <c r="BR77" s="75">
        <f>IF(BO77=0,"",BP77/BO77)</f>
        <v/>
      </c>
      <c r="BS77" s="52" t="n"/>
      <c r="BT77" s="72" t="n"/>
      <c r="BU77" s="72" t="n"/>
      <c r="BV77" s="72">
        <f>BU77-BT77</f>
        <v/>
      </c>
      <c r="BW77" s="73">
        <f>IF(BT77=0,"",BU77/BT77)</f>
        <v/>
      </c>
      <c r="BX77" s="46" t="n"/>
      <c r="BY77" s="74">
        <f>G77+ L77+ V77+ AF77+ AP77+ AZ77+ BJ77+ BT77</f>
        <v/>
      </c>
      <c r="BZ77" s="74">
        <f>H77+ M77+ W77+ AG77+ AQ77+ BA77+ BK77+ BU77</f>
        <v/>
      </c>
      <c r="CA77" s="74">
        <f>BZ77-BY77</f>
        <v/>
      </c>
      <c r="CB77" s="75">
        <f>IF(BY77=0,"",BZ77/BY77)</f>
        <v/>
      </c>
      <c r="CC77" s="52" t="n"/>
      <c r="CD77" s="72" t="n"/>
      <c r="CE77" s="72" t="n"/>
      <c r="CF77" s="72">
        <f>CE77-CD77</f>
        <v/>
      </c>
      <c r="CG77" s="73">
        <f>IF(CD77=0,"",CE77/CD77)</f>
        <v/>
      </c>
      <c r="CH77" s="46" t="n"/>
      <c r="CI77" s="74">
        <f>G77+ L77+ V77+ AF77+ AP77+ AZ77+ BJ77+ BT77+ CD77</f>
        <v/>
      </c>
      <c r="CJ77" s="74">
        <f>H77+ M77+ W77+ AG77+ AQ77+ BA77+ BK77+ BU77+ CE77</f>
        <v/>
      </c>
      <c r="CK77" s="74">
        <f>CJ77-CI77</f>
        <v/>
      </c>
      <c r="CL77" s="75">
        <f>IF(CI77=0,"",CJ77/CI77)</f>
        <v/>
      </c>
      <c r="CM77" s="52" t="n"/>
      <c r="CN77" s="72" t="n"/>
      <c r="CO77" s="72" t="n"/>
      <c r="CP77" s="72">
        <f>CO77-CN77</f>
        <v/>
      </c>
      <c r="CQ77" s="73">
        <f>IF(CN77=0,"",CO77/CN77)</f>
        <v/>
      </c>
      <c r="CR77" s="46" t="n"/>
      <c r="CS77" s="74">
        <f>G77+ L77+ V77+ AF77+ AP77+ AZ77+ BJ77+ BT77+ CD77+ CN77</f>
        <v/>
      </c>
      <c r="CT77" s="74">
        <f>H77+ M77+ W77+ AG77+ AQ77+ BA77+ BK77+ BU77+ CE77+ CO77</f>
        <v/>
      </c>
      <c r="CU77" s="74">
        <f>CT77-CS77</f>
        <v/>
      </c>
      <c r="CV77" s="75">
        <f>IF(CS77=0,"",CT77/CS77)</f>
        <v/>
      </c>
      <c r="CW77" s="52" t="n"/>
      <c r="CX77" s="72" t="n"/>
      <c r="CY77" s="72" t="n"/>
      <c r="CZ77" s="72">
        <f>CY77-CX77</f>
        <v/>
      </c>
      <c r="DA77" s="73">
        <f>IF(CX77=0,"",CY77/CX77)</f>
        <v/>
      </c>
      <c r="DB77" s="46" t="n"/>
      <c r="DC77" s="74">
        <f>G77+ L77+ V77+ AF77+ AP77+ AZ77+ BJ77+ BT77+ CD77+ CN77+ CX77</f>
        <v/>
      </c>
      <c r="DD77" s="74">
        <f>H77+ M77+ W77+ AG77+ AQ77+ BA77+ BK77+ BU77+ CE77+ CO77+ CY77</f>
        <v/>
      </c>
      <c r="DE77" s="74">
        <f>DD77-DC77</f>
        <v/>
      </c>
      <c r="DF77" s="75">
        <f>IF(DC77=0,"",DD77/DC77)</f>
        <v/>
      </c>
      <c r="DG77" s="52" t="n"/>
      <c r="DH77" s="72" t="n"/>
      <c r="DI77" s="72" t="n"/>
      <c r="DJ77" s="72">
        <f>DI77-DH77</f>
        <v/>
      </c>
      <c r="DK77" s="73">
        <f>IF(DH77=0,"",DI77/DH77)</f>
        <v/>
      </c>
      <c r="DL77" s="46" t="n"/>
      <c r="DM77" s="74">
        <f>G77+ L77+ V77+ AF77+ AP77+ AZ77+ BJ77+ BT77+ CD77+ CN77+ CX77+ DH77</f>
        <v/>
      </c>
      <c r="DN77" s="74">
        <f>H77+ M77+ W77+ AG77+ AQ77+ BA77+ BK77+ BU77+ CE77+ CO77+ CY77+ DI77</f>
        <v/>
      </c>
      <c r="DO77" s="74">
        <f>DN77-DM77</f>
        <v/>
      </c>
      <c r="DP77" s="75">
        <f>IF(DM77=0,"",DN77/DM77)</f>
        <v/>
      </c>
      <c r="DQ77" s="52" t="n"/>
      <c r="DR77" s="72">
        <f>G77+L77+V77+AF77+AP77+AZ77+BJ77+BT77+CD77+CN77+CX77+DH77</f>
        <v/>
      </c>
    </row>
    <row r="78" ht="15" customHeight="1">
      <c r="A78" s="55" t="n"/>
      <c r="B78" s="55" t="n"/>
      <c r="C78" s="55" t="n"/>
      <c r="D78" s="46" t="n"/>
      <c r="E78" s="46" t="n"/>
      <c r="F78" s="47" t="n"/>
      <c r="G78" s="72" t="n"/>
      <c r="H78" s="72" t="n"/>
      <c r="I78" s="72">
        <f>H78-G78</f>
        <v/>
      </c>
      <c r="J78" s="73">
        <f>IF(G78=0,"",H78/G78)</f>
        <v/>
      </c>
      <c r="K78" s="46" t="n"/>
      <c r="L78" s="72" t="n"/>
      <c r="M78" s="72" t="n"/>
      <c r="N78" s="72">
        <f>M78-L78</f>
        <v/>
      </c>
      <c r="O78" s="73">
        <f>IF(L78=0,"",M78/L78)</f>
        <v/>
      </c>
      <c r="P78" s="46" t="n"/>
      <c r="Q78" s="74">
        <f>G78+ L78</f>
        <v/>
      </c>
      <c r="R78" s="74">
        <f>H78+ M78</f>
        <v/>
      </c>
      <c r="S78" s="74">
        <f>R78-Q78</f>
        <v/>
      </c>
      <c r="T78" s="75">
        <f>IF(Q78=0,"",R78/Q78)</f>
        <v/>
      </c>
      <c r="U78" s="52" t="n"/>
      <c r="V78" s="72" t="n"/>
      <c r="W78" s="72" t="n"/>
      <c r="X78" s="72">
        <f>W78-V78</f>
        <v/>
      </c>
      <c r="Y78" s="73">
        <f>IF(V78=0,"",W78/V78)</f>
        <v/>
      </c>
      <c r="Z78" s="46" t="n"/>
      <c r="AA78" s="74">
        <f>G78+ L78+ V78</f>
        <v/>
      </c>
      <c r="AB78" s="74">
        <f>H78+ M78+ W78</f>
        <v/>
      </c>
      <c r="AC78" s="74">
        <f>AB78-AA78</f>
        <v/>
      </c>
      <c r="AD78" s="75">
        <f>IF(AA78=0,"",AB78/AA78)</f>
        <v/>
      </c>
      <c r="AE78" s="52" t="n"/>
      <c r="AF78" s="72" t="n"/>
      <c r="AG78" s="72" t="n"/>
      <c r="AH78" s="72">
        <f>AG78-AF78</f>
        <v/>
      </c>
      <c r="AI78" s="73">
        <f>IF(AF78=0,"",AG78/AF78)</f>
        <v/>
      </c>
      <c r="AJ78" s="46" t="n"/>
      <c r="AK78" s="74">
        <f>G78+ L78+ V78+ AF78</f>
        <v/>
      </c>
      <c r="AL78" s="74">
        <f>H78+ M78+ W78+ AG78</f>
        <v/>
      </c>
      <c r="AM78" s="74">
        <f>AL78-AK78</f>
        <v/>
      </c>
      <c r="AN78" s="75">
        <f>IF(AK78=0,"",AL78/AK78)</f>
        <v/>
      </c>
      <c r="AO78" s="52" t="n"/>
      <c r="AP78" s="72" t="n"/>
      <c r="AQ78" s="72" t="n"/>
      <c r="AR78" s="72">
        <f>AQ78-AP78</f>
        <v/>
      </c>
      <c r="AS78" s="73">
        <f>IF(AP78=0,"",AQ78/AP78)</f>
        <v/>
      </c>
      <c r="AT78" s="46" t="n"/>
      <c r="AU78" s="74">
        <f>G78+ L78+ V78+ AF78+ AP78</f>
        <v/>
      </c>
      <c r="AV78" s="74">
        <f>H78+ M78+ W78+ AG78+ AQ78</f>
        <v/>
      </c>
      <c r="AW78" s="74">
        <f>AV78-AU78</f>
        <v/>
      </c>
      <c r="AX78" s="75">
        <f>IF(AU78=0,"",AV78/AU78)</f>
        <v/>
      </c>
      <c r="AY78" s="52" t="n"/>
      <c r="AZ78" s="72" t="n"/>
      <c r="BA78" s="72" t="n"/>
      <c r="BB78" s="72">
        <f>BA78-AZ78</f>
        <v/>
      </c>
      <c r="BC78" s="73">
        <f>IF(AZ78=0,"",BA78/AZ78)</f>
        <v/>
      </c>
      <c r="BD78" s="46" t="n"/>
      <c r="BE78" s="74">
        <f>G78+ L78+ V78+ AF78+ AP78+ AZ78</f>
        <v/>
      </c>
      <c r="BF78" s="74">
        <f>H78+ M78+ W78+ AG78+ AQ78+ BA78</f>
        <v/>
      </c>
      <c r="BG78" s="74">
        <f>BF78-BE78</f>
        <v/>
      </c>
      <c r="BH78" s="75">
        <f>IF(BE78=0,"",BF78/BE78)</f>
        <v/>
      </c>
      <c r="BI78" s="52" t="n"/>
      <c r="BJ78" s="72" t="n"/>
      <c r="BK78" s="72" t="n"/>
      <c r="BL78" s="72">
        <f>BK78-BJ78</f>
        <v/>
      </c>
      <c r="BM78" s="73">
        <f>IF(BJ78=0,"",BK78/BJ78)</f>
        <v/>
      </c>
      <c r="BN78" s="46" t="n"/>
      <c r="BO78" s="74">
        <f>G78+ L78+ V78+ AF78+ AP78+ AZ78+ BJ78</f>
        <v/>
      </c>
      <c r="BP78" s="74">
        <f>H78+ M78+ W78+ AG78+ AQ78+ BA78+ BK78</f>
        <v/>
      </c>
      <c r="BQ78" s="74">
        <f>BP78-BO78</f>
        <v/>
      </c>
      <c r="BR78" s="75">
        <f>IF(BO78=0,"",BP78/BO78)</f>
        <v/>
      </c>
      <c r="BS78" s="52" t="n"/>
      <c r="BT78" s="72" t="n"/>
      <c r="BU78" s="72" t="n"/>
      <c r="BV78" s="72">
        <f>BU78-BT78</f>
        <v/>
      </c>
      <c r="BW78" s="73">
        <f>IF(BT78=0,"",BU78/BT78)</f>
        <v/>
      </c>
      <c r="BX78" s="46" t="n"/>
      <c r="BY78" s="74">
        <f>G78+ L78+ V78+ AF78+ AP78+ AZ78+ BJ78+ BT78</f>
        <v/>
      </c>
      <c r="BZ78" s="74">
        <f>H78+ M78+ W78+ AG78+ AQ78+ BA78+ BK78+ BU78</f>
        <v/>
      </c>
      <c r="CA78" s="74">
        <f>BZ78-BY78</f>
        <v/>
      </c>
      <c r="CB78" s="75">
        <f>IF(BY78=0,"",BZ78/BY78)</f>
        <v/>
      </c>
      <c r="CC78" s="52" t="n"/>
      <c r="CD78" s="72" t="n"/>
      <c r="CE78" s="72" t="n"/>
      <c r="CF78" s="72">
        <f>CE78-CD78</f>
        <v/>
      </c>
      <c r="CG78" s="73">
        <f>IF(CD78=0,"",CE78/CD78)</f>
        <v/>
      </c>
      <c r="CH78" s="46" t="n"/>
      <c r="CI78" s="74">
        <f>G78+ L78+ V78+ AF78+ AP78+ AZ78+ BJ78+ BT78+ CD78</f>
        <v/>
      </c>
      <c r="CJ78" s="74">
        <f>H78+ M78+ W78+ AG78+ AQ78+ BA78+ BK78+ BU78+ CE78</f>
        <v/>
      </c>
      <c r="CK78" s="74">
        <f>CJ78-CI78</f>
        <v/>
      </c>
      <c r="CL78" s="75">
        <f>IF(CI78=0,"",CJ78/CI78)</f>
        <v/>
      </c>
      <c r="CM78" s="52" t="n"/>
      <c r="CN78" s="72" t="n"/>
      <c r="CO78" s="72" t="n"/>
      <c r="CP78" s="72">
        <f>CO78-CN78</f>
        <v/>
      </c>
      <c r="CQ78" s="73">
        <f>IF(CN78=0,"",CO78/CN78)</f>
        <v/>
      </c>
      <c r="CR78" s="46" t="n"/>
      <c r="CS78" s="74">
        <f>G78+ L78+ V78+ AF78+ AP78+ AZ78+ BJ78+ BT78+ CD78+ CN78</f>
        <v/>
      </c>
      <c r="CT78" s="74">
        <f>H78+ M78+ W78+ AG78+ AQ78+ BA78+ BK78+ BU78+ CE78+ CO78</f>
        <v/>
      </c>
      <c r="CU78" s="74">
        <f>CT78-CS78</f>
        <v/>
      </c>
      <c r="CV78" s="75">
        <f>IF(CS78=0,"",CT78/CS78)</f>
        <v/>
      </c>
      <c r="CW78" s="52" t="n"/>
      <c r="CX78" s="72" t="n"/>
      <c r="CY78" s="72" t="n"/>
      <c r="CZ78" s="72">
        <f>CY78-CX78</f>
        <v/>
      </c>
      <c r="DA78" s="73">
        <f>IF(CX78=0,"",CY78/CX78)</f>
        <v/>
      </c>
      <c r="DB78" s="46" t="n"/>
      <c r="DC78" s="74">
        <f>G78+ L78+ V78+ AF78+ AP78+ AZ78+ BJ78+ BT78+ CD78+ CN78+ CX78</f>
        <v/>
      </c>
      <c r="DD78" s="74">
        <f>H78+ M78+ W78+ AG78+ AQ78+ BA78+ BK78+ BU78+ CE78+ CO78+ CY78</f>
        <v/>
      </c>
      <c r="DE78" s="74">
        <f>DD78-DC78</f>
        <v/>
      </c>
      <c r="DF78" s="75">
        <f>IF(DC78=0,"",DD78/DC78)</f>
        <v/>
      </c>
      <c r="DG78" s="52" t="n"/>
      <c r="DH78" s="72" t="n"/>
      <c r="DI78" s="72" t="n"/>
      <c r="DJ78" s="72">
        <f>DI78-DH78</f>
        <v/>
      </c>
      <c r="DK78" s="73">
        <f>IF(DH78=0,"",DI78/DH78)</f>
        <v/>
      </c>
      <c r="DL78" s="46" t="n"/>
      <c r="DM78" s="74">
        <f>G78+ L78+ V78+ AF78+ AP78+ AZ78+ BJ78+ BT78+ CD78+ CN78+ CX78+ DH78</f>
        <v/>
      </c>
      <c r="DN78" s="74">
        <f>H78+ M78+ W78+ AG78+ AQ78+ BA78+ BK78+ BU78+ CE78+ CO78+ CY78+ DI78</f>
        <v/>
      </c>
      <c r="DO78" s="74">
        <f>DN78-DM78</f>
        <v/>
      </c>
      <c r="DP78" s="75">
        <f>IF(DM78=0,"",DN78/DM78)</f>
        <v/>
      </c>
      <c r="DQ78" s="52" t="n"/>
      <c r="DR78" s="72">
        <f>G78+L78+V78+AF78+AP78+AZ78+BJ78+BT78+CD78+CN78+CX78+DH78</f>
        <v/>
      </c>
    </row>
    <row r="79" ht="15" customHeight="1">
      <c r="A79" s="45" t="n"/>
      <c r="B79" s="45" t="n"/>
      <c r="C79" s="46" t="n"/>
      <c r="D79" s="46" t="n"/>
      <c r="E79" s="46" t="n"/>
      <c r="F79" s="47" t="n"/>
      <c r="G79" s="72" t="n"/>
      <c r="H79" s="72" t="n"/>
      <c r="I79" s="72">
        <f>H79-G79</f>
        <v/>
      </c>
      <c r="J79" s="73">
        <f>IF(G79=0,"",H79/G79)</f>
        <v/>
      </c>
      <c r="K79" s="46" t="n"/>
      <c r="L79" s="72" t="n"/>
      <c r="M79" s="72" t="n"/>
      <c r="N79" s="72">
        <f>M79-L79</f>
        <v/>
      </c>
      <c r="O79" s="73">
        <f>IF(L79=0,"",M79/L79)</f>
        <v/>
      </c>
      <c r="P79" s="46" t="n"/>
      <c r="Q79" s="74">
        <f>G79+ L79</f>
        <v/>
      </c>
      <c r="R79" s="74">
        <f>H79+ M79</f>
        <v/>
      </c>
      <c r="S79" s="74">
        <f>R79-Q79</f>
        <v/>
      </c>
      <c r="T79" s="75">
        <f>IF(Q79=0,"",R79/Q79)</f>
        <v/>
      </c>
      <c r="U79" s="52" t="n"/>
      <c r="V79" s="72" t="n"/>
      <c r="W79" s="72" t="n"/>
      <c r="X79" s="72">
        <f>W79-V79</f>
        <v/>
      </c>
      <c r="Y79" s="73">
        <f>IF(V79=0,"",W79/V79)</f>
        <v/>
      </c>
      <c r="Z79" s="46" t="n"/>
      <c r="AA79" s="74">
        <f>G79+ L79+ V79</f>
        <v/>
      </c>
      <c r="AB79" s="74">
        <f>H79+ M79+ W79</f>
        <v/>
      </c>
      <c r="AC79" s="74">
        <f>AB79-AA79</f>
        <v/>
      </c>
      <c r="AD79" s="75">
        <f>IF(AA79=0,"",AB79/AA79)</f>
        <v/>
      </c>
      <c r="AE79" s="52" t="n"/>
      <c r="AF79" s="72" t="n"/>
      <c r="AG79" s="72" t="n"/>
      <c r="AH79" s="72">
        <f>AG79-AF79</f>
        <v/>
      </c>
      <c r="AI79" s="73">
        <f>IF(AF79=0,"",AG79/AF79)</f>
        <v/>
      </c>
      <c r="AJ79" s="46" t="n"/>
      <c r="AK79" s="74">
        <f>G79+ L79+ V79+ AF79</f>
        <v/>
      </c>
      <c r="AL79" s="74">
        <f>H79+ M79+ W79+ AG79</f>
        <v/>
      </c>
      <c r="AM79" s="74">
        <f>AL79-AK79</f>
        <v/>
      </c>
      <c r="AN79" s="75">
        <f>IF(AK79=0,"",AL79/AK79)</f>
        <v/>
      </c>
      <c r="AO79" s="52" t="n"/>
      <c r="AP79" s="72" t="n"/>
      <c r="AQ79" s="72" t="n"/>
      <c r="AR79" s="72">
        <f>AQ79-AP79</f>
        <v/>
      </c>
      <c r="AS79" s="73">
        <f>IF(AP79=0,"",AQ79/AP79)</f>
        <v/>
      </c>
      <c r="AT79" s="46" t="n"/>
      <c r="AU79" s="74">
        <f>G79+ L79+ V79+ AF79+ AP79</f>
        <v/>
      </c>
      <c r="AV79" s="74">
        <f>H79+ M79+ W79+ AG79+ AQ79</f>
        <v/>
      </c>
      <c r="AW79" s="74">
        <f>AV79-AU79</f>
        <v/>
      </c>
      <c r="AX79" s="75">
        <f>IF(AU79=0,"",AV79/AU79)</f>
        <v/>
      </c>
      <c r="AY79" s="52" t="n"/>
      <c r="AZ79" s="72" t="n"/>
      <c r="BA79" s="72" t="n"/>
      <c r="BB79" s="72">
        <f>BA79-AZ79</f>
        <v/>
      </c>
      <c r="BC79" s="73">
        <f>IF(AZ79=0,"",BA79/AZ79)</f>
        <v/>
      </c>
      <c r="BD79" s="46" t="n"/>
      <c r="BE79" s="74">
        <f>G79+ L79+ V79+ AF79+ AP79+ AZ79</f>
        <v/>
      </c>
      <c r="BF79" s="74">
        <f>H79+ M79+ W79+ AG79+ AQ79+ BA79</f>
        <v/>
      </c>
      <c r="BG79" s="74">
        <f>BF79-BE79</f>
        <v/>
      </c>
      <c r="BH79" s="75">
        <f>IF(BE79=0,"",BF79/BE79)</f>
        <v/>
      </c>
      <c r="BI79" s="52" t="n"/>
      <c r="BJ79" s="72" t="n"/>
      <c r="BK79" s="72" t="n"/>
      <c r="BL79" s="72">
        <f>BK79-BJ79</f>
        <v/>
      </c>
      <c r="BM79" s="73">
        <f>IF(BJ79=0,"",BK79/BJ79)</f>
        <v/>
      </c>
      <c r="BN79" s="46" t="n"/>
      <c r="BO79" s="74">
        <f>G79+ L79+ V79+ AF79+ AP79+ AZ79+ BJ79</f>
        <v/>
      </c>
      <c r="BP79" s="74">
        <f>H79+ M79+ W79+ AG79+ AQ79+ BA79+ BK79</f>
        <v/>
      </c>
      <c r="BQ79" s="74">
        <f>BP79-BO79</f>
        <v/>
      </c>
      <c r="BR79" s="75">
        <f>IF(BO79=0,"",BP79/BO79)</f>
        <v/>
      </c>
      <c r="BS79" s="52" t="n"/>
      <c r="BT79" s="72" t="n"/>
      <c r="BU79" s="72" t="n"/>
      <c r="BV79" s="72">
        <f>BU79-BT79</f>
        <v/>
      </c>
      <c r="BW79" s="73">
        <f>IF(BT79=0,"",BU79/BT79)</f>
        <v/>
      </c>
      <c r="BX79" s="46" t="n"/>
      <c r="BY79" s="74">
        <f>G79+ L79+ V79+ AF79+ AP79+ AZ79+ BJ79+ BT79</f>
        <v/>
      </c>
      <c r="BZ79" s="74">
        <f>H79+ M79+ W79+ AG79+ AQ79+ BA79+ BK79+ BU79</f>
        <v/>
      </c>
      <c r="CA79" s="74">
        <f>BZ79-BY79</f>
        <v/>
      </c>
      <c r="CB79" s="75">
        <f>IF(BY79=0,"",BZ79/BY79)</f>
        <v/>
      </c>
      <c r="CC79" s="52" t="n"/>
      <c r="CD79" s="72" t="n"/>
      <c r="CE79" s="72" t="n"/>
      <c r="CF79" s="72">
        <f>CE79-CD79</f>
        <v/>
      </c>
      <c r="CG79" s="73">
        <f>IF(CD79=0,"",CE79/CD79)</f>
        <v/>
      </c>
      <c r="CH79" s="46" t="n"/>
      <c r="CI79" s="74">
        <f>G79+ L79+ V79+ AF79+ AP79+ AZ79+ BJ79+ BT79+ CD79</f>
        <v/>
      </c>
      <c r="CJ79" s="74">
        <f>H79+ M79+ W79+ AG79+ AQ79+ BA79+ BK79+ BU79+ CE79</f>
        <v/>
      </c>
      <c r="CK79" s="74">
        <f>CJ79-CI79</f>
        <v/>
      </c>
      <c r="CL79" s="75">
        <f>IF(CI79=0,"",CJ79/CI79)</f>
        <v/>
      </c>
      <c r="CM79" s="52" t="n"/>
      <c r="CN79" s="72" t="n"/>
      <c r="CO79" s="72" t="n"/>
      <c r="CP79" s="72">
        <f>CO79-CN79</f>
        <v/>
      </c>
      <c r="CQ79" s="73">
        <f>IF(CN79=0,"",CO79/CN79)</f>
        <v/>
      </c>
      <c r="CR79" s="46" t="n"/>
      <c r="CS79" s="74">
        <f>G79+ L79+ V79+ AF79+ AP79+ AZ79+ BJ79+ BT79+ CD79+ CN79</f>
        <v/>
      </c>
      <c r="CT79" s="74">
        <f>H79+ M79+ W79+ AG79+ AQ79+ BA79+ BK79+ BU79+ CE79+ CO79</f>
        <v/>
      </c>
      <c r="CU79" s="74">
        <f>CT79-CS79</f>
        <v/>
      </c>
      <c r="CV79" s="75">
        <f>IF(CS79=0,"",CT79/CS79)</f>
        <v/>
      </c>
      <c r="CW79" s="52" t="n"/>
      <c r="CX79" s="72" t="n"/>
      <c r="CY79" s="72" t="n"/>
      <c r="CZ79" s="72">
        <f>CY79-CX79</f>
        <v/>
      </c>
      <c r="DA79" s="73">
        <f>IF(CX79=0,"",CY79/CX79)</f>
        <v/>
      </c>
      <c r="DB79" s="46" t="n"/>
      <c r="DC79" s="74">
        <f>G79+ L79+ V79+ AF79+ AP79+ AZ79+ BJ79+ BT79+ CD79+ CN79+ CX79</f>
        <v/>
      </c>
      <c r="DD79" s="74">
        <f>H79+ M79+ W79+ AG79+ AQ79+ BA79+ BK79+ BU79+ CE79+ CO79+ CY79</f>
        <v/>
      </c>
      <c r="DE79" s="74">
        <f>DD79-DC79</f>
        <v/>
      </c>
      <c r="DF79" s="75">
        <f>IF(DC79=0,"",DD79/DC79)</f>
        <v/>
      </c>
      <c r="DG79" s="52" t="n"/>
      <c r="DH79" s="72" t="n"/>
      <c r="DI79" s="72" t="n"/>
      <c r="DJ79" s="72">
        <f>DI79-DH79</f>
        <v/>
      </c>
      <c r="DK79" s="73">
        <f>IF(DH79=0,"",DI79/DH79)</f>
        <v/>
      </c>
      <c r="DL79" s="46" t="n"/>
      <c r="DM79" s="74">
        <f>G79+ L79+ V79+ AF79+ AP79+ AZ79+ BJ79+ BT79+ CD79+ CN79+ CX79+ DH79</f>
        <v/>
      </c>
      <c r="DN79" s="74">
        <f>H79+ M79+ W79+ AG79+ AQ79+ BA79+ BK79+ BU79+ CE79+ CO79+ CY79+ DI79</f>
        <v/>
      </c>
      <c r="DO79" s="74">
        <f>DN79-DM79</f>
        <v/>
      </c>
      <c r="DP79" s="75">
        <f>IF(DM79=0,"",DN79/DM79)</f>
        <v/>
      </c>
      <c r="DQ79" s="52" t="n"/>
      <c r="DR79" s="72">
        <f>G79+L79+V79+AF79+AP79+AZ79+BJ79+BT79+CD79+CN79+CX79+DH79</f>
        <v/>
      </c>
    </row>
    <row r="80" ht="15" customHeight="1">
      <c r="A80" s="67" t="n"/>
      <c r="B80" s="67" t="n"/>
      <c r="C80" s="67" t="n"/>
      <c r="D80" s="46" t="n"/>
      <c r="E80" s="46" t="n"/>
      <c r="F80" s="47" t="n"/>
      <c r="G80" s="72" t="n"/>
      <c r="H80" s="72" t="n"/>
      <c r="I80" s="72">
        <f>H80-G80</f>
        <v/>
      </c>
      <c r="J80" s="73">
        <f>IF(G80=0,"",H80/G80)</f>
        <v/>
      </c>
      <c r="K80" s="46" t="n"/>
      <c r="L80" s="72" t="n"/>
      <c r="M80" s="72" t="n"/>
      <c r="N80" s="72">
        <f>M80-L80</f>
        <v/>
      </c>
      <c r="O80" s="73">
        <f>IF(L80=0,"",M80/L80)</f>
        <v/>
      </c>
      <c r="P80" s="46" t="n"/>
      <c r="Q80" s="74">
        <f>G80+ L80</f>
        <v/>
      </c>
      <c r="R80" s="74">
        <f>H80+ M80</f>
        <v/>
      </c>
      <c r="S80" s="74">
        <f>R80-Q80</f>
        <v/>
      </c>
      <c r="T80" s="75">
        <f>IF(Q80=0,"",R80/Q80)</f>
        <v/>
      </c>
      <c r="U80" s="52" t="n"/>
      <c r="V80" s="72" t="n"/>
      <c r="W80" s="72" t="n"/>
      <c r="X80" s="72">
        <f>W80-V80</f>
        <v/>
      </c>
      <c r="Y80" s="73">
        <f>IF(V80=0,"",W80/V80)</f>
        <v/>
      </c>
      <c r="Z80" s="46" t="n"/>
      <c r="AA80" s="74">
        <f>G80+ L80+ V80</f>
        <v/>
      </c>
      <c r="AB80" s="74">
        <f>H80+ M80+ W80</f>
        <v/>
      </c>
      <c r="AC80" s="74">
        <f>AB80-AA80</f>
        <v/>
      </c>
      <c r="AD80" s="75">
        <f>IF(AA80=0,"",AB80/AA80)</f>
        <v/>
      </c>
      <c r="AE80" s="52" t="n"/>
      <c r="AF80" s="72" t="n"/>
      <c r="AG80" s="72" t="n"/>
      <c r="AH80" s="72">
        <f>AG80-AF80</f>
        <v/>
      </c>
      <c r="AI80" s="73">
        <f>IF(AF80=0,"",AG80/AF80)</f>
        <v/>
      </c>
      <c r="AJ80" s="46" t="n"/>
      <c r="AK80" s="74">
        <f>G80+ L80+ V80+ AF80</f>
        <v/>
      </c>
      <c r="AL80" s="74">
        <f>H80+ M80+ W80+ AG80</f>
        <v/>
      </c>
      <c r="AM80" s="74">
        <f>AL80-AK80</f>
        <v/>
      </c>
      <c r="AN80" s="75">
        <f>IF(AK80=0,"",AL80/AK80)</f>
        <v/>
      </c>
      <c r="AO80" s="52" t="n"/>
      <c r="AP80" s="72" t="n"/>
      <c r="AQ80" s="72" t="n"/>
      <c r="AR80" s="72">
        <f>AQ80-AP80</f>
        <v/>
      </c>
      <c r="AS80" s="73">
        <f>IF(AP80=0,"",AQ80/AP80)</f>
        <v/>
      </c>
      <c r="AT80" s="46" t="n"/>
      <c r="AU80" s="74">
        <f>G80+ L80+ V80+ AF80+ AP80</f>
        <v/>
      </c>
      <c r="AV80" s="74">
        <f>H80+ M80+ W80+ AG80+ AQ80</f>
        <v/>
      </c>
      <c r="AW80" s="74">
        <f>AV80-AU80</f>
        <v/>
      </c>
      <c r="AX80" s="75">
        <f>IF(AU80=0,"",AV80/AU80)</f>
        <v/>
      </c>
      <c r="AY80" s="52" t="n"/>
      <c r="AZ80" s="72" t="n"/>
      <c r="BA80" s="72" t="n"/>
      <c r="BB80" s="72">
        <f>BA80-AZ80</f>
        <v/>
      </c>
      <c r="BC80" s="73">
        <f>IF(AZ80=0,"",BA80/AZ80)</f>
        <v/>
      </c>
      <c r="BD80" s="46" t="n"/>
      <c r="BE80" s="74">
        <f>G80+ L80+ V80+ AF80+ AP80+ AZ80</f>
        <v/>
      </c>
      <c r="BF80" s="74">
        <f>H80+ M80+ W80+ AG80+ AQ80+ BA80</f>
        <v/>
      </c>
      <c r="BG80" s="74">
        <f>BF80-BE80</f>
        <v/>
      </c>
      <c r="BH80" s="75">
        <f>IF(BE80=0,"",BF80/BE80)</f>
        <v/>
      </c>
      <c r="BI80" s="52" t="n"/>
      <c r="BJ80" s="72" t="n"/>
      <c r="BK80" s="72" t="n"/>
      <c r="BL80" s="72">
        <f>BK80-BJ80</f>
        <v/>
      </c>
      <c r="BM80" s="73">
        <f>IF(BJ80=0,"",BK80/BJ80)</f>
        <v/>
      </c>
      <c r="BN80" s="46" t="n"/>
      <c r="BO80" s="74">
        <f>G80+ L80+ V80+ AF80+ AP80+ AZ80+ BJ80</f>
        <v/>
      </c>
      <c r="BP80" s="74">
        <f>H80+ M80+ W80+ AG80+ AQ80+ BA80+ BK80</f>
        <v/>
      </c>
      <c r="BQ80" s="74">
        <f>BP80-BO80</f>
        <v/>
      </c>
      <c r="BR80" s="75">
        <f>IF(BO80=0,"",BP80/BO80)</f>
        <v/>
      </c>
      <c r="BS80" s="52" t="n"/>
      <c r="BT80" s="72" t="n"/>
      <c r="BU80" s="72" t="n"/>
      <c r="BV80" s="72">
        <f>BU80-BT80</f>
        <v/>
      </c>
      <c r="BW80" s="73">
        <f>IF(BT80=0,"",BU80/BT80)</f>
        <v/>
      </c>
      <c r="BX80" s="46" t="n"/>
      <c r="BY80" s="74">
        <f>G80+ L80+ V80+ AF80+ AP80+ AZ80+ BJ80+ BT80</f>
        <v/>
      </c>
      <c r="BZ80" s="74">
        <f>H80+ M80+ W80+ AG80+ AQ80+ BA80+ BK80+ BU80</f>
        <v/>
      </c>
      <c r="CA80" s="74">
        <f>BZ80-BY80</f>
        <v/>
      </c>
      <c r="CB80" s="75">
        <f>IF(BY80=0,"",BZ80/BY80)</f>
        <v/>
      </c>
      <c r="CC80" s="52" t="n"/>
      <c r="CD80" s="72" t="n"/>
      <c r="CE80" s="72" t="n"/>
      <c r="CF80" s="72">
        <f>CE80-CD80</f>
        <v/>
      </c>
      <c r="CG80" s="73">
        <f>IF(CD80=0,"",CE80/CD80)</f>
        <v/>
      </c>
      <c r="CH80" s="46" t="n"/>
      <c r="CI80" s="74">
        <f>G80+ L80+ V80+ AF80+ AP80+ AZ80+ BJ80+ BT80+ CD80</f>
        <v/>
      </c>
      <c r="CJ80" s="74">
        <f>H80+ M80+ W80+ AG80+ AQ80+ BA80+ BK80+ BU80+ CE80</f>
        <v/>
      </c>
      <c r="CK80" s="74">
        <f>CJ80-CI80</f>
        <v/>
      </c>
      <c r="CL80" s="75">
        <f>IF(CI80=0,"",CJ80/CI80)</f>
        <v/>
      </c>
      <c r="CM80" s="52" t="n"/>
      <c r="CN80" s="72" t="n"/>
      <c r="CO80" s="72" t="n"/>
      <c r="CP80" s="72">
        <f>CO80-CN80</f>
        <v/>
      </c>
      <c r="CQ80" s="73">
        <f>IF(CN80=0,"",CO80/CN80)</f>
        <v/>
      </c>
      <c r="CR80" s="46" t="n"/>
      <c r="CS80" s="74">
        <f>G80+ L80+ V80+ AF80+ AP80+ AZ80+ BJ80+ BT80+ CD80+ CN80</f>
        <v/>
      </c>
      <c r="CT80" s="74">
        <f>H80+ M80+ W80+ AG80+ AQ80+ BA80+ BK80+ BU80+ CE80+ CO80</f>
        <v/>
      </c>
      <c r="CU80" s="74">
        <f>CT80-CS80</f>
        <v/>
      </c>
      <c r="CV80" s="75">
        <f>IF(CS80=0,"",CT80/CS80)</f>
        <v/>
      </c>
      <c r="CW80" s="52" t="n"/>
      <c r="CX80" s="72" t="n"/>
      <c r="CY80" s="72" t="n"/>
      <c r="CZ80" s="72">
        <f>CY80-CX80</f>
        <v/>
      </c>
      <c r="DA80" s="73">
        <f>IF(CX80=0,"",CY80/CX80)</f>
        <v/>
      </c>
      <c r="DB80" s="46" t="n"/>
      <c r="DC80" s="74">
        <f>G80+ L80+ V80+ AF80+ AP80+ AZ80+ BJ80+ BT80+ CD80+ CN80+ CX80</f>
        <v/>
      </c>
      <c r="DD80" s="74">
        <f>H80+ M80+ W80+ AG80+ AQ80+ BA80+ BK80+ BU80+ CE80+ CO80+ CY80</f>
        <v/>
      </c>
      <c r="DE80" s="74">
        <f>DD80-DC80</f>
        <v/>
      </c>
      <c r="DF80" s="75">
        <f>IF(DC80=0,"",DD80/DC80)</f>
        <v/>
      </c>
      <c r="DG80" s="52" t="n"/>
      <c r="DH80" s="72" t="n"/>
      <c r="DI80" s="72" t="n"/>
      <c r="DJ80" s="72">
        <f>DI80-DH80</f>
        <v/>
      </c>
      <c r="DK80" s="73">
        <f>IF(DH80=0,"",DI80/DH80)</f>
        <v/>
      </c>
      <c r="DL80" s="46" t="n"/>
      <c r="DM80" s="74">
        <f>G80+ L80+ V80+ AF80+ AP80+ AZ80+ BJ80+ BT80+ CD80+ CN80+ CX80+ DH80</f>
        <v/>
      </c>
      <c r="DN80" s="74">
        <f>H80+ M80+ W80+ AG80+ AQ80+ BA80+ BK80+ BU80+ CE80+ CO80+ CY80+ DI80</f>
        <v/>
      </c>
      <c r="DO80" s="74">
        <f>DN80-DM80</f>
        <v/>
      </c>
      <c r="DP80" s="75">
        <f>IF(DM80=0,"",DN80/DM80)</f>
        <v/>
      </c>
      <c r="DQ80" s="52" t="n"/>
      <c r="DR80" s="72">
        <f>G80+L80+V80+AF80+AP80+AZ80+BJ80+BT80+CD80+CN80+CX80+DH80</f>
        <v/>
      </c>
    </row>
    <row r="81" ht="15" customHeight="1">
      <c r="A81" s="67" t="n"/>
      <c r="B81" s="67" t="n"/>
      <c r="C81" s="67" t="n"/>
      <c r="D81" s="46" t="n"/>
      <c r="E81" s="46" t="n"/>
      <c r="F81" s="47" t="n"/>
      <c r="G81" s="72" t="n"/>
      <c r="H81" s="72" t="n"/>
      <c r="I81" s="72">
        <f>H81-G81</f>
        <v/>
      </c>
      <c r="J81" s="73">
        <f>IF(G81=0,"",H81/G81)</f>
        <v/>
      </c>
      <c r="K81" s="46" t="n"/>
      <c r="L81" s="72" t="n"/>
      <c r="M81" s="72" t="n"/>
      <c r="N81" s="72">
        <f>M81-L81</f>
        <v/>
      </c>
      <c r="O81" s="73">
        <f>IF(L81=0,"",M81/L81)</f>
        <v/>
      </c>
      <c r="P81" s="46" t="n"/>
      <c r="Q81" s="74">
        <f>G81+ L81</f>
        <v/>
      </c>
      <c r="R81" s="74">
        <f>H81+ M81</f>
        <v/>
      </c>
      <c r="S81" s="74">
        <f>R81-Q81</f>
        <v/>
      </c>
      <c r="T81" s="75">
        <f>IF(Q81=0,"",R81/Q81)</f>
        <v/>
      </c>
      <c r="U81" s="52" t="n"/>
      <c r="V81" s="72" t="n"/>
      <c r="W81" s="72" t="n"/>
      <c r="X81" s="72">
        <f>W81-V81</f>
        <v/>
      </c>
      <c r="Y81" s="73">
        <f>IF(V81=0,"",W81/V81)</f>
        <v/>
      </c>
      <c r="Z81" s="46" t="n"/>
      <c r="AA81" s="74">
        <f>G81+ L81+ V81</f>
        <v/>
      </c>
      <c r="AB81" s="74">
        <f>H81+ M81+ W81</f>
        <v/>
      </c>
      <c r="AC81" s="74">
        <f>AB81-AA81</f>
        <v/>
      </c>
      <c r="AD81" s="75">
        <f>IF(AA81=0,"",AB81/AA81)</f>
        <v/>
      </c>
      <c r="AE81" s="52" t="n"/>
      <c r="AF81" s="72" t="n"/>
      <c r="AG81" s="72" t="n"/>
      <c r="AH81" s="72">
        <f>AG81-AF81</f>
        <v/>
      </c>
      <c r="AI81" s="73">
        <f>IF(AF81=0,"",AG81/AF81)</f>
        <v/>
      </c>
      <c r="AJ81" s="46" t="n"/>
      <c r="AK81" s="74">
        <f>G81+ L81+ V81+ AF81</f>
        <v/>
      </c>
      <c r="AL81" s="74">
        <f>H81+ M81+ W81+ AG81</f>
        <v/>
      </c>
      <c r="AM81" s="74">
        <f>AL81-AK81</f>
        <v/>
      </c>
      <c r="AN81" s="75">
        <f>IF(AK81=0,"",AL81/AK81)</f>
        <v/>
      </c>
      <c r="AO81" s="52" t="n"/>
      <c r="AP81" s="72" t="n"/>
      <c r="AQ81" s="72" t="n"/>
      <c r="AR81" s="72">
        <f>AQ81-AP81</f>
        <v/>
      </c>
      <c r="AS81" s="73">
        <f>IF(AP81=0,"",AQ81/AP81)</f>
        <v/>
      </c>
      <c r="AT81" s="46" t="n"/>
      <c r="AU81" s="74">
        <f>G81+ L81+ V81+ AF81+ AP81</f>
        <v/>
      </c>
      <c r="AV81" s="74">
        <f>H81+ M81+ W81+ AG81+ AQ81</f>
        <v/>
      </c>
      <c r="AW81" s="74">
        <f>AV81-AU81</f>
        <v/>
      </c>
      <c r="AX81" s="75">
        <f>IF(AU81=0,"",AV81/AU81)</f>
        <v/>
      </c>
      <c r="AY81" s="52" t="n"/>
      <c r="AZ81" s="72" t="n"/>
      <c r="BA81" s="72" t="n"/>
      <c r="BB81" s="72">
        <f>BA81-AZ81</f>
        <v/>
      </c>
      <c r="BC81" s="73">
        <f>IF(AZ81=0,"",BA81/AZ81)</f>
        <v/>
      </c>
      <c r="BD81" s="46" t="n"/>
      <c r="BE81" s="74">
        <f>G81+ L81+ V81+ AF81+ AP81+ AZ81</f>
        <v/>
      </c>
      <c r="BF81" s="74">
        <f>H81+ M81+ W81+ AG81+ AQ81+ BA81</f>
        <v/>
      </c>
      <c r="BG81" s="74">
        <f>BF81-BE81</f>
        <v/>
      </c>
      <c r="BH81" s="75">
        <f>IF(BE81=0,"",BF81/BE81)</f>
        <v/>
      </c>
      <c r="BI81" s="52" t="n"/>
      <c r="BJ81" s="72" t="n"/>
      <c r="BK81" s="72" t="n"/>
      <c r="BL81" s="72">
        <f>BK81-BJ81</f>
        <v/>
      </c>
      <c r="BM81" s="73">
        <f>IF(BJ81=0,"",BK81/BJ81)</f>
        <v/>
      </c>
      <c r="BN81" s="46" t="n"/>
      <c r="BO81" s="74">
        <f>G81+ L81+ V81+ AF81+ AP81+ AZ81+ BJ81</f>
        <v/>
      </c>
      <c r="BP81" s="74">
        <f>H81+ M81+ W81+ AG81+ AQ81+ BA81+ BK81</f>
        <v/>
      </c>
      <c r="BQ81" s="74">
        <f>BP81-BO81</f>
        <v/>
      </c>
      <c r="BR81" s="75">
        <f>IF(BO81=0,"",BP81/BO81)</f>
        <v/>
      </c>
      <c r="BS81" s="52" t="n"/>
      <c r="BT81" s="72" t="n"/>
      <c r="BU81" s="72" t="n"/>
      <c r="BV81" s="72">
        <f>BU81-BT81</f>
        <v/>
      </c>
      <c r="BW81" s="73">
        <f>IF(BT81=0,"",BU81/BT81)</f>
        <v/>
      </c>
      <c r="BX81" s="46" t="n"/>
      <c r="BY81" s="74">
        <f>G81+ L81+ V81+ AF81+ AP81+ AZ81+ BJ81+ BT81</f>
        <v/>
      </c>
      <c r="BZ81" s="74">
        <f>H81+ M81+ W81+ AG81+ AQ81+ BA81+ BK81+ BU81</f>
        <v/>
      </c>
      <c r="CA81" s="74">
        <f>BZ81-BY81</f>
        <v/>
      </c>
      <c r="CB81" s="75">
        <f>IF(BY81=0,"",BZ81/BY81)</f>
        <v/>
      </c>
      <c r="CC81" s="52" t="n"/>
      <c r="CD81" s="72" t="n"/>
      <c r="CE81" s="72" t="n"/>
      <c r="CF81" s="72">
        <f>CE81-CD81</f>
        <v/>
      </c>
      <c r="CG81" s="73">
        <f>IF(CD81=0,"",CE81/CD81)</f>
        <v/>
      </c>
      <c r="CH81" s="46" t="n"/>
      <c r="CI81" s="74">
        <f>G81+ L81+ V81+ AF81+ AP81+ AZ81+ BJ81+ BT81+ CD81</f>
        <v/>
      </c>
      <c r="CJ81" s="74">
        <f>H81+ M81+ W81+ AG81+ AQ81+ BA81+ BK81+ BU81+ CE81</f>
        <v/>
      </c>
      <c r="CK81" s="74">
        <f>CJ81-CI81</f>
        <v/>
      </c>
      <c r="CL81" s="75">
        <f>IF(CI81=0,"",CJ81/CI81)</f>
        <v/>
      </c>
      <c r="CM81" s="52" t="n"/>
      <c r="CN81" s="72" t="n"/>
      <c r="CO81" s="72" t="n"/>
      <c r="CP81" s="72">
        <f>CO81-CN81</f>
        <v/>
      </c>
      <c r="CQ81" s="73">
        <f>IF(CN81=0,"",CO81/CN81)</f>
        <v/>
      </c>
      <c r="CR81" s="46" t="n"/>
      <c r="CS81" s="74">
        <f>G81+ L81+ V81+ AF81+ AP81+ AZ81+ BJ81+ BT81+ CD81+ CN81</f>
        <v/>
      </c>
      <c r="CT81" s="74">
        <f>H81+ M81+ W81+ AG81+ AQ81+ BA81+ BK81+ BU81+ CE81+ CO81</f>
        <v/>
      </c>
      <c r="CU81" s="74">
        <f>CT81-CS81</f>
        <v/>
      </c>
      <c r="CV81" s="75">
        <f>IF(CS81=0,"",CT81/CS81)</f>
        <v/>
      </c>
      <c r="CW81" s="52" t="n"/>
      <c r="CX81" s="72" t="n"/>
      <c r="CY81" s="72" t="n"/>
      <c r="CZ81" s="72">
        <f>CY81-CX81</f>
        <v/>
      </c>
      <c r="DA81" s="73">
        <f>IF(CX81=0,"",CY81/CX81)</f>
        <v/>
      </c>
      <c r="DB81" s="46" t="n"/>
      <c r="DC81" s="74">
        <f>G81+ L81+ V81+ AF81+ AP81+ AZ81+ BJ81+ BT81+ CD81+ CN81+ CX81</f>
        <v/>
      </c>
      <c r="DD81" s="74">
        <f>H81+ M81+ W81+ AG81+ AQ81+ BA81+ BK81+ BU81+ CE81+ CO81+ CY81</f>
        <v/>
      </c>
      <c r="DE81" s="74">
        <f>DD81-DC81</f>
        <v/>
      </c>
      <c r="DF81" s="75">
        <f>IF(DC81=0,"",DD81/DC81)</f>
        <v/>
      </c>
      <c r="DG81" s="52" t="n"/>
      <c r="DH81" s="72" t="n"/>
      <c r="DI81" s="72" t="n"/>
      <c r="DJ81" s="72">
        <f>DI81-DH81</f>
        <v/>
      </c>
      <c r="DK81" s="73">
        <f>IF(DH81=0,"",DI81/DH81)</f>
        <v/>
      </c>
      <c r="DL81" s="46" t="n"/>
      <c r="DM81" s="74">
        <f>G81+ L81+ V81+ AF81+ AP81+ AZ81+ BJ81+ BT81+ CD81+ CN81+ CX81+ DH81</f>
        <v/>
      </c>
      <c r="DN81" s="74">
        <f>H81+ M81+ W81+ AG81+ AQ81+ BA81+ BK81+ BU81+ CE81+ CO81+ CY81+ DI81</f>
        <v/>
      </c>
      <c r="DO81" s="74">
        <f>DN81-DM81</f>
        <v/>
      </c>
      <c r="DP81" s="75">
        <f>IF(DM81=0,"",DN81/DM81)</f>
        <v/>
      </c>
      <c r="DQ81" s="52" t="n"/>
      <c r="DR81" s="72">
        <f>G81+L81+V81+AF81+AP81+AZ81+BJ81+BT81+CD81+CN81+CX81+DH81</f>
        <v/>
      </c>
    </row>
    <row r="82" ht="15" customHeight="1">
      <c r="A82" s="67" t="n"/>
      <c r="B82" s="67" t="n"/>
      <c r="C82" s="67" t="n"/>
      <c r="D82" s="46" t="n"/>
      <c r="E82" s="46" t="n"/>
      <c r="F82" s="47" t="n"/>
      <c r="G82" s="72" t="n"/>
      <c r="H82" s="72" t="n"/>
      <c r="I82" s="72">
        <f>H82-G82</f>
        <v/>
      </c>
      <c r="J82" s="73">
        <f>IF(G82=0,"",H82/G82)</f>
        <v/>
      </c>
      <c r="K82" s="46" t="n"/>
      <c r="L82" s="72" t="n"/>
      <c r="M82" s="72" t="n"/>
      <c r="N82" s="72">
        <f>M82-L82</f>
        <v/>
      </c>
      <c r="O82" s="73">
        <f>IF(L82=0,"",M82/L82)</f>
        <v/>
      </c>
      <c r="P82" s="46" t="n"/>
      <c r="Q82" s="74">
        <f>G82+ L82</f>
        <v/>
      </c>
      <c r="R82" s="74">
        <f>H82+ M82</f>
        <v/>
      </c>
      <c r="S82" s="74">
        <f>R82-Q82</f>
        <v/>
      </c>
      <c r="T82" s="75">
        <f>IF(Q82=0,"",R82/Q82)</f>
        <v/>
      </c>
      <c r="U82" s="52" t="n"/>
      <c r="V82" s="72" t="n"/>
      <c r="W82" s="72" t="n"/>
      <c r="X82" s="72">
        <f>W82-V82</f>
        <v/>
      </c>
      <c r="Y82" s="73">
        <f>IF(V82=0,"",W82/V82)</f>
        <v/>
      </c>
      <c r="Z82" s="46" t="n"/>
      <c r="AA82" s="74">
        <f>G82+ L82+ V82</f>
        <v/>
      </c>
      <c r="AB82" s="74">
        <f>H82+ M82+ W82</f>
        <v/>
      </c>
      <c r="AC82" s="74">
        <f>AB82-AA82</f>
        <v/>
      </c>
      <c r="AD82" s="75">
        <f>IF(AA82=0,"",AB82/AA82)</f>
        <v/>
      </c>
      <c r="AE82" s="52" t="n"/>
      <c r="AF82" s="72" t="n"/>
      <c r="AG82" s="72" t="n"/>
      <c r="AH82" s="72">
        <f>AG82-AF82</f>
        <v/>
      </c>
      <c r="AI82" s="73">
        <f>IF(AF82=0,"",AG82/AF82)</f>
        <v/>
      </c>
      <c r="AJ82" s="46" t="n"/>
      <c r="AK82" s="74">
        <f>G82+ L82+ V82+ AF82</f>
        <v/>
      </c>
      <c r="AL82" s="74">
        <f>H82+ M82+ W82+ AG82</f>
        <v/>
      </c>
      <c r="AM82" s="74">
        <f>AL82-AK82</f>
        <v/>
      </c>
      <c r="AN82" s="75">
        <f>IF(AK82=0,"",AL82/AK82)</f>
        <v/>
      </c>
      <c r="AO82" s="52" t="n"/>
      <c r="AP82" s="72" t="n"/>
      <c r="AQ82" s="72" t="n"/>
      <c r="AR82" s="72">
        <f>AQ82-AP82</f>
        <v/>
      </c>
      <c r="AS82" s="73">
        <f>IF(AP82=0,"",AQ82/AP82)</f>
        <v/>
      </c>
      <c r="AT82" s="46" t="n"/>
      <c r="AU82" s="74">
        <f>G82+ L82+ V82+ AF82+ AP82</f>
        <v/>
      </c>
      <c r="AV82" s="74">
        <f>H82+ M82+ W82+ AG82+ AQ82</f>
        <v/>
      </c>
      <c r="AW82" s="74">
        <f>AV82-AU82</f>
        <v/>
      </c>
      <c r="AX82" s="75">
        <f>IF(AU82=0,"",AV82/AU82)</f>
        <v/>
      </c>
      <c r="AY82" s="52" t="n"/>
      <c r="AZ82" s="72" t="n"/>
      <c r="BA82" s="72" t="n"/>
      <c r="BB82" s="72">
        <f>BA82-AZ82</f>
        <v/>
      </c>
      <c r="BC82" s="73">
        <f>IF(AZ82=0,"",BA82/AZ82)</f>
        <v/>
      </c>
      <c r="BD82" s="46" t="n"/>
      <c r="BE82" s="74">
        <f>G82+ L82+ V82+ AF82+ AP82+ AZ82</f>
        <v/>
      </c>
      <c r="BF82" s="74">
        <f>H82+ M82+ W82+ AG82+ AQ82+ BA82</f>
        <v/>
      </c>
      <c r="BG82" s="74">
        <f>BF82-BE82</f>
        <v/>
      </c>
      <c r="BH82" s="75">
        <f>IF(BE82=0,"",BF82/BE82)</f>
        <v/>
      </c>
      <c r="BI82" s="52" t="n"/>
      <c r="BJ82" s="72" t="n"/>
      <c r="BK82" s="72" t="n"/>
      <c r="BL82" s="72">
        <f>BK82-BJ82</f>
        <v/>
      </c>
      <c r="BM82" s="73">
        <f>IF(BJ82=0,"",BK82/BJ82)</f>
        <v/>
      </c>
      <c r="BN82" s="46" t="n"/>
      <c r="BO82" s="74">
        <f>G82+ L82+ V82+ AF82+ AP82+ AZ82+ BJ82</f>
        <v/>
      </c>
      <c r="BP82" s="74">
        <f>H82+ M82+ W82+ AG82+ AQ82+ BA82+ BK82</f>
        <v/>
      </c>
      <c r="BQ82" s="74">
        <f>BP82-BO82</f>
        <v/>
      </c>
      <c r="BR82" s="75">
        <f>IF(BO82=0,"",BP82/BO82)</f>
        <v/>
      </c>
      <c r="BS82" s="52" t="n"/>
      <c r="BT82" s="72" t="n"/>
      <c r="BU82" s="72" t="n"/>
      <c r="BV82" s="72">
        <f>BU82-BT82</f>
        <v/>
      </c>
      <c r="BW82" s="73">
        <f>IF(BT82=0,"",BU82/BT82)</f>
        <v/>
      </c>
      <c r="BX82" s="46" t="n"/>
      <c r="BY82" s="74">
        <f>G82+ L82+ V82+ AF82+ AP82+ AZ82+ BJ82+ BT82</f>
        <v/>
      </c>
      <c r="BZ82" s="74">
        <f>H82+ M82+ W82+ AG82+ AQ82+ BA82+ BK82+ BU82</f>
        <v/>
      </c>
      <c r="CA82" s="74">
        <f>BZ82-BY82</f>
        <v/>
      </c>
      <c r="CB82" s="75">
        <f>IF(BY82=0,"",BZ82/BY82)</f>
        <v/>
      </c>
      <c r="CC82" s="52" t="n"/>
      <c r="CD82" s="72" t="n"/>
      <c r="CE82" s="72" t="n"/>
      <c r="CF82" s="72">
        <f>CE82-CD82</f>
        <v/>
      </c>
      <c r="CG82" s="73">
        <f>IF(CD82=0,"",CE82/CD82)</f>
        <v/>
      </c>
      <c r="CH82" s="46" t="n"/>
      <c r="CI82" s="74">
        <f>G82+ L82+ V82+ AF82+ AP82+ AZ82+ BJ82+ BT82+ CD82</f>
        <v/>
      </c>
      <c r="CJ82" s="74">
        <f>H82+ M82+ W82+ AG82+ AQ82+ BA82+ BK82+ BU82+ CE82</f>
        <v/>
      </c>
      <c r="CK82" s="74">
        <f>CJ82-CI82</f>
        <v/>
      </c>
      <c r="CL82" s="75">
        <f>IF(CI82=0,"",CJ82/CI82)</f>
        <v/>
      </c>
      <c r="CM82" s="52" t="n"/>
      <c r="CN82" s="72" t="n"/>
      <c r="CO82" s="72" t="n"/>
      <c r="CP82" s="72">
        <f>CO82-CN82</f>
        <v/>
      </c>
      <c r="CQ82" s="73">
        <f>IF(CN82=0,"",CO82/CN82)</f>
        <v/>
      </c>
      <c r="CR82" s="46" t="n"/>
      <c r="CS82" s="74">
        <f>G82+ L82+ V82+ AF82+ AP82+ AZ82+ BJ82+ BT82+ CD82+ CN82</f>
        <v/>
      </c>
      <c r="CT82" s="74">
        <f>H82+ M82+ W82+ AG82+ AQ82+ BA82+ BK82+ BU82+ CE82+ CO82</f>
        <v/>
      </c>
      <c r="CU82" s="74">
        <f>CT82-CS82</f>
        <v/>
      </c>
      <c r="CV82" s="75">
        <f>IF(CS82=0,"",CT82/CS82)</f>
        <v/>
      </c>
      <c r="CW82" s="52" t="n"/>
      <c r="CX82" s="72" t="n"/>
      <c r="CY82" s="72" t="n"/>
      <c r="CZ82" s="72">
        <f>CY82-CX82</f>
        <v/>
      </c>
      <c r="DA82" s="73">
        <f>IF(CX82=0,"",CY82/CX82)</f>
        <v/>
      </c>
      <c r="DB82" s="46" t="n"/>
      <c r="DC82" s="74">
        <f>G82+ L82+ V82+ AF82+ AP82+ AZ82+ BJ82+ BT82+ CD82+ CN82+ CX82</f>
        <v/>
      </c>
      <c r="DD82" s="74">
        <f>H82+ M82+ W82+ AG82+ AQ82+ BA82+ BK82+ BU82+ CE82+ CO82+ CY82</f>
        <v/>
      </c>
      <c r="DE82" s="74">
        <f>DD82-DC82</f>
        <v/>
      </c>
      <c r="DF82" s="75">
        <f>IF(DC82=0,"",DD82/DC82)</f>
        <v/>
      </c>
      <c r="DG82" s="52" t="n"/>
      <c r="DH82" s="72" t="n"/>
      <c r="DI82" s="72" t="n"/>
      <c r="DJ82" s="72">
        <f>DI82-DH82</f>
        <v/>
      </c>
      <c r="DK82" s="73">
        <f>IF(DH82=0,"",DI82/DH82)</f>
        <v/>
      </c>
      <c r="DL82" s="46" t="n"/>
      <c r="DM82" s="74">
        <f>G82+ L82+ V82+ AF82+ AP82+ AZ82+ BJ82+ BT82+ CD82+ CN82+ CX82+ DH82</f>
        <v/>
      </c>
      <c r="DN82" s="74">
        <f>H82+ M82+ W82+ AG82+ AQ82+ BA82+ BK82+ BU82+ CE82+ CO82+ CY82+ DI82</f>
        <v/>
      </c>
      <c r="DO82" s="74">
        <f>DN82-DM82</f>
        <v/>
      </c>
      <c r="DP82" s="75">
        <f>IF(DM82=0,"",DN82/DM82)</f>
        <v/>
      </c>
      <c r="DQ82" s="52" t="n"/>
      <c r="DR82" s="72">
        <f>G82+L82+V82+AF82+AP82+AZ82+BJ82+BT82+CD82+CN82+CX82+DH82</f>
        <v/>
      </c>
    </row>
    <row r="83" ht="15" customHeight="1">
      <c r="A83" s="67" t="n"/>
      <c r="B83" s="67" t="n"/>
      <c r="C83" s="67" t="n"/>
      <c r="D83" s="46" t="n"/>
      <c r="E83" s="46" t="n"/>
      <c r="F83" s="47" t="n"/>
      <c r="G83" s="72" t="n"/>
      <c r="H83" s="72" t="n"/>
      <c r="I83" s="72">
        <f>H83-G83</f>
        <v/>
      </c>
      <c r="J83" s="73">
        <f>IF(G83=0,"",H83/G83)</f>
        <v/>
      </c>
      <c r="K83" s="46" t="n"/>
      <c r="L83" s="72" t="n"/>
      <c r="M83" s="72" t="n"/>
      <c r="N83" s="72">
        <f>M83-L83</f>
        <v/>
      </c>
      <c r="O83" s="73">
        <f>IF(L83=0,"",M83/L83)</f>
        <v/>
      </c>
      <c r="P83" s="46" t="n"/>
      <c r="Q83" s="74">
        <f>G83+ L83</f>
        <v/>
      </c>
      <c r="R83" s="74">
        <f>H83+ M83</f>
        <v/>
      </c>
      <c r="S83" s="74">
        <f>R83-Q83</f>
        <v/>
      </c>
      <c r="T83" s="75">
        <f>IF(Q83=0,"",R83/Q83)</f>
        <v/>
      </c>
      <c r="U83" s="52" t="n"/>
      <c r="V83" s="72" t="n"/>
      <c r="W83" s="72" t="n"/>
      <c r="X83" s="72">
        <f>W83-V83</f>
        <v/>
      </c>
      <c r="Y83" s="73">
        <f>IF(V83=0,"",W83/V83)</f>
        <v/>
      </c>
      <c r="Z83" s="46" t="n"/>
      <c r="AA83" s="74">
        <f>G83+ L83+ V83</f>
        <v/>
      </c>
      <c r="AB83" s="74">
        <f>H83+ M83+ W83</f>
        <v/>
      </c>
      <c r="AC83" s="74">
        <f>AB83-AA83</f>
        <v/>
      </c>
      <c r="AD83" s="75">
        <f>IF(AA83=0,"",AB83/AA83)</f>
        <v/>
      </c>
      <c r="AE83" s="52" t="n"/>
      <c r="AF83" s="72" t="n"/>
      <c r="AG83" s="72" t="n"/>
      <c r="AH83" s="72">
        <f>AG83-AF83</f>
        <v/>
      </c>
      <c r="AI83" s="73">
        <f>IF(AF83=0,"",AG83/AF83)</f>
        <v/>
      </c>
      <c r="AJ83" s="46" t="n"/>
      <c r="AK83" s="74">
        <f>G83+ L83+ V83+ AF83</f>
        <v/>
      </c>
      <c r="AL83" s="74">
        <f>H83+ M83+ W83+ AG83</f>
        <v/>
      </c>
      <c r="AM83" s="74">
        <f>AL83-AK83</f>
        <v/>
      </c>
      <c r="AN83" s="75">
        <f>IF(AK83=0,"",AL83/AK83)</f>
        <v/>
      </c>
      <c r="AO83" s="52" t="n"/>
      <c r="AP83" s="72" t="n"/>
      <c r="AQ83" s="72" t="n"/>
      <c r="AR83" s="72">
        <f>AQ83-AP83</f>
        <v/>
      </c>
      <c r="AS83" s="73">
        <f>IF(AP83=0,"",AQ83/AP83)</f>
        <v/>
      </c>
      <c r="AT83" s="46" t="n"/>
      <c r="AU83" s="74">
        <f>G83+ L83+ V83+ AF83+ AP83</f>
        <v/>
      </c>
      <c r="AV83" s="74">
        <f>H83+ M83+ W83+ AG83+ AQ83</f>
        <v/>
      </c>
      <c r="AW83" s="74">
        <f>AV83-AU83</f>
        <v/>
      </c>
      <c r="AX83" s="75">
        <f>IF(AU83=0,"",AV83/AU83)</f>
        <v/>
      </c>
      <c r="AY83" s="52" t="n"/>
      <c r="AZ83" s="72" t="n"/>
      <c r="BA83" s="72" t="n"/>
      <c r="BB83" s="72">
        <f>BA83-AZ83</f>
        <v/>
      </c>
      <c r="BC83" s="73">
        <f>IF(AZ83=0,"",BA83/AZ83)</f>
        <v/>
      </c>
      <c r="BD83" s="46" t="n"/>
      <c r="BE83" s="74">
        <f>G83+ L83+ V83+ AF83+ AP83+ AZ83</f>
        <v/>
      </c>
      <c r="BF83" s="74">
        <f>H83+ M83+ W83+ AG83+ AQ83+ BA83</f>
        <v/>
      </c>
      <c r="BG83" s="74">
        <f>BF83-BE83</f>
        <v/>
      </c>
      <c r="BH83" s="75">
        <f>IF(BE83=0,"",BF83/BE83)</f>
        <v/>
      </c>
      <c r="BI83" s="52" t="n"/>
      <c r="BJ83" s="72" t="n"/>
      <c r="BK83" s="72" t="n"/>
      <c r="BL83" s="72">
        <f>BK83-BJ83</f>
        <v/>
      </c>
      <c r="BM83" s="73">
        <f>IF(BJ83=0,"",BK83/BJ83)</f>
        <v/>
      </c>
      <c r="BN83" s="46" t="n"/>
      <c r="BO83" s="74">
        <f>G83+ L83+ V83+ AF83+ AP83+ AZ83+ BJ83</f>
        <v/>
      </c>
      <c r="BP83" s="74">
        <f>H83+ M83+ W83+ AG83+ AQ83+ BA83+ BK83</f>
        <v/>
      </c>
      <c r="BQ83" s="74">
        <f>BP83-BO83</f>
        <v/>
      </c>
      <c r="BR83" s="75">
        <f>IF(BO83=0,"",BP83/BO83)</f>
        <v/>
      </c>
      <c r="BS83" s="52" t="n"/>
      <c r="BT83" s="72" t="n"/>
      <c r="BU83" s="72" t="n"/>
      <c r="BV83" s="72">
        <f>BU83-BT83</f>
        <v/>
      </c>
      <c r="BW83" s="73">
        <f>IF(BT83=0,"",BU83/BT83)</f>
        <v/>
      </c>
      <c r="BX83" s="46" t="n"/>
      <c r="BY83" s="74">
        <f>G83+ L83+ V83+ AF83+ AP83+ AZ83+ BJ83+ BT83</f>
        <v/>
      </c>
      <c r="BZ83" s="74">
        <f>H83+ M83+ W83+ AG83+ AQ83+ BA83+ BK83+ BU83</f>
        <v/>
      </c>
      <c r="CA83" s="74">
        <f>BZ83-BY83</f>
        <v/>
      </c>
      <c r="CB83" s="75">
        <f>IF(BY83=0,"",BZ83/BY83)</f>
        <v/>
      </c>
      <c r="CC83" s="52" t="n"/>
      <c r="CD83" s="72" t="n"/>
      <c r="CE83" s="72" t="n"/>
      <c r="CF83" s="72">
        <f>CE83-CD83</f>
        <v/>
      </c>
      <c r="CG83" s="73">
        <f>IF(CD83=0,"",CE83/CD83)</f>
        <v/>
      </c>
      <c r="CH83" s="46" t="n"/>
      <c r="CI83" s="74">
        <f>G83+ L83+ V83+ AF83+ AP83+ AZ83+ BJ83+ BT83+ CD83</f>
        <v/>
      </c>
      <c r="CJ83" s="74">
        <f>H83+ M83+ W83+ AG83+ AQ83+ BA83+ BK83+ BU83+ CE83</f>
        <v/>
      </c>
      <c r="CK83" s="74">
        <f>CJ83-CI83</f>
        <v/>
      </c>
      <c r="CL83" s="75">
        <f>IF(CI83=0,"",CJ83/CI83)</f>
        <v/>
      </c>
      <c r="CM83" s="52" t="n"/>
      <c r="CN83" s="72" t="n"/>
      <c r="CO83" s="72" t="n"/>
      <c r="CP83" s="72">
        <f>CO83-CN83</f>
        <v/>
      </c>
      <c r="CQ83" s="73">
        <f>IF(CN83=0,"",CO83/CN83)</f>
        <v/>
      </c>
      <c r="CR83" s="46" t="n"/>
      <c r="CS83" s="74">
        <f>G83+ L83+ V83+ AF83+ AP83+ AZ83+ BJ83+ BT83+ CD83+ CN83</f>
        <v/>
      </c>
      <c r="CT83" s="74">
        <f>H83+ M83+ W83+ AG83+ AQ83+ BA83+ BK83+ BU83+ CE83+ CO83</f>
        <v/>
      </c>
      <c r="CU83" s="74">
        <f>CT83-CS83</f>
        <v/>
      </c>
      <c r="CV83" s="75">
        <f>IF(CS83=0,"",CT83/CS83)</f>
        <v/>
      </c>
      <c r="CW83" s="52" t="n"/>
      <c r="CX83" s="72" t="n"/>
      <c r="CY83" s="72" t="n"/>
      <c r="CZ83" s="72">
        <f>CY83-CX83</f>
        <v/>
      </c>
      <c r="DA83" s="73">
        <f>IF(CX83=0,"",CY83/CX83)</f>
        <v/>
      </c>
      <c r="DB83" s="46" t="n"/>
      <c r="DC83" s="74">
        <f>G83+ L83+ V83+ AF83+ AP83+ AZ83+ BJ83+ BT83+ CD83+ CN83+ CX83</f>
        <v/>
      </c>
      <c r="DD83" s="74">
        <f>H83+ M83+ W83+ AG83+ AQ83+ BA83+ BK83+ BU83+ CE83+ CO83+ CY83</f>
        <v/>
      </c>
      <c r="DE83" s="74">
        <f>DD83-DC83</f>
        <v/>
      </c>
      <c r="DF83" s="75">
        <f>IF(DC83=0,"",DD83/DC83)</f>
        <v/>
      </c>
      <c r="DG83" s="52" t="n"/>
      <c r="DH83" s="72" t="n"/>
      <c r="DI83" s="72" t="n"/>
      <c r="DJ83" s="72">
        <f>DI83-DH83</f>
        <v/>
      </c>
      <c r="DK83" s="73">
        <f>IF(DH83=0,"",DI83/DH83)</f>
        <v/>
      </c>
      <c r="DL83" s="46" t="n"/>
      <c r="DM83" s="74">
        <f>G83+ L83+ V83+ AF83+ AP83+ AZ83+ BJ83+ BT83+ CD83+ CN83+ CX83+ DH83</f>
        <v/>
      </c>
      <c r="DN83" s="74">
        <f>H83+ M83+ W83+ AG83+ AQ83+ BA83+ BK83+ BU83+ CE83+ CO83+ CY83+ DI83</f>
        <v/>
      </c>
      <c r="DO83" s="74">
        <f>DN83-DM83</f>
        <v/>
      </c>
      <c r="DP83" s="75">
        <f>IF(DM83=0,"",DN83/DM83)</f>
        <v/>
      </c>
      <c r="DQ83" s="52" t="n"/>
      <c r="DR83" s="72">
        <f>G83+L83+V83+AF83+AP83+AZ83+BJ83+BT83+CD83+CN83+CX83+DH83</f>
        <v/>
      </c>
    </row>
    <row r="84" ht="15" customHeight="1">
      <c r="A84" s="55" t="n"/>
      <c r="B84" s="55" t="n"/>
      <c r="C84" s="55" t="n"/>
      <c r="D84" s="46" t="n"/>
      <c r="E84" s="46" t="n"/>
      <c r="F84" s="47" t="n"/>
      <c r="G84" s="72" t="n"/>
      <c r="H84" s="72" t="n"/>
      <c r="I84" s="72">
        <f>H84-G84</f>
        <v/>
      </c>
      <c r="J84" s="73">
        <f>IF(G84=0,"",H84/G84)</f>
        <v/>
      </c>
      <c r="K84" s="46" t="n"/>
      <c r="L84" s="72" t="n"/>
      <c r="M84" s="72" t="n"/>
      <c r="N84" s="72">
        <f>M84-L84</f>
        <v/>
      </c>
      <c r="O84" s="73">
        <f>IF(L84=0,"",M84/L84)</f>
        <v/>
      </c>
      <c r="P84" s="46" t="n"/>
      <c r="Q84" s="74">
        <f>G84+ L84</f>
        <v/>
      </c>
      <c r="R84" s="74">
        <f>H84+ M84</f>
        <v/>
      </c>
      <c r="S84" s="74">
        <f>R84-Q84</f>
        <v/>
      </c>
      <c r="T84" s="75">
        <f>IF(Q84=0,"",R84/Q84)</f>
        <v/>
      </c>
      <c r="U84" s="52" t="n"/>
      <c r="V84" s="72" t="n"/>
      <c r="W84" s="72" t="n"/>
      <c r="X84" s="72">
        <f>W84-V84</f>
        <v/>
      </c>
      <c r="Y84" s="73">
        <f>IF(V84=0,"",W84/V84)</f>
        <v/>
      </c>
      <c r="Z84" s="46" t="n"/>
      <c r="AA84" s="74">
        <f>G84+ L84+ V84</f>
        <v/>
      </c>
      <c r="AB84" s="74">
        <f>H84+ M84+ W84</f>
        <v/>
      </c>
      <c r="AC84" s="74">
        <f>AB84-AA84</f>
        <v/>
      </c>
      <c r="AD84" s="75">
        <f>IF(AA84=0,"",AB84/AA84)</f>
        <v/>
      </c>
      <c r="AE84" s="52" t="n"/>
      <c r="AF84" s="72" t="n"/>
      <c r="AG84" s="72" t="n"/>
      <c r="AH84" s="72">
        <f>AG84-AF84</f>
        <v/>
      </c>
      <c r="AI84" s="73">
        <f>IF(AF84=0,"",AG84/AF84)</f>
        <v/>
      </c>
      <c r="AJ84" s="46" t="n"/>
      <c r="AK84" s="74">
        <f>G84+ L84+ V84+ AF84</f>
        <v/>
      </c>
      <c r="AL84" s="74">
        <f>H84+ M84+ W84+ AG84</f>
        <v/>
      </c>
      <c r="AM84" s="74">
        <f>AL84-AK84</f>
        <v/>
      </c>
      <c r="AN84" s="75">
        <f>IF(AK84=0,"",AL84/AK84)</f>
        <v/>
      </c>
      <c r="AO84" s="52" t="n"/>
      <c r="AP84" s="72" t="n"/>
      <c r="AQ84" s="72" t="n"/>
      <c r="AR84" s="72">
        <f>AQ84-AP84</f>
        <v/>
      </c>
      <c r="AS84" s="73">
        <f>IF(AP84=0,"",AQ84/AP84)</f>
        <v/>
      </c>
      <c r="AT84" s="46" t="n"/>
      <c r="AU84" s="74">
        <f>G84+ L84+ V84+ AF84+ AP84</f>
        <v/>
      </c>
      <c r="AV84" s="74">
        <f>H84+ M84+ W84+ AG84+ AQ84</f>
        <v/>
      </c>
      <c r="AW84" s="74">
        <f>AV84-AU84</f>
        <v/>
      </c>
      <c r="AX84" s="75">
        <f>IF(AU84=0,"",AV84/AU84)</f>
        <v/>
      </c>
      <c r="AY84" s="52" t="n"/>
      <c r="AZ84" s="72" t="n"/>
      <c r="BA84" s="72" t="n"/>
      <c r="BB84" s="72">
        <f>BA84-AZ84</f>
        <v/>
      </c>
      <c r="BC84" s="73">
        <f>IF(AZ84=0,"",BA84/AZ84)</f>
        <v/>
      </c>
      <c r="BD84" s="46" t="n"/>
      <c r="BE84" s="74">
        <f>G84+ L84+ V84+ AF84+ AP84+ AZ84</f>
        <v/>
      </c>
      <c r="BF84" s="74">
        <f>H84+ M84+ W84+ AG84+ AQ84+ BA84</f>
        <v/>
      </c>
      <c r="BG84" s="74">
        <f>BF84-BE84</f>
        <v/>
      </c>
      <c r="BH84" s="75">
        <f>IF(BE84=0,"",BF84/BE84)</f>
        <v/>
      </c>
      <c r="BI84" s="52" t="n"/>
      <c r="BJ84" s="72" t="n"/>
      <c r="BK84" s="72" t="n"/>
      <c r="BL84" s="72">
        <f>BK84-BJ84</f>
        <v/>
      </c>
      <c r="BM84" s="73">
        <f>IF(BJ84=0,"",BK84/BJ84)</f>
        <v/>
      </c>
      <c r="BN84" s="46" t="n"/>
      <c r="BO84" s="74">
        <f>G84+ L84+ V84+ AF84+ AP84+ AZ84+ BJ84</f>
        <v/>
      </c>
      <c r="BP84" s="74">
        <f>H84+ M84+ W84+ AG84+ AQ84+ BA84+ BK84</f>
        <v/>
      </c>
      <c r="BQ84" s="74">
        <f>BP84-BO84</f>
        <v/>
      </c>
      <c r="BR84" s="75">
        <f>IF(BO84=0,"",BP84/BO84)</f>
        <v/>
      </c>
      <c r="BS84" s="52" t="n"/>
      <c r="BT84" s="72" t="n"/>
      <c r="BU84" s="72" t="n"/>
      <c r="BV84" s="72">
        <f>BU84-BT84</f>
        <v/>
      </c>
      <c r="BW84" s="73">
        <f>IF(BT84=0,"",BU84/BT84)</f>
        <v/>
      </c>
      <c r="BX84" s="46" t="n"/>
      <c r="BY84" s="74">
        <f>G84+ L84+ V84+ AF84+ AP84+ AZ84+ BJ84+ BT84</f>
        <v/>
      </c>
      <c r="BZ84" s="74">
        <f>H84+ M84+ W84+ AG84+ AQ84+ BA84+ BK84+ BU84</f>
        <v/>
      </c>
      <c r="CA84" s="74">
        <f>BZ84-BY84</f>
        <v/>
      </c>
      <c r="CB84" s="75">
        <f>IF(BY84=0,"",BZ84/BY84)</f>
        <v/>
      </c>
      <c r="CC84" s="52" t="n"/>
      <c r="CD84" s="72" t="n"/>
      <c r="CE84" s="72" t="n"/>
      <c r="CF84" s="72">
        <f>CE84-CD84</f>
        <v/>
      </c>
      <c r="CG84" s="73">
        <f>IF(CD84=0,"",CE84/CD84)</f>
        <v/>
      </c>
      <c r="CH84" s="46" t="n"/>
      <c r="CI84" s="74">
        <f>G84+ L84+ V84+ AF84+ AP84+ AZ84+ BJ84+ BT84+ CD84</f>
        <v/>
      </c>
      <c r="CJ84" s="74">
        <f>H84+ M84+ W84+ AG84+ AQ84+ BA84+ BK84+ BU84+ CE84</f>
        <v/>
      </c>
      <c r="CK84" s="74">
        <f>CJ84-CI84</f>
        <v/>
      </c>
      <c r="CL84" s="75">
        <f>IF(CI84=0,"",CJ84/CI84)</f>
        <v/>
      </c>
      <c r="CM84" s="52" t="n"/>
      <c r="CN84" s="72" t="n"/>
      <c r="CO84" s="72" t="n"/>
      <c r="CP84" s="72">
        <f>CO84-CN84</f>
        <v/>
      </c>
      <c r="CQ84" s="73">
        <f>IF(CN84=0,"",CO84/CN84)</f>
        <v/>
      </c>
      <c r="CR84" s="46" t="n"/>
      <c r="CS84" s="74">
        <f>G84+ L84+ V84+ AF84+ AP84+ AZ84+ BJ84+ BT84+ CD84+ CN84</f>
        <v/>
      </c>
      <c r="CT84" s="74">
        <f>H84+ M84+ W84+ AG84+ AQ84+ BA84+ BK84+ BU84+ CE84+ CO84</f>
        <v/>
      </c>
      <c r="CU84" s="74">
        <f>CT84-CS84</f>
        <v/>
      </c>
      <c r="CV84" s="75">
        <f>IF(CS84=0,"",CT84/CS84)</f>
        <v/>
      </c>
      <c r="CW84" s="52" t="n"/>
      <c r="CX84" s="72" t="n"/>
      <c r="CY84" s="72" t="n"/>
      <c r="CZ84" s="72">
        <f>CY84-CX84</f>
        <v/>
      </c>
      <c r="DA84" s="73">
        <f>IF(CX84=0,"",CY84/CX84)</f>
        <v/>
      </c>
      <c r="DB84" s="46" t="n"/>
      <c r="DC84" s="74">
        <f>G84+ L84+ V84+ AF84+ AP84+ AZ84+ BJ84+ BT84+ CD84+ CN84+ CX84</f>
        <v/>
      </c>
      <c r="DD84" s="74">
        <f>H84+ M84+ W84+ AG84+ AQ84+ BA84+ BK84+ BU84+ CE84+ CO84+ CY84</f>
        <v/>
      </c>
      <c r="DE84" s="74">
        <f>DD84-DC84</f>
        <v/>
      </c>
      <c r="DF84" s="75">
        <f>IF(DC84=0,"",DD84/DC84)</f>
        <v/>
      </c>
      <c r="DG84" s="52" t="n"/>
      <c r="DH84" s="72" t="n"/>
      <c r="DI84" s="72" t="n"/>
      <c r="DJ84" s="72">
        <f>DI84-DH84</f>
        <v/>
      </c>
      <c r="DK84" s="73">
        <f>IF(DH84=0,"",DI84/DH84)</f>
        <v/>
      </c>
      <c r="DL84" s="46" t="n"/>
      <c r="DM84" s="74">
        <f>G84+ L84+ V84+ AF84+ AP84+ AZ84+ BJ84+ BT84+ CD84+ CN84+ CX84+ DH84</f>
        <v/>
      </c>
      <c r="DN84" s="74">
        <f>H84+ M84+ W84+ AG84+ AQ84+ BA84+ BK84+ BU84+ CE84+ CO84+ CY84+ DI84</f>
        <v/>
      </c>
      <c r="DO84" s="74">
        <f>DN84-DM84</f>
        <v/>
      </c>
      <c r="DP84" s="75">
        <f>IF(DM84=0,"",DN84/DM84)</f>
        <v/>
      </c>
      <c r="DQ84" s="52" t="n"/>
      <c r="DR84" s="72">
        <f>G84+L84+V84+AF84+AP84+AZ84+BJ84+BT84+CD84+CN84+CX84+DH84</f>
        <v/>
      </c>
    </row>
    <row r="85" ht="15" customHeight="1">
      <c r="A85" s="46" t="n"/>
      <c r="B85" s="46" t="n"/>
      <c r="C85" s="46" t="n"/>
      <c r="D85" s="46" t="n"/>
      <c r="E85" s="46" t="n"/>
      <c r="F85" s="47" t="n"/>
      <c r="G85" s="72" t="n"/>
      <c r="H85" s="72" t="n"/>
      <c r="I85" s="72">
        <f>H85-G85</f>
        <v/>
      </c>
      <c r="J85" s="73">
        <f>IF(G85=0,"",H85/G85)</f>
        <v/>
      </c>
      <c r="K85" s="46" t="n"/>
      <c r="L85" s="72" t="n"/>
      <c r="M85" s="72" t="n"/>
      <c r="N85" s="72">
        <f>M85-L85</f>
        <v/>
      </c>
      <c r="O85" s="73">
        <f>IF(L85=0,"",M85/L85)</f>
        <v/>
      </c>
      <c r="P85" s="46" t="n"/>
      <c r="Q85" s="74">
        <f>G85+ L85</f>
        <v/>
      </c>
      <c r="R85" s="74">
        <f>H85+ M85</f>
        <v/>
      </c>
      <c r="S85" s="74">
        <f>R85-Q85</f>
        <v/>
      </c>
      <c r="T85" s="75">
        <f>IF(Q85=0,"",R85/Q85)</f>
        <v/>
      </c>
      <c r="U85" s="52" t="n"/>
      <c r="V85" s="72" t="n"/>
      <c r="W85" s="72" t="n"/>
      <c r="X85" s="72">
        <f>W85-V85</f>
        <v/>
      </c>
      <c r="Y85" s="73">
        <f>IF(V85=0,"",W85/V85)</f>
        <v/>
      </c>
      <c r="Z85" s="46" t="n"/>
      <c r="AA85" s="74">
        <f>G85+ L85+ V85</f>
        <v/>
      </c>
      <c r="AB85" s="74">
        <f>H85+ M85+ W85</f>
        <v/>
      </c>
      <c r="AC85" s="74">
        <f>AB85-AA85</f>
        <v/>
      </c>
      <c r="AD85" s="75">
        <f>IF(AA85=0,"",AB85/AA85)</f>
        <v/>
      </c>
      <c r="AE85" s="52" t="n"/>
      <c r="AF85" s="72" t="n"/>
      <c r="AG85" s="72" t="n"/>
      <c r="AH85" s="72">
        <f>AG85-AF85</f>
        <v/>
      </c>
      <c r="AI85" s="73">
        <f>IF(AF85=0,"",AG85/AF85)</f>
        <v/>
      </c>
      <c r="AJ85" s="46" t="n"/>
      <c r="AK85" s="74">
        <f>G85+ L85+ V85+ AF85</f>
        <v/>
      </c>
      <c r="AL85" s="74">
        <f>H85+ M85+ W85+ AG85</f>
        <v/>
      </c>
      <c r="AM85" s="74">
        <f>AL85-AK85</f>
        <v/>
      </c>
      <c r="AN85" s="75">
        <f>IF(AK85=0,"",AL85/AK85)</f>
        <v/>
      </c>
      <c r="AO85" s="52" t="n"/>
      <c r="AP85" s="72" t="n"/>
      <c r="AQ85" s="72" t="n"/>
      <c r="AR85" s="72">
        <f>AQ85-AP85</f>
        <v/>
      </c>
      <c r="AS85" s="73">
        <f>IF(AP85=0,"",AQ85/AP85)</f>
        <v/>
      </c>
      <c r="AT85" s="46" t="n"/>
      <c r="AU85" s="74">
        <f>G85+ L85+ V85+ AF85+ AP85</f>
        <v/>
      </c>
      <c r="AV85" s="74">
        <f>H85+ M85+ W85+ AG85+ AQ85</f>
        <v/>
      </c>
      <c r="AW85" s="74">
        <f>AV85-AU85</f>
        <v/>
      </c>
      <c r="AX85" s="75">
        <f>IF(AU85=0,"",AV85/AU85)</f>
        <v/>
      </c>
      <c r="AY85" s="52" t="n"/>
      <c r="AZ85" s="72" t="n"/>
      <c r="BA85" s="72" t="n"/>
      <c r="BB85" s="72">
        <f>BA85-AZ85</f>
        <v/>
      </c>
      <c r="BC85" s="73">
        <f>IF(AZ85=0,"",BA85/AZ85)</f>
        <v/>
      </c>
      <c r="BD85" s="46" t="n"/>
      <c r="BE85" s="74">
        <f>G85+ L85+ V85+ AF85+ AP85+ AZ85</f>
        <v/>
      </c>
      <c r="BF85" s="74">
        <f>H85+ M85+ W85+ AG85+ AQ85+ BA85</f>
        <v/>
      </c>
      <c r="BG85" s="74">
        <f>BF85-BE85</f>
        <v/>
      </c>
      <c r="BH85" s="75">
        <f>IF(BE85=0,"",BF85/BE85)</f>
        <v/>
      </c>
      <c r="BI85" s="52" t="n"/>
      <c r="BJ85" s="72" t="n"/>
      <c r="BK85" s="72" t="n"/>
      <c r="BL85" s="72">
        <f>BK85-BJ85</f>
        <v/>
      </c>
      <c r="BM85" s="73">
        <f>IF(BJ85=0,"",BK85/BJ85)</f>
        <v/>
      </c>
      <c r="BN85" s="46" t="n"/>
      <c r="BO85" s="74">
        <f>G85+ L85+ V85+ AF85+ AP85+ AZ85+ BJ85</f>
        <v/>
      </c>
      <c r="BP85" s="74">
        <f>H85+ M85+ W85+ AG85+ AQ85+ BA85+ BK85</f>
        <v/>
      </c>
      <c r="BQ85" s="74">
        <f>BP85-BO85</f>
        <v/>
      </c>
      <c r="BR85" s="75">
        <f>IF(BO85=0,"",BP85/BO85)</f>
        <v/>
      </c>
      <c r="BS85" s="52" t="n"/>
      <c r="BT85" s="72" t="n"/>
      <c r="BU85" s="72" t="n"/>
      <c r="BV85" s="72">
        <f>BU85-BT85</f>
        <v/>
      </c>
      <c r="BW85" s="73">
        <f>IF(BT85=0,"",BU85/BT85)</f>
        <v/>
      </c>
      <c r="BX85" s="46" t="n"/>
      <c r="BY85" s="74">
        <f>G85+ L85+ V85+ AF85+ AP85+ AZ85+ BJ85+ BT85</f>
        <v/>
      </c>
      <c r="BZ85" s="74">
        <f>H85+ M85+ W85+ AG85+ AQ85+ BA85+ BK85+ BU85</f>
        <v/>
      </c>
      <c r="CA85" s="74">
        <f>BZ85-BY85</f>
        <v/>
      </c>
      <c r="CB85" s="75">
        <f>IF(BY85=0,"",BZ85/BY85)</f>
        <v/>
      </c>
      <c r="CC85" s="52" t="n"/>
      <c r="CD85" s="72" t="n"/>
      <c r="CE85" s="72" t="n"/>
      <c r="CF85" s="72">
        <f>CE85-CD85</f>
        <v/>
      </c>
      <c r="CG85" s="73">
        <f>IF(CD85=0,"",CE85/CD85)</f>
        <v/>
      </c>
      <c r="CH85" s="46" t="n"/>
      <c r="CI85" s="74">
        <f>G85+ L85+ V85+ AF85+ AP85+ AZ85+ BJ85+ BT85+ CD85</f>
        <v/>
      </c>
      <c r="CJ85" s="74">
        <f>H85+ M85+ W85+ AG85+ AQ85+ BA85+ BK85+ BU85+ CE85</f>
        <v/>
      </c>
      <c r="CK85" s="74">
        <f>CJ85-CI85</f>
        <v/>
      </c>
      <c r="CL85" s="75">
        <f>IF(CI85=0,"",CJ85/CI85)</f>
        <v/>
      </c>
      <c r="CM85" s="52" t="n"/>
      <c r="CN85" s="72" t="n"/>
      <c r="CO85" s="72" t="n"/>
      <c r="CP85" s="72">
        <f>CO85-CN85</f>
        <v/>
      </c>
      <c r="CQ85" s="73">
        <f>IF(CN85=0,"",CO85/CN85)</f>
        <v/>
      </c>
      <c r="CR85" s="46" t="n"/>
      <c r="CS85" s="74">
        <f>G85+ L85+ V85+ AF85+ AP85+ AZ85+ BJ85+ BT85+ CD85+ CN85</f>
        <v/>
      </c>
      <c r="CT85" s="74">
        <f>H85+ M85+ W85+ AG85+ AQ85+ BA85+ BK85+ BU85+ CE85+ CO85</f>
        <v/>
      </c>
      <c r="CU85" s="74">
        <f>CT85-CS85</f>
        <v/>
      </c>
      <c r="CV85" s="75">
        <f>IF(CS85=0,"",CT85/CS85)</f>
        <v/>
      </c>
      <c r="CW85" s="52" t="n"/>
      <c r="CX85" s="72" t="n"/>
      <c r="CY85" s="72" t="n"/>
      <c r="CZ85" s="72">
        <f>CY85-CX85</f>
        <v/>
      </c>
      <c r="DA85" s="73">
        <f>IF(CX85=0,"",CY85/CX85)</f>
        <v/>
      </c>
      <c r="DB85" s="46" t="n"/>
      <c r="DC85" s="74">
        <f>G85+ L85+ V85+ AF85+ AP85+ AZ85+ BJ85+ BT85+ CD85+ CN85+ CX85</f>
        <v/>
      </c>
      <c r="DD85" s="74">
        <f>H85+ M85+ W85+ AG85+ AQ85+ BA85+ BK85+ BU85+ CE85+ CO85+ CY85</f>
        <v/>
      </c>
      <c r="DE85" s="74">
        <f>DD85-DC85</f>
        <v/>
      </c>
      <c r="DF85" s="75">
        <f>IF(DC85=0,"",DD85/DC85)</f>
        <v/>
      </c>
      <c r="DG85" s="52" t="n"/>
      <c r="DH85" s="72" t="n"/>
      <c r="DI85" s="72" t="n"/>
      <c r="DJ85" s="72">
        <f>DI85-DH85</f>
        <v/>
      </c>
      <c r="DK85" s="73">
        <f>IF(DH85=0,"",DI85/DH85)</f>
        <v/>
      </c>
      <c r="DL85" s="46" t="n"/>
      <c r="DM85" s="74">
        <f>G85+ L85+ V85+ AF85+ AP85+ AZ85+ BJ85+ BT85+ CD85+ CN85+ CX85+ DH85</f>
        <v/>
      </c>
      <c r="DN85" s="74">
        <f>H85+ M85+ W85+ AG85+ AQ85+ BA85+ BK85+ BU85+ CE85+ CO85+ CY85+ DI85</f>
        <v/>
      </c>
      <c r="DO85" s="74">
        <f>DN85-DM85</f>
        <v/>
      </c>
      <c r="DP85" s="75">
        <f>IF(DM85=0,"",DN85/DM85)</f>
        <v/>
      </c>
      <c r="DQ85" s="52" t="n"/>
      <c r="DR85" s="72">
        <f>G85+L85+V85+AF85+AP85+AZ85+BJ85+BT85+CD85+CN85+CX85+DH85</f>
        <v/>
      </c>
    </row>
    <row r="86" ht="15" customHeight="1">
      <c r="A86" s="67" t="n"/>
      <c r="B86" s="67" t="n"/>
      <c r="C86" s="67" t="n"/>
      <c r="D86" s="46" t="n"/>
      <c r="E86" s="46" t="n"/>
      <c r="F86" s="47" t="n"/>
      <c r="G86" s="72" t="n"/>
      <c r="H86" s="72" t="n"/>
      <c r="I86" s="72">
        <f>H86-G86</f>
        <v/>
      </c>
      <c r="J86" s="73">
        <f>IF(G86=0,"",H86/G86)</f>
        <v/>
      </c>
      <c r="K86" s="46" t="n"/>
      <c r="L86" s="72" t="n"/>
      <c r="M86" s="72" t="n"/>
      <c r="N86" s="72">
        <f>M86-L86</f>
        <v/>
      </c>
      <c r="O86" s="73">
        <f>IF(L86=0,"",M86/L86)</f>
        <v/>
      </c>
      <c r="P86" s="46" t="n"/>
      <c r="Q86" s="74">
        <f>G86+ L86</f>
        <v/>
      </c>
      <c r="R86" s="74">
        <f>H86+ M86</f>
        <v/>
      </c>
      <c r="S86" s="74">
        <f>R86-Q86</f>
        <v/>
      </c>
      <c r="T86" s="75">
        <f>IF(Q86=0,"",R86/Q86)</f>
        <v/>
      </c>
      <c r="U86" s="52" t="n"/>
      <c r="V86" s="72" t="n"/>
      <c r="W86" s="72" t="n"/>
      <c r="X86" s="72">
        <f>W86-V86</f>
        <v/>
      </c>
      <c r="Y86" s="73">
        <f>IF(V86=0,"",W86/V86)</f>
        <v/>
      </c>
      <c r="Z86" s="46" t="n"/>
      <c r="AA86" s="74">
        <f>G86+ L86+ V86</f>
        <v/>
      </c>
      <c r="AB86" s="74">
        <f>H86+ M86+ W86</f>
        <v/>
      </c>
      <c r="AC86" s="74">
        <f>AB86-AA86</f>
        <v/>
      </c>
      <c r="AD86" s="75">
        <f>IF(AA86=0,"",AB86/AA86)</f>
        <v/>
      </c>
      <c r="AE86" s="52" t="n"/>
      <c r="AF86" s="72" t="n"/>
      <c r="AG86" s="72" t="n"/>
      <c r="AH86" s="72">
        <f>AG86-AF86</f>
        <v/>
      </c>
      <c r="AI86" s="73">
        <f>IF(AF86=0,"",AG86/AF86)</f>
        <v/>
      </c>
      <c r="AJ86" s="46" t="n"/>
      <c r="AK86" s="74">
        <f>G86+ L86+ V86+ AF86</f>
        <v/>
      </c>
      <c r="AL86" s="74">
        <f>H86+ M86+ W86+ AG86</f>
        <v/>
      </c>
      <c r="AM86" s="74">
        <f>AL86-AK86</f>
        <v/>
      </c>
      <c r="AN86" s="75">
        <f>IF(AK86=0,"",AL86/AK86)</f>
        <v/>
      </c>
      <c r="AO86" s="52" t="n"/>
      <c r="AP86" s="72" t="n"/>
      <c r="AQ86" s="72" t="n"/>
      <c r="AR86" s="72">
        <f>AQ86-AP86</f>
        <v/>
      </c>
      <c r="AS86" s="73">
        <f>IF(AP86=0,"",AQ86/AP86)</f>
        <v/>
      </c>
      <c r="AT86" s="46" t="n"/>
      <c r="AU86" s="74">
        <f>G86+ L86+ V86+ AF86+ AP86</f>
        <v/>
      </c>
      <c r="AV86" s="74">
        <f>H86+ M86+ W86+ AG86+ AQ86</f>
        <v/>
      </c>
      <c r="AW86" s="74">
        <f>AV86-AU86</f>
        <v/>
      </c>
      <c r="AX86" s="75">
        <f>IF(AU86=0,"",AV86/AU86)</f>
        <v/>
      </c>
      <c r="AY86" s="52" t="n"/>
      <c r="AZ86" s="72" t="n"/>
      <c r="BA86" s="72" t="n"/>
      <c r="BB86" s="72">
        <f>BA86-AZ86</f>
        <v/>
      </c>
      <c r="BC86" s="73">
        <f>IF(AZ86=0,"",BA86/AZ86)</f>
        <v/>
      </c>
      <c r="BD86" s="46" t="n"/>
      <c r="BE86" s="74">
        <f>G86+ L86+ V86+ AF86+ AP86+ AZ86</f>
        <v/>
      </c>
      <c r="BF86" s="74">
        <f>H86+ M86+ W86+ AG86+ AQ86+ BA86</f>
        <v/>
      </c>
      <c r="BG86" s="74">
        <f>BF86-BE86</f>
        <v/>
      </c>
      <c r="BH86" s="75">
        <f>IF(BE86=0,"",BF86/BE86)</f>
        <v/>
      </c>
      <c r="BI86" s="52" t="n"/>
      <c r="BJ86" s="72" t="n"/>
      <c r="BK86" s="72" t="n"/>
      <c r="BL86" s="72">
        <f>BK86-BJ86</f>
        <v/>
      </c>
      <c r="BM86" s="73">
        <f>IF(BJ86=0,"",BK86/BJ86)</f>
        <v/>
      </c>
      <c r="BN86" s="46" t="n"/>
      <c r="BO86" s="74">
        <f>G86+ L86+ V86+ AF86+ AP86+ AZ86+ BJ86</f>
        <v/>
      </c>
      <c r="BP86" s="74">
        <f>H86+ M86+ W86+ AG86+ AQ86+ BA86+ BK86</f>
        <v/>
      </c>
      <c r="BQ86" s="74">
        <f>BP86-BO86</f>
        <v/>
      </c>
      <c r="BR86" s="75">
        <f>IF(BO86=0,"",BP86/BO86)</f>
        <v/>
      </c>
      <c r="BS86" s="52" t="n"/>
      <c r="BT86" s="72" t="n"/>
      <c r="BU86" s="72" t="n"/>
      <c r="BV86" s="72">
        <f>BU86-BT86</f>
        <v/>
      </c>
      <c r="BW86" s="73">
        <f>IF(BT86=0,"",BU86/BT86)</f>
        <v/>
      </c>
      <c r="BX86" s="46" t="n"/>
      <c r="BY86" s="74">
        <f>G86+ L86+ V86+ AF86+ AP86+ AZ86+ BJ86+ BT86</f>
        <v/>
      </c>
      <c r="BZ86" s="74">
        <f>H86+ M86+ W86+ AG86+ AQ86+ BA86+ BK86+ BU86</f>
        <v/>
      </c>
      <c r="CA86" s="74">
        <f>BZ86-BY86</f>
        <v/>
      </c>
      <c r="CB86" s="75">
        <f>IF(BY86=0,"",BZ86/BY86)</f>
        <v/>
      </c>
      <c r="CC86" s="52" t="n"/>
      <c r="CD86" s="72" t="n"/>
      <c r="CE86" s="72" t="n"/>
      <c r="CF86" s="72">
        <f>CE86-CD86</f>
        <v/>
      </c>
      <c r="CG86" s="73">
        <f>IF(CD86=0,"",CE86/CD86)</f>
        <v/>
      </c>
      <c r="CH86" s="46" t="n"/>
      <c r="CI86" s="74">
        <f>G86+ L86+ V86+ AF86+ AP86+ AZ86+ BJ86+ BT86+ CD86</f>
        <v/>
      </c>
      <c r="CJ86" s="74">
        <f>H86+ M86+ W86+ AG86+ AQ86+ BA86+ BK86+ BU86+ CE86</f>
        <v/>
      </c>
      <c r="CK86" s="74">
        <f>CJ86-CI86</f>
        <v/>
      </c>
      <c r="CL86" s="75">
        <f>IF(CI86=0,"",CJ86/CI86)</f>
        <v/>
      </c>
      <c r="CM86" s="52" t="n"/>
      <c r="CN86" s="72" t="n"/>
      <c r="CO86" s="72" t="n"/>
      <c r="CP86" s="72">
        <f>CO86-CN86</f>
        <v/>
      </c>
      <c r="CQ86" s="73">
        <f>IF(CN86=0,"",CO86/CN86)</f>
        <v/>
      </c>
      <c r="CR86" s="46" t="n"/>
      <c r="CS86" s="74">
        <f>G86+ L86+ V86+ AF86+ AP86+ AZ86+ BJ86+ BT86+ CD86+ CN86</f>
        <v/>
      </c>
      <c r="CT86" s="74">
        <f>H86+ M86+ W86+ AG86+ AQ86+ BA86+ BK86+ BU86+ CE86+ CO86</f>
        <v/>
      </c>
      <c r="CU86" s="74">
        <f>CT86-CS86</f>
        <v/>
      </c>
      <c r="CV86" s="75">
        <f>IF(CS86=0,"",CT86/CS86)</f>
        <v/>
      </c>
      <c r="CW86" s="52" t="n"/>
      <c r="CX86" s="72" t="n"/>
      <c r="CY86" s="72" t="n"/>
      <c r="CZ86" s="72">
        <f>CY86-CX86</f>
        <v/>
      </c>
      <c r="DA86" s="73">
        <f>IF(CX86=0,"",CY86/CX86)</f>
        <v/>
      </c>
      <c r="DB86" s="46" t="n"/>
      <c r="DC86" s="74">
        <f>G86+ L86+ V86+ AF86+ AP86+ AZ86+ BJ86+ BT86+ CD86+ CN86+ CX86</f>
        <v/>
      </c>
      <c r="DD86" s="74">
        <f>H86+ M86+ W86+ AG86+ AQ86+ BA86+ BK86+ BU86+ CE86+ CO86+ CY86</f>
        <v/>
      </c>
      <c r="DE86" s="74">
        <f>DD86-DC86</f>
        <v/>
      </c>
      <c r="DF86" s="75">
        <f>IF(DC86=0,"",DD86/DC86)</f>
        <v/>
      </c>
      <c r="DG86" s="52" t="n"/>
      <c r="DH86" s="72" t="n"/>
      <c r="DI86" s="72" t="n"/>
      <c r="DJ86" s="72">
        <f>DI86-DH86</f>
        <v/>
      </c>
      <c r="DK86" s="73">
        <f>IF(DH86=0,"",DI86/DH86)</f>
        <v/>
      </c>
      <c r="DL86" s="46" t="n"/>
      <c r="DM86" s="74">
        <f>G86+ L86+ V86+ AF86+ AP86+ AZ86+ BJ86+ BT86+ CD86+ CN86+ CX86+ DH86</f>
        <v/>
      </c>
      <c r="DN86" s="74">
        <f>H86+ M86+ W86+ AG86+ AQ86+ BA86+ BK86+ BU86+ CE86+ CO86+ CY86+ DI86</f>
        <v/>
      </c>
      <c r="DO86" s="74">
        <f>DN86-DM86</f>
        <v/>
      </c>
      <c r="DP86" s="75">
        <f>IF(DM86=0,"",DN86/DM86)</f>
        <v/>
      </c>
      <c r="DQ86" s="52" t="n"/>
      <c r="DR86" s="72">
        <f>G86+L86+V86+AF86+AP86+AZ86+BJ86+BT86+CD86+CN86+CX86+DH86</f>
        <v/>
      </c>
    </row>
    <row r="87" ht="15" customHeight="1">
      <c r="A87" s="67" t="n"/>
      <c r="B87" s="67" t="n"/>
      <c r="C87" s="67" t="n"/>
      <c r="D87" s="46" t="n"/>
      <c r="E87" s="46" t="n"/>
      <c r="F87" s="47" t="n"/>
      <c r="G87" s="72" t="n"/>
      <c r="H87" s="72" t="n"/>
      <c r="I87" s="72">
        <f>H87-G87</f>
        <v/>
      </c>
      <c r="J87" s="73">
        <f>IF(G87=0,"",H87/G87)</f>
        <v/>
      </c>
      <c r="K87" s="46" t="n"/>
      <c r="L87" s="72" t="n"/>
      <c r="M87" s="72" t="n"/>
      <c r="N87" s="72">
        <f>M87-L87</f>
        <v/>
      </c>
      <c r="O87" s="73">
        <f>IF(L87=0,"",M87/L87)</f>
        <v/>
      </c>
      <c r="P87" s="46" t="n"/>
      <c r="Q87" s="74">
        <f>G87+ L87</f>
        <v/>
      </c>
      <c r="R87" s="74">
        <f>H87+ M87</f>
        <v/>
      </c>
      <c r="S87" s="74">
        <f>R87-Q87</f>
        <v/>
      </c>
      <c r="T87" s="75">
        <f>IF(Q87=0,"",R87/Q87)</f>
        <v/>
      </c>
      <c r="U87" s="52" t="n"/>
      <c r="V87" s="72" t="n"/>
      <c r="W87" s="72" t="n"/>
      <c r="X87" s="72">
        <f>W87-V87</f>
        <v/>
      </c>
      <c r="Y87" s="73">
        <f>IF(V87=0,"",W87/V87)</f>
        <v/>
      </c>
      <c r="Z87" s="46" t="n"/>
      <c r="AA87" s="74">
        <f>G87+ L87+ V87</f>
        <v/>
      </c>
      <c r="AB87" s="74">
        <f>H87+ M87+ W87</f>
        <v/>
      </c>
      <c r="AC87" s="74">
        <f>AB87-AA87</f>
        <v/>
      </c>
      <c r="AD87" s="75">
        <f>IF(AA87=0,"",AB87/AA87)</f>
        <v/>
      </c>
      <c r="AE87" s="52" t="n"/>
      <c r="AF87" s="72" t="n"/>
      <c r="AG87" s="72" t="n"/>
      <c r="AH87" s="72">
        <f>AG87-AF87</f>
        <v/>
      </c>
      <c r="AI87" s="73">
        <f>IF(AF87=0,"",AG87/AF87)</f>
        <v/>
      </c>
      <c r="AJ87" s="46" t="n"/>
      <c r="AK87" s="74">
        <f>G87+ L87+ V87+ AF87</f>
        <v/>
      </c>
      <c r="AL87" s="74">
        <f>H87+ M87+ W87+ AG87</f>
        <v/>
      </c>
      <c r="AM87" s="74">
        <f>AL87-AK87</f>
        <v/>
      </c>
      <c r="AN87" s="75">
        <f>IF(AK87=0,"",AL87/AK87)</f>
        <v/>
      </c>
      <c r="AO87" s="52" t="n"/>
      <c r="AP87" s="72" t="n"/>
      <c r="AQ87" s="72" t="n"/>
      <c r="AR87" s="72">
        <f>AQ87-AP87</f>
        <v/>
      </c>
      <c r="AS87" s="73">
        <f>IF(AP87=0,"",AQ87/AP87)</f>
        <v/>
      </c>
      <c r="AT87" s="46" t="n"/>
      <c r="AU87" s="74">
        <f>G87+ L87+ V87+ AF87+ AP87</f>
        <v/>
      </c>
      <c r="AV87" s="74">
        <f>H87+ M87+ W87+ AG87+ AQ87</f>
        <v/>
      </c>
      <c r="AW87" s="74">
        <f>AV87-AU87</f>
        <v/>
      </c>
      <c r="AX87" s="75">
        <f>IF(AU87=0,"",AV87/AU87)</f>
        <v/>
      </c>
      <c r="AY87" s="52" t="n"/>
      <c r="AZ87" s="72" t="n"/>
      <c r="BA87" s="72" t="n"/>
      <c r="BB87" s="72">
        <f>BA87-AZ87</f>
        <v/>
      </c>
      <c r="BC87" s="73">
        <f>IF(AZ87=0,"",BA87/AZ87)</f>
        <v/>
      </c>
      <c r="BD87" s="46" t="n"/>
      <c r="BE87" s="74">
        <f>G87+ L87+ V87+ AF87+ AP87+ AZ87</f>
        <v/>
      </c>
      <c r="BF87" s="74">
        <f>H87+ M87+ W87+ AG87+ AQ87+ BA87</f>
        <v/>
      </c>
      <c r="BG87" s="74">
        <f>BF87-BE87</f>
        <v/>
      </c>
      <c r="BH87" s="75">
        <f>IF(BE87=0,"",BF87/BE87)</f>
        <v/>
      </c>
      <c r="BI87" s="52" t="n"/>
      <c r="BJ87" s="72" t="n"/>
      <c r="BK87" s="72" t="n"/>
      <c r="BL87" s="72">
        <f>BK87-BJ87</f>
        <v/>
      </c>
      <c r="BM87" s="73">
        <f>IF(BJ87=0,"",BK87/BJ87)</f>
        <v/>
      </c>
      <c r="BN87" s="46" t="n"/>
      <c r="BO87" s="74">
        <f>G87+ L87+ V87+ AF87+ AP87+ AZ87+ BJ87</f>
        <v/>
      </c>
      <c r="BP87" s="74">
        <f>H87+ M87+ W87+ AG87+ AQ87+ BA87+ BK87</f>
        <v/>
      </c>
      <c r="BQ87" s="74">
        <f>BP87-BO87</f>
        <v/>
      </c>
      <c r="BR87" s="75">
        <f>IF(BO87=0,"",BP87/BO87)</f>
        <v/>
      </c>
      <c r="BS87" s="52" t="n"/>
      <c r="BT87" s="72" t="n"/>
      <c r="BU87" s="72" t="n"/>
      <c r="BV87" s="72">
        <f>BU87-BT87</f>
        <v/>
      </c>
      <c r="BW87" s="73">
        <f>IF(BT87=0,"",BU87/BT87)</f>
        <v/>
      </c>
      <c r="BX87" s="46" t="n"/>
      <c r="BY87" s="74">
        <f>G87+ L87+ V87+ AF87+ AP87+ AZ87+ BJ87+ BT87</f>
        <v/>
      </c>
      <c r="BZ87" s="74">
        <f>H87+ M87+ W87+ AG87+ AQ87+ BA87+ BK87+ BU87</f>
        <v/>
      </c>
      <c r="CA87" s="74">
        <f>BZ87-BY87</f>
        <v/>
      </c>
      <c r="CB87" s="75">
        <f>IF(BY87=0,"",BZ87/BY87)</f>
        <v/>
      </c>
      <c r="CC87" s="52" t="n"/>
      <c r="CD87" s="72" t="n"/>
      <c r="CE87" s="72" t="n"/>
      <c r="CF87" s="72">
        <f>CE87-CD87</f>
        <v/>
      </c>
      <c r="CG87" s="73">
        <f>IF(CD87=0,"",CE87/CD87)</f>
        <v/>
      </c>
      <c r="CH87" s="46" t="n"/>
      <c r="CI87" s="74">
        <f>G87+ L87+ V87+ AF87+ AP87+ AZ87+ BJ87+ BT87+ CD87</f>
        <v/>
      </c>
      <c r="CJ87" s="74">
        <f>H87+ M87+ W87+ AG87+ AQ87+ BA87+ BK87+ BU87+ CE87</f>
        <v/>
      </c>
      <c r="CK87" s="74">
        <f>CJ87-CI87</f>
        <v/>
      </c>
      <c r="CL87" s="75">
        <f>IF(CI87=0,"",CJ87/CI87)</f>
        <v/>
      </c>
      <c r="CM87" s="52" t="n"/>
      <c r="CN87" s="72" t="n"/>
      <c r="CO87" s="72" t="n"/>
      <c r="CP87" s="72">
        <f>CO87-CN87</f>
        <v/>
      </c>
      <c r="CQ87" s="73">
        <f>IF(CN87=0,"",CO87/CN87)</f>
        <v/>
      </c>
      <c r="CR87" s="46" t="n"/>
      <c r="CS87" s="74">
        <f>G87+ L87+ V87+ AF87+ AP87+ AZ87+ BJ87+ BT87+ CD87+ CN87</f>
        <v/>
      </c>
      <c r="CT87" s="74">
        <f>H87+ M87+ W87+ AG87+ AQ87+ BA87+ BK87+ BU87+ CE87+ CO87</f>
        <v/>
      </c>
      <c r="CU87" s="74">
        <f>CT87-CS87</f>
        <v/>
      </c>
      <c r="CV87" s="75">
        <f>IF(CS87=0,"",CT87/CS87)</f>
        <v/>
      </c>
      <c r="CW87" s="52" t="n"/>
      <c r="CX87" s="72" t="n"/>
      <c r="CY87" s="72" t="n"/>
      <c r="CZ87" s="72">
        <f>CY87-CX87</f>
        <v/>
      </c>
      <c r="DA87" s="73">
        <f>IF(CX87=0,"",CY87/CX87)</f>
        <v/>
      </c>
      <c r="DB87" s="46" t="n"/>
      <c r="DC87" s="74">
        <f>G87+ L87+ V87+ AF87+ AP87+ AZ87+ BJ87+ BT87+ CD87+ CN87+ CX87</f>
        <v/>
      </c>
      <c r="DD87" s="74">
        <f>H87+ M87+ W87+ AG87+ AQ87+ BA87+ BK87+ BU87+ CE87+ CO87+ CY87</f>
        <v/>
      </c>
      <c r="DE87" s="74">
        <f>DD87-DC87</f>
        <v/>
      </c>
      <c r="DF87" s="75">
        <f>IF(DC87=0,"",DD87/DC87)</f>
        <v/>
      </c>
      <c r="DG87" s="52" t="n"/>
      <c r="DH87" s="72" t="n"/>
      <c r="DI87" s="72" t="n"/>
      <c r="DJ87" s="72">
        <f>DI87-DH87</f>
        <v/>
      </c>
      <c r="DK87" s="73">
        <f>IF(DH87=0,"",DI87/DH87)</f>
        <v/>
      </c>
      <c r="DL87" s="46" t="n"/>
      <c r="DM87" s="74">
        <f>G87+ L87+ V87+ AF87+ AP87+ AZ87+ BJ87+ BT87+ CD87+ CN87+ CX87+ DH87</f>
        <v/>
      </c>
      <c r="DN87" s="74">
        <f>H87+ M87+ W87+ AG87+ AQ87+ BA87+ BK87+ BU87+ CE87+ CO87+ CY87+ DI87</f>
        <v/>
      </c>
      <c r="DO87" s="74">
        <f>DN87-DM87</f>
        <v/>
      </c>
      <c r="DP87" s="75">
        <f>IF(DM87=0,"",DN87/DM87)</f>
        <v/>
      </c>
      <c r="DQ87" s="52" t="n"/>
      <c r="DR87" s="72">
        <f>G87+L87+V87+AF87+AP87+AZ87+BJ87+BT87+CD87+CN87+CX87+DH87</f>
        <v/>
      </c>
    </row>
    <row r="88" ht="15" customHeight="1">
      <c r="A88" s="67" t="n"/>
      <c r="B88" s="67" t="n"/>
      <c r="C88" s="67" t="n"/>
      <c r="D88" s="46" t="n"/>
      <c r="E88" s="46" t="n"/>
      <c r="F88" s="47" t="n"/>
      <c r="G88" s="72" t="n"/>
      <c r="H88" s="72" t="n"/>
      <c r="I88" s="72">
        <f>H88-G88</f>
        <v/>
      </c>
      <c r="J88" s="73">
        <f>IF(G88=0,"",H88/G88)</f>
        <v/>
      </c>
      <c r="K88" s="46" t="n"/>
      <c r="L88" s="72" t="n"/>
      <c r="M88" s="72" t="n"/>
      <c r="N88" s="72">
        <f>M88-L88</f>
        <v/>
      </c>
      <c r="O88" s="73">
        <f>IF(L88=0,"",M88/L88)</f>
        <v/>
      </c>
      <c r="P88" s="46" t="n"/>
      <c r="Q88" s="74">
        <f>G88+ L88</f>
        <v/>
      </c>
      <c r="R88" s="74">
        <f>H88+ M88</f>
        <v/>
      </c>
      <c r="S88" s="74">
        <f>R88-Q88</f>
        <v/>
      </c>
      <c r="T88" s="75">
        <f>IF(Q88=0,"",R88/Q88)</f>
        <v/>
      </c>
      <c r="U88" s="52" t="n"/>
      <c r="V88" s="72" t="n"/>
      <c r="W88" s="72" t="n"/>
      <c r="X88" s="72">
        <f>W88-V88</f>
        <v/>
      </c>
      <c r="Y88" s="73">
        <f>IF(V88=0,"",W88/V88)</f>
        <v/>
      </c>
      <c r="Z88" s="46" t="n"/>
      <c r="AA88" s="74">
        <f>G88+ L88+ V88</f>
        <v/>
      </c>
      <c r="AB88" s="74">
        <f>H88+ M88+ W88</f>
        <v/>
      </c>
      <c r="AC88" s="74">
        <f>AB88-AA88</f>
        <v/>
      </c>
      <c r="AD88" s="75">
        <f>IF(AA88=0,"",AB88/AA88)</f>
        <v/>
      </c>
      <c r="AE88" s="52" t="n"/>
      <c r="AF88" s="72" t="n"/>
      <c r="AG88" s="72" t="n"/>
      <c r="AH88" s="72">
        <f>AG88-AF88</f>
        <v/>
      </c>
      <c r="AI88" s="73">
        <f>IF(AF88=0,"",AG88/AF88)</f>
        <v/>
      </c>
      <c r="AJ88" s="46" t="n"/>
      <c r="AK88" s="74">
        <f>G88+ L88+ V88+ AF88</f>
        <v/>
      </c>
      <c r="AL88" s="74">
        <f>H88+ M88+ W88+ AG88</f>
        <v/>
      </c>
      <c r="AM88" s="74">
        <f>AL88-AK88</f>
        <v/>
      </c>
      <c r="AN88" s="75">
        <f>IF(AK88=0,"",AL88/AK88)</f>
        <v/>
      </c>
      <c r="AO88" s="52" t="n"/>
      <c r="AP88" s="72" t="n"/>
      <c r="AQ88" s="72" t="n"/>
      <c r="AR88" s="72">
        <f>AQ88-AP88</f>
        <v/>
      </c>
      <c r="AS88" s="73">
        <f>IF(AP88=0,"",AQ88/AP88)</f>
        <v/>
      </c>
      <c r="AT88" s="46" t="n"/>
      <c r="AU88" s="74">
        <f>G88+ L88+ V88+ AF88+ AP88</f>
        <v/>
      </c>
      <c r="AV88" s="74">
        <f>H88+ M88+ W88+ AG88+ AQ88</f>
        <v/>
      </c>
      <c r="AW88" s="74">
        <f>AV88-AU88</f>
        <v/>
      </c>
      <c r="AX88" s="75">
        <f>IF(AU88=0,"",AV88/AU88)</f>
        <v/>
      </c>
      <c r="AY88" s="52" t="n"/>
      <c r="AZ88" s="72" t="n"/>
      <c r="BA88" s="72" t="n"/>
      <c r="BB88" s="72">
        <f>BA88-AZ88</f>
        <v/>
      </c>
      <c r="BC88" s="73">
        <f>IF(AZ88=0,"",BA88/AZ88)</f>
        <v/>
      </c>
      <c r="BD88" s="46" t="n"/>
      <c r="BE88" s="74">
        <f>G88+ L88+ V88+ AF88+ AP88+ AZ88</f>
        <v/>
      </c>
      <c r="BF88" s="74">
        <f>H88+ M88+ W88+ AG88+ AQ88+ BA88</f>
        <v/>
      </c>
      <c r="BG88" s="74">
        <f>BF88-BE88</f>
        <v/>
      </c>
      <c r="BH88" s="75">
        <f>IF(BE88=0,"",BF88/BE88)</f>
        <v/>
      </c>
      <c r="BI88" s="52" t="n"/>
      <c r="BJ88" s="72" t="n"/>
      <c r="BK88" s="72" t="n"/>
      <c r="BL88" s="72">
        <f>BK88-BJ88</f>
        <v/>
      </c>
      <c r="BM88" s="73">
        <f>IF(BJ88=0,"",BK88/BJ88)</f>
        <v/>
      </c>
      <c r="BN88" s="46" t="n"/>
      <c r="BO88" s="74">
        <f>G88+ L88+ V88+ AF88+ AP88+ AZ88+ BJ88</f>
        <v/>
      </c>
      <c r="BP88" s="74">
        <f>H88+ M88+ W88+ AG88+ AQ88+ BA88+ BK88</f>
        <v/>
      </c>
      <c r="BQ88" s="74">
        <f>BP88-BO88</f>
        <v/>
      </c>
      <c r="BR88" s="75">
        <f>IF(BO88=0,"",BP88/BO88)</f>
        <v/>
      </c>
      <c r="BS88" s="52" t="n"/>
      <c r="BT88" s="72" t="n"/>
      <c r="BU88" s="72" t="n"/>
      <c r="BV88" s="72">
        <f>BU88-BT88</f>
        <v/>
      </c>
      <c r="BW88" s="73">
        <f>IF(BT88=0,"",BU88/BT88)</f>
        <v/>
      </c>
      <c r="BX88" s="46" t="n"/>
      <c r="BY88" s="74">
        <f>G88+ L88+ V88+ AF88+ AP88+ AZ88+ BJ88+ BT88</f>
        <v/>
      </c>
      <c r="BZ88" s="74">
        <f>H88+ M88+ W88+ AG88+ AQ88+ BA88+ BK88+ BU88</f>
        <v/>
      </c>
      <c r="CA88" s="74">
        <f>BZ88-BY88</f>
        <v/>
      </c>
      <c r="CB88" s="75">
        <f>IF(BY88=0,"",BZ88/BY88)</f>
        <v/>
      </c>
      <c r="CC88" s="52" t="n"/>
      <c r="CD88" s="72" t="n"/>
      <c r="CE88" s="72" t="n"/>
      <c r="CF88" s="72">
        <f>CE88-CD88</f>
        <v/>
      </c>
      <c r="CG88" s="73">
        <f>IF(CD88=0,"",CE88/CD88)</f>
        <v/>
      </c>
      <c r="CH88" s="46" t="n"/>
      <c r="CI88" s="74">
        <f>G88+ L88+ V88+ AF88+ AP88+ AZ88+ BJ88+ BT88+ CD88</f>
        <v/>
      </c>
      <c r="CJ88" s="74">
        <f>H88+ M88+ W88+ AG88+ AQ88+ BA88+ BK88+ BU88+ CE88</f>
        <v/>
      </c>
      <c r="CK88" s="74">
        <f>CJ88-CI88</f>
        <v/>
      </c>
      <c r="CL88" s="75">
        <f>IF(CI88=0,"",CJ88/CI88)</f>
        <v/>
      </c>
      <c r="CM88" s="52" t="n"/>
      <c r="CN88" s="72" t="n"/>
      <c r="CO88" s="72" t="n"/>
      <c r="CP88" s="72">
        <f>CO88-CN88</f>
        <v/>
      </c>
      <c r="CQ88" s="73">
        <f>IF(CN88=0,"",CO88/CN88)</f>
        <v/>
      </c>
      <c r="CR88" s="46" t="n"/>
      <c r="CS88" s="74">
        <f>G88+ L88+ V88+ AF88+ AP88+ AZ88+ BJ88+ BT88+ CD88+ CN88</f>
        <v/>
      </c>
      <c r="CT88" s="74">
        <f>H88+ M88+ W88+ AG88+ AQ88+ BA88+ BK88+ BU88+ CE88+ CO88</f>
        <v/>
      </c>
      <c r="CU88" s="74">
        <f>CT88-CS88</f>
        <v/>
      </c>
      <c r="CV88" s="75">
        <f>IF(CS88=0,"",CT88/CS88)</f>
        <v/>
      </c>
      <c r="CW88" s="52" t="n"/>
      <c r="CX88" s="72" t="n"/>
      <c r="CY88" s="72" t="n"/>
      <c r="CZ88" s="72">
        <f>CY88-CX88</f>
        <v/>
      </c>
      <c r="DA88" s="73">
        <f>IF(CX88=0,"",CY88/CX88)</f>
        <v/>
      </c>
      <c r="DB88" s="46" t="n"/>
      <c r="DC88" s="74">
        <f>G88+ L88+ V88+ AF88+ AP88+ AZ88+ BJ88+ BT88+ CD88+ CN88+ CX88</f>
        <v/>
      </c>
      <c r="DD88" s="74">
        <f>H88+ M88+ W88+ AG88+ AQ88+ BA88+ BK88+ BU88+ CE88+ CO88+ CY88</f>
        <v/>
      </c>
      <c r="DE88" s="74">
        <f>DD88-DC88</f>
        <v/>
      </c>
      <c r="DF88" s="75">
        <f>IF(DC88=0,"",DD88/DC88)</f>
        <v/>
      </c>
      <c r="DG88" s="52" t="n"/>
      <c r="DH88" s="72" t="n"/>
      <c r="DI88" s="72" t="n"/>
      <c r="DJ88" s="72">
        <f>DI88-DH88</f>
        <v/>
      </c>
      <c r="DK88" s="73">
        <f>IF(DH88=0,"",DI88/DH88)</f>
        <v/>
      </c>
      <c r="DL88" s="46" t="n"/>
      <c r="DM88" s="74">
        <f>G88+ L88+ V88+ AF88+ AP88+ AZ88+ BJ88+ BT88+ CD88+ CN88+ CX88+ DH88</f>
        <v/>
      </c>
      <c r="DN88" s="74">
        <f>H88+ M88+ W88+ AG88+ AQ88+ BA88+ BK88+ BU88+ CE88+ CO88+ CY88+ DI88</f>
        <v/>
      </c>
      <c r="DO88" s="74">
        <f>DN88-DM88</f>
        <v/>
      </c>
      <c r="DP88" s="75">
        <f>IF(DM88=0,"",DN88/DM88)</f>
        <v/>
      </c>
      <c r="DQ88" s="52" t="n"/>
      <c r="DR88" s="72">
        <f>G88+L88+V88+AF88+AP88+AZ88+BJ88+BT88+CD88+CN88+CX88+DH88</f>
        <v/>
      </c>
    </row>
    <row r="89" ht="15" customHeight="1">
      <c r="A89" s="55" t="n"/>
      <c r="B89" s="55" t="n"/>
      <c r="C89" s="55" t="n"/>
      <c r="D89" s="46" t="n"/>
      <c r="E89" s="46" t="n"/>
      <c r="F89" s="47" t="n"/>
      <c r="G89" s="72" t="n"/>
      <c r="H89" s="72" t="n"/>
      <c r="I89" s="72">
        <f>H89-G89</f>
        <v/>
      </c>
      <c r="J89" s="73">
        <f>IF(G89=0,"",H89/G89)</f>
        <v/>
      </c>
      <c r="K89" s="46" t="n"/>
      <c r="L89" s="72" t="n"/>
      <c r="M89" s="72" t="n"/>
      <c r="N89" s="72">
        <f>M89-L89</f>
        <v/>
      </c>
      <c r="O89" s="73">
        <f>IF(L89=0,"",M89/L89)</f>
        <v/>
      </c>
      <c r="P89" s="46" t="n"/>
      <c r="Q89" s="74">
        <f>G89+ L89</f>
        <v/>
      </c>
      <c r="R89" s="74">
        <f>H89+ M89</f>
        <v/>
      </c>
      <c r="S89" s="74">
        <f>R89-Q89</f>
        <v/>
      </c>
      <c r="T89" s="75">
        <f>IF(Q89=0,"",R89/Q89)</f>
        <v/>
      </c>
      <c r="U89" s="52" t="n"/>
      <c r="V89" s="72" t="n"/>
      <c r="W89" s="72" t="n"/>
      <c r="X89" s="72">
        <f>W89-V89</f>
        <v/>
      </c>
      <c r="Y89" s="73">
        <f>IF(V89=0,"",W89/V89)</f>
        <v/>
      </c>
      <c r="Z89" s="46" t="n"/>
      <c r="AA89" s="74">
        <f>G89+ L89+ V89</f>
        <v/>
      </c>
      <c r="AB89" s="74">
        <f>H89+ M89+ W89</f>
        <v/>
      </c>
      <c r="AC89" s="74">
        <f>AB89-AA89</f>
        <v/>
      </c>
      <c r="AD89" s="75">
        <f>IF(AA89=0,"",AB89/AA89)</f>
        <v/>
      </c>
      <c r="AE89" s="52" t="n"/>
      <c r="AF89" s="72" t="n"/>
      <c r="AG89" s="72" t="n"/>
      <c r="AH89" s="72">
        <f>AG89-AF89</f>
        <v/>
      </c>
      <c r="AI89" s="73">
        <f>IF(AF89=0,"",AG89/AF89)</f>
        <v/>
      </c>
      <c r="AJ89" s="46" t="n"/>
      <c r="AK89" s="74">
        <f>G89+ L89+ V89+ AF89</f>
        <v/>
      </c>
      <c r="AL89" s="74">
        <f>H89+ M89+ W89+ AG89</f>
        <v/>
      </c>
      <c r="AM89" s="74">
        <f>AL89-AK89</f>
        <v/>
      </c>
      <c r="AN89" s="75">
        <f>IF(AK89=0,"",AL89/AK89)</f>
        <v/>
      </c>
      <c r="AO89" s="52" t="n"/>
      <c r="AP89" s="72" t="n"/>
      <c r="AQ89" s="72" t="n"/>
      <c r="AR89" s="72">
        <f>AQ89-AP89</f>
        <v/>
      </c>
      <c r="AS89" s="73">
        <f>IF(AP89=0,"",AQ89/AP89)</f>
        <v/>
      </c>
      <c r="AT89" s="46" t="n"/>
      <c r="AU89" s="74">
        <f>G89+ L89+ V89+ AF89+ AP89</f>
        <v/>
      </c>
      <c r="AV89" s="74">
        <f>H89+ M89+ W89+ AG89+ AQ89</f>
        <v/>
      </c>
      <c r="AW89" s="74">
        <f>AV89-AU89</f>
        <v/>
      </c>
      <c r="AX89" s="75">
        <f>IF(AU89=0,"",AV89/AU89)</f>
        <v/>
      </c>
      <c r="AY89" s="52" t="n"/>
      <c r="AZ89" s="72" t="n"/>
      <c r="BA89" s="72" t="n"/>
      <c r="BB89" s="72">
        <f>BA89-AZ89</f>
        <v/>
      </c>
      <c r="BC89" s="73">
        <f>IF(AZ89=0,"",BA89/AZ89)</f>
        <v/>
      </c>
      <c r="BD89" s="46" t="n"/>
      <c r="BE89" s="74">
        <f>G89+ L89+ V89+ AF89+ AP89+ AZ89</f>
        <v/>
      </c>
      <c r="BF89" s="74">
        <f>H89+ M89+ W89+ AG89+ AQ89+ BA89</f>
        <v/>
      </c>
      <c r="BG89" s="74">
        <f>BF89-BE89</f>
        <v/>
      </c>
      <c r="BH89" s="75">
        <f>IF(BE89=0,"",BF89/BE89)</f>
        <v/>
      </c>
      <c r="BI89" s="52" t="n"/>
      <c r="BJ89" s="72" t="n"/>
      <c r="BK89" s="72" t="n"/>
      <c r="BL89" s="72">
        <f>BK89-BJ89</f>
        <v/>
      </c>
      <c r="BM89" s="73">
        <f>IF(BJ89=0,"",BK89/BJ89)</f>
        <v/>
      </c>
      <c r="BN89" s="46" t="n"/>
      <c r="BO89" s="74">
        <f>G89+ L89+ V89+ AF89+ AP89+ AZ89+ BJ89</f>
        <v/>
      </c>
      <c r="BP89" s="74">
        <f>H89+ M89+ W89+ AG89+ AQ89+ BA89+ BK89</f>
        <v/>
      </c>
      <c r="BQ89" s="74">
        <f>BP89-BO89</f>
        <v/>
      </c>
      <c r="BR89" s="75">
        <f>IF(BO89=0,"",BP89/BO89)</f>
        <v/>
      </c>
      <c r="BS89" s="52" t="n"/>
      <c r="BT89" s="72" t="n"/>
      <c r="BU89" s="72" t="n"/>
      <c r="BV89" s="72">
        <f>BU89-BT89</f>
        <v/>
      </c>
      <c r="BW89" s="73">
        <f>IF(BT89=0,"",BU89/BT89)</f>
        <v/>
      </c>
      <c r="BX89" s="46" t="n"/>
      <c r="BY89" s="74">
        <f>G89+ L89+ V89+ AF89+ AP89+ AZ89+ BJ89+ BT89</f>
        <v/>
      </c>
      <c r="BZ89" s="74">
        <f>H89+ M89+ W89+ AG89+ AQ89+ BA89+ BK89+ BU89</f>
        <v/>
      </c>
      <c r="CA89" s="74">
        <f>BZ89-BY89</f>
        <v/>
      </c>
      <c r="CB89" s="75">
        <f>IF(BY89=0,"",BZ89/BY89)</f>
        <v/>
      </c>
      <c r="CC89" s="52" t="n"/>
      <c r="CD89" s="72" t="n"/>
      <c r="CE89" s="72" t="n"/>
      <c r="CF89" s="72">
        <f>CE89-CD89</f>
        <v/>
      </c>
      <c r="CG89" s="73">
        <f>IF(CD89=0,"",CE89/CD89)</f>
        <v/>
      </c>
      <c r="CH89" s="46" t="n"/>
      <c r="CI89" s="74">
        <f>G89+ L89+ V89+ AF89+ AP89+ AZ89+ BJ89+ BT89+ CD89</f>
        <v/>
      </c>
      <c r="CJ89" s="74">
        <f>H89+ M89+ W89+ AG89+ AQ89+ BA89+ BK89+ BU89+ CE89</f>
        <v/>
      </c>
      <c r="CK89" s="74">
        <f>CJ89-CI89</f>
        <v/>
      </c>
      <c r="CL89" s="75">
        <f>IF(CI89=0,"",CJ89/CI89)</f>
        <v/>
      </c>
      <c r="CM89" s="52" t="n"/>
      <c r="CN89" s="72" t="n"/>
      <c r="CO89" s="72" t="n"/>
      <c r="CP89" s="72">
        <f>CO89-CN89</f>
        <v/>
      </c>
      <c r="CQ89" s="73">
        <f>IF(CN89=0,"",CO89/CN89)</f>
        <v/>
      </c>
      <c r="CR89" s="46" t="n"/>
      <c r="CS89" s="74">
        <f>G89+ L89+ V89+ AF89+ AP89+ AZ89+ BJ89+ BT89+ CD89+ CN89</f>
        <v/>
      </c>
      <c r="CT89" s="74">
        <f>H89+ M89+ W89+ AG89+ AQ89+ BA89+ BK89+ BU89+ CE89+ CO89</f>
        <v/>
      </c>
      <c r="CU89" s="74">
        <f>CT89-CS89</f>
        <v/>
      </c>
      <c r="CV89" s="75">
        <f>IF(CS89=0,"",CT89/CS89)</f>
        <v/>
      </c>
      <c r="CW89" s="52" t="n"/>
      <c r="CX89" s="72" t="n"/>
      <c r="CY89" s="72" t="n"/>
      <c r="CZ89" s="72">
        <f>CY89-CX89</f>
        <v/>
      </c>
      <c r="DA89" s="73">
        <f>IF(CX89=0,"",CY89/CX89)</f>
        <v/>
      </c>
      <c r="DB89" s="46" t="n"/>
      <c r="DC89" s="74">
        <f>G89+ L89+ V89+ AF89+ AP89+ AZ89+ BJ89+ BT89+ CD89+ CN89+ CX89</f>
        <v/>
      </c>
      <c r="DD89" s="74">
        <f>H89+ M89+ W89+ AG89+ AQ89+ BA89+ BK89+ BU89+ CE89+ CO89+ CY89</f>
        <v/>
      </c>
      <c r="DE89" s="74">
        <f>DD89-DC89</f>
        <v/>
      </c>
      <c r="DF89" s="75">
        <f>IF(DC89=0,"",DD89/DC89)</f>
        <v/>
      </c>
      <c r="DG89" s="52" t="n"/>
      <c r="DH89" s="72" t="n"/>
      <c r="DI89" s="72" t="n"/>
      <c r="DJ89" s="72">
        <f>DI89-DH89</f>
        <v/>
      </c>
      <c r="DK89" s="73">
        <f>IF(DH89=0,"",DI89/DH89)</f>
        <v/>
      </c>
      <c r="DL89" s="46" t="n"/>
      <c r="DM89" s="74">
        <f>G89+ L89+ V89+ AF89+ AP89+ AZ89+ BJ89+ BT89+ CD89+ CN89+ CX89+ DH89</f>
        <v/>
      </c>
      <c r="DN89" s="74">
        <f>H89+ M89+ W89+ AG89+ AQ89+ BA89+ BK89+ BU89+ CE89+ CO89+ CY89+ DI89</f>
        <v/>
      </c>
      <c r="DO89" s="74">
        <f>DN89-DM89</f>
        <v/>
      </c>
      <c r="DP89" s="75">
        <f>IF(DM89=0,"",DN89/DM89)</f>
        <v/>
      </c>
      <c r="DQ89" s="52" t="n"/>
      <c r="DR89" s="72">
        <f>G89+L89+V89+AF89+AP89+AZ89+BJ89+BT89+CD89+CN89+CX89+DH89</f>
        <v/>
      </c>
    </row>
    <row r="90" ht="15" customHeight="1">
      <c r="A90" s="46" t="n"/>
      <c r="B90" s="46" t="n"/>
      <c r="C90" s="46" t="n"/>
      <c r="D90" s="46" t="n"/>
      <c r="E90" s="46" t="n"/>
      <c r="F90" s="47" t="n"/>
      <c r="G90" s="72" t="n"/>
      <c r="H90" s="72" t="n"/>
      <c r="I90" s="72">
        <f>H90-G90</f>
        <v/>
      </c>
      <c r="J90" s="73">
        <f>IF(G90=0,"",H90/G90)</f>
        <v/>
      </c>
      <c r="K90" s="46" t="n"/>
      <c r="L90" s="72" t="n"/>
      <c r="M90" s="72" t="n"/>
      <c r="N90" s="72">
        <f>M90-L90</f>
        <v/>
      </c>
      <c r="O90" s="73">
        <f>IF(L90=0,"",M90/L90)</f>
        <v/>
      </c>
      <c r="P90" s="46" t="n"/>
      <c r="Q90" s="74">
        <f>G90+ L90</f>
        <v/>
      </c>
      <c r="R90" s="74">
        <f>H90+ M90</f>
        <v/>
      </c>
      <c r="S90" s="74">
        <f>R90-Q90</f>
        <v/>
      </c>
      <c r="T90" s="75">
        <f>IF(Q90=0,"",R90/Q90)</f>
        <v/>
      </c>
      <c r="U90" s="52" t="n"/>
      <c r="V90" s="72" t="n"/>
      <c r="W90" s="72" t="n"/>
      <c r="X90" s="72">
        <f>W90-V90</f>
        <v/>
      </c>
      <c r="Y90" s="73">
        <f>IF(V90=0,"",W90/V90)</f>
        <v/>
      </c>
      <c r="Z90" s="46" t="n"/>
      <c r="AA90" s="74">
        <f>G90+ L90+ V90</f>
        <v/>
      </c>
      <c r="AB90" s="74">
        <f>H90+ M90+ W90</f>
        <v/>
      </c>
      <c r="AC90" s="74">
        <f>AB90-AA90</f>
        <v/>
      </c>
      <c r="AD90" s="75">
        <f>IF(AA90=0,"",AB90/AA90)</f>
        <v/>
      </c>
      <c r="AE90" s="52" t="n"/>
      <c r="AF90" s="72" t="n"/>
      <c r="AG90" s="72" t="n"/>
      <c r="AH90" s="72">
        <f>AG90-AF90</f>
        <v/>
      </c>
      <c r="AI90" s="73">
        <f>IF(AF90=0,"",AG90/AF90)</f>
        <v/>
      </c>
      <c r="AJ90" s="46" t="n"/>
      <c r="AK90" s="74">
        <f>G90+ L90+ V90+ AF90</f>
        <v/>
      </c>
      <c r="AL90" s="74">
        <f>H90+ M90+ W90+ AG90</f>
        <v/>
      </c>
      <c r="AM90" s="74">
        <f>AL90-AK90</f>
        <v/>
      </c>
      <c r="AN90" s="75">
        <f>IF(AK90=0,"",AL90/AK90)</f>
        <v/>
      </c>
      <c r="AO90" s="52" t="n"/>
      <c r="AP90" s="72" t="n"/>
      <c r="AQ90" s="72" t="n"/>
      <c r="AR90" s="72">
        <f>AQ90-AP90</f>
        <v/>
      </c>
      <c r="AS90" s="73">
        <f>IF(AP90=0,"",AQ90/AP90)</f>
        <v/>
      </c>
      <c r="AT90" s="46" t="n"/>
      <c r="AU90" s="74">
        <f>G90+ L90+ V90+ AF90+ AP90</f>
        <v/>
      </c>
      <c r="AV90" s="74">
        <f>H90+ M90+ W90+ AG90+ AQ90</f>
        <v/>
      </c>
      <c r="AW90" s="74">
        <f>AV90-AU90</f>
        <v/>
      </c>
      <c r="AX90" s="75">
        <f>IF(AU90=0,"",AV90/AU90)</f>
        <v/>
      </c>
      <c r="AY90" s="52" t="n"/>
      <c r="AZ90" s="72" t="n"/>
      <c r="BA90" s="72" t="n"/>
      <c r="BB90" s="72">
        <f>BA90-AZ90</f>
        <v/>
      </c>
      <c r="BC90" s="73">
        <f>IF(AZ90=0,"",BA90/AZ90)</f>
        <v/>
      </c>
      <c r="BD90" s="46" t="n"/>
      <c r="BE90" s="74">
        <f>G90+ L90+ V90+ AF90+ AP90+ AZ90</f>
        <v/>
      </c>
      <c r="BF90" s="74">
        <f>H90+ M90+ W90+ AG90+ AQ90+ BA90</f>
        <v/>
      </c>
      <c r="BG90" s="74">
        <f>BF90-BE90</f>
        <v/>
      </c>
      <c r="BH90" s="75">
        <f>IF(BE90=0,"",BF90/BE90)</f>
        <v/>
      </c>
      <c r="BI90" s="52" t="n"/>
      <c r="BJ90" s="72" t="n"/>
      <c r="BK90" s="72" t="n"/>
      <c r="BL90" s="72">
        <f>BK90-BJ90</f>
        <v/>
      </c>
      <c r="BM90" s="73">
        <f>IF(BJ90=0,"",BK90/BJ90)</f>
        <v/>
      </c>
      <c r="BN90" s="46" t="n"/>
      <c r="BO90" s="74">
        <f>G90+ L90+ V90+ AF90+ AP90+ AZ90+ BJ90</f>
        <v/>
      </c>
      <c r="BP90" s="74">
        <f>H90+ M90+ W90+ AG90+ AQ90+ BA90+ BK90</f>
        <v/>
      </c>
      <c r="BQ90" s="74">
        <f>BP90-BO90</f>
        <v/>
      </c>
      <c r="BR90" s="75">
        <f>IF(BO90=0,"",BP90/BO90)</f>
        <v/>
      </c>
      <c r="BS90" s="52" t="n"/>
      <c r="BT90" s="72" t="n"/>
      <c r="BU90" s="72" t="n"/>
      <c r="BV90" s="72">
        <f>BU90-BT90</f>
        <v/>
      </c>
      <c r="BW90" s="73">
        <f>IF(BT90=0,"",BU90/BT90)</f>
        <v/>
      </c>
      <c r="BX90" s="46" t="n"/>
      <c r="BY90" s="74">
        <f>G90+ L90+ V90+ AF90+ AP90+ AZ90+ BJ90+ BT90</f>
        <v/>
      </c>
      <c r="BZ90" s="74">
        <f>H90+ M90+ W90+ AG90+ AQ90+ BA90+ BK90+ BU90</f>
        <v/>
      </c>
      <c r="CA90" s="74">
        <f>BZ90-BY90</f>
        <v/>
      </c>
      <c r="CB90" s="75">
        <f>IF(BY90=0,"",BZ90/BY90)</f>
        <v/>
      </c>
      <c r="CC90" s="52" t="n"/>
      <c r="CD90" s="72" t="n"/>
      <c r="CE90" s="72" t="n"/>
      <c r="CF90" s="72">
        <f>CE90-CD90</f>
        <v/>
      </c>
      <c r="CG90" s="73">
        <f>IF(CD90=0,"",CE90/CD90)</f>
        <v/>
      </c>
      <c r="CH90" s="46" t="n"/>
      <c r="CI90" s="74">
        <f>G90+ L90+ V90+ AF90+ AP90+ AZ90+ BJ90+ BT90+ CD90</f>
        <v/>
      </c>
      <c r="CJ90" s="74">
        <f>H90+ M90+ W90+ AG90+ AQ90+ BA90+ BK90+ BU90+ CE90</f>
        <v/>
      </c>
      <c r="CK90" s="74">
        <f>CJ90-CI90</f>
        <v/>
      </c>
      <c r="CL90" s="75">
        <f>IF(CI90=0,"",CJ90/CI90)</f>
        <v/>
      </c>
      <c r="CM90" s="52" t="n"/>
      <c r="CN90" s="72" t="n"/>
      <c r="CO90" s="72" t="n"/>
      <c r="CP90" s="72">
        <f>CO90-CN90</f>
        <v/>
      </c>
      <c r="CQ90" s="73">
        <f>IF(CN90=0,"",CO90/CN90)</f>
        <v/>
      </c>
      <c r="CR90" s="46" t="n"/>
      <c r="CS90" s="74">
        <f>G90+ L90+ V90+ AF90+ AP90+ AZ90+ BJ90+ BT90+ CD90+ CN90</f>
        <v/>
      </c>
      <c r="CT90" s="74">
        <f>H90+ M90+ W90+ AG90+ AQ90+ BA90+ BK90+ BU90+ CE90+ CO90</f>
        <v/>
      </c>
      <c r="CU90" s="74">
        <f>CT90-CS90</f>
        <v/>
      </c>
      <c r="CV90" s="75">
        <f>IF(CS90=0,"",CT90/CS90)</f>
        <v/>
      </c>
      <c r="CW90" s="52" t="n"/>
      <c r="CX90" s="72" t="n"/>
      <c r="CY90" s="72" t="n"/>
      <c r="CZ90" s="72">
        <f>CY90-CX90</f>
        <v/>
      </c>
      <c r="DA90" s="73">
        <f>IF(CX90=0,"",CY90/CX90)</f>
        <v/>
      </c>
      <c r="DB90" s="46" t="n"/>
      <c r="DC90" s="74">
        <f>G90+ L90+ V90+ AF90+ AP90+ AZ90+ BJ90+ BT90+ CD90+ CN90+ CX90</f>
        <v/>
      </c>
      <c r="DD90" s="74">
        <f>H90+ M90+ W90+ AG90+ AQ90+ BA90+ BK90+ BU90+ CE90+ CO90+ CY90</f>
        <v/>
      </c>
      <c r="DE90" s="74">
        <f>DD90-DC90</f>
        <v/>
      </c>
      <c r="DF90" s="75">
        <f>IF(DC90=0,"",DD90/DC90)</f>
        <v/>
      </c>
      <c r="DG90" s="52" t="n"/>
      <c r="DH90" s="72" t="n"/>
      <c r="DI90" s="72" t="n"/>
      <c r="DJ90" s="72">
        <f>DI90-DH90</f>
        <v/>
      </c>
      <c r="DK90" s="73">
        <f>IF(DH90=0,"",DI90/DH90)</f>
        <v/>
      </c>
      <c r="DL90" s="46" t="n"/>
      <c r="DM90" s="74">
        <f>G90+ L90+ V90+ AF90+ AP90+ AZ90+ BJ90+ BT90+ CD90+ CN90+ CX90+ DH90</f>
        <v/>
      </c>
      <c r="DN90" s="74">
        <f>H90+ M90+ W90+ AG90+ AQ90+ BA90+ BK90+ BU90+ CE90+ CO90+ CY90+ DI90</f>
        <v/>
      </c>
      <c r="DO90" s="74">
        <f>DN90-DM90</f>
        <v/>
      </c>
      <c r="DP90" s="75">
        <f>IF(DM90=0,"",DN90/DM90)</f>
        <v/>
      </c>
      <c r="DQ90" s="52" t="n"/>
      <c r="DR90" s="72">
        <f>G90+L90+V90+AF90+AP90+AZ90+BJ90+BT90+CD90+CN90+CX90+DH90</f>
        <v/>
      </c>
    </row>
    <row r="91" ht="15" customHeight="1">
      <c r="A91" s="67" t="n"/>
      <c r="B91" s="67" t="n"/>
      <c r="C91" s="67" t="n"/>
      <c r="D91" s="46" t="n"/>
      <c r="E91" s="46" t="n"/>
      <c r="F91" s="47" t="n"/>
      <c r="G91" s="72" t="n"/>
      <c r="H91" s="72" t="n"/>
      <c r="I91" s="72">
        <f>H91-G91</f>
        <v/>
      </c>
      <c r="J91" s="73">
        <f>IF(G91=0,"",H91/G91)</f>
        <v/>
      </c>
      <c r="K91" s="46" t="n"/>
      <c r="L91" s="72" t="n"/>
      <c r="M91" s="72" t="n"/>
      <c r="N91" s="72">
        <f>M91-L91</f>
        <v/>
      </c>
      <c r="O91" s="73">
        <f>IF(L91=0,"",M91/L91)</f>
        <v/>
      </c>
      <c r="P91" s="46" t="n"/>
      <c r="Q91" s="74">
        <f>G91+ L91</f>
        <v/>
      </c>
      <c r="R91" s="74">
        <f>H91+ M91</f>
        <v/>
      </c>
      <c r="S91" s="74">
        <f>R91-Q91</f>
        <v/>
      </c>
      <c r="T91" s="75">
        <f>IF(Q91=0,"",R91/Q91)</f>
        <v/>
      </c>
      <c r="U91" s="52" t="n"/>
      <c r="V91" s="72" t="n"/>
      <c r="W91" s="72" t="n"/>
      <c r="X91" s="72">
        <f>W91-V91</f>
        <v/>
      </c>
      <c r="Y91" s="73">
        <f>IF(V91=0,"",W91/V91)</f>
        <v/>
      </c>
      <c r="Z91" s="46" t="n"/>
      <c r="AA91" s="74">
        <f>G91+ L91+ V91</f>
        <v/>
      </c>
      <c r="AB91" s="74">
        <f>H91+ M91+ W91</f>
        <v/>
      </c>
      <c r="AC91" s="74">
        <f>AB91-AA91</f>
        <v/>
      </c>
      <c r="AD91" s="75">
        <f>IF(AA91=0,"",AB91/AA91)</f>
        <v/>
      </c>
      <c r="AE91" s="52" t="n"/>
      <c r="AF91" s="72" t="n"/>
      <c r="AG91" s="72" t="n"/>
      <c r="AH91" s="72">
        <f>AG91-AF91</f>
        <v/>
      </c>
      <c r="AI91" s="73">
        <f>IF(AF91=0,"",AG91/AF91)</f>
        <v/>
      </c>
      <c r="AJ91" s="46" t="n"/>
      <c r="AK91" s="74">
        <f>G91+ L91+ V91+ AF91</f>
        <v/>
      </c>
      <c r="AL91" s="74">
        <f>H91+ M91+ W91+ AG91</f>
        <v/>
      </c>
      <c r="AM91" s="74">
        <f>AL91-AK91</f>
        <v/>
      </c>
      <c r="AN91" s="75">
        <f>IF(AK91=0,"",AL91/AK91)</f>
        <v/>
      </c>
      <c r="AO91" s="52" t="n"/>
      <c r="AP91" s="72" t="n"/>
      <c r="AQ91" s="72" t="n"/>
      <c r="AR91" s="72">
        <f>AQ91-AP91</f>
        <v/>
      </c>
      <c r="AS91" s="73">
        <f>IF(AP91=0,"",AQ91/AP91)</f>
        <v/>
      </c>
      <c r="AT91" s="46" t="n"/>
      <c r="AU91" s="74">
        <f>G91+ L91+ V91+ AF91+ AP91</f>
        <v/>
      </c>
      <c r="AV91" s="74">
        <f>H91+ M91+ W91+ AG91+ AQ91</f>
        <v/>
      </c>
      <c r="AW91" s="74">
        <f>AV91-AU91</f>
        <v/>
      </c>
      <c r="AX91" s="75">
        <f>IF(AU91=0,"",AV91/AU91)</f>
        <v/>
      </c>
      <c r="AY91" s="52" t="n"/>
      <c r="AZ91" s="72" t="n"/>
      <c r="BA91" s="72" t="n"/>
      <c r="BB91" s="72">
        <f>BA91-AZ91</f>
        <v/>
      </c>
      <c r="BC91" s="73">
        <f>IF(AZ91=0,"",BA91/AZ91)</f>
        <v/>
      </c>
      <c r="BD91" s="46" t="n"/>
      <c r="BE91" s="74">
        <f>G91+ L91+ V91+ AF91+ AP91+ AZ91</f>
        <v/>
      </c>
      <c r="BF91" s="74">
        <f>H91+ M91+ W91+ AG91+ AQ91+ BA91</f>
        <v/>
      </c>
      <c r="BG91" s="74">
        <f>BF91-BE91</f>
        <v/>
      </c>
      <c r="BH91" s="75">
        <f>IF(BE91=0,"",BF91/BE91)</f>
        <v/>
      </c>
      <c r="BI91" s="52" t="n"/>
      <c r="BJ91" s="72" t="n"/>
      <c r="BK91" s="72" t="n"/>
      <c r="BL91" s="72">
        <f>BK91-BJ91</f>
        <v/>
      </c>
      <c r="BM91" s="73">
        <f>IF(BJ91=0,"",BK91/BJ91)</f>
        <v/>
      </c>
      <c r="BN91" s="46" t="n"/>
      <c r="BO91" s="74">
        <f>G91+ L91+ V91+ AF91+ AP91+ AZ91+ BJ91</f>
        <v/>
      </c>
      <c r="BP91" s="74">
        <f>H91+ M91+ W91+ AG91+ AQ91+ BA91+ BK91</f>
        <v/>
      </c>
      <c r="BQ91" s="74">
        <f>BP91-BO91</f>
        <v/>
      </c>
      <c r="BR91" s="75">
        <f>IF(BO91=0,"",BP91/BO91)</f>
        <v/>
      </c>
      <c r="BS91" s="52" t="n"/>
      <c r="BT91" s="72" t="n"/>
      <c r="BU91" s="72" t="n"/>
      <c r="BV91" s="72">
        <f>BU91-BT91</f>
        <v/>
      </c>
      <c r="BW91" s="73">
        <f>IF(BT91=0,"",BU91/BT91)</f>
        <v/>
      </c>
      <c r="BX91" s="46" t="n"/>
      <c r="BY91" s="74">
        <f>G91+ L91+ V91+ AF91+ AP91+ AZ91+ BJ91+ BT91</f>
        <v/>
      </c>
      <c r="BZ91" s="74">
        <f>H91+ M91+ W91+ AG91+ AQ91+ BA91+ BK91+ BU91</f>
        <v/>
      </c>
      <c r="CA91" s="74">
        <f>BZ91-BY91</f>
        <v/>
      </c>
      <c r="CB91" s="75">
        <f>IF(BY91=0,"",BZ91/BY91)</f>
        <v/>
      </c>
      <c r="CC91" s="52" t="n"/>
      <c r="CD91" s="72" t="n"/>
      <c r="CE91" s="72" t="n"/>
      <c r="CF91" s="72">
        <f>CE91-CD91</f>
        <v/>
      </c>
      <c r="CG91" s="73">
        <f>IF(CD91=0,"",CE91/CD91)</f>
        <v/>
      </c>
      <c r="CH91" s="46" t="n"/>
      <c r="CI91" s="74">
        <f>G91+ L91+ V91+ AF91+ AP91+ AZ91+ BJ91+ BT91+ CD91</f>
        <v/>
      </c>
      <c r="CJ91" s="74">
        <f>H91+ M91+ W91+ AG91+ AQ91+ BA91+ BK91+ BU91+ CE91</f>
        <v/>
      </c>
      <c r="CK91" s="74">
        <f>CJ91-CI91</f>
        <v/>
      </c>
      <c r="CL91" s="75">
        <f>IF(CI91=0,"",CJ91/CI91)</f>
        <v/>
      </c>
      <c r="CM91" s="52" t="n"/>
      <c r="CN91" s="72" t="n"/>
      <c r="CO91" s="72" t="n"/>
      <c r="CP91" s="72">
        <f>CO91-CN91</f>
        <v/>
      </c>
      <c r="CQ91" s="73">
        <f>IF(CN91=0,"",CO91/CN91)</f>
        <v/>
      </c>
      <c r="CR91" s="46" t="n"/>
      <c r="CS91" s="74">
        <f>G91+ L91+ V91+ AF91+ AP91+ AZ91+ BJ91+ BT91+ CD91+ CN91</f>
        <v/>
      </c>
      <c r="CT91" s="74">
        <f>H91+ M91+ W91+ AG91+ AQ91+ BA91+ BK91+ BU91+ CE91+ CO91</f>
        <v/>
      </c>
      <c r="CU91" s="74">
        <f>CT91-CS91</f>
        <v/>
      </c>
      <c r="CV91" s="75">
        <f>IF(CS91=0,"",CT91/CS91)</f>
        <v/>
      </c>
      <c r="CW91" s="52" t="n"/>
      <c r="CX91" s="72" t="n"/>
      <c r="CY91" s="72" t="n"/>
      <c r="CZ91" s="72">
        <f>CY91-CX91</f>
        <v/>
      </c>
      <c r="DA91" s="73">
        <f>IF(CX91=0,"",CY91/CX91)</f>
        <v/>
      </c>
      <c r="DB91" s="46" t="n"/>
      <c r="DC91" s="74">
        <f>G91+ L91+ V91+ AF91+ AP91+ AZ91+ BJ91+ BT91+ CD91+ CN91+ CX91</f>
        <v/>
      </c>
      <c r="DD91" s="74">
        <f>H91+ M91+ W91+ AG91+ AQ91+ BA91+ BK91+ BU91+ CE91+ CO91+ CY91</f>
        <v/>
      </c>
      <c r="DE91" s="74">
        <f>DD91-DC91</f>
        <v/>
      </c>
      <c r="DF91" s="75">
        <f>IF(DC91=0,"",DD91/DC91)</f>
        <v/>
      </c>
      <c r="DG91" s="52" t="n"/>
      <c r="DH91" s="72" t="n"/>
      <c r="DI91" s="72" t="n"/>
      <c r="DJ91" s="72">
        <f>DI91-DH91</f>
        <v/>
      </c>
      <c r="DK91" s="73">
        <f>IF(DH91=0,"",DI91/DH91)</f>
        <v/>
      </c>
      <c r="DL91" s="46" t="n"/>
      <c r="DM91" s="74">
        <f>G91+ L91+ V91+ AF91+ AP91+ AZ91+ BJ91+ BT91+ CD91+ CN91+ CX91+ DH91</f>
        <v/>
      </c>
      <c r="DN91" s="74">
        <f>H91+ M91+ W91+ AG91+ AQ91+ BA91+ BK91+ BU91+ CE91+ CO91+ CY91+ DI91</f>
        <v/>
      </c>
      <c r="DO91" s="74">
        <f>DN91-DM91</f>
        <v/>
      </c>
      <c r="DP91" s="75">
        <f>IF(DM91=0,"",DN91/DM91)</f>
        <v/>
      </c>
      <c r="DQ91" s="52" t="n"/>
      <c r="DR91" s="72">
        <f>G91+L91+V91+AF91+AP91+AZ91+BJ91+BT91+CD91+CN91+CX91+DH91</f>
        <v/>
      </c>
    </row>
    <row r="92" ht="15" customHeight="1">
      <c r="A92" s="67" t="n"/>
      <c r="B92" s="67" t="n"/>
      <c r="C92" s="67" t="n"/>
      <c r="D92" s="46" t="n"/>
      <c r="E92" s="46" t="n"/>
      <c r="F92" s="47" t="n"/>
      <c r="G92" s="72" t="n"/>
      <c r="H92" s="72" t="n"/>
      <c r="I92" s="72">
        <f>H92-G92</f>
        <v/>
      </c>
      <c r="J92" s="73">
        <f>IF(G92=0,"",H92/G92)</f>
        <v/>
      </c>
      <c r="K92" s="46" t="n"/>
      <c r="L92" s="72" t="n"/>
      <c r="M92" s="72" t="n"/>
      <c r="N92" s="72">
        <f>M92-L92</f>
        <v/>
      </c>
      <c r="O92" s="73">
        <f>IF(L92=0,"",M92/L92)</f>
        <v/>
      </c>
      <c r="P92" s="46" t="n"/>
      <c r="Q92" s="74">
        <f>G92+ L92</f>
        <v/>
      </c>
      <c r="R92" s="74">
        <f>H92+ M92</f>
        <v/>
      </c>
      <c r="S92" s="74">
        <f>R92-Q92</f>
        <v/>
      </c>
      <c r="T92" s="75">
        <f>IF(Q92=0,"",R92/Q92)</f>
        <v/>
      </c>
      <c r="U92" s="52" t="n"/>
      <c r="V92" s="72" t="n"/>
      <c r="W92" s="72" t="n"/>
      <c r="X92" s="72">
        <f>W92-V92</f>
        <v/>
      </c>
      <c r="Y92" s="73">
        <f>IF(V92=0,"",W92/V92)</f>
        <v/>
      </c>
      <c r="Z92" s="46" t="n"/>
      <c r="AA92" s="74">
        <f>G92+ L92+ V92</f>
        <v/>
      </c>
      <c r="AB92" s="74">
        <f>H92+ M92+ W92</f>
        <v/>
      </c>
      <c r="AC92" s="74">
        <f>AB92-AA92</f>
        <v/>
      </c>
      <c r="AD92" s="75">
        <f>IF(AA92=0,"",AB92/AA92)</f>
        <v/>
      </c>
      <c r="AE92" s="52" t="n"/>
      <c r="AF92" s="72" t="n"/>
      <c r="AG92" s="72" t="n"/>
      <c r="AH92" s="72">
        <f>AG92-AF92</f>
        <v/>
      </c>
      <c r="AI92" s="73">
        <f>IF(AF92=0,"",AG92/AF92)</f>
        <v/>
      </c>
      <c r="AJ92" s="46" t="n"/>
      <c r="AK92" s="74">
        <f>G92+ L92+ V92+ AF92</f>
        <v/>
      </c>
      <c r="AL92" s="74">
        <f>H92+ M92+ W92+ AG92</f>
        <v/>
      </c>
      <c r="AM92" s="74">
        <f>AL92-AK92</f>
        <v/>
      </c>
      <c r="AN92" s="75">
        <f>IF(AK92=0,"",AL92/AK92)</f>
        <v/>
      </c>
      <c r="AO92" s="52" t="n"/>
      <c r="AP92" s="72" t="n"/>
      <c r="AQ92" s="72" t="n"/>
      <c r="AR92" s="72">
        <f>AQ92-AP92</f>
        <v/>
      </c>
      <c r="AS92" s="73">
        <f>IF(AP92=0,"",AQ92/AP92)</f>
        <v/>
      </c>
      <c r="AT92" s="46" t="n"/>
      <c r="AU92" s="74">
        <f>G92+ L92+ V92+ AF92+ AP92</f>
        <v/>
      </c>
      <c r="AV92" s="74">
        <f>H92+ M92+ W92+ AG92+ AQ92</f>
        <v/>
      </c>
      <c r="AW92" s="74">
        <f>AV92-AU92</f>
        <v/>
      </c>
      <c r="AX92" s="75">
        <f>IF(AU92=0,"",AV92/AU92)</f>
        <v/>
      </c>
      <c r="AY92" s="52" t="n"/>
      <c r="AZ92" s="72" t="n"/>
      <c r="BA92" s="72" t="n"/>
      <c r="BB92" s="72">
        <f>BA92-AZ92</f>
        <v/>
      </c>
      <c r="BC92" s="73">
        <f>IF(AZ92=0,"",BA92/AZ92)</f>
        <v/>
      </c>
      <c r="BD92" s="46" t="n"/>
      <c r="BE92" s="74">
        <f>G92+ L92+ V92+ AF92+ AP92+ AZ92</f>
        <v/>
      </c>
      <c r="BF92" s="74">
        <f>H92+ M92+ W92+ AG92+ AQ92+ BA92</f>
        <v/>
      </c>
      <c r="BG92" s="74">
        <f>BF92-BE92</f>
        <v/>
      </c>
      <c r="BH92" s="75">
        <f>IF(BE92=0,"",BF92/BE92)</f>
        <v/>
      </c>
      <c r="BI92" s="52" t="n"/>
      <c r="BJ92" s="72" t="n"/>
      <c r="BK92" s="72" t="n"/>
      <c r="BL92" s="72">
        <f>BK92-BJ92</f>
        <v/>
      </c>
      <c r="BM92" s="73">
        <f>IF(BJ92=0,"",BK92/BJ92)</f>
        <v/>
      </c>
      <c r="BN92" s="46" t="n"/>
      <c r="BO92" s="74">
        <f>G92+ L92+ V92+ AF92+ AP92+ AZ92+ BJ92</f>
        <v/>
      </c>
      <c r="BP92" s="74">
        <f>H92+ M92+ W92+ AG92+ AQ92+ BA92+ BK92</f>
        <v/>
      </c>
      <c r="BQ92" s="74">
        <f>BP92-BO92</f>
        <v/>
      </c>
      <c r="BR92" s="75">
        <f>IF(BO92=0,"",BP92/BO92)</f>
        <v/>
      </c>
      <c r="BS92" s="52" t="n"/>
      <c r="BT92" s="72" t="n"/>
      <c r="BU92" s="72" t="n"/>
      <c r="BV92" s="72">
        <f>BU92-BT92</f>
        <v/>
      </c>
      <c r="BW92" s="73">
        <f>IF(BT92=0,"",BU92/BT92)</f>
        <v/>
      </c>
      <c r="BX92" s="46" t="n"/>
      <c r="BY92" s="74">
        <f>G92+ L92+ V92+ AF92+ AP92+ AZ92+ BJ92+ BT92</f>
        <v/>
      </c>
      <c r="BZ92" s="74">
        <f>H92+ M92+ W92+ AG92+ AQ92+ BA92+ BK92+ BU92</f>
        <v/>
      </c>
      <c r="CA92" s="74">
        <f>BZ92-BY92</f>
        <v/>
      </c>
      <c r="CB92" s="75">
        <f>IF(BY92=0,"",BZ92/BY92)</f>
        <v/>
      </c>
      <c r="CC92" s="52" t="n"/>
      <c r="CD92" s="72" t="n"/>
      <c r="CE92" s="72" t="n"/>
      <c r="CF92" s="72">
        <f>CE92-CD92</f>
        <v/>
      </c>
      <c r="CG92" s="73">
        <f>IF(CD92=0,"",CE92/CD92)</f>
        <v/>
      </c>
      <c r="CH92" s="46" t="n"/>
      <c r="CI92" s="74">
        <f>G92+ L92+ V92+ AF92+ AP92+ AZ92+ BJ92+ BT92+ CD92</f>
        <v/>
      </c>
      <c r="CJ92" s="74">
        <f>H92+ M92+ W92+ AG92+ AQ92+ BA92+ BK92+ BU92+ CE92</f>
        <v/>
      </c>
      <c r="CK92" s="74">
        <f>CJ92-CI92</f>
        <v/>
      </c>
      <c r="CL92" s="75">
        <f>IF(CI92=0,"",CJ92/CI92)</f>
        <v/>
      </c>
      <c r="CM92" s="52" t="n"/>
      <c r="CN92" s="72" t="n"/>
      <c r="CO92" s="72" t="n"/>
      <c r="CP92" s="72">
        <f>CO92-CN92</f>
        <v/>
      </c>
      <c r="CQ92" s="73">
        <f>IF(CN92=0,"",CO92/CN92)</f>
        <v/>
      </c>
      <c r="CR92" s="46" t="n"/>
      <c r="CS92" s="74">
        <f>G92+ L92+ V92+ AF92+ AP92+ AZ92+ BJ92+ BT92+ CD92+ CN92</f>
        <v/>
      </c>
      <c r="CT92" s="74">
        <f>H92+ M92+ W92+ AG92+ AQ92+ BA92+ BK92+ BU92+ CE92+ CO92</f>
        <v/>
      </c>
      <c r="CU92" s="74">
        <f>CT92-CS92</f>
        <v/>
      </c>
      <c r="CV92" s="75">
        <f>IF(CS92=0,"",CT92/CS92)</f>
        <v/>
      </c>
      <c r="CW92" s="52" t="n"/>
      <c r="CX92" s="72" t="n"/>
      <c r="CY92" s="72" t="n"/>
      <c r="CZ92" s="72">
        <f>CY92-CX92</f>
        <v/>
      </c>
      <c r="DA92" s="73">
        <f>IF(CX92=0,"",CY92/CX92)</f>
        <v/>
      </c>
      <c r="DB92" s="46" t="n"/>
      <c r="DC92" s="74">
        <f>G92+ L92+ V92+ AF92+ AP92+ AZ92+ BJ92+ BT92+ CD92+ CN92+ CX92</f>
        <v/>
      </c>
      <c r="DD92" s="74">
        <f>H92+ M92+ W92+ AG92+ AQ92+ BA92+ BK92+ BU92+ CE92+ CO92+ CY92</f>
        <v/>
      </c>
      <c r="DE92" s="74">
        <f>DD92-DC92</f>
        <v/>
      </c>
      <c r="DF92" s="75">
        <f>IF(DC92=0,"",DD92/DC92)</f>
        <v/>
      </c>
      <c r="DG92" s="52" t="n"/>
      <c r="DH92" s="72" t="n"/>
      <c r="DI92" s="72" t="n"/>
      <c r="DJ92" s="72">
        <f>DI92-DH92</f>
        <v/>
      </c>
      <c r="DK92" s="73">
        <f>IF(DH92=0,"",DI92/DH92)</f>
        <v/>
      </c>
      <c r="DL92" s="46" t="n"/>
      <c r="DM92" s="74">
        <f>G92+ L92+ V92+ AF92+ AP92+ AZ92+ BJ92+ BT92+ CD92+ CN92+ CX92+ DH92</f>
        <v/>
      </c>
      <c r="DN92" s="74">
        <f>H92+ M92+ W92+ AG92+ AQ92+ BA92+ BK92+ BU92+ CE92+ CO92+ CY92+ DI92</f>
        <v/>
      </c>
      <c r="DO92" s="74">
        <f>DN92-DM92</f>
        <v/>
      </c>
      <c r="DP92" s="75">
        <f>IF(DM92=0,"",DN92/DM92)</f>
        <v/>
      </c>
      <c r="DQ92" s="52" t="n"/>
      <c r="DR92" s="72">
        <f>G92+L92+V92+AF92+AP92+AZ92+BJ92+BT92+CD92+CN92+CX92+DH92</f>
        <v/>
      </c>
    </row>
    <row r="93" ht="15" customHeight="1">
      <c r="A93" s="67" t="n"/>
      <c r="B93" s="67" t="n"/>
      <c r="C93" s="67" t="n"/>
      <c r="D93" s="46" t="n"/>
      <c r="E93" s="46" t="n"/>
      <c r="F93" s="47" t="n"/>
      <c r="G93" s="72" t="n"/>
      <c r="H93" s="72" t="n"/>
      <c r="I93" s="72">
        <f>H93-G93</f>
        <v/>
      </c>
      <c r="J93" s="73">
        <f>IF(G93=0,"",H93/G93)</f>
        <v/>
      </c>
      <c r="K93" s="46" t="n"/>
      <c r="L93" s="72" t="n"/>
      <c r="M93" s="72" t="n"/>
      <c r="N93" s="72">
        <f>M93-L93</f>
        <v/>
      </c>
      <c r="O93" s="73">
        <f>IF(L93=0,"",M93/L93)</f>
        <v/>
      </c>
      <c r="P93" s="46" t="n"/>
      <c r="Q93" s="74">
        <f>G93+ L93</f>
        <v/>
      </c>
      <c r="R93" s="74">
        <f>H93+ M93</f>
        <v/>
      </c>
      <c r="S93" s="74">
        <f>R93-Q93</f>
        <v/>
      </c>
      <c r="T93" s="75">
        <f>IF(Q93=0,"",R93/Q93)</f>
        <v/>
      </c>
      <c r="U93" s="52" t="n"/>
      <c r="V93" s="72" t="n"/>
      <c r="W93" s="72" t="n"/>
      <c r="X93" s="72">
        <f>W93-V93</f>
        <v/>
      </c>
      <c r="Y93" s="73">
        <f>IF(V93=0,"",W93/V93)</f>
        <v/>
      </c>
      <c r="Z93" s="46" t="n"/>
      <c r="AA93" s="74">
        <f>G93+ L93+ V93</f>
        <v/>
      </c>
      <c r="AB93" s="74">
        <f>H93+ M93+ W93</f>
        <v/>
      </c>
      <c r="AC93" s="74">
        <f>AB93-AA93</f>
        <v/>
      </c>
      <c r="AD93" s="75">
        <f>IF(AA93=0,"",AB93/AA93)</f>
        <v/>
      </c>
      <c r="AE93" s="52" t="n"/>
      <c r="AF93" s="72" t="n"/>
      <c r="AG93" s="72" t="n"/>
      <c r="AH93" s="72">
        <f>AG93-AF93</f>
        <v/>
      </c>
      <c r="AI93" s="73">
        <f>IF(AF93=0,"",AG93/AF93)</f>
        <v/>
      </c>
      <c r="AJ93" s="46" t="n"/>
      <c r="AK93" s="74">
        <f>G93+ L93+ V93+ AF93</f>
        <v/>
      </c>
      <c r="AL93" s="74">
        <f>H93+ M93+ W93+ AG93</f>
        <v/>
      </c>
      <c r="AM93" s="74">
        <f>AL93-AK93</f>
        <v/>
      </c>
      <c r="AN93" s="75">
        <f>IF(AK93=0,"",AL93/AK93)</f>
        <v/>
      </c>
      <c r="AO93" s="52" t="n"/>
      <c r="AP93" s="72" t="n"/>
      <c r="AQ93" s="72" t="n"/>
      <c r="AR93" s="72">
        <f>AQ93-AP93</f>
        <v/>
      </c>
      <c r="AS93" s="73">
        <f>IF(AP93=0,"",AQ93/AP93)</f>
        <v/>
      </c>
      <c r="AT93" s="46" t="n"/>
      <c r="AU93" s="74">
        <f>G93+ L93+ V93+ AF93+ AP93</f>
        <v/>
      </c>
      <c r="AV93" s="74">
        <f>H93+ M93+ W93+ AG93+ AQ93</f>
        <v/>
      </c>
      <c r="AW93" s="74">
        <f>AV93-AU93</f>
        <v/>
      </c>
      <c r="AX93" s="75">
        <f>IF(AU93=0,"",AV93/AU93)</f>
        <v/>
      </c>
      <c r="AY93" s="52" t="n"/>
      <c r="AZ93" s="72" t="n"/>
      <c r="BA93" s="72" t="n"/>
      <c r="BB93" s="72">
        <f>BA93-AZ93</f>
        <v/>
      </c>
      <c r="BC93" s="73">
        <f>IF(AZ93=0,"",BA93/AZ93)</f>
        <v/>
      </c>
      <c r="BD93" s="46" t="n"/>
      <c r="BE93" s="74">
        <f>G93+ L93+ V93+ AF93+ AP93+ AZ93</f>
        <v/>
      </c>
      <c r="BF93" s="74">
        <f>H93+ M93+ W93+ AG93+ AQ93+ BA93</f>
        <v/>
      </c>
      <c r="BG93" s="74">
        <f>BF93-BE93</f>
        <v/>
      </c>
      <c r="BH93" s="75">
        <f>IF(BE93=0,"",BF93/BE93)</f>
        <v/>
      </c>
      <c r="BI93" s="52" t="n"/>
      <c r="BJ93" s="72" t="n"/>
      <c r="BK93" s="72" t="n"/>
      <c r="BL93" s="72">
        <f>BK93-BJ93</f>
        <v/>
      </c>
      <c r="BM93" s="73">
        <f>IF(BJ93=0,"",BK93/BJ93)</f>
        <v/>
      </c>
      <c r="BN93" s="46" t="n"/>
      <c r="BO93" s="74">
        <f>G93+ L93+ V93+ AF93+ AP93+ AZ93+ BJ93</f>
        <v/>
      </c>
      <c r="BP93" s="74">
        <f>H93+ M93+ W93+ AG93+ AQ93+ BA93+ BK93</f>
        <v/>
      </c>
      <c r="BQ93" s="74">
        <f>BP93-BO93</f>
        <v/>
      </c>
      <c r="BR93" s="75">
        <f>IF(BO93=0,"",BP93/BO93)</f>
        <v/>
      </c>
      <c r="BS93" s="52" t="n"/>
      <c r="BT93" s="72" t="n"/>
      <c r="BU93" s="72" t="n"/>
      <c r="BV93" s="72">
        <f>BU93-BT93</f>
        <v/>
      </c>
      <c r="BW93" s="73">
        <f>IF(BT93=0,"",BU93/BT93)</f>
        <v/>
      </c>
      <c r="BX93" s="46" t="n"/>
      <c r="BY93" s="74">
        <f>G93+ L93+ V93+ AF93+ AP93+ AZ93+ BJ93+ BT93</f>
        <v/>
      </c>
      <c r="BZ93" s="74">
        <f>H93+ M93+ W93+ AG93+ AQ93+ BA93+ BK93+ BU93</f>
        <v/>
      </c>
      <c r="CA93" s="74">
        <f>BZ93-BY93</f>
        <v/>
      </c>
      <c r="CB93" s="75">
        <f>IF(BY93=0,"",BZ93/BY93)</f>
        <v/>
      </c>
      <c r="CC93" s="52" t="n"/>
      <c r="CD93" s="72" t="n"/>
      <c r="CE93" s="72" t="n"/>
      <c r="CF93" s="72">
        <f>CE93-CD93</f>
        <v/>
      </c>
      <c r="CG93" s="73">
        <f>IF(CD93=0,"",CE93/CD93)</f>
        <v/>
      </c>
      <c r="CH93" s="46" t="n"/>
      <c r="CI93" s="74">
        <f>G93+ L93+ V93+ AF93+ AP93+ AZ93+ BJ93+ BT93+ CD93</f>
        <v/>
      </c>
      <c r="CJ93" s="74">
        <f>H93+ M93+ W93+ AG93+ AQ93+ BA93+ BK93+ BU93+ CE93</f>
        <v/>
      </c>
      <c r="CK93" s="74">
        <f>CJ93-CI93</f>
        <v/>
      </c>
      <c r="CL93" s="75">
        <f>IF(CI93=0,"",CJ93/CI93)</f>
        <v/>
      </c>
      <c r="CM93" s="52" t="n"/>
      <c r="CN93" s="72" t="n"/>
      <c r="CO93" s="72" t="n"/>
      <c r="CP93" s="72">
        <f>CO93-CN93</f>
        <v/>
      </c>
      <c r="CQ93" s="73">
        <f>IF(CN93=0,"",CO93/CN93)</f>
        <v/>
      </c>
      <c r="CR93" s="46" t="n"/>
      <c r="CS93" s="74">
        <f>G93+ L93+ V93+ AF93+ AP93+ AZ93+ BJ93+ BT93+ CD93+ CN93</f>
        <v/>
      </c>
      <c r="CT93" s="74">
        <f>H93+ M93+ W93+ AG93+ AQ93+ BA93+ BK93+ BU93+ CE93+ CO93</f>
        <v/>
      </c>
      <c r="CU93" s="74">
        <f>CT93-CS93</f>
        <v/>
      </c>
      <c r="CV93" s="75">
        <f>IF(CS93=0,"",CT93/CS93)</f>
        <v/>
      </c>
      <c r="CW93" s="52" t="n"/>
      <c r="CX93" s="72" t="n"/>
      <c r="CY93" s="72" t="n"/>
      <c r="CZ93" s="72">
        <f>CY93-CX93</f>
        <v/>
      </c>
      <c r="DA93" s="73">
        <f>IF(CX93=0,"",CY93/CX93)</f>
        <v/>
      </c>
      <c r="DB93" s="46" t="n"/>
      <c r="DC93" s="74">
        <f>G93+ L93+ V93+ AF93+ AP93+ AZ93+ BJ93+ BT93+ CD93+ CN93+ CX93</f>
        <v/>
      </c>
      <c r="DD93" s="74">
        <f>H93+ M93+ W93+ AG93+ AQ93+ BA93+ BK93+ BU93+ CE93+ CO93+ CY93</f>
        <v/>
      </c>
      <c r="DE93" s="74">
        <f>DD93-DC93</f>
        <v/>
      </c>
      <c r="DF93" s="75">
        <f>IF(DC93=0,"",DD93/DC93)</f>
        <v/>
      </c>
      <c r="DG93" s="52" t="n"/>
      <c r="DH93" s="72" t="n"/>
      <c r="DI93" s="72" t="n"/>
      <c r="DJ93" s="72">
        <f>DI93-DH93</f>
        <v/>
      </c>
      <c r="DK93" s="73">
        <f>IF(DH93=0,"",DI93/DH93)</f>
        <v/>
      </c>
      <c r="DL93" s="46" t="n"/>
      <c r="DM93" s="74">
        <f>G93+ L93+ V93+ AF93+ AP93+ AZ93+ BJ93+ BT93+ CD93+ CN93+ CX93+ DH93</f>
        <v/>
      </c>
      <c r="DN93" s="74">
        <f>H93+ M93+ W93+ AG93+ AQ93+ BA93+ BK93+ BU93+ CE93+ CO93+ CY93+ DI93</f>
        <v/>
      </c>
      <c r="DO93" s="74">
        <f>DN93-DM93</f>
        <v/>
      </c>
      <c r="DP93" s="75">
        <f>IF(DM93=0,"",DN93/DM93)</f>
        <v/>
      </c>
      <c r="DQ93" s="52" t="n"/>
      <c r="DR93" s="72">
        <f>G93+L93+V93+AF93+AP93+AZ93+BJ93+BT93+CD93+CN93+CX93+DH93</f>
        <v/>
      </c>
    </row>
    <row r="94" ht="15" customHeight="1">
      <c r="A94" s="55" t="n"/>
      <c r="B94" s="55" t="n"/>
      <c r="C94" s="55" t="n"/>
      <c r="D94" s="46" t="n"/>
      <c r="E94" s="46" t="n"/>
      <c r="F94" s="47" t="n"/>
      <c r="G94" s="72" t="n"/>
      <c r="H94" s="72" t="n"/>
      <c r="I94" s="72">
        <f>H94-G94</f>
        <v/>
      </c>
      <c r="J94" s="73">
        <f>IF(G94=0,"",H94/G94)</f>
        <v/>
      </c>
      <c r="K94" s="46" t="n"/>
      <c r="L94" s="72" t="n"/>
      <c r="M94" s="72" t="n"/>
      <c r="N94" s="72">
        <f>M94-L94</f>
        <v/>
      </c>
      <c r="O94" s="73">
        <f>IF(L94=0,"",M94/L94)</f>
        <v/>
      </c>
      <c r="P94" s="46" t="n"/>
      <c r="Q94" s="74">
        <f>G94+ L94</f>
        <v/>
      </c>
      <c r="R94" s="74">
        <f>H94+ M94</f>
        <v/>
      </c>
      <c r="S94" s="74">
        <f>R94-Q94</f>
        <v/>
      </c>
      <c r="T94" s="75">
        <f>IF(Q94=0,"",R94/Q94)</f>
        <v/>
      </c>
      <c r="U94" s="52" t="n"/>
      <c r="V94" s="72" t="n"/>
      <c r="W94" s="72" t="n"/>
      <c r="X94" s="72">
        <f>W94-V94</f>
        <v/>
      </c>
      <c r="Y94" s="73">
        <f>IF(V94=0,"",W94/V94)</f>
        <v/>
      </c>
      <c r="Z94" s="46" t="n"/>
      <c r="AA94" s="74">
        <f>G94+ L94+ V94</f>
        <v/>
      </c>
      <c r="AB94" s="74">
        <f>H94+ M94+ W94</f>
        <v/>
      </c>
      <c r="AC94" s="74">
        <f>AB94-AA94</f>
        <v/>
      </c>
      <c r="AD94" s="75">
        <f>IF(AA94=0,"",AB94/AA94)</f>
        <v/>
      </c>
      <c r="AE94" s="52" t="n"/>
      <c r="AF94" s="72" t="n"/>
      <c r="AG94" s="72" t="n"/>
      <c r="AH94" s="72">
        <f>AG94-AF94</f>
        <v/>
      </c>
      <c r="AI94" s="73">
        <f>IF(AF94=0,"",AG94/AF94)</f>
        <v/>
      </c>
      <c r="AJ94" s="46" t="n"/>
      <c r="AK94" s="74">
        <f>G94+ L94+ V94+ AF94</f>
        <v/>
      </c>
      <c r="AL94" s="74">
        <f>H94+ M94+ W94+ AG94</f>
        <v/>
      </c>
      <c r="AM94" s="74">
        <f>AL94-AK94</f>
        <v/>
      </c>
      <c r="AN94" s="75">
        <f>IF(AK94=0,"",AL94/AK94)</f>
        <v/>
      </c>
      <c r="AO94" s="52" t="n"/>
      <c r="AP94" s="72" t="n"/>
      <c r="AQ94" s="72" t="n"/>
      <c r="AR94" s="72">
        <f>AQ94-AP94</f>
        <v/>
      </c>
      <c r="AS94" s="73">
        <f>IF(AP94=0,"",AQ94/AP94)</f>
        <v/>
      </c>
      <c r="AT94" s="46" t="n"/>
      <c r="AU94" s="74">
        <f>G94+ L94+ V94+ AF94+ AP94</f>
        <v/>
      </c>
      <c r="AV94" s="74">
        <f>H94+ M94+ W94+ AG94+ AQ94</f>
        <v/>
      </c>
      <c r="AW94" s="74">
        <f>AV94-AU94</f>
        <v/>
      </c>
      <c r="AX94" s="75">
        <f>IF(AU94=0,"",AV94/AU94)</f>
        <v/>
      </c>
      <c r="AY94" s="52" t="n"/>
      <c r="AZ94" s="72" t="n"/>
      <c r="BA94" s="72" t="n"/>
      <c r="BB94" s="72">
        <f>BA94-AZ94</f>
        <v/>
      </c>
      <c r="BC94" s="73">
        <f>IF(AZ94=0,"",BA94/AZ94)</f>
        <v/>
      </c>
      <c r="BD94" s="46" t="n"/>
      <c r="BE94" s="74">
        <f>G94+ L94+ V94+ AF94+ AP94+ AZ94</f>
        <v/>
      </c>
      <c r="BF94" s="74">
        <f>H94+ M94+ W94+ AG94+ AQ94+ BA94</f>
        <v/>
      </c>
      <c r="BG94" s="74">
        <f>BF94-BE94</f>
        <v/>
      </c>
      <c r="BH94" s="75">
        <f>IF(BE94=0,"",BF94/BE94)</f>
        <v/>
      </c>
      <c r="BI94" s="52" t="n"/>
      <c r="BJ94" s="72" t="n"/>
      <c r="BK94" s="72" t="n"/>
      <c r="BL94" s="72">
        <f>BK94-BJ94</f>
        <v/>
      </c>
      <c r="BM94" s="73">
        <f>IF(BJ94=0,"",BK94/BJ94)</f>
        <v/>
      </c>
      <c r="BN94" s="46" t="n"/>
      <c r="BO94" s="74">
        <f>G94+ L94+ V94+ AF94+ AP94+ AZ94+ BJ94</f>
        <v/>
      </c>
      <c r="BP94" s="74">
        <f>H94+ M94+ W94+ AG94+ AQ94+ BA94+ BK94</f>
        <v/>
      </c>
      <c r="BQ94" s="74">
        <f>BP94-BO94</f>
        <v/>
      </c>
      <c r="BR94" s="75">
        <f>IF(BO94=0,"",BP94/BO94)</f>
        <v/>
      </c>
      <c r="BS94" s="52" t="n"/>
      <c r="BT94" s="72" t="n"/>
      <c r="BU94" s="72" t="n"/>
      <c r="BV94" s="72">
        <f>BU94-BT94</f>
        <v/>
      </c>
      <c r="BW94" s="73">
        <f>IF(BT94=0,"",BU94/BT94)</f>
        <v/>
      </c>
      <c r="BX94" s="46" t="n"/>
      <c r="BY94" s="74">
        <f>G94+ L94+ V94+ AF94+ AP94+ AZ94+ BJ94+ BT94</f>
        <v/>
      </c>
      <c r="BZ94" s="74">
        <f>H94+ M94+ W94+ AG94+ AQ94+ BA94+ BK94+ BU94</f>
        <v/>
      </c>
      <c r="CA94" s="74">
        <f>BZ94-BY94</f>
        <v/>
      </c>
      <c r="CB94" s="75">
        <f>IF(BY94=0,"",BZ94/BY94)</f>
        <v/>
      </c>
      <c r="CC94" s="52" t="n"/>
      <c r="CD94" s="72" t="n"/>
      <c r="CE94" s="72" t="n"/>
      <c r="CF94" s="72">
        <f>CE94-CD94</f>
        <v/>
      </c>
      <c r="CG94" s="73">
        <f>IF(CD94=0,"",CE94/CD94)</f>
        <v/>
      </c>
      <c r="CH94" s="46" t="n"/>
      <c r="CI94" s="74">
        <f>G94+ L94+ V94+ AF94+ AP94+ AZ94+ BJ94+ BT94+ CD94</f>
        <v/>
      </c>
      <c r="CJ94" s="74">
        <f>H94+ M94+ W94+ AG94+ AQ94+ BA94+ BK94+ BU94+ CE94</f>
        <v/>
      </c>
      <c r="CK94" s="74">
        <f>CJ94-CI94</f>
        <v/>
      </c>
      <c r="CL94" s="75">
        <f>IF(CI94=0,"",CJ94/CI94)</f>
        <v/>
      </c>
      <c r="CM94" s="52" t="n"/>
      <c r="CN94" s="72" t="n"/>
      <c r="CO94" s="72" t="n"/>
      <c r="CP94" s="72">
        <f>CO94-CN94</f>
        <v/>
      </c>
      <c r="CQ94" s="73">
        <f>IF(CN94=0,"",CO94/CN94)</f>
        <v/>
      </c>
      <c r="CR94" s="46" t="n"/>
      <c r="CS94" s="74">
        <f>G94+ L94+ V94+ AF94+ AP94+ AZ94+ BJ94+ BT94+ CD94+ CN94</f>
        <v/>
      </c>
      <c r="CT94" s="74">
        <f>H94+ M94+ W94+ AG94+ AQ94+ BA94+ BK94+ BU94+ CE94+ CO94</f>
        <v/>
      </c>
      <c r="CU94" s="74">
        <f>CT94-CS94</f>
        <v/>
      </c>
      <c r="CV94" s="75">
        <f>IF(CS94=0,"",CT94/CS94)</f>
        <v/>
      </c>
      <c r="CW94" s="52" t="n"/>
      <c r="CX94" s="72" t="n"/>
      <c r="CY94" s="72" t="n"/>
      <c r="CZ94" s="72">
        <f>CY94-CX94</f>
        <v/>
      </c>
      <c r="DA94" s="73">
        <f>IF(CX94=0,"",CY94/CX94)</f>
        <v/>
      </c>
      <c r="DB94" s="46" t="n"/>
      <c r="DC94" s="74">
        <f>G94+ L94+ V94+ AF94+ AP94+ AZ94+ BJ94+ BT94+ CD94+ CN94+ CX94</f>
        <v/>
      </c>
      <c r="DD94" s="74">
        <f>H94+ M94+ W94+ AG94+ AQ94+ BA94+ BK94+ BU94+ CE94+ CO94+ CY94</f>
        <v/>
      </c>
      <c r="DE94" s="74">
        <f>DD94-DC94</f>
        <v/>
      </c>
      <c r="DF94" s="75">
        <f>IF(DC94=0,"",DD94/DC94)</f>
        <v/>
      </c>
      <c r="DG94" s="52" t="n"/>
      <c r="DH94" s="72" t="n"/>
      <c r="DI94" s="72" t="n"/>
      <c r="DJ94" s="72">
        <f>DI94-DH94</f>
        <v/>
      </c>
      <c r="DK94" s="73">
        <f>IF(DH94=0,"",DI94/DH94)</f>
        <v/>
      </c>
      <c r="DL94" s="46" t="n"/>
      <c r="DM94" s="74">
        <f>G94+ L94+ V94+ AF94+ AP94+ AZ94+ BJ94+ BT94+ CD94+ CN94+ CX94+ DH94</f>
        <v/>
      </c>
      <c r="DN94" s="74">
        <f>H94+ M94+ W94+ AG94+ AQ94+ BA94+ BK94+ BU94+ CE94+ CO94+ CY94+ DI94</f>
        <v/>
      </c>
      <c r="DO94" s="74">
        <f>DN94-DM94</f>
        <v/>
      </c>
      <c r="DP94" s="75">
        <f>IF(DM94=0,"",DN94/DM94)</f>
        <v/>
      </c>
      <c r="DQ94" s="52" t="n"/>
      <c r="DR94" s="72">
        <f>G94+L94+V94+AF94+AP94+AZ94+BJ94+BT94+CD94+CN94+CX94+DH94</f>
        <v/>
      </c>
    </row>
    <row r="95" ht="15" customHeight="1">
      <c r="A95" s="46" t="n"/>
      <c r="B95" s="46" t="n"/>
      <c r="C95" s="46" t="n"/>
      <c r="D95" s="46" t="n"/>
      <c r="E95" s="46" t="n"/>
      <c r="F95" s="47" t="n"/>
      <c r="G95" s="72" t="n"/>
      <c r="H95" s="72" t="n"/>
      <c r="I95" s="72">
        <f>H95-G95</f>
        <v/>
      </c>
      <c r="J95" s="73">
        <f>IF(G95=0,"",H95/G95)</f>
        <v/>
      </c>
      <c r="K95" s="46" t="n"/>
      <c r="L95" s="72" t="n"/>
      <c r="M95" s="72" t="n"/>
      <c r="N95" s="72">
        <f>M95-L95</f>
        <v/>
      </c>
      <c r="O95" s="73">
        <f>IF(L95=0,"",M95/L95)</f>
        <v/>
      </c>
      <c r="P95" s="46" t="n"/>
      <c r="Q95" s="74">
        <f>G95+ L95</f>
        <v/>
      </c>
      <c r="R95" s="74">
        <f>H95+ M95</f>
        <v/>
      </c>
      <c r="S95" s="74">
        <f>R95-Q95</f>
        <v/>
      </c>
      <c r="T95" s="75">
        <f>IF(Q95=0,"",R95/Q95)</f>
        <v/>
      </c>
      <c r="U95" s="52" t="n"/>
      <c r="V95" s="72" t="n"/>
      <c r="W95" s="72" t="n"/>
      <c r="X95" s="72">
        <f>W95-V95</f>
        <v/>
      </c>
      <c r="Y95" s="73">
        <f>IF(V95=0,"",W95/V95)</f>
        <v/>
      </c>
      <c r="Z95" s="46" t="n"/>
      <c r="AA95" s="74">
        <f>G95+ L95+ V95</f>
        <v/>
      </c>
      <c r="AB95" s="74">
        <f>H95+ M95+ W95</f>
        <v/>
      </c>
      <c r="AC95" s="74">
        <f>AB95-AA95</f>
        <v/>
      </c>
      <c r="AD95" s="75">
        <f>IF(AA95=0,"",AB95/AA95)</f>
        <v/>
      </c>
      <c r="AE95" s="52" t="n"/>
      <c r="AF95" s="72" t="n"/>
      <c r="AG95" s="72" t="n"/>
      <c r="AH95" s="72">
        <f>AG95-AF95</f>
        <v/>
      </c>
      <c r="AI95" s="73">
        <f>IF(AF95=0,"",AG95/AF95)</f>
        <v/>
      </c>
      <c r="AJ95" s="46" t="n"/>
      <c r="AK95" s="74">
        <f>G95+ L95+ V95+ AF95</f>
        <v/>
      </c>
      <c r="AL95" s="74">
        <f>H95+ M95+ W95+ AG95</f>
        <v/>
      </c>
      <c r="AM95" s="74">
        <f>AL95-AK95</f>
        <v/>
      </c>
      <c r="AN95" s="75">
        <f>IF(AK95=0,"",AL95/AK95)</f>
        <v/>
      </c>
      <c r="AO95" s="52" t="n"/>
      <c r="AP95" s="72" t="n"/>
      <c r="AQ95" s="72" t="n"/>
      <c r="AR95" s="72">
        <f>AQ95-AP95</f>
        <v/>
      </c>
      <c r="AS95" s="73">
        <f>IF(AP95=0,"",AQ95/AP95)</f>
        <v/>
      </c>
      <c r="AT95" s="46" t="n"/>
      <c r="AU95" s="74">
        <f>G95+ L95+ V95+ AF95+ AP95</f>
        <v/>
      </c>
      <c r="AV95" s="74">
        <f>H95+ M95+ W95+ AG95+ AQ95</f>
        <v/>
      </c>
      <c r="AW95" s="74">
        <f>AV95-AU95</f>
        <v/>
      </c>
      <c r="AX95" s="75">
        <f>IF(AU95=0,"",AV95/AU95)</f>
        <v/>
      </c>
      <c r="AY95" s="52" t="n"/>
      <c r="AZ95" s="72" t="n"/>
      <c r="BA95" s="72" t="n"/>
      <c r="BB95" s="72">
        <f>BA95-AZ95</f>
        <v/>
      </c>
      <c r="BC95" s="73">
        <f>IF(AZ95=0,"",BA95/AZ95)</f>
        <v/>
      </c>
      <c r="BD95" s="46" t="n"/>
      <c r="BE95" s="74">
        <f>G95+ L95+ V95+ AF95+ AP95+ AZ95</f>
        <v/>
      </c>
      <c r="BF95" s="74">
        <f>H95+ M95+ W95+ AG95+ AQ95+ BA95</f>
        <v/>
      </c>
      <c r="BG95" s="74">
        <f>BF95-BE95</f>
        <v/>
      </c>
      <c r="BH95" s="75">
        <f>IF(BE95=0,"",BF95/BE95)</f>
        <v/>
      </c>
      <c r="BI95" s="52" t="n"/>
      <c r="BJ95" s="72" t="n"/>
      <c r="BK95" s="72" t="n"/>
      <c r="BL95" s="72">
        <f>BK95-BJ95</f>
        <v/>
      </c>
      <c r="BM95" s="73">
        <f>IF(BJ95=0,"",BK95/BJ95)</f>
        <v/>
      </c>
      <c r="BN95" s="46" t="n"/>
      <c r="BO95" s="74">
        <f>G95+ L95+ V95+ AF95+ AP95+ AZ95+ BJ95</f>
        <v/>
      </c>
      <c r="BP95" s="74">
        <f>H95+ M95+ W95+ AG95+ AQ95+ BA95+ BK95</f>
        <v/>
      </c>
      <c r="BQ95" s="74">
        <f>BP95-BO95</f>
        <v/>
      </c>
      <c r="BR95" s="75">
        <f>IF(BO95=0,"",BP95/BO95)</f>
        <v/>
      </c>
      <c r="BS95" s="52" t="n"/>
      <c r="BT95" s="72" t="n"/>
      <c r="BU95" s="72" t="n"/>
      <c r="BV95" s="72">
        <f>BU95-BT95</f>
        <v/>
      </c>
      <c r="BW95" s="73">
        <f>IF(BT95=0,"",BU95/BT95)</f>
        <v/>
      </c>
      <c r="BX95" s="46" t="n"/>
      <c r="BY95" s="74">
        <f>G95+ L95+ V95+ AF95+ AP95+ AZ95+ BJ95+ BT95</f>
        <v/>
      </c>
      <c r="BZ95" s="74">
        <f>H95+ M95+ W95+ AG95+ AQ95+ BA95+ BK95+ BU95</f>
        <v/>
      </c>
      <c r="CA95" s="74">
        <f>BZ95-BY95</f>
        <v/>
      </c>
      <c r="CB95" s="75">
        <f>IF(BY95=0,"",BZ95/BY95)</f>
        <v/>
      </c>
      <c r="CC95" s="52" t="n"/>
      <c r="CD95" s="72" t="n"/>
      <c r="CE95" s="72" t="n"/>
      <c r="CF95" s="72">
        <f>CE95-CD95</f>
        <v/>
      </c>
      <c r="CG95" s="73">
        <f>IF(CD95=0,"",CE95/CD95)</f>
        <v/>
      </c>
      <c r="CH95" s="46" t="n"/>
      <c r="CI95" s="74">
        <f>G95+ L95+ V95+ AF95+ AP95+ AZ95+ BJ95+ BT95+ CD95</f>
        <v/>
      </c>
      <c r="CJ95" s="74">
        <f>H95+ M95+ W95+ AG95+ AQ95+ BA95+ BK95+ BU95+ CE95</f>
        <v/>
      </c>
      <c r="CK95" s="74">
        <f>CJ95-CI95</f>
        <v/>
      </c>
      <c r="CL95" s="75">
        <f>IF(CI95=0,"",CJ95/CI95)</f>
        <v/>
      </c>
      <c r="CM95" s="52" t="n"/>
      <c r="CN95" s="72" t="n"/>
      <c r="CO95" s="72" t="n"/>
      <c r="CP95" s="72">
        <f>CO95-CN95</f>
        <v/>
      </c>
      <c r="CQ95" s="73">
        <f>IF(CN95=0,"",CO95/CN95)</f>
        <v/>
      </c>
      <c r="CR95" s="46" t="n"/>
      <c r="CS95" s="74">
        <f>G95+ L95+ V95+ AF95+ AP95+ AZ95+ BJ95+ BT95+ CD95+ CN95</f>
        <v/>
      </c>
      <c r="CT95" s="74">
        <f>H95+ M95+ W95+ AG95+ AQ95+ BA95+ BK95+ BU95+ CE95+ CO95</f>
        <v/>
      </c>
      <c r="CU95" s="74">
        <f>CT95-CS95</f>
        <v/>
      </c>
      <c r="CV95" s="75">
        <f>IF(CS95=0,"",CT95/CS95)</f>
        <v/>
      </c>
      <c r="CW95" s="52" t="n"/>
      <c r="CX95" s="72" t="n"/>
      <c r="CY95" s="72" t="n"/>
      <c r="CZ95" s="72">
        <f>CY95-CX95</f>
        <v/>
      </c>
      <c r="DA95" s="73">
        <f>IF(CX95=0,"",CY95/CX95)</f>
        <v/>
      </c>
      <c r="DB95" s="46" t="n"/>
      <c r="DC95" s="74">
        <f>G95+ L95+ V95+ AF95+ AP95+ AZ95+ BJ95+ BT95+ CD95+ CN95+ CX95</f>
        <v/>
      </c>
      <c r="DD95" s="74">
        <f>H95+ M95+ W95+ AG95+ AQ95+ BA95+ BK95+ BU95+ CE95+ CO95+ CY95</f>
        <v/>
      </c>
      <c r="DE95" s="74">
        <f>DD95-DC95</f>
        <v/>
      </c>
      <c r="DF95" s="75">
        <f>IF(DC95=0,"",DD95/DC95)</f>
        <v/>
      </c>
      <c r="DG95" s="52" t="n"/>
      <c r="DH95" s="72" t="n"/>
      <c r="DI95" s="72" t="n"/>
      <c r="DJ95" s="72">
        <f>DI95-DH95</f>
        <v/>
      </c>
      <c r="DK95" s="73">
        <f>IF(DH95=0,"",DI95/DH95)</f>
        <v/>
      </c>
      <c r="DL95" s="46" t="n"/>
      <c r="DM95" s="74">
        <f>G95+ L95+ V95+ AF95+ AP95+ AZ95+ BJ95+ BT95+ CD95+ CN95+ CX95+ DH95</f>
        <v/>
      </c>
      <c r="DN95" s="74">
        <f>H95+ M95+ W95+ AG95+ AQ95+ BA95+ BK95+ BU95+ CE95+ CO95+ CY95+ DI95</f>
        <v/>
      </c>
      <c r="DO95" s="74">
        <f>DN95-DM95</f>
        <v/>
      </c>
      <c r="DP95" s="75">
        <f>IF(DM95=0,"",DN95/DM95)</f>
        <v/>
      </c>
      <c r="DQ95" s="52" t="n"/>
      <c r="DR95" s="72">
        <f>G95+L95+V95+AF95+AP95+AZ95+BJ95+BT95+CD95+CN95+CX95+DH95</f>
        <v/>
      </c>
    </row>
    <row r="96" ht="15" customHeight="1">
      <c r="A96" s="67" t="n"/>
      <c r="B96" s="67" t="n"/>
      <c r="C96" s="67" t="n"/>
      <c r="D96" s="46" t="n"/>
      <c r="E96" s="46" t="n"/>
      <c r="F96" s="47" t="n"/>
      <c r="G96" s="72" t="n"/>
      <c r="H96" s="72" t="n"/>
      <c r="I96" s="72">
        <f>H96-G96</f>
        <v/>
      </c>
      <c r="J96" s="73">
        <f>IF(G96=0,"",H96/G96)</f>
        <v/>
      </c>
      <c r="K96" s="46" t="n"/>
      <c r="L96" s="72" t="n"/>
      <c r="M96" s="72" t="n"/>
      <c r="N96" s="72">
        <f>M96-L96</f>
        <v/>
      </c>
      <c r="O96" s="73">
        <f>IF(L96=0,"",M96/L96)</f>
        <v/>
      </c>
      <c r="P96" s="46" t="n"/>
      <c r="Q96" s="74">
        <f>G96+ L96</f>
        <v/>
      </c>
      <c r="R96" s="74">
        <f>H96+ M96</f>
        <v/>
      </c>
      <c r="S96" s="74">
        <f>R96-Q96</f>
        <v/>
      </c>
      <c r="T96" s="75">
        <f>IF(Q96=0,"",R96/Q96)</f>
        <v/>
      </c>
      <c r="U96" s="52" t="n"/>
      <c r="V96" s="72" t="n"/>
      <c r="W96" s="72" t="n"/>
      <c r="X96" s="72">
        <f>W96-V96</f>
        <v/>
      </c>
      <c r="Y96" s="73">
        <f>IF(V96=0,"",W96/V96)</f>
        <v/>
      </c>
      <c r="Z96" s="46" t="n"/>
      <c r="AA96" s="74">
        <f>G96+ L96+ V96</f>
        <v/>
      </c>
      <c r="AB96" s="74">
        <f>H96+ M96+ W96</f>
        <v/>
      </c>
      <c r="AC96" s="74">
        <f>AB96-AA96</f>
        <v/>
      </c>
      <c r="AD96" s="75">
        <f>IF(AA96=0,"",AB96/AA96)</f>
        <v/>
      </c>
      <c r="AE96" s="52" t="n"/>
      <c r="AF96" s="72" t="n"/>
      <c r="AG96" s="72" t="n"/>
      <c r="AH96" s="72">
        <f>AG96-AF96</f>
        <v/>
      </c>
      <c r="AI96" s="73">
        <f>IF(AF96=0,"",AG96/AF96)</f>
        <v/>
      </c>
      <c r="AJ96" s="46" t="n"/>
      <c r="AK96" s="74">
        <f>G96+ L96+ V96+ AF96</f>
        <v/>
      </c>
      <c r="AL96" s="74">
        <f>H96+ M96+ W96+ AG96</f>
        <v/>
      </c>
      <c r="AM96" s="74">
        <f>AL96-AK96</f>
        <v/>
      </c>
      <c r="AN96" s="75">
        <f>IF(AK96=0,"",AL96/AK96)</f>
        <v/>
      </c>
      <c r="AO96" s="52" t="n"/>
      <c r="AP96" s="72" t="n"/>
      <c r="AQ96" s="72" t="n"/>
      <c r="AR96" s="72">
        <f>AQ96-AP96</f>
        <v/>
      </c>
      <c r="AS96" s="73">
        <f>IF(AP96=0,"",AQ96/AP96)</f>
        <v/>
      </c>
      <c r="AT96" s="46" t="n"/>
      <c r="AU96" s="74">
        <f>G96+ L96+ V96+ AF96+ AP96</f>
        <v/>
      </c>
      <c r="AV96" s="74">
        <f>H96+ M96+ W96+ AG96+ AQ96</f>
        <v/>
      </c>
      <c r="AW96" s="74">
        <f>AV96-AU96</f>
        <v/>
      </c>
      <c r="AX96" s="75">
        <f>IF(AU96=0,"",AV96/AU96)</f>
        <v/>
      </c>
      <c r="AY96" s="52" t="n"/>
      <c r="AZ96" s="72" t="n"/>
      <c r="BA96" s="72" t="n"/>
      <c r="BB96" s="72">
        <f>BA96-AZ96</f>
        <v/>
      </c>
      <c r="BC96" s="73">
        <f>IF(AZ96=0,"",BA96/AZ96)</f>
        <v/>
      </c>
      <c r="BD96" s="46" t="n"/>
      <c r="BE96" s="74">
        <f>G96+ L96+ V96+ AF96+ AP96+ AZ96</f>
        <v/>
      </c>
      <c r="BF96" s="74">
        <f>H96+ M96+ W96+ AG96+ AQ96+ BA96</f>
        <v/>
      </c>
      <c r="BG96" s="74">
        <f>BF96-BE96</f>
        <v/>
      </c>
      <c r="BH96" s="75">
        <f>IF(BE96=0,"",BF96/BE96)</f>
        <v/>
      </c>
      <c r="BI96" s="52" t="n"/>
      <c r="BJ96" s="72" t="n"/>
      <c r="BK96" s="72" t="n"/>
      <c r="BL96" s="72">
        <f>BK96-BJ96</f>
        <v/>
      </c>
      <c r="BM96" s="73">
        <f>IF(BJ96=0,"",BK96/BJ96)</f>
        <v/>
      </c>
      <c r="BN96" s="46" t="n"/>
      <c r="BO96" s="74">
        <f>G96+ L96+ V96+ AF96+ AP96+ AZ96+ BJ96</f>
        <v/>
      </c>
      <c r="BP96" s="74">
        <f>H96+ M96+ W96+ AG96+ AQ96+ BA96+ BK96</f>
        <v/>
      </c>
      <c r="BQ96" s="74">
        <f>BP96-BO96</f>
        <v/>
      </c>
      <c r="BR96" s="75">
        <f>IF(BO96=0,"",BP96/BO96)</f>
        <v/>
      </c>
      <c r="BS96" s="52" t="n"/>
      <c r="BT96" s="72" t="n"/>
      <c r="BU96" s="72" t="n"/>
      <c r="BV96" s="72">
        <f>BU96-BT96</f>
        <v/>
      </c>
      <c r="BW96" s="73">
        <f>IF(BT96=0,"",BU96/BT96)</f>
        <v/>
      </c>
      <c r="BX96" s="46" t="n"/>
      <c r="BY96" s="74">
        <f>G96+ L96+ V96+ AF96+ AP96+ AZ96+ BJ96+ BT96</f>
        <v/>
      </c>
      <c r="BZ96" s="74">
        <f>H96+ M96+ W96+ AG96+ AQ96+ BA96+ BK96+ BU96</f>
        <v/>
      </c>
      <c r="CA96" s="74">
        <f>BZ96-BY96</f>
        <v/>
      </c>
      <c r="CB96" s="75">
        <f>IF(BY96=0,"",BZ96/BY96)</f>
        <v/>
      </c>
      <c r="CC96" s="52" t="n"/>
      <c r="CD96" s="72" t="n"/>
      <c r="CE96" s="72" t="n"/>
      <c r="CF96" s="72">
        <f>CE96-CD96</f>
        <v/>
      </c>
      <c r="CG96" s="73">
        <f>IF(CD96=0,"",CE96/CD96)</f>
        <v/>
      </c>
      <c r="CH96" s="46" t="n"/>
      <c r="CI96" s="74">
        <f>G96+ L96+ V96+ AF96+ AP96+ AZ96+ BJ96+ BT96+ CD96</f>
        <v/>
      </c>
      <c r="CJ96" s="74">
        <f>H96+ M96+ W96+ AG96+ AQ96+ BA96+ BK96+ BU96+ CE96</f>
        <v/>
      </c>
      <c r="CK96" s="74">
        <f>CJ96-CI96</f>
        <v/>
      </c>
      <c r="CL96" s="75">
        <f>IF(CI96=0,"",CJ96/CI96)</f>
        <v/>
      </c>
      <c r="CM96" s="52" t="n"/>
      <c r="CN96" s="72" t="n"/>
      <c r="CO96" s="72" t="n"/>
      <c r="CP96" s="72">
        <f>CO96-CN96</f>
        <v/>
      </c>
      <c r="CQ96" s="73">
        <f>IF(CN96=0,"",CO96/CN96)</f>
        <v/>
      </c>
      <c r="CR96" s="46" t="n"/>
      <c r="CS96" s="74">
        <f>G96+ L96+ V96+ AF96+ AP96+ AZ96+ BJ96+ BT96+ CD96+ CN96</f>
        <v/>
      </c>
      <c r="CT96" s="74">
        <f>H96+ M96+ W96+ AG96+ AQ96+ BA96+ BK96+ BU96+ CE96+ CO96</f>
        <v/>
      </c>
      <c r="CU96" s="74">
        <f>CT96-CS96</f>
        <v/>
      </c>
      <c r="CV96" s="75">
        <f>IF(CS96=0,"",CT96/CS96)</f>
        <v/>
      </c>
      <c r="CW96" s="52" t="n"/>
      <c r="CX96" s="72" t="n"/>
      <c r="CY96" s="72" t="n"/>
      <c r="CZ96" s="72">
        <f>CY96-CX96</f>
        <v/>
      </c>
      <c r="DA96" s="73">
        <f>IF(CX96=0,"",CY96/CX96)</f>
        <v/>
      </c>
      <c r="DB96" s="46" t="n"/>
      <c r="DC96" s="74">
        <f>G96+ L96+ V96+ AF96+ AP96+ AZ96+ BJ96+ BT96+ CD96+ CN96+ CX96</f>
        <v/>
      </c>
      <c r="DD96" s="74">
        <f>H96+ M96+ W96+ AG96+ AQ96+ BA96+ BK96+ BU96+ CE96+ CO96+ CY96</f>
        <v/>
      </c>
      <c r="DE96" s="74">
        <f>DD96-DC96</f>
        <v/>
      </c>
      <c r="DF96" s="75">
        <f>IF(DC96=0,"",DD96/DC96)</f>
        <v/>
      </c>
      <c r="DG96" s="52" t="n"/>
      <c r="DH96" s="72" t="n"/>
      <c r="DI96" s="72" t="n"/>
      <c r="DJ96" s="72">
        <f>DI96-DH96</f>
        <v/>
      </c>
      <c r="DK96" s="73">
        <f>IF(DH96=0,"",DI96/DH96)</f>
        <v/>
      </c>
      <c r="DL96" s="46" t="n"/>
      <c r="DM96" s="74">
        <f>G96+ L96+ V96+ AF96+ AP96+ AZ96+ BJ96+ BT96+ CD96+ CN96+ CX96+ DH96</f>
        <v/>
      </c>
      <c r="DN96" s="74">
        <f>H96+ M96+ W96+ AG96+ AQ96+ BA96+ BK96+ BU96+ CE96+ CO96+ CY96+ DI96</f>
        <v/>
      </c>
      <c r="DO96" s="74">
        <f>DN96-DM96</f>
        <v/>
      </c>
      <c r="DP96" s="75">
        <f>IF(DM96=0,"",DN96/DM96)</f>
        <v/>
      </c>
      <c r="DQ96" s="52" t="n"/>
      <c r="DR96" s="72">
        <f>G96+L96+V96+AF96+AP96+AZ96+BJ96+BT96+CD96+CN96+CX96+DH96</f>
        <v/>
      </c>
    </row>
    <row r="97" ht="15" customHeight="1">
      <c r="A97" s="67" t="n"/>
      <c r="B97" s="67" t="n"/>
      <c r="C97" s="67" t="n"/>
      <c r="D97" s="46" t="n"/>
      <c r="E97" s="46" t="n"/>
      <c r="F97" s="47" t="n"/>
      <c r="G97" s="72" t="n"/>
      <c r="H97" s="72" t="n"/>
      <c r="I97" s="72">
        <f>H97-G97</f>
        <v/>
      </c>
      <c r="J97" s="73">
        <f>IF(G97=0,"",H97/G97)</f>
        <v/>
      </c>
      <c r="K97" s="46" t="n"/>
      <c r="L97" s="72" t="n"/>
      <c r="M97" s="72" t="n"/>
      <c r="N97" s="72">
        <f>M97-L97</f>
        <v/>
      </c>
      <c r="O97" s="73">
        <f>IF(L97=0,"",M97/L97)</f>
        <v/>
      </c>
      <c r="P97" s="46" t="n"/>
      <c r="Q97" s="74">
        <f>G97+ L97</f>
        <v/>
      </c>
      <c r="R97" s="74">
        <f>H97+ M97</f>
        <v/>
      </c>
      <c r="S97" s="74">
        <f>R97-Q97</f>
        <v/>
      </c>
      <c r="T97" s="75">
        <f>IF(Q97=0,"",R97/Q97)</f>
        <v/>
      </c>
      <c r="U97" s="52" t="n"/>
      <c r="V97" s="72" t="n"/>
      <c r="W97" s="72" t="n"/>
      <c r="X97" s="72">
        <f>W97-V97</f>
        <v/>
      </c>
      <c r="Y97" s="73">
        <f>IF(V97=0,"",W97/V97)</f>
        <v/>
      </c>
      <c r="Z97" s="46" t="n"/>
      <c r="AA97" s="74">
        <f>G97+ L97+ V97</f>
        <v/>
      </c>
      <c r="AB97" s="74">
        <f>H97+ M97+ W97</f>
        <v/>
      </c>
      <c r="AC97" s="74">
        <f>AB97-AA97</f>
        <v/>
      </c>
      <c r="AD97" s="75">
        <f>IF(AA97=0,"",AB97/AA97)</f>
        <v/>
      </c>
      <c r="AE97" s="52" t="n"/>
      <c r="AF97" s="72" t="n"/>
      <c r="AG97" s="72" t="n"/>
      <c r="AH97" s="72">
        <f>AG97-AF97</f>
        <v/>
      </c>
      <c r="AI97" s="73">
        <f>IF(AF97=0,"",AG97/AF97)</f>
        <v/>
      </c>
      <c r="AJ97" s="46" t="n"/>
      <c r="AK97" s="74">
        <f>G97+ L97+ V97+ AF97</f>
        <v/>
      </c>
      <c r="AL97" s="74">
        <f>H97+ M97+ W97+ AG97</f>
        <v/>
      </c>
      <c r="AM97" s="74">
        <f>AL97-AK97</f>
        <v/>
      </c>
      <c r="AN97" s="75">
        <f>IF(AK97=0,"",AL97/AK97)</f>
        <v/>
      </c>
      <c r="AO97" s="52" t="n"/>
      <c r="AP97" s="72" t="n"/>
      <c r="AQ97" s="72" t="n"/>
      <c r="AR97" s="72">
        <f>AQ97-AP97</f>
        <v/>
      </c>
      <c r="AS97" s="73">
        <f>IF(AP97=0,"",AQ97/AP97)</f>
        <v/>
      </c>
      <c r="AT97" s="46" t="n"/>
      <c r="AU97" s="74">
        <f>G97+ L97+ V97+ AF97+ AP97</f>
        <v/>
      </c>
      <c r="AV97" s="74">
        <f>H97+ M97+ W97+ AG97+ AQ97</f>
        <v/>
      </c>
      <c r="AW97" s="74">
        <f>AV97-AU97</f>
        <v/>
      </c>
      <c r="AX97" s="75">
        <f>IF(AU97=0,"",AV97/AU97)</f>
        <v/>
      </c>
      <c r="AY97" s="52" t="n"/>
      <c r="AZ97" s="72" t="n"/>
      <c r="BA97" s="72" t="n"/>
      <c r="BB97" s="72">
        <f>BA97-AZ97</f>
        <v/>
      </c>
      <c r="BC97" s="73">
        <f>IF(AZ97=0,"",BA97/AZ97)</f>
        <v/>
      </c>
      <c r="BD97" s="46" t="n"/>
      <c r="BE97" s="74">
        <f>G97+ L97+ V97+ AF97+ AP97+ AZ97</f>
        <v/>
      </c>
      <c r="BF97" s="74">
        <f>H97+ M97+ W97+ AG97+ AQ97+ BA97</f>
        <v/>
      </c>
      <c r="BG97" s="74">
        <f>BF97-BE97</f>
        <v/>
      </c>
      <c r="BH97" s="75">
        <f>IF(BE97=0,"",BF97/BE97)</f>
        <v/>
      </c>
      <c r="BI97" s="52" t="n"/>
      <c r="BJ97" s="72" t="n"/>
      <c r="BK97" s="72" t="n"/>
      <c r="BL97" s="72">
        <f>BK97-BJ97</f>
        <v/>
      </c>
      <c r="BM97" s="73">
        <f>IF(BJ97=0,"",BK97/BJ97)</f>
        <v/>
      </c>
      <c r="BN97" s="46" t="n"/>
      <c r="BO97" s="74">
        <f>G97+ L97+ V97+ AF97+ AP97+ AZ97+ BJ97</f>
        <v/>
      </c>
      <c r="BP97" s="74">
        <f>H97+ M97+ W97+ AG97+ AQ97+ BA97+ BK97</f>
        <v/>
      </c>
      <c r="BQ97" s="74">
        <f>BP97-BO97</f>
        <v/>
      </c>
      <c r="BR97" s="75">
        <f>IF(BO97=0,"",BP97/BO97)</f>
        <v/>
      </c>
      <c r="BS97" s="52" t="n"/>
      <c r="BT97" s="72" t="n"/>
      <c r="BU97" s="72" t="n"/>
      <c r="BV97" s="72">
        <f>BU97-BT97</f>
        <v/>
      </c>
      <c r="BW97" s="73">
        <f>IF(BT97=0,"",BU97/BT97)</f>
        <v/>
      </c>
      <c r="BX97" s="46" t="n"/>
      <c r="BY97" s="74">
        <f>G97+ L97+ V97+ AF97+ AP97+ AZ97+ BJ97+ BT97</f>
        <v/>
      </c>
      <c r="BZ97" s="74">
        <f>H97+ M97+ W97+ AG97+ AQ97+ BA97+ BK97+ BU97</f>
        <v/>
      </c>
      <c r="CA97" s="74">
        <f>BZ97-BY97</f>
        <v/>
      </c>
      <c r="CB97" s="75">
        <f>IF(BY97=0,"",BZ97/BY97)</f>
        <v/>
      </c>
      <c r="CC97" s="52" t="n"/>
      <c r="CD97" s="72" t="n"/>
      <c r="CE97" s="72" t="n"/>
      <c r="CF97" s="72">
        <f>CE97-CD97</f>
        <v/>
      </c>
      <c r="CG97" s="73">
        <f>IF(CD97=0,"",CE97/CD97)</f>
        <v/>
      </c>
      <c r="CH97" s="46" t="n"/>
      <c r="CI97" s="74">
        <f>G97+ L97+ V97+ AF97+ AP97+ AZ97+ BJ97+ BT97+ CD97</f>
        <v/>
      </c>
      <c r="CJ97" s="74">
        <f>H97+ M97+ W97+ AG97+ AQ97+ BA97+ BK97+ BU97+ CE97</f>
        <v/>
      </c>
      <c r="CK97" s="74">
        <f>CJ97-CI97</f>
        <v/>
      </c>
      <c r="CL97" s="75">
        <f>IF(CI97=0,"",CJ97/CI97)</f>
        <v/>
      </c>
      <c r="CM97" s="52" t="n"/>
      <c r="CN97" s="72" t="n"/>
      <c r="CO97" s="72" t="n"/>
      <c r="CP97" s="72">
        <f>CO97-CN97</f>
        <v/>
      </c>
      <c r="CQ97" s="73">
        <f>IF(CN97=0,"",CO97/CN97)</f>
        <v/>
      </c>
      <c r="CR97" s="46" t="n"/>
      <c r="CS97" s="74">
        <f>G97+ L97+ V97+ AF97+ AP97+ AZ97+ BJ97+ BT97+ CD97+ CN97</f>
        <v/>
      </c>
      <c r="CT97" s="74">
        <f>H97+ M97+ W97+ AG97+ AQ97+ BA97+ BK97+ BU97+ CE97+ CO97</f>
        <v/>
      </c>
      <c r="CU97" s="74">
        <f>CT97-CS97</f>
        <v/>
      </c>
      <c r="CV97" s="75">
        <f>IF(CS97=0,"",CT97/CS97)</f>
        <v/>
      </c>
      <c r="CW97" s="52" t="n"/>
      <c r="CX97" s="72" t="n"/>
      <c r="CY97" s="72" t="n"/>
      <c r="CZ97" s="72">
        <f>CY97-CX97</f>
        <v/>
      </c>
      <c r="DA97" s="73">
        <f>IF(CX97=0,"",CY97/CX97)</f>
        <v/>
      </c>
      <c r="DB97" s="46" t="n"/>
      <c r="DC97" s="74">
        <f>G97+ L97+ V97+ AF97+ AP97+ AZ97+ BJ97+ BT97+ CD97+ CN97+ CX97</f>
        <v/>
      </c>
      <c r="DD97" s="74">
        <f>H97+ M97+ W97+ AG97+ AQ97+ BA97+ BK97+ BU97+ CE97+ CO97+ CY97</f>
        <v/>
      </c>
      <c r="DE97" s="74">
        <f>DD97-DC97</f>
        <v/>
      </c>
      <c r="DF97" s="75">
        <f>IF(DC97=0,"",DD97/DC97)</f>
        <v/>
      </c>
      <c r="DG97" s="52" t="n"/>
      <c r="DH97" s="72" t="n"/>
      <c r="DI97" s="72" t="n"/>
      <c r="DJ97" s="72">
        <f>DI97-DH97</f>
        <v/>
      </c>
      <c r="DK97" s="73">
        <f>IF(DH97=0,"",DI97/DH97)</f>
        <v/>
      </c>
      <c r="DL97" s="46" t="n"/>
      <c r="DM97" s="74">
        <f>G97+ L97+ V97+ AF97+ AP97+ AZ97+ BJ97+ BT97+ CD97+ CN97+ CX97+ DH97</f>
        <v/>
      </c>
      <c r="DN97" s="74">
        <f>H97+ M97+ W97+ AG97+ AQ97+ BA97+ BK97+ BU97+ CE97+ CO97+ CY97+ DI97</f>
        <v/>
      </c>
      <c r="DO97" s="74">
        <f>DN97-DM97</f>
        <v/>
      </c>
      <c r="DP97" s="75">
        <f>IF(DM97=0,"",DN97/DM97)</f>
        <v/>
      </c>
      <c r="DQ97" s="52" t="n"/>
      <c r="DR97" s="72">
        <f>G97+L97+V97+AF97+AP97+AZ97+BJ97+BT97+CD97+CN97+CX97+DH97</f>
        <v/>
      </c>
    </row>
    <row r="98" ht="15" customHeight="1">
      <c r="A98" s="67" t="n"/>
      <c r="B98" s="67" t="n"/>
      <c r="C98" s="67" t="n"/>
      <c r="D98" s="46" t="n"/>
      <c r="E98" s="46" t="n"/>
      <c r="F98" s="47" t="n"/>
      <c r="G98" s="72" t="n"/>
      <c r="H98" s="72" t="n"/>
      <c r="I98" s="72">
        <f>H98-G98</f>
        <v/>
      </c>
      <c r="J98" s="73">
        <f>IF(G98=0,"",H98/G98)</f>
        <v/>
      </c>
      <c r="K98" s="46" t="n"/>
      <c r="L98" s="72" t="n"/>
      <c r="M98" s="72" t="n"/>
      <c r="N98" s="72">
        <f>M98-L98</f>
        <v/>
      </c>
      <c r="O98" s="73">
        <f>IF(L98=0,"",M98/L98)</f>
        <v/>
      </c>
      <c r="P98" s="46" t="n"/>
      <c r="Q98" s="74">
        <f>G98+ L98</f>
        <v/>
      </c>
      <c r="R98" s="74">
        <f>H98+ M98</f>
        <v/>
      </c>
      <c r="S98" s="74">
        <f>R98-Q98</f>
        <v/>
      </c>
      <c r="T98" s="75">
        <f>IF(Q98=0,"",R98/Q98)</f>
        <v/>
      </c>
      <c r="U98" s="52" t="n"/>
      <c r="V98" s="72" t="n"/>
      <c r="W98" s="72" t="n"/>
      <c r="X98" s="72">
        <f>W98-V98</f>
        <v/>
      </c>
      <c r="Y98" s="73">
        <f>IF(V98=0,"",W98/V98)</f>
        <v/>
      </c>
      <c r="Z98" s="46" t="n"/>
      <c r="AA98" s="74">
        <f>G98+ L98+ V98</f>
        <v/>
      </c>
      <c r="AB98" s="74">
        <f>H98+ M98+ W98</f>
        <v/>
      </c>
      <c r="AC98" s="74">
        <f>AB98-AA98</f>
        <v/>
      </c>
      <c r="AD98" s="75">
        <f>IF(AA98=0,"",AB98/AA98)</f>
        <v/>
      </c>
      <c r="AE98" s="52" t="n"/>
      <c r="AF98" s="72" t="n"/>
      <c r="AG98" s="72" t="n"/>
      <c r="AH98" s="72">
        <f>AG98-AF98</f>
        <v/>
      </c>
      <c r="AI98" s="73">
        <f>IF(AF98=0,"",AG98/AF98)</f>
        <v/>
      </c>
      <c r="AJ98" s="46" t="n"/>
      <c r="AK98" s="74">
        <f>G98+ L98+ V98+ AF98</f>
        <v/>
      </c>
      <c r="AL98" s="74">
        <f>H98+ M98+ W98+ AG98</f>
        <v/>
      </c>
      <c r="AM98" s="74">
        <f>AL98-AK98</f>
        <v/>
      </c>
      <c r="AN98" s="75">
        <f>IF(AK98=0,"",AL98/AK98)</f>
        <v/>
      </c>
      <c r="AO98" s="52" t="n"/>
      <c r="AP98" s="72" t="n"/>
      <c r="AQ98" s="72" t="n"/>
      <c r="AR98" s="72">
        <f>AQ98-AP98</f>
        <v/>
      </c>
      <c r="AS98" s="73">
        <f>IF(AP98=0,"",AQ98/AP98)</f>
        <v/>
      </c>
      <c r="AT98" s="46" t="n"/>
      <c r="AU98" s="74">
        <f>G98+ L98+ V98+ AF98+ AP98</f>
        <v/>
      </c>
      <c r="AV98" s="74">
        <f>H98+ M98+ W98+ AG98+ AQ98</f>
        <v/>
      </c>
      <c r="AW98" s="74">
        <f>AV98-AU98</f>
        <v/>
      </c>
      <c r="AX98" s="75">
        <f>IF(AU98=0,"",AV98/AU98)</f>
        <v/>
      </c>
      <c r="AY98" s="52" t="n"/>
      <c r="AZ98" s="72" t="n"/>
      <c r="BA98" s="72" t="n"/>
      <c r="BB98" s="72">
        <f>BA98-AZ98</f>
        <v/>
      </c>
      <c r="BC98" s="73">
        <f>IF(AZ98=0,"",BA98/AZ98)</f>
        <v/>
      </c>
      <c r="BD98" s="46" t="n"/>
      <c r="BE98" s="74">
        <f>G98+ L98+ V98+ AF98+ AP98+ AZ98</f>
        <v/>
      </c>
      <c r="BF98" s="74">
        <f>H98+ M98+ W98+ AG98+ AQ98+ BA98</f>
        <v/>
      </c>
      <c r="BG98" s="74">
        <f>BF98-BE98</f>
        <v/>
      </c>
      <c r="BH98" s="75">
        <f>IF(BE98=0,"",BF98/BE98)</f>
        <v/>
      </c>
      <c r="BI98" s="52" t="n"/>
      <c r="BJ98" s="72" t="n"/>
      <c r="BK98" s="72" t="n"/>
      <c r="BL98" s="72">
        <f>BK98-BJ98</f>
        <v/>
      </c>
      <c r="BM98" s="73">
        <f>IF(BJ98=0,"",BK98/BJ98)</f>
        <v/>
      </c>
      <c r="BN98" s="46" t="n"/>
      <c r="BO98" s="74">
        <f>G98+ L98+ V98+ AF98+ AP98+ AZ98+ BJ98</f>
        <v/>
      </c>
      <c r="BP98" s="74">
        <f>H98+ M98+ W98+ AG98+ AQ98+ BA98+ BK98</f>
        <v/>
      </c>
      <c r="BQ98" s="74">
        <f>BP98-BO98</f>
        <v/>
      </c>
      <c r="BR98" s="75">
        <f>IF(BO98=0,"",BP98/BO98)</f>
        <v/>
      </c>
      <c r="BS98" s="52" t="n"/>
      <c r="BT98" s="72" t="n"/>
      <c r="BU98" s="72" t="n"/>
      <c r="BV98" s="72">
        <f>BU98-BT98</f>
        <v/>
      </c>
      <c r="BW98" s="73">
        <f>IF(BT98=0,"",BU98/BT98)</f>
        <v/>
      </c>
      <c r="BX98" s="46" t="n"/>
      <c r="BY98" s="74">
        <f>G98+ L98+ V98+ AF98+ AP98+ AZ98+ BJ98+ BT98</f>
        <v/>
      </c>
      <c r="BZ98" s="74">
        <f>H98+ M98+ W98+ AG98+ AQ98+ BA98+ BK98+ BU98</f>
        <v/>
      </c>
      <c r="CA98" s="74">
        <f>BZ98-BY98</f>
        <v/>
      </c>
      <c r="CB98" s="75">
        <f>IF(BY98=0,"",BZ98/BY98)</f>
        <v/>
      </c>
      <c r="CC98" s="52" t="n"/>
      <c r="CD98" s="72" t="n"/>
      <c r="CE98" s="72" t="n"/>
      <c r="CF98" s="72">
        <f>CE98-CD98</f>
        <v/>
      </c>
      <c r="CG98" s="73">
        <f>IF(CD98=0,"",CE98/CD98)</f>
        <v/>
      </c>
      <c r="CH98" s="46" t="n"/>
      <c r="CI98" s="74">
        <f>G98+ L98+ V98+ AF98+ AP98+ AZ98+ BJ98+ BT98+ CD98</f>
        <v/>
      </c>
      <c r="CJ98" s="74">
        <f>H98+ M98+ W98+ AG98+ AQ98+ BA98+ BK98+ BU98+ CE98</f>
        <v/>
      </c>
      <c r="CK98" s="74">
        <f>CJ98-CI98</f>
        <v/>
      </c>
      <c r="CL98" s="75">
        <f>IF(CI98=0,"",CJ98/CI98)</f>
        <v/>
      </c>
      <c r="CM98" s="52" t="n"/>
      <c r="CN98" s="72" t="n"/>
      <c r="CO98" s="72" t="n"/>
      <c r="CP98" s="72">
        <f>CO98-CN98</f>
        <v/>
      </c>
      <c r="CQ98" s="73">
        <f>IF(CN98=0,"",CO98/CN98)</f>
        <v/>
      </c>
      <c r="CR98" s="46" t="n"/>
      <c r="CS98" s="74">
        <f>G98+ L98+ V98+ AF98+ AP98+ AZ98+ BJ98+ BT98+ CD98+ CN98</f>
        <v/>
      </c>
      <c r="CT98" s="74">
        <f>H98+ M98+ W98+ AG98+ AQ98+ BA98+ BK98+ BU98+ CE98+ CO98</f>
        <v/>
      </c>
      <c r="CU98" s="74">
        <f>CT98-CS98</f>
        <v/>
      </c>
      <c r="CV98" s="75">
        <f>IF(CS98=0,"",CT98/CS98)</f>
        <v/>
      </c>
      <c r="CW98" s="52" t="n"/>
      <c r="CX98" s="72" t="n"/>
      <c r="CY98" s="72" t="n"/>
      <c r="CZ98" s="72">
        <f>CY98-CX98</f>
        <v/>
      </c>
      <c r="DA98" s="73">
        <f>IF(CX98=0,"",CY98/CX98)</f>
        <v/>
      </c>
      <c r="DB98" s="46" t="n"/>
      <c r="DC98" s="74">
        <f>G98+ L98+ V98+ AF98+ AP98+ AZ98+ BJ98+ BT98+ CD98+ CN98+ CX98</f>
        <v/>
      </c>
      <c r="DD98" s="74">
        <f>H98+ M98+ W98+ AG98+ AQ98+ BA98+ BK98+ BU98+ CE98+ CO98+ CY98</f>
        <v/>
      </c>
      <c r="DE98" s="74">
        <f>DD98-DC98</f>
        <v/>
      </c>
      <c r="DF98" s="75">
        <f>IF(DC98=0,"",DD98/DC98)</f>
        <v/>
      </c>
      <c r="DG98" s="52" t="n"/>
      <c r="DH98" s="72" t="n"/>
      <c r="DI98" s="72" t="n"/>
      <c r="DJ98" s="72">
        <f>DI98-DH98</f>
        <v/>
      </c>
      <c r="DK98" s="73">
        <f>IF(DH98=0,"",DI98/DH98)</f>
        <v/>
      </c>
      <c r="DL98" s="46" t="n"/>
      <c r="DM98" s="74">
        <f>G98+ L98+ V98+ AF98+ AP98+ AZ98+ BJ98+ BT98+ CD98+ CN98+ CX98+ DH98</f>
        <v/>
      </c>
      <c r="DN98" s="74">
        <f>H98+ M98+ W98+ AG98+ AQ98+ BA98+ BK98+ BU98+ CE98+ CO98+ CY98+ DI98</f>
        <v/>
      </c>
      <c r="DO98" s="74">
        <f>DN98-DM98</f>
        <v/>
      </c>
      <c r="DP98" s="75">
        <f>IF(DM98=0,"",DN98/DM98)</f>
        <v/>
      </c>
      <c r="DQ98" s="52" t="n"/>
      <c r="DR98" s="72">
        <f>G98+L98+V98+AF98+AP98+AZ98+BJ98+BT98+CD98+CN98+CX98+DH98</f>
        <v/>
      </c>
    </row>
    <row r="99" ht="15" customHeight="1">
      <c r="A99" s="55" t="n"/>
      <c r="B99" s="55" t="n"/>
      <c r="C99" s="55" t="n"/>
      <c r="D99" s="46" t="n"/>
      <c r="E99" s="46" t="n"/>
      <c r="F99" s="47" t="n"/>
      <c r="G99" s="72" t="n"/>
      <c r="H99" s="72" t="n"/>
      <c r="I99" s="72">
        <f>H99-G99</f>
        <v/>
      </c>
      <c r="J99" s="73">
        <f>IF(G99=0,"",H99/G99)</f>
        <v/>
      </c>
      <c r="K99" s="46" t="n"/>
      <c r="L99" s="72" t="n"/>
      <c r="M99" s="72" t="n"/>
      <c r="N99" s="72">
        <f>M99-L99</f>
        <v/>
      </c>
      <c r="O99" s="73">
        <f>IF(L99=0,"",M99/L99)</f>
        <v/>
      </c>
      <c r="P99" s="46" t="n"/>
      <c r="Q99" s="74">
        <f>G99+ L99</f>
        <v/>
      </c>
      <c r="R99" s="74">
        <f>H99+ M99</f>
        <v/>
      </c>
      <c r="S99" s="74">
        <f>R99-Q99</f>
        <v/>
      </c>
      <c r="T99" s="75">
        <f>IF(Q99=0,"",R99/Q99)</f>
        <v/>
      </c>
      <c r="U99" s="52" t="n"/>
      <c r="V99" s="72" t="n"/>
      <c r="W99" s="72" t="n"/>
      <c r="X99" s="72">
        <f>W99-V99</f>
        <v/>
      </c>
      <c r="Y99" s="73">
        <f>IF(V99=0,"",W99/V99)</f>
        <v/>
      </c>
      <c r="Z99" s="46" t="n"/>
      <c r="AA99" s="74">
        <f>G99+ L99+ V99</f>
        <v/>
      </c>
      <c r="AB99" s="74">
        <f>H99+ M99+ W99</f>
        <v/>
      </c>
      <c r="AC99" s="74">
        <f>AB99-AA99</f>
        <v/>
      </c>
      <c r="AD99" s="75">
        <f>IF(AA99=0,"",AB99/AA99)</f>
        <v/>
      </c>
      <c r="AE99" s="52" t="n"/>
      <c r="AF99" s="72" t="n"/>
      <c r="AG99" s="72" t="n"/>
      <c r="AH99" s="72">
        <f>AG99-AF99</f>
        <v/>
      </c>
      <c r="AI99" s="73">
        <f>IF(AF99=0,"",AG99/AF99)</f>
        <v/>
      </c>
      <c r="AJ99" s="46" t="n"/>
      <c r="AK99" s="74">
        <f>G99+ L99+ V99+ AF99</f>
        <v/>
      </c>
      <c r="AL99" s="74">
        <f>H99+ M99+ W99+ AG99</f>
        <v/>
      </c>
      <c r="AM99" s="74">
        <f>AL99-AK99</f>
        <v/>
      </c>
      <c r="AN99" s="75">
        <f>IF(AK99=0,"",AL99/AK99)</f>
        <v/>
      </c>
      <c r="AO99" s="52" t="n"/>
      <c r="AP99" s="72" t="n"/>
      <c r="AQ99" s="72" t="n"/>
      <c r="AR99" s="72">
        <f>AQ99-AP99</f>
        <v/>
      </c>
      <c r="AS99" s="73">
        <f>IF(AP99=0,"",AQ99/AP99)</f>
        <v/>
      </c>
      <c r="AT99" s="46" t="n"/>
      <c r="AU99" s="74">
        <f>G99+ L99+ V99+ AF99+ AP99</f>
        <v/>
      </c>
      <c r="AV99" s="74">
        <f>H99+ M99+ W99+ AG99+ AQ99</f>
        <v/>
      </c>
      <c r="AW99" s="74">
        <f>AV99-AU99</f>
        <v/>
      </c>
      <c r="AX99" s="75">
        <f>IF(AU99=0,"",AV99/AU99)</f>
        <v/>
      </c>
      <c r="AY99" s="52" t="n"/>
      <c r="AZ99" s="72" t="n"/>
      <c r="BA99" s="72" t="n"/>
      <c r="BB99" s="72">
        <f>BA99-AZ99</f>
        <v/>
      </c>
      <c r="BC99" s="73">
        <f>IF(AZ99=0,"",BA99/AZ99)</f>
        <v/>
      </c>
      <c r="BD99" s="46" t="n"/>
      <c r="BE99" s="74">
        <f>G99+ L99+ V99+ AF99+ AP99+ AZ99</f>
        <v/>
      </c>
      <c r="BF99" s="74">
        <f>H99+ M99+ W99+ AG99+ AQ99+ BA99</f>
        <v/>
      </c>
      <c r="BG99" s="74">
        <f>BF99-BE99</f>
        <v/>
      </c>
      <c r="BH99" s="75">
        <f>IF(BE99=0,"",BF99/BE99)</f>
        <v/>
      </c>
      <c r="BI99" s="52" t="n"/>
      <c r="BJ99" s="72" t="n"/>
      <c r="BK99" s="72" t="n"/>
      <c r="BL99" s="72">
        <f>BK99-BJ99</f>
        <v/>
      </c>
      <c r="BM99" s="73">
        <f>IF(BJ99=0,"",BK99/BJ99)</f>
        <v/>
      </c>
      <c r="BN99" s="46" t="n"/>
      <c r="BO99" s="74">
        <f>G99+ L99+ V99+ AF99+ AP99+ AZ99+ BJ99</f>
        <v/>
      </c>
      <c r="BP99" s="74">
        <f>H99+ M99+ W99+ AG99+ AQ99+ BA99+ BK99</f>
        <v/>
      </c>
      <c r="BQ99" s="74">
        <f>BP99-BO99</f>
        <v/>
      </c>
      <c r="BR99" s="75">
        <f>IF(BO99=0,"",BP99/BO99)</f>
        <v/>
      </c>
      <c r="BS99" s="52" t="n"/>
      <c r="BT99" s="72" t="n"/>
      <c r="BU99" s="72" t="n"/>
      <c r="BV99" s="72">
        <f>BU99-BT99</f>
        <v/>
      </c>
      <c r="BW99" s="73">
        <f>IF(BT99=0,"",BU99/BT99)</f>
        <v/>
      </c>
      <c r="BX99" s="46" t="n"/>
      <c r="BY99" s="74">
        <f>G99+ L99+ V99+ AF99+ AP99+ AZ99+ BJ99+ BT99</f>
        <v/>
      </c>
      <c r="BZ99" s="74">
        <f>H99+ M99+ W99+ AG99+ AQ99+ BA99+ BK99+ BU99</f>
        <v/>
      </c>
      <c r="CA99" s="74">
        <f>BZ99-BY99</f>
        <v/>
      </c>
      <c r="CB99" s="75">
        <f>IF(BY99=0,"",BZ99/BY99)</f>
        <v/>
      </c>
      <c r="CC99" s="52" t="n"/>
      <c r="CD99" s="72" t="n"/>
      <c r="CE99" s="72" t="n"/>
      <c r="CF99" s="72">
        <f>CE99-CD99</f>
        <v/>
      </c>
      <c r="CG99" s="73">
        <f>IF(CD99=0,"",CE99/CD99)</f>
        <v/>
      </c>
      <c r="CH99" s="46" t="n"/>
      <c r="CI99" s="74">
        <f>G99+ L99+ V99+ AF99+ AP99+ AZ99+ BJ99+ BT99+ CD99</f>
        <v/>
      </c>
      <c r="CJ99" s="74">
        <f>H99+ M99+ W99+ AG99+ AQ99+ BA99+ BK99+ BU99+ CE99</f>
        <v/>
      </c>
      <c r="CK99" s="74">
        <f>CJ99-CI99</f>
        <v/>
      </c>
      <c r="CL99" s="75">
        <f>IF(CI99=0,"",CJ99/CI99)</f>
        <v/>
      </c>
      <c r="CM99" s="52" t="n"/>
      <c r="CN99" s="72" t="n"/>
      <c r="CO99" s="72" t="n"/>
      <c r="CP99" s="72">
        <f>CO99-CN99</f>
        <v/>
      </c>
      <c r="CQ99" s="73">
        <f>IF(CN99=0,"",CO99/CN99)</f>
        <v/>
      </c>
      <c r="CR99" s="46" t="n"/>
      <c r="CS99" s="74">
        <f>G99+ L99+ V99+ AF99+ AP99+ AZ99+ BJ99+ BT99+ CD99+ CN99</f>
        <v/>
      </c>
      <c r="CT99" s="74">
        <f>H99+ M99+ W99+ AG99+ AQ99+ BA99+ BK99+ BU99+ CE99+ CO99</f>
        <v/>
      </c>
      <c r="CU99" s="74">
        <f>CT99-CS99</f>
        <v/>
      </c>
      <c r="CV99" s="75">
        <f>IF(CS99=0,"",CT99/CS99)</f>
        <v/>
      </c>
      <c r="CW99" s="52" t="n"/>
      <c r="CX99" s="72" t="n"/>
      <c r="CY99" s="72" t="n"/>
      <c r="CZ99" s="72">
        <f>CY99-CX99</f>
        <v/>
      </c>
      <c r="DA99" s="73">
        <f>IF(CX99=0,"",CY99/CX99)</f>
        <v/>
      </c>
      <c r="DB99" s="46" t="n"/>
      <c r="DC99" s="74">
        <f>G99+ L99+ V99+ AF99+ AP99+ AZ99+ BJ99+ BT99+ CD99+ CN99+ CX99</f>
        <v/>
      </c>
      <c r="DD99" s="74">
        <f>H99+ M99+ W99+ AG99+ AQ99+ BA99+ BK99+ BU99+ CE99+ CO99+ CY99</f>
        <v/>
      </c>
      <c r="DE99" s="74">
        <f>DD99-DC99</f>
        <v/>
      </c>
      <c r="DF99" s="75">
        <f>IF(DC99=0,"",DD99/DC99)</f>
        <v/>
      </c>
      <c r="DG99" s="52" t="n"/>
      <c r="DH99" s="72" t="n"/>
      <c r="DI99" s="72" t="n"/>
      <c r="DJ99" s="72">
        <f>DI99-DH99</f>
        <v/>
      </c>
      <c r="DK99" s="73">
        <f>IF(DH99=0,"",DI99/DH99)</f>
        <v/>
      </c>
      <c r="DL99" s="46" t="n"/>
      <c r="DM99" s="74">
        <f>G99+ L99+ V99+ AF99+ AP99+ AZ99+ BJ99+ BT99+ CD99+ CN99+ CX99+ DH99</f>
        <v/>
      </c>
      <c r="DN99" s="74">
        <f>H99+ M99+ W99+ AG99+ AQ99+ BA99+ BK99+ BU99+ CE99+ CO99+ CY99+ DI99</f>
        <v/>
      </c>
      <c r="DO99" s="74">
        <f>DN99-DM99</f>
        <v/>
      </c>
      <c r="DP99" s="75">
        <f>IF(DM99=0,"",DN99/DM99)</f>
        <v/>
      </c>
      <c r="DQ99" s="52" t="n"/>
      <c r="DR99" s="72">
        <f>G99+L99+V99+AF99+AP99+AZ99+BJ99+BT99+CD99+CN99+CX99+DH99</f>
        <v/>
      </c>
    </row>
    <row r="100" ht="15" customHeight="1">
      <c r="A100" s="46" t="n"/>
      <c r="B100" s="46" t="n"/>
      <c r="C100" s="45" t="n"/>
      <c r="D100" s="46" t="n"/>
      <c r="E100" s="46" t="n"/>
      <c r="F100" s="47" t="n"/>
      <c r="G100" s="72" t="n"/>
      <c r="H100" s="72" t="n"/>
      <c r="I100" s="72">
        <f>H100-G100</f>
        <v/>
      </c>
      <c r="J100" s="73">
        <f>IF(G100=0,"",H100/G100)</f>
        <v/>
      </c>
      <c r="K100" s="46" t="n"/>
      <c r="L100" s="72" t="n"/>
      <c r="M100" s="72" t="n"/>
      <c r="N100" s="72">
        <f>M100-L100</f>
        <v/>
      </c>
      <c r="O100" s="73">
        <f>IF(L100=0,"",M100/L100)</f>
        <v/>
      </c>
      <c r="P100" s="46" t="n"/>
      <c r="Q100" s="74">
        <f>G100+ L100</f>
        <v/>
      </c>
      <c r="R100" s="74">
        <f>H100+ M100</f>
        <v/>
      </c>
      <c r="S100" s="74">
        <f>R100-Q100</f>
        <v/>
      </c>
      <c r="T100" s="75">
        <f>IF(Q100=0,"",R100/Q100)</f>
        <v/>
      </c>
      <c r="U100" s="52" t="n"/>
      <c r="V100" s="72" t="n"/>
      <c r="W100" s="72" t="n"/>
      <c r="X100" s="72">
        <f>W100-V100</f>
        <v/>
      </c>
      <c r="Y100" s="73">
        <f>IF(V100=0,"",W100/V100)</f>
        <v/>
      </c>
      <c r="Z100" s="46" t="n"/>
      <c r="AA100" s="74">
        <f>G100+ L100+ V100</f>
        <v/>
      </c>
      <c r="AB100" s="74">
        <f>H100+ M100+ W100</f>
        <v/>
      </c>
      <c r="AC100" s="74">
        <f>AB100-AA100</f>
        <v/>
      </c>
      <c r="AD100" s="75">
        <f>IF(AA100=0,"",AB100/AA100)</f>
        <v/>
      </c>
      <c r="AE100" s="52" t="n"/>
      <c r="AF100" s="72" t="n"/>
      <c r="AG100" s="72" t="n"/>
      <c r="AH100" s="72">
        <f>AG100-AF100</f>
        <v/>
      </c>
      <c r="AI100" s="73">
        <f>IF(AF100=0,"",AG100/AF100)</f>
        <v/>
      </c>
      <c r="AJ100" s="46" t="n"/>
      <c r="AK100" s="74">
        <f>G100+ L100+ V100+ AF100</f>
        <v/>
      </c>
      <c r="AL100" s="74">
        <f>H100+ M100+ W100+ AG100</f>
        <v/>
      </c>
      <c r="AM100" s="74">
        <f>AL100-AK100</f>
        <v/>
      </c>
      <c r="AN100" s="75">
        <f>IF(AK100=0,"",AL100/AK100)</f>
        <v/>
      </c>
      <c r="AO100" s="52" t="n"/>
      <c r="AP100" s="72" t="n"/>
      <c r="AQ100" s="72" t="n"/>
      <c r="AR100" s="72">
        <f>AQ100-AP100</f>
        <v/>
      </c>
      <c r="AS100" s="73">
        <f>IF(AP100=0,"",AQ100/AP100)</f>
        <v/>
      </c>
      <c r="AT100" s="46" t="n"/>
      <c r="AU100" s="74">
        <f>G100+ L100+ V100+ AF100+ AP100</f>
        <v/>
      </c>
      <c r="AV100" s="74">
        <f>H100+ M100+ W100+ AG100+ AQ100</f>
        <v/>
      </c>
      <c r="AW100" s="74">
        <f>AV100-AU100</f>
        <v/>
      </c>
      <c r="AX100" s="75">
        <f>IF(AU100=0,"",AV100/AU100)</f>
        <v/>
      </c>
      <c r="AY100" s="52" t="n"/>
      <c r="AZ100" s="72" t="n"/>
      <c r="BA100" s="72" t="n"/>
      <c r="BB100" s="72">
        <f>BA100-AZ100</f>
        <v/>
      </c>
      <c r="BC100" s="73">
        <f>IF(AZ100=0,"",BA100/AZ100)</f>
        <v/>
      </c>
      <c r="BD100" s="46" t="n"/>
      <c r="BE100" s="74">
        <f>G100+ L100+ V100+ AF100+ AP100+ AZ100</f>
        <v/>
      </c>
      <c r="BF100" s="74">
        <f>H100+ M100+ W100+ AG100+ AQ100+ BA100</f>
        <v/>
      </c>
      <c r="BG100" s="74">
        <f>BF100-BE100</f>
        <v/>
      </c>
      <c r="BH100" s="75">
        <f>IF(BE100=0,"",BF100/BE100)</f>
        <v/>
      </c>
      <c r="BI100" s="52" t="n"/>
      <c r="BJ100" s="72" t="n"/>
      <c r="BK100" s="72" t="n"/>
      <c r="BL100" s="72">
        <f>BK100-BJ100</f>
        <v/>
      </c>
      <c r="BM100" s="73">
        <f>IF(BJ100=0,"",BK100/BJ100)</f>
        <v/>
      </c>
      <c r="BN100" s="46" t="n"/>
      <c r="BO100" s="74">
        <f>G100+ L100+ V100+ AF100+ AP100+ AZ100+ BJ100</f>
        <v/>
      </c>
      <c r="BP100" s="74">
        <f>H100+ M100+ W100+ AG100+ AQ100+ BA100+ BK100</f>
        <v/>
      </c>
      <c r="BQ100" s="74">
        <f>BP100-BO100</f>
        <v/>
      </c>
      <c r="BR100" s="75">
        <f>IF(BO100=0,"",BP100/BO100)</f>
        <v/>
      </c>
      <c r="BS100" s="52" t="n"/>
      <c r="BT100" s="72" t="n"/>
      <c r="BU100" s="72" t="n"/>
      <c r="BV100" s="72">
        <f>BU100-BT100</f>
        <v/>
      </c>
      <c r="BW100" s="73">
        <f>IF(BT100=0,"",BU100/BT100)</f>
        <v/>
      </c>
      <c r="BX100" s="46" t="n"/>
      <c r="BY100" s="74">
        <f>G100+ L100+ V100+ AF100+ AP100+ AZ100+ BJ100+ BT100</f>
        <v/>
      </c>
      <c r="BZ100" s="74">
        <f>H100+ M100+ W100+ AG100+ AQ100+ BA100+ BK100+ BU100</f>
        <v/>
      </c>
      <c r="CA100" s="74">
        <f>BZ100-BY100</f>
        <v/>
      </c>
      <c r="CB100" s="75">
        <f>IF(BY100=0,"",BZ100/BY100)</f>
        <v/>
      </c>
      <c r="CC100" s="52" t="n"/>
      <c r="CD100" s="72" t="n"/>
      <c r="CE100" s="72" t="n"/>
      <c r="CF100" s="72">
        <f>CE100-CD100</f>
        <v/>
      </c>
      <c r="CG100" s="73">
        <f>IF(CD100=0,"",CE100/CD100)</f>
        <v/>
      </c>
      <c r="CH100" s="46" t="n"/>
      <c r="CI100" s="74">
        <f>G100+ L100+ V100+ AF100+ AP100+ AZ100+ BJ100+ BT100+ CD100</f>
        <v/>
      </c>
      <c r="CJ100" s="74">
        <f>H100+ M100+ W100+ AG100+ AQ100+ BA100+ BK100+ BU100+ CE100</f>
        <v/>
      </c>
      <c r="CK100" s="74">
        <f>CJ100-CI100</f>
        <v/>
      </c>
      <c r="CL100" s="75">
        <f>IF(CI100=0,"",CJ100/CI100)</f>
        <v/>
      </c>
      <c r="CM100" s="52" t="n"/>
      <c r="CN100" s="72" t="n"/>
      <c r="CO100" s="72" t="n"/>
      <c r="CP100" s="72">
        <f>CO100-CN100</f>
        <v/>
      </c>
      <c r="CQ100" s="73">
        <f>IF(CN100=0,"",CO100/CN100)</f>
        <v/>
      </c>
      <c r="CR100" s="46" t="n"/>
      <c r="CS100" s="74">
        <f>G100+ L100+ V100+ AF100+ AP100+ AZ100+ BJ100+ BT100+ CD100+ CN100</f>
        <v/>
      </c>
      <c r="CT100" s="74">
        <f>H100+ M100+ W100+ AG100+ AQ100+ BA100+ BK100+ BU100+ CE100+ CO100</f>
        <v/>
      </c>
      <c r="CU100" s="74">
        <f>CT100-CS100</f>
        <v/>
      </c>
      <c r="CV100" s="75">
        <f>IF(CS100=0,"",CT100/CS100)</f>
        <v/>
      </c>
      <c r="CW100" s="52" t="n"/>
      <c r="CX100" s="72" t="n"/>
      <c r="CY100" s="72" t="n"/>
      <c r="CZ100" s="72">
        <f>CY100-CX100</f>
        <v/>
      </c>
      <c r="DA100" s="73">
        <f>IF(CX100=0,"",CY100/CX100)</f>
        <v/>
      </c>
      <c r="DB100" s="46" t="n"/>
      <c r="DC100" s="74">
        <f>G100+ L100+ V100+ AF100+ AP100+ AZ100+ BJ100+ BT100+ CD100+ CN100+ CX100</f>
        <v/>
      </c>
      <c r="DD100" s="74">
        <f>H100+ M100+ W100+ AG100+ AQ100+ BA100+ BK100+ BU100+ CE100+ CO100+ CY100</f>
        <v/>
      </c>
      <c r="DE100" s="74">
        <f>DD100-DC100</f>
        <v/>
      </c>
      <c r="DF100" s="75">
        <f>IF(DC100=0,"",DD100/DC100)</f>
        <v/>
      </c>
      <c r="DG100" s="52" t="n"/>
      <c r="DH100" s="72" t="n"/>
      <c r="DI100" s="72" t="n"/>
      <c r="DJ100" s="72">
        <f>DI100-DH100</f>
        <v/>
      </c>
      <c r="DK100" s="73">
        <f>IF(DH100=0,"",DI100/DH100)</f>
        <v/>
      </c>
      <c r="DL100" s="46" t="n"/>
      <c r="DM100" s="74">
        <f>G100+ L100+ V100+ AF100+ AP100+ AZ100+ BJ100+ BT100+ CD100+ CN100+ CX100+ DH100</f>
        <v/>
      </c>
      <c r="DN100" s="74">
        <f>H100+ M100+ W100+ AG100+ AQ100+ BA100+ BK100+ BU100+ CE100+ CO100+ CY100+ DI100</f>
        <v/>
      </c>
      <c r="DO100" s="74">
        <f>DN100-DM100</f>
        <v/>
      </c>
      <c r="DP100" s="75">
        <f>IF(DM100=0,"",DN100/DM100)</f>
        <v/>
      </c>
      <c r="DQ100" s="52" t="n"/>
      <c r="DR100" s="72">
        <f>G100+L100+V100+AF100+AP100+AZ100+BJ100+BT100+CD100+CN100+CX100+DH100</f>
        <v/>
      </c>
    </row>
    <row r="101" ht="15" customHeight="1">
      <c r="A101" s="67" t="n"/>
      <c r="B101" s="67" t="n"/>
      <c r="C101" s="67" t="n"/>
      <c r="D101" s="46" t="n"/>
      <c r="E101" s="46" t="n"/>
      <c r="F101" s="47" t="n"/>
      <c r="G101" s="72" t="n"/>
      <c r="H101" s="72" t="n"/>
      <c r="I101" s="72">
        <f>H101-G101</f>
        <v/>
      </c>
      <c r="J101" s="73">
        <f>IF(G101=0,"",H101/G101)</f>
        <v/>
      </c>
      <c r="K101" s="46" t="n"/>
      <c r="L101" s="72" t="n"/>
      <c r="M101" s="72" t="n"/>
      <c r="N101" s="72">
        <f>M101-L101</f>
        <v/>
      </c>
      <c r="O101" s="73">
        <f>IF(L101=0,"",M101/L101)</f>
        <v/>
      </c>
      <c r="P101" s="46" t="n"/>
      <c r="Q101" s="74">
        <f>G101+ L101</f>
        <v/>
      </c>
      <c r="R101" s="74">
        <f>H101+ M101</f>
        <v/>
      </c>
      <c r="S101" s="74">
        <f>R101-Q101</f>
        <v/>
      </c>
      <c r="T101" s="75">
        <f>IF(Q101=0,"",R101/Q101)</f>
        <v/>
      </c>
      <c r="U101" s="52" t="n"/>
      <c r="V101" s="72" t="n"/>
      <c r="W101" s="72" t="n"/>
      <c r="X101" s="72">
        <f>W101-V101</f>
        <v/>
      </c>
      <c r="Y101" s="73">
        <f>IF(V101=0,"",W101/V101)</f>
        <v/>
      </c>
      <c r="Z101" s="46" t="n"/>
      <c r="AA101" s="74">
        <f>G101+ L101+ V101</f>
        <v/>
      </c>
      <c r="AB101" s="74">
        <f>H101+ M101+ W101</f>
        <v/>
      </c>
      <c r="AC101" s="74">
        <f>AB101-AA101</f>
        <v/>
      </c>
      <c r="AD101" s="75">
        <f>IF(AA101=0,"",AB101/AA101)</f>
        <v/>
      </c>
      <c r="AE101" s="52" t="n"/>
      <c r="AF101" s="72" t="n"/>
      <c r="AG101" s="72" t="n"/>
      <c r="AH101" s="72">
        <f>AG101-AF101</f>
        <v/>
      </c>
      <c r="AI101" s="73">
        <f>IF(AF101=0,"",AG101/AF101)</f>
        <v/>
      </c>
      <c r="AJ101" s="46" t="n"/>
      <c r="AK101" s="74">
        <f>G101+ L101+ V101+ AF101</f>
        <v/>
      </c>
      <c r="AL101" s="74">
        <f>H101+ M101+ W101+ AG101</f>
        <v/>
      </c>
      <c r="AM101" s="74">
        <f>AL101-AK101</f>
        <v/>
      </c>
      <c r="AN101" s="75">
        <f>IF(AK101=0,"",AL101/AK101)</f>
        <v/>
      </c>
      <c r="AO101" s="52" t="n"/>
      <c r="AP101" s="72" t="n"/>
      <c r="AQ101" s="72" t="n"/>
      <c r="AR101" s="72">
        <f>AQ101-AP101</f>
        <v/>
      </c>
      <c r="AS101" s="73">
        <f>IF(AP101=0,"",AQ101/AP101)</f>
        <v/>
      </c>
      <c r="AT101" s="46" t="n"/>
      <c r="AU101" s="74">
        <f>G101+ L101+ V101+ AF101+ AP101</f>
        <v/>
      </c>
      <c r="AV101" s="74">
        <f>H101+ M101+ W101+ AG101+ AQ101</f>
        <v/>
      </c>
      <c r="AW101" s="74">
        <f>AV101-AU101</f>
        <v/>
      </c>
      <c r="AX101" s="75">
        <f>IF(AU101=0,"",AV101/AU101)</f>
        <v/>
      </c>
      <c r="AY101" s="52" t="n"/>
      <c r="AZ101" s="72" t="n"/>
      <c r="BA101" s="72" t="n"/>
      <c r="BB101" s="72">
        <f>BA101-AZ101</f>
        <v/>
      </c>
      <c r="BC101" s="73">
        <f>IF(AZ101=0,"",BA101/AZ101)</f>
        <v/>
      </c>
      <c r="BD101" s="46" t="n"/>
      <c r="BE101" s="74">
        <f>G101+ L101+ V101+ AF101+ AP101+ AZ101</f>
        <v/>
      </c>
      <c r="BF101" s="74">
        <f>H101+ M101+ W101+ AG101+ AQ101+ BA101</f>
        <v/>
      </c>
      <c r="BG101" s="74">
        <f>BF101-BE101</f>
        <v/>
      </c>
      <c r="BH101" s="75">
        <f>IF(BE101=0,"",BF101/BE101)</f>
        <v/>
      </c>
      <c r="BI101" s="52" t="n"/>
      <c r="BJ101" s="72" t="n"/>
      <c r="BK101" s="72" t="n"/>
      <c r="BL101" s="72">
        <f>BK101-BJ101</f>
        <v/>
      </c>
      <c r="BM101" s="73">
        <f>IF(BJ101=0,"",BK101/BJ101)</f>
        <v/>
      </c>
      <c r="BN101" s="46" t="n"/>
      <c r="BO101" s="74">
        <f>G101+ L101+ V101+ AF101+ AP101+ AZ101+ BJ101</f>
        <v/>
      </c>
      <c r="BP101" s="74">
        <f>H101+ M101+ W101+ AG101+ AQ101+ BA101+ BK101</f>
        <v/>
      </c>
      <c r="BQ101" s="74">
        <f>BP101-BO101</f>
        <v/>
      </c>
      <c r="BR101" s="75">
        <f>IF(BO101=0,"",BP101/BO101)</f>
        <v/>
      </c>
      <c r="BS101" s="52" t="n"/>
      <c r="BT101" s="72" t="n"/>
      <c r="BU101" s="72" t="n"/>
      <c r="BV101" s="72">
        <f>BU101-BT101</f>
        <v/>
      </c>
      <c r="BW101" s="73">
        <f>IF(BT101=0,"",BU101/BT101)</f>
        <v/>
      </c>
      <c r="BX101" s="46" t="n"/>
      <c r="BY101" s="74">
        <f>G101+ L101+ V101+ AF101+ AP101+ AZ101+ BJ101+ BT101</f>
        <v/>
      </c>
      <c r="BZ101" s="74">
        <f>H101+ M101+ W101+ AG101+ AQ101+ BA101+ BK101+ BU101</f>
        <v/>
      </c>
      <c r="CA101" s="74">
        <f>BZ101-BY101</f>
        <v/>
      </c>
      <c r="CB101" s="75">
        <f>IF(BY101=0,"",BZ101/BY101)</f>
        <v/>
      </c>
      <c r="CC101" s="52" t="n"/>
      <c r="CD101" s="72" t="n"/>
      <c r="CE101" s="72" t="n"/>
      <c r="CF101" s="72">
        <f>CE101-CD101</f>
        <v/>
      </c>
      <c r="CG101" s="73">
        <f>IF(CD101=0,"",CE101/CD101)</f>
        <v/>
      </c>
      <c r="CH101" s="46" t="n"/>
      <c r="CI101" s="74">
        <f>G101+ L101+ V101+ AF101+ AP101+ AZ101+ BJ101+ BT101+ CD101</f>
        <v/>
      </c>
      <c r="CJ101" s="74">
        <f>H101+ M101+ W101+ AG101+ AQ101+ BA101+ BK101+ BU101+ CE101</f>
        <v/>
      </c>
      <c r="CK101" s="74">
        <f>CJ101-CI101</f>
        <v/>
      </c>
      <c r="CL101" s="75">
        <f>IF(CI101=0,"",CJ101/CI101)</f>
        <v/>
      </c>
      <c r="CM101" s="52" t="n"/>
      <c r="CN101" s="72" t="n"/>
      <c r="CO101" s="72" t="n"/>
      <c r="CP101" s="72">
        <f>CO101-CN101</f>
        <v/>
      </c>
      <c r="CQ101" s="73">
        <f>IF(CN101=0,"",CO101/CN101)</f>
        <v/>
      </c>
      <c r="CR101" s="46" t="n"/>
      <c r="CS101" s="74">
        <f>G101+ L101+ V101+ AF101+ AP101+ AZ101+ BJ101+ BT101+ CD101+ CN101</f>
        <v/>
      </c>
      <c r="CT101" s="74">
        <f>H101+ M101+ W101+ AG101+ AQ101+ BA101+ BK101+ BU101+ CE101+ CO101</f>
        <v/>
      </c>
      <c r="CU101" s="74">
        <f>CT101-CS101</f>
        <v/>
      </c>
      <c r="CV101" s="75">
        <f>IF(CS101=0,"",CT101/CS101)</f>
        <v/>
      </c>
      <c r="CW101" s="52" t="n"/>
      <c r="CX101" s="72" t="n"/>
      <c r="CY101" s="72" t="n"/>
      <c r="CZ101" s="72">
        <f>CY101-CX101</f>
        <v/>
      </c>
      <c r="DA101" s="73">
        <f>IF(CX101=0,"",CY101/CX101)</f>
        <v/>
      </c>
      <c r="DB101" s="46" t="n"/>
      <c r="DC101" s="74">
        <f>G101+ L101+ V101+ AF101+ AP101+ AZ101+ BJ101+ BT101+ CD101+ CN101+ CX101</f>
        <v/>
      </c>
      <c r="DD101" s="74">
        <f>H101+ M101+ W101+ AG101+ AQ101+ BA101+ BK101+ BU101+ CE101+ CO101+ CY101</f>
        <v/>
      </c>
      <c r="DE101" s="74">
        <f>DD101-DC101</f>
        <v/>
      </c>
      <c r="DF101" s="75">
        <f>IF(DC101=0,"",DD101/DC101)</f>
        <v/>
      </c>
      <c r="DG101" s="52" t="n"/>
      <c r="DH101" s="72" t="n"/>
      <c r="DI101" s="72" t="n"/>
      <c r="DJ101" s="72">
        <f>DI101-DH101</f>
        <v/>
      </c>
      <c r="DK101" s="73">
        <f>IF(DH101=0,"",DI101/DH101)</f>
        <v/>
      </c>
      <c r="DL101" s="46" t="n"/>
      <c r="DM101" s="74">
        <f>G101+ L101+ V101+ AF101+ AP101+ AZ101+ BJ101+ BT101+ CD101+ CN101+ CX101+ DH101</f>
        <v/>
      </c>
      <c r="DN101" s="74">
        <f>H101+ M101+ W101+ AG101+ AQ101+ BA101+ BK101+ BU101+ CE101+ CO101+ CY101+ DI101</f>
        <v/>
      </c>
      <c r="DO101" s="74">
        <f>DN101-DM101</f>
        <v/>
      </c>
      <c r="DP101" s="75">
        <f>IF(DM101=0,"",DN101/DM101)</f>
        <v/>
      </c>
      <c r="DQ101" s="52" t="n"/>
      <c r="DR101" s="72">
        <f>G101+L101+V101+AF101+AP101+AZ101+BJ101+BT101+CD101+CN101+CX101+DH101</f>
        <v/>
      </c>
    </row>
    <row r="102" ht="15" customHeight="1">
      <c r="A102" s="67" t="n"/>
      <c r="B102" s="67" t="n"/>
      <c r="C102" s="67" t="n"/>
      <c r="D102" s="46" t="n"/>
      <c r="E102" s="46" t="n"/>
      <c r="F102" s="47" t="n"/>
      <c r="G102" s="72" t="n"/>
      <c r="H102" s="72" t="n"/>
      <c r="I102" s="72">
        <f>H102-G102</f>
        <v/>
      </c>
      <c r="J102" s="73">
        <f>IF(G102=0,"",H102/G102)</f>
        <v/>
      </c>
      <c r="K102" s="46" t="n"/>
      <c r="L102" s="72" t="n"/>
      <c r="M102" s="72" t="n"/>
      <c r="N102" s="72">
        <f>M102-L102</f>
        <v/>
      </c>
      <c r="O102" s="73">
        <f>IF(L102=0,"",M102/L102)</f>
        <v/>
      </c>
      <c r="P102" s="46" t="n"/>
      <c r="Q102" s="74">
        <f>G102+ L102</f>
        <v/>
      </c>
      <c r="R102" s="74">
        <f>H102+ M102</f>
        <v/>
      </c>
      <c r="S102" s="74">
        <f>R102-Q102</f>
        <v/>
      </c>
      <c r="T102" s="75">
        <f>IF(Q102=0,"",R102/Q102)</f>
        <v/>
      </c>
      <c r="U102" s="52" t="n"/>
      <c r="V102" s="72" t="n"/>
      <c r="W102" s="72" t="n"/>
      <c r="X102" s="72">
        <f>W102-V102</f>
        <v/>
      </c>
      <c r="Y102" s="73">
        <f>IF(V102=0,"",W102/V102)</f>
        <v/>
      </c>
      <c r="Z102" s="46" t="n"/>
      <c r="AA102" s="74">
        <f>G102+ L102+ V102</f>
        <v/>
      </c>
      <c r="AB102" s="74">
        <f>H102+ M102+ W102</f>
        <v/>
      </c>
      <c r="AC102" s="74">
        <f>AB102-AA102</f>
        <v/>
      </c>
      <c r="AD102" s="75">
        <f>IF(AA102=0,"",AB102/AA102)</f>
        <v/>
      </c>
      <c r="AE102" s="52" t="n"/>
      <c r="AF102" s="72" t="n"/>
      <c r="AG102" s="72" t="n"/>
      <c r="AH102" s="72">
        <f>AG102-AF102</f>
        <v/>
      </c>
      <c r="AI102" s="73">
        <f>IF(AF102=0,"",AG102/AF102)</f>
        <v/>
      </c>
      <c r="AJ102" s="46" t="n"/>
      <c r="AK102" s="74">
        <f>G102+ L102+ V102+ AF102</f>
        <v/>
      </c>
      <c r="AL102" s="74">
        <f>H102+ M102+ W102+ AG102</f>
        <v/>
      </c>
      <c r="AM102" s="74">
        <f>AL102-AK102</f>
        <v/>
      </c>
      <c r="AN102" s="75">
        <f>IF(AK102=0,"",AL102/AK102)</f>
        <v/>
      </c>
      <c r="AO102" s="52" t="n"/>
      <c r="AP102" s="72" t="n"/>
      <c r="AQ102" s="72" t="n"/>
      <c r="AR102" s="72">
        <f>AQ102-AP102</f>
        <v/>
      </c>
      <c r="AS102" s="73">
        <f>IF(AP102=0,"",AQ102/AP102)</f>
        <v/>
      </c>
      <c r="AT102" s="46" t="n"/>
      <c r="AU102" s="74">
        <f>G102+ L102+ V102+ AF102+ AP102</f>
        <v/>
      </c>
      <c r="AV102" s="74">
        <f>H102+ M102+ W102+ AG102+ AQ102</f>
        <v/>
      </c>
      <c r="AW102" s="74">
        <f>AV102-AU102</f>
        <v/>
      </c>
      <c r="AX102" s="75">
        <f>IF(AU102=0,"",AV102/AU102)</f>
        <v/>
      </c>
      <c r="AY102" s="52" t="n"/>
      <c r="AZ102" s="72" t="n"/>
      <c r="BA102" s="72" t="n"/>
      <c r="BB102" s="72">
        <f>BA102-AZ102</f>
        <v/>
      </c>
      <c r="BC102" s="73">
        <f>IF(AZ102=0,"",BA102/AZ102)</f>
        <v/>
      </c>
      <c r="BD102" s="46" t="n"/>
      <c r="BE102" s="74">
        <f>G102+ L102+ V102+ AF102+ AP102+ AZ102</f>
        <v/>
      </c>
      <c r="BF102" s="74">
        <f>H102+ M102+ W102+ AG102+ AQ102+ BA102</f>
        <v/>
      </c>
      <c r="BG102" s="74">
        <f>BF102-BE102</f>
        <v/>
      </c>
      <c r="BH102" s="75">
        <f>IF(BE102=0,"",BF102/BE102)</f>
        <v/>
      </c>
      <c r="BI102" s="52" t="n"/>
      <c r="BJ102" s="72" t="n"/>
      <c r="BK102" s="72" t="n"/>
      <c r="BL102" s="72">
        <f>BK102-BJ102</f>
        <v/>
      </c>
      <c r="BM102" s="73">
        <f>IF(BJ102=0,"",BK102/BJ102)</f>
        <v/>
      </c>
      <c r="BN102" s="46" t="n"/>
      <c r="BO102" s="74">
        <f>G102+ L102+ V102+ AF102+ AP102+ AZ102+ BJ102</f>
        <v/>
      </c>
      <c r="BP102" s="74">
        <f>H102+ M102+ W102+ AG102+ AQ102+ BA102+ BK102</f>
        <v/>
      </c>
      <c r="BQ102" s="74">
        <f>BP102-BO102</f>
        <v/>
      </c>
      <c r="BR102" s="75">
        <f>IF(BO102=0,"",BP102/BO102)</f>
        <v/>
      </c>
      <c r="BS102" s="52" t="n"/>
      <c r="BT102" s="72" t="n"/>
      <c r="BU102" s="72" t="n"/>
      <c r="BV102" s="72">
        <f>BU102-BT102</f>
        <v/>
      </c>
      <c r="BW102" s="73">
        <f>IF(BT102=0,"",BU102/BT102)</f>
        <v/>
      </c>
      <c r="BX102" s="46" t="n"/>
      <c r="BY102" s="74">
        <f>G102+ L102+ V102+ AF102+ AP102+ AZ102+ BJ102+ BT102</f>
        <v/>
      </c>
      <c r="BZ102" s="74">
        <f>H102+ M102+ W102+ AG102+ AQ102+ BA102+ BK102+ BU102</f>
        <v/>
      </c>
      <c r="CA102" s="74">
        <f>BZ102-BY102</f>
        <v/>
      </c>
      <c r="CB102" s="75">
        <f>IF(BY102=0,"",BZ102/BY102)</f>
        <v/>
      </c>
      <c r="CC102" s="52" t="n"/>
      <c r="CD102" s="72" t="n"/>
      <c r="CE102" s="72" t="n"/>
      <c r="CF102" s="72">
        <f>CE102-CD102</f>
        <v/>
      </c>
      <c r="CG102" s="73">
        <f>IF(CD102=0,"",CE102/CD102)</f>
        <v/>
      </c>
      <c r="CH102" s="46" t="n"/>
      <c r="CI102" s="74">
        <f>G102+ L102+ V102+ AF102+ AP102+ AZ102+ BJ102+ BT102+ CD102</f>
        <v/>
      </c>
      <c r="CJ102" s="74">
        <f>H102+ M102+ W102+ AG102+ AQ102+ BA102+ BK102+ BU102+ CE102</f>
        <v/>
      </c>
      <c r="CK102" s="74">
        <f>CJ102-CI102</f>
        <v/>
      </c>
      <c r="CL102" s="75">
        <f>IF(CI102=0,"",CJ102/CI102)</f>
        <v/>
      </c>
      <c r="CM102" s="52" t="n"/>
      <c r="CN102" s="72" t="n"/>
      <c r="CO102" s="72" t="n"/>
      <c r="CP102" s="72">
        <f>CO102-CN102</f>
        <v/>
      </c>
      <c r="CQ102" s="73">
        <f>IF(CN102=0,"",CO102/CN102)</f>
        <v/>
      </c>
      <c r="CR102" s="46" t="n"/>
      <c r="CS102" s="74">
        <f>G102+ L102+ V102+ AF102+ AP102+ AZ102+ BJ102+ BT102+ CD102+ CN102</f>
        <v/>
      </c>
      <c r="CT102" s="74">
        <f>H102+ M102+ W102+ AG102+ AQ102+ BA102+ BK102+ BU102+ CE102+ CO102</f>
        <v/>
      </c>
      <c r="CU102" s="74">
        <f>CT102-CS102</f>
        <v/>
      </c>
      <c r="CV102" s="75">
        <f>IF(CS102=0,"",CT102/CS102)</f>
        <v/>
      </c>
      <c r="CW102" s="52" t="n"/>
      <c r="CX102" s="72" t="n"/>
      <c r="CY102" s="72" t="n"/>
      <c r="CZ102" s="72">
        <f>CY102-CX102</f>
        <v/>
      </c>
      <c r="DA102" s="73">
        <f>IF(CX102=0,"",CY102/CX102)</f>
        <v/>
      </c>
      <c r="DB102" s="46" t="n"/>
      <c r="DC102" s="74">
        <f>G102+ L102+ V102+ AF102+ AP102+ AZ102+ BJ102+ BT102+ CD102+ CN102+ CX102</f>
        <v/>
      </c>
      <c r="DD102" s="74">
        <f>H102+ M102+ W102+ AG102+ AQ102+ BA102+ BK102+ BU102+ CE102+ CO102+ CY102</f>
        <v/>
      </c>
      <c r="DE102" s="74">
        <f>DD102-DC102</f>
        <v/>
      </c>
      <c r="DF102" s="75">
        <f>IF(DC102=0,"",DD102/DC102)</f>
        <v/>
      </c>
      <c r="DG102" s="52" t="n"/>
      <c r="DH102" s="72" t="n"/>
      <c r="DI102" s="72" t="n"/>
      <c r="DJ102" s="72">
        <f>DI102-DH102</f>
        <v/>
      </c>
      <c r="DK102" s="73">
        <f>IF(DH102=0,"",DI102/DH102)</f>
        <v/>
      </c>
      <c r="DL102" s="46" t="n"/>
      <c r="DM102" s="74">
        <f>G102+ L102+ V102+ AF102+ AP102+ AZ102+ BJ102+ BT102+ CD102+ CN102+ CX102+ DH102</f>
        <v/>
      </c>
      <c r="DN102" s="74">
        <f>H102+ M102+ W102+ AG102+ AQ102+ BA102+ BK102+ BU102+ CE102+ CO102+ CY102+ DI102</f>
        <v/>
      </c>
      <c r="DO102" s="74">
        <f>DN102-DM102</f>
        <v/>
      </c>
      <c r="DP102" s="75">
        <f>IF(DM102=0,"",DN102/DM102)</f>
        <v/>
      </c>
      <c r="DQ102" s="52" t="n"/>
      <c r="DR102" s="72">
        <f>G102+L102+V102+AF102+AP102+AZ102+BJ102+BT102+CD102+CN102+CX102+DH102</f>
        <v/>
      </c>
    </row>
    <row r="103" ht="15" customHeight="1">
      <c r="A103" s="67" t="n"/>
      <c r="B103" s="67" t="n"/>
      <c r="C103" s="67" t="n"/>
      <c r="D103" s="46" t="n"/>
      <c r="E103" s="46" t="n"/>
      <c r="F103" s="47" t="n"/>
      <c r="G103" s="72" t="n"/>
      <c r="H103" s="72" t="n"/>
      <c r="I103" s="72">
        <f>H103-G103</f>
        <v/>
      </c>
      <c r="J103" s="73">
        <f>IF(G103=0,"",H103/G103)</f>
        <v/>
      </c>
      <c r="K103" s="46" t="n"/>
      <c r="L103" s="72" t="n"/>
      <c r="M103" s="72" t="n"/>
      <c r="N103" s="72">
        <f>M103-L103</f>
        <v/>
      </c>
      <c r="O103" s="73">
        <f>IF(L103=0,"",M103/L103)</f>
        <v/>
      </c>
      <c r="P103" s="46" t="n"/>
      <c r="Q103" s="74">
        <f>G103+ L103</f>
        <v/>
      </c>
      <c r="R103" s="74">
        <f>H103+ M103</f>
        <v/>
      </c>
      <c r="S103" s="74">
        <f>R103-Q103</f>
        <v/>
      </c>
      <c r="T103" s="75">
        <f>IF(Q103=0,"",R103/Q103)</f>
        <v/>
      </c>
      <c r="U103" s="52" t="n"/>
      <c r="V103" s="72" t="n"/>
      <c r="W103" s="72" t="n"/>
      <c r="X103" s="72">
        <f>W103-V103</f>
        <v/>
      </c>
      <c r="Y103" s="73">
        <f>IF(V103=0,"",W103/V103)</f>
        <v/>
      </c>
      <c r="Z103" s="46" t="n"/>
      <c r="AA103" s="74">
        <f>G103+ L103+ V103</f>
        <v/>
      </c>
      <c r="AB103" s="74">
        <f>H103+ M103+ W103</f>
        <v/>
      </c>
      <c r="AC103" s="74">
        <f>AB103-AA103</f>
        <v/>
      </c>
      <c r="AD103" s="75">
        <f>IF(AA103=0,"",AB103/AA103)</f>
        <v/>
      </c>
      <c r="AE103" s="52" t="n"/>
      <c r="AF103" s="72" t="n"/>
      <c r="AG103" s="72" t="n"/>
      <c r="AH103" s="72">
        <f>AG103-AF103</f>
        <v/>
      </c>
      <c r="AI103" s="73">
        <f>IF(AF103=0,"",AG103/AF103)</f>
        <v/>
      </c>
      <c r="AJ103" s="46" t="n"/>
      <c r="AK103" s="74">
        <f>G103+ L103+ V103+ AF103</f>
        <v/>
      </c>
      <c r="AL103" s="74">
        <f>H103+ M103+ W103+ AG103</f>
        <v/>
      </c>
      <c r="AM103" s="74">
        <f>AL103-AK103</f>
        <v/>
      </c>
      <c r="AN103" s="75">
        <f>IF(AK103=0,"",AL103/AK103)</f>
        <v/>
      </c>
      <c r="AO103" s="52" t="n"/>
      <c r="AP103" s="72" t="n"/>
      <c r="AQ103" s="72" t="n"/>
      <c r="AR103" s="72">
        <f>AQ103-AP103</f>
        <v/>
      </c>
      <c r="AS103" s="73">
        <f>IF(AP103=0,"",AQ103/AP103)</f>
        <v/>
      </c>
      <c r="AT103" s="46" t="n"/>
      <c r="AU103" s="74">
        <f>G103+ L103+ V103+ AF103+ AP103</f>
        <v/>
      </c>
      <c r="AV103" s="74">
        <f>H103+ M103+ W103+ AG103+ AQ103</f>
        <v/>
      </c>
      <c r="AW103" s="74">
        <f>AV103-AU103</f>
        <v/>
      </c>
      <c r="AX103" s="75">
        <f>IF(AU103=0,"",AV103/AU103)</f>
        <v/>
      </c>
      <c r="AY103" s="52" t="n"/>
      <c r="AZ103" s="72" t="n"/>
      <c r="BA103" s="72" t="n"/>
      <c r="BB103" s="72">
        <f>BA103-AZ103</f>
        <v/>
      </c>
      <c r="BC103" s="73">
        <f>IF(AZ103=0,"",BA103/AZ103)</f>
        <v/>
      </c>
      <c r="BD103" s="46" t="n"/>
      <c r="BE103" s="74">
        <f>G103+ L103+ V103+ AF103+ AP103+ AZ103</f>
        <v/>
      </c>
      <c r="BF103" s="74">
        <f>H103+ M103+ W103+ AG103+ AQ103+ BA103</f>
        <v/>
      </c>
      <c r="BG103" s="74">
        <f>BF103-BE103</f>
        <v/>
      </c>
      <c r="BH103" s="75">
        <f>IF(BE103=0,"",BF103/BE103)</f>
        <v/>
      </c>
      <c r="BI103" s="52" t="n"/>
      <c r="BJ103" s="72" t="n"/>
      <c r="BK103" s="72" t="n"/>
      <c r="BL103" s="72">
        <f>BK103-BJ103</f>
        <v/>
      </c>
      <c r="BM103" s="73">
        <f>IF(BJ103=0,"",BK103/BJ103)</f>
        <v/>
      </c>
      <c r="BN103" s="46" t="n"/>
      <c r="BO103" s="74">
        <f>G103+ L103+ V103+ AF103+ AP103+ AZ103+ BJ103</f>
        <v/>
      </c>
      <c r="BP103" s="74">
        <f>H103+ M103+ W103+ AG103+ AQ103+ BA103+ BK103</f>
        <v/>
      </c>
      <c r="BQ103" s="74">
        <f>BP103-BO103</f>
        <v/>
      </c>
      <c r="BR103" s="75">
        <f>IF(BO103=0,"",BP103/BO103)</f>
        <v/>
      </c>
      <c r="BS103" s="52" t="n"/>
      <c r="BT103" s="72" t="n"/>
      <c r="BU103" s="72" t="n"/>
      <c r="BV103" s="72">
        <f>BU103-BT103</f>
        <v/>
      </c>
      <c r="BW103" s="73">
        <f>IF(BT103=0,"",BU103/BT103)</f>
        <v/>
      </c>
      <c r="BX103" s="46" t="n"/>
      <c r="BY103" s="74">
        <f>G103+ L103+ V103+ AF103+ AP103+ AZ103+ BJ103+ BT103</f>
        <v/>
      </c>
      <c r="BZ103" s="74">
        <f>H103+ M103+ W103+ AG103+ AQ103+ BA103+ BK103+ BU103</f>
        <v/>
      </c>
      <c r="CA103" s="74">
        <f>BZ103-BY103</f>
        <v/>
      </c>
      <c r="CB103" s="75">
        <f>IF(BY103=0,"",BZ103/BY103)</f>
        <v/>
      </c>
      <c r="CC103" s="52" t="n"/>
      <c r="CD103" s="72" t="n"/>
      <c r="CE103" s="72" t="n"/>
      <c r="CF103" s="72">
        <f>CE103-CD103</f>
        <v/>
      </c>
      <c r="CG103" s="73">
        <f>IF(CD103=0,"",CE103/CD103)</f>
        <v/>
      </c>
      <c r="CH103" s="46" t="n"/>
      <c r="CI103" s="74">
        <f>G103+ L103+ V103+ AF103+ AP103+ AZ103+ BJ103+ BT103+ CD103</f>
        <v/>
      </c>
      <c r="CJ103" s="74">
        <f>H103+ M103+ W103+ AG103+ AQ103+ BA103+ BK103+ BU103+ CE103</f>
        <v/>
      </c>
      <c r="CK103" s="74">
        <f>CJ103-CI103</f>
        <v/>
      </c>
      <c r="CL103" s="75">
        <f>IF(CI103=0,"",CJ103/CI103)</f>
        <v/>
      </c>
      <c r="CM103" s="52" t="n"/>
      <c r="CN103" s="72" t="n"/>
      <c r="CO103" s="72" t="n"/>
      <c r="CP103" s="72">
        <f>CO103-CN103</f>
        <v/>
      </c>
      <c r="CQ103" s="73">
        <f>IF(CN103=0,"",CO103/CN103)</f>
        <v/>
      </c>
      <c r="CR103" s="46" t="n"/>
      <c r="CS103" s="74">
        <f>G103+ L103+ V103+ AF103+ AP103+ AZ103+ BJ103+ BT103+ CD103+ CN103</f>
        <v/>
      </c>
      <c r="CT103" s="74">
        <f>H103+ M103+ W103+ AG103+ AQ103+ BA103+ BK103+ BU103+ CE103+ CO103</f>
        <v/>
      </c>
      <c r="CU103" s="74">
        <f>CT103-CS103</f>
        <v/>
      </c>
      <c r="CV103" s="75">
        <f>IF(CS103=0,"",CT103/CS103)</f>
        <v/>
      </c>
      <c r="CW103" s="52" t="n"/>
      <c r="CX103" s="72" t="n"/>
      <c r="CY103" s="72" t="n"/>
      <c r="CZ103" s="72">
        <f>CY103-CX103</f>
        <v/>
      </c>
      <c r="DA103" s="73">
        <f>IF(CX103=0,"",CY103/CX103)</f>
        <v/>
      </c>
      <c r="DB103" s="46" t="n"/>
      <c r="DC103" s="74">
        <f>G103+ L103+ V103+ AF103+ AP103+ AZ103+ BJ103+ BT103+ CD103+ CN103+ CX103</f>
        <v/>
      </c>
      <c r="DD103" s="74">
        <f>H103+ M103+ W103+ AG103+ AQ103+ BA103+ BK103+ BU103+ CE103+ CO103+ CY103</f>
        <v/>
      </c>
      <c r="DE103" s="74">
        <f>DD103-DC103</f>
        <v/>
      </c>
      <c r="DF103" s="75">
        <f>IF(DC103=0,"",DD103/DC103)</f>
        <v/>
      </c>
      <c r="DG103" s="52" t="n"/>
      <c r="DH103" s="72" t="n"/>
      <c r="DI103" s="72" t="n"/>
      <c r="DJ103" s="72">
        <f>DI103-DH103</f>
        <v/>
      </c>
      <c r="DK103" s="73">
        <f>IF(DH103=0,"",DI103/DH103)</f>
        <v/>
      </c>
      <c r="DL103" s="46" t="n"/>
      <c r="DM103" s="74">
        <f>G103+ L103+ V103+ AF103+ AP103+ AZ103+ BJ103+ BT103+ CD103+ CN103+ CX103+ DH103</f>
        <v/>
      </c>
      <c r="DN103" s="74">
        <f>H103+ M103+ W103+ AG103+ AQ103+ BA103+ BK103+ BU103+ CE103+ CO103+ CY103+ DI103</f>
        <v/>
      </c>
      <c r="DO103" s="74">
        <f>DN103-DM103</f>
        <v/>
      </c>
      <c r="DP103" s="75">
        <f>IF(DM103=0,"",DN103/DM103)</f>
        <v/>
      </c>
      <c r="DQ103" s="52" t="n"/>
      <c r="DR103" s="72">
        <f>G103+L103+V103+AF103+AP103+AZ103+BJ103+BT103+CD103+CN103+CX103+DH103</f>
        <v/>
      </c>
    </row>
    <row r="104" ht="15" customHeight="1">
      <c r="A104" s="55" t="n"/>
      <c r="B104" s="55" t="n"/>
      <c r="C104" s="55" t="n"/>
      <c r="D104" s="46" t="n"/>
      <c r="E104" s="46" t="n"/>
      <c r="F104" s="47" t="n"/>
      <c r="G104" s="72" t="n"/>
      <c r="H104" s="72" t="n"/>
      <c r="I104" s="72">
        <f>H104-G104</f>
        <v/>
      </c>
      <c r="J104" s="73">
        <f>IF(G104=0,"",H104/G104)</f>
        <v/>
      </c>
      <c r="K104" s="46" t="n"/>
      <c r="L104" s="72" t="n"/>
      <c r="M104" s="72" t="n"/>
      <c r="N104" s="72">
        <f>M104-L104</f>
        <v/>
      </c>
      <c r="O104" s="73">
        <f>IF(L104=0,"",M104/L104)</f>
        <v/>
      </c>
      <c r="P104" s="46" t="n"/>
      <c r="Q104" s="74">
        <f>G104+ L104</f>
        <v/>
      </c>
      <c r="R104" s="74">
        <f>H104+ M104</f>
        <v/>
      </c>
      <c r="S104" s="74">
        <f>R104-Q104</f>
        <v/>
      </c>
      <c r="T104" s="75">
        <f>IF(Q104=0,"",R104/Q104)</f>
        <v/>
      </c>
      <c r="U104" s="52" t="n"/>
      <c r="V104" s="72" t="n"/>
      <c r="W104" s="72" t="n"/>
      <c r="X104" s="72">
        <f>W104-V104</f>
        <v/>
      </c>
      <c r="Y104" s="73">
        <f>IF(V104=0,"",W104/V104)</f>
        <v/>
      </c>
      <c r="Z104" s="46" t="n"/>
      <c r="AA104" s="74">
        <f>G104+ L104+ V104</f>
        <v/>
      </c>
      <c r="AB104" s="74">
        <f>H104+ M104+ W104</f>
        <v/>
      </c>
      <c r="AC104" s="74">
        <f>AB104-AA104</f>
        <v/>
      </c>
      <c r="AD104" s="75">
        <f>IF(AA104=0,"",AB104/AA104)</f>
        <v/>
      </c>
      <c r="AE104" s="52" t="n"/>
      <c r="AF104" s="72" t="n"/>
      <c r="AG104" s="72" t="n"/>
      <c r="AH104" s="72">
        <f>AG104-AF104</f>
        <v/>
      </c>
      <c r="AI104" s="73">
        <f>IF(AF104=0,"",AG104/AF104)</f>
        <v/>
      </c>
      <c r="AJ104" s="46" t="n"/>
      <c r="AK104" s="74">
        <f>G104+ L104+ V104+ AF104</f>
        <v/>
      </c>
      <c r="AL104" s="74">
        <f>H104+ M104+ W104+ AG104</f>
        <v/>
      </c>
      <c r="AM104" s="74">
        <f>AL104-AK104</f>
        <v/>
      </c>
      <c r="AN104" s="75">
        <f>IF(AK104=0,"",AL104/AK104)</f>
        <v/>
      </c>
      <c r="AO104" s="52" t="n"/>
      <c r="AP104" s="72" t="n"/>
      <c r="AQ104" s="72" t="n"/>
      <c r="AR104" s="72">
        <f>AQ104-AP104</f>
        <v/>
      </c>
      <c r="AS104" s="73">
        <f>IF(AP104=0,"",AQ104/AP104)</f>
        <v/>
      </c>
      <c r="AT104" s="46" t="n"/>
      <c r="AU104" s="74">
        <f>G104+ L104+ V104+ AF104+ AP104</f>
        <v/>
      </c>
      <c r="AV104" s="74">
        <f>H104+ M104+ W104+ AG104+ AQ104</f>
        <v/>
      </c>
      <c r="AW104" s="74">
        <f>AV104-AU104</f>
        <v/>
      </c>
      <c r="AX104" s="75">
        <f>IF(AU104=0,"",AV104/AU104)</f>
        <v/>
      </c>
      <c r="AY104" s="52" t="n"/>
      <c r="AZ104" s="72" t="n"/>
      <c r="BA104" s="72" t="n"/>
      <c r="BB104" s="72">
        <f>BA104-AZ104</f>
        <v/>
      </c>
      <c r="BC104" s="73">
        <f>IF(AZ104=0,"",BA104/AZ104)</f>
        <v/>
      </c>
      <c r="BD104" s="46" t="n"/>
      <c r="BE104" s="74">
        <f>G104+ L104+ V104+ AF104+ AP104+ AZ104</f>
        <v/>
      </c>
      <c r="BF104" s="74">
        <f>H104+ M104+ W104+ AG104+ AQ104+ BA104</f>
        <v/>
      </c>
      <c r="BG104" s="74">
        <f>BF104-BE104</f>
        <v/>
      </c>
      <c r="BH104" s="75">
        <f>IF(BE104=0,"",BF104/BE104)</f>
        <v/>
      </c>
      <c r="BI104" s="52" t="n"/>
      <c r="BJ104" s="72" t="n"/>
      <c r="BK104" s="72" t="n"/>
      <c r="BL104" s="72">
        <f>BK104-BJ104</f>
        <v/>
      </c>
      <c r="BM104" s="73">
        <f>IF(BJ104=0,"",BK104/BJ104)</f>
        <v/>
      </c>
      <c r="BN104" s="46" t="n"/>
      <c r="BO104" s="74">
        <f>G104+ L104+ V104+ AF104+ AP104+ AZ104+ BJ104</f>
        <v/>
      </c>
      <c r="BP104" s="74">
        <f>H104+ M104+ W104+ AG104+ AQ104+ BA104+ BK104</f>
        <v/>
      </c>
      <c r="BQ104" s="74">
        <f>BP104-BO104</f>
        <v/>
      </c>
      <c r="BR104" s="75">
        <f>IF(BO104=0,"",BP104/BO104)</f>
        <v/>
      </c>
      <c r="BS104" s="52" t="n"/>
      <c r="BT104" s="72" t="n"/>
      <c r="BU104" s="72" t="n"/>
      <c r="BV104" s="72">
        <f>BU104-BT104</f>
        <v/>
      </c>
      <c r="BW104" s="73">
        <f>IF(BT104=0,"",BU104/BT104)</f>
        <v/>
      </c>
      <c r="BX104" s="46" t="n"/>
      <c r="BY104" s="74">
        <f>G104+ L104+ V104+ AF104+ AP104+ AZ104+ BJ104+ BT104</f>
        <v/>
      </c>
      <c r="BZ104" s="74">
        <f>H104+ M104+ W104+ AG104+ AQ104+ BA104+ BK104+ BU104</f>
        <v/>
      </c>
      <c r="CA104" s="74">
        <f>BZ104-BY104</f>
        <v/>
      </c>
      <c r="CB104" s="75">
        <f>IF(BY104=0,"",BZ104/BY104)</f>
        <v/>
      </c>
      <c r="CC104" s="52" t="n"/>
      <c r="CD104" s="72" t="n"/>
      <c r="CE104" s="72" t="n"/>
      <c r="CF104" s="72">
        <f>CE104-CD104</f>
        <v/>
      </c>
      <c r="CG104" s="73">
        <f>IF(CD104=0,"",CE104/CD104)</f>
        <v/>
      </c>
      <c r="CH104" s="46" t="n"/>
      <c r="CI104" s="74">
        <f>G104+ L104+ V104+ AF104+ AP104+ AZ104+ BJ104+ BT104+ CD104</f>
        <v/>
      </c>
      <c r="CJ104" s="74">
        <f>H104+ M104+ W104+ AG104+ AQ104+ BA104+ BK104+ BU104+ CE104</f>
        <v/>
      </c>
      <c r="CK104" s="74">
        <f>CJ104-CI104</f>
        <v/>
      </c>
      <c r="CL104" s="75">
        <f>IF(CI104=0,"",CJ104/CI104)</f>
        <v/>
      </c>
      <c r="CM104" s="52" t="n"/>
      <c r="CN104" s="72" t="n"/>
      <c r="CO104" s="72" t="n"/>
      <c r="CP104" s="72">
        <f>CO104-CN104</f>
        <v/>
      </c>
      <c r="CQ104" s="73">
        <f>IF(CN104=0,"",CO104/CN104)</f>
        <v/>
      </c>
      <c r="CR104" s="46" t="n"/>
      <c r="CS104" s="74">
        <f>G104+ L104+ V104+ AF104+ AP104+ AZ104+ BJ104+ BT104+ CD104+ CN104</f>
        <v/>
      </c>
      <c r="CT104" s="74">
        <f>H104+ M104+ W104+ AG104+ AQ104+ BA104+ BK104+ BU104+ CE104+ CO104</f>
        <v/>
      </c>
      <c r="CU104" s="74">
        <f>CT104-CS104</f>
        <v/>
      </c>
      <c r="CV104" s="75">
        <f>IF(CS104=0,"",CT104/CS104)</f>
        <v/>
      </c>
      <c r="CW104" s="52" t="n"/>
      <c r="CX104" s="72" t="n"/>
      <c r="CY104" s="72" t="n"/>
      <c r="CZ104" s="72">
        <f>CY104-CX104</f>
        <v/>
      </c>
      <c r="DA104" s="73">
        <f>IF(CX104=0,"",CY104/CX104)</f>
        <v/>
      </c>
      <c r="DB104" s="46" t="n"/>
      <c r="DC104" s="74">
        <f>G104+ L104+ V104+ AF104+ AP104+ AZ104+ BJ104+ BT104+ CD104+ CN104+ CX104</f>
        <v/>
      </c>
      <c r="DD104" s="74">
        <f>H104+ M104+ W104+ AG104+ AQ104+ BA104+ BK104+ BU104+ CE104+ CO104+ CY104</f>
        <v/>
      </c>
      <c r="DE104" s="74">
        <f>DD104-DC104</f>
        <v/>
      </c>
      <c r="DF104" s="75">
        <f>IF(DC104=0,"",DD104/DC104)</f>
        <v/>
      </c>
      <c r="DG104" s="52" t="n"/>
      <c r="DH104" s="72" t="n"/>
      <c r="DI104" s="72" t="n"/>
      <c r="DJ104" s="72">
        <f>DI104-DH104</f>
        <v/>
      </c>
      <c r="DK104" s="73">
        <f>IF(DH104=0,"",DI104/DH104)</f>
        <v/>
      </c>
      <c r="DL104" s="46" t="n"/>
      <c r="DM104" s="74">
        <f>G104+ L104+ V104+ AF104+ AP104+ AZ104+ BJ104+ BT104+ CD104+ CN104+ CX104+ DH104</f>
        <v/>
      </c>
      <c r="DN104" s="74">
        <f>H104+ M104+ W104+ AG104+ AQ104+ BA104+ BK104+ BU104+ CE104+ CO104+ CY104+ DI104</f>
        <v/>
      </c>
      <c r="DO104" s="74">
        <f>DN104-DM104</f>
        <v/>
      </c>
      <c r="DP104" s="75">
        <f>IF(DM104=0,"",DN104/DM104)</f>
        <v/>
      </c>
      <c r="DQ104" s="52" t="n"/>
      <c r="DR104" s="72">
        <f>G104+L104+V104+AF104+AP104+AZ104+BJ104+BT104+CD104+CN104+CX104+DH104</f>
        <v/>
      </c>
    </row>
    <row r="105" ht="15" customHeight="1">
      <c r="A105" s="46" t="n"/>
      <c r="B105" s="46" t="n"/>
      <c r="C105" s="46" t="n"/>
      <c r="D105" s="46" t="n"/>
      <c r="E105" s="46" t="n"/>
      <c r="F105" s="47" t="n"/>
      <c r="G105" s="72" t="n"/>
      <c r="H105" s="72" t="n"/>
      <c r="I105" s="72">
        <f>H105-G105</f>
        <v/>
      </c>
      <c r="J105" s="73">
        <f>IF(G105=0,"",H105/G105)</f>
        <v/>
      </c>
      <c r="K105" s="46" t="n"/>
      <c r="L105" s="72" t="n"/>
      <c r="M105" s="72" t="n"/>
      <c r="N105" s="72">
        <f>M105-L105</f>
        <v/>
      </c>
      <c r="O105" s="73">
        <f>IF(L105=0,"",M105/L105)</f>
        <v/>
      </c>
      <c r="P105" s="46" t="n"/>
      <c r="Q105" s="74">
        <f>G105+ L105</f>
        <v/>
      </c>
      <c r="R105" s="74">
        <f>H105+ M105</f>
        <v/>
      </c>
      <c r="S105" s="74">
        <f>R105-Q105</f>
        <v/>
      </c>
      <c r="T105" s="75">
        <f>IF(Q105=0,"",R105/Q105)</f>
        <v/>
      </c>
      <c r="U105" s="52" t="n"/>
      <c r="V105" s="72" t="n"/>
      <c r="W105" s="72" t="n"/>
      <c r="X105" s="72">
        <f>W105-V105</f>
        <v/>
      </c>
      <c r="Y105" s="73">
        <f>IF(V105=0,"",W105/V105)</f>
        <v/>
      </c>
      <c r="Z105" s="46" t="n"/>
      <c r="AA105" s="74">
        <f>G105+ L105+ V105</f>
        <v/>
      </c>
      <c r="AB105" s="74">
        <f>H105+ M105+ W105</f>
        <v/>
      </c>
      <c r="AC105" s="74">
        <f>AB105-AA105</f>
        <v/>
      </c>
      <c r="AD105" s="75">
        <f>IF(AA105=0,"",AB105/AA105)</f>
        <v/>
      </c>
      <c r="AE105" s="52" t="n"/>
      <c r="AF105" s="72" t="n"/>
      <c r="AG105" s="72" t="n"/>
      <c r="AH105" s="72">
        <f>AG105-AF105</f>
        <v/>
      </c>
      <c r="AI105" s="73">
        <f>IF(AF105=0,"",AG105/AF105)</f>
        <v/>
      </c>
      <c r="AJ105" s="46" t="n"/>
      <c r="AK105" s="74">
        <f>G105+ L105+ V105+ AF105</f>
        <v/>
      </c>
      <c r="AL105" s="74">
        <f>H105+ M105+ W105+ AG105</f>
        <v/>
      </c>
      <c r="AM105" s="74">
        <f>AL105-AK105</f>
        <v/>
      </c>
      <c r="AN105" s="75">
        <f>IF(AK105=0,"",AL105/AK105)</f>
        <v/>
      </c>
      <c r="AO105" s="52" t="n"/>
      <c r="AP105" s="72" t="n"/>
      <c r="AQ105" s="72" t="n"/>
      <c r="AR105" s="72">
        <f>AQ105-AP105</f>
        <v/>
      </c>
      <c r="AS105" s="73">
        <f>IF(AP105=0,"",AQ105/AP105)</f>
        <v/>
      </c>
      <c r="AT105" s="46" t="n"/>
      <c r="AU105" s="74">
        <f>G105+ L105+ V105+ AF105+ AP105</f>
        <v/>
      </c>
      <c r="AV105" s="74">
        <f>H105+ M105+ W105+ AG105+ AQ105</f>
        <v/>
      </c>
      <c r="AW105" s="74">
        <f>AV105-AU105</f>
        <v/>
      </c>
      <c r="AX105" s="75">
        <f>IF(AU105=0,"",AV105/AU105)</f>
        <v/>
      </c>
      <c r="AY105" s="52" t="n"/>
      <c r="AZ105" s="72" t="n"/>
      <c r="BA105" s="72" t="n"/>
      <c r="BB105" s="72">
        <f>BA105-AZ105</f>
        <v/>
      </c>
      <c r="BC105" s="73">
        <f>IF(AZ105=0,"",BA105/AZ105)</f>
        <v/>
      </c>
      <c r="BD105" s="46" t="n"/>
      <c r="BE105" s="74">
        <f>G105+ L105+ V105+ AF105+ AP105+ AZ105</f>
        <v/>
      </c>
      <c r="BF105" s="74">
        <f>H105+ M105+ W105+ AG105+ AQ105+ BA105</f>
        <v/>
      </c>
      <c r="BG105" s="74">
        <f>BF105-BE105</f>
        <v/>
      </c>
      <c r="BH105" s="75">
        <f>IF(BE105=0,"",BF105/BE105)</f>
        <v/>
      </c>
      <c r="BI105" s="52" t="n"/>
      <c r="BJ105" s="72" t="n"/>
      <c r="BK105" s="72" t="n"/>
      <c r="BL105" s="72">
        <f>BK105-BJ105</f>
        <v/>
      </c>
      <c r="BM105" s="73">
        <f>IF(BJ105=0,"",BK105/BJ105)</f>
        <v/>
      </c>
      <c r="BN105" s="46" t="n"/>
      <c r="BO105" s="74">
        <f>G105+ L105+ V105+ AF105+ AP105+ AZ105+ BJ105</f>
        <v/>
      </c>
      <c r="BP105" s="74">
        <f>H105+ M105+ W105+ AG105+ AQ105+ BA105+ BK105</f>
        <v/>
      </c>
      <c r="BQ105" s="74">
        <f>BP105-BO105</f>
        <v/>
      </c>
      <c r="BR105" s="75">
        <f>IF(BO105=0,"",BP105/BO105)</f>
        <v/>
      </c>
      <c r="BS105" s="52" t="n"/>
      <c r="BT105" s="72" t="n"/>
      <c r="BU105" s="72" t="n"/>
      <c r="BV105" s="72">
        <f>BU105-BT105</f>
        <v/>
      </c>
      <c r="BW105" s="73">
        <f>IF(BT105=0,"",BU105/BT105)</f>
        <v/>
      </c>
      <c r="BX105" s="46" t="n"/>
      <c r="BY105" s="74">
        <f>G105+ L105+ V105+ AF105+ AP105+ AZ105+ BJ105+ BT105</f>
        <v/>
      </c>
      <c r="BZ105" s="74">
        <f>H105+ M105+ W105+ AG105+ AQ105+ BA105+ BK105+ BU105</f>
        <v/>
      </c>
      <c r="CA105" s="74">
        <f>BZ105-BY105</f>
        <v/>
      </c>
      <c r="CB105" s="75">
        <f>IF(BY105=0,"",BZ105/BY105)</f>
        <v/>
      </c>
      <c r="CC105" s="52" t="n"/>
      <c r="CD105" s="72" t="n"/>
      <c r="CE105" s="72" t="n"/>
      <c r="CF105" s="72">
        <f>CE105-CD105</f>
        <v/>
      </c>
      <c r="CG105" s="73">
        <f>IF(CD105=0,"",CE105/CD105)</f>
        <v/>
      </c>
      <c r="CH105" s="46" t="n"/>
      <c r="CI105" s="74">
        <f>G105+ L105+ V105+ AF105+ AP105+ AZ105+ BJ105+ BT105+ CD105</f>
        <v/>
      </c>
      <c r="CJ105" s="74">
        <f>H105+ M105+ W105+ AG105+ AQ105+ BA105+ BK105+ BU105+ CE105</f>
        <v/>
      </c>
      <c r="CK105" s="74">
        <f>CJ105-CI105</f>
        <v/>
      </c>
      <c r="CL105" s="75">
        <f>IF(CI105=0,"",CJ105/CI105)</f>
        <v/>
      </c>
      <c r="CM105" s="52" t="n"/>
      <c r="CN105" s="72" t="n"/>
      <c r="CO105" s="72" t="n"/>
      <c r="CP105" s="72">
        <f>CO105-CN105</f>
        <v/>
      </c>
      <c r="CQ105" s="73">
        <f>IF(CN105=0,"",CO105/CN105)</f>
        <v/>
      </c>
      <c r="CR105" s="46" t="n"/>
      <c r="CS105" s="74">
        <f>G105+ L105+ V105+ AF105+ AP105+ AZ105+ BJ105+ BT105+ CD105+ CN105</f>
        <v/>
      </c>
      <c r="CT105" s="74">
        <f>H105+ M105+ W105+ AG105+ AQ105+ BA105+ BK105+ BU105+ CE105+ CO105</f>
        <v/>
      </c>
      <c r="CU105" s="74">
        <f>CT105-CS105</f>
        <v/>
      </c>
      <c r="CV105" s="75">
        <f>IF(CS105=0,"",CT105/CS105)</f>
        <v/>
      </c>
      <c r="CW105" s="52" t="n"/>
      <c r="CX105" s="72" t="n"/>
      <c r="CY105" s="72" t="n"/>
      <c r="CZ105" s="72">
        <f>CY105-CX105</f>
        <v/>
      </c>
      <c r="DA105" s="73">
        <f>IF(CX105=0,"",CY105/CX105)</f>
        <v/>
      </c>
      <c r="DB105" s="46" t="n"/>
      <c r="DC105" s="74">
        <f>G105+ L105+ V105+ AF105+ AP105+ AZ105+ BJ105+ BT105+ CD105+ CN105+ CX105</f>
        <v/>
      </c>
      <c r="DD105" s="74">
        <f>H105+ M105+ W105+ AG105+ AQ105+ BA105+ BK105+ BU105+ CE105+ CO105+ CY105</f>
        <v/>
      </c>
      <c r="DE105" s="74">
        <f>DD105-DC105</f>
        <v/>
      </c>
      <c r="DF105" s="75">
        <f>IF(DC105=0,"",DD105/DC105)</f>
        <v/>
      </c>
      <c r="DG105" s="52" t="n"/>
      <c r="DH105" s="72" t="n"/>
      <c r="DI105" s="72" t="n"/>
      <c r="DJ105" s="72">
        <f>DI105-DH105</f>
        <v/>
      </c>
      <c r="DK105" s="73">
        <f>IF(DH105=0,"",DI105/DH105)</f>
        <v/>
      </c>
      <c r="DL105" s="46" t="n"/>
      <c r="DM105" s="74">
        <f>G105+ L105+ V105+ AF105+ AP105+ AZ105+ BJ105+ BT105+ CD105+ CN105+ CX105+ DH105</f>
        <v/>
      </c>
      <c r="DN105" s="74">
        <f>H105+ M105+ W105+ AG105+ AQ105+ BA105+ BK105+ BU105+ CE105+ CO105+ CY105+ DI105</f>
        <v/>
      </c>
      <c r="DO105" s="74">
        <f>DN105-DM105</f>
        <v/>
      </c>
      <c r="DP105" s="75">
        <f>IF(DM105=0,"",DN105/DM105)</f>
        <v/>
      </c>
      <c r="DQ105" s="52" t="n"/>
      <c r="DR105" s="72">
        <f>G105+L105+V105+AF105+AP105+AZ105+BJ105+BT105+CD105+CN105+CX105+DH105</f>
        <v/>
      </c>
    </row>
    <row r="106" ht="15" customHeight="1">
      <c r="A106" s="67" t="n"/>
      <c r="B106" s="67" t="n"/>
      <c r="C106" s="67" t="n"/>
      <c r="D106" s="46" t="n"/>
      <c r="E106" s="46" t="n"/>
      <c r="F106" s="47" t="n"/>
      <c r="G106" s="72" t="n"/>
      <c r="H106" s="72" t="n"/>
      <c r="I106" s="72">
        <f>H106-G106</f>
        <v/>
      </c>
      <c r="J106" s="73">
        <f>IF(G106=0,"",H106/G106)</f>
        <v/>
      </c>
      <c r="K106" s="46" t="n"/>
      <c r="L106" s="72" t="n"/>
      <c r="M106" s="72" t="n"/>
      <c r="N106" s="72">
        <f>M106-L106</f>
        <v/>
      </c>
      <c r="O106" s="73">
        <f>IF(L106=0,"",M106/L106)</f>
        <v/>
      </c>
      <c r="P106" s="46" t="n"/>
      <c r="Q106" s="74">
        <f>G106+ L106</f>
        <v/>
      </c>
      <c r="R106" s="74">
        <f>H106+ M106</f>
        <v/>
      </c>
      <c r="S106" s="74">
        <f>R106-Q106</f>
        <v/>
      </c>
      <c r="T106" s="75">
        <f>IF(Q106=0,"",R106/Q106)</f>
        <v/>
      </c>
      <c r="U106" s="52" t="n"/>
      <c r="V106" s="72" t="n"/>
      <c r="W106" s="72" t="n"/>
      <c r="X106" s="72">
        <f>W106-V106</f>
        <v/>
      </c>
      <c r="Y106" s="73">
        <f>IF(V106=0,"",W106/V106)</f>
        <v/>
      </c>
      <c r="Z106" s="46" t="n"/>
      <c r="AA106" s="74">
        <f>G106+ L106+ V106</f>
        <v/>
      </c>
      <c r="AB106" s="74">
        <f>H106+ M106+ W106</f>
        <v/>
      </c>
      <c r="AC106" s="74">
        <f>AB106-AA106</f>
        <v/>
      </c>
      <c r="AD106" s="75">
        <f>IF(AA106=0,"",AB106/AA106)</f>
        <v/>
      </c>
      <c r="AE106" s="52" t="n"/>
      <c r="AF106" s="72" t="n"/>
      <c r="AG106" s="72" t="n"/>
      <c r="AH106" s="72">
        <f>AG106-AF106</f>
        <v/>
      </c>
      <c r="AI106" s="73">
        <f>IF(AF106=0,"",AG106/AF106)</f>
        <v/>
      </c>
      <c r="AJ106" s="46" t="n"/>
      <c r="AK106" s="74">
        <f>G106+ L106+ V106+ AF106</f>
        <v/>
      </c>
      <c r="AL106" s="74">
        <f>H106+ M106+ W106+ AG106</f>
        <v/>
      </c>
      <c r="AM106" s="74">
        <f>AL106-AK106</f>
        <v/>
      </c>
      <c r="AN106" s="75">
        <f>IF(AK106=0,"",AL106/AK106)</f>
        <v/>
      </c>
      <c r="AO106" s="52" t="n"/>
      <c r="AP106" s="72" t="n"/>
      <c r="AQ106" s="72" t="n"/>
      <c r="AR106" s="72">
        <f>AQ106-AP106</f>
        <v/>
      </c>
      <c r="AS106" s="73">
        <f>IF(AP106=0,"",AQ106/AP106)</f>
        <v/>
      </c>
      <c r="AT106" s="46" t="n"/>
      <c r="AU106" s="74">
        <f>G106+ L106+ V106+ AF106+ AP106</f>
        <v/>
      </c>
      <c r="AV106" s="74">
        <f>H106+ M106+ W106+ AG106+ AQ106</f>
        <v/>
      </c>
      <c r="AW106" s="74">
        <f>AV106-AU106</f>
        <v/>
      </c>
      <c r="AX106" s="75">
        <f>IF(AU106=0,"",AV106/AU106)</f>
        <v/>
      </c>
      <c r="AY106" s="52" t="n"/>
      <c r="AZ106" s="72" t="n"/>
      <c r="BA106" s="72" t="n"/>
      <c r="BB106" s="72">
        <f>BA106-AZ106</f>
        <v/>
      </c>
      <c r="BC106" s="73">
        <f>IF(AZ106=0,"",BA106/AZ106)</f>
        <v/>
      </c>
      <c r="BD106" s="46" t="n"/>
      <c r="BE106" s="74">
        <f>G106+ L106+ V106+ AF106+ AP106+ AZ106</f>
        <v/>
      </c>
      <c r="BF106" s="74">
        <f>H106+ M106+ W106+ AG106+ AQ106+ BA106</f>
        <v/>
      </c>
      <c r="BG106" s="74">
        <f>BF106-BE106</f>
        <v/>
      </c>
      <c r="BH106" s="75">
        <f>IF(BE106=0,"",BF106/BE106)</f>
        <v/>
      </c>
      <c r="BI106" s="52" t="n"/>
      <c r="BJ106" s="72" t="n"/>
      <c r="BK106" s="72" t="n"/>
      <c r="BL106" s="72">
        <f>BK106-BJ106</f>
        <v/>
      </c>
      <c r="BM106" s="73">
        <f>IF(BJ106=0,"",BK106/BJ106)</f>
        <v/>
      </c>
      <c r="BN106" s="46" t="n"/>
      <c r="BO106" s="74">
        <f>G106+ L106+ V106+ AF106+ AP106+ AZ106+ BJ106</f>
        <v/>
      </c>
      <c r="BP106" s="74">
        <f>H106+ M106+ W106+ AG106+ AQ106+ BA106+ BK106</f>
        <v/>
      </c>
      <c r="BQ106" s="74">
        <f>BP106-BO106</f>
        <v/>
      </c>
      <c r="BR106" s="75">
        <f>IF(BO106=0,"",BP106/BO106)</f>
        <v/>
      </c>
      <c r="BS106" s="52" t="n"/>
      <c r="BT106" s="72" t="n"/>
      <c r="BU106" s="72" t="n"/>
      <c r="BV106" s="72">
        <f>BU106-BT106</f>
        <v/>
      </c>
      <c r="BW106" s="73">
        <f>IF(BT106=0,"",BU106/BT106)</f>
        <v/>
      </c>
      <c r="BX106" s="46" t="n"/>
      <c r="BY106" s="74">
        <f>G106+ L106+ V106+ AF106+ AP106+ AZ106+ BJ106+ BT106</f>
        <v/>
      </c>
      <c r="BZ106" s="74">
        <f>H106+ M106+ W106+ AG106+ AQ106+ BA106+ BK106+ BU106</f>
        <v/>
      </c>
      <c r="CA106" s="74">
        <f>BZ106-BY106</f>
        <v/>
      </c>
      <c r="CB106" s="75">
        <f>IF(BY106=0,"",BZ106/BY106)</f>
        <v/>
      </c>
      <c r="CC106" s="52" t="n"/>
      <c r="CD106" s="72" t="n"/>
      <c r="CE106" s="72" t="n"/>
      <c r="CF106" s="72">
        <f>CE106-CD106</f>
        <v/>
      </c>
      <c r="CG106" s="73">
        <f>IF(CD106=0,"",CE106/CD106)</f>
        <v/>
      </c>
      <c r="CH106" s="46" t="n"/>
      <c r="CI106" s="74">
        <f>G106+ L106+ V106+ AF106+ AP106+ AZ106+ BJ106+ BT106+ CD106</f>
        <v/>
      </c>
      <c r="CJ106" s="74">
        <f>H106+ M106+ W106+ AG106+ AQ106+ BA106+ BK106+ BU106+ CE106</f>
        <v/>
      </c>
      <c r="CK106" s="74">
        <f>CJ106-CI106</f>
        <v/>
      </c>
      <c r="CL106" s="75">
        <f>IF(CI106=0,"",CJ106/CI106)</f>
        <v/>
      </c>
      <c r="CM106" s="52" t="n"/>
      <c r="CN106" s="72" t="n"/>
      <c r="CO106" s="72" t="n"/>
      <c r="CP106" s="72">
        <f>CO106-CN106</f>
        <v/>
      </c>
      <c r="CQ106" s="73">
        <f>IF(CN106=0,"",CO106/CN106)</f>
        <v/>
      </c>
      <c r="CR106" s="46" t="n"/>
      <c r="CS106" s="74">
        <f>G106+ L106+ V106+ AF106+ AP106+ AZ106+ BJ106+ BT106+ CD106+ CN106</f>
        <v/>
      </c>
      <c r="CT106" s="74">
        <f>H106+ M106+ W106+ AG106+ AQ106+ BA106+ BK106+ BU106+ CE106+ CO106</f>
        <v/>
      </c>
      <c r="CU106" s="74">
        <f>CT106-CS106</f>
        <v/>
      </c>
      <c r="CV106" s="75">
        <f>IF(CS106=0,"",CT106/CS106)</f>
        <v/>
      </c>
      <c r="CW106" s="52" t="n"/>
      <c r="CX106" s="72" t="n"/>
      <c r="CY106" s="72" t="n"/>
      <c r="CZ106" s="72">
        <f>CY106-CX106</f>
        <v/>
      </c>
      <c r="DA106" s="73">
        <f>IF(CX106=0,"",CY106/CX106)</f>
        <v/>
      </c>
      <c r="DB106" s="46" t="n"/>
      <c r="DC106" s="74">
        <f>G106+ L106+ V106+ AF106+ AP106+ AZ106+ BJ106+ BT106+ CD106+ CN106+ CX106</f>
        <v/>
      </c>
      <c r="DD106" s="74">
        <f>H106+ M106+ W106+ AG106+ AQ106+ BA106+ BK106+ BU106+ CE106+ CO106+ CY106</f>
        <v/>
      </c>
      <c r="DE106" s="74">
        <f>DD106-DC106</f>
        <v/>
      </c>
      <c r="DF106" s="75">
        <f>IF(DC106=0,"",DD106/DC106)</f>
        <v/>
      </c>
      <c r="DG106" s="52" t="n"/>
      <c r="DH106" s="72" t="n"/>
      <c r="DI106" s="72" t="n"/>
      <c r="DJ106" s="72">
        <f>DI106-DH106</f>
        <v/>
      </c>
      <c r="DK106" s="73">
        <f>IF(DH106=0,"",DI106/DH106)</f>
        <v/>
      </c>
      <c r="DL106" s="46" t="n"/>
      <c r="DM106" s="74">
        <f>G106+ L106+ V106+ AF106+ AP106+ AZ106+ BJ106+ BT106+ CD106+ CN106+ CX106+ DH106</f>
        <v/>
      </c>
      <c r="DN106" s="74">
        <f>H106+ M106+ W106+ AG106+ AQ106+ BA106+ BK106+ BU106+ CE106+ CO106+ CY106+ DI106</f>
        <v/>
      </c>
      <c r="DO106" s="74">
        <f>DN106-DM106</f>
        <v/>
      </c>
      <c r="DP106" s="75">
        <f>IF(DM106=0,"",DN106/DM106)</f>
        <v/>
      </c>
      <c r="DQ106" s="52" t="n"/>
      <c r="DR106" s="72">
        <f>G106+L106+V106+AF106+AP106+AZ106+BJ106+BT106+CD106+CN106+CX106+DH106</f>
        <v/>
      </c>
    </row>
    <row r="107" ht="15" customHeight="1">
      <c r="A107" s="67" t="n"/>
      <c r="B107" s="67" t="n"/>
      <c r="C107" s="67" t="n"/>
      <c r="D107" s="46" t="n"/>
      <c r="E107" s="46" t="n"/>
      <c r="F107" s="47" t="n"/>
      <c r="G107" s="72" t="n"/>
      <c r="H107" s="72" t="n"/>
      <c r="I107" s="72">
        <f>H107-G107</f>
        <v/>
      </c>
      <c r="J107" s="73">
        <f>IF(G107=0,"",H107/G107)</f>
        <v/>
      </c>
      <c r="K107" s="46" t="n"/>
      <c r="L107" s="72" t="n"/>
      <c r="M107" s="72" t="n"/>
      <c r="N107" s="72">
        <f>M107-L107</f>
        <v/>
      </c>
      <c r="O107" s="73">
        <f>IF(L107=0,"",M107/L107)</f>
        <v/>
      </c>
      <c r="P107" s="46" t="n"/>
      <c r="Q107" s="74">
        <f>G107+ L107</f>
        <v/>
      </c>
      <c r="R107" s="74">
        <f>H107+ M107</f>
        <v/>
      </c>
      <c r="S107" s="74">
        <f>R107-Q107</f>
        <v/>
      </c>
      <c r="T107" s="75">
        <f>IF(Q107=0,"",R107/Q107)</f>
        <v/>
      </c>
      <c r="U107" s="52" t="n"/>
      <c r="V107" s="72" t="n"/>
      <c r="W107" s="72" t="n"/>
      <c r="X107" s="72">
        <f>W107-V107</f>
        <v/>
      </c>
      <c r="Y107" s="73">
        <f>IF(V107=0,"",W107/V107)</f>
        <v/>
      </c>
      <c r="Z107" s="46" t="n"/>
      <c r="AA107" s="74">
        <f>G107+ L107+ V107</f>
        <v/>
      </c>
      <c r="AB107" s="74">
        <f>H107+ M107+ W107</f>
        <v/>
      </c>
      <c r="AC107" s="74">
        <f>AB107-AA107</f>
        <v/>
      </c>
      <c r="AD107" s="75">
        <f>IF(AA107=0,"",AB107/AA107)</f>
        <v/>
      </c>
      <c r="AE107" s="52" t="n"/>
      <c r="AF107" s="72" t="n"/>
      <c r="AG107" s="72" t="n"/>
      <c r="AH107" s="72">
        <f>AG107-AF107</f>
        <v/>
      </c>
      <c r="AI107" s="73">
        <f>IF(AF107=0,"",AG107/AF107)</f>
        <v/>
      </c>
      <c r="AJ107" s="46" t="n"/>
      <c r="AK107" s="74">
        <f>G107+ L107+ V107+ AF107</f>
        <v/>
      </c>
      <c r="AL107" s="74">
        <f>H107+ M107+ W107+ AG107</f>
        <v/>
      </c>
      <c r="AM107" s="74">
        <f>AL107-AK107</f>
        <v/>
      </c>
      <c r="AN107" s="75">
        <f>IF(AK107=0,"",AL107/AK107)</f>
        <v/>
      </c>
      <c r="AO107" s="52" t="n"/>
      <c r="AP107" s="72" t="n"/>
      <c r="AQ107" s="72" t="n"/>
      <c r="AR107" s="72">
        <f>AQ107-AP107</f>
        <v/>
      </c>
      <c r="AS107" s="73">
        <f>IF(AP107=0,"",AQ107/AP107)</f>
        <v/>
      </c>
      <c r="AT107" s="46" t="n"/>
      <c r="AU107" s="74">
        <f>G107+ L107+ V107+ AF107+ AP107</f>
        <v/>
      </c>
      <c r="AV107" s="74">
        <f>H107+ M107+ W107+ AG107+ AQ107</f>
        <v/>
      </c>
      <c r="AW107" s="74">
        <f>AV107-AU107</f>
        <v/>
      </c>
      <c r="AX107" s="75">
        <f>IF(AU107=0,"",AV107/AU107)</f>
        <v/>
      </c>
      <c r="AY107" s="52" t="n"/>
      <c r="AZ107" s="72" t="n"/>
      <c r="BA107" s="72" t="n"/>
      <c r="BB107" s="72">
        <f>BA107-AZ107</f>
        <v/>
      </c>
      <c r="BC107" s="73">
        <f>IF(AZ107=0,"",BA107/AZ107)</f>
        <v/>
      </c>
      <c r="BD107" s="46" t="n"/>
      <c r="BE107" s="74">
        <f>G107+ L107+ V107+ AF107+ AP107+ AZ107</f>
        <v/>
      </c>
      <c r="BF107" s="74">
        <f>H107+ M107+ W107+ AG107+ AQ107+ BA107</f>
        <v/>
      </c>
      <c r="BG107" s="74">
        <f>BF107-BE107</f>
        <v/>
      </c>
      <c r="BH107" s="75">
        <f>IF(BE107=0,"",BF107/BE107)</f>
        <v/>
      </c>
      <c r="BI107" s="52" t="n"/>
      <c r="BJ107" s="72" t="n"/>
      <c r="BK107" s="72" t="n"/>
      <c r="BL107" s="72">
        <f>BK107-BJ107</f>
        <v/>
      </c>
      <c r="BM107" s="73">
        <f>IF(BJ107=0,"",BK107/BJ107)</f>
        <v/>
      </c>
      <c r="BN107" s="46" t="n"/>
      <c r="BO107" s="74">
        <f>G107+ L107+ V107+ AF107+ AP107+ AZ107+ BJ107</f>
        <v/>
      </c>
      <c r="BP107" s="74">
        <f>H107+ M107+ W107+ AG107+ AQ107+ BA107+ BK107</f>
        <v/>
      </c>
      <c r="BQ107" s="74">
        <f>BP107-BO107</f>
        <v/>
      </c>
      <c r="BR107" s="75">
        <f>IF(BO107=0,"",BP107/BO107)</f>
        <v/>
      </c>
      <c r="BS107" s="52" t="n"/>
      <c r="BT107" s="72" t="n"/>
      <c r="BU107" s="72" t="n"/>
      <c r="BV107" s="72">
        <f>BU107-BT107</f>
        <v/>
      </c>
      <c r="BW107" s="73">
        <f>IF(BT107=0,"",BU107/BT107)</f>
        <v/>
      </c>
      <c r="BX107" s="46" t="n"/>
      <c r="BY107" s="74">
        <f>G107+ L107+ V107+ AF107+ AP107+ AZ107+ BJ107+ BT107</f>
        <v/>
      </c>
      <c r="BZ107" s="74">
        <f>H107+ M107+ W107+ AG107+ AQ107+ BA107+ BK107+ BU107</f>
        <v/>
      </c>
      <c r="CA107" s="74">
        <f>BZ107-BY107</f>
        <v/>
      </c>
      <c r="CB107" s="75">
        <f>IF(BY107=0,"",BZ107/BY107)</f>
        <v/>
      </c>
      <c r="CC107" s="52" t="n"/>
      <c r="CD107" s="72" t="n"/>
      <c r="CE107" s="72" t="n"/>
      <c r="CF107" s="72">
        <f>CE107-CD107</f>
        <v/>
      </c>
      <c r="CG107" s="73">
        <f>IF(CD107=0,"",CE107/CD107)</f>
        <v/>
      </c>
      <c r="CH107" s="46" t="n"/>
      <c r="CI107" s="74">
        <f>G107+ L107+ V107+ AF107+ AP107+ AZ107+ BJ107+ BT107+ CD107</f>
        <v/>
      </c>
      <c r="CJ107" s="74">
        <f>H107+ M107+ W107+ AG107+ AQ107+ BA107+ BK107+ BU107+ CE107</f>
        <v/>
      </c>
      <c r="CK107" s="74">
        <f>CJ107-CI107</f>
        <v/>
      </c>
      <c r="CL107" s="75">
        <f>IF(CI107=0,"",CJ107/CI107)</f>
        <v/>
      </c>
      <c r="CM107" s="52" t="n"/>
      <c r="CN107" s="72" t="n"/>
      <c r="CO107" s="72" t="n"/>
      <c r="CP107" s="72">
        <f>CO107-CN107</f>
        <v/>
      </c>
      <c r="CQ107" s="73">
        <f>IF(CN107=0,"",CO107/CN107)</f>
        <v/>
      </c>
      <c r="CR107" s="46" t="n"/>
      <c r="CS107" s="74">
        <f>G107+ L107+ V107+ AF107+ AP107+ AZ107+ BJ107+ BT107+ CD107+ CN107</f>
        <v/>
      </c>
      <c r="CT107" s="74">
        <f>H107+ M107+ W107+ AG107+ AQ107+ BA107+ BK107+ BU107+ CE107+ CO107</f>
        <v/>
      </c>
      <c r="CU107" s="74">
        <f>CT107-CS107</f>
        <v/>
      </c>
      <c r="CV107" s="75">
        <f>IF(CS107=0,"",CT107/CS107)</f>
        <v/>
      </c>
      <c r="CW107" s="52" t="n"/>
      <c r="CX107" s="72" t="n"/>
      <c r="CY107" s="72" t="n"/>
      <c r="CZ107" s="72">
        <f>CY107-CX107</f>
        <v/>
      </c>
      <c r="DA107" s="73">
        <f>IF(CX107=0,"",CY107/CX107)</f>
        <v/>
      </c>
      <c r="DB107" s="46" t="n"/>
      <c r="DC107" s="74">
        <f>G107+ L107+ V107+ AF107+ AP107+ AZ107+ BJ107+ BT107+ CD107+ CN107+ CX107</f>
        <v/>
      </c>
      <c r="DD107" s="74">
        <f>H107+ M107+ W107+ AG107+ AQ107+ BA107+ BK107+ BU107+ CE107+ CO107+ CY107</f>
        <v/>
      </c>
      <c r="DE107" s="74">
        <f>DD107-DC107</f>
        <v/>
      </c>
      <c r="DF107" s="75">
        <f>IF(DC107=0,"",DD107/DC107)</f>
        <v/>
      </c>
      <c r="DG107" s="52" t="n"/>
      <c r="DH107" s="72" t="n"/>
      <c r="DI107" s="72" t="n"/>
      <c r="DJ107" s="72">
        <f>DI107-DH107</f>
        <v/>
      </c>
      <c r="DK107" s="73">
        <f>IF(DH107=0,"",DI107/DH107)</f>
        <v/>
      </c>
      <c r="DL107" s="46" t="n"/>
      <c r="DM107" s="74">
        <f>G107+ L107+ V107+ AF107+ AP107+ AZ107+ BJ107+ BT107+ CD107+ CN107+ CX107+ DH107</f>
        <v/>
      </c>
      <c r="DN107" s="74">
        <f>H107+ M107+ W107+ AG107+ AQ107+ BA107+ BK107+ BU107+ CE107+ CO107+ CY107+ DI107</f>
        <v/>
      </c>
      <c r="DO107" s="74">
        <f>DN107-DM107</f>
        <v/>
      </c>
      <c r="DP107" s="75">
        <f>IF(DM107=0,"",DN107/DM107)</f>
        <v/>
      </c>
      <c r="DQ107" s="52" t="n"/>
      <c r="DR107" s="72">
        <f>G107+L107+V107+AF107+AP107+AZ107+BJ107+BT107+CD107+CN107+CX107+DH107</f>
        <v/>
      </c>
    </row>
    <row r="108" ht="15" customHeight="1">
      <c r="A108" s="55" t="n"/>
      <c r="B108" s="55" t="n"/>
      <c r="C108" s="55" t="n"/>
      <c r="D108" s="46" t="n"/>
      <c r="E108" s="46" t="n"/>
      <c r="F108" s="47" t="n"/>
      <c r="G108" s="72" t="n"/>
      <c r="H108" s="72" t="n"/>
      <c r="I108" s="72">
        <f>H108-G108</f>
        <v/>
      </c>
      <c r="J108" s="73">
        <f>IF(G108=0,"",H108/G108)</f>
        <v/>
      </c>
      <c r="K108" s="46" t="n"/>
      <c r="L108" s="72" t="n"/>
      <c r="M108" s="72" t="n"/>
      <c r="N108" s="72">
        <f>M108-L108</f>
        <v/>
      </c>
      <c r="O108" s="73">
        <f>IF(L108=0,"",M108/L108)</f>
        <v/>
      </c>
      <c r="P108" s="46" t="n"/>
      <c r="Q108" s="74">
        <f>G108+ L108</f>
        <v/>
      </c>
      <c r="R108" s="74">
        <f>H108+ M108</f>
        <v/>
      </c>
      <c r="S108" s="74">
        <f>R108-Q108</f>
        <v/>
      </c>
      <c r="T108" s="75">
        <f>IF(Q108=0,"",R108/Q108)</f>
        <v/>
      </c>
      <c r="U108" s="52" t="n"/>
      <c r="V108" s="72" t="n"/>
      <c r="W108" s="72" t="n"/>
      <c r="X108" s="72">
        <f>W108-V108</f>
        <v/>
      </c>
      <c r="Y108" s="73">
        <f>IF(V108=0,"",W108/V108)</f>
        <v/>
      </c>
      <c r="Z108" s="46" t="n"/>
      <c r="AA108" s="74">
        <f>G108+ L108+ V108</f>
        <v/>
      </c>
      <c r="AB108" s="74">
        <f>H108+ M108+ W108</f>
        <v/>
      </c>
      <c r="AC108" s="74">
        <f>AB108-AA108</f>
        <v/>
      </c>
      <c r="AD108" s="75">
        <f>IF(AA108=0,"",AB108/AA108)</f>
        <v/>
      </c>
      <c r="AE108" s="52" t="n"/>
      <c r="AF108" s="72" t="n"/>
      <c r="AG108" s="72" t="n"/>
      <c r="AH108" s="72">
        <f>AG108-AF108</f>
        <v/>
      </c>
      <c r="AI108" s="73">
        <f>IF(AF108=0,"",AG108/AF108)</f>
        <v/>
      </c>
      <c r="AJ108" s="46" t="n"/>
      <c r="AK108" s="74">
        <f>G108+ L108+ V108+ AF108</f>
        <v/>
      </c>
      <c r="AL108" s="74">
        <f>H108+ M108+ W108+ AG108</f>
        <v/>
      </c>
      <c r="AM108" s="74">
        <f>AL108-AK108</f>
        <v/>
      </c>
      <c r="AN108" s="75">
        <f>IF(AK108=0,"",AL108/AK108)</f>
        <v/>
      </c>
      <c r="AO108" s="52" t="n"/>
      <c r="AP108" s="72" t="n"/>
      <c r="AQ108" s="72" t="n"/>
      <c r="AR108" s="72">
        <f>AQ108-AP108</f>
        <v/>
      </c>
      <c r="AS108" s="73">
        <f>IF(AP108=0,"",AQ108/AP108)</f>
        <v/>
      </c>
      <c r="AT108" s="46" t="n"/>
      <c r="AU108" s="74">
        <f>G108+ L108+ V108+ AF108+ AP108</f>
        <v/>
      </c>
      <c r="AV108" s="74">
        <f>H108+ M108+ W108+ AG108+ AQ108</f>
        <v/>
      </c>
      <c r="AW108" s="74">
        <f>AV108-AU108</f>
        <v/>
      </c>
      <c r="AX108" s="75">
        <f>IF(AU108=0,"",AV108/AU108)</f>
        <v/>
      </c>
      <c r="AY108" s="52" t="n"/>
      <c r="AZ108" s="72" t="n"/>
      <c r="BA108" s="72" t="n"/>
      <c r="BB108" s="72">
        <f>BA108-AZ108</f>
        <v/>
      </c>
      <c r="BC108" s="73">
        <f>IF(AZ108=0,"",BA108/AZ108)</f>
        <v/>
      </c>
      <c r="BD108" s="46" t="n"/>
      <c r="BE108" s="74">
        <f>G108+ L108+ V108+ AF108+ AP108+ AZ108</f>
        <v/>
      </c>
      <c r="BF108" s="74">
        <f>H108+ M108+ W108+ AG108+ AQ108+ BA108</f>
        <v/>
      </c>
      <c r="BG108" s="74">
        <f>BF108-BE108</f>
        <v/>
      </c>
      <c r="BH108" s="75">
        <f>IF(BE108=0,"",BF108/BE108)</f>
        <v/>
      </c>
      <c r="BI108" s="52" t="n"/>
      <c r="BJ108" s="72" t="n"/>
      <c r="BK108" s="72" t="n"/>
      <c r="BL108" s="72">
        <f>BK108-BJ108</f>
        <v/>
      </c>
      <c r="BM108" s="73">
        <f>IF(BJ108=0,"",BK108/BJ108)</f>
        <v/>
      </c>
      <c r="BN108" s="46" t="n"/>
      <c r="BO108" s="74">
        <f>G108+ L108+ V108+ AF108+ AP108+ AZ108+ BJ108</f>
        <v/>
      </c>
      <c r="BP108" s="74">
        <f>H108+ M108+ W108+ AG108+ AQ108+ BA108+ BK108</f>
        <v/>
      </c>
      <c r="BQ108" s="74">
        <f>BP108-BO108</f>
        <v/>
      </c>
      <c r="BR108" s="75">
        <f>IF(BO108=0,"",BP108/BO108)</f>
        <v/>
      </c>
      <c r="BS108" s="52" t="n"/>
      <c r="BT108" s="72" t="n"/>
      <c r="BU108" s="72" t="n"/>
      <c r="BV108" s="72">
        <f>BU108-BT108</f>
        <v/>
      </c>
      <c r="BW108" s="73">
        <f>IF(BT108=0,"",BU108/BT108)</f>
        <v/>
      </c>
      <c r="BX108" s="46" t="n"/>
      <c r="BY108" s="74">
        <f>G108+ L108+ V108+ AF108+ AP108+ AZ108+ BJ108+ BT108</f>
        <v/>
      </c>
      <c r="BZ108" s="74">
        <f>H108+ M108+ W108+ AG108+ AQ108+ BA108+ BK108+ BU108</f>
        <v/>
      </c>
      <c r="CA108" s="74">
        <f>BZ108-BY108</f>
        <v/>
      </c>
      <c r="CB108" s="75">
        <f>IF(BY108=0,"",BZ108/BY108)</f>
        <v/>
      </c>
      <c r="CC108" s="52" t="n"/>
      <c r="CD108" s="72" t="n"/>
      <c r="CE108" s="72" t="n"/>
      <c r="CF108" s="72">
        <f>CE108-CD108</f>
        <v/>
      </c>
      <c r="CG108" s="73">
        <f>IF(CD108=0,"",CE108/CD108)</f>
        <v/>
      </c>
      <c r="CH108" s="46" t="n"/>
      <c r="CI108" s="74">
        <f>G108+ L108+ V108+ AF108+ AP108+ AZ108+ BJ108+ BT108+ CD108</f>
        <v/>
      </c>
      <c r="CJ108" s="74">
        <f>H108+ M108+ W108+ AG108+ AQ108+ BA108+ BK108+ BU108+ CE108</f>
        <v/>
      </c>
      <c r="CK108" s="74">
        <f>CJ108-CI108</f>
        <v/>
      </c>
      <c r="CL108" s="75">
        <f>IF(CI108=0,"",CJ108/CI108)</f>
        <v/>
      </c>
      <c r="CM108" s="52" t="n"/>
      <c r="CN108" s="72" t="n"/>
      <c r="CO108" s="72" t="n"/>
      <c r="CP108" s="72">
        <f>CO108-CN108</f>
        <v/>
      </c>
      <c r="CQ108" s="73">
        <f>IF(CN108=0,"",CO108/CN108)</f>
        <v/>
      </c>
      <c r="CR108" s="46" t="n"/>
      <c r="CS108" s="74">
        <f>G108+ L108+ V108+ AF108+ AP108+ AZ108+ BJ108+ BT108+ CD108+ CN108</f>
        <v/>
      </c>
      <c r="CT108" s="74">
        <f>H108+ M108+ W108+ AG108+ AQ108+ BA108+ BK108+ BU108+ CE108+ CO108</f>
        <v/>
      </c>
      <c r="CU108" s="74">
        <f>CT108-CS108</f>
        <v/>
      </c>
      <c r="CV108" s="75">
        <f>IF(CS108=0,"",CT108/CS108)</f>
        <v/>
      </c>
      <c r="CW108" s="52" t="n"/>
      <c r="CX108" s="72" t="n"/>
      <c r="CY108" s="72" t="n"/>
      <c r="CZ108" s="72">
        <f>CY108-CX108</f>
        <v/>
      </c>
      <c r="DA108" s="73">
        <f>IF(CX108=0,"",CY108/CX108)</f>
        <v/>
      </c>
      <c r="DB108" s="46" t="n"/>
      <c r="DC108" s="74">
        <f>G108+ L108+ V108+ AF108+ AP108+ AZ108+ BJ108+ BT108+ CD108+ CN108+ CX108</f>
        <v/>
      </c>
      <c r="DD108" s="74">
        <f>H108+ M108+ W108+ AG108+ AQ108+ BA108+ BK108+ BU108+ CE108+ CO108+ CY108</f>
        <v/>
      </c>
      <c r="DE108" s="74">
        <f>DD108-DC108</f>
        <v/>
      </c>
      <c r="DF108" s="75">
        <f>IF(DC108=0,"",DD108/DC108)</f>
        <v/>
      </c>
      <c r="DG108" s="52" t="n"/>
      <c r="DH108" s="72" t="n"/>
      <c r="DI108" s="72" t="n"/>
      <c r="DJ108" s="72">
        <f>DI108-DH108</f>
        <v/>
      </c>
      <c r="DK108" s="73">
        <f>IF(DH108=0,"",DI108/DH108)</f>
        <v/>
      </c>
      <c r="DL108" s="46" t="n"/>
      <c r="DM108" s="74">
        <f>G108+ L108+ V108+ AF108+ AP108+ AZ108+ BJ108+ BT108+ CD108+ CN108+ CX108+ DH108</f>
        <v/>
      </c>
      <c r="DN108" s="74">
        <f>H108+ M108+ W108+ AG108+ AQ108+ BA108+ BK108+ BU108+ CE108+ CO108+ CY108+ DI108</f>
        <v/>
      </c>
      <c r="DO108" s="74">
        <f>DN108-DM108</f>
        <v/>
      </c>
      <c r="DP108" s="75">
        <f>IF(DM108=0,"",DN108/DM108)</f>
        <v/>
      </c>
      <c r="DQ108" s="52" t="n"/>
      <c r="DR108" s="72">
        <f>G108+L108+V108+AF108+AP108+AZ108+BJ108+BT108+CD108+CN108+CX108+DH108</f>
        <v/>
      </c>
    </row>
    <row r="109" ht="15" customHeight="1">
      <c r="A109" s="46" t="n"/>
      <c r="B109" s="46" t="n"/>
      <c r="C109" s="46" t="n"/>
      <c r="D109" s="46" t="n"/>
      <c r="E109" s="46" t="n"/>
      <c r="F109" s="47" t="n"/>
      <c r="G109" s="72" t="n"/>
      <c r="H109" s="72" t="n"/>
      <c r="I109" s="72">
        <f>H109-G109</f>
        <v/>
      </c>
      <c r="J109" s="73">
        <f>IF(G109=0,"",H109/G109)</f>
        <v/>
      </c>
      <c r="K109" s="46" t="n"/>
      <c r="L109" s="72" t="n"/>
      <c r="M109" s="72" t="n"/>
      <c r="N109" s="72">
        <f>M109-L109</f>
        <v/>
      </c>
      <c r="O109" s="73">
        <f>IF(L109=0,"",M109/L109)</f>
        <v/>
      </c>
      <c r="P109" s="46" t="n"/>
      <c r="Q109" s="74">
        <f>G109+ L109</f>
        <v/>
      </c>
      <c r="R109" s="74">
        <f>H109+ M109</f>
        <v/>
      </c>
      <c r="S109" s="74">
        <f>R109-Q109</f>
        <v/>
      </c>
      <c r="T109" s="75">
        <f>IF(Q109=0,"",R109/Q109)</f>
        <v/>
      </c>
      <c r="U109" s="52" t="n"/>
      <c r="V109" s="72" t="n"/>
      <c r="W109" s="72" t="n"/>
      <c r="X109" s="72">
        <f>W109-V109</f>
        <v/>
      </c>
      <c r="Y109" s="73">
        <f>IF(V109=0,"",W109/V109)</f>
        <v/>
      </c>
      <c r="Z109" s="46" t="n"/>
      <c r="AA109" s="74">
        <f>G109+ L109+ V109</f>
        <v/>
      </c>
      <c r="AB109" s="74">
        <f>H109+ M109+ W109</f>
        <v/>
      </c>
      <c r="AC109" s="74">
        <f>AB109-AA109</f>
        <v/>
      </c>
      <c r="AD109" s="75">
        <f>IF(AA109=0,"",AB109/AA109)</f>
        <v/>
      </c>
      <c r="AE109" s="52" t="n"/>
      <c r="AF109" s="72" t="n"/>
      <c r="AG109" s="72" t="n"/>
      <c r="AH109" s="72">
        <f>AG109-AF109</f>
        <v/>
      </c>
      <c r="AI109" s="73">
        <f>IF(AF109=0,"",AG109/AF109)</f>
        <v/>
      </c>
      <c r="AJ109" s="46" t="n"/>
      <c r="AK109" s="74">
        <f>G109+ L109+ V109+ AF109</f>
        <v/>
      </c>
      <c r="AL109" s="74">
        <f>H109+ M109+ W109+ AG109</f>
        <v/>
      </c>
      <c r="AM109" s="74">
        <f>AL109-AK109</f>
        <v/>
      </c>
      <c r="AN109" s="75">
        <f>IF(AK109=0,"",AL109/AK109)</f>
        <v/>
      </c>
      <c r="AO109" s="52" t="n"/>
      <c r="AP109" s="72" t="n"/>
      <c r="AQ109" s="72" t="n"/>
      <c r="AR109" s="72">
        <f>AQ109-AP109</f>
        <v/>
      </c>
      <c r="AS109" s="73">
        <f>IF(AP109=0,"",AQ109/AP109)</f>
        <v/>
      </c>
      <c r="AT109" s="46" t="n"/>
      <c r="AU109" s="74">
        <f>G109+ L109+ V109+ AF109+ AP109</f>
        <v/>
      </c>
      <c r="AV109" s="74">
        <f>H109+ M109+ W109+ AG109+ AQ109</f>
        <v/>
      </c>
      <c r="AW109" s="74">
        <f>AV109-AU109</f>
        <v/>
      </c>
      <c r="AX109" s="75">
        <f>IF(AU109=0,"",AV109/AU109)</f>
        <v/>
      </c>
      <c r="AY109" s="52" t="n"/>
      <c r="AZ109" s="72" t="n"/>
      <c r="BA109" s="72" t="n"/>
      <c r="BB109" s="72">
        <f>BA109-AZ109</f>
        <v/>
      </c>
      <c r="BC109" s="73">
        <f>IF(AZ109=0,"",BA109/AZ109)</f>
        <v/>
      </c>
      <c r="BD109" s="46" t="n"/>
      <c r="BE109" s="74">
        <f>G109+ L109+ V109+ AF109+ AP109+ AZ109</f>
        <v/>
      </c>
      <c r="BF109" s="74">
        <f>H109+ M109+ W109+ AG109+ AQ109+ BA109</f>
        <v/>
      </c>
      <c r="BG109" s="74">
        <f>BF109-BE109</f>
        <v/>
      </c>
      <c r="BH109" s="75">
        <f>IF(BE109=0,"",BF109/BE109)</f>
        <v/>
      </c>
      <c r="BI109" s="52" t="n"/>
      <c r="BJ109" s="72" t="n"/>
      <c r="BK109" s="72" t="n"/>
      <c r="BL109" s="72">
        <f>BK109-BJ109</f>
        <v/>
      </c>
      <c r="BM109" s="73">
        <f>IF(BJ109=0,"",BK109/BJ109)</f>
        <v/>
      </c>
      <c r="BN109" s="46" t="n"/>
      <c r="BO109" s="74">
        <f>G109+ L109+ V109+ AF109+ AP109+ AZ109+ BJ109</f>
        <v/>
      </c>
      <c r="BP109" s="74">
        <f>H109+ M109+ W109+ AG109+ AQ109+ BA109+ BK109</f>
        <v/>
      </c>
      <c r="BQ109" s="74">
        <f>BP109-BO109</f>
        <v/>
      </c>
      <c r="BR109" s="75">
        <f>IF(BO109=0,"",BP109/BO109)</f>
        <v/>
      </c>
      <c r="BS109" s="52" t="n"/>
      <c r="BT109" s="72" t="n"/>
      <c r="BU109" s="72" t="n"/>
      <c r="BV109" s="72">
        <f>BU109-BT109</f>
        <v/>
      </c>
      <c r="BW109" s="73">
        <f>IF(BT109=0,"",BU109/BT109)</f>
        <v/>
      </c>
      <c r="BX109" s="46" t="n"/>
      <c r="BY109" s="74">
        <f>G109+ L109+ V109+ AF109+ AP109+ AZ109+ BJ109+ BT109</f>
        <v/>
      </c>
      <c r="BZ109" s="74">
        <f>H109+ M109+ W109+ AG109+ AQ109+ BA109+ BK109+ BU109</f>
        <v/>
      </c>
      <c r="CA109" s="74">
        <f>BZ109-BY109</f>
        <v/>
      </c>
      <c r="CB109" s="75">
        <f>IF(BY109=0,"",BZ109/BY109)</f>
        <v/>
      </c>
      <c r="CC109" s="52" t="n"/>
      <c r="CD109" s="72" t="n"/>
      <c r="CE109" s="72" t="n"/>
      <c r="CF109" s="72">
        <f>CE109-CD109</f>
        <v/>
      </c>
      <c r="CG109" s="73">
        <f>IF(CD109=0,"",CE109/CD109)</f>
        <v/>
      </c>
      <c r="CH109" s="46" t="n"/>
      <c r="CI109" s="74">
        <f>G109+ L109+ V109+ AF109+ AP109+ AZ109+ BJ109+ BT109+ CD109</f>
        <v/>
      </c>
      <c r="CJ109" s="74">
        <f>H109+ M109+ W109+ AG109+ AQ109+ BA109+ BK109+ BU109+ CE109</f>
        <v/>
      </c>
      <c r="CK109" s="74">
        <f>CJ109-CI109</f>
        <v/>
      </c>
      <c r="CL109" s="75">
        <f>IF(CI109=0,"",CJ109/CI109)</f>
        <v/>
      </c>
      <c r="CM109" s="52" t="n"/>
      <c r="CN109" s="72" t="n"/>
      <c r="CO109" s="72" t="n"/>
      <c r="CP109" s="72">
        <f>CO109-CN109</f>
        <v/>
      </c>
      <c r="CQ109" s="73">
        <f>IF(CN109=0,"",CO109/CN109)</f>
        <v/>
      </c>
      <c r="CR109" s="46" t="n"/>
      <c r="CS109" s="74">
        <f>G109+ L109+ V109+ AF109+ AP109+ AZ109+ BJ109+ BT109+ CD109+ CN109</f>
        <v/>
      </c>
      <c r="CT109" s="74">
        <f>H109+ M109+ W109+ AG109+ AQ109+ BA109+ BK109+ BU109+ CE109+ CO109</f>
        <v/>
      </c>
      <c r="CU109" s="74">
        <f>CT109-CS109</f>
        <v/>
      </c>
      <c r="CV109" s="75">
        <f>IF(CS109=0,"",CT109/CS109)</f>
        <v/>
      </c>
      <c r="CW109" s="52" t="n"/>
      <c r="CX109" s="72" t="n"/>
      <c r="CY109" s="72" t="n"/>
      <c r="CZ109" s="72">
        <f>CY109-CX109</f>
        <v/>
      </c>
      <c r="DA109" s="73">
        <f>IF(CX109=0,"",CY109/CX109)</f>
        <v/>
      </c>
      <c r="DB109" s="46" t="n"/>
      <c r="DC109" s="74">
        <f>G109+ L109+ V109+ AF109+ AP109+ AZ109+ BJ109+ BT109+ CD109+ CN109+ CX109</f>
        <v/>
      </c>
      <c r="DD109" s="74">
        <f>H109+ M109+ W109+ AG109+ AQ109+ BA109+ BK109+ BU109+ CE109+ CO109+ CY109</f>
        <v/>
      </c>
      <c r="DE109" s="74">
        <f>DD109-DC109</f>
        <v/>
      </c>
      <c r="DF109" s="75">
        <f>IF(DC109=0,"",DD109/DC109)</f>
        <v/>
      </c>
      <c r="DG109" s="52" t="n"/>
      <c r="DH109" s="72" t="n"/>
      <c r="DI109" s="72" t="n"/>
      <c r="DJ109" s="72">
        <f>DI109-DH109</f>
        <v/>
      </c>
      <c r="DK109" s="73">
        <f>IF(DH109=0,"",DI109/DH109)</f>
        <v/>
      </c>
      <c r="DL109" s="46" t="n"/>
      <c r="DM109" s="74">
        <f>G109+ L109+ V109+ AF109+ AP109+ AZ109+ BJ109+ BT109+ CD109+ CN109+ CX109+ DH109</f>
        <v/>
      </c>
      <c r="DN109" s="74">
        <f>H109+ M109+ W109+ AG109+ AQ109+ BA109+ BK109+ BU109+ CE109+ CO109+ CY109+ DI109</f>
        <v/>
      </c>
      <c r="DO109" s="74">
        <f>DN109-DM109</f>
        <v/>
      </c>
      <c r="DP109" s="75">
        <f>IF(DM109=0,"",DN109/DM109)</f>
        <v/>
      </c>
      <c r="DQ109" s="52" t="n"/>
      <c r="DR109" s="72">
        <f>G109+L109+V109+AF109+AP109+AZ109+BJ109+BT109+CD109+CN109+CX109+DH109</f>
        <v/>
      </c>
    </row>
    <row r="110" ht="15" customHeight="1">
      <c r="A110" s="67" t="n"/>
      <c r="B110" s="67" t="n"/>
      <c r="C110" s="67" t="n"/>
      <c r="D110" s="46" t="n"/>
      <c r="E110" s="46" t="n"/>
      <c r="F110" s="47" t="n"/>
      <c r="G110" s="72" t="n"/>
      <c r="H110" s="72" t="n"/>
      <c r="I110" s="72">
        <f>H110-G110</f>
        <v/>
      </c>
      <c r="J110" s="73">
        <f>IF(G110=0,"",H110/G110)</f>
        <v/>
      </c>
      <c r="K110" s="46" t="n"/>
      <c r="L110" s="72" t="n"/>
      <c r="M110" s="72" t="n"/>
      <c r="N110" s="72">
        <f>M110-L110</f>
        <v/>
      </c>
      <c r="O110" s="73">
        <f>IF(L110=0,"",M110/L110)</f>
        <v/>
      </c>
      <c r="P110" s="46" t="n"/>
      <c r="Q110" s="74">
        <f>G110+ L110</f>
        <v/>
      </c>
      <c r="R110" s="74">
        <f>H110+ M110</f>
        <v/>
      </c>
      <c r="S110" s="74">
        <f>R110-Q110</f>
        <v/>
      </c>
      <c r="T110" s="75">
        <f>IF(Q110=0,"",R110/Q110)</f>
        <v/>
      </c>
      <c r="U110" s="52" t="n"/>
      <c r="V110" s="72" t="n"/>
      <c r="W110" s="72" t="n"/>
      <c r="X110" s="72">
        <f>W110-V110</f>
        <v/>
      </c>
      <c r="Y110" s="73">
        <f>IF(V110=0,"",W110/V110)</f>
        <v/>
      </c>
      <c r="Z110" s="46" t="n"/>
      <c r="AA110" s="74">
        <f>G110+ L110+ V110</f>
        <v/>
      </c>
      <c r="AB110" s="74">
        <f>H110+ M110+ W110</f>
        <v/>
      </c>
      <c r="AC110" s="74">
        <f>AB110-AA110</f>
        <v/>
      </c>
      <c r="AD110" s="75">
        <f>IF(AA110=0,"",AB110/AA110)</f>
        <v/>
      </c>
      <c r="AE110" s="52" t="n"/>
      <c r="AF110" s="72" t="n"/>
      <c r="AG110" s="72" t="n"/>
      <c r="AH110" s="72">
        <f>AG110-AF110</f>
        <v/>
      </c>
      <c r="AI110" s="73">
        <f>IF(AF110=0,"",AG110/AF110)</f>
        <v/>
      </c>
      <c r="AJ110" s="46" t="n"/>
      <c r="AK110" s="74">
        <f>G110+ L110+ V110+ AF110</f>
        <v/>
      </c>
      <c r="AL110" s="74">
        <f>H110+ M110+ W110+ AG110</f>
        <v/>
      </c>
      <c r="AM110" s="74">
        <f>AL110-AK110</f>
        <v/>
      </c>
      <c r="AN110" s="75">
        <f>IF(AK110=0,"",AL110/AK110)</f>
        <v/>
      </c>
      <c r="AO110" s="52" t="n"/>
      <c r="AP110" s="72" t="n"/>
      <c r="AQ110" s="72" t="n"/>
      <c r="AR110" s="72">
        <f>AQ110-AP110</f>
        <v/>
      </c>
      <c r="AS110" s="73">
        <f>IF(AP110=0,"",AQ110/AP110)</f>
        <v/>
      </c>
      <c r="AT110" s="46" t="n"/>
      <c r="AU110" s="74">
        <f>G110+ L110+ V110+ AF110+ AP110</f>
        <v/>
      </c>
      <c r="AV110" s="74">
        <f>H110+ M110+ W110+ AG110+ AQ110</f>
        <v/>
      </c>
      <c r="AW110" s="74">
        <f>AV110-AU110</f>
        <v/>
      </c>
      <c r="AX110" s="75">
        <f>IF(AU110=0,"",AV110/AU110)</f>
        <v/>
      </c>
      <c r="AY110" s="52" t="n"/>
      <c r="AZ110" s="72" t="n"/>
      <c r="BA110" s="72" t="n"/>
      <c r="BB110" s="72">
        <f>BA110-AZ110</f>
        <v/>
      </c>
      <c r="BC110" s="73">
        <f>IF(AZ110=0,"",BA110/AZ110)</f>
        <v/>
      </c>
      <c r="BD110" s="46" t="n"/>
      <c r="BE110" s="74">
        <f>G110+ L110+ V110+ AF110+ AP110+ AZ110</f>
        <v/>
      </c>
      <c r="BF110" s="74">
        <f>H110+ M110+ W110+ AG110+ AQ110+ BA110</f>
        <v/>
      </c>
      <c r="BG110" s="74">
        <f>BF110-BE110</f>
        <v/>
      </c>
      <c r="BH110" s="75">
        <f>IF(BE110=0,"",BF110/BE110)</f>
        <v/>
      </c>
      <c r="BI110" s="52" t="n"/>
      <c r="BJ110" s="72" t="n"/>
      <c r="BK110" s="72" t="n"/>
      <c r="BL110" s="72">
        <f>BK110-BJ110</f>
        <v/>
      </c>
      <c r="BM110" s="73">
        <f>IF(BJ110=0,"",BK110/BJ110)</f>
        <v/>
      </c>
      <c r="BN110" s="46" t="n"/>
      <c r="BO110" s="74">
        <f>G110+ L110+ V110+ AF110+ AP110+ AZ110+ BJ110</f>
        <v/>
      </c>
      <c r="BP110" s="74">
        <f>H110+ M110+ W110+ AG110+ AQ110+ BA110+ BK110</f>
        <v/>
      </c>
      <c r="BQ110" s="74">
        <f>BP110-BO110</f>
        <v/>
      </c>
      <c r="BR110" s="75">
        <f>IF(BO110=0,"",BP110/BO110)</f>
        <v/>
      </c>
      <c r="BS110" s="52" t="n"/>
      <c r="BT110" s="72" t="n"/>
      <c r="BU110" s="72" t="n"/>
      <c r="BV110" s="72">
        <f>BU110-BT110</f>
        <v/>
      </c>
      <c r="BW110" s="73">
        <f>IF(BT110=0,"",BU110/BT110)</f>
        <v/>
      </c>
      <c r="BX110" s="46" t="n"/>
      <c r="BY110" s="74">
        <f>G110+ L110+ V110+ AF110+ AP110+ AZ110+ BJ110+ BT110</f>
        <v/>
      </c>
      <c r="BZ110" s="74">
        <f>H110+ M110+ W110+ AG110+ AQ110+ BA110+ BK110+ BU110</f>
        <v/>
      </c>
      <c r="CA110" s="74">
        <f>BZ110-BY110</f>
        <v/>
      </c>
      <c r="CB110" s="75">
        <f>IF(BY110=0,"",BZ110/BY110)</f>
        <v/>
      </c>
      <c r="CC110" s="52" t="n"/>
      <c r="CD110" s="72" t="n"/>
      <c r="CE110" s="72" t="n"/>
      <c r="CF110" s="72">
        <f>CE110-CD110</f>
        <v/>
      </c>
      <c r="CG110" s="73">
        <f>IF(CD110=0,"",CE110/CD110)</f>
        <v/>
      </c>
      <c r="CH110" s="46" t="n"/>
      <c r="CI110" s="74">
        <f>G110+ L110+ V110+ AF110+ AP110+ AZ110+ BJ110+ BT110+ CD110</f>
        <v/>
      </c>
      <c r="CJ110" s="74">
        <f>H110+ M110+ W110+ AG110+ AQ110+ BA110+ BK110+ BU110+ CE110</f>
        <v/>
      </c>
      <c r="CK110" s="74">
        <f>CJ110-CI110</f>
        <v/>
      </c>
      <c r="CL110" s="75">
        <f>IF(CI110=0,"",CJ110/CI110)</f>
        <v/>
      </c>
      <c r="CM110" s="52" t="n"/>
      <c r="CN110" s="72" t="n"/>
      <c r="CO110" s="72" t="n"/>
      <c r="CP110" s="72">
        <f>CO110-CN110</f>
        <v/>
      </c>
      <c r="CQ110" s="73">
        <f>IF(CN110=0,"",CO110/CN110)</f>
        <v/>
      </c>
      <c r="CR110" s="46" t="n"/>
      <c r="CS110" s="74">
        <f>G110+ L110+ V110+ AF110+ AP110+ AZ110+ BJ110+ BT110+ CD110+ CN110</f>
        <v/>
      </c>
      <c r="CT110" s="74">
        <f>H110+ M110+ W110+ AG110+ AQ110+ BA110+ BK110+ BU110+ CE110+ CO110</f>
        <v/>
      </c>
      <c r="CU110" s="74">
        <f>CT110-CS110</f>
        <v/>
      </c>
      <c r="CV110" s="75">
        <f>IF(CS110=0,"",CT110/CS110)</f>
        <v/>
      </c>
      <c r="CW110" s="52" t="n"/>
      <c r="CX110" s="72" t="n"/>
      <c r="CY110" s="72" t="n"/>
      <c r="CZ110" s="72">
        <f>CY110-CX110</f>
        <v/>
      </c>
      <c r="DA110" s="73">
        <f>IF(CX110=0,"",CY110/CX110)</f>
        <v/>
      </c>
      <c r="DB110" s="46" t="n"/>
      <c r="DC110" s="74">
        <f>G110+ L110+ V110+ AF110+ AP110+ AZ110+ BJ110+ BT110+ CD110+ CN110+ CX110</f>
        <v/>
      </c>
      <c r="DD110" s="74">
        <f>H110+ M110+ W110+ AG110+ AQ110+ BA110+ BK110+ BU110+ CE110+ CO110+ CY110</f>
        <v/>
      </c>
      <c r="DE110" s="74">
        <f>DD110-DC110</f>
        <v/>
      </c>
      <c r="DF110" s="75">
        <f>IF(DC110=0,"",DD110/DC110)</f>
        <v/>
      </c>
      <c r="DG110" s="52" t="n"/>
      <c r="DH110" s="72" t="n"/>
      <c r="DI110" s="72" t="n"/>
      <c r="DJ110" s="72">
        <f>DI110-DH110</f>
        <v/>
      </c>
      <c r="DK110" s="73">
        <f>IF(DH110=0,"",DI110/DH110)</f>
        <v/>
      </c>
      <c r="DL110" s="46" t="n"/>
      <c r="DM110" s="74">
        <f>G110+ L110+ V110+ AF110+ AP110+ AZ110+ BJ110+ BT110+ CD110+ CN110+ CX110+ DH110</f>
        <v/>
      </c>
      <c r="DN110" s="74">
        <f>H110+ M110+ W110+ AG110+ AQ110+ BA110+ BK110+ BU110+ CE110+ CO110+ CY110+ DI110</f>
        <v/>
      </c>
      <c r="DO110" s="74">
        <f>DN110-DM110</f>
        <v/>
      </c>
      <c r="DP110" s="75">
        <f>IF(DM110=0,"",DN110/DM110)</f>
        <v/>
      </c>
      <c r="DQ110" s="52" t="n"/>
      <c r="DR110" s="72">
        <f>G110+L110+V110+AF110+AP110+AZ110+BJ110+BT110+CD110+CN110+CX110+DH110</f>
        <v/>
      </c>
    </row>
    <row r="111" ht="15" customHeight="1">
      <c r="A111" s="67" t="n"/>
      <c r="B111" s="67" t="n"/>
      <c r="C111" s="67" t="n"/>
      <c r="D111" s="46" t="n"/>
      <c r="E111" s="46" t="n"/>
      <c r="F111" s="47" t="n"/>
      <c r="G111" s="72" t="n"/>
      <c r="H111" s="72" t="n"/>
      <c r="I111" s="72">
        <f>H111-G111</f>
        <v/>
      </c>
      <c r="J111" s="73">
        <f>IF(G111=0,"",H111/G111)</f>
        <v/>
      </c>
      <c r="K111" s="46" t="n"/>
      <c r="L111" s="72" t="n"/>
      <c r="M111" s="72" t="n"/>
      <c r="N111" s="72">
        <f>M111-L111</f>
        <v/>
      </c>
      <c r="O111" s="73">
        <f>IF(L111=0,"",M111/L111)</f>
        <v/>
      </c>
      <c r="P111" s="46" t="n"/>
      <c r="Q111" s="74">
        <f>G111+ L111</f>
        <v/>
      </c>
      <c r="R111" s="74">
        <f>H111+ M111</f>
        <v/>
      </c>
      <c r="S111" s="74">
        <f>R111-Q111</f>
        <v/>
      </c>
      <c r="T111" s="75">
        <f>IF(Q111=0,"",R111/Q111)</f>
        <v/>
      </c>
      <c r="U111" s="52" t="n"/>
      <c r="V111" s="72" t="n"/>
      <c r="W111" s="72" t="n"/>
      <c r="X111" s="72">
        <f>W111-V111</f>
        <v/>
      </c>
      <c r="Y111" s="73">
        <f>IF(V111=0,"",W111/V111)</f>
        <v/>
      </c>
      <c r="Z111" s="46" t="n"/>
      <c r="AA111" s="74">
        <f>G111+ L111+ V111</f>
        <v/>
      </c>
      <c r="AB111" s="74">
        <f>H111+ M111+ W111</f>
        <v/>
      </c>
      <c r="AC111" s="74">
        <f>AB111-AA111</f>
        <v/>
      </c>
      <c r="AD111" s="75">
        <f>IF(AA111=0,"",AB111/AA111)</f>
        <v/>
      </c>
      <c r="AE111" s="52" t="n"/>
      <c r="AF111" s="72" t="n"/>
      <c r="AG111" s="72" t="n"/>
      <c r="AH111" s="72">
        <f>AG111-AF111</f>
        <v/>
      </c>
      <c r="AI111" s="73">
        <f>IF(AF111=0,"",AG111/AF111)</f>
        <v/>
      </c>
      <c r="AJ111" s="46" t="n"/>
      <c r="AK111" s="74">
        <f>G111+ L111+ V111+ AF111</f>
        <v/>
      </c>
      <c r="AL111" s="74">
        <f>H111+ M111+ W111+ AG111</f>
        <v/>
      </c>
      <c r="AM111" s="74">
        <f>AL111-AK111</f>
        <v/>
      </c>
      <c r="AN111" s="75">
        <f>IF(AK111=0,"",AL111/AK111)</f>
        <v/>
      </c>
      <c r="AO111" s="52" t="n"/>
      <c r="AP111" s="72" t="n"/>
      <c r="AQ111" s="72" t="n"/>
      <c r="AR111" s="72">
        <f>AQ111-AP111</f>
        <v/>
      </c>
      <c r="AS111" s="73">
        <f>IF(AP111=0,"",AQ111/AP111)</f>
        <v/>
      </c>
      <c r="AT111" s="46" t="n"/>
      <c r="AU111" s="74">
        <f>G111+ L111+ V111+ AF111+ AP111</f>
        <v/>
      </c>
      <c r="AV111" s="74">
        <f>H111+ M111+ W111+ AG111+ AQ111</f>
        <v/>
      </c>
      <c r="AW111" s="74">
        <f>AV111-AU111</f>
        <v/>
      </c>
      <c r="AX111" s="75">
        <f>IF(AU111=0,"",AV111/AU111)</f>
        <v/>
      </c>
      <c r="AY111" s="52" t="n"/>
      <c r="AZ111" s="72" t="n"/>
      <c r="BA111" s="72" t="n"/>
      <c r="BB111" s="72">
        <f>BA111-AZ111</f>
        <v/>
      </c>
      <c r="BC111" s="73">
        <f>IF(AZ111=0,"",BA111/AZ111)</f>
        <v/>
      </c>
      <c r="BD111" s="46" t="n"/>
      <c r="BE111" s="74">
        <f>G111+ L111+ V111+ AF111+ AP111+ AZ111</f>
        <v/>
      </c>
      <c r="BF111" s="74">
        <f>H111+ M111+ W111+ AG111+ AQ111+ BA111</f>
        <v/>
      </c>
      <c r="BG111" s="74">
        <f>BF111-BE111</f>
        <v/>
      </c>
      <c r="BH111" s="75">
        <f>IF(BE111=0,"",BF111/BE111)</f>
        <v/>
      </c>
      <c r="BI111" s="52" t="n"/>
      <c r="BJ111" s="72" t="n"/>
      <c r="BK111" s="72" t="n"/>
      <c r="BL111" s="72">
        <f>BK111-BJ111</f>
        <v/>
      </c>
      <c r="BM111" s="73">
        <f>IF(BJ111=0,"",BK111/BJ111)</f>
        <v/>
      </c>
      <c r="BN111" s="46" t="n"/>
      <c r="BO111" s="74">
        <f>G111+ L111+ V111+ AF111+ AP111+ AZ111+ BJ111</f>
        <v/>
      </c>
      <c r="BP111" s="74">
        <f>H111+ M111+ W111+ AG111+ AQ111+ BA111+ BK111</f>
        <v/>
      </c>
      <c r="BQ111" s="74">
        <f>BP111-BO111</f>
        <v/>
      </c>
      <c r="BR111" s="75">
        <f>IF(BO111=0,"",BP111/BO111)</f>
        <v/>
      </c>
      <c r="BS111" s="52" t="n"/>
      <c r="BT111" s="72" t="n"/>
      <c r="BU111" s="72" t="n"/>
      <c r="BV111" s="72">
        <f>BU111-BT111</f>
        <v/>
      </c>
      <c r="BW111" s="73">
        <f>IF(BT111=0,"",BU111/BT111)</f>
        <v/>
      </c>
      <c r="BX111" s="46" t="n"/>
      <c r="BY111" s="74">
        <f>G111+ L111+ V111+ AF111+ AP111+ AZ111+ BJ111+ BT111</f>
        <v/>
      </c>
      <c r="BZ111" s="74">
        <f>H111+ M111+ W111+ AG111+ AQ111+ BA111+ BK111+ BU111</f>
        <v/>
      </c>
      <c r="CA111" s="74">
        <f>BZ111-BY111</f>
        <v/>
      </c>
      <c r="CB111" s="75">
        <f>IF(BY111=0,"",BZ111/BY111)</f>
        <v/>
      </c>
      <c r="CC111" s="52" t="n"/>
      <c r="CD111" s="72" t="n"/>
      <c r="CE111" s="72" t="n"/>
      <c r="CF111" s="72">
        <f>CE111-CD111</f>
        <v/>
      </c>
      <c r="CG111" s="73">
        <f>IF(CD111=0,"",CE111/CD111)</f>
        <v/>
      </c>
      <c r="CH111" s="46" t="n"/>
      <c r="CI111" s="74">
        <f>G111+ L111+ V111+ AF111+ AP111+ AZ111+ BJ111+ BT111+ CD111</f>
        <v/>
      </c>
      <c r="CJ111" s="74">
        <f>H111+ M111+ W111+ AG111+ AQ111+ BA111+ BK111+ BU111+ CE111</f>
        <v/>
      </c>
      <c r="CK111" s="74">
        <f>CJ111-CI111</f>
        <v/>
      </c>
      <c r="CL111" s="75">
        <f>IF(CI111=0,"",CJ111/CI111)</f>
        <v/>
      </c>
      <c r="CM111" s="52" t="n"/>
      <c r="CN111" s="72" t="n"/>
      <c r="CO111" s="72" t="n"/>
      <c r="CP111" s="72">
        <f>CO111-CN111</f>
        <v/>
      </c>
      <c r="CQ111" s="73">
        <f>IF(CN111=0,"",CO111/CN111)</f>
        <v/>
      </c>
      <c r="CR111" s="46" t="n"/>
      <c r="CS111" s="74">
        <f>G111+ L111+ V111+ AF111+ AP111+ AZ111+ BJ111+ BT111+ CD111+ CN111</f>
        <v/>
      </c>
      <c r="CT111" s="74">
        <f>H111+ M111+ W111+ AG111+ AQ111+ BA111+ BK111+ BU111+ CE111+ CO111</f>
        <v/>
      </c>
      <c r="CU111" s="74">
        <f>CT111-CS111</f>
        <v/>
      </c>
      <c r="CV111" s="75">
        <f>IF(CS111=0,"",CT111/CS111)</f>
        <v/>
      </c>
      <c r="CW111" s="52" t="n"/>
      <c r="CX111" s="72" t="n"/>
      <c r="CY111" s="72" t="n"/>
      <c r="CZ111" s="72">
        <f>CY111-CX111</f>
        <v/>
      </c>
      <c r="DA111" s="73">
        <f>IF(CX111=0,"",CY111/CX111)</f>
        <v/>
      </c>
      <c r="DB111" s="46" t="n"/>
      <c r="DC111" s="74">
        <f>G111+ L111+ V111+ AF111+ AP111+ AZ111+ BJ111+ BT111+ CD111+ CN111+ CX111</f>
        <v/>
      </c>
      <c r="DD111" s="74">
        <f>H111+ M111+ W111+ AG111+ AQ111+ BA111+ BK111+ BU111+ CE111+ CO111+ CY111</f>
        <v/>
      </c>
      <c r="DE111" s="74">
        <f>DD111-DC111</f>
        <v/>
      </c>
      <c r="DF111" s="75">
        <f>IF(DC111=0,"",DD111/DC111)</f>
        <v/>
      </c>
      <c r="DG111" s="52" t="n"/>
      <c r="DH111" s="72" t="n"/>
      <c r="DI111" s="72" t="n"/>
      <c r="DJ111" s="72">
        <f>DI111-DH111</f>
        <v/>
      </c>
      <c r="DK111" s="73">
        <f>IF(DH111=0,"",DI111/DH111)</f>
        <v/>
      </c>
      <c r="DL111" s="46" t="n"/>
      <c r="DM111" s="74">
        <f>G111+ L111+ V111+ AF111+ AP111+ AZ111+ BJ111+ BT111+ CD111+ CN111+ CX111+ DH111</f>
        <v/>
      </c>
      <c r="DN111" s="74">
        <f>H111+ M111+ W111+ AG111+ AQ111+ BA111+ BK111+ BU111+ CE111+ CO111+ CY111+ DI111</f>
        <v/>
      </c>
      <c r="DO111" s="74">
        <f>DN111-DM111</f>
        <v/>
      </c>
      <c r="DP111" s="75">
        <f>IF(DM111=0,"",DN111/DM111)</f>
        <v/>
      </c>
      <c r="DQ111" s="52" t="n"/>
      <c r="DR111" s="72">
        <f>G111+L111+V111+AF111+AP111+AZ111+BJ111+BT111+CD111+CN111+CX111+DH111</f>
        <v/>
      </c>
    </row>
    <row r="112" ht="15" customHeight="1">
      <c r="A112" s="67" t="n"/>
      <c r="B112" s="67" t="n"/>
      <c r="C112" s="67" t="n"/>
      <c r="D112" s="46" t="n"/>
      <c r="E112" s="46" t="n"/>
      <c r="F112" s="47" t="n"/>
      <c r="G112" s="72" t="n"/>
      <c r="H112" s="72" t="n"/>
      <c r="I112" s="72">
        <f>H112-G112</f>
        <v/>
      </c>
      <c r="J112" s="73">
        <f>IF(G112=0,"",H112/G112)</f>
        <v/>
      </c>
      <c r="K112" s="46" t="n"/>
      <c r="L112" s="72" t="n"/>
      <c r="M112" s="72" t="n"/>
      <c r="N112" s="72">
        <f>M112-L112</f>
        <v/>
      </c>
      <c r="O112" s="73">
        <f>IF(L112=0,"",M112/L112)</f>
        <v/>
      </c>
      <c r="P112" s="46" t="n"/>
      <c r="Q112" s="74">
        <f>G112+ L112</f>
        <v/>
      </c>
      <c r="R112" s="74">
        <f>H112+ M112</f>
        <v/>
      </c>
      <c r="S112" s="74">
        <f>R112-Q112</f>
        <v/>
      </c>
      <c r="T112" s="75">
        <f>IF(Q112=0,"",R112/Q112)</f>
        <v/>
      </c>
      <c r="U112" s="52" t="n"/>
      <c r="V112" s="72" t="n"/>
      <c r="W112" s="72" t="n"/>
      <c r="X112" s="72">
        <f>W112-V112</f>
        <v/>
      </c>
      <c r="Y112" s="73">
        <f>IF(V112=0,"",W112/V112)</f>
        <v/>
      </c>
      <c r="Z112" s="46" t="n"/>
      <c r="AA112" s="74">
        <f>G112+ L112+ V112</f>
        <v/>
      </c>
      <c r="AB112" s="74">
        <f>H112+ M112+ W112</f>
        <v/>
      </c>
      <c r="AC112" s="74">
        <f>AB112-AA112</f>
        <v/>
      </c>
      <c r="AD112" s="75">
        <f>IF(AA112=0,"",AB112/AA112)</f>
        <v/>
      </c>
      <c r="AE112" s="52" t="n"/>
      <c r="AF112" s="72" t="n"/>
      <c r="AG112" s="72" t="n"/>
      <c r="AH112" s="72">
        <f>AG112-AF112</f>
        <v/>
      </c>
      <c r="AI112" s="73">
        <f>IF(AF112=0,"",AG112/AF112)</f>
        <v/>
      </c>
      <c r="AJ112" s="46" t="n"/>
      <c r="AK112" s="74">
        <f>G112+ L112+ V112+ AF112</f>
        <v/>
      </c>
      <c r="AL112" s="74">
        <f>H112+ M112+ W112+ AG112</f>
        <v/>
      </c>
      <c r="AM112" s="74">
        <f>AL112-AK112</f>
        <v/>
      </c>
      <c r="AN112" s="75">
        <f>IF(AK112=0,"",AL112/AK112)</f>
        <v/>
      </c>
      <c r="AO112" s="52" t="n"/>
      <c r="AP112" s="72" t="n"/>
      <c r="AQ112" s="72" t="n"/>
      <c r="AR112" s="72">
        <f>AQ112-AP112</f>
        <v/>
      </c>
      <c r="AS112" s="73">
        <f>IF(AP112=0,"",AQ112/AP112)</f>
        <v/>
      </c>
      <c r="AT112" s="46" t="n"/>
      <c r="AU112" s="74">
        <f>G112+ L112+ V112+ AF112+ AP112</f>
        <v/>
      </c>
      <c r="AV112" s="74">
        <f>H112+ M112+ W112+ AG112+ AQ112</f>
        <v/>
      </c>
      <c r="AW112" s="74">
        <f>AV112-AU112</f>
        <v/>
      </c>
      <c r="AX112" s="75">
        <f>IF(AU112=0,"",AV112/AU112)</f>
        <v/>
      </c>
      <c r="AY112" s="52" t="n"/>
      <c r="AZ112" s="72" t="n"/>
      <c r="BA112" s="72" t="n"/>
      <c r="BB112" s="72">
        <f>BA112-AZ112</f>
        <v/>
      </c>
      <c r="BC112" s="73">
        <f>IF(AZ112=0,"",BA112/AZ112)</f>
        <v/>
      </c>
      <c r="BD112" s="46" t="n"/>
      <c r="BE112" s="74">
        <f>G112+ L112+ V112+ AF112+ AP112+ AZ112</f>
        <v/>
      </c>
      <c r="BF112" s="74">
        <f>H112+ M112+ W112+ AG112+ AQ112+ BA112</f>
        <v/>
      </c>
      <c r="BG112" s="74">
        <f>BF112-BE112</f>
        <v/>
      </c>
      <c r="BH112" s="75">
        <f>IF(BE112=0,"",BF112/BE112)</f>
        <v/>
      </c>
      <c r="BI112" s="52" t="n"/>
      <c r="BJ112" s="72" t="n"/>
      <c r="BK112" s="72" t="n"/>
      <c r="BL112" s="72">
        <f>BK112-BJ112</f>
        <v/>
      </c>
      <c r="BM112" s="73">
        <f>IF(BJ112=0,"",BK112/BJ112)</f>
        <v/>
      </c>
      <c r="BN112" s="46" t="n"/>
      <c r="BO112" s="74">
        <f>G112+ L112+ V112+ AF112+ AP112+ AZ112+ BJ112</f>
        <v/>
      </c>
      <c r="BP112" s="74">
        <f>H112+ M112+ W112+ AG112+ AQ112+ BA112+ BK112</f>
        <v/>
      </c>
      <c r="BQ112" s="74">
        <f>BP112-BO112</f>
        <v/>
      </c>
      <c r="BR112" s="75">
        <f>IF(BO112=0,"",BP112/BO112)</f>
        <v/>
      </c>
      <c r="BS112" s="52" t="n"/>
      <c r="BT112" s="72" t="n"/>
      <c r="BU112" s="72" t="n"/>
      <c r="BV112" s="72">
        <f>BU112-BT112</f>
        <v/>
      </c>
      <c r="BW112" s="73">
        <f>IF(BT112=0,"",BU112/BT112)</f>
        <v/>
      </c>
      <c r="BX112" s="46" t="n"/>
      <c r="BY112" s="74">
        <f>G112+ L112+ V112+ AF112+ AP112+ AZ112+ BJ112+ BT112</f>
        <v/>
      </c>
      <c r="BZ112" s="74">
        <f>H112+ M112+ W112+ AG112+ AQ112+ BA112+ BK112+ BU112</f>
        <v/>
      </c>
      <c r="CA112" s="74">
        <f>BZ112-BY112</f>
        <v/>
      </c>
      <c r="CB112" s="75">
        <f>IF(BY112=0,"",BZ112/BY112)</f>
        <v/>
      </c>
      <c r="CC112" s="52" t="n"/>
      <c r="CD112" s="72" t="n"/>
      <c r="CE112" s="72" t="n"/>
      <c r="CF112" s="72">
        <f>CE112-CD112</f>
        <v/>
      </c>
      <c r="CG112" s="73">
        <f>IF(CD112=0,"",CE112/CD112)</f>
        <v/>
      </c>
      <c r="CH112" s="46" t="n"/>
      <c r="CI112" s="74">
        <f>G112+ L112+ V112+ AF112+ AP112+ AZ112+ BJ112+ BT112+ CD112</f>
        <v/>
      </c>
      <c r="CJ112" s="74">
        <f>H112+ M112+ W112+ AG112+ AQ112+ BA112+ BK112+ BU112+ CE112</f>
        <v/>
      </c>
      <c r="CK112" s="74">
        <f>CJ112-CI112</f>
        <v/>
      </c>
      <c r="CL112" s="75">
        <f>IF(CI112=0,"",CJ112/CI112)</f>
        <v/>
      </c>
      <c r="CM112" s="52" t="n"/>
      <c r="CN112" s="72" t="n"/>
      <c r="CO112" s="72" t="n"/>
      <c r="CP112" s="72">
        <f>CO112-CN112</f>
        <v/>
      </c>
      <c r="CQ112" s="73">
        <f>IF(CN112=0,"",CO112/CN112)</f>
        <v/>
      </c>
      <c r="CR112" s="46" t="n"/>
      <c r="CS112" s="74">
        <f>G112+ L112+ V112+ AF112+ AP112+ AZ112+ BJ112+ BT112+ CD112+ CN112</f>
        <v/>
      </c>
      <c r="CT112" s="74">
        <f>H112+ M112+ W112+ AG112+ AQ112+ BA112+ BK112+ BU112+ CE112+ CO112</f>
        <v/>
      </c>
      <c r="CU112" s="74">
        <f>CT112-CS112</f>
        <v/>
      </c>
      <c r="CV112" s="75">
        <f>IF(CS112=0,"",CT112/CS112)</f>
        <v/>
      </c>
      <c r="CW112" s="52" t="n"/>
      <c r="CX112" s="72" t="n"/>
      <c r="CY112" s="72" t="n"/>
      <c r="CZ112" s="72">
        <f>CY112-CX112</f>
        <v/>
      </c>
      <c r="DA112" s="73">
        <f>IF(CX112=0,"",CY112/CX112)</f>
        <v/>
      </c>
      <c r="DB112" s="46" t="n"/>
      <c r="DC112" s="74">
        <f>G112+ L112+ V112+ AF112+ AP112+ AZ112+ BJ112+ BT112+ CD112+ CN112+ CX112</f>
        <v/>
      </c>
      <c r="DD112" s="74">
        <f>H112+ M112+ W112+ AG112+ AQ112+ BA112+ BK112+ BU112+ CE112+ CO112+ CY112</f>
        <v/>
      </c>
      <c r="DE112" s="74">
        <f>DD112-DC112</f>
        <v/>
      </c>
      <c r="DF112" s="75">
        <f>IF(DC112=0,"",DD112/DC112)</f>
        <v/>
      </c>
      <c r="DG112" s="52" t="n"/>
      <c r="DH112" s="72" t="n"/>
      <c r="DI112" s="72" t="n"/>
      <c r="DJ112" s="72">
        <f>DI112-DH112</f>
        <v/>
      </c>
      <c r="DK112" s="73">
        <f>IF(DH112=0,"",DI112/DH112)</f>
        <v/>
      </c>
      <c r="DL112" s="46" t="n"/>
      <c r="DM112" s="74">
        <f>G112+ L112+ V112+ AF112+ AP112+ AZ112+ BJ112+ BT112+ CD112+ CN112+ CX112+ DH112</f>
        <v/>
      </c>
      <c r="DN112" s="74">
        <f>H112+ M112+ W112+ AG112+ AQ112+ BA112+ BK112+ BU112+ CE112+ CO112+ CY112+ DI112</f>
        <v/>
      </c>
      <c r="DO112" s="74">
        <f>DN112-DM112</f>
        <v/>
      </c>
      <c r="DP112" s="75">
        <f>IF(DM112=0,"",DN112/DM112)</f>
        <v/>
      </c>
      <c r="DQ112" s="52" t="n"/>
      <c r="DR112" s="72">
        <f>G112+L112+V112+AF112+AP112+AZ112+BJ112+BT112+CD112+CN112+CX112+DH112</f>
        <v/>
      </c>
    </row>
    <row r="113" ht="15" customHeight="1">
      <c r="A113" s="55" t="n"/>
      <c r="B113" s="55" t="n"/>
      <c r="C113" s="55" t="n"/>
      <c r="D113" s="46" t="n"/>
      <c r="E113" s="46" t="n"/>
      <c r="F113" s="47" t="n"/>
      <c r="G113" s="72" t="n"/>
      <c r="H113" s="72" t="n"/>
      <c r="I113" s="72">
        <f>H113-G113</f>
        <v/>
      </c>
      <c r="J113" s="73">
        <f>IF(G113=0,"",H113/G113)</f>
        <v/>
      </c>
      <c r="K113" s="46" t="n"/>
      <c r="L113" s="72" t="n"/>
      <c r="M113" s="72" t="n"/>
      <c r="N113" s="72">
        <f>M113-L113</f>
        <v/>
      </c>
      <c r="O113" s="73">
        <f>IF(L113=0,"",M113/L113)</f>
        <v/>
      </c>
      <c r="P113" s="46" t="n"/>
      <c r="Q113" s="74">
        <f>G113+ L113</f>
        <v/>
      </c>
      <c r="R113" s="74">
        <f>H113+ M113</f>
        <v/>
      </c>
      <c r="S113" s="74">
        <f>R113-Q113</f>
        <v/>
      </c>
      <c r="T113" s="75">
        <f>IF(Q113=0,"",R113/Q113)</f>
        <v/>
      </c>
      <c r="U113" s="52" t="n"/>
      <c r="V113" s="72" t="n"/>
      <c r="W113" s="72" t="n"/>
      <c r="X113" s="72">
        <f>W113-V113</f>
        <v/>
      </c>
      <c r="Y113" s="73">
        <f>IF(V113=0,"",W113/V113)</f>
        <v/>
      </c>
      <c r="Z113" s="46" t="n"/>
      <c r="AA113" s="74">
        <f>G113+ L113+ V113</f>
        <v/>
      </c>
      <c r="AB113" s="74">
        <f>H113+ M113+ W113</f>
        <v/>
      </c>
      <c r="AC113" s="74">
        <f>AB113-AA113</f>
        <v/>
      </c>
      <c r="AD113" s="75">
        <f>IF(AA113=0,"",AB113/AA113)</f>
        <v/>
      </c>
      <c r="AE113" s="52" t="n"/>
      <c r="AF113" s="72" t="n"/>
      <c r="AG113" s="72" t="n"/>
      <c r="AH113" s="72">
        <f>AG113-AF113</f>
        <v/>
      </c>
      <c r="AI113" s="73">
        <f>IF(AF113=0,"",AG113/AF113)</f>
        <v/>
      </c>
      <c r="AJ113" s="46" t="n"/>
      <c r="AK113" s="74">
        <f>G113+ L113+ V113+ AF113</f>
        <v/>
      </c>
      <c r="AL113" s="74">
        <f>H113+ M113+ W113+ AG113</f>
        <v/>
      </c>
      <c r="AM113" s="74">
        <f>AL113-AK113</f>
        <v/>
      </c>
      <c r="AN113" s="75">
        <f>IF(AK113=0,"",AL113/AK113)</f>
        <v/>
      </c>
      <c r="AO113" s="52" t="n"/>
      <c r="AP113" s="72" t="n"/>
      <c r="AQ113" s="72" t="n"/>
      <c r="AR113" s="72">
        <f>AQ113-AP113</f>
        <v/>
      </c>
      <c r="AS113" s="73">
        <f>IF(AP113=0,"",AQ113/AP113)</f>
        <v/>
      </c>
      <c r="AT113" s="46" t="n"/>
      <c r="AU113" s="74">
        <f>G113+ L113+ V113+ AF113+ AP113</f>
        <v/>
      </c>
      <c r="AV113" s="74">
        <f>H113+ M113+ W113+ AG113+ AQ113</f>
        <v/>
      </c>
      <c r="AW113" s="74">
        <f>AV113-AU113</f>
        <v/>
      </c>
      <c r="AX113" s="75">
        <f>IF(AU113=0,"",AV113/AU113)</f>
        <v/>
      </c>
      <c r="AY113" s="52" t="n"/>
      <c r="AZ113" s="72" t="n"/>
      <c r="BA113" s="72" t="n"/>
      <c r="BB113" s="72">
        <f>BA113-AZ113</f>
        <v/>
      </c>
      <c r="BC113" s="73">
        <f>IF(AZ113=0,"",BA113/AZ113)</f>
        <v/>
      </c>
      <c r="BD113" s="46" t="n"/>
      <c r="BE113" s="74">
        <f>G113+ L113+ V113+ AF113+ AP113+ AZ113</f>
        <v/>
      </c>
      <c r="BF113" s="74">
        <f>H113+ M113+ W113+ AG113+ AQ113+ BA113</f>
        <v/>
      </c>
      <c r="BG113" s="74">
        <f>BF113-BE113</f>
        <v/>
      </c>
      <c r="BH113" s="75">
        <f>IF(BE113=0,"",BF113/BE113)</f>
        <v/>
      </c>
      <c r="BI113" s="52" t="n"/>
      <c r="BJ113" s="72" t="n"/>
      <c r="BK113" s="72" t="n"/>
      <c r="BL113" s="72">
        <f>BK113-BJ113</f>
        <v/>
      </c>
      <c r="BM113" s="73">
        <f>IF(BJ113=0,"",BK113/BJ113)</f>
        <v/>
      </c>
      <c r="BN113" s="46" t="n"/>
      <c r="BO113" s="74">
        <f>G113+ L113+ V113+ AF113+ AP113+ AZ113+ BJ113</f>
        <v/>
      </c>
      <c r="BP113" s="74">
        <f>H113+ M113+ W113+ AG113+ AQ113+ BA113+ BK113</f>
        <v/>
      </c>
      <c r="BQ113" s="74">
        <f>BP113-BO113</f>
        <v/>
      </c>
      <c r="BR113" s="75">
        <f>IF(BO113=0,"",BP113/BO113)</f>
        <v/>
      </c>
      <c r="BS113" s="52" t="n"/>
      <c r="BT113" s="72" t="n"/>
      <c r="BU113" s="72" t="n"/>
      <c r="BV113" s="72">
        <f>BU113-BT113</f>
        <v/>
      </c>
      <c r="BW113" s="73">
        <f>IF(BT113=0,"",BU113/BT113)</f>
        <v/>
      </c>
      <c r="BX113" s="46" t="n"/>
      <c r="BY113" s="74">
        <f>G113+ L113+ V113+ AF113+ AP113+ AZ113+ BJ113+ BT113</f>
        <v/>
      </c>
      <c r="BZ113" s="74">
        <f>H113+ M113+ W113+ AG113+ AQ113+ BA113+ BK113+ BU113</f>
        <v/>
      </c>
      <c r="CA113" s="74">
        <f>BZ113-BY113</f>
        <v/>
      </c>
      <c r="CB113" s="75">
        <f>IF(BY113=0,"",BZ113/BY113)</f>
        <v/>
      </c>
      <c r="CC113" s="52" t="n"/>
      <c r="CD113" s="72" t="n"/>
      <c r="CE113" s="72" t="n"/>
      <c r="CF113" s="72">
        <f>CE113-CD113</f>
        <v/>
      </c>
      <c r="CG113" s="73">
        <f>IF(CD113=0,"",CE113/CD113)</f>
        <v/>
      </c>
      <c r="CH113" s="46" t="n"/>
      <c r="CI113" s="74">
        <f>G113+ L113+ V113+ AF113+ AP113+ AZ113+ BJ113+ BT113+ CD113</f>
        <v/>
      </c>
      <c r="CJ113" s="74">
        <f>H113+ M113+ W113+ AG113+ AQ113+ BA113+ BK113+ BU113+ CE113</f>
        <v/>
      </c>
      <c r="CK113" s="74">
        <f>CJ113-CI113</f>
        <v/>
      </c>
      <c r="CL113" s="75">
        <f>IF(CI113=0,"",CJ113/CI113)</f>
        <v/>
      </c>
      <c r="CM113" s="52" t="n"/>
      <c r="CN113" s="72" t="n"/>
      <c r="CO113" s="72" t="n"/>
      <c r="CP113" s="72">
        <f>CO113-CN113</f>
        <v/>
      </c>
      <c r="CQ113" s="73">
        <f>IF(CN113=0,"",CO113/CN113)</f>
        <v/>
      </c>
      <c r="CR113" s="46" t="n"/>
      <c r="CS113" s="74">
        <f>G113+ L113+ V113+ AF113+ AP113+ AZ113+ BJ113+ BT113+ CD113+ CN113</f>
        <v/>
      </c>
      <c r="CT113" s="74">
        <f>H113+ M113+ W113+ AG113+ AQ113+ BA113+ BK113+ BU113+ CE113+ CO113</f>
        <v/>
      </c>
      <c r="CU113" s="74">
        <f>CT113-CS113</f>
        <v/>
      </c>
      <c r="CV113" s="75">
        <f>IF(CS113=0,"",CT113/CS113)</f>
        <v/>
      </c>
      <c r="CW113" s="52" t="n"/>
      <c r="CX113" s="72" t="n"/>
      <c r="CY113" s="72" t="n"/>
      <c r="CZ113" s="72">
        <f>CY113-CX113</f>
        <v/>
      </c>
      <c r="DA113" s="73">
        <f>IF(CX113=0,"",CY113/CX113)</f>
        <v/>
      </c>
      <c r="DB113" s="46" t="n"/>
      <c r="DC113" s="74">
        <f>G113+ L113+ V113+ AF113+ AP113+ AZ113+ BJ113+ BT113+ CD113+ CN113+ CX113</f>
        <v/>
      </c>
      <c r="DD113" s="74">
        <f>H113+ M113+ W113+ AG113+ AQ113+ BA113+ BK113+ BU113+ CE113+ CO113+ CY113</f>
        <v/>
      </c>
      <c r="DE113" s="74">
        <f>DD113-DC113</f>
        <v/>
      </c>
      <c r="DF113" s="75">
        <f>IF(DC113=0,"",DD113/DC113)</f>
        <v/>
      </c>
      <c r="DG113" s="52" t="n"/>
      <c r="DH113" s="72" t="n"/>
      <c r="DI113" s="72" t="n"/>
      <c r="DJ113" s="72">
        <f>DI113-DH113</f>
        <v/>
      </c>
      <c r="DK113" s="73">
        <f>IF(DH113=0,"",DI113/DH113)</f>
        <v/>
      </c>
      <c r="DL113" s="46" t="n"/>
      <c r="DM113" s="74">
        <f>G113+ L113+ V113+ AF113+ AP113+ AZ113+ BJ113+ BT113+ CD113+ CN113+ CX113+ DH113</f>
        <v/>
      </c>
      <c r="DN113" s="74">
        <f>H113+ M113+ W113+ AG113+ AQ113+ BA113+ BK113+ BU113+ CE113+ CO113+ CY113+ DI113</f>
        <v/>
      </c>
      <c r="DO113" s="74">
        <f>DN113-DM113</f>
        <v/>
      </c>
      <c r="DP113" s="75">
        <f>IF(DM113=0,"",DN113/DM113)</f>
        <v/>
      </c>
      <c r="DQ113" s="52" t="n"/>
      <c r="DR113" s="72">
        <f>G113+L113+V113+AF113+AP113+AZ113+BJ113+BT113+CD113+CN113+CX113+DH113</f>
        <v/>
      </c>
    </row>
    <row r="114" ht="15" customHeight="1">
      <c r="A114" s="46" t="n"/>
      <c r="B114" s="46" t="n"/>
      <c r="C114" s="45" t="n"/>
      <c r="D114" s="46" t="n"/>
      <c r="E114" s="46" t="n"/>
      <c r="F114" s="47" t="n"/>
      <c r="G114" s="72" t="n"/>
      <c r="H114" s="72" t="n"/>
      <c r="I114" s="72">
        <f>H114-G114</f>
        <v/>
      </c>
      <c r="J114" s="73">
        <f>IF(G114=0,"",H114/G114)</f>
        <v/>
      </c>
      <c r="K114" s="46" t="n"/>
      <c r="L114" s="72" t="n"/>
      <c r="M114" s="72" t="n"/>
      <c r="N114" s="72">
        <f>M114-L114</f>
        <v/>
      </c>
      <c r="O114" s="73">
        <f>IF(L114=0,"",M114/L114)</f>
        <v/>
      </c>
      <c r="P114" s="46" t="n"/>
      <c r="Q114" s="74">
        <f>G114+ L114</f>
        <v/>
      </c>
      <c r="R114" s="74">
        <f>H114+ M114</f>
        <v/>
      </c>
      <c r="S114" s="74">
        <f>R114-Q114</f>
        <v/>
      </c>
      <c r="T114" s="75">
        <f>IF(Q114=0,"",R114/Q114)</f>
        <v/>
      </c>
      <c r="U114" s="52" t="n"/>
      <c r="V114" s="72" t="n"/>
      <c r="W114" s="72" t="n"/>
      <c r="X114" s="72">
        <f>W114-V114</f>
        <v/>
      </c>
      <c r="Y114" s="73">
        <f>IF(V114=0,"",W114/V114)</f>
        <v/>
      </c>
      <c r="Z114" s="46" t="n"/>
      <c r="AA114" s="74">
        <f>G114+ L114+ V114</f>
        <v/>
      </c>
      <c r="AB114" s="74">
        <f>H114+ M114+ W114</f>
        <v/>
      </c>
      <c r="AC114" s="74">
        <f>AB114-AA114</f>
        <v/>
      </c>
      <c r="AD114" s="75">
        <f>IF(AA114=0,"",AB114/AA114)</f>
        <v/>
      </c>
      <c r="AE114" s="52" t="n"/>
      <c r="AF114" s="72" t="n"/>
      <c r="AG114" s="72" t="n"/>
      <c r="AH114" s="72">
        <f>AG114-AF114</f>
        <v/>
      </c>
      <c r="AI114" s="73">
        <f>IF(AF114=0,"",AG114/AF114)</f>
        <v/>
      </c>
      <c r="AJ114" s="46" t="n"/>
      <c r="AK114" s="74">
        <f>G114+ L114+ V114+ AF114</f>
        <v/>
      </c>
      <c r="AL114" s="74">
        <f>H114+ M114+ W114+ AG114</f>
        <v/>
      </c>
      <c r="AM114" s="74">
        <f>AL114-AK114</f>
        <v/>
      </c>
      <c r="AN114" s="75">
        <f>IF(AK114=0,"",AL114/AK114)</f>
        <v/>
      </c>
      <c r="AO114" s="52" t="n"/>
      <c r="AP114" s="72" t="n"/>
      <c r="AQ114" s="72" t="n"/>
      <c r="AR114" s="72">
        <f>AQ114-AP114</f>
        <v/>
      </c>
      <c r="AS114" s="73">
        <f>IF(AP114=0,"",AQ114/AP114)</f>
        <v/>
      </c>
      <c r="AT114" s="46" t="n"/>
      <c r="AU114" s="74">
        <f>G114+ L114+ V114+ AF114+ AP114</f>
        <v/>
      </c>
      <c r="AV114" s="74">
        <f>H114+ M114+ W114+ AG114+ AQ114</f>
        <v/>
      </c>
      <c r="AW114" s="74">
        <f>AV114-AU114</f>
        <v/>
      </c>
      <c r="AX114" s="75">
        <f>IF(AU114=0,"",AV114/AU114)</f>
        <v/>
      </c>
      <c r="AY114" s="52" t="n"/>
      <c r="AZ114" s="72" t="n"/>
      <c r="BA114" s="72" t="n"/>
      <c r="BB114" s="72">
        <f>BA114-AZ114</f>
        <v/>
      </c>
      <c r="BC114" s="73">
        <f>IF(AZ114=0,"",BA114/AZ114)</f>
        <v/>
      </c>
      <c r="BD114" s="46" t="n"/>
      <c r="BE114" s="74">
        <f>G114+ L114+ V114+ AF114+ AP114+ AZ114</f>
        <v/>
      </c>
      <c r="BF114" s="74">
        <f>H114+ M114+ W114+ AG114+ AQ114+ BA114</f>
        <v/>
      </c>
      <c r="BG114" s="74">
        <f>BF114-BE114</f>
        <v/>
      </c>
      <c r="BH114" s="75">
        <f>IF(BE114=0,"",BF114/BE114)</f>
        <v/>
      </c>
      <c r="BI114" s="52" t="n"/>
      <c r="BJ114" s="72" t="n"/>
      <c r="BK114" s="72" t="n"/>
      <c r="BL114" s="72">
        <f>BK114-BJ114</f>
        <v/>
      </c>
      <c r="BM114" s="73">
        <f>IF(BJ114=0,"",BK114/BJ114)</f>
        <v/>
      </c>
      <c r="BN114" s="46" t="n"/>
      <c r="BO114" s="74">
        <f>G114+ L114+ V114+ AF114+ AP114+ AZ114+ BJ114</f>
        <v/>
      </c>
      <c r="BP114" s="74">
        <f>H114+ M114+ W114+ AG114+ AQ114+ BA114+ BK114</f>
        <v/>
      </c>
      <c r="BQ114" s="74">
        <f>BP114-BO114</f>
        <v/>
      </c>
      <c r="BR114" s="75">
        <f>IF(BO114=0,"",BP114/BO114)</f>
        <v/>
      </c>
      <c r="BS114" s="52" t="n"/>
      <c r="BT114" s="72" t="n"/>
      <c r="BU114" s="72" t="n"/>
      <c r="BV114" s="72">
        <f>BU114-BT114</f>
        <v/>
      </c>
      <c r="BW114" s="73">
        <f>IF(BT114=0,"",BU114/BT114)</f>
        <v/>
      </c>
      <c r="BX114" s="46" t="n"/>
      <c r="BY114" s="74">
        <f>G114+ L114+ V114+ AF114+ AP114+ AZ114+ BJ114+ BT114</f>
        <v/>
      </c>
      <c r="BZ114" s="74">
        <f>H114+ M114+ W114+ AG114+ AQ114+ BA114+ BK114+ BU114</f>
        <v/>
      </c>
      <c r="CA114" s="74">
        <f>BZ114-BY114</f>
        <v/>
      </c>
      <c r="CB114" s="75">
        <f>IF(BY114=0,"",BZ114/BY114)</f>
        <v/>
      </c>
      <c r="CC114" s="52" t="n"/>
      <c r="CD114" s="72" t="n"/>
      <c r="CE114" s="72" t="n"/>
      <c r="CF114" s="72">
        <f>CE114-CD114</f>
        <v/>
      </c>
      <c r="CG114" s="73">
        <f>IF(CD114=0,"",CE114/CD114)</f>
        <v/>
      </c>
      <c r="CH114" s="46" t="n"/>
      <c r="CI114" s="74">
        <f>G114+ L114+ V114+ AF114+ AP114+ AZ114+ BJ114+ BT114+ CD114</f>
        <v/>
      </c>
      <c r="CJ114" s="74">
        <f>H114+ M114+ W114+ AG114+ AQ114+ BA114+ BK114+ BU114+ CE114</f>
        <v/>
      </c>
      <c r="CK114" s="74">
        <f>CJ114-CI114</f>
        <v/>
      </c>
      <c r="CL114" s="75">
        <f>IF(CI114=0,"",CJ114/CI114)</f>
        <v/>
      </c>
      <c r="CM114" s="52" t="n"/>
      <c r="CN114" s="72" t="n"/>
      <c r="CO114" s="72" t="n"/>
      <c r="CP114" s="72">
        <f>CO114-CN114</f>
        <v/>
      </c>
      <c r="CQ114" s="73">
        <f>IF(CN114=0,"",CO114/CN114)</f>
        <v/>
      </c>
      <c r="CR114" s="46" t="n"/>
      <c r="CS114" s="74">
        <f>G114+ L114+ V114+ AF114+ AP114+ AZ114+ BJ114+ BT114+ CD114+ CN114</f>
        <v/>
      </c>
      <c r="CT114" s="74">
        <f>H114+ M114+ W114+ AG114+ AQ114+ BA114+ BK114+ BU114+ CE114+ CO114</f>
        <v/>
      </c>
      <c r="CU114" s="74">
        <f>CT114-CS114</f>
        <v/>
      </c>
      <c r="CV114" s="75">
        <f>IF(CS114=0,"",CT114/CS114)</f>
        <v/>
      </c>
      <c r="CW114" s="52" t="n"/>
      <c r="CX114" s="72" t="n"/>
      <c r="CY114" s="72" t="n"/>
      <c r="CZ114" s="72">
        <f>CY114-CX114</f>
        <v/>
      </c>
      <c r="DA114" s="73">
        <f>IF(CX114=0,"",CY114/CX114)</f>
        <v/>
      </c>
      <c r="DB114" s="46" t="n"/>
      <c r="DC114" s="74">
        <f>G114+ L114+ V114+ AF114+ AP114+ AZ114+ BJ114+ BT114+ CD114+ CN114+ CX114</f>
        <v/>
      </c>
      <c r="DD114" s="74">
        <f>H114+ M114+ W114+ AG114+ AQ114+ BA114+ BK114+ BU114+ CE114+ CO114+ CY114</f>
        <v/>
      </c>
      <c r="DE114" s="74">
        <f>DD114-DC114</f>
        <v/>
      </c>
      <c r="DF114" s="75">
        <f>IF(DC114=0,"",DD114/DC114)</f>
        <v/>
      </c>
      <c r="DG114" s="52" t="n"/>
      <c r="DH114" s="72" t="n"/>
      <c r="DI114" s="72" t="n"/>
      <c r="DJ114" s="72">
        <f>DI114-DH114</f>
        <v/>
      </c>
      <c r="DK114" s="73">
        <f>IF(DH114=0,"",DI114/DH114)</f>
        <v/>
      </c>
      <c r="DL114" s="46" t="n"/>
      <c r="DM114" s="74">
        <f>G114+ L114+ V114+ AF114+ AP114+ AZ114+ BJ114+ BT114+ CD114+ CN114+ CX114+ DH114</f>
        <v/>
      </c>
      <c r="DN114" s="74">
        <f>H114+ M114+ W114+ AG114+ AQ114+ BA114+ BK114+ BU114+ CE114+ CO114+ CY114+ DI114</f>
        <v/>
      </c>
      <c r="DO114" s="74">
        <f>DN114-DM114</f>
        <v/>
      </c>
      <c r="DP114" s="75">
        <f>IF(DM114=0,"",DN114/DM114)</f>
        <v/>
      </c>
      <c r="DQ114" s="52" t="n"/>
      <c r="DR114" s="72">
        <f>G114+L114+V114+AF114+AP114+AZ114+BJ114+BT114+CD114+CN114+CX114+DH114</f>
        <v/>
      </c>
    </row>
    <row r="115" ht="15" customHeight="1">
      <c r="A115" s="67" t="n"/>
      <c r="B115" s="67" t="n"/>
      <c r="C115" s="67" t="n"/>
      <c r="D115" s="46" t="n"/>
      <c r="E115" s="46" t="n"/>
      <c r="F115" s="47" t="n"/>
      <c r="G115" s="72" t="n"/>
      <c r="H115" s="72" t="n"/>
      <c r="I115" s="72">
        <f>H115-G115</f>
        <v/>
      </c>
      <c r="J115" s="73">
        <f>IF(G115=0,"",H115/G115)</f>
        <v/>
      </c>
      <c r="K115" s="46" t="n"/>
      <c r="L115" s="72" t="n"/>
      <c r="M115" s="72" t="n"/>
      <c r="N115" s="72">
        <f>M115-L115</f>
        <v/>
      </c>
      <c r="O115" s="73">
        <f>IF(L115=0,"",M115/L115)</f>
        <v/>
      </c>
      <c r="P115" s="46" t="n"/>
      <c r="Q115" s="74">
        <f>G115+ L115</f>
        <v/>
      </c>
      <c r="R115" s="74">
        <f>H115+ M115</f>
        <v/>
      </c>
      <c r="S115" s="74">
        <f>R115-Q115</f>
        <v/>
      </c>
      <c r="T115" s="75">
        <f>IF(Q115=0,"",R115/Q115)</f>
        <v/>
      </c>
      <c r="U115" s="52" t="n"/>
      <c r="V115" s="72" t="n"/>
      <c r="W115" s="72" t="n"/>
      <c r="X115" s="72">
        <f>W115-V115</f>
        <v/>
      </c>
      <c r="Y115" s="73">
        <f>IF(V115=0,"",W115/V115)</f>
        <v/>
      </c>
      <c r="Z115" s="46" t="n"/>
      <c r="AA115" s="74">
        <f>G115+ L115+ V115</f>
        <v/>
      </c>
      <c r="AB115" s="74">
        <f>H115+ M115+ W115</f>
        <v/>
      </c>
      <c r="AC115" s="74">
        <f>AB115-AA115</f>
        <v/>
      </c>
      <c r="AD115" s="75">
        <f>IF(AA115=0,"",AB115/AA115)</f>
        <v/>
      </c>
      <c r="AE115" s="52" t="n"/>
      <c r="AF115" s="72" t="n"/>
      <c r="AG115" s="72" t="n"/>
      <c r="AH115" s="72">
        <f>AG115-AF115</f>
        <v/>
      </c>
      <c r="AI115" s="73">
        <f>IF(AF115=0,"",AG115/AF115)</f>
        <v/>
      </c>
      <c r="AJ115" s="46" t="n"/>
      <c r="AK115" s="74">
        <f>G115+ L115+ V115+ AF115</f>
        <v/>
      </c>
      <c r="AL115" s="74">
        <f>H115+ M115+ W115+ AG115</f>
        <v/>
      </c>
      <c r="AM115" s="74">
        <f>AL115-AK115</f>
        <v/>
      </c>
      <c r="AN115" s="75">
        <f>IF(AK115=0,"",AL115/AK115)</f>
        <v/>
      </c>
      <c r="AO115" s="52" t="n"/>
      <c r="AP115" s="72" t="n"/>
      <c r="AQ115" s="72" t="n"/>
      <c r="AR115" s="72">
        <f>AQ115-AP115</f>
        <v/>
      </c>
      <c r="AS115" s="73">
        <f>IF(AP115=0,"",AQ115/AP115)</f>
        <v/>
      </c>
      <c r="AT115" s="46" t="n"/>
      <c r="AU115" s="74">
        <f>G115+ L115+ V115+ AF115+ AP115</f>
        <v/>
      </c>
      <c r="AV115" s="74">
        <f>H115+ M115+ W115+ AG115+ AQ115</f>
        <v/>
      </c>
      <c r="AW115" s="74">
        <f>AV115-AU115</f>
        <v/>
      </c>
      <c r="AX115" s="75">
        <f>IF(AU115=0,"",AV115/AU115)</f>
        <v/>
      </c>
      <c r="AY115" s="52" t="n"/>
      <c r="AZ115" s="72" t="n"/>
      <c r="BA115" s="72" t="n"/>
      <c r="BB115" s="72">
        <f>BA115-AZ115</f>
        <v/>
      </c>
      <c r="BC115" s="73">
        <f>IF(AZ115=0,"",BA115/AZ115)</f>
        <v/>
      </c>
      <c r="BD115" s="46" t="n"/>
      <c r="BE115" s="74">
        <f>G115+ L115+ V115+ AF115+ AP115+ AZ115</f>
        <v/>
      </c>
      <c r="BF115" s="74">
        <f>H115+ M115+ W115+ AG115+ AQ115+ BA115</f>
        <v/>
      </c>
      <c r="BG115" s="74">
        <f>BF115-BE115</f>
        <v/>
      </c>
      <c r="BH115" s="75">
        <f>IF(BE115=0,"",BF115/BE115)</f>
        <v/>
      </c>
      <c r="BI115" s="52" t="n"/>
      <c r="BJ115" s="72" t="n"/>
      <c r="BK115" s="72" t="n"/>
      <c r="BL115" s="72">
        <f>BK115-BJ115</f>
        <v/>
      </c>
      <c r="BM115" s="73">
        <f>IF(BJ115=0,"",BK115/BJ115)</f>
        <v/>
      </c>
      <c r="BN115" s="46" t="n"/>
      <c r="BO115" s="74">
        <f>G115+ L115+ V115+ AF115+ AP115+ AZ115+ BJ115</f>
        <v/>
      </c>
      <c r="BP115" s="74">
        <f>H115+ M115+ W115+ AG115+ AQ115+ BA115+ BK115</f>
        <v/>
      </c>
      <c r="BQ115" s="74">
        <f>BP115-BO115</f>
        <v/>
      </c>
      <c r="BR115" s="75">
        <f>IF(BO115=0,"",BP115/BO115)</f>
        <v/>
      </c>
      <c r="BS115" s="52" t="n"/>
      <c r="BT115" s="72" t="n"/>
      <c r="BU115" s="72" t="n"/>
      <c r="BV115" s="72">
        <f>BU115-BT115</f>
        <v/>
      </c>
      <c r="BW115" s="73">
        <f>IF(BT115=0,"",BU115/BT115)</f>
        <v/>
      </c>
      <c r="BX115" s="46" t="n"/>
      <c r="BY115" s="74">
        <f>G115+ L115+ V115+ AF115+ AP115+ AZ115+ BJ115+ BT115</f>
        <v/>
      </c>
      <c r="BZ115" s="74">
        <f>H115+ M115+ W115+ AG115+ AQ115+ BA115+ BK115+ BU115</f>
        <v/>
      </c>
      <c r="CA115" s="74">
        <f>BZ115-BY115</f>
        <v/>
      </c>
      <c r="CB115" s="75">
        <f>IF(BY115=0,"",BZ115/BY115)</f>
        <v/>
      </c>
      <c r="CC115" s="52" t="n"/>
      <c r="CD115" s="72" t="n"/>
      <c r="CE115" s="72" t="n"/>
      <c r="CF115" s="72">
        <f>CE115-CD115</f>
        <v/>
      </c>
      <c r="CG115" s="73">
        <f>IF(CD115=0,"",CE115/CD115)</f>
        <v/>
      </c>
      <c r="CH115" s="46" t="n"/>
      <c r="CI115" s="74">
        <f>G115+ L115+ V115+ AF115+ AP115+ AZ115+ BJ115+ BT115+ CD115</f>
        <v/>
      </c>
      <c r="CJ115" s="74">
        <f>H115+ M115+ W115+ AG115+ AQ115+ BA115+ BK115+ BU115+ CE115</f>
        <v/>
      </c>
      <c r="CK115" s="74">
        <f>CJ115-CI115</f>
        <v/>
      </c>
      <c r="CL115" s="75">
        <f>IF(CI115=0,"",CJ115/CI115)</f>
        <v/>
      </c>
      <c r="CM115" s="52" t="n"/>
      <c r="CN115" s="72" t="n"/>
      <c r="CO115" s="72" t="n"/>
      <c r="CP115" s="72">
        <f>CO115-CN115</f>
        <v/>
      </c>
      <c r="CQ115" s="73">
        <f>IF(CN115=0,"",CO115/CN115)</f>
        <v/>
      </c>
      <c r="CR115" s="46" t="n"/>
      <c r="CS115" s="74">
        <f>G115+ L115+ V115+ AF115+ AP115+ AZ115+ BJ115+ BT115+ CD115+ CN115</f>
        <v/>
      </c>
      <c r="CT115" s="74">
        <f>H115+ M115+ W115+ AG115+ AQ115+ BA115+ BK115+ BU115+ CE115+ CO115</f>
        <v/>
      </c>
      <c r="CU115" s="74">
        <f>CT115-CS115</f>
        <v/>
      </c>
      <c r="CV115" s="75">
        <f>IF(CS115=0,"",CT115/CS115)</f>
        <v/>
      </c>
      <c r="CW115" s="52" t="n"/>
      <c r="CX115" s="72" t="n"/>
      <c r="CY115" s="72" t="n"/>
      <c r="CZ115" s="72">
        <f>CY115-CX115</f>
        <v/>
      </c>
      <c r="DA115" s="73">
        <f>IF(CX115=0,"",CY115/CX115)</f>
        <v/>
      </c>
      <c r="DB115" s="46" t="n"/>
      <c r="DC115" s="74">
        <f>G115+ L115+ V115+ AF115+ AP115+ AZ115+ BJ115+ BT115+ CD115+ CN115+ CX115</f>
        <v/>
      </c>
      <c r="DD115" s="74">
        <f>H115+ M115+ W115+ AG115+ AQ115+ BA115+ BK115+ BU115+ CE115+ CO115+ CY115</f>
        <v/>
      </c>
      <c r="DE115" s="74">
        <f>DD115-DC115</f>
        <v/>
      </c>
      <c r="DF115" s="75">
        <f>IF(DC115=0,"",DD115/DC115)</f>
        <v/>
      </c>
      <c r="DG115" s="52" t="n"/>
      <c r="DH115" s="72" t="n"/>
      <c r="DI115" s="72" t="n"/>
      <c r="DJ115" s="72">
        <f>DI115-DH115</f>
        <v/>
      </c>
      <c r="DK115" s="73">
        <f>IF(DH115=0,"",DI115/DH115)</f>
        <v/>
      </c>
      <c r="DL115" s="46" t="n"/>
      <c r="DM115" s="74">
        <f>G115+ L115+ V115+ AF115+ AP115+ AZ115+ BJ115+ BT115+ CD115+ CN115+ CX115+ DH115</f>
        <v/>
      </c>
      <c r="DN115" s="74">
        <f>H115+ M115+ W115+ AG115+ AQ115+ BA115+ BK115+ BU115+ CE115+ CO115+ CY115+ DI115</f>
        <v/>
      </c>
      <c r="DO115" s="74">
        <f>DN115-DM115</f>
        <v/>
      </c>
      <c r="DP115" s="75">
        <f>IF(DM115=0,"",DN115/DM115)</f>
        <v/>
      </c>
      <c r="DQ115" s="52" t="n"/>
      <c r="DR115" s="72">
        <f>G115+L115+V115+AF115+AP115+AZ115+BJ115+BT115+CD115+CN115+CX115+DH115</f>
        <v/>
      </c>
    </row>
    <row r="116" ht="15" customHeight="1">
      <c r="A116" s="55" t="n"/>
      <c r="B116" s="55" t="n"/>
      <c r="C116" s="55" t="n"/>
      <c r="D116" s="46" t="n"/>
      <c r="E116" s="46" t="n"/>
      <c r="F116" s="47" t="n"/>
      <c r="G116" s="72" t="n"/>
      <c r="H116" s="72" t="n"/>
      <c r="I116" s="72">
        <f>H116-G116</f>
        <v/>
      </c>
      <c r="J116" s="73">
        <f>IF(G116=0,"",H116/G116)</f>
        <v/>
      </c>
      <c r="K116" s="46" t="n"/>
      <c r="L116" s="72" t="n"/>
      <c r="M116" s="72" t="n"/>
      <c r="N116" s="72">
        <f>M116-L116</f>
        <v/>
      </c>
      <c r="O116" s="73">
        <f>IF(L116=0,"",M116/L116)</f>
        <v/>
      </c>
      <c r="P116" s="46" t="n"/>
      <c r="Q116" s="74">
        <f>G116+ L116</f>
        <v/>
      </c>
      <c r="R116" s="74">
        <f>H116+ M116</f>
        <v/>
      </c>
      <c r="S116" s="74">
        <f>R116-Q116</f>
        <v/>
      </c>
      <c r="T116" s="75">
        <f>IF(Q116=0,"",R116/Q116)</f>
        <v/>
      </c>
      <c r="U116" s="52" t="n"/>
      <c r="V116" s="72" t="n"/>
      <c r="W116" s="72" t="n"/>
      <c r="X116" s="72">
        <f>W116-V116</f>
        <v/>
      </c>
      <c r="Y116" s="73">
        <f>IF(V116=0,"",W116/V116)</f>
        <v/>
      </c>
      <c r="Z116" s="46" t="n"/>
      <c r="AA116" s="74">
        <f>G116+ L116+ V116</f>
        <v/>
      </c>
      <c r="AB116" s="74">
        <f>H116+ M116+ W116</f>
        <v/>
      </c>
      <c r="AC116" s="74">
        <f>AB116-AA116</f>
        <v/>
      </c>
      <c r="AD116" s="75">
        <f>IF(AA116=0,"",AB116/AA116)</f>
        <v/>
      </c>
      <c r="AE116" s="52" t="n"/>
      <c r="AF116" s="72" t="n"/>
      <c r="AG116" s="72" t="n"/>
      <c r="AH116" s="72">
        <f>AG116-AF116</f>
        <v/>
      </c>
      <c r="AI116" s="73">
        <f>IF(AF116=0,"",AG116/AF116)</f>
        <v/>
      </c>
      <c r="AJ116" s="46" t="n"/>
      <c r="AK116" s="74">
        <f>G116+ L116+ V116+ AF116</f>
        <v/>
      </c>
      <c r="AL116" s="74">
        <f>H116+ M116+ W116+ AG116</f>
        <v/>
      </c>
      <c r="AM116" s="74">
        <f>AL116-AK116</f>
        <v/>
      </c>
      <c r="AN116" s="75">
        <f>IF(AK116=0,"",AL116/AK116)</f>
        <v/>
      </c>
      <c r="AO116" s="52" t="n"/>
      <c r="AP116" s="72" t="n"/>
      <c r="AQ116" s="72" t="n"/>
      <c r="AR116" s="72">
        <f>AQ116-AP116</f>
        <v/>
      </c>
      <c r="AS116" s="73">
        <f>IF(AP116=0,"",AQ116/AP116)</f>
        <v/>
      </c>
      <c r="AT116" s="46" t="n"/>
      <c r="AU116" s="74">
        <f>G116+ L116+ V116+ AF116+ AP116</f>
        <v/>
      </c>
      <c r="AV116" s="74">
        <f>H116+ M116+ W116+ AG116+ AQ116</f>
        <v/>
      </c>
      <c r="AW116" s="74">
        <f>AV116-AU116</f>
        <v/>
      </c>
      <c r="AX116" s="75">
        <f>IF(AU116=0,"",AV116/AU116)</f>
        <v/>
      </c>
      <c r="AY116" s="52" t="n"/>
      <c r="AZ116" s="72" t="n"/>
      <c r="BA116" s="72" t="n"/>
      <c r="BB116" s="72">
        <f>BA116-AZ116</f>
        <v/>
      </c>
      <c r="BC116" s="73">
        <f>IF(AZ116=0,"",BA116/AZ116)</f>
        <v/>
      </c>
      <c r="BD116" s="46" t="n"/>
      <c r="BE116" s="74">
        <f>G116+ L116+ V116+ AF116+ AP116+ AZ116</f>
        <v/>
      </c>
      <c r="BF116" s="74">
        <f>H116+ M116+ W116+ AG116+ AQ116+ BA116</f>
        <v/>
      </c>
      <c r="BG116" s="74">
        <f>BF116-BE116</f>
        <v/>
      </c>
      <c r="BH116" s="75">
        <f>IF(BE116=0,"",BF116/BE116)</f>
        <v/>
      </c>
      <c r="BI116" s="52" t="n"/>
      <c r="BJ116" s="72" t="n"/>
      <c r="BK116" s="72" t="n"/>
      <c r="BL116" s="72">
        <f>BK116-BJ116</f>
        <v/>
      </c>
      <c r="BM116" s="73">
        <f>IF(BJ116=0,"",BK116/BJ116)</f>
        <v/>
      </c>
      <c r="BN116" s="46" t="n"/>
      <c r="BO116" s="74">
        <f>G116+ L116+ V116+ AF116+ AP116+ AZ116+ BJ116</f>
        <v/>
      </c>
      <c r="BP116" s="74">
        <f>H116+ M116+ W116+ AG116+ AQ116+ BA116+ BK116</f>
        <v/>
      </c>
      <c r="BQ116" s="74">
        <f>BP116-BO116</f>
        <v/>
      </c>
      <c r="BR116" s="75">
        <f>IF(BO116=0,"",BP116/BO116)</f>
        <v/>
      </c>
      <c r="BS116" s="52" t="n"/>
      <c r="BT116" s="72" t="n"/>
      <c r="BU116" s="72" t="n"/>
      <c r="BV116" s="72">
        <f>BU116-BT116</f>
        <v/>
      </c>
      <c r="BW116" s="73">
        <f>IF(BT116=0,"",BU116/BT116)</f>
        <v/>
      </c>
      <c r="BX116" s="46" t="n"/>
      <c r="BY116" s="74">
        <f>G116+ L116+ V116+ AF116+ AP116+ AZ116+ BJ116+ BT116</f>
        <v/>
      </c>
      <c r="BZ116" s="74">
        <f>H116+ M116+ W116+ AG116+ AQ116+ BA116+ BK116+ BU116</f>
        <v/>
      </c>
      <c r="CA116" s="74">
        <f>BZ116-BY116</f>
        <v/>
      </c>
      <c r="CB116" s="75">
        <f>IF(BY116=0,"",BZ116/BY116)</f>
        <v/>
      </c>
      <c r="CC116" s="52" t="n"/>
      <c r="CD116" s="72" t="n"/>
      <c r="CE116" s="72" t="n"/>
      <c r="CF116" s="72">
        <f>CE116-CD116</f>
        <v/>
      </c>
      <c r="CG116" s="73">
        <f>IF(CD116=0,"",CE116/CD116)</f>
        <v/>
      </c>
      <c r="CH116" s="46" t="n"/>
      <c r="CI116" s="74">
        <f>G116+ L116+ V116+ AF116+ AP116+ AZ116+ BJ116+ BT116+ CD116</f>
        <v/>
      </c>
      <c r="CJ116" s="74">
        <f>H116+ M116+ W116+ AG116+ AQ116+ BA116+ BK116+ BU116+ CE116</f>
        <v/>
      </c>
      <c r="CK116" s="74">
        <f>CJ116-CI116</f>
        <v/>
      </c>
      <c r="CL116" s="75">
        <f>IF(CI116=0,"",CJ116/CI116)</f>
        <v/>
      </c>
      <c r="CM116" s="52" t="n"/>
      <c r="CN116" s="72" t="n"/>
      <c r="CO116" s="72" t="n"/>
      <c r="CP116" s="72">
        <f>CO116-CN116</f>
        <v/>
      </c>
      <c r="CQ116" s="73">
        <f>IF(CN116=0,"",CO116/CN116)</f>
        <v/>
      </c>
      <c r="CR116" s="46" t="n"/>
      <c r="CS116" s="74">
        <f>G116+ L116+ V116+ AF116+ AP116+ AZ116+ BJ116+ BT116+ CD116+ CN116</f>
        <v/>
      </c>
      <c r="CT116" s="74">
        <f>H116+ M116+ W116+ AG116+ AQ116+ BA116+ BK116+ BU116+ CE116+ CO116</f>
        <v/>
      </c>
      <c r="CU116" s="74">
        <f>CT116-CS116</f>
        <v/>
      </c>
      <c r="CV116" s="75">
        <f>IF(CS116=0,"",CT116/CS116)</f>
        <v/>
      </c>
      <c r="CW116" s="52" t="n"/>
      <c r="CX116" s="72" t="n"/>
      <c r="CY116" s="72" t="n"/>
      <c r="CZ116" s="72">
        <f>CY116-CX116</f>
        <v/>
      </c>
      <c r="DA116" s="73">
        <f>IF(CX116=0,"",CY116/CX116)</f>
        <v/>
      </c>
      <c r="DB116" s="46" t="n"/>
      <c r="DC116" s="74">
        <f>G116+ L116+ V116+ AF116+ AP116+ AZ116+ BJ116+ BT116+ CD116+ CN116+ CX116</f>
        <v/>
      </c>
      <c r="DD116" s="74">
        <f>H116+ M116+ W116+ AG116+ AQ116+ BA116+ BK116+ BU116+ CE116+ CO116+ CY116</f>
        <v/>
      </c>
      <c r="DE116" s="74">
        <f>DD116-DC116</f>
        <v/>
      </c>
      <c r="DF116" s="75">
        <f>IF(DC116=0,"",DD116/DC116)</f>
        <v/>
      </c>
      <c r="DG116" s="52" t="n"/>
      <c r="DH116" s="72" t="n"/>
      <c r="DI116" s="72" t="n"/>
      <c r="DJ116" s="72">
        <f>DI116-DH116</f>
        <v/>
      </c>
      <c r="DK116" s="73">
        <f>IF(DH116=0,"",DI116/DH116)</f>
        <v/>
      </c>
      <c r="DL116" s="46" t="n"/>
      <c r="DM116" s="74">
        <f>G116+ L116+ V116+ AF116+ AP116+ AZ116+ BJ116+ BT116+ CD116+ CN116+ CX116+ DH116</f>
        <v/>
      </c>
      <c r="DN116" s="74">
        <f>H116+ M116+ W116+ AG116+ AQ116+ BA116+ BK116+ BU116+ CE116+ CO116+ CY116+ DI116</f>
        <v/>
      </c>
      <c r="DO116" s="74">
        <f>DN116-DM116</f>
        <v/>
      </c>
      <c r="DP116" s="75">
        <f>IF(DM116=0,"",DN116/DM116)</f>
        <v/>
      </c>
      <c r="DQ116" s="52" t="n"/>
      <c r="DR116" s="72">
        <f>G116+L116+V116+AF116+AP116+AZ116+BJ116+BT116+CD116+CN116+CX116+DH116</f>
        <v/>
      </c>
    </row>
    <row r="117" ht="15" customHeight="1">
      <c r="A117" s="46" t="n"/>
      <c r="B117" s="46" t="n"/>
      <c r="C117" s="45" t="n"/>
      <c r="D117" s="46" t="n"/>
      <c r="E117" s="46" t="n"/>
      <c r="F117" s="47" t="n"/>
      <c r="G117" s="72" t="n"/>
      <c r="H117" s="72" t="n"/>
      <c r="I117" s="72">
        <f>H117-G117</f>
        <v/>
      </c>
      <c r="J117" s="73">
        <f>IF(G117=0,"",H117/G117)</f>
        <v/>
      </c>
      <c r="K117" s="46" t="n"/>
      <c r="L117" s="72" t="n"/>
      <c r="M117" s="72" t="n"/>
      <c r="N117" s="72">
        <f>M117-L117</f>
        <v/>
      </c>
      <c r="O117" s="73">
        <f>IF(L117=0,"",M117/L117)</f>
        <v/>
      </c>
      <c r="P117" s="46" t="n"/>
      <c r="Q117" s="74">
        <f>G117+ L117</f>
        <v/>
      </c>
      <c r="R117" s="74">
        <f>H117+ M117</f>
        <v/>
      </c>
      <c r="S117" s="74">
        <f>R117-Q117</f>
        <v/>
      </c>
      <c r="T117" s="75">
        <f>IF(Q117=0,"",R117/Q117)</f>
        <v/>
      </c>
      <c r="U117" s="52" t="n"/>
      <c r="V117" s="72" t="n"/>
      <c r="W117" s="72" t="n"/>
      <c r="X117" s="72">
        <f>W117-V117</f>
        <v/>
      </c>
      <c r="Y117" s="73">
        <f>IF(V117=0,"",W117/V117)</f>
        <v/>
      </c>
      <c r="Z117" s="46" t="n"/>
      <c r="AA117" s="74">
        <f>G117+ L117+ V117</f>
        <v/>
      </c>
      <c r="AB117" s="74">
        <f>H117+ M117+ W117</f>
        <v/>
      </c>
      <c r="AC117" s="74">
        <f>AB117-AA117</f>
        <v/>
      </c>
      <c r="AD117" s="75">
        <f>IF(AA117=0,"",AB117/AA117)</f>
        <v/>
      </c>
      <c r="AE117" s="52" t="n"/>
      <c r="AF117" s="72" t="n"/>
      <c r="AG117" s="72" t="n"/>
      <c r="AH117" s="72">
        <f>AG117-AF117</f>
        <v/>
      </c>
      <c r="AI117" s="73">
        <f>IF(AF117=0,"",AG117/AF117)</f>
        <v/>
      </c>
      <c r="AJ117" s="46" t="n"/>
      <c r="AK117" s="74">
        <f>G117+ L117+ V117+ AF117</f>
        <v/>
      </c>
      <c r="AL117" s="74">
        <f>H117+ M117+ W117+ AG117</f>
        <v/>
      </c>
      <c r="AM117" s="74">
        <f>AL117-AK117</f>
        <v/>
      </c>
      <c r="AN117" s="75">
        <f>IF(AK117=0,"",AL117/AK117)</f>
        <v/>
      </c>
      <c r="AO117" s="52" t="n"/>
      <c r="AP117" s="72" t="n"/>
      <c r="AQ117" s="72" t="n"/>
      <c r="AR117" s="72">
        <f>AQ117-AP117</f>
        <v/>
      </c>
      <c r="AS117" s="73">
        <f>IF(AP117=0,"",AQ117/AP117)</f>
        <v/>
      </c>
      <c r="AT117" s="46" t="n"/>
      <c r="AU117" s="74">
        <f>G117+ L117+ V117+ AF117+ AP117</f>
        <v/>
      </c>
      <c r="AV117" s="74">
        <f>H117+ M117+ W117+ AG117+ AQ117</f>
        <v/>
      </c>
      <c r="AW117" s="74">
        <f>AV117-AU117</f>
        <v/>
      </c>
      <c r="AX117" s="75">
        <f>IF(AU117=0,"",AV117/AU117)</f>
        <v/>
      </c>
      <c r="AY117" s="52" t="n"/>
      <c r="AZ117" s="72" t="n"/>
      <c r="BA117" s="72" t="n"/>
      <c r="BB117" s="72">
        <f>BA117-AZ117</f>
        <v/>
      </c>
      <c r="BC117" s="73">
        <f>IF(AZ117=0,"",BA117/AZ117)</f>
        <v/>
      </c>
      <c r="BD117" s="46" t="n"/>
      <c r="BE117" s="74">
        <f>G117+ L117+ V117+ AF117+ AP117+ AZ117</f>
        <v/>
      </c>
      <c r="BF117" s="74">
        <f>H117+ M117+ W117+ AG117+ AQ117+ BA117</f>
        <v/>
      </c>
      <c r="BG117" s="74">
        <f>BF117-BE117</f>
        <v/>
      </c>
      <c r="BH117" s="75">
        <f>IF(BE117=0,"",BF117/BE117)</f>
        <v/>
      </c>
      <c r="BI117" s="52" t="n"/>
      <c r="BJ117" s="72" t="n"/>
      <c r="BK117" s="72" t="n"/>
      <c r="BL117" s="72">
        <f>BK117-BJ117</f>
        <v/>
      </c>
      <c r="BM117" s="73">
        <f>IF(BJ117=0,"",BK117/BJ117)</f>
        <v/>
      </c>
      <c r="BN117" s="46" t="n"/>
      <c r="BO117" s="74">
        <f>G117+ L117+ V117+ AF117+ AP117+ AZ117+ BJ117</f>
        <v/>
      </c>
      <c r="BP117" s="74">
        <f>H117+ M117+ W117+ AG117+ AQ117+ BA117+ BK117</f>
        <v/>
      </c>
      <c r="BQ117" s="74">
        <f>BP117-BO117</f>
        <v/>
      </c>
      <c r="BR117" s="75">
        <f>IF(BO117=0,"",BP117/BO117)</f>
        <v/>
      </c>
      <c r="BS117" s="52" t="n"/>
      <c r="BT117" s="72" t="n"/>
      <c r="BU117" s="72" t="n"/>
      <c r="BV117" s="72">
        <f>BU117-BT117</f>
        <v/>
      </c>
      <c r="BW117" s="73">
        <f>IF(BT117=0,"",BU117/BT117)</f>
        <v/>
      </c>
      <c r="BX117" s="46" t="n"/>
      <c r="BY117" s="74">
        <f>G117+ L117+ V117+ AF117+ AP117+ AZ117+ BJ117+ BT117</f>
        <v/>
      </c>
      <c r="BZ117" s="74">
        <f>H117+ M117+ W117+ AG117+ AQ117+ BA117+ BK117+ BU117</f>
        <v/>
      </c>
      <c r="CA117" s="74">
        <f>BZ117-BY117</f>
        <v/>
      </c>
      <c r="CB117" s="75">
        <f>IF(BY117=0,"",BZ117/BY117)</f>
        <v/>
      </c>
      <c r="CC117" s="52" t="n"/>
      <c r="CD117" s="72" t="n"/>
      <c r="CE117" s="72" t="n"/>
      <c r="CF117" s="72">
        <f>CE117-CD117</f>
        <v/>
      </c>
      <c r="CG117" s="73">
        <f>IF(CD117=0,"",CE117/CD117)</f>
        <v/>
      </c>
      <c r="CH117" s="46" t="n"/>
      <c r="CI117" s="74">
        <f>G117+ L117+ V117+ AF117+ AP117+ AZ117+ BJ117+ BT117+ CD117</f>
        <v/>
      </c>
      <c r="CJ117" s="74">
        <f>H117+ M117+ W117+ AG117+ AQ117+ BA117+ BK117+ BU117+ CE117</f>
        <v/>
      </c>
      <c r="CK117" s="74">
        <f>CJ117-CI117</f>
        <v/>
      </c>
      <c r="CL117" s="75">
        <f>IF(CI117=0,"",CJ117/CI117)</f>
        <v/>
      </c>
      <c r="CM117" s="52" t="n"/>
      <c r="CN117" s="72" t="n"/>
      <c r="CO117" s="72" t="n"/>
      <c r="CP117" s="72">
        <f>CO117-CN117</f>
        <v/>
      </c>
      <c r="CQ117" s="73">
        <f>IF(CN117=0,"",CO117/CN117)</f>
        <v/>
      </c>
      <c r="CR117" s="46" t="n"/>
      <c r="CS117" s="74">
        <f>G117+ L117+ V117+ AF117+ AP117+ AZ117+ BJ117+ BT117+ CD117+ CN117</f>
        <v/>
      </c>
      <c r="CT117" s="74">
        <f>H117+ M117+ W117+ AG117+ AQ117+ BA117+ BK117+ BU117+ CE117+ CO117</f>
        <v/>
      </c>
      <c r="CU117" s="74">
        <f>CT117-CS117</f>
        <v/>
      </c>
      <c r="CV117" s="75">
        <f>IF(CS117=0,"",CT117/CS117)</f>
        <v/>
      </c>
      <c r="CW117" s="52" t="n"/>
      <c r="CX117" s="72" t="n"/>
      <c r="CY117" s="72" t="n"/>
      <c r="CZ117" s="72">
        <f>CY117-CX117</f>
        <v/>
      </c>
      <c r="DA117" s="73">
        <f>IF(CX117=0,"",CY117/CX117)</f>
        <v/>
      </c>
      <c r="DB117" s="46" t="n"/>
      <c r="DC117" s="74">
        <f>G117+ L117+ V117+ AF117+ AP117+ AZ117+ BJ117+ BT117+ CD117+ CN117+ CX117</f>
        <v/>
      </c>
      <c r="DD117" s="74">
        <f>H117+ M117+ W117+ AG117+ AQ117+ BA117+ BK117+ BU117+ CE117+ CO117+ CY117</f>
        <v/>
      </c>
      <c r="DE117" s="74">
        <f>DD117-DC117</f>
        <v/>
      </c>
      <c r="DF117" s="75">
        <f>IF(DC117=0,"",DD117/DC117)</f>
        <v/>
      </c>
      <c r="DG117" s="52" t="n"/>
      <c r="DH117" s="72" t="n"/>
      <c r="DI117" s="72" t="n"/>
      <c r="DJ117" s="72">
        <f>DI117-DH117</f>
        <v/>
      </c>
      <c r="DK117" s="73">
        <f>IF(DH117=0,"",DI117/DH117)</f>
        <v/>
      </c>
      <c r="DL117" s="46" t="n"/>
      <c r="DM117" s="74">
        <f>G117+ L117+ V117+ AF117+ AP117+ AZ117+ BJ117+ BT117+ CD117+ CN117+ CX117+ DH117</f>
        <v/>
      </c>
      <c r="DN117" s="74">
        <f>H117+ M117+ W117+ AG117+ AQ117+ BA117+ BK117+ BU117+ CE117+ CO117+ CY117+ DI117</f>
        <v/>
      </c>
      <c r="DO117" s="74">
        <f>DN117-DM117</f>
        <v/>
      </c>
      <c r="DP117" s="75">
        <f>IF(DM117=0,"",DN117/DM117)</f>
        <v/>
      </c>
      <c r="DQ117" s="52" t="n"/>
      <c r="DR117" s="72">
        <f>G117+L117+V117+AF117+AP117+AZ117+BJ117+BT117+CD117+CN117+CX117+DH117</f>
        <v/>
      </c>
    </row>
    <row r="118" ht="15" customHeight="1">
      <c r="A118" s="67" t="n"/>
      <c r="B118" s="67" t="n"/>
      <c r="C118" s="67" t="n"/>
      <c r="D118" s="46" t="n"/>
      <c r="E118" s="46" t="n"/>
      <c r="F118" s="47" t="n"/>
      <c r="G118" s="72" t="n"/>
      <c r="H118" s="72" t="n"/>
      <c r="I118" s="72">
        <f>H118-G118</f>
        <v/>
      </c>
      <c r="J118" s="73">
        <f>IF(G118=0,"",H118/G118)</f>
        <v/>
      </c>
      <c r="K118" s="46" t="n"/>
      <c r="L118" s="72" t="n"/>
      <c r="M118" s="72" t="n"/>
      <c r="N118" s="72">
        <f>M118-L118</f>
        <v/>
      </c>
      <c r="O118" s="73">
        <f>IF(L118=0,"",M118/L118)</f>
        <v/>
      </c>
      <c r="P118" s="46" t="n"/>
      <c r="Q118" s="74">
        <f>G118+ L118</f>
        <v/>
      </c>
      <c r="R118" s="74">
        <f>H118+ M118</f>
        <v/>
      </c>
      <c r="S118" s="74">
        <f>R118-Q118</f>
        <v/>
      </c>
      <c r="T118" s="75">
        <f>IF(Q118=0,"",R118/Q118)</f>
        <v/>
      </c>
      <c r="U118" s="52" t="n"/>
      <c r="V118" s="72" t="n"/>
      <c r="W118" s="72" t="n"/>
      <c r="X118" s="72">
        <f>W118-V118</f>
        <v/>
      </c>
      <c r="Y118" s="73">
        <f>IF(V118=0,"",W118/V118)</f>
        <v/>
      </c>
      <c r="Z118" s="46" t="n"/>
      <c r="AA118" s="74">
        <f>G118+ L118+ V118</f>
        <v/>
      </c>
      <c r="AB118" s="74">
        <f>H118+ M118+ W118</f>
        <v/>
      </c>
      <c r="AC118" s="74">
        <f>AB118-AA118</f>
        <v/>
      </c>
      <c r="AD118" s="75">
        <f>IF(AA118=0,"",AB118/AA118)</f>
        <v/>
      </c>
      <c r="AE118" s="52" t="n"/>
      <c r="AF118" s="72" t="n"/>
      <c r="AG118" s="72" t="n"/>
      <c r="AH118" s="72">
        <f>AG118-AF118</f>
        <v/>
      </c>
      <c r="AI118" s="73">
        <f>IF(AF118=0,"",AG118/AF118)</f>
        <v/>
      </c>
      <c r="AJ118" s="46" t="n"/>
      <c r="AK118" s="74">
        <f>G118+ L118+ V118+ AF118</f>
        <v/>
      </c>
      <c r="AL118" s="74">
        <f>H118+ M118+ W118+ AG118</f>
        <v/>
      </c>
      <c r="AM118" s="74">
        <f>AL118-AK118</f>
        <v/>
      </c>
      <c r="AN118" s="75">
        <f>IF(AK118=0,"",AL118/AK118)</f>
        <v/>
      </c>
      <c r="AO118" s="52" t="n"/>
      <c r="AP118" s="72" t="n"/>
      <c r="AQ118" s="72" t="n"/>
      <c r="AR118" s="72">
        <f>AQ118-AP118</f>
        <v/>
      </c>
      <c r="AS118" s="73">
        <f>IF(AP118=0,"",AQ118/AP118)</f>
        <v/>
      </c>
      <c r="AT118" s="46" t="n"/>
      <c r="AU118" s="74">
        <f>G118+ L118+ V118+ AF118+ AP118</f>
        <v/>
      </c>
      <c r="AV118" s="74">
        <f>H118+ M118+ W118+ AG118+ AQ118</f>
        <v/>
      </c>
      <c r="AW118" s="74">
        <f>AV118-AU118</f>
        <v/>
      </c>
      <c r="AX118" s="75">
        <f>IF(AU118=0,"",AV118/AU118)</f>
        <v/>
      </c>
      <c r="AY118" s="52" t="n"/>
      <c r="AZ118" s="72" t="n"/>
      <c r="BA118" s="72" t="n"/>
      <c r="BB118" s="72">
        <f>BA118-AZ118</f>
        <v/>
      </c>
      <c r="BC118" s="73">
        <f>IF(AZ118=0,"",BA118/AZ118)</f>
        <v/>
      </c>
      <c r="BD118" s="46" t="n"/>
      <c r="BE118" s="74">
        <f>G118+ L118+ V118+ AF118+ AP118+ AZ118</f>
        <v/>
      </c>
      <c r="BF118" s="74">
        <f>H118+ M118+ W118+ AG118+ AQ118+ BA118</f>
        <v/>
      </c>
      <c r="BG118" s="74">
        <f>BF118-BE118</f>
        <v/>
      </c>
      <c r="BH118" s="75">
        <f>IF(BE118=0,"",BF118/BE118)</f>
        <v/>
      </c>
      <c r="BI118" s="52" t="n"/>
      <c r="BJ118" s="72" t="n"/>
      <c r="BK118" s="72" t="n"/>
      <c r="BL118" s="72">
        <f>BK118-BJ118</f>
        <v/>
      </c>
      <c r="BM118" s="73">
        <f>IF(BJ118=0,"",BK118/BJ118)</f>
        <v/>
      </c>
      <c r="BN118" s="46" t="n"/>
      <c r="BO118" s="74">
        <f>G118+ L118+ V118+ AF118+ AP118+ AZ118+ BJ118</f>
        <v/>
      </c>
      <c r="BP118" s="74">
        <f>H118+ M118+ W118+ AG118+ AQ118+ BA118+ BK118</f>
        <v/>
      </c>
      <c r="BQ118" s="74">
        <f>BP118-BO118</f>
        <v/>
      </c>
      <c r="BR118" s="75">
        <f>IF(BO118=0,"",BP118/BO118)</f>
        <v/>
      </c>
      <c r="BS118" s="52" t="n"/>
      <c r="BT118" s="72" t="n"/>
      <c r="BU118" s="72" t="n"/>
      <c r="BV118" s="72">
        <f>BU118-BT118</f>
        <v/>
      </c>
      <c r="BW118" s="73">
        <f>IF(BT118=0,"",BU118/BT118)</f>
        <v/>
      </c>
      <c r="BX118" s="46" t="n"/>
      <c r="BY118" s="74">
        <f>G118+ L118+ V118+ AF118+ AP118+ AZ118+ BJ118+ BT118</f>
        <v/>
      </c>
      <c r="BZ118" s="74">
        <f>H118+ M118+ W118+ AG118+ AQ118+ BA118+ BK118+ BU118</f>
        <v/>
      </c>
      <c r="CA118" s="74">
        <f>BZ118-BY118</f>
        <v/>
      </c>
      <c r="CB118" s="75">
        <f>IF(BY118=0,"",BZ118/BY118)</f>
        <v/>
      </c>
      <c r="CC118" s="52" t="n"/>
      <c r="CD118" s="72" t="n"/>
      <c r="CE118" s="72" t="n"/>
      <c r="CF118" s="72">
        <f>CE118-CD118</f>
        <v/>
      </c>
      <c r="CG118" s="73">
        <f>IF(CD118=0,"",CE118/CD118)</f>
        <v/>
      </c>
      <c r="CH118" s="46" t="n"/>
      <c r="CI118" s="74">
        <f>G118+ L118+ V118+ AF118+ AP118+ AZ118+ BJ118+ BT118+ CD118</f>
        <v/>
      </c>
      <c r="CJ118" s="74">
        <f>H118+ M118+ W118+ AG118+ AQ118+ BA118+ BK118+ BU118+ CE118</f>
        <v/>
      </c>
      <c r="CK118" s="74">
        <f>CJ118-CI118</f>
        <v/>
      </c>
      <c r="CL118" s="75">
        <f>IF(CI118=0,"",CJ118/CI118)</f>
        <v/>
      </c>
      <c r="CM118" s="52" t="n"/>
      <c r="CN118" s="72" t="n"/>
      <c r="CO118" s="72" t="n"/>
      <c r="CP118" s="72">
        <f>CO118-CN118</f>
        <v/>
      </c>
      <c r="CQ118" s="73">
        <f>IF(CN118=0,"",CO118/CN118)</f>
        <v/>
      </c>
      <c r="CR118" s="46" t="n"/>
      <c r="CS118" s="74">
        <f>G118+ L118+ V118+ AF118+ AP118+ AZ118+ BJ118+ BT118+ CD118+ CN118</f>
        <v/>
      </c>
      <c r="CT118" s="74">
        <f>H118+ M118+ W118+ AG118+ AQ118+ BA118+ BK118+ BU118+ CE118+ CO118</f>
        <v/>
      </c>
      <c r="CU118" s="74">
        <f>CT118-CS118</f>
        <v/>
      </c>
      <c r="CV118" s="75">
        <f>IF(CS118=0,"",CT118/CS118)</f>
        <v/>
      </c>
      <c r="CW118" s="52" t="n"/>
      <c r="CX118" s="72" t="n"/>
      <c r="CY118" s="72" t="n"/>
      <c r="CZ118" s="72">
        <f>CY118-CX118</f>
        <v/>
      </c>
      <c r="DA118" s="73">
        <f>IF(CX118=0,"",CY118/CX118)</f>
        <v/>
      </c>
      <c r="DB118" s="46" t="n"/>
      <c r="DC118" s="74">
        <f>G118+ L118+ V118+ AF118+ AP118+ AZ118+ BJ118+ BT118+ CD118+ CN118+ CX118</f>
        <v/>
      </c>
      <c r="DD118" s="74">
        <f>H118+ M118+ W118+ AG118+ AQ118+ BA118+ BK118+ BU118+ CE118+ CO118+ CY118</f>
        <v/>
      </c>
      <c r="DE118" s="74">
        <f>DD118-DC118</f>
        <v/>
      </c>
      <c r="DF118" s="75">
        <f>IF(DC118=0,"",DD118/DC118)</f>
        <v/>
      </c>
      <c r="DG118" s="52" t="n"/>
      <c r="DH118" s="72" t="n"/>
      <c r="DI118" s="72" t="n"/>
      <c r="DJ118" s="72">
        <f>DI118-DH118</f>
        <v/>
      </c>
      <c r="DK118" s="73">
        <f>IF(DH118=0,"",DI118/DH118)</f>
        <v/>
      </c>
      <c r="DL118" s="46" t="n"/>
      <c r="DM118" s="74">
        <f>G118+ L118+ V118+ AF118+ AP118+ AZ118+ BJ118+ BT118+ CD118+ CN118+ CX118+ DH118</f>
        <v/>
      </c>
      <c r="DN118" s="74">
        <f>H118+ M118+ W118+ AG118+ AQ118+ BA118+ BK118+ BU118+ CE118+ CO118+ CY118+ DI118</f>
        <v/>
      </c>
      <c r="DO118" s="74">
        <f>DN118-DM118</f>
        <v/>
      </c>
      <c r="DP118" s="75">
        <f>IF(DM118=0,"",DN118/DM118)</f>
        <v/>
      </c>
      <c r="DQ118" s="52" t="n"/>
      <c r="DR118" s="72">
        <f>G118+L118+V118+AF118+AP118+AZ118+BJ118+BT118+CD118+CN118+CX118+DH118</f>
        <v/>
      </c>
    </row>
    <row r="119" ht="15" customHeight="1">
      <c r="A119" s="67" t="n"/>
      <c r="B119" s="67" t="n"/>
      <c r="C119" s="67" t="n"/>
      <c r="D119" s="46" t="n"/>
      <c r="E119" s="46" t="n"/>
      <c r="F119" s="47" t="n"/>
      <c r="G119" s="72" t="n"/>
      <c r="H119" s="72" t="n"/>
      <c r="I119" s="72">
        <f>H119-G119</f>
        <v/>
      </c>
      <c r="J119" s="73">
        <f>IF(G119=0,"",H119/G119)</f>
        <v/>
      </c>
      <c r="K119" s="46" t="n"/>
      <c r="L119" s="72" t="n"/>
      <c r="M119" s="72" t="n"/>
      <c r="N119" s="72">
        <f>M119-L119</f>
        <v/>
      </c>
      <c r="O119" s="73">
        <f>IF(L119=0,"",M119/L119)</f>
        <v/>
      </c>
      <c r="P119" s="46" t="n"/>
      <c r="Q119" s="74">
        <f>G119+ L119</f>
        <v/>
      </c>
      <c r="R119" s="74">
        <f>H119+ M119</f>
        <v/>
      </c>
      <c r="S119" s="74">
        <f>R119-Q119</f>
        <v/>
      </c>
      <c r="T119" s="75">
        <f>IF(Q119=0,"",R119/Q119)</f>
        <v/>
      </c>
      <c r="U119" s="52" t="n"/>
      <c r="V119" s="72" t="n"/>
      <c r="W119" s="72" t="n"/>
      <c r="X119" s="72">
        <f>W119-V119</f>
        <v/>
      </c>
      <c r="Y119" s="73">
        <f>IF(V119=0,"",W119/V119)</f>
        <v/>
      </c>
      <c r="Z119" s="46" t="n"/>
      <c r="AA119" s="74">
        <f>G119+ L119+ V119</f>
        <v/>
      </c>
      <c r="AB119" s="74">
        <f>H119+ M119+ W119</f>
        <v/>
      </c>
      <c r="AC119" s="74">
        <f>AB119-AA119</f>
        <v/>
      </c>
      <c r="AD119" s="75">
        <f>IF(AA119=0,"",AB119/AA119)</f>
        <v/>
      </c>
      <c r="AE119" s="52" t="n"/>
      <c r="AF119" s="72" t="n"/>
      <c r="AG119" s="72" t="n"/>
      <c r="AH119" s="72">
        <f>AG119-AF119</f>
        <v/>
      </c>
      <c r="AI119" s="73">
        <f>IF(AF119=0,"",AG119/AF119)</f>
        <v/>
      </c>
      <c r="AJ119" s="46" t="n"/>
      <c r="AK119" s="74">
        <f>G119+ L119+ V119+ AF119</f>
        <v/>
      </c>
      <c r="AL119" s="74">
        <f>H119+ M119+ W119+ AG119</f>
        <v/>
      </c>
      <c r="AM119" s="74">
        <f>AL119-AK119</f>
        <v/>
      </c>
      <c r="AN119" s="75">
        <f>IF(AK119=0,"",AL119/AK119)</f>
        <v/>
      </c>
      <c r="AO119" s="52" t="n"/>
      <c r="AP119" s="72" t="n"/>
      <c r="AQ119" s="72" t="n"/>
      <c r="AR119" s="72">
        <f>AQ119-AP119</f>
        <v/>
      </c>
      <c r="AS119" s="73">
        <f>IF(AP119=0,"",AQ119/AP119)</f>
        <v/>
      </c>
      <c r="AT119" s="46" t="n"/>
      <c r="AU119" s="74">
        <f>G119+ L119+ V119+ AF119+ AP119</f>
        <v/>
      </c>
      <c r="AV119" s="74">
        <f>H119+ M119+ W119+ AG119+ AQ119</f>
        <v/>
      </c>
      <c r="AW119" s="74">
        <f>AV119-AU119</f>
        <v/>
      </c>
      <c r="AX119" s="75">
        <f>IF(AU119=0,"",AV119/AU119)</f>
        <v/>
      </c>
      <c r="AY119" s="52" t="n"/>
      <c r="AZ119" s="72" t="n"/>
      <c r="BA119" s="72" t="n"/>
      <c r="BB119" s="72">
        <f>BA119-AZ119</f>
        <v/>
      </c>
      <c r="BC119" s="73">
        <f>IF(AZ119=0,"",BA119/AZ119)</f>
        <v/>
      </c>
      <c r="BD119" s="46" t="n"/>
      <c r="BE119" s="74">
        <f>G119+ L119+ V119+ AF119+ AP119+ AZ119</f>
        <v/>
      </c>
      <c r="BF119" s="74">
        <f>H119+ M119+ W119+ AG119+ AQ119+ BA119</f>
        <v/>
      </c>
      <c r="BG119" s="74">
        <f>BF119-BE119</f>
        <v/>
      </c>
      <c r="BH119" s="75">
        <f>IF(BE119=0,"",BF119/BE119)</f>
        <v/>
      </c>
      <c r="BI119" s="52" t="n"/>
      <c r="BJ119" s="72" t="n"/>
      <c r="BK119" s="72" t="n"/>
      <c r="BL119" s="72">
        <f>BK119-BJ119</f>
        <v/>
      </c>
      <c r="BM119" s="73">
        <f>IF(BJ119=0,"",BK119/BJ119)</f>
        <v/>
      </c>
      <c r="BN119" s="46" t="n"/>
      <c r="BO119" s="74">
        <f>G119+ L119+ V119+ AF119+ AP119+ AZ119+ BJ119</f>
        <v/>
      </c>
      <c r="BP119" s="74">
        <f>H119+ M119+ W119+ AG119+ AQ119+ BA119+ BK119</f>
        <v/>
      </c>
      <c r="BQ119" s="74">
        <f>BP119-BO119</f>
        <v/>
      </c>
      <c r="BR119" s="75">
        <f>IF(BO119=0,"",BP119/BO119)</f>
        <v/>
      </c>
      <c r="BS119" s="52" t="n"/>
      <c r="BT119" s="72" t="n"/>
      <c r="BU119" s="72" t="n"/>
      <c r="BV119" s="72">
        <f>BU119-BT119</f>
        <v/>
      </c>
      <c r="BW119" s="73">
        <f>IF(BT119=0,"",BU119/BT119)</f>
        <v/>
      </c>
      <c r="BX119" s="46" t="n"/>
      <c r="BY119" s="74">
        <f>G119+ L119+ V119+ AF119+ AP119+ AZ119+ BJ119+ BT119</f>
        <v/>
      </c>
      <c r="BZ119" s="74">
        <f>H119+ M119+ W119+ AG119+ AQ119+ BA119+ BK119+ BU119</f>
        <v/>
      </c>
      <c r="CA119" s="74">
        <f>BZ119-BY119</f>
        <v/>
      </c>
      <c r="CB119" s="75">
        <f>IF(BY119=0,"",BZ119/BY119)</f>
        <v/>
      </c>
      <c r="CC119" s="52" t="n"/>
      <c r="CD119" s="72" t="n"/>
      <c r="CE119" s="72" t="n"/>
      <c r="CF119" s="72">
        <f>CE119-CD119</f>
        <v/>
      </c>
      <c r="CG119" s="73">
        <f>IF(CD119=0,"",CE119/CD119)</f>
        <v/>
      </c>
      <c r="CH119" s="46" t="n"/>
      <c r="CI119" s="74">
        <f>G119+ L119+ V119+ AF119+ AP119+ AZ119+ BJ119+ BT119+ CD119</f>
        <v/>
      </c>
      <c r="CJ119" s="74">
        <f>H119+ M119+ W119+ AG119+ AQ119+ BA119+ BK119+ BU119+ CE119</f>
        <v/>
      </c>
      <c r="CK119" s="74">
        <f>CJ119-CI119</f>
        <v/>
      </c>
      <c r="CL119" s="75">
        <f>IF(CI119=0,"",CJ119/CI119)</f>
        <v/>
      </c>
      <c r="CM119" s="52" t="n"/>
      <c r="CN119" s="72" t="n"/>
      <c r="CO119" s="72" t="n"/>
      <c r="CP119" s="72">
        <f>CO119-CN119</f>
        <v/>
      </c>
      <c r="CQ119" s="73">
        <f>IF(CN119=0,"",CO119/CN119)</f>
        <v/>
      </c>
      <c r="CR119" s="46" t="n"/>
      <c r="CS119" s="74">
        <f>G119+ L119+ V119+ AF119+ AP119+ AZ119+ BJ119+ BT119+ CD119+ CN119</f>
        <v/>
      </c>
      <c r="CT119" s="74">
        <f>H119+ M119+ W119+ AG119+ AQ119+ BA119+ BK119+ BU119+ CE119+ CO119</f>
        <v/>
      </c>
      <c r="CU119" s="74">
        <f>CT119-CS119</f>
        <v/>
      </c>
      <c r="CV119" s="75">
        <f>IF(CS119=0,"",CT119/CS119)</f>
        <v/>
      </c>
      <c r="CW119" s="52" t="n"/>
      <c r="CX119" s="72" t="n"/>
      <c r="CY119" s="72" t="n"/>
      <c r="CZ119" s="72">
        <f>CY119-CX119</f>
        <v/>
      </c>
      <c r="DA119" s="73">
        <f>IF(CX119=0,"",CY119/CX119)</f>
        <v/>
      </c>
      <c r="DB119" s="46" t="n"/>
      <c r="DC119" s="74">
        <f>G119+ L119+ V119+ AF119+ AP119+ AZ119+ BJ119+ BT119+ CD119+ CN119+ CX119</f>
        <v/>
      </c>
      <c r="DD119" s="74">
        <f>H119+ M119+ W119+ AG119+ AQ119+ BA119+ BK119+ BU119+ CE119+ CO119+ CY119</f>
        <v/>
      </c>
      <c r="DE119" s="74">
        <f>DD119-DC119</f>
        <v/>
      </c>
      <c r="DF119" s="75">
        <f>IF(DC119=0,"",DD119/DC119)</f>
        <v/>
      </c>
      <c r="DG119" s="52" t="n"/>
      <c r="DH119" s="72" t="n"/>
      <c r="DI119" s="72" t="n"/>
      <c r="DJ119" s="72">
        <f>DI119-DH119</f>
        <v/>
      </c>
      <c r="DK119" s="73">
        <f>IF(DH119=0,"",DI119/DH119)</f>
        <v/>
      </c>
      <c r="DL119" s="46" t="n"/>
      <c r="DM119" s="74">
        <f>G119+ L119+ V119+ AF119+ AP119+ AZ119+ BJ119+ BT119+ CD119+ CN119+ CX119+ DH119</f>
        <v/>
      </c>
      <c r="DN119" s="74">
        <f>H119+ M119+ W119+ AG119+ AQ119+ BA119+ BK119+ BU119+ CE119+ CO119+ CY119+ DI119</f>
        <v/>
      </c>
      <c r="DO119" s="74">
        <f>DN119-DM119</f>
        <v/>
      </c>
      <c r="DP119" s="75">
        <f>IF(DM119=0,"",DN119/DM119)</f>
        <v/>
      </c>
      <c r="DQ119" s="52" t="n"/>
      <c r="DR119" s="72">
        <f>G119+L119+V119+AF119+AP119+AZ119+BJ119+BT119+CD119+CN119+CX119+DH119</f>
        <v/>
      </c>
    </row>
    <row r="120" ht="15" customHeight="1">
      <c r="A120" s="67" t="n"/>
      <c r="B120" s="67" t="n"/>
      <c r="C120" s="67" t="n"/>
      <c r="D120" s="46" t="n"/>
      <c r="E120" s="46" t="n"/>
      <c r="F120" s="47" t="n"/>
      <c r="G120" s="72" t="n"/>
      <c r="H120" s="72" t="n"/>
      <c r="I120" s="72">
        <f>H120-G120</f>
        <v/>
      </c>
      <c r="J120" s="73">
        <f>IF(G120=0,"",H120/G120)</f>
        <v/>
      </c>
      <c r="K120" s="46" t="n"/>
      <c r="L120" s="72" t="n"/>
      <c r="M120" s="72" t="n"/>
      <c r="N120" s="72">
        <f>M120-L120</f>
        <v/>
      </c>
      <c r="O120" s="73">
        <f>IF(L120=0,"",M120/L120)</f>
        <v/>
      </c>
      <c r="P120" s="46" t="n"/>
      <c r="Q120" s="74">
        <f>G120+ L120</f>
        <v/>
      </c>
      <c r="R120" s="74">
        <f>H120+ M120</f>
        <v/>
      </c>
      <c r="S120" s="74">
        <f>R120-Q120</f>
        <v/>
      </c>
      <c r="T120" s="75">
        <f>IF(Q120=0,"",R120/Q120)</f>
        <v/>
      </c>
      <c r="U120" s="52" t="n"/>
      <c r="V120" s="72" t="n"/>
      <c r="W120" s="72" t="n"/>
      <c r="X120" s="72">
        <f>W120-V120</f>
        <v/>
      </c>
      <c r="Y120" s="73">
        <f>IF(V120=0,"",W120/V120)</f>
        <v/>
      </c>
      <c r="Z120" s="46" t="n"/>
      <c r="AA120" s="74">
        <f>G120+ L120+ V120</f>
        <v/>
      </c>
      <c r="AB120" s="74">
        <f>H120+ M120+ W120</f>
        <v/>
      </c>
      <c r="AC120" s="74">
        <f>AB120-AA120</f>
        <v/>
      </c>
      <c r="AD120" s="75">
        <f>IF(AA120=0,"",AB120/AA120)</f>
        <v/>
      </c>
      <c r="AE120" s="52" t="n"/>
      <c r="AF120" s="72" t="n"/>
      <c r="AG120" s="72" t="n"/>
      <c r="AH120" s="72">
        <f>AG120-AF120</f>
        <v/>
      </c>
      <c r="AI120" s="73">
        <f>IF(AF120=0,"",AG120/AF120)</f>
        <v/>
      </c>
      <c r="AJ120" s="46" t="n"/>
      <c r="AK120" s="74">
        <f>G120+ L120+ V120+ AF120</f>
        <v/>
      </c>
      <c r="AL120" s="74">
        <f>H120+ M120+ W120+ AG120</f>
        <v/>
      </c>
      <c r="AM120" s="74">
        <f>AL120-AK120</f>
        <v/>
      </c>
      <c r="AN120" s="75">
        <f>IF(AK120=0,"",AL120/AK120)</f>
        <v/>
      </c>
      <c r="AO120" s="52" t="n"/>
      <c r="AP120" s="72" t="n"/>
      <c r="AQ120" s="72" t="n"/>
      <c r="AR120" s="72">
        <f>AQ120-AP120</f>
        <v/>
      </c>
      <c r="AS120" s="73">
        <f>IF(AP120=0,"",AQ120/AP120)</f>
        <v/>
      </c>
      <c r="AT120" s="46" t="n"/>
      <c r="AU120" s="74">
        <f>G120+ L120+ V120+ AF120+ AP120</f>
        <v/>
      </c>
      <c r="AV120" s="74">
        <f>H120+ M120+ W120+ AG120+ AQ120</f>
        <v/>
      </c>
      <c r="AW120" s="74">
        <f>AV120-AU120</f>
        <v/>
      </c>
      <c r="AX120" s="75">
        <f>IF(AU120=0,"",AV120/AU120)</f>
        <v/>
      </c>
      <c r="AY120" s="52" t="n"/>
      <c r="AZ120" s="72" t="n"/>
      <c r="BA120" s="72" t="n"/>
      <c r="BB120" s="72">
        <f>BA120-AZ120</f>
        <v/>
      </c>
      <c r="BC120" s="73">
        <f>IF(AZ120=0,"",BA120/AZ120)</f>
        <v/>
      </c>
      <c r="BD120" s="46" t="n"/>
      <c r="BE120" s="74">
        <f>G120+ L120+ V120+ AF120+ AP120+ AZ120</f>
        <v/>
      </c>
      <c r="BF120" s="74">
        <f>H120+ M120+ W120+ AG120+ AQ120+ BA120</f>
        <v/>
      </c>
      <c r="BG120" s="74">
        <f>BF120-BE120</f>
        <v/>
      </c>
      <c r="BH120" s="75">
        <f>IF(BE120=0,"",BF120/BE120)</f>
        <v/>
      </c>
      <c r="BI120" s="52" t="n"/>
      <c r="BJ120" s="72" t="n"/>
      <c r="BK120" s="72" t="n"/>
      <c r="BL120" s="72">
        <f>BK120-BJ120</f>
        <v/>
      </c>
      <c r="BM120" s="73">
        <f>IF(BJ120=0,"",BK120/BJ120)</f>
        <v/>
      </c>
      <c r="BN120" s="46" t="n"/>
      <c r="BO120" s="74">
        <f>G120+ L120+ V120+ AF120+ AP120+ AZ120+ BJ120</f>
        <v/>
      </c>
      <c r="BP120" s="74">
        <f>H120+ M120+ W120+ AG120+ AQ120+ BA120+ BK120</f>
        <v/>
      </c>
      <c r="BQ120" s="74">
        <f>BP120-BO120</f>
        <v/>
      </c>
      <c r="BR120" s="75">
        <f>IF(BO120=0,"",BP120/BO120)</f>
        <v/>
      </c>
      <c r="BS120" s="52" t="n"/>
      <c r="BT120" s="72" t="n"/>
      <c r="BU120" s="72" t="n"/>
      <c r="BV120" s="72">
        <f>BU120-BT120</f>
        <v/>
      </c>
      <c r="BW120" s="73">
        <f>IF(BT120=0,"",BU120/BT120)</f>
        <v/>
      </c>
      <c r="BX120" s="46" t="n"/>
      <c r="BY120" s="74">
        <f>G120+ L120+ V120+ AF120+ AP120+ AZ120+ BJ120+ BT120</f>
        <v/>
      </c>
      <c r="BZ120" s="74">
        <f>H120+ M120+ W120+ AG120+ AQ120+ BA120+ BK120+ BU120</f>
        <v/>
      </c>
      <c r="CA120" s="74">
        <f>BZ120-BY120</f>
        <v/>
      </c>
      <c r="CB120" s="75">
        <f>IF(BY120=0,"",BZ120/BY120)</f>
        <v/>
      </c>
      <c r="CC120" s="52" t="n"/>
      <c r="CD120" s="72" t="n"/>
      <c r="CE120" s="72" t="n"/>
      <c r="CF120" s="72">
        <f>CE120-CD120</f>
        <v/>
      </c>
      <c r="CG120" s="73">
        <f>IF(CD120=0,"",CE120/CD120)</f>
        <v/>
      </c>
      <c r="CH120" s="46" t="n"/>
      <c r="CI120" s="74">
        <f>G120+ L120+ V120+ AF120+ AP120+ AZ120+ BJ120+ BT120+ CD120</f>
        <v/>
      </c>
      <c r="CJ120" s="74">
        <f>H120+ M120+ W120+ AG120+ AQ120+ BA120+ BK120+ BU120+ CE120</f>
        <v/>
      </c>
      <c r="CK120" s="74">
        <f>CJ120-CI120</f>
        <v/>
      </c>
      <c r="CL120" s="75">
        <f>IF(CI120=0,"",CJ120/CI120)</f>
        <v/>
      </c>
      <c r="CM120" s="52" t="n"/>
      <c r="CN120" s="72" t="n"/>
      <c r="CO120" s="72" t="n"/>
      <c r="CP120" s="72">
        <f>CO120-CN120</f>
        <v/>
      </c>
      <c r="CQ120" s="73">
        <f>IF(CN120=0,"",CO120/CN120)</f>
        <v/>
      </c>
      <c r="CR120" s="46" t="n"/>
      <c r="CS120" s="74">
        <f>G120+ L120+ V120+ AF120+ AP120+ AZ120+ BJ120+ BT120+ CD120+ CN120</f>
        <v/>
      </c>
      <c r="CT120" s="74">
        <f>H120+ M120+ W120+ AG120+ AQ120+ BA120+ BK120+ BU120+ CE120+ CO120</f>
        <v/>
      </c>
      <c r="CU120" s="74">
        <f>CT120-CS120</f>
        <v/>
      </c>
      <c r="CV120" s="75">
        <f>IF(CS120=0,"",CT120/CS120)</f>
        <v/>
      </c>
      <c r="CW120" s="52" t="n"/>
      <c r="CX120" s="72" t="n"/>
      <c r="CY120" s="72" t="n"/>
      <c r="CZ120" s="72">
        <f>CY120-CX120</f>
        <v/>
      </c>
      <c r="DA120" s="73">
        <f>IF(CX120=0,"",CY120/CX120)</f>
        <v/>
      </c>
      <c r="DB120" s="46" t="n"/>
      <c r="DC120" s="74">
        <f>G120+ L120+ V120+ AF120+ AP120+ AZ120+ BJ120+ BT120+ CD120+ CN120+ CX120</f>
        <v/>
      </c>
      <c r="DD120" s="74">
        <f>H120+ M120+ W120+ AG120+ AQ120+ BA120+ BK120+ BU120+ CE120+ CO120+ CY120</f>
        <v/>
      </c>
      <c r="DE120" s="74">
        <f>DD120-DC120</f>
        <v/>
      </c>
      <c r="DF120" s="75">
        <f>IF(DC120=0,"",DD120/DC120)</f>
        <v/>
      </c>
      <c r="DG120" s="52" t="n"/>
      <c r="DH120" s="72" t="n"/>
      <c r="DI120" s="72" t="n"/>
      <c r="DJ120" s="72">
        <f>DI120-DH120</f>
        <v/>
      </c>
      <c r="DK120" s="73">
        <f>IF(DH120=0,"",DI120/DH120)</f>
        <v/>
      </c>
      <c r="DL120" s="46" t="n"/>
      <c r="DM120" s="74">
        <f>G120+ L120+ V120+ AF120+ AP120+ AZ120+ BJ120+ BT120+ CD120+ CN120+ CX120+ DH120</f>
        <v/>
      </c>
      <c r="DN120" s="74">
        <f>H120+ M120+ W120+ AG120+ AQ120+ BA120+ BK120+ BU120+ CE120+ CO120+ CY120+ DI120</f>
        <v/>
      </c>
      <c r="DO120" s="74">
        <f>DN120-DM120</f>
        <v/>
      </c>
      <c r="DP120" s="75">
        <f>IF(DM120=0,"",DN120/DM120)</f>
        <v/>
      </c>
      <c r="DQ120" s="52" t="n"/>
      <c r="DR120" s="72">
        <f>G120+L120+V120+AF120+AP120+AZ120+BJ120+BT120+CD120+CN120+CX120+DH120</f>
        <v/>
      </c>
    </row>
    <row r="121" ht="15" customHeight="1">
      <c r="A121" s="55" t="n"/>
      <c r="B121" s="55" t="n"/>
      <c r="C121" s="55" t="n"/>
      <c r="D121" s="46" t="n"/>
      <c r="E121" s="46" t="n"/>
      <c r="F121" s="47" t="n"/>
      <c r="G121" s="72" t="n"/>
      <c r="H121" s="72" t="n"/>
      <c r="I121" s="72">
        <f>H121-G121</f>
        <v/>
      </c>
      <c r="J121" s="73">
        <f>IF(G121=0,"",H121/G121)</f>
        <v/>
      </c>
      <c r="K121" s="46" t="n"/>
      <c r="L121" s="72" t="n"/>
      <c r="M121" s="72" t="n"/>
      <c r="N121" s="72">
        <f>M121-L121</f>
        <v/>
      </c>
      <c r="O121" s="73">
        <f>IF(L121=0,"",M121/L121)</f>
        <v/>
      </c>
      <c r="P121" s="46" t="n"/>
      <c r="Q121" s="74">
        <f>G121+ L121</f>
        <v/>
      </c>
      <c r="R121" s="74">
        <f>H121+ M121</f>
        <v/>
      </c>
      <c r="S121" s="74">
        <f>R121-Q121</f>
        <v/>
      </c>
      <c r="T121" s="75">
        <f>IF(Q121=0,"",R121/Q121)</f>
        <v/>
      </c>
      <c r="U121" s="52" t="n"/>
      <c r="V121" s="72" t="n"/>
      <c r="W121" s="72" t="n"/>
      <c r="X121" s="72">
        <f>W121-V121</f>
        <v/>
      </c>
      <c r="Y121" s="73">
        <f>IF(V121=0,"",W121/V121)</f>
        <v/>
      </c>
      <c r="Z121" s="46" t="n"/>
      <c r="AA121" s="74">
        <f>G121+ L121+ V121</f>
        <v/>
      </c>
      <c r="AB121" s="74">
        <f>H121+ M121+ W121</f>
        <v/>
      </c>
      <c r="AC121" s="74">
        <f>AB121-AA121</f>
        <v/>
      </c>
      <c r="AD121" s="75">
        <f>IF(AA121=0,"",AB121/AA121)</f>
        <v/>
      </c>
      <c r="AE121" s="52" t="n"/>
      <c r="AF121" s="72" t="n"/>
      <c r="AG121" s="72" t="n"/>
      <c r="AH121" s="72">
        <f>AG121-AF121</f>
        <v/>
      </c>
      <c r="AI121" s="73">
        <f>IF(AF121=0,"",AG121/AF121)</f>
        <v/>
      </c>
      <c r="AJ121" s="46" t="n"/>
      <c r="AK121" s="74">
        <f>G121+ L121+ V121+ AF121</f>
        <v/>
      </c>
      <c r="AL121" s="74">
        <f>H121+ M121+ W121+ AG121</f>
        <v/>
      </c>
      <c r="AM121" s="74">
        <f>AL121-AK121</f>
        <v/>
      </c>
      <c r="AN121" s="75">
        <f>IF(AK121=0,"",AL121/AK121)</f>
        <v/>
      </c>
      <c r="AO121" s="52" t="n"/>
      <c r="AP121" s="72" t="n"/>
      <c r="AQ121" s="72" t="n"/>
      <c r="AR121" s="72">
        <f>AQ121-AP121</f>
        <v/>
      </c>
      <c r="AS121" s="73">
        <f>IF(AP121=0,"",AQ121/AP121)</f>
        <v/>
      </c>
      <c r="AT121" s="46" t="n"/>
      <c r="AU121" s="74">
        <f>G121+ L121+ V121+ AF121+ AP121</f>
        <v/>
      </c>
      <c r="AV121" s="74">
        <f>H121+ M121+ W121+ AG121+ AQ121</f>
        <v/>
      </c>
      <c r="AW121" s="74">
        <f>AV121-AU121</f>
        <v/>
      </c>
      <c r="AX121" s="75">
        <f>IF(AU121=0,"",AV121/AU121)</f>
        <v/>
      </c>
      <c r="AY121" s="52" t="n"/>
      <c r="AZ121" s="72" t="n"/>
      <c r="BA121" s="72" t="n"/>
      <c r="BB121" s="72">
        <f>BA121-AZ121</f>
        <v/>
      </c>
      <c r="BC121" s="73">
        <f>IF(AZ121=0,"",BA121/AZ121)</f>
        <v/>
      </c>
      <c r="BD121" s="46" t="n"/>
      <c r="BE121" s="74">
        <f>G121+ L121+ V121+ AF121+ AP121+ AZ121</f>
        <v/>
      </c>
      <c r="BF121" s="74">
        <f>H121+ M121+ W121+ AG121+ AQ121+ BA121</f>
        <v/>
      </c>
      <c r="BG121" s="74">
        <f>BF121-BE121</f>
        <v/>
      </c>
      <c r="BH121" s="75">
        <f>IF(BE121=0,"",BF121/BE121)</f>
        <v/>
      </c>
      <c r="BI121" s="52" t="n"/>
      <c r="BJ121" s="72" t="n"/>
      <c r="BK121" s="72" t="n"/>
      <c r="BL121" s="72">
        <f>BK121-BJ121</f>
        <v/>
      </c>
      <c r="BM121" s="73">
        <f>IF(BJ121=0,"",BK121/BJ121)</f>
        <v/>
      </c>
      <c r="BN121" s="46" t="n"/>
      <c r="BO121" s="74">
        <f>G121+ L121+ V121+ AF121+ AP121+ AZ121+ BJ121</f>
        <v/>
      </c>
      <c r="BP121" s="74">
        <f>H121+ M121+ W121+ AG121+ AQ121+ BA121+ BK121</f>
        <v/>
      </c>
      <c r="BQ121" s="74">
        <f>BP121-BO121</f>
        <v/>
      </c>
      <c r="BR121" s="75">
        <f>IF(BO121=0,"",BP121/BO121)</f>
        <v/>
      </c>
      <c r="BS121" s="52" t="n"/>
      <c r="BT121" s="72" t="n"/>
      <c r="BU121" s="72" t="n"/>
      <c r="BV121" s="72">
        <f>BU121-BT121</f>
        <v/>
      </c>
      <c r="BW121" s="73">
        <f>IF(BT121=0,"",BU121/BT121)</f>
        <v/>
      </c>
      <c r="BX121" s="46" t="n"/>
      <c r="BY121" s="74">
        <f>G121+ L121+ V121+ AF121+ AP121+ AZ121+ BJ121+ BT121</f>
        <v/>
      </c>
      <c r="BZ121" s="74">
        <f>H121+ M121+ W121+ AG121+ AQ121+ BA121+ BK121+ BU121</f>
        <v/>
      </c>
      <c r="CA121" s="74">
        <f>BZ121-BY121</f>
        <v/>
      </c>
      <c r="CB121" s="75">
        <f>IF(BY121=0,"",BZ121/BY121)</f>
        <v/>
      </c>
      <c r="CC121" s="52" t="n"/>
      <c r="CD121" s="72" t="n"/>
      <c r="CE121" s="72" t="n"/>
      <c r="CF121" s="72">
        <f>CE121-CD121</f>
        <v/>
      </c>
      <c r="CG121" s="73">
        <f>IF(CD121=0,"",CE121/CD121)</f>
        <v/>
      </c>
      <c r="CH121" s="46" t="n"/>
      <c r="CI121" s="74">
        <f>G121+ L121+ V121+ AF121+ AP121+ AZ121+ BJ121+ BT121+ CD121</f>
        <v/>
      </c>
      <c r="CJ121" s="74">
        <f>H121+ M121+ W121+ AG121+ AQ121+ BA121+ BK121+ BU121+ CE121</f>
        <v/>
      </c>
      <c r="CK121" s="74">
        <f>CJ121-CI121</f>
        <v/>
      </c>
      <c r="CL121" s="75">
        <f>IF(CI121=0,"",CJ121/CI121)</f>
        <v/>
      </c>
      <c r="CM121" s="52" t="n"/>
      <c r="CN121" s="72" t="n"/>
      <c r="CO121" s="72" t="n"/>
      <c r="CP121" s="72">
        <f>CO121-CN121</f>
        <v/>
      </c>
      <c r="CQ121" s="73">
        <f>IF(CN121=0,"",CO121/CN121)</f>
        <v/>
      </c>
      <c r="CR121" s="46" t="n"/>
      <c r="CS121" s="74">
        <f>G121+ L121+ V121+ AF121+ AP121+ AZ121+ BJ121+ BT121+ CD121+ CN121</f>
        <v/>
      </c>
      <c r="CT121" s="74">
        <f>H121+ M121+ W121+ AG121+ AQ121+ BA121+ BK121+ BU121+ CE121+ CO121</f>
        <v/>
      </c>
      <c r="CU121" s="74">
        <f>CT121-CS121</f>
        <v/>
      </c>
      <c r="CV121" s="75">
        <f>IF(CS121=0,"",CT121/CS121)</f>
        <v/>
      </c>
      <c r="CW121" s="52" t="n"/>
      <c r="CX121" s="72" t="n"/>
      <c r="CY121" s="72" t="n"/>
      <c r="CZ121" s="72">
        <f>CY121-CX121</f>
        <v/>
      </c>
      <c r="DA121" s="73">
        <f>IF(CX121=0,"",CY121/CX121)</f>
        <v/>
      </c>
      <c r="DB121" s="46" t="n"/>
      <c r="DC121" s="74">
        <f>G121+ L121+ V121+ AF121+ AP121+ AZ121+ BJ121+ BT121+ CD121+ CN121+ CX121</f>
        <v/>
      </c>
      <c r="DD121" s="74">
        <f>H121+ M121+ W121+ AG121+ AQ121+ BA121+ BK121+ BU121+ CE121+ CO121+ CY121</f>
        <v/>
      </c>
      <c r="DE121" s="74">
        <f>DD121-DC121</f>
        <v/>
      </c>
      <c r="DF121" s="75">
        <f>IF(DC121=0,"",DD121/DC121)</f>
        <v/>
      </c>
      <c r="DG121" s="52" t="n"/>
      <c r="DH121" s="72" t="n"/>
      <c r="DI121" s="72" t="n"/>
      <c r="DJ121" s="72">
        <f>DI121-DH121</f>
        <v/>
      </c>
      <c r="DK121" s="73">
        <f>IF(DH121=0,"",DI121/DH121)</f>
        <v/>
      </c>
      <c r="DL121" s="46" t="n"/>
      <c r="DM121" s="74">
        <f>G121+ L121+ V121+ AF121+ AP121+ AZ121+ BJ121+ BT121+ CD121+ CN121+ CX121+ DH121</f>
        <v/>
      </c>
      <c r="DN121" s="74">
        <f>H121+ M121+ W121+ AG121+ AQ121+ BA121+ BK121+ BU121+ CE121+ CO121+ CY121+ DI121</f>
        <v/>
      </c>
      <c r="DO121" s="74">
        <f>DN121-DM121</f>
        <v/>
      </c>
      <c r="DP121" s="75">
        <f>IF(DM121=0,"",DN121/DM121)</f>
        <v/>
      </c>
      <c r="DQ121" s="52" t="n"/>
      <c r="DR121" s="72">
        <f>G121+L121+V121+AF121+AP121+AZ121+BJ121+BT121+CD121+CN121+CX121+DH121</f>
        <v/>
      </c>
    </row>
    <row r="122" ht="15" customHeight="1">
      <c r="A122" s="46" t="n"/>
      <c r="B122" s="46" t="n"/>
      <c r="C122" s="46" t="n"/>
      <c r="D122" s="46" t="n"/>
      <c r="E122" s="46" t="n"/>
      <c r="F122" s="47" t="n"/>
      <c r="G122" s="72" t="n"/>
      <c r="H122" s="72" t="n"/>
      <c r="I122" s="72">
        <f>H122-G122</f>
        <v/>
      </c>
      <c r="J122" s="73">
        <f>IF(G122=0,"",H122/G122)</f>
        <v/>
      </c>
      <c r="K122" s="46" t="n"/>
      <c r="L122" s="72" t="n"/>
      <c r="M122" s="72" t="n"/>
      <c r="N122" s="72">
        <f>M122-L122</f>
        <v/>
      </c>
      <c r="O122" s="73">
        <f>IF(L122=0,"",M122/L122)</f>
        <v/>
      </c>
      <c r="P122" s="46" t="n"/>
      <c r="Q122" s="74">
        <f>G122+ L122</f>
        <v/>
      </c>
      <c r="R122" s="74">
        <f>H122+ M122</f>
        <v/>
      </c>
      <c r="S122" s="74">
        <f>R122-Q122</f>
        <v/>
      </c>
      <c r="T122" s="75">
        <f>IF(Q122=0,"",R122/Q122)</f>
        <v/>
      </c>
      <c r="U122" s="52" t="n"/>
      <c r="V122" s="72" t="n"/>
      <c r="W122" s="72" t="n"/>
      <c r="X122" s="72">
        <f>W122-V122</f>
        <v/>
      </c>
      <c r="Y122" s="73">
        <f>IF(V122=0,"",W122/V122)</f>
        <v/>
      </c>
      <c r="Z122" s="46" t="n"/>
      <c r="AA122" s="74">
        <f>G122+ L122+ V122</f>
        <v/>
      </c>
      <c r="AB122" s="74">
        <f>H122+ M122+ W122</f>
        <v/>
      </c>
      <c r="AC122" s="74">
        <f>AB122-AA122</f>
        <v/>
      </c>
      <c r="AD122" s="75">
        <f>IF(AA122=0,"",AB122/AA122)</f>
        <v/>
      </c>
      <c r="AE122" s="52" t="n"/>
      <c r="AF122" s="72" t="n"/>
      <c r="AG122" s="72" t="n"/>
      <c r="AH122" s="72">
        <f>AG122-AF122</f>
        <v/>
      </c>
      <c r="AI122" s="73">
        <f>IF(AF122=0,"",AG122/AF122)</f>
        <v/>
      </c>
      <c r="AJ122" s="46" t="n"/>
      <c r="AK122" s="74">
        <f>G122+ L122+ V122+ AF122</f>
        <v/>
      </c>
      <c r="AL122" s="74">
        <f>H122+ M122+ W122+ AG122</f>
        <v/>
      </c>
      <c r="AM122" s="74">
        <f>AL122-AK122</f>
        <v/>
      </c>
      <c r="AN122" s="75">
        <f>IF(AK122=0,"",AL122/AK122)</f>
        <v/>
      </c>
      <c r="AO122" s="52" t="n"/>
      <c r="AP122" s="72" t="n"/>
      <c r="AQ122" s="72" t="n"/>
      <c r="AR122" s="72">
        <f>AQ122-AP122</f>
        <v/>
      </c>
      <c r="AS122" s="73">
        <f>IF(AP122=0,"",AQ122/AP122)</f>
        <v/>
      </c>
      <c r="AT122" s="46" t="n"/>
      <c r="AU122" s="74">
        <f>G122+ L122+ V122+ AF122+ AP122</f>
        <v/>
      </c>
      <c r="AV122" s="74">
        <f>H122+ M122+ W122+ AG122+ AQ122</f>
        <v/>
      </c>
      <c r="AW122" s="74">
        <f>AV122-AU122</f>
        <v/>
      </c>
      <c r="AX122" s="75">
        <f>IF(AU122=0,"",AV122/AU122)</f>
        <v/>
      </c>
      <c r="AY122" s="52" t="n"/>
      <c r="AZ122" s="72" t="n"/>
      <c r="BA122" s="72" t="n"/>
      <c r="BB122" s="72">
        <f>BA122-AZ122</f>
        <v/>
      </c>
      <c r="BC122" s="73">
        <f>IF(AZ122=0,"",BA122/AZ122)</f>
        <v/>
      </c>
      <c r="BD122" s="46" t="n"/>
      <c r="BE122" s="74">
        <f>G122+ L122+ V122+ AF122+ AP122+ AZ122</f>
        <v/>
      </c>
      <c r="BF122" s="74">
        <f>H122+ M122+ W122+ AG122+ AQ122+ BA122</f>
        <v/>
      </c>
      <c r="BG122" s="74">
        <f>BF122-BE122</f>
        <v/>
      </c>
      <c r="BH122" s="75">
        <f>IF(BE122=0,"",BF122/BE122)</f>
        <v/>
      </c>
      <c r="BI122" s="52" t="n"/>
      <c r="BJ122" s="72" t="n"/>
      <c r="BK122" s="72" t="n"/>
      <c r="BL122" s="72">
        <f>BK122-BJ122</f>
        <v/>
      </c>
      <c r="BM122" s="73">
        <f>IF(BJ122=0,"",BK122/BJ122)</f>
        <v/>
      </c>
      <c r="BN122" s="46" t="n"/>
      <c r="BO122" s="74">
        <f>G122+ L122+ V122+ AF122+ AP122+ AZ122+ BJ122</f>
        <v/>
      </c>
      <c r="BP122" s="74">
        <f>H122+ M122+ W122+ AG122+ AQ122+ BA122+ BK122</f>
        <v/>
      </c>
      <c r="BQ122" s="74">
        <f>BP122-BO122</f>
        <v/>
      </c>
      <c r="BR122" s="75">
        <f>IF(BO122=0,"",BP122/BO122)</f>
        <v/>
      </c>
      <c r="BS122" s="52" t="n"/>
      <c r="BT122" s="72" t="n"/>
      <c r="BU122" s="72" t="n"/>
      <c r="BV122" s="72">
        <f>BU122-BT122</f>
        <v/>
      </c>
      <c r="BW122" s="73">
        <f>IF(BT122=0,"",BU122/BT122)</f>
        <v/>
      </c>
      <c r="BX122" s="46" t="n"/>
      <c r="BY122" s="74">
        <f>G122+ L122+ V122+ AF122+ AP122+ AZ122+ BJ122+ BT122</f>
        <v/>
      </c>
      <c r="BZ122" s="74">
        <f>H122+ M122+ W122+ AG122+ AQ122+ BA122+ BK122+ BU122</f>
        <v/>
      </c>
      <c r="CA122" s="74">
        <f>BZ122-BY122</f>
        <v/>
      </c>
      <c r="CB122" s="75">
        <f>IF(BY122=0,"",BZ122/BY122)</f>
        <v/>
      </c>
      <c r="CC122" s="52" t="n"/>
      <c r="CD122" s="72" t="n"/>
      <c r="CE122" s="72" t="n"/>
      <c r="CF122" s="72">
        <f>CE122-CD122</f>
        <v/>
      </c>
      <c r="CG122" s="73">
        <f>IF(CD122=0,"",CE122/CD122)</f>
        <v/>
      </c>
      <c r="CH122" s="46" t="n"/>
      <c r="CI122" s="74">
        <f>G122+ L122+ V122+ AF122+ AP122+ AZ122+ BJ122+ BT122+ CD122</f>
        <v/>
      </c>
      <c r="CJ122" s="74">
        <f>H122+ M122+ W122+ AG122+ AQ122+ BA122+ BK122+ BU122+ CE122</f>
        <v/>
      </c>
      <c r="CK122" s="74">
        <f>CJ122-CI122</f>
        <v/>
      </c>
      <c r="CL122" s="75">
        <f>IF(CI122=0,"",CJ122/CI122)</f>
        <v/>
      </c>
      <c r="CM122" s="52" t="n"/>
      <c r="CN122" s="72" t="n"/>
      <c r="CO122" s="72" t="n"/>
      <c r="CP122" s="72">
        <f>CO122-CN122</f>
        <v/>
      </c>
      <c r="CQ122" s="73">
        <f>IF(CN122=0,"",CO122/CN122)</f>
        <v/>
      </c>
      <c r="CR122" s="46" t="n"/>
      <c r="CS122" s="74">
        <f>G122+ L122+ V122+ AF122+ AP122+ AZ122+ BJ122+ BT122+ CD122+ CN122</f>
        <v/>
      </c>
      <c r="CT122" s="74">
        <f>H122+ M122+ W122+ AG122+ AQ122+ BA122+ BK122+ BU122+ CE122+ CO122</f>
        <v/>
      </c>
      <c r="CU122" s="74">
        <f>CT122-CS122</f>
        <v/>
      </c>
      <c r="CV122" s="75">
        <f>IF(CS122=0,"",CT122/CS122)</f>
        <v/>
      </c>
      <c r="CW122" s="52" t="n"/>
      <c r="CX122" s="72" t="n"/>
      <c r="CY122" s="72" t="n"/>
      <c r="CZ122" s="72">
        <f>CY122-CX122</f>
        <v/>
      </c>
      <c r="DA122" s="73">
        <f>IF(CX122=0,"",CY122/CX122)</f>
        <v/>
      </c>
      <c r="DB122" s="46" t="n"/>
      <c r="DC122" s="74">
        <f>G122+ L122+ V122+ AF122+ AP122+ AZ122+ BJ122+ BT122+ CD122+ CN122+ CX122</f>
        <v/>
      </c>
      <c r="DD122" s="74">
        <f>H122+ M122+ W122+ AG122+ AQ122+ BA122+ BK122+ BU122+ CE122+ CO122+ CY122</f>
        <v/>
      </c>
      <c r="DE122" s="74">
        <f>DD122-DC122</f>
        <v/>
      </c>
      <c r="DF122" s="75">
        <f>IF(DC122=0,"",DD122/DC122)</f>
        <v/>
      </c>
      <c r="DG122" s="52" t="n"/>
      <c r="DH122" s="72" t="n"/>
      <c r="DI122" s="72" t="n"/>
      <c r="DJ122" s="72">
        <f>DI122-DH122</f>
        <v/>
      </c>
      <c r="DK122" s="73">
        <f>IF(DH122=0,"",DI122/DH122)</f>
        <v/>
      </c>
      <c r="DL122" s="46" t="n"/>
      <c r="DM122" s="74">
        <f>G122+ L122+ V122+ AF122+ AP122+ AZ122+ BJ122+ BT122+ CD122+ CN122+ CX122+ DH122</f>
        <v/>
      </c>
      <c r="DN122" s="74">
        <f>H122+ M122+ W122+ AG122+ AQ122+ BA122+ BK122+ BU122+ CE122+ CO122+ CY122+ DI122</f>
        <v/>
      </c>
      <c r="DO122" s="74">
        <f>DN122-DM122</f>
        <v/>
      </c>
      <c r="DP122" s="75">
        <f>IF(DM122=0,"",DN122/DM122)</f>
        <v/>
      </c>
      <c r="DQ122" s="52" t="n"/>
      <c r="DR122" s="72">
        <f>G122+L122+V122+AF122+AP122+AZ122+BJ122+BT122+CD122+CN122+CX122+DH122</f>
        <v/>
      </c>
    </row>
    <row r="123" ht="15" customHeight="1">
      <c r="A123" s="67" t="n"/>
      <c r="B123" s="67" t="n"/>
      <c r="C123" s="67" t="n"/>
      <c r="D123" s="46" t="n"/>
      <c r="E123" s="46" t="n"/>
      <c r="F123" s="47" t="n"/>
      <c r="G123" s="72" t="n"/>
      <c r="H123" s="72" t="n"/>
      <c r="I123" s="72">
        <f>H123-G123</f>
        <v/>
      </c>
      <c r="J123" s="73">
        <f>IF(G123=0,"",H123/G123)</f>
        <v/>
      </c>
      <c r="K123" s="46" t="n"/>
      <c r="L123" s="72" t="n"/>
      <c r="M123" s="72" t="n"/>
      <c r="N123" s="72">
        <f>M123-L123</f>
        <v/>
      </c>
      <c r="O123" s="73">
        <f>IF(L123=0,"",M123/L123)</f>
        <v/>
      </c>
      <c r="P123" s="46" t="n"/>
      <c r="Q123" s="74">
        <f>G123+ L123</f>
        <v/>
      </c>
      <c r="R123" s="74">
        <f>H123+ M123</f>
        <v/>
      </c>
      <c r="S123" s="74">
        <f>R123-Q123</f>
        <v/>
      </c>
      <c r="T123" s="75">
        <f>IF(Q123=0,"",R123/Q123)</f>
        <v/>
      </c>
      <c r="U123" s="52" t="n"/>
      <c r="V123" s="72" t="n"/>
      <c r="W123" s="72" t="n"/>
      <c r="X123" s="72">
        <f>W123-V123</f>
        <v/>
      </c>
      <c r="Y123" s="73">
        <f>IF(V123=0,"",W123/V123)</f>
        <v/>
      </c>
      <c r="Z123" s="46" t="n"/>
      <c r="AA123" s="74">
        <f>G123+ L123+ V123</f>
        <v/>
      </c>
      <c r="AB123" s="74">
        <f>H123+ M123+ W123</f>
        <v/>
      </c>
      <c r="AC123" s="74">
        <f>AB123-AA123</f>
        <v/>
      </c>
      <c r="AD123" s="75">
        <f>IF(AA123=0,"",AB123/AA123)</f>
        <v/>
      </c>
      <c r="AE123" s="52" t="n"/>
      <c r="AF123" s="72" t="n"/>
      <c r="AG123" s="72" t="n"/>
      <c r="AH123" s="72">
        <f>AG123-AF123</f>
        <v/>
      </c>
      <c r="AI123" s="73">
        <f>IF(AF123=0,"",AG123/AF123)</f>
        <v/>
      </c>
      <c r="AJ123" s="46" t="n"/>
      <c r="AK123" s="74">
        <f>G123+ L123+ V123+ AF123</f>
        <v/>
      </c>
      <c r="AL123" s="74">
        <f>H123+ M123+ W123+ AG123</f>
        <v/>
      </c>
      <c r="AM123" s="74">
        <f>AL123-AK123</f>
        <v/>
      </c>
      <c r="AN123" s="75">
        <f>IF(AK123=0,"",AL123/AK123)</f>
        <v/>
      </c>
      <c r="AO123" s="52" t="n"/>
      <c r="AP123" s="72" t="n"/>
      <c r="AQ123" s="72" t="n"/>
      <c r="AR123" s="72">
        <f>AQ123-AP123</f>
        <v/>
      </c>
      <c r="AS123" s="73">
        <f>IF(AP123=0,"",AQ123/AP123)</f>
        <v/>
      </c>
      <c r="AT123" s="46" t="n"/>
      <c r="AU123" s="74">
        <f>G123+ L123+ V123+ AF123+ AP123</f>
        <v/>
      </c>
      <c r="AV123" s="74">
        <f>H123+ M123+ W123+ AG123+ AQ123</f>
        <v/>
      </c>
      <c r="AW123" s="74">
        <f>AV123-AU123</f>
        <v/>
      </c>
      <c r="AX123" s="75">
        <f>IF(AU123=0,"",AV123/AU123)</f>
        <v/>
      </c>
      <c r="AY123" s="52" t="n"/>
      <c r="AZ123" s="72" t="n"/>
      <c r="BA123" s="72" t="n"/>
      <c r="BB123" s="72">
        <f>BA123-AZ123</f>
        <v/>
      </c>
      <c r="BC123" s="73">
        <f>IF(AZ123=0,"",BA123/AZ123)</f>
        <v/>
      </c>
      <c r="BD123" s="46" t="n"/>
      <c r="BE123" s="74">
        <f>G123+ L123+ V123+ AF123+ AP123+ AZ123</f>
        <v/>
      </c>
      <c r="BF123" s="74">
        <f>H123+ M123+ W123+ AG123+ AQ123+ BA123</f>
        <v/>
      </c>
      <c r="BG123" s="74">
        <f>BF123-BE123</f>
        <v/>
      </c>
      <c r="BH123" s="75">
        <f>IF(BE123=0,"",BF123/BE123)</f>
        <v/>
      </c>
      <c r="BI123" s="52" t="n"/>
      <c r="BJ123" s="72" t="n"/>
      <c r="BK123" s="72" t="n"/>
      <c r="BL123" s="72">
        <f>BK123-BJ123</f>
        <v/>
      </c>
      <c r="BM123" s="73">
        <f>IF(BJ123=0,"",BK123/BJ123)</f>
        <v/>
      </c>
      <c r="BN123" s="46" t="n"/>
      <c r="BO123" s="74">
        <f>G123+ L123+ V123+ AF123+ AP123+ AZ123+ BJ123</f>
        <v/>
      </c>
      <c r="BP123" s="74">
        <f>H123+ M123+ W123+ AG123+ AQ123+ BA123+ BK123</f>
        <v/>
      </c>
      <c r="BQ123" s="74">
        <f>BP123-BO123</f>
        <v/>
      </c>
      <c r="BR123" s="75">
        <f>IF(BO123=0,"",BP123/BO123)</f>
        <v/>
      </c>
      <c r="BS123" s="52" t="n"/>
      <c r="BT123" s="72" t="n"/>
      <c r="BU123" s="72" t="n"/>
      <c r="BV123" s="72">
        <f>BU123-BT123</f>
        <v/>
      </c>
      <c r="BW123" s="73">
        <f>IF(BT123=0,"",BU123/BT123)</f>
        <v/>
      </c>
      <c r="BX123" s="46" t="n"/>
      <c r="BY123" s="74">
        <f>G123+ L123+ V123+ AF123+ AP123+ AZ123+ BJ123+ BT123</f>
        <v/>
      </c>
      <c r="BZ123" s="74">
        <f>H123+ M123+ W123+ AG123+ AQ123+ BA123+ BK123+ BU123</f>
        <v/>
      </c>
      <c r="CA123" s="74">
        <f>BZ123-BY123</f>
        <v/>
      </c>
      <c r="CB123" s="75">
        <f>IF(BY123=0,"",BZ123/BY123)</f>
        <v/>
      </c>
      <c r="CC123" s="52" t="n"/>
      <c r="CD123" s="72" t="n"/>
      <c r="CE123" s="72" t="n"/>
      <c r="CF123" s="72">
        <f>CE123-CD123</f>
        <v/>
      </c>
      <c r="CG123" s="73">
        <f>IF(CD123=0,"",CE123/CD123)</f>
        <v/>
      </c>
      <c r="CH123" s="46" t="n"/>
      <c r="CI123" s="74">
        <f>G123+ L123+ V123+ AF123+ AP123+ AZ123+ BJ123+ BT123+ CD123</f>
        <v/>
      </c>
      <c r="CJ123" s="74">
        <f>H123+ M123+ W123+ AG123+ AQ123+ BA123+ BK123+ BU123+ CE123</f>
        <v/>
      </c>
      <c r="CK123" s="74">
        <f>CJ123-CI123</f>
        <v/>
      </c>
      <c r="CL123" s="75">
        <f>IF(CI123=0,"",CJ123/CI123)</f>
        <v/>
      </c>
      <c r="CM123" s="52" t="n"/>
      <c r="CN123" s="72" t="n"/>
      <c r="CO123" s="72" t="n"/>
      <c r="CP123" s="72">
        <f>CO123-CN123</f>
        <v/>
      </c>
      <c r="CQ123" s="73">
        <f>IF(CN123=0,"",CO123/CN123)</f>
        <v/>
      </c>
      <c r="CR123" s="46" t="n"/>
      <c r="CS123" s="74">
        <f>G123+ L123+ V123+ AF123+ AP123+ AZ123+ BJ123+ BT123+ CD123+ CN123</f>
        <v/>
      </c>
      <c r="CT123" s="74">
        <f>H123+ M123+ W123+ AG123+ AQ123+ BA123+ BK123+ BU123+ CE123+ CO123</f>
        <v/>
      </c>
      <c r="CU123" s="74">
        <f>CT123-CS123</f>
        <v/>
      </c>
      <c r="CV123" s="75">
        <f>IF(CS123=0,"",CT123/CS123)</f>
        <v/>
      </c>
      <c r="CW123" s="52" t="n"/>
      <c r="CX123" s="72" t="n"/>
      <c r="CY123" s="72" t="n"/>
      <c r="CZ123" s="72">
        <f>CY123-CX123</f>
        <v/>
      </c>
      <c r="DA123" s="73">
        <f>IF(CX123=0,"",CY123/CX123)</f>
        <v/>
      </c>
      <c r="DB123" s="46" t="n"/>
      <c r="DC123" s="74">
        <f>G123+ L123+ V123+ AF123+ AP123+ AZ123+ BJ123+ BT123+ CD123+ CN123+ CX123</f>
        <v/>
      </c>
      <c r="DD123" s="74">
        <f>H123+ M123+ W123+ AG123+ AQ123+ BA123+ BK123+ BU123+ CE123+ CO123+ CY123</f>
        <v/>
      </c>
      <c r="DE123" s="74">
        <f>DD123-DC123</f>
        <v/>
      </c>
      <c r="DF123" s="75">
        <f>IF(DC123=0,"",DD123/DC123)</f>
        <v/>
      </c>
      <c r="DG123" s="52" t="n"/>
      <c r="DH123" s="72" t="n"/>
      <c r="DI123" s="72" t="n"/>
      <c r="DJ123" s="72">
        <f>DI123-DH123</f>
        <v/>
      </c>
      <c r="DK123" s="73">
        <f>IF(DH123=0,"",DI123/DH123)</f>
        <v/>
      </c>
      <c r="DL123" s="46" t="n"/>
      <c r="DM123" s="74">
        <f>G123+ L123+ V123+ AF123+ AP123+ AZ123+ BJ123+ BT123+ CD123+ CN123+ CX123+ DH123</f>
        <v/>
      </c>
      <c r="DN123" s="74">
        <f>H123+ M123+ W123+ AG123+ AQ123+ BA123+ BK123+ BU123+ CE123+ CO123+ CY123+ DI123</f>
        <v/>
      </c>
      <c r="DO123" s="74">
        <f>DN123-DM123</f>
        <v/>
      </c>
      <c r="DP123" s="75">
        <f>IF(DM123=0,"",DN123/DM123)</f>
        <v/>
      </c>
      <c r="DQ123" s="52" t="n"/>
      <c r="DR123" s="72">
        <f>G123+L123+V123+AF123+AP123+AZ123+BJ123+BT123+CD123+CN123+CX123+DH123</f>
        <v/>
      </c>
    </row>
    <row r="124" ht="15" customHeight="1">
      <c r="A124" s="67" t="n"/>
      <c r="B124" s="67" t="n"/>
      <c r="C124" s="67" t="n"/>
      <c r="D124" s="46" t="n"/>
      <c r="E124" s="46" t="n"/>
      <c r="F124" s="47" t="n"/>
      <c r="G124" s="72" t="n"/>
      <c r="H124" s="72" t="n"/>
      <c r="I124" s="72">
        <f>H124-G124</f>
        <v/>
      </c>
      <c r="J124" s="73">
        <f>IF(G124=0,"",H124/G124)</f>
        <v/>
      </c>
      <c r="K124" s="46" t="n"/>
      <c r="L124" s="72" t="n"/>
      <c r="M124" s="72" t="n"/>
      <c r="N124" s="72">
        <f>M124-L124</f>
        <v/>
      </c>
      <c r="O124" s="73">
        <f>IF(L124=0,"",M124/L124)</f>
        <v/>
      </c>
      <c r="P124" s="46" t="n"/>
      <c r="Q124" s="74">
        <f>G124+ L124</f>
        <v/>
      </c>
      <c r="R124" s="74">
        <f>H124+ M124</f>
        <v/>
      </c>
      <c r="S124" s="74">
        <f>R124-Q124</f>
        <v/>
      </c>
      <c r="T124" s="75">
        <f>IF(Q124=0,"",R124/Q124)</f>
        <v/>
      </c>
      <c r="U124" s="52" t="n"/>
      <c r="V124" s="72" t="n"/>
      <c r="W124" s="72" t="n"/>
      <c r="X124" s="72">
        <f>W124-V124</f>
        <v/>
      </c>
      <c r="Y124" s="73">
        <f>IF(V124=0,"",W124/V124)</f>
        <v/>
      </c>
      <c r="Z124" s="46" t="n"/>
      <c r="AA124" s="74">
        <f>G124+ L124+ V124</f>
        <v/>
      </c>
      <c r="AB124" s="74">
        <f>H124+ M124+ W124</f>
        <v/>
      </c>
      <c r="AC124" s="74">
        <f>AB124-AA124</f>
        <v/>
      </c>
      <c r="AD124" s="75">
        <f>IF(AA124=0,"",AB124/AA124)</f>
        <v/>
      </c>
      <c r="AE124" s="52" t="n"/>
      <c r="AF124" s="72" t="n"/>
      <c r="AG124" s="72" t="n"/>
      <c r="AH124" s="72">
        <f>AG124-AF124</f>
        <v/>
      </c>
      <c r="AI124" s="73">
        <f>IF(AF124=0,"",AG124/AF124)</f>
        <v/>
      </c>
      <c r="AJ124" s="46" t="n"/>
      <c r="AK124" s="74">
        <f>G124+ L124+ V124+ AF124</f>
        <v/>
      </c>
      <c r="AL124" s="74">
        <f>H124+ M124+ W124+ AG124</f>
        <v/>
      </c>
      <c r="AM124" s="74">
        <f>AL124-AK124</f>
        <v/>
      </c>
      <c r="AN124" s="75">
        <f>IF(AK124=0,"",AL124/AK124)</f>
        <v/>
      </c>
      <c r="AO124" s="52" t="n"/>
      <c r="AP124" s="72" t="n"/>
      <c r="AQ124" s="72" t="n"/>
      <c r="AR124" s="72">
        <f>AQ124-AP124</f>
        <v/>
      </c>
      <c r="AS124" s="73">
        <f>IF(AP124=0,"",AQ124/AP124)</f>
        <v/>
      </c>
      <c r="AT124" s="46" t="n"/>
      <c r="AU124" s="74">
        <f>G124+ L124+ V124+ AF124+ AP124</f>
        <v/>
      </c>
      <c r="AV124" s="74">
        <f>H124+ M124+ W124+ AG124+ AQ124</f>
        <v/>
      </c>
      <c r="AW124" s="74">
        <f>AV124-AU124</f>
        <v/>
      </c>
      <c r="AX124" s="75">
        <f>IF(AU124=0,"",AV124/AU124)</f>
        <v/>
      </c>
      <c r="AY124" s="52" t="n"/>
      <c r="AZ124" s="72" t="n"/>
      <c r="BA124" s="72" t="n"/>
      <c r="BB124" s="72">
        <f>BA124-AZ124</f>
        <v/>
      </c>
      <c r="BC124" s="73">
        <f>IF(AZ124=0,"",BA124/AZ124)</f>
        <v/>
      </c>
      <c r="BD124" s="46" t="n"/>
      <c r="BE124" s="74">
        <f>G124+ L124+ V124+ AF124+ AP124+ AZ124</f>
        <v/>
      </c>
      <c r="BF124" s="74">
        <f>H124+ M124+ W124+ AG124+ AQ124+ BA124</f>
        <v/>
      </c>
      <c r="BG124" s="74">
        <f>BF124-BE124</f>
        <v/>
      </c>
      <c r="BH124" s="75">
        <f>IF(BE124=0,"",BF124/BE124)</f>
        <v/>
      </c>
      <c r="BI124" s="52" t="n"/>
      <c r="BJ124" s="72" t="n"/>
      <c r="BK124" s="72" t="n"/>
      <c r="BL124" s="72">
        <f>BK124-BJ124</f>
        <v/>
      </c>
      <c r="BM124" s="73">
        <f>IF(BJ124=0,"",BK124/BJ124)</f>
        <v/>
      </c>
      <c r="BN124" s="46" t="n"/>
      <c r="BO124" s="74">
        <f>G124+ L124+ V124+ AF124+ AP124+ AZ124+ BJ124</f>
        <v/>
      </c>
      <c r="BP124" s="74">
        <f>H124+ M124+ W124+ AG124+ AQ124+ BA124+ BK124</f>
        <v/>
      </c>
      <c r="BQ124" s="74">
        <f>BP124-BO124</f>
        <v/>
      </c>
      <c r="BR124" s="75">
        <f>IF(BO124=0,"",BP124/BO124)</f>
        <v/>
      </c>
      <c r="BS124" s="52" t="n"/>
      <c r="BT124" s="72" t="n"/>
      <c r="BU124" s="72" t="n"/>
      <c r="BV124" s="72">
        <f>BU124-BT124</f>
        <v/>
      </c>
      <c r="BW124" s="73">
        <f>IF(BT124=0,"",BU124/BT124)</f>
        <v/>
      </c>
      <c r="BX124" s="46" t="n"/>
      <c r="BY124" s="74">
        <f>G124+ L124+ V124+ AF124+ AP124+ AZ124+ BJ124+ BT124</f>
        <v/>
      </c>
      <c r="BZ124" s="74">
        <f>H124+ M124+ W124+ AG124+ AQ124+ BA124+ BK124+ BU124</f>
        <v/>
      </c>
      <c r="CA124" s="74">
        <f>BZ124-BY124</f>
        <v/>
      </c>
      <c r="CB124" s="75">
        <f>IF(BY124=0,"",BZ124/BY124)</f>
        <v/>
      </c>
      <c r="CC124" s="52" t="n"/>
      <c r="CD124" s="72" t="n"/>
      <c r="CE124" s="72" t="n"/>
      <c r="CF124" s="72">
        <f>CE124-CD124</f>
        <v/>
      </c>
      <c r="CG124" s="73">
        <f>IF(CD124=0,"",CE124/CD124)</f>
        <v/>
      </c>
      <c r="CH124" s="46" t="n"/>
      <c r="CI124" s="74">
        <f>G124+ L124+ V124+ AF124+ AP124+ AZ124+ BJ124+ BT124+ CD124</f>
        <v/>
      </c>
      <c r="CJ124" s="74">
        <f>H124+ M124+ W124+ AG124+ AQ124+ BA124+ BK124+ BU124+ CE124</f>
        <v/>
      </c>
      <c r="CK124" s="74">
        <f>CJ124-CI124</f>
        <v/>
      </c>
      <c r="CL124" s="75">
        <f>IF(CI124=0,"",CJ124/CI124)</f>
        <v/>
      </c>
      <c r="CM124" s="52" t="n"/>
      <c r="CN124" s="72" t="n"/>
      <c r="CO124" s="72" t="n"/>
      <c r="CP124" s="72">
        <f>CO124-CN124</f>
        <v/>
      </c>
      <c r="CQ124" s="73">
        <f>IF(CN124=0,"",CO124/CN124)</f>
        <v/>
      </c>
      <c r="CR124" s="46" t="n"/>
      <c r="CS124" s="74">
        <f>G124+ L124+ V124+ AF124+ AP124+ AZ124+ BJ124+ BT124+ CD124+ CN124</f>
        <v/>
      </c>
      <c r="CT124" s="74">
        <f>H124+ M124+ W124+ AG124+ AQ124+ BA124+ BK124+ BU124+ CE124+ CO124</f>
        <v/>
      </c>
      <c r="CU124" s="74">
        <f>CT124-CS124</f>
        <v/>
      </c>
      <c r="CV124" s="75">
        <f>IF(CS124=0,"",CT124/CS124)</f>
        <v/>
      </c>
      <c r="CW124" s="52" t="n"/>
      <c r="CX124" s="72" t="n"/>
      <c r="CY124" s="72" t="n"/>
      <c r="CZ124" s="72">
        <f>CY124-CX124</f>
        <v/>
      </c>
      <c r="DA124" s="73">
        <f>IF(CX124=0,"",CY124/CX124)</f>
        <v/>
      </c>
      <c r="DB124" s="46" t="n"/>
      <c r="DC124" s="74">
        <f>G124+ L124+ V124+ AF124+ AP124+ AZ124+ BJ124+ BT124+ CD124+ CN124+ CX124</f>
        <v/>
      </c>
      <c r="DD124" s="74">
        <f>H124+ M124+ W124+ AG124+ AQ124+ BA124+ BK124+ BU124+ CE124+ CO124+ CY124</f>
        <v/>
      </c>
      <c r="DE124" s="74">
        <f>DD124-DC124</f>
        <v/>
      </c>
      <c r="DF124" s="75">
        <f>IF(DC124=0,"",DD124/DC124)</f>
        <v/>
      </c>
      <c r="DG124" s="52" t="n"/>
      <c r="DH124" s="72" t="n"/>
      <c r="DI124" s="72" t="n"/>
      <c r="DJ124" s="72">
        <f>DI124-DH124</f>
        <v/>
      </c>
      <c r="DK124" s="73">
        <f>IF(DH124=0,"",DI124/DH124)</f>
        <v/>
      </c>
      <c r="DL124" s="46" t="n"/>
      <c r="DM124" s="74">
        <f>G124+ L124+ V124+ AF124+ AP124+ AZ124+ BJ124+ BT124+ CD124+ CN124+ CX124+ DH124</f>
        <v/>
      </c>
      <c r="DN124" s="74">
        <f>H124+ M124+ W124+ AG124+ AQ124+ BA124+ BK124+ BU124+ CE124+ CO124+ CY124+ DI124</f>
        <v/>
      </c>
      <c r="DO124" s="74">
        <f>DN124-DM124</f>
        <v/>
      </c>
      <c r="DP124" s="75">
        <f>IF(DM124=0,"",DN124/DM124)</f>
        <v/>
      </c>
      <c r="DQ124" s="52" t="n"/>
      <c r="DR124" s="72">
        <f>G124+L124+V124+AF124+AP124+AZ124+BJ124+BT124+CD124+CN124+CX124+DH124</f>
        <v/>
      </c>
    </row>
    <row r="125" ht="15" customHeight="1">
      <c r="A125" s="55" t="n"/>
      <c r="B125" s="55" t="n"/>
      <c r="C125" s="55" t="n"/>
      <c r="D125" s="46" t="n"/>
      <c r="E125" s="46" t="n"/>
      <c r="F125" s="47" t="n"/>
      <c r="G125" s="72" t="n"/>
      <c r="H125" s="72" t="n"/>
      <c r="I125" s="72">
        <f>H125-G125</f>
        <v/>
      </c>
      <c r="J125" s="73">
        <f>IF(G125=0,"",H125/G125)</f>
        <v/>
      </c>
      <c r="K125" s="46" t="n"/>
      <c r="L125" s="72" t="n"/>
      <c r="M125" s="72" t="n"/>
      <c r="N125" s="72">
        <f>M125-L125</f>
        <v/>
      </c>
      <c r="O125" s="73">
        <f>IF(L125=0,"",M125/L125)</f>
        <v/>
      </c>
      <c r="P125" s="46" t="n"/>
      <c r="Q125" s="74">
        <f>G125+ L125</f>
        <v/>
      </c>
      <c r="R125" s="74">
        <f>H125+ M125</f>
        <v/>
      </c>
      <c r="S125" s="74">
        <f>R125-Q125</f>
        <v/>
      </c>
      <c r="T125" s="75">
        <f>IF(Q125=0,"",R125/Q125)</f>
        <v/>
      </c>
      <c r="U125" s="52" t="n"/>
      <c r="V125" s="72" t="n"/>
      <c r="W125" s="72" t="n"/>
      <c r="X125" s="72">
        <f>W125-V125</f>
        <v/>
      </c>
      <c r="Y125" s="73">
        <f>IF(V125=0,"",W125/V125)</f>
        <v/>
      </c>
      <c r="Z125" s="46" t="n"/>
      <c r="AA125" s="74">
        <f>G125+ L125+ V125</f>
        <v/>
      </c>
      <c r="AB125" s="74">
        <f>H125+ M125+ W125</f>
        <v/>
      </c>
      <c r="AC125" s="74">
        <f>AB125-AA125</f>
        <v/>
      </c>
      <c r="AD125" s="75">
        <f>IF(AA125=0,"",AB125/AA125)</f>
        <v/>
      </c>
      <c r="AE125" s="52" t="n"/>
      <c r="AF125" s="72" t="n"/>
      <c r="AG125" s="72" t="n"/>
      <c r="AH125" s="72">
        <f>AG125-AF125</f>
        <v/>
      </c>
      <c r="AI125" s="73">
        <f>IF(AF125=0,"",AG125/AF125)</f>
        <v/>
      </c>
      <c r="AJ125" s="46" t="n"/>
      <c r="AK125" s="74">
        <f>G125+ L125+ V125+ AF125</f>
        <v/>
      </c>
      <c r="AL125" s="74">
        <f>H125+ M125+ W125+ AG125</f>
        <v/>
      </c>
      <c r="AM125" s="74">
        <f>AL125-AK125</f>
        <v/>
      </c>
      <c r="AN125" s="75">
        <f>IF(AK125=0,"",AL125/AK125)</f>
        <v/>
      </c>
      <c r="AO125" s="52" t="n"/>
      <c r="AP125" s="72" t="n"/>
      <c r="AQ125" s="72" t="n"/>
      <c r="AR125" s="72">
        <f>AQ125-AP125</f>
        <v/>
      </c>
      <c r="AS125" s="73">
        <f>IF(AP125=0,"",AQ125/AP125)</f>
        <v/>
      </c>
      <c r="AT125" s="46" t="n"/>
      <c r="AU125" s="74">
        <f>G125+ L125+ V125+ AF125+ AP125</f>
        <v/>
      </c>
      <c r="AV125" s="74">
        <f>H125+ M125+ W125+ AG125+ AQ125</f>
        <v/>
      </c>
      <c r="AW125" s="74">
        <f>AV125-AU125</f>
        <v/>
      </c>
      <c r="AX125" s="75">
        <f>IF(AU125=0,"",AV125/AU125)</f>
        <v/>
      </c>
      <c r="AY125" s="52" t="n"/>
      <c r="AZ125" s="72" t="n"/>
      <c r="BA125" s="72" t="n"/>
      <c r="BB125" s="72">
        <f>BA125-AZ125</f>
        <v/>
      </c>
      <c r="BC125" s="73">
        <f>IF(AZ125=0,"",BA125/AZ125)</f>
        <v/>
      </c>
      <c r="BD125" s="46" t="n"/>
      <c r="BE125" s="74">
        <f>G125+ L125+ V125+ AF125+ AP125+ AZ125</f>
        <v/>
      </c>
      <c r="BF125" s="74">
        <f>H125+ M125+ W125+ AG125+ AQ125+ BA125</f>
        <v/>
      </c>
      <c r="BG125" s="74">
        <f>BF125-BE125</f>
        <v/>
      </c>
      <c r="BH125" s="75">
        <f>IF(BE125=0,"",BF125/BE125)</f>
        <v/>
      </c>
      <c r="BI125" s="52" t="n"/>
      <c r="BJ125" s="72" t="n"/>
      <c r="BK125" s="72" t="n"/>
      <c r="BL125" s="72">
        <f>BK125-BJ125</f>
        <v/>
      </c>
      <c r="BM125" s="73">
        <f>IF(BJ125=0,"",BK125/BJ125)</f>
        <v/>
      </c>
      <c r="BN125" s="46" t="n"/>
      <c r="BO125" s="74">
        <f>G125+ L125+ V125+ AF125+ AP125+ AZ125+ BJ125</f>
        <v/>
      </c>
      <c r="BP125" s="74">
        <f>H125+ M125+ W125+ AG125+ AQ125+ BA125+ BK125</f>
        <v/>
      </c>
      <c r="BQ125" s="74">
        <f>BP125-BO125</f>
        <v/>
      </c>
      <c r="BR125" s="75">
        <f>IF(BO125=0,"",BP125/BO125)</f>
        <v/>
      </c>
      <c r="BS125" s="52" t="n"/>
      <c r="BT125" s="72" t="n"/>
      <c r="BU125" s="72" t="n"/>
      <c r="BV125" s="72">
        <f>BU125-BT125</f>
        <v/>
      </c>
      <c r="BW125" s="73">
        <f>IF(BT125=0,"",BU125/BT125)</f>
        <v/>
      </c>
      <c r="BX125" s="46" t="n"/>
      <c r="BY125" s="74">
        <f>G125+ L125+ V125+ AF125+ AP125+ AZ125+ BJ125+ BT125</f>
        <v/>
      </c>
      <c r="BZ125" s="74">
        <f>H125+ M125+ W125+ AG125+ AQ125+ BA125+ BK125+ BU125</f>
        <v/>
      </c>
      <c r="CA125" s="74">
        <f>BZ125-BY125</f>
        <v/>
      </c>
      <c r="CB125" s="75">
        <f>IF(BY125=0,"",BZ125/BY125)</f>
        <v/>
      </c>
      <c r="CC125" s="52" t="n"/>
      <c r="CD125" s="72" t="n"/>
      <c r="CE125" s="72" t="n"/>
      <c r="CF125" s="72">
        <f>CE125-CD125</f>
        <v/>
      </c>
      <c r="CG125" s="73">
        <f>IF(CD125=0,"",CE125/CD125)</f>
        <v/>
      </c>
      <c r="CH125" s="46" t="n"/>
      <c r="CI125" s="74">
        <f>G125+ L125+ V125+ AF125+ AP125+ AZ125+ BJ125+ BT125+ CD125</f>
        <v/>
      </c>
      <c r="CJ125" s="74">
        <f>H125+ M125+ W125+ AG125+ AQ125+ BA125+ BK125+ BU125+ CE125</f>
        <v/>
      </c>
      <c r="CK125" s="74">
        <f>CJ125-CI125</f>
        <v/>
      </c>
      <c r="CL125" s="75">
        <f>IF(CI125=0,"",CJ125/CI125)</f>
        <v/>
      </c>
      <c r="CM125" s="52" t="n"/>
      <c r="CN125" s="72" t="n"/>
      <c r="CO125" s="72" t="n"/>
      <c r="CP125" s="72">
        <f>CO125-CN125</f>
        <v/>
      </c>
      <c r="CQ125" s="73">
        <f>IF(CN125=0,"",CO125/CN125)</f>
        <v/>
      </c>
      <c r="CR125" s="46" t="n"/>
      <c r="CS125" s="74">
        <f>G125+ L125+ V125+ AF125+ AP125+ AZ125+ BJ125+ BT125+ CD125+ CN125</f>
        <v/>
      </c>
      <c r="CT125" s="74">
        <f>H125+ M125+ W125+ AG125+ AQ125+ BA125+ BK125+ BU125+ CE125+ CO125</f>
        <v/>
      </c>
      <c r="CU125" s="74">
        <f>CT125-CS125</f>
        <v/>
      </c>
      <c r="CV125" s="75">
        <f>IF(CS125=0,"",CT125/CS125)</f>
        <v/>
      </c>
      <c r="CW125" s="52" t="n"/>
      <c r="CX125" s="72" t="n"/>
      <c r="CY125" s="72" t="n"/>
      <c r="CZ125" s="72">
        <f>CY125-CX125</f>
        <v/>
      </c>
      <c r="DA125" s="73">
        <f>IF(CX125=0,"",CY125/CX125)</f>
        <v/>
      </c>
      <c r="DB125" s="46" t="n"/>
      <c r="DC125" s="74">
        <f>G125+ L125+ V125+ AF125+ AP125+ AZ125+ BJ125+ BT125+ CD125+ CN125+ CX125</f>
        <v/>
      </c>
      <c r="DD125" s="74">
        <f>H125+ M125+ W125+ AG125+ AQ125+ BA125+ BK125+ BU125+ CE125+ CO125+ CY125</f>
        <v/>
      </c>
      <c r="DE125" s="74">
        <f>DD125-DC125</f>
        <v/>
      </c>
      <c r="DF125" s="75">
        <f>IF(DC125=0,"",DD125/DC125)</f>
        <v/>
      </c>
      <c r="DG125" s="52" t="n"/>
      <c r="DH125" s="72" t="n"/>
      <c r="DI125" s="72" t="n"/>
      <c r="DJ125" s="72">
        <f>DI125-DH125</f>
        <v/>
      </c>
      <c r="DK125" s="73">
        <f>IF(DH125=0,"",DI125/DH125)</f>
        <v/>
      </c>
      <c r="DL125" s="46" t="n"/>
      <c r="DM125" s="74">
        <f>G125+ L125+ V125+ AF125+ AP125+ AZ125+ BJ125+ BT125+ CD125+ CN125+ CX125+ DH125</f>
        <v/>
      </c>
      <c r="DN125" s="74">
        <f>H125+ M125+ W125+ AG125+ AQ125+ BA125+ BK125+ BU125+ CE125+ CO125+ CY125+ DI125</f>
        <v/>
      </c>
      <c r="DO125" s="74">
        <f>DN125-DM125</f>
        <v/>
      </c>
      <c r="DP125" s="75">
        <f>IF(DM125=0,"",DN125/DM125)</f>
        <v/>
      </c>
      <c r="DQ125" s="52" t="n"/>
      <c r="DR125" s="72">
        <f>G125+L125+V125+AF125+AP125+AZ125+BJ125+BT125+CD125+CN125+CX125+DH125</f>
        <v/>
      </c>
    </row>
    <row r="126" ht="15" customHeight="1">
      <c r="A126" s="15" t="n"/>
      <c r="B126" s="12" t="n"/>
      <c r="C126" s="12" t="n"/>
      <c r="D126" s="12" t="n"/>
      <c r="E126" s="12" t="n"/>
      <c r="F126" s="12" t="n"/>
      <c r="G126" s="68">
        <f>SUM(G127,G130,G134)</f>
        <v/>
      </c>
      <c r="H126" s="68">
        <f>SUM(H127,H130,H134)</f>
        <v/>
      </c>
      <c r="I126" s="68">
        <f>H126-G126</f>
        <v/>
      </c>
      <c r="J126" s="69">
        <f>IF(G126=0,"",H126/G126)</f>
        <v/>
      </c>
      <c r="K126" s="12" t="n"/>
      <c r="L126" s="68">
        <f>SUM(L127,L130,L134)</f>
        <v/>
      </c>
      <c r="M126" s="68">
        <f>SUM(M127,M130,M134)</f>
        <v/>
      </c>
      <c r="N126" s="68">
        <f>M126-L126</f>
        <v/>
      </c>
      <c r="O126" s="69">
        <f>IF(L126=0,"",M126/L126)</f>
        <v/>
      </c>
      <c r="P126" s="12" t="n"/>
      <c r="Q126" s="68">
        <f>G126+ L126</f>
        <v/>
      </c>
      <c r="R126" s="68">
        <f>H126+ M126</f>
        <v/>
      </c>
      <c r="S126" s="68">
        <f>R126-Q126</f>
        <v/>
      </c>
      <c r="T126" s="69">
        <f>IF(Q126=0,"",R126/Q126)</f>
        <v/>
      </c>
      <c r="U126" s="12" t="n"/>
      <c r="V126" s="68">
        <f>SUM(V127,V130,V134)</f>
        <v/>
      </c>
      <c r="W126" s="68">
        <f>SUM(W127,W130,W134)</f>
        <v/>
      </c>
      <c r="X126" s="68">
        <f>W126-V126</f>
        <v/>
      </c>
      <c r="Y126" s="69">
        <f>IF(V126=0,"",W126/V126)</f>
        <v/>
      </c>
      <c r="Z126" s="12" t="n"/>
      <c r="AA126" s="68">
        <f>G126+ L126+ V126</f>
        <v/>
      </c>
      <c r="AB126" s="68">
        <f>H126+ M126+ W126</f>
        <v/>
      </c>
      <c r="AC126" s="68">
        <f>AB126-AA126</f>
        <v/>
      </c>
      <c r="AD126" s="69">
        <f>IF(AA126=0,"",AB126/AA126)</f>
        <v/>
      </c>
      <c r="AE126" s="12" t="n"/>
      <c r="AF126" s="68">
        <f>SUM(AF127,AF130,AF134)</f>
        <v/>
      </c>
      <c r="AG126" s="68">
        <f>SUM(AG127,AG130,AG134)</f>
        <v/>
      </c>
      <c r="AH126" s="68">
        <f>AG126-AF126</f>
        <v/>
      </c>
      <c r="AI126" s="69">
        <f>IF(AF126=0,"",AG126/AF126)</f>
        <v/>
      </c>
      <c r="AJ126" s="12" t="n"/>
      <c r="AK126" s="68">
        <f>G126+ L126+ V126+ AF126</f>
        <v/>
      </c>
      <c r="AL126" s="68">
        <f>H126+ M126+ W126+ AG126</f>
        <v/>
      </c>
      <c r="AM126" s="68">
        <f>AL126-AK126</f>
        <v/>
      </c>
      <c r="AN126" s="69">
        <f>IF(AK126=0,"",AL126/AK126)</f>
        <v/>
      </c>
      <c r="AO126" s="12" t="n"/>
      <c r="AP126" s="68">
        <f>SUM(AP127,AP130,AP134)</f>
        <v/>
      </c>
      <c r="AQ126" s="68">
        <f>SUM(AQ127,AQ130,AQ134)</f>
        <v/>
      </c>
      <c r="AR126" s="68">
        <f>AQ126-AP126</f>
        <v/>
      </c>
      <c r="AS126" s="69">
        <f>IF(AP126=0,"",AQ126/AP126)</f>
        <v/>
      </c>
      <c r="AT126" s="12" t="n"/>
      <c r="AU126" s="68">
        <f>G126+ L126+ V126+ AF126+ AP126</f>
        <v/>
      </c>
      <c r="AV126" s="68">
        <f>H126+ M126+ W126+ AG126+ AQ126</f>
        <v/>
      </c>
      <c r="AW126" s="68">
        <f>AV126-AU126</f>
        <v/>
      </c>
      <c r="AX126" s="69">
        <f>IF(AU126=0,"",AV126/AU126)</f>
        <v/>
      </c>
      <c r="AY126" s="12" t="n"/>
      <c r="AZ126" s="68">
        <f>SUM(AZ127,AZ130,AZ134)</f>
        <v/>
      </c>
      <c r="BA126" s="68">
        <f>SUM(BA127,BA130,BA134)</f>
        <v/>
      </c>
      <c r="BB126" s="68">
        <f>BA126-AZ126</f>
        <v/>
      </c>
      <c r="BC126" s="69">
        <f>IF(AZ126=0,"",BA126/AZ126)</f>
        <v/>
      </c>
      <c r="BD126" s="12" t="n"/>
      <c r="BE126" s="68">
        <f>G126+ L126+ V126+ AF126+ AP126+ AZ126</f>
        <v/>
      </c>
      <c r="BF126" s="68">
        <f>H126+ M126+ W126+ AG126+ AQ126+ BA126</f>
        <v/>
      </c>
      <c r="BG126" s="68">
        <f>BF126-BE126</f>
        <v/>
      </c>
      <c r="BH126" s="69">
        <f>IF(BE126=0,"",BF126/BE126)</f>
        <v/>
      </c>
      <c r="BI126" s="12" t="n"/>
      <c r="BJ126" s="68">
        <f>SUM(BJ127,BJ130,BJ134)</f>
        <v/>
      </c>
      <c r="BK126" s="68">
        <f>SUM(BK127,BK130,BK134)</f>
        <v/>
      </c>
      <c r="BL126" s="68">
        <f>BK126-BJ126</f>
        <v/>
      </c>
      <c r="BM126" s="69">
        <f>IF(BJ126=0,"",BK126/BJ126)</f>
        <v/>
      </c>
      <c r="BN126" s="12" t="n"/>
      <c r="BO126" s="68">
        <f>G126+ L126+ V126+ AF126+ AP126+ AZ126+ BJ126</f>
        <v/>
      </c>
      <c r="BP126" s="68">
        <f>H126+ M126+ W126+ AG126+ AQ126+ BA126+ BK126</f>
        <v/>
      </c>
      <c r="BQ126" s="68">
        <f>BP126-BO126</f>
        <v/>
      </c>
      <c r="BR126" s="69">
        <f>IF(BO126=0,"",BP126/BO126)</f>
        <v/>
      </c>
      <c r="BS126" s="12" t="n"/>
      <c r="BT126" s="68">
        <f>SUM(BT127,BT130,BT134)</f>
        <v/>
      </c>
      <c r="BU126" s="68">
        <f>SUM(BU127,BU130,BU134)</f>
        <v/>
      </c>
      <c r="BV126" s="68">
        <f>BU126-BT126</f>
        <v/>
      </c>
      <c r="BW126" s="69">
        <f>IF(BT126=0,"",BU126/BT126)</f>
        <v/>
      </c>
      <c r="BX126" s="12" t="n"/>
      <c r="BY126" s="68">
        <f>G126+ L126+ V126+ AF126+ AP126+ AZ126+ BJ126+ BT126</f>
        <v/>
      </c>
      <c r="BZ126" s="68">
        <f>H126+ M126+ W126+ AG126+ AQ126+ BA126+ BK126+ BU126</f>
        <v/>
      </c>
      <c r="CA126" s="68">
        <f>BZ126-BY126</f>
        <v/>
      </c>
      <c r="CB126" s="69">
        <f>IF(BY126=0,"",BZ126/BY126)</f>
        <v/>
      </c>
      <c r="CC126" s="12" t="n"/>
      <c r="CD126" s="68">
        <f>SUM(CD127,CD130,CD134)</f>
        <v/>
      </c>
      <c r="CE126" s="68">
        <f>SUM(CE127,CE130,CE134)</f>
        <v/>
      </c>
      <c r="CF126" s="68">
        <f>CE126-CD126</f>
        <v/>
      </c>
      <c r="CG126" s="69">
        <f>IF(CD126=0,"",CE126/CD126)</f>
        <v/>
      </c>
      <c r="CH126" s="12" t="n"/>
      <c r="CI126" s="68">
        <f>G126+ L126+ V126+ AF126+ AP126+ AZ126+ BJ126+ BT126+ CD126</f>
        <v/>
      </c>
      <c r="CJ126" s="68">
        <f>H126+ M126+ W126+ AG126+ AQ126+ BA126+ BK126+ BU126+ CE126</f>
        <v/>
      </c>
      <c r="CK126" s="68">
        <f>CJ126-CI126</f>
        <v/>
      </c>
      <c r="CL126" s="69">
        <f>IF(CI126=0,"",CJ126/CI126)</f>
        <v/>
      </c>
      <c r="CM126" s="12" t="n"/>
      <c r="CN126" s="68">
        <f>SUM(CN127,CN130,CN134)</f>
        <v/>
      </c>
      <c r="CO126" s="68">
        <f>SUM(CO127,CO130,CO134)</f>
        <v/>
      </c>
      <c r="CP126" s="68">
        <f>CO126-CN126</f>
        <v/>
      </c>
      <c r="CQ126" s="69">
        <f>IF(CN126=0,"",CO126/CN126)</f>
        <v/>
      </c>
      <c r="CR126" s="12" t="n"/>
      <c r="CS126" s="68">
        <f>G126+ L126+ V126+ AF126+ AP126+ AZ126+ BJ126+ BT126+ CD126+ CN126</f>
        <v/>
      </c>
      <c r="CT126" s="68">
        <f>H126+ M126+ W126+ AG126+ AQ126+ BA126+ BK126+ BU126+ CE126+ CO126</f>
        <v/>
      </c>
      <c r="CU126" s="68">
        <f>CT126-CS126</f>
        <v/>
      </c>
      <c r="CV126" s="69">
        <f>IF(CS126=0,"",CT126/CS126)</f>
        <v/>
      </c>
      <c r="CW126" s="12" t="n"/>
      <c r="CX126" s="68">
        <f>SUM(CX127,CX130,CX134)</f>
        <v/>
      </c>
      <c r="CY126" s="68">
        <f>SUM(CY127,CY130,CY134)</f>
        <v/>
      </c>
      <c r="CZ126" s="68">
        <f>CY126-CX126</f>
        <v/>
      </c>
      <c r="DA126" s="69">
        <f>IF(CX126=0,"",CY126/CX126)</f>
        <v/>
      </c>
      <c r="DB126" s="12" t="n"/>
      <c r="DC126" s="68">
        <f>G126+ L126+ V126+ AF126+ AP126+ AZ126+ BJ126+ BT126+ CD126+ CN126+ CX126</f>
        <v/>
      </c>
      <c r="DD126" s="68">
        <f>H126+ M126+ W126+ AG126+ AQ126+ BA126+ BK126+ BU126+ CE126+ CO126+ CY126</f>
        <v/>
      </c>
      <c r="DE126" s="68">
        <f>DD126-DC126</f>
        <v/>
      </c>
      <c r="DF126" s="69">
        <f>IF(DC126=0,"",DD126/DC126)</f>
        <v/>
      </c>
      <c r="DG126" s="12" t="n"/>
      <c r="DH126" s="68">
        <f>SUM(DH127,DH130,DH134)</f>
        <v/>
      </c>
      <c r="DI126" s="68">
        <f>SUM(DI127,DI130,DI134)</f>
        <v/>
      </c>
      <c r="DJ126" s="68">
        <f>DI126-DH126</f>
        <v/>
      </c>
      <c r="DK126" s="69">
        <f>IF(DH126=0,"",DI126/DH126)</f>
        <v/>
      </c>
      <c r="DL126" s="12" t="n"/>
      <c r="DM126" s="68">
        <f>G126+ L126+ V126+ AF126+ AP126+ AZ126+ BJ126+ BT126+ CD126+ CN126+ CX126+ DH126</f>
        <v/>
      </c>
      <c r="DN126" s="68">
        <f>H126+ M126+ W126+ AG126+ AQ126+ BA126+ BK126+ BU126+ CE126+ CO126+ CY126+ DI126</f>
        <v/>
      </c>
      <c r="DO126" s="68">
        <f>DN126-DM126</f>
        <v/>
      </c>
      <c r="DP126" s="69">
        <f>IF(DM126=0,"",DN126/DM126)</f>
        <v/>
      </c>
      <c r="DQ126" s="12" t="n"/>
      <c r="DR126" s="68">
        <f>SUM(DR127,DR130,DR134)</f>
        <v/>
      </c>
    </row>
    <row r="127" ht="15" customHeight="1">
      <c r="A127" s="42" t="n"/>
      <c r="B127" s="39" t="n"/>
      <c r="C127" s="39" t="n"/>
      <c r="D127" s="39" t="n"/>
      <c r="E127" s="39" t="n"/>
      <c r="F127" s="39" t="n"/>
      <c r="G127" s="70">
        <f>SUM(G128,G129)</f>
        <v/>
      </c>
      <c r="H127" s="70">
        <f>SUM(H128,H129)</f>
        <v/>
      </c>
      <c r="I127" s="70">
        <f>H127-G127</f>
        <v/>
      </c>
      <c r="J127" s="71">
        <f>IF(G127=0,"",H127/G127)</f>
        <v/>
      </c>
      <c r="K127" s="39" t="n"/>
      <c r="L127" s="70">
        <f>SUM(L128,L129)</f>
        <v/>
      </c>
      <c r="M127" s="70">
        <f>SUM(M128,M129)</f>
        <v/>
      </c>
      <c r="N127" s="70">
        <f>M127-L127</f>
        <v/>
      </c>
      <c r="O127" s="71">
        <f>IF(L127=0,"",M127/L127)</f>
        <v/>
      </c>
      <c r="P127" s="39" t="n"/>
      <c r="Q127" s="70">
        <f>G127+ L127</f>
        <v/>
      </c>
      <c r="R127" s="70">
        <f>H127+ M127</f>
        <v/>
      </c>
      <c r="S127" s="70">
        <f>R127-Q127</f>
        <v/>
      </c>
      <c r="T127" s="71">
        <f>IF(Q127=0,"",R127/Q127)</f>
        <v/>
      </c>
      <c r="U127" s="39" t="n"/>
      <c r="V127" s="70">
        <f>SUM(V128,V129)</f>
        <v/>
      </c>
      <c r="W127" s="70">
        <f>SUM(W128,W129)</f>
        <v/>
      </c>
      <c r="X127" s="70">
        <f>W127-V127</f>
        <v/>
      </c>
      <c r="Y127" s="71">
        <f>IF(V127=0,"",W127/V127)</f>
        <v/>
      </c>
      <c r="Z127" s="39" t="n"/>
      <c r="AA127" s="70">
        <f>G127+ L127+ V127</f>
        <v/>
      </c>
      <c r="AB127" s="70">
        <f>H127+ M127+ W127</f>
        <v/>
      </c>
      <c r="AC127" s="70">
        <f>AB127-AA127</f>
        <v/>
      </c>
      <c r="AD127" s="71">
        <f>IF(AA127=0,"",AB127/AA127)</f>
        <v/>
      </c>
      <c r="AE127" s="39" t="n"/>
      <c r="AF127" s="70">
        <f>SUM(AF128,AF129)</f>
        <v/>
      </c>
      <c r="AG127" s="70">
        <f>SUM(AG128,AG129)</f>
        <v/>
      </c>
      <c r="AH127" s="70">
        <f>AG127-AF127</f>
        <v/>
      </c>
      <c r="AI127" s="71">
        <f>IF(AF127=0,"",AG127/AF127)</f>
        <v/>
      </c>
      <c r="AJ127" s="39" t="n"/>
      <c r="AK127" s="70">
        <f>G127+ L127+ V127+ AF127</f>
        <v/>
      </c>
      <c r="AL127" s="70">
        <f>H127+ M127+ W127+ AG127</f>
        <v/>
      </c>
      <c r="AM127" s="70">
        <f>AL127-AK127</f>
        <v/>
      </c>
      <c r="AN127" s="71">
        <f>IF(AK127=0,"",AL127/AK127)</f>
        <v/>
      </c>
      <c r="AO127" s="39" t="n"/>
      <c r="AP127" s="70">
        <f>SUM(AP128,AP129)</f>
        <v/>
      </c>
      <c r="AQ127" s="70">
        <f>SUM(AQ128,AQ129)</f>
        <v/>
      </c>
      <c r="AR127" s="70">
        <f>AQ127-AP127</f>
        <v/>
      </c>
      <c r="AS127" s="71">
        <f>IF(AP127=0,"",AQ127/AP127)</f>
        <v/>
      </c>
      <c r="AT127" s="39" t="n"/>
      <c r="AU127" s="70">
        <f>G127+ L127+ V127+ AF127+ AP127</f>
        <v/>
      </c>
      <c r="AV127" s="70">
        <f>H127+ M127+ W127+ AG127+ AQ127</f>
        <v/>
      </c>
      <c r="AW127" s="70">
        <f>AV127-AU127</f>
        <v/>
      </c>
      <c r="AX127" s="71">
        <f>IF(AU127=0,"",AV127/AU127)</f>
        <v/>
      </c>
      <c r="AY127" s="39" t="n"/>
      <c r="AZ127" s="70">
        <f>SUM(AZ128,AZ129)</f>
        <v/>
      </c>
      <c r="BA127" s="70">
        <f>SUM(BA128,BA129)</f>
        <v/>
      </c>
      <c r="BB127" s="70">
        <f>BA127-AZ127</f>
        <v/>
      </c>
      <c r="BC127" s="71">
        <f>IF(AZ127=0,"",BA127/AZ127)</f>
        <v/>
      </c>
      <c r="BD127" s="39" t="n"/>
      <c r="BE127" s="70">
        <f>G127+ L127+ V127+ AF127+ AP127+ AZ127</f>
        <v/>
      </c>
      <c r="BF127" s="70">
        <f>H127+ M127+ W127+ AG127+ AQ127+ BA127</f>
        <v/>
      </c>
      <c r="BG127" s="70">
        <f>BF127-BE127</f>
        <v/>
      </c>
      <c r="BH127" s="71">
        <f>IF(BE127=0,"",BF127/BE127)</f>
        <v/>
      </c>
      <c r="BI127" s="39" t="n"/>
      <c r="BJ127" s="70">
        <f>SUM(BJ128,BJ129)</f>
        <v/>
      </c>
      <c r="BK127" s="70">
        <f>SUM(BK128,BK129)</f>
        <v/>
      </c>
      <c r="BL127" s="70">
        <f>BK127-BJ127</f>
        <v/>
      </c>
      <c r="BM127" s="71">
        <f>IF(BJ127=0,"",BK127/BJ127)</f>
        <v/>
      </c>
      <c r="BN127" s="39" t="n"/>
      <c r="BO127" s="70">
        <f>G127+ L127+ V127+ AF127+ AP127+ AZ127+ BJ127</f>
        <v/>
      </c>
      <c r="BP127" s="70">
        <f>H127+ M127+ W127+ AG127+ AQ127+ BA127+ BK127</f>
        <v/>
      </c>
      <c r="BQ127" s="70">
        <f>BP127-BO127</f>
        <v/>
      </c>
      <c r="BR127" s="71">
        <f>IF(BO127=0,"",BP127/BO127)</f>
        <v/>
      </c>
      <c r="BS127" s="39" t="n"/>
      <c r="BT127" s="70">
        <f>SUM(BT128,BT129)</f>
        <v/>
      </c>
      <c r="BU127" s="70">
        <f>SUM(BU128,BU129)</f>
        <v/>
      </c>
      <c r="BV127" s="70">
        <f>BU127-BT127</f>
        <v/>
      </c>
      <c r="BW127" s="71">
        <f>IF(BT127=0,"",BU127/BT127)</f>
        <v/>
      </c>
      <c r="BX127" s="39" t="n"/>
      <c r="BY127" s="70">
        <f>G127+ L127+ V127+ AF127+ AP127+ AZ127+ BJ127+ BT127</f>
        <v/>
      </c>
      <c r="BZ127" s="70">
        <f>H127+ M127+ W127+ AG127+ AQ127+ BA127+ BK127+ BU127</f>
        <v/>
      </c>
      <c r="CA127" s="70">
        <f>BZ127-BY127</f>
        <v/>
      </c>
      <c r="CB127" s="71">
        <f>IF(BY127=0,"",BZ127/BY127)</f>
        <v/>
      </c>
      <c r="CC127" s="39" t="n"/>
      <c r="CD127" s="70">
        <f>SUM(CD128,CD129)</f>
        <v/>
      </c>
      <c r="CE127" s="70">
        <f>SUM(CE128,CE129)</f>
        <v/>
      </c>
      <c r="CF127" s="70">
        <f>CE127-CD127</f>
        <v/>
      </c>
      <c r="CG127" s="71">
        <f>IF(CD127=0,"",CE127/CD127)</f>
        <v/>
      </c>
      <c r="CH127" s="39" t="n"/>
      <c r="CI127" s="70">
        <f>G127+ L127+ V127+ AF127+ AP127+ AZ127+ BJ127+ BT127+ CD127</f>
        <v/>
      </c>
      <c r="CJ127" s="70">
        <f>H127+ M127+ W127+ AG127+ AQ127+ BA127+ BK127+ BU127+ CE127</f>
        <v/>
      </c>
      <c r="CK127" s="70">
        <f>CJ127-CI127</f>
        <v/>
      </c>
      <c r="CL127" s="71">
        <f>IF(CI127=0,"",CJ127/CI127)</f>
        <v/>
      </c>
      <c r="CM127" s="39" t="n"/>
      <c r="CN127" s="70">
        <f>SUM(CN128,CN129)</f>
        <v/>
      </c>
      <c r="CO127" s="70">
        <f>SUM(CO128,CO129)</f>
        <v/>
      </c>
      <c r="CP127" s="70">
        <f>CO127-CN127</f>
        <v/>
      </c>
      <c r="CQ127" s="71">
        <f>IF(CN127=0,"",CO127/CN127)</f>
        <v/>
      </c>
      <c r="CR127" s="39" t="n"/>
      <c r="CS127" s="70">
        <f>G127+ L127+ V127+ AF127+ AP127+ AZ127+ BJ127+ BT127+ CD127+ CN127</f>
        <v/>
      </c>
      <c r="CT127" s="70">
        <f>H127+ M127+ W127+ AG127+ AQ127+ BA127+ BK127+ BU127+ CE127+ CO127</f>
        <v/>
      </c>
      <c r="CU127" s="70">
        <f>CT127-CS127</f>
        <v/>
      </c>
      <c r="CV127" s="71">
        <f>IF(CS127=0,"",CT127/CS127)</f>
        <v/>
      </c>
      <c r="CW127" s="39" t="n"/>
      <c r="CX127" s="70">
        <f>SUM(CX128,CX129)</f>
        <v/>
      </c>
      <c r="CY127" s="70">
        <f>SUM(CY128,CY129)</f>
        <v/>
      </c>
      <c r="CZ127" s="70">
        <f>CY127-CX127</f>
        <v/>
      </c>
      <c r="DA127" s="71">
        <f>IF(CX127=0,"",CY127/CX127)</f>
        <v/>
      </c>
      <c r="DB127" s="39" t="n"/>
      <c r="DC127" s="70">
        <f>G127+ L127+ V127+ AF127+ AP127+ AZ127+ BJ127+ BT127+ CD127+ CN127+ CX127</f>
        <v/>
      </c>
      <c r="DD127" s="70">
        <f>H127+ M127+ W127+ AG127+ AQ127+ BA127+ BK127+ BU127+ CE127+ CO127+ CY127</f>
        <v/>
      </c>
      <c r="DE127" s="70">
        <f>DD127-DC127</f>
        <v/>
      </c>
      <c r="DF127" s="71">
        <f>IF(DC127=0,"",DD127/DC127)</f>
        <v/>
      </c>
      <c r="DG127" s="39" t="n"/>
      <c r="DH127" s="70">
        <f>SUM(DH128,DH129)</f>
        <v/>
      </c>
      <c r="DI127" s="70">
        <f>SUM(DI128,DI129)</f>
        <v/>
      </c>
      <c r="DJ127" s="70">
        <f>DI127-DH127</f>
        <v/>
      </c>
      <c r="DK127" s="71">
        <f>IF(DH127=0,"",DI127/DH127)</f>
        <v/>
      </c>
      <c r="DL127" s="39" t="n"/>
      <c r="DM127" s="70">
        <f>G127+ L127+ V127+ AF127+ AP127+ AZ127+ BJ127+ BT127+ CD127+ CN127+ CX127+ DH127</f>
        <v/>
      </c>
      <c r="DN127" s="70">
        <f>H127+ M127+ W127+ AG127+ AQ127+ BA127+ BK127+ BU127+ CE127+ CO127+ CY127+ DI127</f>
        <v/>
      </c>
      <c r="DO127" s="70">
        <f>DN127-DM127</f>
        <v/>
      </c>
      <c r="DP127" s="71">
        <f>IF(DM127=0,"",DN127/DM127)</f>
        <v/>
      </c>
      <c r="DQ127" s="39" t="n"/>
      <c r="DR127" s="70">
        <f>SUM(DR128,DR129)</f>
        <v/>
      </c>
    </row>
    <row r="128" ht="15" customHeight="1">
      <c r="A128" s="46" t="n"/>
      <c r="B128" s="45" t="n"/>
      <c r="C128" s="45" t="n"/>
      <c r="D128" s="46" t="n"/>
      <c r="E128" s="46" t="n"/>
      <c r="F128" s="47" t="n"/>
      <c r="G128" s="72" t="n"/>
      <c r="H128" s="72" t="n"/>
      <c r="I128" s="72">
        <f>H128-G128</f>
        <v/>
      </c>
      <c r="J128" s="73">
        <f>IF(G128=0,"",H128/G128)</f>
        <v/>
      </c>
      <c r="K128" s="46" t="n"/>
      <c r="L128" s="72" t="n"/>
      <c r="M128" s="72" t="n"/>
      <c r="N128" s="72">
        <f>M128-L128</f>
        <v/>
      </c>
      <c r="O128" s="73">
        <f>IF(L128=0,"",M128/L128)</f>
        <v/>
      </c>
      <c r="P128" s="46" t="n"/>
      <c r="Q128" s="74">
        <f>G128+ L128</f>
        <v/>
      </c>
      <c r="R128" s="74">
        <f>H128+ M128</f>
        <v/>
      </c>
      <c r="S128" s="74">
        <f>R128-Q128</f>
        <v/>
      </c>
      <c r="T128" s="75">
        <f>IF(Q128=0,"",R128/Q128)</f>
        <v/>
      </c>
      <c r="U128" s="52" t="n"/>
      <c r="V128" s="72" t="n"/>
      <c r="W128" s="72" t="n"/>
      <c r="X128" s="72">
        <f>W128-V128</f>
        <v/>
      </c>
      <c r="Y128" s="73">
        <f>IF(V128=0,"",W128/V128)</f>
        <v/>
      </c>
      <c r="Z128" s="46" t="n"/>
      <c r="AA128" s="74">
        <f>G128+ L128+ V128</f>
        <v/>
      </c>
      <c r="AB128" s="74">
        <f>H128+ M128+ W128</f>
        <v/>
      </c>
      <c r="AC128" s="74">
        <f>AB128-AA128</f>
        <v/>
      </c>
      <c r="AD128" s="75">
        <f>IF(AA128=0,"",AB128/AA128)</f>
        <v/>
      </c>
      <c r="AE128" s="52" t="n"/>
      <c r="AF128" s="72" t="n"/>
      <c r="AG128" s="72" t="n"/>
      <c r="AH128" s="72">
        <f>AG128-AF128</f>
        <v/>
      </c>
      <c r="AI128" s="73">
        <f>IF(AF128=0,"",AG128/AF128)</f>
        <v/>
      </c>
      <c r="AJ128" s="46" t="n"/>
      <c r="AK128" s="74">
        <f>G128+ L128+ V128+ AF128</f>
        <v/>
      </c>
      <c r="AL128" s="74">
        <f>H128+ M128+ W128+ AG128</f>
        <v/>
      </c>
      <c r="AM128" s="74">
        <f>AL128-AK128</f>
        <v/>
      </c>
      <c r="AN128" s="75">
        <f>IF(AK128=0,"",AL128/AK128)</f>
        <v/>
      </c>
      <c r="AO128" s="52" t="n"/>
      <c r="AP128" s="72" t="n"/>
      <c r="AQ128" s="72" t="n"/>
      <c r="AR128" s="72">
        <f>AQ128-AP128</f>
        <v/>
      </c>
      <c r="AS128" s="73">
        <f>IF(AP128=0,"",AQ128/AP128)</f>
        <v/>
      </c>
      <c r="AT128" s="46" t="n"/>
      <c r="AU128" s="74">
        <f>G128+ L128+ V128+ AF128+ AP128</f>
        <v/>
      </c>
      <c r="AV128" s="74">
        <f>H128+ M128+ W128+ AG128+ AQ128</f>
        <v/>
      </c>
      <c r="AW128" s="74">
        <f>AV128-AU128</f>
        <v/>
      </c>
      <c r="AX128" s="75">
        <f>IF(AU128=0,"",AV128/AU128)</f>
        <v/>
      </c>
      <c r="AY128" s="52" t="n"/>
      <c r="AZ128" s="72" t="n"/>
      <c r="BA128" s="72" t="n"/>
      <c r="BB128" s="72">
        <f>BA128-AZ128</f>
        <v/>
      </c>
      <c r="BC128" s="73">
        <f>IF(AZ128=0,"",BA128/AZ128)</f>
        <v/>
      </c>
      <c r="BD128" s="46" t="n"/>
      <c r="BE128" s="74">
        <f>G128+ L128+ V128+ AF128+ AP128+ AZ128</f>
        <v/>
      </c>
      <c r="BF128" s="74">
        <f>H128+ M128+ W128+ AG128+ AQ128+ BA128</f>
        <v/>
      </c>
      <c r="BG128" s="74">
        <f>BF128-BE128</f>
        <v/>
      </c>
      <c r="BH128" s="75">
        <f>IF(BE128=0,"",BF128/BE128)</f>
        <v/>
      </c>
      <c r="BI128" s="52" t="n"/>
      <c r="BJ128" s="72" t="n"/>
      <c r="BK128" s="72" t="n"/>
      <c r="BL128" s="72">
        <f>BK128-BJ128</f>
        <v/>
      </c>
      <c r="BM128" s="73">
        <f>IF(BJ128=0,"",BK128/BJ128)</f>
        <v/>
      </c>
      <c r="BN128" s="46" t="n"/>
      <c r="BO128" s="74">
        <f>G128+ L128+ V128+ AF128+ AP128+ AZ128+ BJ128</f>
        <v/>
      </c>
      <c r="BP128" s="74">
        <f>H128+ M128+ W128+ AG128+ AQ128+ BA128+ BK128</f>
        <v/>
      </c>
      <c r="BQ128" s="74">
        <f>BP128-BO128</f>
        <v/>
      </c>
      <c r="BR128" s="75">
        <f>IF(BO128=0,"",BP128/BO128)</f>
        <v/>
      </c>
      <c r="BS128" s="52" t="n"/>
      <c r="BT128" s="72" t="n"/>
      <c r="BU128" s="72" t="n"/>
      <c r="BV128" s="72">
        <f>BU128-BT128</f>
        <v/>
      </c>
      <c r="BW128" s="73">
        <f>IF(BT128=0,"",BU128/BT128)</f>
        <v/>
      </c>
      <c r="BX128" s="46" t="n"/>
      <c r="BY128" s="74">
        <f>G128+ L128+ V128+ AF128+ AP128+ AZ128+ BJ128+ BT128</f>
        <v/>
      </c>
      <c r="BZ128" s="74">
        <f>H128+ M128+ W128+ AG128+ AQ128+ BA128+ BK128+ BU128</f>
        <v/>
      </c>
      <c r="CA128" s="74">
        <f>BZ128-BY128</f>
        <v/>
      </c>
      <c r="CB128" s="75">
        <f>IF(BY128=0,"",BZ128/BY128)</f>
        <v/>
      </c>
      <c r="CC128" s="52" t="n"/>
      <c r="CD128" s="72" t="n"/>
      <c r="CE128" s="72" t="n"/>
      <c r="CF128" s="72">
        <f>CE128-CD128</f>
        <v/>
      </c>
      <c r="CG128" s="73">
        <f>IF(CD128=0,"",CE128/CD128)</f>
        <v/>
      </c>
      <c r="CH128" s="46" t="n"/>
      <c r="CI128" s="74">
        <f>G128+ L128+ V128+ AF128+ AP128+ AZ128+ BJ128+ BT128+ CD128</f>
        <v/>
      </c>
      <c r="CJ128" s="74">
        <f>H128+ M128+ W128+ AG128+ AQ128+ BA128+ BK128+ BU128+ CE128</f>
        <v/>
      </c>
      <c r="CK128" s="74">
        <f>CJ128-CI128</f>
        <v/>
      </c>
      <c r="CL128" s="75">
        <f>IF(CI128=0,"",CJ128/CI128)</f>
        <v/>
      </c>
      <c r="CM128" s="52" t="n"/>
      <c r="CN128" s="72" t="n"/>
      <c r="CO128" s="72" t="n"/>
      <c r="CP128" s="72">
        <f>CO128-CN128</f>
        <v/>
      </c>
      <c r="CQ128" s="73">
        <f>IF(CN128=0,"",CO128/CN128)</f>
        <v/>
      </c>
      <c r="CR128" s="46" t="n"/>
      <c r="CS128" s="74">
        <f>G128+ L128+ V128+ AF128+ AP128+ AZ128+ BJ128+ BT128+ CD128+ CN128</f>
        <v/>
      </c>
      <c r="CT128" s="74">
        <f>H128+ M128+ W128+ AG128+ AQ128+ BA128+ BK128+ BU128+ CE128+ CO128</f>
        <v/>
      </c>
      <c r="CU128" s="74">
        <f>CT128-CS128</f>
        <v/>
      </c>
      <c r="CV128" s="75">
        <f>IF(CS128=0,"",CT128/CS128)</f>
        <v/>
      </c>
      <c r="CW128" s="52" t="n"/>
      <c r="CX128" s="72" t="n"/>
      <c r="CY128" s="72" t="n"/>
      <c r="CZ128" s="72">
        <f>CY128-CX128</f>
        <v/>
      </c>
      <c r="DA128" s="73">
        <f>IF(CX128=0,"",CY128/CX128)</f>
        <v/>
      </c>
      <c r="DB128" s="46" t="n"/>
      <c r="DC128" s="74">
        <f>G128+ L128+ V128+ AF128+ AP128+ AZ128+ BJ128+ BT128+ CD128+ CN128+ CX128</f>
        <v/>
      </c>
      <c r="DD128" s="74">
        <f>H128+ M128+ W128+ AG128+ AQ128+ BA128+ BK128+ BU128+ CE128+ CO128+ CY128</f>
        <v/>
      </c>
      <c r="DE128" s="74">
        <f>DD128-DC128</f>
        <v/>
      </c>
      <c r="DF128" s="75">
        <f>IF(DC128=0,"",DD128/DC128)</f>
        <v/>
      </c>
      <c r="DG128" s="52" t="n"/>
      <c r="DH128" s="72" t="n"/>
      <c r="DI128" s="72" t="n"/>
      <c r="DJ128" s="72">
        <f>DI128-DH128</f>
        <v/>
      </c>
      <c r="DK128" s="73">
        <f>IF(DH128=0,"",DI128/DH128)</f>
        <v/>
      </c>
      <c r="DL128" s="46" t="n"/>
      <c r="DM128" s="74">
        <f>G128+ L128+ V128+ AF128+ AP128+ AZ128+ BJ128+ BT128+ CD128+ CN128+ CX128+ DH128</f>
        <v/>
      </c>
      <c r="DN128" s="74">
        <f>H128+ M128+ W128+ AG128+ AQ128+ BA128+ BK128+ BU128+ CE128+ CO128+ CY128+ DI128</f>
        <v/>
      </c>
      <c r="DO128" s="74">
        <f>DN128-DM128</f>
        <v/>
      </c>
      <c r="DP128" s="75">
        <f>IF(DM128=0,"",DN128/DM128)</f>
        <v/>
      </c>
      <c r="DQ128" s="52" t="n"/>
      <c r="DR128" s="72">
        <f>G128+L128+V128+AF128+AP128+AZ128+BJ128+BT128+CD128+CN128+CX128+DH128</f>
        <v/>
      </c>
    </row>
    <row r="129" ht="15" customHeight="1">
      <c r="A129" s="55" t="n"/>
      <c r="B129" s="55" t="n"/>
      <c r="C129" s="55" t="n"/>
      <c r="D129" s="46" t="n"/>
      <c r="E129" s="46" t="n"/>
      <c r="F129" s="47" t="n"/>
      <c r="G129" s="72" t="n"/>
      <c r="H129" s="72" t="n"/>
      <c r="I129" s="72">
        <f>H129-G129</f>
        <v/>
      </c>
      <c r="J129" s="73">
        <f>IF(G129=0,"",H129/G129)</f>
        <v/>
      </c>
      <c r="K129" s="46" t="n"/>
      <c r="L129" s="72" t="n"/>
      <c r="M129" s="72" t="n"/>
      <c r="N129" s="72">
        <f>M129-L129</f>
        <v/>
      </c>
      <c r="O129" s="73">
        <f>IF(L129=0,"",M129/L129)</f>
        <v/>
      </c>
      <c r="P129" s="46" t="n"/>
      <c r="Q129" s="74">
        <f>G129+ L129</f>
        <v/>
      </c>
      <c r="R129" s="74">
        <f>H129+ M129</f>
        <v/>
      </c>
      <c r="S129" s="74">
        <f>R129-Q129</f>
        <v/>
      </c>
      <c r="T129" s="75">
        <f>IF(Q129=0,"",R129/Q129)</f>
        <v/>
      </c>
      <c r="U129" s="52" t="n"/>
      <c r="V129" s="72" t="n"/>
      <c r="W129" s="72" t="n"/>
      <c r="X129" s="72">
        <f>W129-V129</f>
        <v/>
      </c>
      <c r="Y129" s="73">
        <f>IF(V129=0,"",W129/V129)</f>
        <v/>
      </c>
      <c r="Z129" s="46" t="n"/>
      <c r="AA129" s="74">
        <f>G129+ L129+ V129</f>
        <v/>
      </c>
      <c r="AB129" s="74">
        <f>H129+ M129+ W129</f>
        <v/>
      </c>
      <c r="AC129" s="74">
        <f>AB129-AA129</f>
        <v/>
      </c>
      <c r="AD129" s="75">
        <f>IF(AA129=0,"",AB129/AA129)</f>
        <v/>
      </c>
      <c r="AE129" s="52" t="n"/>
      <c r="AF129" s="72" t="n"/>
      <c r="AG129" s="72" t="n"/>
      <c r="AH129" s="72">
        <f>AG129-AF129</f>
        <v/>
      </c>
      <c r="AI129" s="73">
        <f>IF(AF129=0,"",AG129/AF129)</f>
        <v/>
      </c>
      <c r="AJ129" s="46" t="n"/>
      <c r="AK129" s="74">
        <f>G129+ L129+ V129+ AF129</f>
        <v/>
      </c>
      <c r="AL129" s="74">
        <f>H129+ M129+ W129+ AG129</f>
        <v/>
      </c>
      <c r="AM129" s="74">
        <f>AL129-AK129</f>
        <v/>
      </c>
      <c r="AN129" s="75">
        <f>IF(AK129=0,"",AL129/AK129)</f>
        <v/>
      </c>
      <c r="AO129" s="52" t="n"/>
      <c r="AP129" s="72" t="n"/>
      <c r="AQ129" s="72" t="n"/>
      <c r="AR129" s="72">
        <f>AQ129-AP129</f>
        <v/>
      </c>
      <c r="AS129" s="73">
        <f>IF(AP129=0,"",AQ129/AP129)</f>
        <v/>
      </c>
      <c r="AT129" s="46" t="n"/>
      <c r="AU129" s="74">
        <f>G129+ L129+ V129+ AF129+ AP129</f>
        <v/>
      </c>
      <c r="AV129" s="74">
        <f>H129+ M129+ W129+ AG129+ AQ129</f>
        <v/>
      </c>
      <c r="AW129" s="74">
        <f>AV129-AU129</f>
        <v/>
      </c>
      <c r="AX129" s="75">
        <f>IF(AU129=0,"",AV129/AU129)</f>
        <v/>
      </c>
      <c r="AY129" s="52" t="n"/>
      <c r="AZ129" s="72" t="n"/>
      <c r="BA129" s="72" t="n"/>
      <c r="BB129" s="72">
        <f>BA129-AZ129</f>
        <v/>
      </c>
      <c r="BC129" s="73">
        <f>IF(AZ129=0,"",BA129/AZ129)</f>
        <v/>
      </c>
      <c r="BD129" s="46" t="n"/>
      <c r="BE129" s="74">
        <f>G129+ L129+ V129+ AF129+ AP129+ AZ129</f>
        <v/>
      </c>
      <c r="BF129" s="74">
        <f>H129+ M129+ W129+ AG129+ AQ129+ BA129</f>
        <v/>
      </c>
      <c r="BG129" s="74">
        <f>BF129-BE129</f>
        <v/>
      </c>
      <c r="BH129" s="75">
        <f>IF(BE129=0,"",BF129/BE129)</f>
        <v/>
      </c>
      <c r="BI129" s="52" t="n"/>
      <c r="BJ129" s="72" t="n"/>
      <c r="BK129" s="72" t="n"/>
      <c r="BL129" s="72">
        <f>BK129-BJ129</f>
        <v/>
      </c>
      <c r="BM129" s="73">
        <f>IF(BJ129=0,"",BK129/BJ129)</f>
        <v/>
      </c>
      <c r="BN129" s="46" t="n"/>
      <c r="BO129" s="74">
        <f>G129+ L129+ V129+ AF129+ AP129+ AZ129+ BJ129</f>
        <v/>
      </c>
      <c r="BP129" s="74">
        <f>H129+ M129+ W129+ AG129+ AQ129+ BA129+ BK129</f>
        <v/>
      </c>
      <c r="BQ129" s="74">
        <f>BP129-BO129</f>
        <v/>
      </c>
      <c r="BR129" s="75">
        <f>IF(BO129=0,"",BP129/BO129)</f>
        <v/>
      </c>
      <c r="BS129" s="52" t="n"/>
      <c r="BT129" s="72" t="n"/>
      <c r="BU129" s="72" t="n"/>
      <c r="BV129" s="72">
        <f>BU129-BT129</f>
        <v/>
      </c>
      <c r="BW129" s="73">
        <f>IF(BT129=0,"",BU129/BT129)</f>
        <v/>
      </c>
      <c r="BX129" s="46" t="n"/>
      <c r="BY129" s="74">
        <f>G129+ L129+ V129+ AF129+ AP129+ AZ129+ BJ129+ BT129</f>
        <v/>
      </c>
      <c r="BZ129" s="74">
        <f>H129+ M129+ W129+ AG129+ AQ129+ BA129+ BK129+ BU129</f>
        <v/>
      </c>
      <c r="CA129" s="74">
        <f>BZ129-BY129</f>
        <v/>
      </c>
      <c r="CB129" s="75">
        <f>IF(BY129=0,"",BZ129/BY129)</f>
        <v/>
      </c>
      <c r="CC129" s="52" t="n"/>
      <c r="CD129" s="72" t="n"/>
      <c r="CE129" s="72" t="n"/>
      <c r="CF129" s="72">
        <f>CE129-CD129</f>
        <v/>
      </c>
      <c r="CG129" s="73">
        <f>IF(CD129=0,"",CE129/CD129)</f>
        <v/>
      </c>
      <c r="CH129" s="46" t="n"/>
      <c r="CI129" s="74">
        <f>G129+ L129+ V129+ AF129+ AP129+ AZ129+ BJ129+ BT129+ CD129</f>
        <v/>
      </c>
      <c r="CJ129" s="74">
        <f>H129+ M129+ W129+ AG129+ AQ129+ BA129+ BK129+ BU129+ CE129</f>
        <v/>
      </c>
      <c r="CK129" s="74">
        <f>CJ129-CI129</f>
        <v/>
      </c>
      <c r="CL129" s="75">
        <f>IF(CI129=0,"",CJ129/CI129)</f>
        <v/>
      </c>
      <c r="CM129" s="52" t="n"/>
      <c r="CN129" s="72" t="n"/>
      <c r="CO129" s="72" t="n"/>
      <c r="CP129" s="72">
        <f>CO129-CN129</f>
        <v/>
      </c>
      <c r="CQ129" s="73">
        <f>IF(CN129=0,"",CO129/CN129)</f>
        <v/>
      </c>
      <c r="CR129" s="46" t="n"/>
      <c r="CS129" s="74">
        <f>G129+ L129+ V129+ AF129+ AP129+ AZ129+ BJ129+ BT129+ CD129+ CN129</f>
        <v/>
      </c>
      <c r="CT129" s="74">
        <f>H129+ M129+ W129+ AG129+ AQ129+ BA129+ BK129+ BU129+ CE129+ CO129</f>
        <v/>
      </c>
      <c r="CU129" s="74">
        <f>CT129-CS129</f>
        <v/>
      </c>
      <c r="CV129" s="75">
        <f>IF(CS129=0,"",CT129/CS129)</f>
        <v/>
      </c>
      <c r="CW129" s="52" t="n"/>
      <c r="CX129" s="72" t="n"/>
      <c r="CY129" s="72" t="n"/>
      <c r="CZ129" s="72">
        <f>CY129-CX129</f>
        <v/>
      </c>
      <c r="DA129" s="73">
        <f>IF(CX129=0,"",CY129/CX129)</f>
        <v/>
      </c>
      <c r="DB129" s="46" t="n"/>
      <c r="DC129" s="74">
        <f>G129+ L129+ V129+ AF129+ AP129+ AZ129+ BJ129+ BT129+ CD129+ CN129+ CX129</f>
        <v/>
      </c>
      <c r="DD129" s="74">
        <f>H129+ M129+ W129+ AG129+ AQ129+ BA129+ BK129+ BU129+ CE129+ CO129+ CY129</f>
        <v/>
      </c>
      <c r="DE129" s="74">
        <f>DD129-DC129</f>
        <v/>
      </c>
      <c r="DF129" s="75">
        <f>IF(DC129=0,"",DD129/DC129)</f>
        <v/>
      </c>
      <c r="DG129" s="52" t="n"/>
      <c r="DH129" s="72" t="n"/>
      <c r="DI129" s="72" t="n"/>
      <c r="DJ129" s="72">
        <f>DI129-DH129</f>
        <v/>
      </c>
      <c r="DK129" s="73">
        <f>IF(DH129=0,"",DI129/DH129)</f>
        <v/>
      </c>
      <c r="DL129" s="46" t="n"/>
      <c r="DM129" s="74">
        <f>G129+ L129+ V129+ AF129+ AP129+ AZ129+ BJ129+ BT129+ CD129+ CN129+ CX129+ DH129</f>
        <v/>
      </c>
      <c r="DN129" s="74">
        <f>H129+ M129+ W129+ AG129+ AQ129+ BA129+ BK129+ BU129+ CE129+ CO129+ CY129+ DI129</f>
        <v/>
      </c>
      <c r="DO129" s="74">
        <f>DN129-DM129</f>
        <v/>
      </c>
      <c r="DP129" s="75">
        <f>IF(DM129=0,"",DN129/DM129)</f>
        <v/>
      </c>
      <c r="DQ129" s="52" t="n"/>
      <c r="DR129" s="72">
        <f>G129+L129+V129+AF129+AP129+AZ129+BJ129+BT129+CD129+CN129+CX129+DH129</f>
        <v/>
      </c>
    </row>
    <row r="130" ht="15" customHeight="1">
      <c r="A130" s="42" t="n"/>
      <c r="B130" s="39" t="n"/>
      <c r="C130" s="39" t="n"/>
      <c r="D130" s="39" t="n"/>
      <c r="E130" s="39" t="n"/>
      <c r="F130" s="39" t="n"/>
      <c r="G130" s="70">
        <f>SUM(G131,G132,G133)</f>
        <v/>
      </c>
      <c r="H130" s="70">
        <f>SUM(H131,H132,H133)</f>
        <v/>
      </c>
      <c r="I130" s="70">
        <f>H130-G130</f>
        <v/>
      </c>
      <c r="J130" s="71">
        <f>IF(G130=0,"",H130/G130)</f>
        <v/>
      </c>
      <c r="K130" s="39" t="n"/>
      <c r="L130" s="70">
        <f>SUM(L131,L132,L133)</f>
        <v/>
      </c>
      <c r="M130" s="70">
        <f>SUM(M131,M132,M133)</f>
        <v/>
      </c>
      <c r="N130" s="70">
        <f>M130-L130</f>
        <v/>
      </c>
      <c r="O130" s="71">
        <f>IF(L130=0,"",M130/L130)</f>
        <v/>
      </c>
      <c r="P130" s="39" t="n"/>
      <c r="Q130" s="70">
        <f>G130+ L130</f>
        <v/>
      </c>
      <c r="R130" s="70">
        <f>H130+ M130</f>
        <v/>
      </c>
      <c r="S130" s="70">
        <f>R130-Q130</f>
        <v/>
      </c>
      <c r="T130" s="71">
        <f>IF(Q130=0,"",R130/Q130)</f>
        <v/>
      </c>
      <c r="U130" s="39" t="n"/>
      <c r="V130" s="70">
        <f>SUM(V131,V132,V133)</f>
        <v/>
      </c>
      <c r="W130" s="70">
        <f>SUM(W131,W132,W133)</f>
        <v/>
      </c>
      <c r="X130" s="70">
        <f>W130-V130</f>
        <v/>
      </c>
      <c r="Y130" s="71">
        <f>IF(V130=0,"",W130/V130)</f>
        <v/>
      </c>
      <c r="Z130" s="39" t="n"/>
      <c r="AA130" s="70">
        <f>G130+ L130+ V130</f>
        <v/>
      </c>
      <c r="AB130" s="70">
        <f>H130+ M130+ W130</f>
        <v/>
      </c>
      <c r="AC130" s="70">
        <f>AB130-AA130</f>
        <v/>
      </c>
      <c r="AD130" s="71">
        <f>IF(AA130=0,"",AB130/AA130)</f>
        <v/>
      </c>
      <c r="AE130" s="39" t="n"/>
      <c r="AF130" s="70">
        <f>SUM(AF131,AF132,AF133)</f>
        <v/>
      </c>
      <c r="AG130" s="70">
        <f>SUM(AG131,AG132,AG133)</f>
        <v/>
      </c>
      <c r="AH130" s="70">
        <f>AG130-AF130</f>
        <v/>
      </c>
      <c r="AI130" s="71">
        <f>IF(AF130=0,"",AG130/AF130)</f>
        <v/>
      </c>
      <c r="AJ130" s="39" t="n"/>
      <c r="AK130" s="70">
        <f>G130+ L130+ V130+ AF130</f>
        <v/>
      </c>
      <c r="AL130" s="70">
        <f>H130+ M130+ W130+ AG130</f>
        <v/>
      </c>
      <c r="AM130" s="70">
        <f>AL130-AK130</f>
        <v/>
      </c>
      <c r="AN130" s="71">
        <f>IF(AK130=0,"",AL130/AK130)</f>
        <v/>
      </c>
      <c r="AO130" s="39" t="n"/>
      <c r="AP130" s="70">
        <f>SUM(AP131,AP132,AP133)</f>
        <v/>
      </c>
      <c r="AQ130" s="70">
        <f>SUM(AQ131,AQ132,AQ133)</f>
        <v/>
      </c>
      <c r="AR130" s="70">
        <f>AQ130-AP130</f>
        <v/>
      </c>
      <c r="AS130" s="71">
        <f>IF(AP130=0,"",AQ130/AP130)</f>
        <v/>
      </c>
      <c r="AT130" s="39" t="n"/>
      <c r="AU130" s="70">
        <f>G130+ L130+ V130+ AF130+ AP130</f>
        <v/>
      </c>
      <c r="AV130" s="70">
        <f>H130+ M130+ W130+ AG130+ AQ130</f>
        <v/>
      </c>
      <c r="AW130" s="70">
        <f>AV130-AU130</f>
        <v/>
      </c>
      <c r="AX130" s="71">
        <f>IF(AU130=0,"",AV130/AU130)</f>
        <v/>
      </c>
      <c r="AY130" s="39" t="n"/>
      <c r="AZ130" s="70">
        <f>SUM(AZ131,AZ132,AZ133)</f>
        <v/>
      </c>
      <c r="BA130" s="70">
        <f>SUM(BA131,BA132,BA133)</f>
        <v/>
      </c>
      <c r="BB130" s="70">
        <f>BA130-AZ130</f>
        <v/>
      </c>
      <c r="BC130" s="71">
        <f>IF(AZ130=0,"",BA130/AZ130)</f>
        <v/>
      </c>
      <c r="BD130" s="39" t="n"/>
      <c r="BE130" s="70">
        <f>G130+ L130+ V130+ AF130+ AP130+ AZ130</f>
        <v/>
      </c>
      <c r="BF130" s="70">
        <f>H130+ M130+ W130+ AG130+ AQ130+ BA130</f>
        <v/>
      </c>
      <c r="BG130" s="70">
        <f>BF130-BE130</f>
        <v/>
      </c>
      <c r="BH130" s="71">
        <f>IF(BE130=0,"",BF130/BE130)</f>
        <v/>
      </c>
      <c r="BI130" s="39" t="n"/>
      <c r="BJ130" s="70">
        <f>SUM(BJ131,BJ132,BJ133)</f>
        <v/>
      </c>
      <c r="BK130" s="70">
        <f>SUM(BK131,BK132,BK133)</f>
        <v/>
      </c>
      <c r="BL130" s="70">
        <f>BK130-BJ130</f>
        <v/>
      </c>
      <c r="BM130" s="71">
        <f>IF(BJ130=0,"",BK130/BJ130)</f>
        <v/>
      </c>
      <c r="BN130" s="39" t="n"/>
      <c r="BO130" s="70">
        <f>G130+ L130+ V130+ AF130+ AP130+ AZ130+ BJ130</f>
        <v/>
      </c>
      <c r="BP130" s="70">
        <f>H130+ M130+ W130+ AG130+ AQ130+ BA130+ BK130</f>
        <v/>
      </c>
      <c r="BQ130" s="70">
        <f>BP130-BO130</f>
        <v/>
      </c>
      <c r="BR130" s="71">
        <f>IF(BO130=0,"",BP130/BO130)</f>
        <v/>
      </c>
      <c r="BS130" s="39" t="n"/>
      <c r="BT130" s="70">
        <f>SUM(BT131,BT132,BT133)</f>
        <v/>
      </c>
      <c r="BU130" s="70">
        <f>SUM(BU131,BU132,BU133)</f>
        <v/>
      </c>
      <c r="BV130" s="70">
        <f>BU130-BT130</f>
        <v/>
      </c>
      <c r="BW130" s="71">
        <f>IF(BT130=0,"",BU130/BT130)</f>
        <v/>
      </c>
      <c r="BX130" s="39" t="n"/>
      <c r="BY130" s="70">
        <f>G130+ L130+ V130+ AF130+ AP130+ AZ130+ BJ130+ BT130</f>
        <v/>
      </c>
      <c r="BZ130" s="70">
        <f>H130+ M130+ W130+ AG130+ AQ130+ BA130+ BK130+ BU130</f>
        <v/>
      </c>
      <c r="CA130" s="70">
        <f>BZ130-BY130</f>
        <v/>
      </c>
      <c r="CB130" s="71">
        <f>IF(BY130=0,"",BZ130/BY130)</f>
        <v/>
      </c>
      <c r="CC130" s="39" t="n"/>
      <c r="CD130" s="70">
        <f>SUM(CD131,CD132,CD133)</f>
        <v/>
      </c>
      <c r="CE130" s="70">
        <f>SUM(CE131,CE132,CE133)</f>
        <v/>
      </c>
      <c r="CF130" s="70">
        <f>CE130-CD130</f>
        <v/>
      </c>
      <c r="CG130" s="71">
        <f>IF(CD130=0,"",CE130/CD130)</f>
        <v/>
      </c>
      <c r="CH130" s="39" t="n"/>
      <c r="CI130" s="70">
        <f>G130+ L130+ V130+ AF130+ AP130+ AZ130+ BJ130+ BT130+ CD130</f>
        <v/>
      </c>
      <c r="CJ130" s="70">
        <f>H130+ M130+ W130+ AG130+ AQ130+ BA130+ BK130+ BU130+ CE130</f>
        <v/>
      </c>
      <c r="CK130" s="70">
        <f>CJ130-CI130</f>
        <v/>
      </c>
      <c r="CL130" s="71">
        <f>IF(CI130=0,"",CJ130/CI130)</f>
        <v/>
      </c>
      <c r="CM130" s="39" t="n"/>
      <c r="CN130" s="70">
        <f>SUM(CN131,CN132,CN133)</f>
        <v/>
      </c>
      <c r="CO130" s="70">
        <f>SUM(CO131,CO132,CO133)</f>
        <v/>
      </c>
      <c r="CP130" s="70">
        <f>CO130-CN130</f>
        <v/>
      </c>
      <c r="CQ130" s="71">
        <f>IF(CN130=0,"",CO130/CN130)</f>
        <v/>
      </c>
      <c r="CR130" s="39" t="n"/>
      <c r="CS130" s="70">
        <f>G130+ L130+ V130+ AF130+ AP130+ AZ130+ BJ130+ BT130+ CD130+ CN130</f>
        <v/>
      </c>
      <c r="CT130" s="70">
        <f>H130+ M130+ W130+ AG130+ AQ130+ BA130+ BK130+ BU130+ CE130+ CO130</f>
        <v/>
      </c>
      <c r="CU130" s="70">
        <f>CT130-CS130</f>
        <v/>
      </c>
      <c r="CV130" s="71">
        <f>IF(CS130=0,"",CT130/CS130)</f>
        <v/>
      </c>
      <c r="CW130" s="39" t="n"/>
      <c r="CX130" s="70">
        <f>SUM(CX131,CX132,CX133)</f>
        <v/>
      </c>
      <c r="CY130" s="70">
        <f>SUM(CY131,CY132,CY133)</f>
        <v/>
      </c>
      <c r="CZ130" s="70">
        <f>CY130-CX130</f>
        <v/>
      </c>
      <c r="DA130" s="71">
        <f>IF(CX130=0,"",CY130/CX130)</f>
        <v/>
      </c>
      <c r="DB130" s="39" t="n"/>
      <c r="DC130" s="70">
        <f>G130+ L130+ V130+ AF130+ AP130+ AZ130+ BJ130+ BT130+ CD130+ CN130+ CX130</f>
        <v/>
      </c>
      <c r="DD130" s="70">
        <f>H130+ M130+ W130+ AG130+ AQ130+ BA130+ BK130+ BU130+ CE130+ CO130+ CY130</f>
        <v/>
      </c>
      <c r="DE130" s="70">
        <f>DD130-DC130</f>
        <v/>
      </c>
      <c r="DF130" s="71">
        <f>IF(DC130=0,"",DD130/DC130)</f>
        <v/>
      </c>
      <c r="DG130" s="39" t="n"/>
      <c r="DH130" s="70">
        <f>SUM(DH131,DH132,DH133)</f>
        <v/>
      </c>
      <c r="DI130" s="70">
        <f>SUM(DI131,DI132,DI133)</f>
        <v/>
      </c>
      <c r="DJ130" s="70">
        <f>DI130-DH130</f>
        <v/>
      </c>
      <c r="DK130" s="71">
        <f>IF(DH130=0,"",DI130/DH130)</f>
        <v/>
      </c>
      <c r="DL130" s="39" t="n"/>
      <c r="DM130" s="70">
        <f>G130+ L130+ V130+ AF130+ AP130+ AZ130+ BJ130+ BT130+ CD130+ CN130+ CX130+ DH130</f>
        <v/>
      </c>
      <c r="DN130" s="70">
        <f>H130+ M130+ W130+ AG130+ AQ130+ BA130+ BK130+ BU130+ CE130+ CO130+ CY130+ DI130</f>
        <v/>
      </c>
      <c r="DO130" s="70">
        <f>DN130-DM130</f>
        <v/>
      </c>
      <c r="DP130" s="71">
        <f>IF(DM130=0,"",DN130/DM130)</f>
        <v/>
      </c>
      <c r="DQ130" s="39" t="n"/>
      <c r="DR130" s="70">
        <f>SUM(DR131,DR132,DR133)</f>
        <v/>
      </c>
    </row>
    <row r="131" ht="15" customHeight="1">
      <c r="A131" s="47" t="n"/>
      <c r="B131" s="45" t="n"/>
      <c r="C131" s="45" t="n"/>
      <c r="D131" s="46" t="n"/>
      <c r="E131" s="46" t="n"/>
      <c r="F131" s="47" t="n"/>
      <c r="G131" s="72" t="n"/>
      <c r="H131" s="72" t="n"/>
      <c r="I131" s="72">
        <f>H131-G131</f>
        <v/>
      </c>
      <c r="J131" s="73">
        <f>IF(G131=0,"",H131/G131)</f>
        <v/>
      </c>
      <c r="K131" s="46" t="n"/>
      <c r="L131" s="72" t="n"/>
      <c r="M131" s="72" t="n"/>
      <c r="N131" s="72">
        <f>M131-L131</f>
        <v/>
      </c>
      <c r="O131" s="73">
        <f>IF(L131=0,"",M131/L131)</f>
        <v/>
      </c>
      <c r="P131" s="46" t="n"/>
      <c r="Q131" s="74">
        <f>G131+ L131</f>
        <v/>
      </c>
      <c r="R131" s="74">
        <f>H131+ M131</f>
        <v/>
      </c>
      <c r="S131" s="74">
        <f>R131-Q131</f>
        <v/>
      </c>
      <c r="T131" s="75">
        <f>IF(Q131=0,"",R131/Q131)</f>
        <v/>
      </c>
      <c r="U131" s="52" t="n"/>
      <c r="V131" s="72" t="n"/>
      <c r="W131" s="72" t="n"/>
      <c r="X131" s="72">
        <f>W131-V131</f>
        <v/>
      </c>
      <c r="Y131" s="73">
        <f>IF(V131=0,"",W131/V131)</f>
        <v/>
      </c>
      <c r="Z131" s="46" t="n"/>
      <c r="AA131" s="74">
        <f>G131+ L131+ V131</f>
        <v/>
      </c>
      <c r="AB131" s="74">
        <f>H131+ M131+ W131</f>
        <v/>
      </c>
      <c r="AC131" s="74">
        <f>AB131-AA131</f>
        <v/>
      </c>
      <c r="AD131" s="75">
        <f>IF(AA131=0,"",AB131/AA131)</f>
        <v/>
      </c>
      <c r="AE131" s="52" t="n"/>
      <c r="AF131" s="72" t="n"/>
      <c r="AG131" s="72" t="n"/>
      <c r="AH131" s="72">
        <f>AG131-AF131</f>
        <v/>
      </c>
      <c r="AI131" s="73">
        <f>IF(AF131=0,"",AG131/AF131)</f>
        <v/>
      </c>
      <c r="AJ131" s="46" t="n"/>
      <c r="AK131" s="74">
        <f>G131+ L131+ V131+ AF131</f>
        <v/>
      </c>
      <c r="AL131" s="74">
        <f>H131+ M131+ W131+ AG131</f>
        <v/>
      </c>
      <c r="AM131" s="74">
        <f>AL131-AK131</f>
        <v/>
      </c>
      <c r="AN131" s="75">
        <f>IF(AK131=0,"",AL131/AK131)</f>
        <v/>
      </c>
      <c r="AO131" s="52" t="n"/>
      <c r="AP131" s="72" t="n"/>
      <c r="AQ131" s="72" t="n"/>
      <c r="AR131" s="72">
        <f>AQ131-AP131</f>
        <v/>
      </c>
      <c r="AS131" s="73">
        <f>IF(AP131=0,"",AQ131/AP131)</f>
        <v/>
      </c>
      <c r="AT131" s="46" t="n"/>
      <c r="AU131" s="74">
        <f>G131+ L131+ V131+ AF131+ AP131</f>
        <v/>
      </c>
      <c r="AV131" s="74">
        <f>H131+ M131+ W131+ AG131+ AQ131</f>
        <v/>
      </c>
      <c r="AW131" s="74">
        <f>AV131-AU131</f>
        <v/>
      </c>
      <c r="AX131" s="75">
        <f>IF(AU131=0,"",AV131/AU131)</f>
        <v/>
      </c>
      <c r="AY131" s="52" t="n"/>
      <c r="AZ131" s="72" t="n"/>
      <c r="BA131" s="72" t="n"/>
      <c r="BB131" s="72">
        <f>BA131-AZ131</f>
        <v/>
      </c>
      <c r="BC131" s="73">
        <f>IF(AZ131=0,"",BA131/AZ131)</f>
        <v/>
      </c>
      <c r="BD131" s="46" t="n"/>
      <c r="BE131" s="74">
        <f>G131+ L131+ V131+ AF131+ AP131+ AZ131</f>
        <v/>
      </c>
      <c r="BF131" s="74">
        <f>H131+ M131+ W131+ AG131+ AQ131+ BA131</f>
        <v/>
      </c>
      <c r="BG131" s="74">
        <f>BF131-BE131</f>
        <v/>
      </c>
      <c r="BH131" s="75">
        <f>IF(BE131=0,"",BF131/BE131)</f>
        <v/>
      </c>
      <c r="BI131" s="52" t="n"/>
      <c r="BJ131" s="72" t="n"/>
      <c r="BK131" s="72" t="n"/>
      <c r="BL131" s="72">
        <f>BK131-BJ131</f>
        <v/>
      </c>
      <c r="BM131" s="73">
        <f>IF(BJ131=0,"",BK131/BJ131)</f>
        <v/>
      </c>
      <c r="BN131" s="46" t="n"/>
      <c r="BO131" s="74">
        <f>G131+ L131+ V131+ AF131+ AP131+ AZ131+ BJ131</f>
        <v/>
      </c>
      <c r="BP131" s="74">
        <f>H131+ M131+ W131+ AG131+ AQ131+ BA131+ BK131</f>
        <v/>
      </c>
      <c r="BQ131" s="74">
        <f>BP131-BO131</f>
        <v/>
      </c>
      <c r="BR131" s="75">
        <f>IF(BO131=0,"",BP131/BO131)</f>
        <v/>
      </c>
      <c r="BS131" s="52" t="n"/>
      <c r="BT131" s="72" t="n"/>
      <c r="BU131" s="72" t="n"/>
      <c r="BV131" s="72">
        <f>BU131-BT131</f>
        <v/>
      </c>
      <c r="BW131" s="73">
        <f>IF(BT131=0,"",BU131/BT131)</f>
        <v/>
      </c>
      <c r="BX131" s="46" t="n"/>
      <c r="BY131" s="74">
        <f>G131+ L131+ V131+ AF131+ AP131+ AZ131+ BJ131+ BT131</f>
        <v/>
      </c>
      <c r="BZ131" s="74">
        <f>H131+ M131+ W131+ AG131+ AQ131+ BA131+ BK131+ BU131</f>
        <v/>
      </c>
      <c r="CA131" s="74">
        <f>BZ131-BY131</f>
        <v/>
      </c>
      <c r="CB131" s="75">
        <f>IF(BY131=0,"",BZ131/BY131)</f>
        <v/>
      </c>
      <c r="CC131" s="52" t="n"/>
      <c r="CD131" s="72" t="n"/>
      <c r="CE131" s="72" t="n"/>
      <c r="CF131" s="72">
        <f>CE131-CD131</f>
        <v/>
      </c>
      <c r="CG131" s="73">
        <f>IF(CD131=0,"",CE131/CD131)</f>
        <v/>
      </c>
      <c r="CH131" s="46" t="n"/>
      <c r="CI131" s="74">
        <f>G131+ L131+ V131+ AF131+ AP131+ AZ131+ BJ131+ BT131+ CD131</f>
        <v/>
      </c>
      <c r="CJ131" s="74">
        <f>H131+ M131+ W131+ AG131+ AQ131+ BA131+ BK131+ BU131+ CE131</f>
        <v/>
      </c>
      <c r="CK131" s="74">
        <f>CJ131-CI131</f>
        <v/>
      </c>
      <c r="CL131" s="75">
        <f>IF(CI131=0,"",CJ131/CI131)</f>
        <v/>
      </c>
      <c r="CM131" s="52" t="n"/>
      <c r="CN131" s="72" t="n"/>
      <c r="CO131" s="72" t="n"/>
      <c r="CP131" s="72">
        <f>CO131-CN131</f>
        <v/>
      </c>
      <c r="CQ131" s="73">
        <f>IF(CN131=0,"",CO131/CN131)</f>
        <v/>
      </c>
      <c r="CR131" s="46" t="n"/>
      <c r="CS131" s="74">
        <f>G131+ L131+ V131+ AF131+ AP131+ AZ131+ BJ131+ BT131+ CD131+ CN131</f>
        <v/>
      </c>
      <c r="CT131" s="74">
        <f>H131+ M131+ W131+ AG131+ AQ131+ BA131+ BK131+ BU131+ CE131+ CO131</f>
        <v/>
      </c>
      <c r="CU131" s="74">
        <f>CT131-CS131</f>
        <v/>
      </c>
      <c r="CV131" s="75">
        <f>IF(CS131=0,"",CT131/CS131)</f>
        <v/>
      </c>
      <c r="CW131" s="52" t="n"/>
      <c r="CX131" s="72" t="n"/>
      <c r="CY131" s="72" t="n"/>
      <c r="CZ131" s="72">
        <f>CY131-CX131</f>
        <v/>
      </c>
      <c r="DA131" s="73">
        <f>IF(CX131=0,"",CY131/CX131)</f>
        <v/>
      </c>
      <c r="DB131" s="46" t="n"/>
      <c r="DC131" s="74">
        <f>G131+ L131+ V131+ AF131+ AP131+ AZ131+ BJ131+ BT131+ CD131+ CN131+ CX131</f>
        <v/>
      </c>
      <c r="DD131" s="74">
        <f>H131+ M131+ W131+ AG131+ AQ131+ BA131+ BK131+ BU131+ CE131+ CO131+ CY131</f>
        <v/>
      </c>
      <c r="DE131" s="74">
        <f>DD131-DC131</f>
        <v/>
      </c>
      <c r="DF131" s="75">
        <f>IF(DC131=0,"",DD131/DC131)</f>
        <v/>
      </c>
      <c r="DG131" s="52" t="n"/>
      <c r="DH131" s="72" t="n"/>
      <c r="DI131" s="72" t="n"/>
      <c r="DJ131" s="72">
        <f>DI131-DH131</f>
        <v/>
      </c>
      <c r="DK131" s="73">
        <f>IF(DH131=0,"",DI131/DH131)</f>
        <v/>
      </c>
      <c r="DL131" s="46" t="n"/>
      <c r="DM131" s="74">
        <f>G131+ L131+ V131+ AF131+ AP131+ AZ131+ BJ131+ BT131+ CD131+ CN131+ CX131+ DH131</f>
        <v/>
      </c>
      <c r="DN131" s="74">
        <f>H131+ M131+ W131+ AG131+ AQ131+ BA131+ BK131+ BU131+ CE131+ CO131+ CY131+ DI131</f>
        <v/>
      </c>
      <c r="DO131" s="74">
        <f>DN131-DM131</f>
        <v/>
      </c>
      <c r="DP131" s="75">
        <f>IF(DM131=0,"",DN131/DM131)</f>
        <v/>
      </c>
      <c r="DQ131" s="52" t="n"/>
      <c r="DR131" s="72">
        <f>G131+L131+V131+AF131+AP131+AZ131+BJ131+BT131+CD131+CN131+CX131+DH131</f>
        <v/>
      </c>
    </row>
    <row r="132" ht="15" customHeight="1">
      <c r="A132" s="46" t="n"/>
      <c r="B132" s="45" t="n"/>
      <c r="C132" s="45" t="n"/>
      <c r="D132" s="46" t="n"/>
      <c r="E132" s="46" t="n"/>
      <c r="F132" s="47" t="n"/>
      <c r="G132" s="72" t="n"/>
      <c r="H132" s="72" t="n"/>
      <c r="I132" s="72">
        <f>H132-G132</f>
        <v/>
      </c>
      <c r="J132" s="73">
        <f>IF(G132=0,"",H132/G132)</f>
        <v/>
      </c>
      <c r="K132" s="46" t="n"/>
      <c r="L132" s="72" t="n"/>
      <c r="M132" s="72" t="n"/>
      <c r="N132" s="72">
        <f>M132-L132</f>
        <v/>
      </c>
      <c r="O132" s="73">
        <f>IF(L132=0,"",M132/L132)</f>
        <v/>
      </c>
      <c r="P132" s="46" t="n"/>
      <c r="Q132" s="74">
        <f>G132+ L132</f>
        <v/>
      </c>
      <c r="R132" s="74">
        <f>H132+ M132</f>
        <v/>
      </c>
      <c r="S132" s="74">
        <f>R132-Q132</f>
        <v/>
      </c>
      <c r="T132" s="75">
        <f>IF(Q132=0,"",R132/Q132)</f>
        <v/>
      </c>
      <c r="U132" s="52" t="n"/>
      <c r="V132" s="72" t="n"/>
      <c r="W132" s="72" t="n"/>
      <c r="X132" s="72">
        <f>W132-V132</f>
        <v/>
      </c>
      <c r="Y132" s="73">
        <f>IF(V132=0,"",W132/V132)</f>
        <v/>
      </c>
      <c r="Z132" s="46" t="n"/>
      <c r="AA132" s="74">
        <f>G132+ L132+ V132</f>
        <v/>
      </c>
      <c r="AB132" s="74">
        <f>H132+ M132+ W132</f>
        <v/>
      </c>
      <c r="AC132" s="74">
        <f>AB132-AA132</f>
        <v/>
      </c>
      <c r="AD132" s="75">
        <f>IF(AA132=0,"",AB132/AA132)</f>
        <v/>
      </c>
      <c r="AE132" s="52" t="n"/>
      <c r="AF132" s="72" t="n"/>
      <c r="AG132" s="72" t="n"/>
      <c r="AH132" s="72">
        <f>AG132-AF132</f>
        <v/>
      </c>
      <c r="AI132" s="73">
        <f>IF(AF132=0,"",AG132/AF132)</f>
        <v/>
      </c>
      <c r="AJ132" s="46" t="n"/>
      <c r="AK132" s="74">
        <f>G132+ L132+ V132+ AF132</f>
        <v/>
      </c>
      <c r="AL132" s="74">
        <f>H132+ M132+ W132+ AG132</f>
        <v/>
      </c>
      <c r="AM132" s="74">
        <f>AL132-AK132</f>
        <v/>
      </c>
      <c r="AN132" s="75">
        <f>IF(AK132=0,"",AL132/AK132)</f>
        <v/>
      </c>
      <c r="AO132" s="52" t="n"/>
      <c r="AP132" s="72" t="n"/>
      <c r="AQ132" s="72" t="n"/>
      <c r="AR132" s="72">
        <f>AQ132-AP132</f>
        <v/>
      </c>
      <c r="AS132" s="73">
        <f>IF(AP132=0,"",AQ132/AP132)</f>
        <v/>
      </c>
      <c r="AT132" s="46" t="n"/>
      <c r="AU132" s="74">
        <f>G132+ L132+ V132+ AF132+ AP132</f>
        <v/>
      </c>
      <c r="AV132" s="74">
        <f>H132+ M132+ W132+ AG132+ AQ132</f>
        <v/>
      </c>
      <c r="AW132" s="74">
        <f>AV132-AU132</f>
        <v/>
      </c>
      <c r="AX132" s="75">
        <f>IF(AU132=0,"",AV132/AU132)</f>
        <v/>
      </c>
      <c r="AY132" s="52" t="n"/>
      <c r="AZ132" s="72" t="n"/>
      <c r="BA132" s="72" t="n"/>
      <c r="BB132" s="72">
        <f>BA132-AZ132</f>
        <v/>
      </c>
      <c r="BC132" s="73">
        <f>IF(AZ132=0,"",BA132/AZ132)</f>
        <v/>
      </c>
      <c r="BD132" s="46" t="n"/>
      <c r="BE132" s="74">
        <f>G132+ L132+ V132+ AF132+ AP132+ AZ132</f>
        <v/>
      </c>
      <c r="BF132" s="74">
        <f>H132+ M132+ W132+ AG132+ AQ132+ BA132</f>
        <v/>
      </c>
      <c r="BG132" s="74">
        <f>BF132-BE132</f>
        <v/>
      </c>
      <c r="BH132" s="75">
        <f>IF(BE132=0,"",BF132/BE132)</f>
        <v/>
      </c>
      <c r="BI132" s="52" t="n"/>
      <c r="BJ132" s="72" t="n"/>
      <c r="BK132" s="72" t="n"/>
      <c r="BL132" s="72">
        <f>BK132-BJ132</f>
        <v/>
      </c>
      <c r="BM132" s="73">
        <f>IF(BJ132=0,"",BK132/BJ132)</f>
        <v/>
      </c>
      <c r="BN132" s="46" t="n"/>
      <c r="BO132" s="74">
        <f>G132+ L132+ V132+ AF132+ AP132+ AZ132+ BJ132</f>
        <v/>
      </c>
      <c r="BP132" s="74">
        <f>H132+ M132+ W132+ AG132+ AQ132+ BA132+ BK132</f>
        <v/>
      </c>
      <c r="BQ132" s="74">
        <f>BP132-BO132</f>
        <v/>
      </c>
      <c r="BR132" s="75">
        <f>IF(BO132=0,"",BP132/BO132)</f>
        <v/>
      </c>
      <c r="BS132" s="52" t="n"/>
      <c r="BT132" s="72" t="n"/>
      <c r="BU132" s="72" t="n"/>
      <c r="BV132" s="72">
        <f>BU132-BT132</f>
        <v/>
      </c>
      <c r="BW132" s="73">
        <f>IF(BT132=0,"",BU132/BT132)</f>
        <v/>
      </c>
      <c r="BX132" s="46" t="n"/>
      <c r="BY132" s="74">
        <f>G132+ L132+ V132+ AF132+ AP132+ AZ132+ BJ132+ BT132</f>
        <v/>
      </c>
      <c r="BZ132" s="74">
        <f>H132+ M132+ W132+ AG132+ AQ132+ BA132+ BK132+ BU132</f>
        <v/>
      </c>
      <c r="CA132" s="74">
        <f>BZ132-BY132</f>
        <v/>
      </c>
      <c r="CB132" s="75">
        <f>IF(BY132=0,"",BZ132/BY132)</f>
        <v/>
      </c>
      <c r="CC132" s="52" t="n"/>
      <c r="CD132" s="72" t="n"/>
      <c r="CE132" s="72" t="n"/>
      <c r="CF132" s="72">
        <f>CE132-CD132</f>
        <v/>
      </c>
      <c r="CG132" s="73">
        <f>IF(CD132=0,"",CE132/CD132)</f>
        <v/>
      </c>
      <c r="CH132" s="46" t="n"/>
      <c r="CI132" s="74">
        <f>G132+ L132+ V132+ AF132+ AP132+ AZ132+ BJ132+ BT132+ CD132</f>
        <v/>
      </c>
      <c r="CJ132" s="74">
        <f>H132+ M132+ W132+ AG132+ AQ132+ BA132+ BK132+ BU132+ CE132</f>
        <v/>
      </c>
      <c r="CK132" s="74">
        <f>CJ132-CI132</f>
        <v/>
      </c>
      <c r="CL132" s="75">
        <f>IF(CI132=0,"",CJ132/CI132)</f>
        <v/>
      </c>
      <c r="CM132" s="52" t="n"/>
      <c r="CN132" s="72" t="n"/>
      <c r="CO132" s="72" t="n"/>
      <c r="CP132" s="72">
        <f>CO132-CN132</f>
        <v/>
      </c>
      <c r="CQ132" s="73">
        <f>IF(CN132=0,"",CO132/CN132)</f>
        <v/>
      </c>
      <c r="CR132" s="46" t="n"/>
      <c r="CS132" s="74">
        <f>G132+ L132+ V132+ AF132+ AP132+ AZ132+ BJ132+ BT132+ CD132+ CN132</f>
        <v/>
      </c>
      <c r="CT132" s="74">
        <f>H132+ M132+ W132+ AG132+ AQ132+ BA132+ BK132+ BU132+ CE132+ CO132</f>
        <v/>
      </c>
      <c r="CU132" s="74">
        <f>CT132-CS132</f>
        <v/>
      </c>
      <c r="CV132" s="75">
        <f>IF(CS132=0,"",CT132/CS132)</f>
        <v/>
      </c>
      <c r="CW132" s="52" t="n"/>
      <c r="CX132" s="72" t="n"/>
      <c r="CY132" s="72" t="n"/>
      <c r="CZ132" s="72">
        <f>CY132-CX132</f>
        <v/>
      </c>
      <c r="DA132" s="73">
        <f>IF(CX132=0,"",CY132/CX132)</f>
        <v/>
      </c>
      <c r="DB132" s="46" t="n"/>
      <c r="DC132" s="74">
        <f>G132+ L132+ V132+ AF132+ AP132+ AZ132+ BJ132+ BT132+ CD132+ CN132+ CX132</f>
        <v/>
      </c>
      <c r="DD132" s="74">
        <f>H132+ M132+ W132+ AG132+ AQ132+ BA132+ BK132+ BU132+ CE132+ CO132+ CY132</f>
        <v/>
      </c>
      <c r="DE132" s="74">
        <f>DD132-DC132</f>
        <v/>
      </c>
      <c r="DF132" s="75">
        <f>IF(DC132=0,"",DD132/DC132)</f>
        <v/>
      </c>
      <c r="DG132" s="52" t="n"/>
      <c r="DH132" s="72" t="n"/>
      <c r="DI132" s="72" t="n"/>
      <c r="DJ132" s="72">
        <f>DI132-DH132</f>
        <v/>
      </c>
      <c r="DK132" s="73">
        <f>IF(DH132=0,"",DI132/DH132)</f>
        <v/>
      </c>
      <c r="DL132" s="46" t="n"/>
      <c r="DM132" s="74">
        <f>G132+ L132+ V132+ AF132+ AP132+ AZ132+ BJ132+ BT132+ CD132+ CN132+ CX132+ DH132</f>
        <v/>
      </c>
      <c r="DN132" s="74">
        <f>H132+ M132+ W132+ AG132+ AQ132+ BA132+ BK132+ BU132+ CE132+ CO132+ CY132+ DI132</f>
        <v/>
      </c>
      <c r="DO132" s="74">
        <f>DN132-DM132</f>
        <v/>
      </c>
      <c r="DP132" s="75">
        <f>IF(DM132=0,"",DN132/DM132)</f>
        <v/>
      </c>
      <c r="DQ132" s="52" t="n"/>
      <c r="DR132" s="72">
        <f>G132+L132+V132+AF132+AP132+AZ132+BJ132+BT132+CD132+CN132+CX132+DH132</f>
        <v/>
      </c>
    </row>
    <row r="133" ht="15" customHeight="1">
      <c r="A133" s="55" t="n"/>
      <c r="B133" s="55" t="n"/>
      <c r="C133" s="55" t="n"/>
      <c r="D133" s="46" t="n"/>
      <c r="E133" s="46" t="n"/>
      <c r="F133" s="47" t="n"/>
      <c r="G133" s="72" t="n"/>
      <c r="H133" s="72" t="n"/>
      <c r="I133" s="72">
        <f>H133-G133</f>
        <v/>
      </c>
      <c r="J133" s="73">
        <f>IF(G133=0,"",H133/G133)</f>
        <v/>
      </c>
      <c r="K133" s="46" t="n"/>
      <c r="L133" s="72" t="n"/>
      <c r="M133" s="72" t="n"/>
      <c r="N133" s="72">
        <f>M133-L133</f>
        <v/>
      </c>
      <c r="O133" s="73">
        <f>IF(L133=0,"",M133/L133)</f>
        <v/>
      </c>
      <c r="P133" s="46" t="n"/>
      <c r="Q133" s="74">
        <f>G133+ L133</f>
        <v/>
      </c>
      <c r="R133" s="74">
        <f>H133+ M133</f>
        <v/>
      </c>
      <c r="S133" s="74">
        <f>R133-Q133</f>
        <v/>
      </c>
      <c r="T133" s="75">
        <f>IF(Q133=0,"",R133/Q133)</f>
        <v/>
      </c>
      <c r="U133" s="52" t="n"/>
      <c r="V133" s="72" t="n"/>
      <c r="W133" s="72" t="n"/>
      <c r="X133" s="72">
        <f>W133-V133</f>
        <v/>
      </c>
      <c r="Y133" s="73">
        <f>IF(V133=0,"",W133/V133)</f>
        <v/>
      </c>
      <c r="Z133" s="46" t="n"/>
      <c r="AA133" s="74">
        <f>G133+ L133+ V133</f>
        <v/>
      </c>
      <c r="AB133" s="74">
        <f>H133+ M133+ W133</f>
        <v/>
      </c>
      <c r="AC133" s="74">
        <f>AB133-AA133</f>
        <v/>
      </c>
      <c r="AD133" s="75">
        <f>IF(AA133=0,"",AB133/AA133)</f>
        <v/>
      </c>
      <c r="AE133" s="52" t="n"/>
      <c r="AF133" s="72" t="n"/>
      <c r="AG133" s="72" t="n"/>
      <c r="AH133" s="72">
        <f>AG133-AF133</f>
        <v/>
      </c>
      <c r="AI133" s="73">
        <f>IF(AF133=0,"",AG133/AF133)</f>
        <v/>
      </c>
      <c r="AJ133" s="46" t="n"/>
      <c r="AK133" s="74">
        <f>G133+ L133+ V133+ AF133</f>
        <v/>
      </c>
      <c r="AL133" s="74">
        <f>H133+ M133+ W133+ AG133</f>
        <v/>
      </c>
      <c r="AM133" s="74">
        <f>AL133-AK133</f>
        <v/>
      </c>
      <c r="AN133" s="75">
        <f>IF(AK133=0,"",AL133/AK133)</f>
        <v/>
      </c>
      <c r="AO133" s="52" t="n"/>
      <c r="AP133" s="72" t="n"/>
      <c r="AQ133" s="72" t="n"/>
      <c r="AR133" s="72">
        <f>AQ133-AP133</f>
        <v/>
      </c>
      <c r="AS133" s="73">
        <f>IF(AP133=0,"",AQ133/AP133)</f>
        <v/>
      </c>
      <c r="AT133" s="46" t="n"/>
      <c r="AU133" s="74">
        <f>G133+ L133+ V133+ AF133+ AP133</f>
        <v/>
      </c>
      <c r="AV133" s="74">
        <f>H133+ M133+ W133+ AG133+ AQ133</f>
        <v/>
      </c>
      <c r="AW133" s="74">
        <f>AV133-AU133</f>
        <v/>
      </c>
      <c r="AX133" s="75">
        <f>IF(AU133=0,"",AV133/AU133)</f>
        <v/>
      </c>
      <c r="AY133" s="52" t="n"/>
      <c r="AZ133" s="72" t="n"/>
      <c r="BA133" s="72" t="n"/>
      <c r="BB133" s="72">
        <f>BA133-AZ133</f>
        <v/>
      </c>
      <c r="BC133" s="73">
        <f>IF(AZ133=0,"",BA133/AZ133)</f>
        <v/>
      </c>
      <c r="BD133" s="46" t="n"/>
      <c r="BE133" s="74">
        <f>G133+ L133+ V133+ AF133+ AP133+ AZ133</f>
        <v/>
      </c>
      <c r="BF133" s="74">
        <f>H133+ M133+ W133+ AG133+ AQ133+ BA133</f>
        <v/>
      </c>
      <c r="BG133" s="74">
        <f>BF133-BE133</f>
        <v/>
      </c>
      <c r="BH133" s="75">
        <f>IF(BE133=0,"",BF133/BE133)</f>
        <v/>
      </c>
      <c r="BI133" s="52" t="n"/>
      <c r="BJ133" s="72" t="n"/>
      <c r="BK133" s="72" t="n"/>
      <c r="BL133" s="72">
        <f>BK133-BJ133</f>
        <v/>
      </c>
      <c r="BM133" s="73">
        <f>IF(BJ133=0,"",BK133/BJ133)</f>
        <v/>
      </c>
      <c r="BN133" s="46" t="n"/>
      <c r="BO133" s="74">
        <f>G133+ L133+ V133+ AF133+ AP133+ AZ133+ BJ133</f>
        <v/>
      </c>
      <c r="BP133" s="74">
        <f>H133+ M133+ W133+ AG133+ AQ133+ BA133+ BK133</f>
        <v/>
      </c>
      <c r="BQ133" s="74">
        <f>BP133-BO133</f>
        <v/>
      </c>
      <c r="BR133" s="75">
        <f>IF(BO133=0,"",BP133/BO133)</f>
        <v/>
      </c>
      <c r="BS133" s="52" t="n"/>
      <c r="BT133" s="72" t="n"/>
      <c r="BU133" s="72" t="n"/>
      <c r="BV133" s="72">
        <f>BU133-BT133</f>
        <v/>
      </c>
      <c r="BW133" s="73">
        <f>IF(BT133=0,"",BU133/BT133)</f>
        <v/>
      </c>
      <c r="BX133" s="46" t="n"/>
      <c r="BY133" s="74">
        <f>G133+ L133+ V133+ AF133+ AP133+ AZ133+ BJ133+ BT133</f>
        <v/>
      </c>
      <c r="BZ133" s="74">
        <f>H133+ M133+ W133+ AG133+ AQ133+ BA133+ BK133+ BU133</f>
        <v/>
      </c>
      <c r="CA133" s="74">
        <f>BZ133-BY133</f>
        <v/>
      </c>
      <c r="CB133" s="75">
        <f>IF(BY133=0,"",BZ133/BY133)</f>
        <v/>
      </c>
      <c r="CC133" s="52" t="n"/>
      <c r="CD133" s="72" t="n"/>
      <c r="CE133" s="72" t="n"/>
      <c r="CF133" s="72">
        <f>CE133-CD133</f>
        <v/>
      </c>
      <c r="CG133" s="73">
        <f>IF(CD133=0,"",CE133/CD133)</f>
        <v/>
      </c>
      <c r="CH133" s="46" t="n"/>
      <c r="CI133" s="74">
        <f>G133+ L133+ V133+ AF133+ AP133+ AZ133+ BJ133+ BT133+ CD133</f>
        <v/>
      </c>
      <c r="CJ133" s="74">
        <f>H133+ M133+ W133+ AG133+ AQ133+ BA133+ BK133+ BU133+ CE133</f>
        <v/>
      </c>
      <c r="CK133" s="74">
        <f>CJ133-CI133</f>
        <v/>
      </c>
      <c r="CL133" s="75">
        <f>IF(CI133=0,"",CJ133/CI133)</f>
        <v/>
      </c>
      <c r="CM133" s="52" t="n"/>
      <c r="CN133" s="72" t="n"/>
      <c r="CO133" s="72" t="n"/>
      <c r="CP133" s="72">
        <f>CO133-CN133</f>
        <v/>
      </c>
      <c r="CQ133" s="73">
        <f>IF(CN133=0,"",CO133/CN133)</f>
        <v/>
      </c>
      <c r="CR133" s="46" t="n"/>
      <c r="CS133" s="74">
        <f>G133+ L133+ V133+ AF133+ AP133+ AZ133+ BJ133+ BT133+ CD133+ CN133</f>
        <v/>
      </c>
      <c r="CT133" s="74">
        <f>H133+ M133+ W133+ AG133+ AQ133+ BA133+ BK133+ BU133+ CE133+ CO133</f>
        <v/>
      </c>
      <c r="CU133" s="74">
        <f>CT133-CS133</f>
        <v/>
      </c>
      <c r="CV133" s="75">
        <f>IF(CS133=0,"",CT133/CS133)</f>
        <v/>
      </c>
      <c r="CW133" s="52" t="n"/>
      <c r="CX133" s="72" t="n"/>
      <c r="CY133" s="72" t="n"/>
      <c r="CZ133" s="72">
        <f>CY133-CX133</f>
        <v/>
      </c>
      <c r="DA133" s="73">
        <f>IF(CX133=0,"",CY133/CX133)</f>
        <v/>
      </c>
      <c r="DB133" s="46" t="n"/>
      <c r="DC133" s="74">
        <f>G133+ L133+ V133+ AF133+ AP133+ AZ133+ BJ133+ BT133+ CD133+ CN133+ CX133</f>
        <v/>
      </c>
      <c r="DD133" s="74">
        <f>H133+ M133+ W133+ AG133+ AQ133+ BA133+ BK133+ BU133+ CE133+ CO133+ CY133</f>
        <v/>
      </c>
      <c r="DE133" s="74">
        <f>DD133-DC133</f>
        <v/>
      </c>
      <c r="DF133" s="75">
        <f>IF(DC133=0,"",DD133/DC133)</f>
        <v/>
      </c>
      <c r="DG133" s="52" t="n"/>
      <c r="DH133" s="72" t="n"/>
      <c r="DI133" s="72" t="n"/>
      <c r="DJ133" s="72">
        <f>DI133-DH133</f>
        <v/>
      </c>
      <c r="DK133" s="73">
        <f>IF(DH133=0,"",DI133/DH133)</f>
        <v/>
      </c>
      <c r="DL133" s="46" t="n"/>
      <c r="DM133" s="74">
        <f>G133+ L133+ V133+ AF133+ AP133+ AZ133+ BJ133+ BT133+ CD133+ CN133+ CX133+ DH133</f>
        <v/>
      </c>
      <c r="DN133" s="74">
        <f>H133+ M133+ W133+ AG133+ AQ133+ BA133+ BK133+ BU133+ CE133+ CO133+ CY133+ DI133</f>
        <v/>
      </c>
      <c r="DO133" s="74">
        <f>DN133-DM133</f>
        <v/>
      </c>
      <c r="DP133" s="75">
        <f>IF(DM133=0,"",DN133/DM133)</f>
        <v/>
      </c>
      <c r="DQ133" s="52" t="n"/>
      <c r="DR133" s="72">
        <f>G133+L133+V133+AF133+AP133+AZ133+BJ133+BT133+CD133+CN133+CX133+DH133</f>
        <v/>
      </c>
    </row>
    <row r="134" ht="15" customHeight="1">
      <c r="A134" s="42" t="n"/>
      <c r="B134" s="39" t="n"/>
      <c r="C134" s="39" t="n"/>
      <c r="D134" s="39" t="n"/>
      <c r="E134" s="39" t="n"/>
      <c r="F134" s="39" t="n"/>
      <c r="G134" s="70">
        <f>SUM(G135,G136,G137,G138)</f>
        <v/>
      </c>
      <c r="H134" s="70">
        <f>SUM(H135,H136,H137,H138)</f>
        <v/>
      </c>
      <c r="I134" s="70">
        <f>H134-G134</f>
        <v/>
      </c>
      <c r="J134" s="71">
        <f>IF(G134=0,"",H134/G134)</f>
        <v/>
      </c>
      <c r="K134" s="39" t="n"/>
      <c r="L134" s="70">
        <f>SUM(L135,L136,L137,L138)</f>
        <v/>
      </c>
      <c r="M134" s="70">
        <f>SUM(M135,M136,M137,M138)</f>
        <v/>
      </c>
      <c r="N134" s="70">
        <f>M134-L134</f>
        <v/>
      </c>
      <c r="O134" s="71">
        <f>IF(L134=0,"",M134/L134)</f>
        <v/>
      </c>
      <c r="P134" s="39" t="n"/>
      <c r="Q134" s="70">
        <f>G134+ L134</f>
        <v/>
      </c>
      <c r="R134" s="70">
        <f>H134+ M134</f>
        <v/>
      </c>
      <c r="S134" s="70">
        <f>R134-Q134</f>
        <v/>
      </c>
      <c r="T134" s="71">
        <f>IF(Q134=0,"",R134/Q134)</f>
        <v/>
      </c>
      <c r="U134" s="39" t="n"/>
      <c r="V134" s="70">
        <f>SUM(V135,V136,V137,V138)</f>
        <v/>
      </c>
      <c r="W134" s="70">
        <f>SUM(W135,W136,W137,W138)</f>
        <v/>
      </c>
      <c r="X134" s="70">
        <f>W134-V134</f>
        <v/>
      </c>
      <c r="Y134" s="71">
        <f>IF(V134=0,"",W134/V134)</f>
        <v/>
      </c>
      <c r="Z134" s="39" t="n"/>
      <c r="AA134" s="70">
        <f>G134+ L134+ V134</f>
        <v/>
      </c>
      <c r="AB134" s="70">
        <f>H134+ M134+ W134</f>
        <v/>
      </c>
      <c r="AC134" s="70">
        <f>AB134-AA134</f>
        <v/>
      </c>
      <c r="AD134" s="71">
        <f>IF(AA134=0,"",AB134/AA134)</f>
        <v/>
      </c>
      <c r="AE134" s="39" t="n"/>
      <c r="AF134" s="70">
        <f>SUM(AF135,AF136,AF137,AF138)</f>
        <v/>
      </c>
      <c r="AG134" s="70">
        <f>SUM(AG135,AG136,AG137,AG138)</f>
        <v/>
      </c>
      <c r="AH134" s="70">
        <f>AG134-AF134</f>
        <v/>
      </c>
      <c r="AI134" s="71">
        <f>IF(AF134=0,"",AG134/AF134)</f>
        <v/>
      </c>
      <c r="AJ134" s="39" t="n"/>
      <c r="AK134" s="70">
        <f>G134+ L134+ V134+ AF134</f>
        <v/>
      </c>
      <c r="AL134" s="70">
        <f>H134+ M134+ W134+ AG134</f>
        <v/>
      </c>
      <c r="AM134" s="70">
        <f>AL134-AK134</f>
        <v/>
      </c>
      <c r="AN134" s="71">
        <f>IF(AK134=0,"",AL134/AK134)</f>
        <v/>
      </c>
      <c r="AO134" s="39" t="n"/>
      <c r="AP134" s="70">
        <f>SUM(AP135,AP136,AP137,AP138)</f>
        <v/>
      </c>
      <c r="AQ134" s="70">
        <f>SUM(AQ135,AQ136,AQ137,AQ138)</f>
        <v/>
      </c>
      <c r="AR134" s="70">
        <f>AQ134-AP134</f>
        <v/>
      </c>
      <c r="AS134" s="71">
        <f>IF(AP134=0,"",AQ134/AP134)</f>
        <v/>
      </c>
      <c r="AT134" s="39" t="n"/>
      <c r="AU134" s="70">
        <f>G134+ L134+ V134+ AF134+ AP134</f>
        <v/>
      </c>
      <c r="AV134" s="70">
        <f>H134+ M134+ W134+ AG134+ AQ134</f>
        <v/>
      </c>
      <c r="AW134" s="70">
        <f>AV134-AU134</f>
        <v/>
      </c>
      <c r="AX134" s="71">
        <f>IF(AU134=0,"",AV134/AU134)</f>
        <v/>
      </c>
      <c r="AY134" s="39" t="n"/>
      <c r="AZ134" s="70">
        <f>SUM(AZ135,AZ136,AZ137,AZ138)</f>
        <v/>
      </c>
      <c r="BA134" s="70">
        <f>SUM(BA135,BA136,BA137,BA138)</f>
        <v/>
      </c>
      <c r="BB134" s="70">
        <f>BA134-AZ134</f>
        <v/>
      </c>
      <c r="BC134" s="71">
        <f>IF(AZ134=0,"",BA134/AZ134)</f>
        <v/>
      </c>
      <c r="BD134" s="39" t="n"/>
      <c r="BE134" s="70">
        <f>G134+ L134+ V134+ AF134+ AP134+ AZ134</f>
        <v/>
      </c>
      <c r="BF134" s="70">
        <f>H134+ M134+ W134+ AG134+ AQ134+ BA134</f>
        <v/>
      </c>
      <c r="BG134" s="70">
        <f>BF134-BE134</f>
        <v/>
      </c>
      <c r="BH134" s="71">
        <f>IF(BE134=0,"",BF134/BE134)</f>
        <v/>
      </c>
      <c r="BI134" s="39" t="n"/>
      <c r="BJ134" s="70">
        <f>SUM(BJ135,BJ136,BJ137,BJ138)</f>
        <v/>
      </c>
      <c r="BK134" s="70">
        <f>SUM(BK135,BK136,BK137,BK138)</f>
        <v/>
      </c>
      <c r="BL134" s="70">
        <f>BK134-BJ134</f>
        <v/>
      </c>
      <c r="BM134" s="71">
        <f>IF(BJ134=0,"",BK134/BJ134)</f>
        <v/>
      </c>
      <c r="BN134" s="39" t="n"/>
      <c r="BO134" s="70">
        <f>G134+ L134+ V134+ AF134+ AP134+ AZ134+ BJ134</f>
        <v/>
      </c>
      <c r="BP134" s="70">
        <f>H134+ M134+ W134+ AG134+ AQ134+ BA134+ BK134</f>
        <v/>
      </c>
      <c r="BQ134" s="70">
        <f>BP134-BO134</f>
        <v/>
      </c>
      <c r="BR134" s="71">
        <f>IF(BO134=0,"",BP134/BO134)</f>
        <v/>
      </c>
      <c r="BS134" s="39" t="n"/>
      <c r="BT134" s="70">
        <f>SUM(BT135,BT136,BT137,BT138)</f>
        <v/>
      </c>
      <c r="BU134" s="70">
        <f>SUM(BU135,BU136,BU137,BU138)</f>
        <v/>
      </c>
      <c r="BV134" s="70">
        <f>BU134-BT134</f>
        <v/>
      </c>
      <c r="BW134" s="71">
        <f>IF(BT134=0,"",BU134/BT134)</f>
        <v/>
      </c>
      <c r="BX134" s="39" t="n"/>
      <c r="BY134" s="70">
        <f>G134+ L134+ V134+ AF134+ AP134+ AZ134+ BJ134+ BT134</f>
        <v/>
      </c>
      <c r="BZ134" s="70">
        <f>H134+ M134+ W134+ AG134+ AQ134+ BA134+ BK134+ BU134</f>
        <v/>
      </c>
      <c r="CA134" s="70">
        <f>BZ134-BY134</f>
        <v/>
      </c>
      <c r="CB134" s="71">
        <f>IF(BY134=0,"",BZ134/BY134)</f>
        <v/>
      </c>
      <c r="CC134" s="39" t="n"/>
      <c r="CD134" s="70">
        <f>SUM(CD135,CD136,CD137,CD138)</f>
        <v/>
      </c>
      <c r="CE134" s="70">
        <f>SUM(CE135,CE136,CE137,CE138)</f>
        <v/>
      </c>
      <c r="CF134" s="70">
        <f>CE134-CD134</f>
        <v/>
      </c>
      <c r="CG134" s="71">
        <f>IF(CD134=0,"",CE134/CD134)</f>
        <v/>
      </c>
      <c r="CH134" s="39" t="n"/>
      <c r="CI134" s="70">
        <f>G134+ L134+ V134+ AF134+ AP134+ AZ134+ BJ134+ BT134+ CD134</f>
        <v/>
      </c>
      <c r="CJ134" s="70">
        <f>H134+ M134+ W134+ AG134+ AQ134+ BA134+ BK134+ BU134+ CE134</f>
        <v/>
      </c>
      <c r="CK134" s="70">
        <f>CJ134-CI134</f>
        <v/>
      </c>
      <c r="CL134" s="71">
        <f>IF(CI134=0,"",CJ134/CI134)</f>
        <v/>
      </c>
      <c r="CM134" s="39" t="n"/>
      <c r="CN134" s="70">
        <f>SUM(CN135,CN136,CN137,CN138)</f>
        <v/>
      </c>
      <c r="CO134" s="70">
        <f>SUM(CO135,CO136,CO137,CO138)</f>
        <v/>
      </c>
      <c r="CP134" s="70">
        <f>CO134-CN134</f>
        <v/>
      </c>
      <c r="CQ134" s="71">
        <f>IF(CN134=0,"",CO134/CN134)</f>
        <v/>
      </c>
      <c r="CR134" s="39" t="n"/>
      <c r="CS134" s="70">
        <f>G134+ L134+ V134+ AF134+ AP134+ AZ134+ BJ134+ BT134+ CD134+ CN134</f>
        <v/>
      </c>
      <c r="CT134" s="70">
        <f>H134+ M134+ W134+ AG134+ AQ134+ BA134+ BK134+ BU134+ CE134+ CO134</f>
        <v/>
      </c>
      <c r="CU134" s="70">
        <f>CT134-CS134</f>
        <v/>
      </c>
      <c r="CV134" s="71">
        <f>IF(CS134=0,"",CT134/CS134)</f>
        <v/>
      </c>
      <c r="CW134" s="39" t="n"/>
      <c r="CX134" s="70">
        <f>SUM(CX135,CX136,CX137,CX138)</f>
        <v/>
      </c>
      <c r="CY134" s="70">
        <f>SUM(CY135,CY136,CY137,CY138)</f>
        <v/>
      </c>
      <c r="CZ134" s="70">
        <f>CY134-CX134</f>
        <v/>
      </c>
      <c r="DA134" s="71">
        <f>IF(CX134=0,"",CY134/CX134)</f>
        <v/>
      </c>
      <c r="DB134" s="39" t="n"/>
      <c r="DC134" s="70">
        <f>G134+ L134+ V134+ AF134+ AP134+ AZ134+ BJ134+ BT134+ CD134+ CN134+ CX134</f>
        <v/>
      </c>
      <c r="DD134" s="70">
        <f>H134+ M134+ W134+ AG134+ AQ134+ BA134+ BK134+ BU134+ CE134+ CO134+ CY134</f>
        <v/>
      </c>
      <c r="DE134" s="70">
        <f>DD134-DC134</f>
        <v/>
      </c>
      <c r="DF134" s="71">
        <f>IF(DC134=0,"",DD134/DC134)</f>
        <v/>
      </c>
      <c r="DG134" s="39" t="n"/>
      <c r="DH134" s="70">
        <f>SUM(DH135,DH136,DH137,DH138)</f>
        <v/>
      </c>
      <c r="DI134" s="70">
        <f>SUM(DI135,DI136,DI137,DI138)</f>
        <v/>
      </c>
      <c r="DJ134" s="70">
        <f>DI134-DH134</f>
        <v/>
      </c>
      <c r="DK134" s="71">
        <f>IF(DH134=0,"",DI134/DH134)</f>
        <v/>
      </c>
      <c r="DL134" s="39" t="n"/>
      <c r="DM134" s="70">
        <f>G134+ L134+ V134+ AF134+ AP134+ AZ134+ BJ134+ BT134+ CD134+ CN134+ CX134+ DH134</f>
        <v/>
      </c>
      <c r="DN134" s="70">
        <f>H134+ M134+ W134+ AG134+ AQ134+ BA134+ BK134+ BU134+ CE134+ CO134+ CY134+ DI134</f>
        <v/>
      </c>
      <c r="DO134" s="70">
        <f>DN134-DM134</f>
        <v/>
      </c>
      <c r="DP134" s="71">
        <f>IF(DM134=0,"",DN134/DM134)</f>
        <v/>
      </c>
      <c r="DQ134" s="39" t="n"/>
      <c r="DR134" s="70">
        <f>SUM(DR135,DR136,DR137,DR138)</f>
        <v/>
      </c>
    </row>
    <row r="135" ht="15" customHeight="1">
      <c r="A135" s="46" t="n"/>
      <c r="B135" s="45" t="n"/>
      <c r="C135" s="45" t="n"/>
      <c r="D135" s="46" t="n"/>
      <c r="E135" s="46" t="n"/>
      <c r="F135" s="47" t="n"/>
      <c r="G135" s="72" t="n"/>
      <c r="H135" s="72" t="n"/>
      <c r="I135" s="72">
        <f>H135-G135</f>
        <v/>
      </c>
      <c r="J135" s="73">
        <f>IF(G135=0,"",H135/G135)</f>
        <v/>
      </c>
      <c r="K135" s="46" t="n"/>
      <c r="L135" s="72" t="n"/>
      <c r="M135" s="72" t="n"/>
      <c r="N135" s="72">
        <f>M135-L135</f>
        <v/>
      </c>
      <c r="O135" s="73">
        <f>IF(L135=0,"",M135/L135)</f>
        <v/>
      </c>
      <c r="P135" s="46" t="n"/>
      <c r="Q135" s="74">
        <f>G135+ L135</f>
        <v/>
      </c>
      <c r="R135" s="74">
        <f>H135+ M135</f>
        <v/>
      </c>
      <c r="S135" s="74">
        <f>R135-Q135</f>
        <v/>
      </c>
      <c r="T135" s="75">
        <f>IF(Q135=0,"",R135/Q135)</f>
        <v/>
      </c>
      <c r="U135" s="52" t="n"/>
      <c r="V135" s="72" t="n"/>
      <c r="W135" s="72" t="n"/>
      <c r="X135" s="72">
        <f>W135-V135</f>
        <v/>
      </c>
      <c r="Y135" s="73">
        <f>IF(V135=0,"",W135/V135)</f>
        <v/>
      </c>
      <c r="Z135" s="46" t="n"/>
      <c r="AA135" s="74">
        <f>G135+ L135+ V135</f>
        <v/>
      </c>
      <c r="AB135" s="74">
        <f>H135+ M135+ W135</f>
        <v/>
      </c>
      <c r="AC135" s="74">
        <f>AB135-AA135</f>
        <v/>
      </c>
      <c r="AD135" s="75">
        <f>IF(AA135=0,"",AB135/AA135)</f>
        <v/>
      </c>
      <c r="AE135" s="52" t="n"/>
      <c r="AF135" s="72" t="n"/>
      <c r="AG135" s="72" t="n"/>
      <c r="AH135" s="72">
        <f>AG135-AF135</f>
        <v/>
      </c>
      <c r="AI135" s="73">
        <f>IF(AF135=0,"",AG135/AF135)</f>
        <v/>
      </c>
      <c r="AJ135" s="46" t="n"/>
      <c r="AK135" s="74">
        <f>G135+ L135+ V135+ AF135</f>
        <v/>
      </c>
      <c r="AL135" s="74">
        <f>H135+ M135+ W135+ AG135</f>
        <v/>
      </c>
      <c r="AM135" s="74">
        <f>AL135-AK135</f>
        <v/>
      </c>
      <c r="AN135" s="75">
        <f>IF(AK135=0,"",AL135/AK135)</f>
        <v/>
      </c>
      <c r="AO135" s="52" t="n"/>
      <c r="AP135" s="72" t="n"/>
      <c r="AQ135" s="72" t="n"/>
      <c r="AR135" s="72">
        <f>AQ135-AP135</f>
        <v/>
      </c>
      <c r="AS135" s="73">
        <f>IF(AP135=0,"",AQ135/AP135)</f>
        <v/>
      </c>
      <c r="AT135" s="46" t="n"/>
      <c r="AU135" s="74">
        <f>G135+ L135+ V135+ AF135+ AP135</f>
        <v/>
      </c>
      <c r="AV135" s="74">
        <f>H135+ M135+ W135+ AG135+ AQ135</f>
        <v/>
      </c>
      <c r="AW135" s="74">
        <f>AV135-AU135</f>
        <v/>
      </c>
      <c r="AX135" s="75">
        <f>IF(AU135=0,"",AV135/AU135)</f>
        <v/>
      </c>
      <c r="AY135" s="52" t="n"/>
      <c r="AZ135" s="72" t="n"/>
      <c r="BA135" s="72" t="n"/>
      <c r="BB135" s="72">
        <f>BA135-AZ135</f>
        <v/>
      </c>
      <c r="BC135" s="73">
        <f>IF(AZ135=0,"",BA135/AZ135)</f>
        <v/>
      </c>
      <c r="BD135" s="46" t="n"/>
      <c r="BE135" s="74">
        <f>G135+ L135+ V135+ AF135+ AP135+ AZ135</f>
        <v/>
      </c>
      <c r="BF135" s="74">
        <f>H135+ M135+ W135+ AG135+ AQ135+ BA135</f>
        <v/>
      </c>
      <c r="BG135" s="74">
        <f>BF135-BE135</f>
        <v/>
      </c>
      <c r="BH135" s="75">
        <f>IF(BE135=0,"",BF135/BE135)</f>
        <v/>
      </c>
      <c r="BI135" s="52" t="n"/>
      <c r="BJ135" s="72" t="n"/>
      <c r="BK135" s="72" t="n"/>
      <c r="BL135" s="72">
        <f>BK135-BJ135</f>
        <v/>
      </c>
      <c r="BM135" s="73">
        <f>IF(BJ135=0,"",BK135/BJ135)</f>
        <v/>
      </c>
      <c r="BN135" s="46" t="n"/>
      <c r="BO135" s="74">
        <f>G135+ L135+ V135+ AF135+ AP135+ AZ135+ BJ135</f>
        <v/>
      </c>
      <c r="BP135" s="74">
        <f>H135+ M135+ W135+ AG135+ AQ135+ BA135+ BK135</f>
        <v/>
      </c>
      <c r="BQ135" s="74">
        <f>BP135-BO135</f>
        <v/>
      </c>
      <c r="BR135" s="75">
        <f>IF(BO135=0,"",BP135/BO135)</f>
        <v/>
      </c>
      <c r="BS135" s="52" t="n"/>
      <c r="BT135" s="72" t="n"/>
      <c r="BU135" s="72" t="n"/>
      <c r="BV135" s="72">
        <f>BU135-BT135</f>
        <v/>
      </c>
      <c r="BW135" s="73">
        <f>IF(BT135=0,"",BU135/BT135)</f>
        <v/>
      </c>
      <c r="BX135" s="46" t="n"/>
      <c r="BY135" s="74">
        <f>G135+ L135+ V135+ AF135+ AP135+ AZ135+ BJ135+ BT135</f>
        <v/>
      </c>
      <c r="BZ135" s="74">
        <f>H135+ M135+ W135+ AG135+ AQ135+ BA135+ BK135+ BU135</f>
        <v/>
      </c>
      <c r="CA135" s="74">
        <f>BZ135-BY135</f>
        <v/>
      </c>
      <c r="CB135" s="75">
        <f>IF(BY135=0,"",BZ135/BY135)</f>
        <v/>
      </c>
      <c r="CC135" s="52" t="n"/>
      <c r="CD135" s="72" t="n"/>
      <c r="CE135" s="72" t="n"/>
      <c r="CF135" s="72">
        <f>CE135-CD135</f>
        <v/>
      </c>
      <c r="CG135" s="73">
        <f>IF(CD135=0,"",CE135/CD135)</f>
        <v/>
      </c>
      <c r="CH135" s="46" t="n"/>
      <c r="CI135" s="74">
        <f>G135+ L135+ V135+ AF135+ AP135+ AZ135+ BJ135+ BT135+ CD135</f>
        <v/>
      </c>
      <c r="CJ135" s="74">
        <f>H135+ M135+ W135+ AG135+ AQ135+ BA135+ BK135+ BU135+ CE135</f>
        <v/>
      </c>
      <c r="CK135" s="74">
        <f>CJ135-CI135</f>
        <v/>
      </c>
      <c r="CL135" s="75">
        <f>IF(CI135=0,"",CJ135/CI135)</f>
        <v/>
      </c>
      <c r="CM135" s="52" t="n"/>
      <c r="CN135" s="72" t="n"/>
      <c r="CO135" s="72" t="n"/>
      <c r="CP135" s="72">
        <f>CO135-CN135</f>
        <v/>
      </c>
      <c r="CQ135" s="73">
        <f>IF(CN135=0,"",CO135/CN135)</f>
        <v/>
      </c>
      <c r="CR135" s="46" t="n"/>
      <c r="CS135" s="74">
        <f>G135+ L135+ V135+ AF135+ AP135+ AZ135+ BJ135+ BT135+ CD135+ CN135</f>
        <v/>
      </c>
      <c r="CT135" s="74">
        <f>H135+ M135+ W135+ AG135+ AQ135+ BA135+ BK135+ BU135+ CE135+ CO135</f>
        <v/>
      </c>
      <c r="CU135" s="74">
        <f>CT135-CS135</f>
        <v/>
      </c>
      <c r="CV135" s="75">
        <f>IF(CS135=0,"",CT135/CS135)</f>
        <v/>
      </c>
      <c r="CW135" s="52" t="n"/>
      <c r="CX135" s="72" t="n"/>
      <c r="CY135" s="72" t="n"/>
      <c r="CZ135" s="72">
        <f>CY135-CX135</f>
        <v/>
      </c>
      <c r="DA135" s="73">
        <f>IF(CX135=0,"",CY135/CX135)</f>
        <v/>
      </c>
      <c r="DB135" s="46" t="n"/>
      <c r="DC135" s="74">
        <f>G135+ L135+ V135+ AF135+ AP135+ AZ135+ BJ135+ BT135+ CD135+ CN135+ CX135</f>
        <v/>
      </c>
      <c r="DD135" s="74">
        <f>H135+ M135+ W135+ AG135+ AQ135+ BA135+ BK135+ BU135+ CE135+ CO135+ CY135</f>
        <v/>
      </c>
      <c r="DE135" s="74">
        <f>DD135-DC135</f>
        <v/>
      </c>
      <c r="DF135" s="75">
        <f>IF(DC135=0,"",DD135/DC135)</f>
        <v/>
      </c>
      <c r="DG135" s="52" t="n"/>
      <c r="DH135" s="72" t="n"/>
      <c r="DI135" s="72" t="n"/>
      <c r="DJ135" s="72">
        <f>DI135-DH135</f>
        <v/>
      </c>
      <c r="DK135" s="73">
        <f>IF(DH135=0,"",DI135/DH135)</f>
        <v/>
      </c>
      <c r="DL135" s="46" t="n"/>
      <c r="DM135" s="74">
        <f>G135+ L135+ V135+ AF135+ AP135+ AZ135+ BJ135+ BT135+ CD135+ CN135+ CX135+ DH135</f>
        <v/>
      </c>
      <c r="DN135" s="74">
        <f>H135+ M135+ W135+ AG135+ AQ135+ BA135+ BK135+ BU135+ CE135+ CO135+ CY135+ DI135</f>
        <v/>
      </c>
      <c r="DO135" s="74">
        <f>DN135-DM135</f>
        <v/>
      </c>
      <c r="DP135" s="75">
        <f>IF(DM135=0,"",DN135/DM135)</f>
        <v/>
      </c>
      <c r="DQ135" s="52" t="n"/>
      <c r="DR135" s="72">
        <f>G135+L135+V135+AF135+AP135+AZ135+BJ135+BT135+CD135+CN135+CX135+DH135</f>
        <v/>
      </c>
    </row>
    <row r="136" ht="15" customHeight="1">
      <c r="A136" s="55" t="n"/>
      <c r="B136" s="55" t="n"/>
      <c r="C136" s="55" t="n"/>
      <c r="D136" s="46" t="n"/>
      <c r="E136" s="46" t="n"/>
      <c r="F136" s="47" t="n"/>
      <c r="G136" s="72" t="n"/>
      <c r="H136" s="72" t="n"/>
      <c r="I136" s="72">
        <f>H136-G136</f>
        <v/>
      </c>
      <c r="J136" s="73">
        <f>IF(G136=0,"",H136/G136)</f>
        <v/>
      </c>
      <c r="K136" s="46" t="n"/>
      <c r="L136" s="72" t="n"/>
      <c r="M136" s="72" t="n"/>
      <c r="N136" s="72">
        <f>M136-L136</f>
        <v/>
      </c>
      <c r="O136" s="73">
        <f>IF(L136=0,"",M136/L136)</f>
        <v/>
      </c>
      <c r="P136" s="46" t="n"/>
      <c r="Q136" s="74">
        <f>G136+ L136</f>
        <v/>
      </c>
      <c r="R136" s="74">
        <f>H136+ M136</f>
        <v/>
      </c>
      <c r="S136" s="74">
        <f>R136-Q136</f>
        <v/>
      </c>
      <c r="T136" s="75">
        <f>IF(Q136=0,"",R136/Q136)</f>
        <v/>
      </c>
      <c r="U136" s="52" t="n"/>
      <c r="V136" s="72" t="n"/>
      <c r="W136" s="72" t="n"/>
      <c r="X136" s="72">
        <f>W136-V136</f>
        <v/>
      </c>
      <c r="Y136" s="73">
        <f>IF(V136=0,"",W136/V136)</f>
        <v/>
      </c>
      <c r="Z136" s="46" t="n"/>
      <c r="AA136" s="74">
        <f>G136+ L136+ V136</f>
        <v/>
      </c>
      <c r="AB136" s="74">
        <f>H136+ M136+ W136</f>
        <v/>
      </c>
      <c r="AC136" s="74">
        <f>AB136-AA136</f>
        <v/>
      </c>
      <c r="AD136" s="75">
        <f>IF(AA136=0,"",AB136/AA136)</f>
        <v/>
      </c>
      <c r="AE136" s="52" t="n"/>
      <c r="AF136" s="72" t="n"/>
      <c r="AG136" s="72" t="n"/>
      <c r="AH136" s="72">
        <f>AG136-AF136</f>
        <v/>
      </c>
      <c r="AI136" s="73">
        <f>IF(AF136=0,"",AG136/AF136)</f>
        <v/>
      </c>
      <c r="AJ136" s="46" t="n"/>
      <c r="AK136" s="74">
        <f>G136+ L136+ V136+ AF136</f>
        <v/>
      </c>
      <c r="AL136" s="74">
        <f>H136+ M136+ W136+ AG136</f>
        <v/>
      </c>
      <c r="AM136" s="74">
        <f>AL136-AK136</f>
        <v/>
      </c>
      <c r="AN136" s="75">
        <f>IF(AK136=0,"",AL136/AK136)</f>
        <v/>
      </c>
      <c r="AO136" s="52" t="n"/>
      <c r="AP136" s="72" t="n"/>
      <c r="AQ136" s="72" t="n"/>
      <c r="AR136" s="72">
        <f>AQ136-AP136</f>
        <v/>
      </c>
      <c r="AS136" s="73">
        <f>IF(AP136=0,"",AQ136/AP136)</f>
        <v/>
      </c>
      <c r="AT136" s="46" t="n"/>
      <c r="AU136" s="74">
        <f>G136+ L136+ V136+ AF136+ AP136</f>
        <v/>
      </c>
      <c r="AV136" s="74">
        <f>H136+ M136+ W136+ AG136+ AQ136</f>
        <v/>
      </c>
      <c r="AW136" s="74">
        <f>AV136-AU136</f>
        <v/>
      </c>
      <c r="AX136" s="75">
        <f>IF(AU136=0,"",AV136/AU136)</f>
        <v/>
      </c>
      <c r="AY136" s="52" t="n"/>
      <c r="AZ136" s="72" t="n"/>
      <c r="BA136" s="72" t="n"/>
      <c r="BB136" s="72">
        <f>BA136-AZ136</f>
        <v/>
      </c>
      <c r="BC136" s="73">
        <f>IF(AZ136=0,"",BA136/AZ136)</f>
        <v/>
      </c>
      <c r="BD136" s="46" t="n"/>
      <c r="BE136" s="74">
        <f>G136+ L136+ V136+ AF136+ AP136+ AZ136</f>
        <v/>
      </c>
      <c r="BF136" s="74">
        <f>H136+ M136+ W136+ AG136+ AQ136+ BA136</f>
        <v/>
      </c>
      <c r="BG136" s="74">
        <f>BF136-BE136</f>
        <v/>
      </c>
      <c r="BH136" s="75">
        <f>IF(BE136=0,"",BF136/BE136)</f>
        <v/>
      </c>
      <c r="BI136" s="52" t="n"/>
      <c r="BJ136" s="72" t="n"/>
      <c r="BK136" s="72" t="n"/>
      <c r="BL136" s="72">
        <f>BK136-BJ136</f>
        <v/>
      </c>
      <c r="BM136" s="73">
        <f>IF(BJ136=0,"",BK136/BJ136)</f>
        <v/>
      </c>
      <c r="BN136" s="46" t="n"/>
      <c r="BO136" s="74">
        <f>G136+ L136+ V136+ AF136+ AP136+ AZ136+ BJ136</f>
        <v/>
      </c>
      <c r="BP136" s="74">
        <f>H136+ M136+ W136+ AG136+ AQ136+ BA136+ BK136</f>
        <v/>
      </c>
      <c r="BQ136" s="74">
        <f>BP136-BO136</f>
        <v/>
      </c>
      <c r="BR136" s="75">
        <f>IF(BO136=0,"",BP136/BO136)</f>
        <v/>
      </c>
      <c r="BS136" s="52" t="n"/>
      <c r="BT136" s="72" t="n"/>
      <c r="BU136" s="72" t="n"/>
      <c r="BV136" s="72">
        <f>BU136-BT136</f>
        <v/>
      </c>
      <c r="BW136" s="73">
        <f>IF(BT136=0,"",BU136/BT136)</f>
        <v/>
      </c>
      <c r="BX136" s="46" t="n"/>
      <c r="BY136" s="74">
        <f>G136+ L136+ V136+ AF136+ AP136+ AZ136+ BJ136+ BT136</f>
        <v/>
      </c>
      <c r="BZ136" s="74">
        <f>H136+ M136+ W136+ AG136+ AQ136+ BA136+ BK136+ BU136</f>
        <v/>
      </c>
      <c r="CA136" s="74">
        <f>BZ136-BY136</f>
        <v/>
      </c>
      <c r="CB136" s="75">
        <f>IF(BY136=0,"",BZ136/BY136)</f>
        <v/>
      </c>
      <c r="CC136" s="52" t="n"/>
      <c r="CD136" s="72" t="n"/>
      <c r="CE136" s="72" t="n"/>
      <c r="CF136" s="72">
        <f>CE136-CD136</f>
        <v/>
      </c>
      <c r="CG136" s="73">
        <f>IF(CD136=0,"",CE136/CD136)</f>
        <v/>
      </c>
      <c r="CH136" s="46" t="n"/>
      <c r="CI136" s="74">
        <f>G136+ L136+ V136+ AF136+ AP136+ AZ136+ BJ136+ BT136+ CD136</f>
        <v/>
      </c>
      <c r="CJ136" s="74">
        <f>H136+ M136+ W136+ AG136+ AQ136+ BA136+ BK136+ BU136+ CE136</f>
        <v/>
      </c>
      <c r="CK136" s="74">
        <f>CJ136-CI136</f>
        <v/>
      </c>
      <c r="CL136" s="75">
        <f>IF(CI136=0,"",CJ136/CI136)</f>
        <v/>
      </c>
      <c r="CM136" s="52" t="n"/>
      <c r="CN136" s="72" t="n"/>
      <c r="CO136" s="72" t="n"/>
      <c r="CP136" s="72">
        <f>CO136-CN136</f>
        <v/>
      </c>
      <c r="CQ136" s="73">
        <f>IF(CN136=0,"",CO136/CN136)</f>
        <v/>
      </c>
      <c r="CR136" s="46" t="n"/>
      <c r="CS136" s="74">
        <f>G136+ L136+ V136+ AF136+ AP136+ AZ136+ BJ136+ BT136+ CD136+ CN136</f>
        <v/>
      </c>
      <c r="CT136" s="74">
        <f>H136+ M136+ W136+ AG136+ AQ136+ BA136+ BK136+ BU136+ CE136+ CO136</f>
        <v/>
      </c>
      <c r="CU136" s="74">
        <f>CT136-CS136</f>
        <v/>
      </c>
      <c r="CV136" s="75">
        <f>IF(CS136=0,"",CT136/CS136)</f>
        <v/>
      </c>
      <c r="CW136" s="52" t="n"/>
      <c r="CX136" s="72" t="n"/>
      <c r="CY136" s="72" t="n"/>
      <c r="CZ136" s="72">
        <f>CY136-CX136</f>
        <v/>
      </c>
      <c r="DA136" s="73">
        <f>IF(CX136=0,"",CY136/CX136)</f>
        <v/>
      </c>
      <c r="DB136" s="46" t="n"/>
      <c r="DC136" s="74">
        <f>G136+ L136+ V136+ AF136+ AP136+ AZ136+ BJ136+ BT136+ CD136+ CN136+ CX136</f>
        <v/>
      </c>
      <c r="DD136" s="74">
        <f>H136+ M136+ W136+ AG136+ AQ136+ BA136+ BK136+ BU136+ CE136+ CO136+ CY136</f>
        <v/>
      </c>
      <c r="DE136" s="74">
        <f>DD136-DC136</f>
        <v/>
      </c>
      <c r="DF136" s="75">
        <f>IF(DC136=0,"",DD136/DC136)</f>
        <v/>
      </c>
      <c r="DG136" s="52" t="n"/>
      <c r="DH136" s="72" t="n"/>
      <c r="DI136" s="72" t="n"/>
      <c r="DJ136" s="72">
        <f>DI136-DH136</f>
        <v/>
      </c>
      <c r="DK136" s="73">
        <f>IF(DH136=0,"",DI136/DH136)</f>
        <v/>
      </c>
      <c r="DL136" s="46" t="n"/>
      <c r="DM136" s="74">
        <f>G136+ L136+ V136+ AF136+ AP136+ AZ136+ BJ136+ BT136+ CD136+ CN136+ CX136+ DH136</f>
        <v/>
      </c>
      <c r="DN136" s="74">
        <f>H136+ M136+ W136+ AG136+ AQ136+ BA136+ BK136+ BU136+ CE136+ CO136+ CY136+ DI136</f>
        <v/>
      </c>
      <c r="DO136" s="74">
        <f>DN136-DM136</f>
        <v/>
      </c>
      <c r="DP136" s="75">
        <f>IF(DM136=0,"",DN136/DM136)</f>
        <v/>
      </c>
      <c r="DQ136" s="52" t="n"/>
      <c r="DR136" s="72">
        <f>G136+L136+V136+AF136+AP136+AZ136+BJ136+BT136+CD136+CN136+CX136+DH136</f>
        <v/>
      </c>
    </row>
    <row r="137" ht="15" customHeight="1">
      <c r="A137" s="47" t="n"/>
      <c r="B137" s="45" t="n"/>
      <c r="C137" s="45" t="n"/>
      <c r="D137" s="46" t="n"/>
      <c r="E137" s="46" t="n"/>
      <c r="F137" s="47" t="n"/>
      <c r="G137" s="72" t="n"/>
      <c r="H137" s="72" t="n"/>
      <c r="I137" s="72">
        <f>H137-G137</f>
        <v/>
      </c>
      <c r="J137" s="73">
        <f>IF(G137=0,"",H137/G137)</f>
        <v/>
      </c>
      <c r="K137" s="46" t="n"/>
      <c r="L137" s="72" t="n"/>
      <c r="M137" s="72" t="n"/>
      <c r="N137" s="72">
        <f>M137-L137</f>
        <v/>
      </c>
      <c r="O137" s="73">
        <f>IF(L137=0,"",M137/L137)</f>
        <v/>
      </c>
      <c r="P137" s="46" t="n"/>
      <c r="Q137" s="74">
        <f>G137+ L137</f>
        <v/>
      </c>
      <c r="R137" s="74">
        <f>H137+ M137</f>
        <v/>
      </c>
      <c r="S137" s="74">
        <f>R137-Q137</f>
        <v/>
      </c>
      <c r="T137" s="75">
        <f>IF(Q137=0,"",R137/Q137)</f>
        <v/>
      </c>
      <c r="U137" s="52" t="n"/>
      <c r="V137" s="72" t="n"/>
      <c r="W137" s="72" t="n"/>
      <c r="X137" s="72">
        <f>W137-V137</f>
        <v/>
      </c>
      <c r="Y137" s="73">
        <f>IF(V137=0,"",W137/V137)</f>
        <v/>
      </c>
      <c r="Z137" s="46" t="n"/>
      <c r="AA137" s="74">
        <f>G137+ L137+ V137</f>
        <v/>
      </c>
      <c r="AB137" s="74">
        <f>H137+ M137+ W137</f>
        <v/>
      </c>
      <c r="AC137" s="74">
        <f>AB137-AA137</f>
        <v/>
      </c>
      <c r="AD137" s="75">
        <f>IF(AA137=0,"",AB137/AA137)</f>
        <v/>
      </c>
      <c r="AE137" s="52" t="n"/>
      <c r="AF137" s="72" t="n"/>
      <c r="AG137" s="72" t="n"/>
      <c r="AH137" s="72">
        <f>AG137-AF137</f>
        <v/>
      </c>
      <c r="AI137" s="73">
        <f>IF(AF137=0,"",AG137/AF137)</f>
        <v/>
      </c>
      <c r="AJ137" s="46" t="n"/>
      <c r="AK137" s="74">
        <f>G137+ L137+ V137+ AF137</f>
        <v/>
      </c>
      <c r="AL137" s="74">
        <f>H137+ M137+ W137+ AG137</f>
        <v/>
      </c>
      <c r="AM137" s="74">
        <f>AL137-AK137</f>
        <v/>
      </c>
      <c r="AN137" s="75">
        <f>IF(AK137=0,"",AL137/AK137)</f>
        <v/>
      </c>
      <c r="AO137" s="52" t="n"/>
      <c r="AP137" s="72" t="n"/>
      <c r="AQ137" s="72" t="n"/>
      <c r="AR137" s="72">
        <f>AQ137-AP137</f>
        <v/>
      </c>
      <c r="AS137" s="73">
        <f>IF(AP137=0,"",AQ137/AP137)</f>
        <v/>
      </c>
      <c r="AT137" s="46" t="n"/>
      <c r="AU137" s="74">
        <f>G137+ L137+ V137+ AF137+ AP137</f>
        <v/>
      </c>
      <c r="AV137" s="74">
        <f>H137+ M137+ W137+ AG137+ AQ137</f>
        <v/>
      </c>
      <c r="AW137" s="74">
        <f>AV137-AU137</f>
        <v/>
      </c>
      <c r="AX137" s="75">
        <f>IF(AU137=0,"",AV137/AU137)</f>
        <v/>
      </c>
      <c r="AY137" s="52" t="n"/>
      <c r="AZ137" s="72" t="n"/>
      <c r="BA137" s="72" t="n"/>
      <c r="BB137" s="72">
        <f>BA137-AZ137</f>
        <v/>
      </c>
      <c r="BC137" s="73">
        <f>IF(AZ137=0,"",BA137/AZ137)</f>
        <v/>
      </c>
      <c r="BD137" s="46" t="n"/>
      <c r="BE137" s="74">
        <f>G137+ L137+ V137+ AF137+ AP137+ AZ137</f>
        <v/>
      </c>
      <c r="BF137" s="74">
        <f>H137+ M137+ W137+ AG137+ AQ137+ BA137</f>
        <v/>
      </c>
      <c r="BG137" s="74">
        <f>BF137-BE137</f>
        <v/>
      </c>
      <c r="BH137" s="75">
        <f>IF(BE137=0,"",BF137/BE137)</f>
        <v/>
      </c>
      <c r="BI137" s="52" t="n"/>
      <c r="BJ137" s="72" t="n"/>
      <c r="BK137" s="72" t="n"/>
      <c r="BL137" s="72">
        <f>BK137-BJ137</f>
        <v/>
      </c>
      <c r="BM137" s="73">
        <f>IF(BJ137=0,"",BK137/BJ137)</f>
        <v/>
      </c>
      <c r="BN137" s="46" t="n"/>
      <c r="BO137" s="74">
        <f>G137+ L137+ V137+ AF137+ AP137+ AZ137+ BJ137</f>
        <v/>
      </c>
      <c r="BP137" s="74">
        <f>H137+ M137+ W137+ AG137+ AQ137+ BA137+ BK137</f>
        <v/>
      </c>
      <c r="BQ137" s="74">
        <f>BP137-BO137</f>
        <v/>
      </c>
      <c r="BR137" s="75">
        <f>IF(BO137=0,"",BP137/BO137)</f>
        <v/>
      </c>
      <c r="BS137" s="52" t="n"/>
      <c r="BT137" s="72" t="n"/>
      <c r="BU137" s="72" t="n"/>
      <c r="BV137" s="72">
        <f>BU137-BT137</f>
        <v/>
      </c>
      <c r="BW137" s="73">
        <f>IF(BT137=0,"",BU137/BT137)</f>
        <v/>
      </c>
      <c r="BX137" s="46" t="n"/>
      <c r="BY137" s="74">
        <f>G137+ L137+ V137+ AF137+ AP137+ AZ137+ BJ137+ BT137</f>
        <v/>
      </c>
      <c r="BZ137" s="74">
        <f>H137+ M137+ W137+ AG137+ AQ137+ BA137+ BK137+ BU137</f>
        <v/>
      </c>
      <c r="CA137" s="74">
        <f>BZ137-BY137</f>
        <v/>
      </c>
      <c r="CB137" s="75">
        <f>IF(BY137=0,"",BZ137/BY137)</f>
        <v/>
      </c>
      <c r="CC137" s="52" t="n"/>
      <c r="CD137" s="72" t="n"/>
      <c r="CE137" s="72" t="n"/>
      <c r="CF137" s="72">
        <f>CE137-CD137</f>
        <v/>
      </c>
      <c r="CG137" s="73">
        <f>IF(CD137=0,"",CE137/CD137)</f>
        <v/>
      </c>
      <c r="CH137" s="46" t="n"/>
      <c r="CI137" s="74">
        <f>G137+ L137+ V137+ AF137+ AP137+ AZ137+ BJ137+ BT137+ CD137</f>
        <v/>
      </c>
      <c r="CJ137" s="74">
        <f>H137+ M137+ W137+ AG137+ AQ137+ BA137+ BK137+ BU137+ CE137</f>
        <v/>
      </c>
      <c r="CK137" s="74">
        <f>CJ137-CI137</f>
        <v/>
      </c>
      <c r="CL137" s="75">
        <f>IF(CI137=0,"",CJ137/CI137)</f>
        <v/>
      </c>
      <c r="CM137" s="52" t="n"/>
      <c r="CN137" s="72" t="n"/>
      <c r="CO137" s="72" t="n"/>
      <c r="CP137" s="72">
        <f>CO137-CN137</f>
        <v/>
      </c>
      <c r="CQ137" s="73">
        <f>IF(CN137=0,"",CO137/CN137)</f>
        <v/>
      </c>
      <c r="CR137" s="46" t="n"/>
      <c r="CS137" s="74">
        <f>G137+ L137+ V137+ AF137+ AP137+ AZ137+ BJ137+ BT137+ CD137+ CN137</f>
        <v/>
      </c>
      <c r="CT137" s="74">
        <f>H137+ M137+ W137+ AG137+ AQ137+ BA137+ BK137+ BU137+ CE137+ CO137</f>
        <v/>
      </c>
      <c r="CU137" s="74">
        <f>CT137-CS137</f>
        <v/>
      </c>
      <c r="CV137" s="75">
        <f>IF(CS137=0,"",CT137/CS137)</f>
        <v/>
      </c>
      <c r="CW137" s="52" t="n"/>
      <c r="CX137" s="72" t="n"/>
      <c r="CY137" s="72" t="n"/>
      <c r="CZ137" s="72">
        <f>CY137-CX137</f>
        <v/>
      </c>
      <c r="DA137" s="73">
        <f>IF(CX137=0,"",CY137/CX137)</f>
        <v/>
      </c>
      <c r="DB137" s="46" t="n"/>
      <c r="DC137" s="74">
        <f>G137+ L137+ V137+ AF137+ AP137+ AZ137+ BJ137+ BT137+ CD137+ CN137+ CX137</f>
        <v/>
      </c>
      <c r="DD137" s="74">
        <f>H137+ M137+ W137+ AG137+ AQ137+ BA137+ BK137+ BU137+ CE137+ CO137+ CY137</f>
        <v/>
      </c>
      <c r="DE137" s="74">
        <f>DD137-DC137</f>
        <v/>
      </c>
      <c r="DF137" s="75">
        <f>IF(DC137=0,"",DD137/DC137)</f>
        <v/>
      </c>
      <c r="DG137" s="52" t="n"/>
      <c r="DH137" s="72" t="n"/>
      <c r="DI137" s="72" t="n"/>
      <c r="DJ137" s="72">
        <f>DI137-DH137</f>
        <v/>
      </c>
      <c r="DK137" s="73">
        <f>IF(DH137=0,"",DI137/DH137)</f>
        <v/>
      </c>
      <c r="DL137" s="46" t="n"/>
      <c r="DM137" s="74">
        <f>G137+ L137+ V137+ AF137+ AP137+ AZ137+ BJ137+ BT137+ CD137+ CN137+ CX137+ DH137</f>
        <v/>
      </c>
      <c r="DN137" s="74">
        <f>H137+ M137+ W137+ AG137+ AQ137+ BA137+ BK137+ BU137+ CE137+ CO137+ CY137+ DI137</f>
        <v/>
      </c>
      <c r="DO137" s="74">
        <f>DN137-DM137</f>
        <v/>
      </c>
      <c r="DP137" s="75">
        <f>IF(DM137=0,"",DN137/DM137)</f>
        <v/>
      </c>
      <c r="DQ137" s="52" t="n"/>
      <c r="DR137" s="72">
        <f>G137+L137+V137+AF137+AP137+AZ137+BJ137+BT137+CD137+CN137+CX137+DH137</f>
        <v/>
      </c>
    </row>
    <row r="138" ht="15" customHeight="1">
      <c r="A138" s="47" t="n"/>
      <c r="B138" s="45" t="n"/>
      <c r="C138" s="45" t="n"/>
      <c r="D138" s="46" t="n"/>
      <c r="E138" s="46" t="n"/>
      <c r="F138" s="47" t="n"/>
      <c r="G138" s="72" t="n"/>
      <c r="H138" s="72" t="n"/>
      <c r="I138" s="72">
        <f>H138-G138</f>
        <v/>
      </c>
      <c r="J138" s="73">
        <f>IF(G138=0,"",H138/G138)</f>
        <v/>
      </c>
      <c r="K138" s="46" t="n"/>
      <c r="L138" s="72" t="n"/>
      <c r="M138" s="72" t="n"/>
      <c r="N138" s="72">
        <f>M138-L138</f>
        <v/>
      </c>
      <c r="O138" s="73">
        <f>IF(L138=0,"",M138/L138)</f>
        <v/>
      </c>
      <c r="P138" s="46" t="n"/>
      <c r="Q138" s="74">
        <f>G138+ L138</f>
        <v/>
      </c>
      <c r="R138" s="74">
        <f>H138+ M138</f>
        <v/>
      </c>
      <c r="S138" s="74">
        <f>R138-Q138</f>
        <v/>
      </c>
      <c r="T138" s="75">
        <f>IF(Q138=0,"",R138/Q138)</f>
        <v/>
      </c>
      <c r="U138" s="52" t="n"/>
      <c r="V138" s="72" t="n"/>
      <c r="W138" s="72" t="n"/>
      <c r="X138" s="72">
        <f>W138-V138</f>
        <v/>
      </c>
      <c r="Y138" s="73">
        <f>IF(V138=0,"",W138/V138)</f>
        <v/>
      </c>
      <c r="Z138" s="46" t="n"/>
      <c r="AA138" s="74">
        <f>G138+ L138+ V138</f>
        <v/>
      </c>
      <c r="AB138" s="74">
        <f>H138+ M138+ W138</f>
        <v/>
      </c>
      <c r="AC138" s="74">
        <f>AB138-AA138</f>
        <v/>
      </c>
      <c r="AD138" s="75">
        <f>IF(AA138=0,"",AB138/AA138)</f>
        <v/>
      </c>
      <c r="AE138" s="52" t="n"/>
      <c r="AF138" s="72" t="n"/>
      <c r="AG138" s="72" t="n"/>
      <c r="AH138" s="72">
        <f>AG138-AF138</f>
        <v/>
      </c>
      <c r="AI138" s="73">
        <f>IF(AF138=0,"",AG138/AF138)</f>
        <v/>
      </c>
      <c r="AJ138" s="46" t="n"/>
      <c r="AK138" s="74">
        <f>G138+ L138+ V138+ AF138</f>
        <v/>
      </c>
      <c r="AL138" s="74">
        <f>H138+ M138+ W138+ AG138</f>
        <v/>
      </c>
      <c r="AM138" s="74">
        <f>AL138-AK138</f>
        <v/>
      </c>
      <c r="AN138" s="75">
        <f>IF(AK138=0,"",AL138/AK138)</f>
        <v/>
      </c>
      <c r="AO138" s="52" t="n"/>
      <c r="AP138" s="72" t="n"/>
      <c r="AQ138" s="72" t="n"/>
      <c r="AR138" s="72">
        <f>AQ138-AP138</f>
        <v/>
      </c>
      <c r="AS138" s="73">
        <f>IF(AP138=0,"",AQ138/AP138)</f>
        <v/>
      </c>
      <c r="AT138" s="46" t="n"/>
      <c r="AU138" s="74">
        <f>G138+ L138+ V138+ AF138+ AP138</f>
        <v/>
      </c>
      <c r="AV138" s="74">
        <f>H138+ M138+ W138+ AG138+ AQ138</f>
        <v/>
      </c>
      <c r="AW138" s="74">
        <f>AV138-AU138</f>
        <v/>
      </c>
      <c r="AX138" s="75">
        <f>IF(AU138=0,"",AV138/AU138)</f>
        <v/>
      </c>
      <c r="AY138" s="52" t="n"/>
      <c r="AZ138" s="72" t="n"/>
      <c r="BA138" s="72" t="n"/>
      <c r="BB138" s="72">
        <f>BA138-AZ138</f>
        <v/>
      </c>
      <c r="BC138" s="73">
        <f>IF(AZ138=0,"",BA138/AZ138)</f>
        <v/>
      </c>
      <c r="BD138" s="46" t="n"/>
      <c r="BE138" s="74">
        <f>G138+ L138+ V138+ AF138+ AP138+ AZ138</f>
        <v/>
      </c>
      <c r="BF138" s="74">
        <f>H138+ M138+ W138+ AG138+ AQ138+ BA138</f>
        <v/>
      </c>
      <c r="BG138" s="74">
        <f>BF138-BE138</f>
        <v/>
      </c>
      <c r="BH138" s="75">
        <f>IF(BE138=0,"",BF138/BE138)</f>
        <v/>
      </c>
      <c r="BI138" s="52" t="n"/>
      <c r="BJ138" s="72" t="n"/>
      <c r="BK138" s="72" t="n"/>
      <c r="BL138" s="72">
        <f>BK138-BJ138</f>
        <v/>
      </c>
      <c r="BM138" s="73">
        <f>IF(BJ138=0,"",BK138/BJ138)</f>
        <v/>
      </c>
      <c r="BN138" s="46" t="n"/>
      <c r="BO138" s="74">
        <f>G138+ L138+ V138+ AF138+ AP138+ AZ138+ BJ138</f>
        <v/>
      </c>
      <c r="BP138" s="74">
        <f>H138+ M138+ W138+ AG138+ AQ138+ BA138+ BK138</f>
        <v/>
      </c>
      <c r="BQ138" s="74">
        <f>BP138-BO138</f>
        <v/>
      </c>
      <c r="BR138" s="75">
        <f>IF(BO138=0,"",BP138/BO138)</f>
        <v/>
      </c>
      <c r="BS138" s="52" t="n"/>
      <c r="BT138" s="72" t="n"/>
      <c r="BU138" s="72" t="n"/>
      <c r="BV138" s="72">
        <f>BU138-BT138</f>
        <v/>
      </c>
      <c r="BW138" s="73">
        <f>IF(BT138=0,"",BU138/BT138)</f>
        <v/>
      </c>
      <c r="BX138" s="46" t="n"/>
      <c r="BY138" s="74">
        <f>G138+ L138+ V138+ AF138+ AP138+ AZ138+ BJ138+ BT138</f>
        <v/>
      </c>
      <c r="BZ138" s="74">
        <f>H138+ M138+ W138+ AG138+ AQ138+ BA138+ BK138+ BU138</f>
        <v/>
      </c>
      <c r="CA138" s="74">
        <f>BZ138-BY138</f>
        <v/>
      </c>
      <c r="CB138" s="75">
        <f>IF(BY138=0,"",BZ138/BY138)</f>
        <v/>
      </c>
      <c r="CC138" s="52" t="n"/>
      <c r="CD138" s="72" t="n"/>
      <c r="CE138" s="72" t="n"/>
      <c r="CF138" s="72">
        <f>CE138-CD138</f>
        <v/>
      </c>
      <c r="CG138" s="73">
        <f>IF(CD138=0,"",CE138/CD138)</f>
        <v/>
      </c>
      <c r="CH138" s="46" t="n"/>
      <c r="CI138" s="74">
        <f>G138+ L138+ V138+ AF138+ AP138+ AZ138+ BJ138+ BT138+ CD138</f>
        <v/>
      </c>
      <c r="CJ138" s="74">
        <f>H138+ M138+ W138+ AG138+ AQ138+ BA138+ BK138+ BU138+ CE138</f>
        <v/>
      </c>
      <c r="CK138" s="74">
        <f>CJ138-CI138</f>
        <v/>
      </c>
      <c r="CL138" s="75">
        <f>IF(CI138=0,"",CJ138/CI138)</f>
        <v/>
      </c>
      <c r="CM138" s="52" t="n"/>
      <c r="CN138" s="72" t="n"/>
      <c r="CO138" s="72" t="n"/>
      <c r="CP138" s="72">
        <f>CO138-CN138</f>
        <v/>
      </c>
      <c r="CQ138" s="73">
        <f>IF(CN138=0,"",CO138/CN138)</f>
        <v/>
      </c>
      <c r="CR138" s="46" t="n"/>
      <c r="CS138" s="74">
        <f>G138+ L138+ V138+ AF138+ AP138+ AZ138+ BJ138+ BT138+ CD138+ CN138</f>
        <v/>
      </c>
      <c r="CT138" s="74">
        <f>H138+ M138+ W138+ AG138+ AQ138+ BA138+ BK138+ BU138+ CE138+ CO138</f>
        <v/>
      </c>
      <c r="CU138" s="74">
        <f>CT138-CS138</f>
        <v/>
      </c>
      <c r="CV138" s="75">
        <f>IF(CS138=0,"",CT138/CS138)</f>
        <v/>
      </c>
      <c r="CW138" s="52" t="n"/>
      <c r="CX138" s="72" t="n"/>
      <c r="CY138" s="72" t="n"/>
      <c r="CZ138" s="72">
        <f>CY138-CX138</f>
        <v/>
      </c>
      <c r="DA138" s="73">
        <f>IF(CX138=0,"",CY138/CX138)</f>
        <v/>
      </c>
      <c r="DB138" s="46" t="n"/>
      <c r="DC138" s="74">
        <f>G138+ L138+ V138+ AF138+ AP138+ AZ138+ BJ138+ BT138+ CD138+ CN138+ CX138</f>
        <v/>
      </c>
      <c r="DD138" s="74">
        <f>H138+ M138+ W138+ AG138+ AQ138+ BA138+ BK138+ BU138+ CE138+ CO138+ CY138</f>
        <v/>
      </c>
      <c r="DE138" s="74">
        <f>DD138-DC138</f>
        <v/>
      </c>
      <c r="DF138" s="75">
        <f>IF(DC138=0,"",DD138/DC138)</f>
        <v/>
      </c>
      <c r="DG138" s="52" t="n"/>
      <c r="DH138" s="72" t="n"/>
      <c r="DI138" s="72" t="n"/>
      <c r="DJ138" s="72">
        <f>DI138-DH138</f>
        <v/>
      </c>
      <c r="DK138" s="73">
        <f>IF(DH138=0,"",DI138/DH138)</f>
        <v/>
      </c>
      <c r="DL138" s="46" t="n"/>
      <c r="DM138" s="74">
        <f>G138+ L138+ V138+ AF138+ AP138+ AZ138+ BJ138+ BT138+ CD138+ CN138+ CX138+ DH138</f>
        <v/>
      </c>
      <c r="DN138" s="74">
        <f>H138+ M138+ W138+ AG138+ AQ138+ BA138+ BK138+ BU138+ CE138+ CO138+ CY138+ DI138</f>
        <v/>
      </c>
      <c r="DO138" s="74">
        <f>DN138-DM138</f>
        <v/>
      </c>
      <c r="DP138" s="75">
        <f>IF(DM138=0,"",DN138/DM138)</f>
        <v/>
      </c>
      <c r="DQ138" s="52" t="n"/>
      <c r="DR138" s="72">
        <f>G138+L138+V138+AF138+AP138+AZ138+BJ138+BT138+CD138+CN138+CX138+DH138</f>
        <v/>
      </c>
    </row>
    <row r="139" ht="15" customHeight="1">
      <c r="A139" s="15" t="n"/>
      <c r="B139" s="12" t="n"/>
      <c r="C139" s="12" t="n"/>
      <c r="D139" s="12" t="n"/>
      <c r="E139" s="12" t="n"/>
      <c r="F139" s="12" t="n"/>
      <c r="G139" s="68">
        <f>SUM(G5,G126)</f>
        <v/>
      </c>
      <c r="H139" s="68">
        <f>SUM(H5,H126)</f>
        <v/>
      </c>
      <c r="I139" s="68">
        <f>H139-G139</f>
        <v/>
      </c>
      <c r="J139" s="69">
        <f>IF(G139=0,"",H139/G139)</f>
        <v/>
      </c>
      <c r="K139" s="12" t="n"/>
      <c r="L139" s="68">
        <f>SUM(L5,L126)</f>
        <v/>
      </c>
      <c r="M139" s="68">
        <f>SUM(M5,M126)</f>
        <v/>
      </c>
      <c r="N139" s="68">
        <f>M139-L139</f>
        <v/>
      </c>
      <c r="O139" s="69">
        <f>IF(L139=0,"",M139/L139)</f>
        <v/>
      </c>
      <c r="P139" s="12" t="n"/>
      <c r="Q139" s="68">
        <f>G139+ L139</f>
        <v/>
      </c>
      <c r="R139" s="68">
        <f>H139+ M139</f>
        <v/>
      </c>
      <c r="S139" s="68">
        <f>R139-Q139</f>
        <v/>
      </c>
      <c r="T139" s="69">
        <f>IF(Q139=0,"",R139/Q139)</f>
        <v/>
      </c>
      <c r="U139" s="12" t="n"/>
      <c r="V139" s="68">
        <f>SUM(V5,V126)</f>
        <v/>
      </c>
      <c r="W139" s="68">
        <f>SUM(W5,W126)</f>
        <v/>
      </c>
      <c r="X139" s="68">
        <f>W139-V139</f>
        <v/>
      </c>
      <c r="Y139" s="69">
        <f>IF(V139=0,"",W139/V139)</f>
        <v/>
      </c>
      <c r="Z139" s="12" t="n"/>
      <c r="AA139" s="68">
        <f>G139+ L139+ V139</f>
        <v/>
      </c>
      <c r="AB139" s="68">
        <f>H139+ M139+ W139</f>
        <v/>
      </c>
      <c r="AC139" s="68">
        <f>AB139-AA139</f>
        <v/>
      </c>
      <c r="AD139" s="69">
        <f>IF(AA139=0,"",AB139/AA139)</f>
        <v/>
      </c>
      <c r="AE139" s="12" t="n"/>
      <c r="AF139" s="68">
        <f>SUM(AF5,AF126)</f>
        <v/>
      </c>
      <c r="AG139" s="68">
        <f>SUM(AG5,AG126)</f>
        <v/>
      </c>
      <c r="AH139" s="68">
        <f>AG139-AF139</f>
        <v/>
      </c>
      <c r="AI139" s="69">
        <f>IF(AF139=0,"",AG139/AF139)</f>
        <v/>
      </c>
      <c r="AJ139" s="12" t="n"/>
      <c r="AK139" s="68">
        <f>G139+ L139+ V139+ AF139</f>
        <v/>
      </c>
      <c r="AL139" s="68">
        <f>H139+ M139+ W139+ AG139</f>
        <v/>
      </c>
      <c r="AM139" s="68">
        <f>AL139-AK139</f>
        <v/>
      </c>
      <c r="AN139" s="69">
        <f>IF(AK139=0,"",AL139/AK139)</f>
        <v/>
      </c>
      <c r="AO139" s="12" t="n"/>
      <c r="AP139" s="68">
        <f>SUM(AP5,AP126)</f>
        <v/>
      </c>
      <c r="AQ139" s="68">
        <f>SUM(AQ5,AQ126)</f>
        <v/>
      </c>
      <c r="AR139" s="68">
        <f>AQ139-AP139</f>
        <v/>
      </c>
      <c r="AS139" s="69">
        <f>IF(AP139=0,"",AQ139/AP139)</f>
        <v/>
      </c>
      <c r="AT139" s="12" t="n"/>
      <c r="AU139" s="68">
        <f>G139+ L139+ V139+ AF139+ AP139</f>
        <v/>
      </c>
      <c r="AV139" s="68">
        <f>H139+ M139+ W139+ AG139+ AQ139</f>
        <v/>
      </c>
      <c r="AW139" s="68">
        <f>AV139-AU139</f>
        <v/>
      </c>
      <c r="AX139" s="69">
        <f>IF(AU139=0,"",AV139/AU139)</f>
        <v/>
      </c>
      <c r="AY139" s="12" t="n"/>
      <c r="AZ139" s="68">
        <f>SUM(AZ5,AZ126)</f>
        <v/>
      </c>
      <c r="BA139" s="68">
        <f>SUM(BA5,BA126)</f>
        <v/>
      </c>
      <c r="BB139" s="68">
        <f>BA139-AZ139</f>
        <v/>
      </c>
      <c r="BC139" s="69">
        <f>IF(AZ139=0,"",BA139/AZ139)</f>
        <v/>
      </c>
      <c r="BD139" s="12" t="n"/>
      <c r="BE139" s="68">
        <f>G139+ L139+ V139+ AF139+ AP139+ AZ139</f>
        <v/>
      </c>
      <c r="BF139" s="68">
        <f>H139+ M139+ W139+ AG139+ AQ139+ BA139</f>
        <v/>
      </c>
      <c r="BG139" s="68">
        <f>BF139-BE139</f>
        <v/>
      </c>
      <c r="BH139" s="69">
        <f>IF(BE139=0,"",BF139/BE139)</f>
        <v/>
      </c>
      <c r="BI139" s="12" t="n"/>
      <c r="BJ139" s="68">
        <f>SUM(BJ5,BJ126)</f>
        <v/>
      </c>
      <c r="BK139" s="68">
        <f>SUM(BK5,BK126)</f>
        <v/>
      </c>
      <c r="BL139" s="68">
        <f>BK139-BJ139</f>
        <v/>
      </c>
      <c r="BM139" s="69">
        <f>IF(BJ139=0,"",BK139/BJ139)</f>
        <v/>
      </c>
      <c r="BN139" s="12" t="n"/>
      <c r="BO139" s="68">
        <f>G139+ L139+ V139+ AF139+ AP139+ AZ139+ BJ139</f>
        <v/>
      </c>
      <c r="BP139" s="68">
        <f>H139+ M139+ W139+ AG139+ AQ139+ BA139+ BK139</f>
        <v/>
      </c>
      <c r="BQ139" s="68">
        <f>BP139-BO139</f>
        <v/>
      </c>
      <c r="BR139" s="69">
        <f>IF(BO139=0,"",BP139/BO139)</f>
        <v/>
      </c>
      <c r="BS139" s="12" t="n"/>
      <c r="BT139" s="68">
        <f>SUM(BT5,BT126)</f>
        <v/>
      </c>
      <c r="BU139" s="68">
        <f>SUM(BU5,BU126)</f>
        <v/>
      </c>
      <c r="BV139" s="68">
        <f>BU139-BT139</f>
        <v/>
      </c>
      <c r="BW139" s="69">
        <f>IF(BT139=0,"",BU139/BT139)</f>
        <v/>
      </c>
      <c r="BX139" s="12" t="n"/>
      <c r="BY139" s="68">
        <f>G139+ L139+ V139+ AF139+ AP139+ AZ139+ BJ139+ BT139</f>
        <v/>
      </c>
      <c r="BZ139" s="68">
        <f>H139+ M139+ W139+ AG139+ AQ139+ BA139+ BK139+ BU139</f>
        <v/>
      </c>
      <c r="CA139" s="68">
        <f>BZ139-BY139</f>
        <v/>
      </c>
      <c r="CB139" s="69">
        <f>IF(BY139=0,"",BZ139/BY139)</f>
        <v/>
      </c>
      <c r="CC139" s="12" t="n"/>
      <c r="CD139" s="68">
        <f>SUM(CD5,CD126)</f>
        <v/>
      </c>
      <c r="CE139" s="68">
        <f>SUM(CE5,CE126)</f>
        <v/>
      </c>
      <c r="CF139" s="68">
        <f>CE139-CD139</f>
        <v/>
      </c>
      <c r="CG139" s="69">
        <f>IF(CD139=0,"",CE139/CD139)</f>
        <v/>
      </c>
      <c r="CH139" s="12" t="n"/>
      <c r="CI139" s="68">
        <f>G139+ L139+ V139+ AF139+ AP139+ AZ139+ BJ139+ BT139+ CD139</f>
        <v/>
      </c>
      <c r="CJ139" s="68">
        <f>H139+ M139+ W139+ AG139+ AQ139+ BA139+ BK139+ BU139+ CE139</f>
        <v/>
      </c>
      <c r="CK139" s="68">
        <f>CJ139-CI139</f>
        <v/>
      </c>
      <c r="CL139" s="69">
        <f>IF(CI139=0,"",CJ139/CI139)</f>
        <v/>
      </c>
      <c r="CM139" s="12" t="n"/>
      <c r="CN139" s="68">
        <f>SUM(CN5,CN126)</f>
        <v/>
      </c>
      <c r="CO139" s="68">
        <f>SUM(CO5,CO126)</f>
        <v/>
      </c>
      <c r="CP139" s="68">
        <f>CO139-CN139</f>
        <v/>
      </c>
      <c r="CQ139" s="69">
        <f>IF(CN139=0,"",CO139/CN139)</f>
        <v/>
      </c>
      <c r="CR139" s="12" t="n"/>
      <c r="CS139" s="68">
        <f>G139+ L139+ V139+ AF139+ AP139+ AZ139+ BJ139+ BT139+ CD139+ CN139</f>
        <v/>
      </c>
      <c r="CT139" s="68">
        <f>H139+ M139+ W139+ AG139+ AQ139+ BA139+ BK139+ BU139+ CE139+ CO139</f>
        <v/>
      </c>
      <c r="CU139" s="68">
        <f>CT139-CS139</f>
        <v/>
      </c>
      <c r="CV139" s="69">
        <f>IF(CS139=0,"",CT139/CS139)</f>
        <v/>
      </c>
      <c r="CW139" s="12" t="n"/>
      <c r="CX139" s="68">
        <f>SUM(CX5,CX126)</f>
        <v/>
      </c>
      <c r="CY139" s="68">
        <f>SUM(CY5,CY126)</f>
        <v/>
      </c>
      <c r="CZ139" s="68">
        <f>CY139-CX139</f>
        <v/>
      </c>
      <c r="DA139" s="69">
        <f>IF(CX139=0,"",CY139/CX139)</f>
        <v/>
      </c>
      <c r="DB139" s="12" t="n"/>
      <c r="DC139" s="68">
        <f>G139+ L139+ V139+ AF139+ AP139+ AZ139+ BJ139+ BT139+ CD139+ CN139+ CX139</f>
        <v/>
      </c>
      <c r="DD139" s="68">
        <f>H139+ M139+ W139+ AG139+ AQ139+ BA139+ BK139+ BU139+ CE139+ CO139+ CY139</f>
        <v/>
      </c>
      <c r="DE139" s="68">
        <f>DD139-DC139</f>
        <v/>
      </c>
      <c r="DF139" s="69">
        <f>IF(DC139=0,"",DD139/DC139)</f>
        <v/>
      </c>
      <c r="DG139" s="12" t="n"/>
      <c r="DH139" s="68">
        <f>SUM(DH5,DH126)</f>
        <v/>
      </c>
      <c r="DI139" s="68">
        <f>SUM(DI5,DI126)</f>
        <v/>
      </c>
      <c r="DJ139" s="68">
        <f>DI139-DH139</f>
        <v/>
      </c>
      <c r="DK139" s="69">
        <f>IF(DH139=0,"",DI139/DH139)</f>
        <v/>
      </c>
      <c r="DL139" s="12" t="n"/>
      <c r="DM139" s="68">
        <f>G139+ L139+ V139+ AF139+ AP139+ AZ139+ BJ139+ BT139+ CD139+ CN139+ CX139+ DH139</f>
        <v/>
      </c>
      <c r="DN139" s="68">
        <f>H139+ M139+ W139+ AG139+ AQ139+ BA139+ BK139+ BU139+ CE139+ CO139+ CY139+ DI139</f>
        <v/>
      </c>
      <c r="DO139" s="68">
        <f>DN139-DM139</f>
        <v/>
      </c>
      <c r="DP139" s="69">
        <f>IF(DM139=0,"",DN139/DM139)</f>
        <v/>
      </c>
      <c r="DQ139" s="12" t="n"/>
      <c r="DR139" s="68">
        <f>SUM(DR5,DR126)</f>
        <v/>
      </c>
    </row>
  </sheetData>
  <mergeCells count="123">
    <mergeCell ref="A128:A129"/>
    <mergeCell ref="BE3:BI3"/>
    <mergeCell ref="C128:C129"/>
    <mergeCell ref="Q3:U3"/>
    <mergeCell ref="A95:A99"/>
    <mergeCell ref="B50:B53"/>
    <mergeCell ref="F3:F4"/>
    <mergeCell ref="B59:B62"/>
    <mergeCell ref="B11:B14"/>
    <mergeCell ref="A79:A84"/>
    <mergeCell ref="A7:A10"/>
    <mergeCell ref="BY3:CC3"/>
    <mergeCell ref="A105:A108"/>
    <mergeCell ref="C132:C133"/>
    <mergeCell ref="CS3:CW3"/>
    <mergeCell ref="DC3:DG3"/>
    <mergeCell ref="B85:B89"/>
    <mergeCell ref="B128:B129"/>
    <mergeCell ref="B100:B104"/>
    <mergeCell ref="A15:A19"/>
    <mergeCell ref="B109:B113"/>
    <mergeCell ref="CN3:CR3"/>
    <mergeCell ref="A20:A21"/>
    <mergeCell ref="C11:C14"/>
    <mergeCell ref="C63:C65"/>
    <mergeCell ref="A22:A25"/>
    <mergeCell ref="AZ3:BD3"/>
    <mergeCell ref="BJ3:BN3"/>
    <mergeCell ref="CD3:CH3"/>
    <mergeCell ref="B7:B10"/>
    <mergeCell ref="C117:C121"/>
    <mergeCell ref="B26:B27"/>
    <mergeCell ref="B79:B84"/>
    <mergeCell ref="A36:A39"/>
    <mergeCell ref="B122:B125"/>
    <mergeCell ref="B3:B4"/>
    <mergeCell ref="CX3:DB3"/>
    <mergeCell ref="B67:B68"/>
    <mergeCell ref="AK3:AO3"/>
    <mergeCell ref="B132:B133"/>
    <mergeCell ref="B105:B108"/>
    <mergeCell ref="C22:C25"/>
    <mergeCell ref="A26:A27"/>
    <mergeCell ref="A114:A116"/>
    <mergeCell ref="B76:B78"/>
    <mergeCell ref="D3:D4"/>
    <mergeCell ref="B41:B45"/>
    <mergeCell ref="C15:C19"/>
    <mergeCell ref="B28:B31"/>
    <mergeCell ref="A32:A35"/>
    <mergeCell ref="C70:C73"/>
    <mergeCell ref="A46:A49"/>
    <mergeCell ref="C46:C49"/>
    <mergeCell ref="BO3:BS3"/>
    <mergeCell ref="C7:C10"/>
    <mergeCell ref="DR3:DR4"/>
    <mergeCell ref="C3:C4"/>
    <mergeCell ref="B117:B121"/>
    <mergeCell ref="E3:E4"/>
    <mergeCell ref="A90:A94"/>
    <mergeCell ref="A41:A45"/>
    <mergeCell ref="C41:C45"/>
    <mergeCell ref="B32:B35"/>
    <mergeCell ref="V3:Z3"/>
    <mergeCell ref="AF3:AJ3"/>
    <mergeCell ref="C90:C94"/>
    <mergeCell ref="AP3:AT3"/>
    <mergeCell ref="C20:C21"/>
    <mergeCell ref="A11:A14"/>
    <mergeCell ref="B46:B49"/>
    <mergeCell ref="A85:A89"/>
    <mergeCell ref="A63:A65"/>
    <mergeCell ref="A100:A104"/>
    <mergeCell ref="A109:A113"/>
    <mergeCell ref="DH3:DL3"/>
    <mergeCell ref="A50:A53"/>
    <mergeCell ref="B95:B99"/>
    <mergeCell ref="C50:C53"/>
    <mergeCell ref="B63:B65"/>
    <mergeCell ref="C59:C62"/>
    <mergeCell ref="A117:A121"/>
    <mergeCell ref="G3:K3"/>
    <mergeCell ref="C36:C39"/>
    <mergeCell ref="B90:B94"/>
    <mergeCell ref="B20:B21"/>
    <mergeCell ref="C32:C35"/>
    <mergeCell ref="A54:A58"/>
    <mergeCell ref="C54:C58"/>
    <mergeCell ref="B36:B39"/>
    <mergeCell ref="A122:A125"/>
    <mergeCell ref="C122:C125"/>
    <mergeCell ref="AA3:AE3"/>
    <mergeCell ref="C114:C116"/>
    <mergeCell ref="B135:B136"/>
    <mergeCell ref="C100:C104"/>
    <mergeCell ref="AU3:AY3"/>
    <mergeCell ref="C109:C113"/>
    <mergeCell ref="A28:A31"/>
    <mergeCell ref="A67:A68"/>
    <mergeCell ref="A132:A133"/>
    <mergeCell ref="B22:B25"/>
    <mergeCell ref="A70:A73"/>
    <mergeCell ref="C95:C99"/>
    <mergeCell ref="A76:A78"/>
    <mergeCell ref="C76:C78"/>
    <mergeCell ref="DM3:DQ3"/>
    <mergeCell ref="B15:B19"/>
    <mergeCell ref="C26:C27"/>
    <mergeCell ref="B114:B116"/>
    <mergeCell ref="C79:C84"/>
    <mergeCell ref="B70:B73"/>
    <mergeCell ref="L3:P3"/>
    <mergeCell ref="A3:A4"/>
    <mergeCell ref="A135:A136"/>
    <mergeCell ref="B54:B58"/>
    <mergeCell ref="C135:C136"/>
    <mergeCell ref="C67:C68"/>
    <mergeCell ref="BT3:BX3"/>
    <mergeCell ref="C105:C108"/>
    <mergeCell ref="C28:C31"/>
    <mergeCell ref="CI3:CM3"/>
    <mergeCell ref="C85:C89"/>
    <mergeCell ref="A59:A6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2026-05-07T02:07:13Z</dcterms:created>
  <dcterms:modified xsi:type="dcterms:W3CDTF">2026-05-19T06:47:14Z</dcterms:modified>
  <cp:lastModifiedBy>주혜윤(Hyeyun Ju)</cp:lastModifiedBy>
  <cp:revision>0</cp:revision>
</cp:coreProperties>
</file>