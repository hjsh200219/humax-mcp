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요약" sheetId="1" state="visible" r:id="rId1"/>
    <sheet name="팀별" sheetId="2" state="visible" r:id="rId2"/>
    <sheet name="인증대행료" sheetId="3" state="visible" r:id="rId3"/>
    <sheet name="인증대행료_유럽향 상세(260417)" sheetId="4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______DAT1">#REF!</definedName>
    <definedName name="__________DAT10">#REF!</definedName>
    <definedName name="__________DAT11">#REF!</definedName>
    <definedName name="__________DAT14">#REF!</definedName>
    <definedName name="__________DAT2">#REF!</definedName>
    <definedName name="__________DAT3">#REF!</definedName>
    <definedName name="__________DAT38">'[1]7월'!#REF!</definedName>
    <definedName name="__________DAT39">'[1]7월'!#REF!</definedName>
    <definedName name="__________DAT4">#REF!</definedName>
    <definedName name="__________DAT40">'[1]7월'!#REF!</definedName>
    <definedName name="__________DAT41">'[1]7월'!#REF!</definedName>
    <definedName name="__________DAT42">'[1]7월'!#REF!</definedName>
    <definedName name="__________DAT43">'[1]7월'!#REF!</definedName>
    <definedName name="__________DAT44">'[1]7월'!#REF!</definedName>
    <definedName name="__________DAT5">#REF!</definedName>
    <definedName name="__________DAT6">#REF!</definedName>
    <definedName name="__________DAT8">#REF!</definedName>
    <definedName name="_________P4">#REF!</definedName>
    <definedName name="________DAT1">#REF!</definedName>
    <definedName name="________DAT10">#REF!</definedName>
    <definedName name="________DAT11">#REF!</definedName>
    <definedName name="________DAT14">#REF!</definedName>
    <definedName name="________DAT2">#REF!</definedName>
    <definedName name="________DAT3">#REF!</definedName>
    <definedName name="________DAT38">'[1]7월'!#REF!</definedName>
    <definedName name="________DAT39">'[1]7월'!#REF!</definedName>
    <definedName name="________DAT4">#REF!</definedName>
    <definedName name="________DAT40">'[1]7월'!#REF!</definedName>
    <definedName name="________DAT41">'[1]7월'!#REF!</definedName>
    <definedName name="________DAT42">'[1]7월'!#REF!</definedName>
    <definedName name="________DAT43">'[1]7월'!#REF!</definedName>
    <definedName name="________DAT44">'[1]7월'!#REF!</definedName>
    <definedName name="________DAT5">#REF!</definedName>
    <definedName name="________DAT6">#REF!</definedName>
    <definedName name="________DAT8">#REF!</definedName>
    <definedName name="_______6">#REF!</definedName>
    <definedName name="_______7">#REF!</definedName>
    <definedName name="_______8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'[1]7월'!#REF!</definedName>
    <definedName name="_______DAT39">'[1]7월'!#REF!</definedName>
    <definedName name="_______DAT4">#REF!</definedName>
    <definedName name="_______DAT40">'[1]7월'!#REF!</definedName>
    <definedName name="_______DAT41">'[1]7월'!#REF!</definedName>
    <definedName name="_______DAT42">'[1]7월'!#REF!</definedName>
    <definedName name="_______DAT43">'[1]7월'!#REF!</definedName>
    <definedName name="_______DAT44">'[1]7월'!#REF!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NO98">#REF!</definedName>
    <definedName name="_______P4">#REF!</definedName>
    <definedName name="_______XX01">#REF!</definedName>
    <definedName name="_______XX02">#REF!</definedName>
    <definedName name="_______XX03">#REF!</definedName>
    <definedName name="_______XX04">#REF!</definedName>
    <definedName name="_______XX05">#REF!</definedName>
    <definedName name="_______XX06">#REF!</definedName>
    <definedName name="_______XX07">#REF!</definedName>
    <definedName name="_______xx08">#REF!</definedName>
    <definedName name="_______XX10">#REF!</definedName>
    <definedName name="_______XX11">#REF!</definedName>
    <definedName name="_______XX12">#REF!</definedName>
    <definedName name="_______XX13">#REF!</definedName>
    <definedName name="_______XX14">#REF!</definedName>
    <definedName name="_______XX20">#REF!</definedName>
    <definedName name="_______XX21">#REF!</definedName>
    <definedName name="_______XX24">#REF!</definedName>
    <definedName name="_______XX25">#REF!</definedName>
    <definedName name="_______XX26">#REF!</definedName>
    <definedName name="_______XX27">#REF!</definedName>
    <definedName name="_______XX28">#REF!</definedName>
    <definedName name="_______XX29">#REF!</definedName>
    <definedName name="_______XX30">#REF!</definedName>
    <definedName name="_______XX31">#REF!</definedName>
    <definedName name="_______XX33">#REF!</definedName>
    <definedName name="_______XX34">#REF!</definedName>
    <definedName name="_______XX35">#REF!</definedName>
    <definedName name="_______XX36">#REF!</definedName>
    <definedName name="_______XX37">#REF!</definedName>
    <definedName name="_______XX38">#REF!</definedName>
    <definedName name="_______XX39">#REF!</definedName>
    <definedName name="______10">#REF!</definedName>
    <definedName name="______11">#REF!</definedName>
    <definedName name="______6">#REF!</definedName>
    <definedName name="______7">#REF!</definedName>
    <definedName name="______8">#REF!</definedName>
    <definedName name="______9">#REF!</definedName>
    <definedName name="______C">#REF!</definedName>
    <definedName name="______DAT12">#REF!</definedName>
    <definedName name="______DAT13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7">#REF!</definedName>
    <definedName name="______DAT9">#REF!</definedName>
    <definedName name="______NO98">#REF!</definedName>
    <definedName name="______P1">#REF!</definedName>
    <definedName name="______P2">#REF!</definedName>
    <definedName name="______P3">#REF!</definedName>
    <definedName name="______P4">#REF!</definedName>
    <definedName name="______XX01">#REF!</definedName>
    <definedName name="______XX02">#REF!</definedName>
    <definedName name="______XX03">#REF!</definedName>
    <definedName name="______XX04">#REF!</definedName>
    <definedName name="______XX05">#REF!</definedName>
    <definedName name="______XX06">#REF!</definedName>
    <definedName name="______XX07">#REF!</definedName>
    <definedName name="______xx08">#REF!</definedName>
    <definedName name="______XX10">#REF!</definedName>
    <definedName name="______XX11">#REF!</definedName>
    <definedName name="______XX12">#REF!</definedName>
    <definedName name="______XX13">#REF!</definedName>
    <definedName name="______XX14">#REF!</definedName>
    <definedName name="______XX20">#REF!</definedName>
    <definedName name="______XX21">#REF!</definedName>
    <definedName name="______XX24">#REF!</definedName>
    <definedName name="______XX25">#REF!</definedName>
    <definedName name="______XX26">#REF!</definedName>
    <definedName name="______XX27">#REF!</definedName>
    <definedName name="______XX28">#REF!</definedName>
    <definedName name="______XX29">#REF!</definedName>
    <definedName name="______XX30">#REF!</definedName>
    <definedName name="______XX31">#REF!</definedName>
    <definedName name="______XX33">#REF!</definedName>
    <definedName name="______XX34">#REF!</definedName>
    <definedName name="______XX35">#REF!</definedName>
    <definedName name="______XX36">#REF!</definedName>
    <definedName name="______XX37">#REF!</definedName>
    <definedName name="______XX38">#REF!</definedName>
    <definedName name="______XX39">#REF!</definedName>
    <definedName name="_____10">#REF!</definedName>
    <definedName name="_____11">#REF!</definedName>
    <definedName name="_____6">#REF!</definedName>
    <definedName name="_____7">#REF!</definedName>
    <definedName name="_____8">#REF!</definedName>
    <definedName name="_____9">#REF!</definedName>
    <definedName name="_____C">#REF!</definedName>
    <definedName name="_____DAT12">#REF!</definedName>
    <definedName name="_____DAT13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7">#REF!</definedName>
    <definedName name="_____DAT9">#REF!</definedName>
    <definedName name="_____NO98">#REF!</definedName>
    <definedName name="_____P1">#REF!</definedName>
    <definedName name="_____P2">#REF!</definedName>
    <definedName name="_____P3">#REF!</definedName>
    <definedName name="_____XX01">#REF!</definedName>
    <definedName name="_____XX02">#REF!</definedName>
    <definedName name="_____XX03">#REF!</definedName>
    <definedName name="_____XX04">#REF!</definedName>
    <definedName name="_____XX05">#REF!</definedName>
    <definedName name="_____XX06">#REF!</definedName>
    <definedName name="_____XX07">#REF!</definedName>
    <definedName name="_____xx08">#REF!</definedName>
    <definedName name="_____XX10">#REF!</definedName>
    <definedName name="_____XX11">#REF!</definedName>
    <definedName name="_____XX12">#REF!</definedName>
    <definedName name="_____XX13">#REF!</definedName>
    <definedName name="_____XX14">#REF!</definedName>
    <definedName name="_____XX20">#REF!</definedName>
    <definedName name="_____XX21">#REF!</definedName>
    <definedName name="_____XX24">#REF!</definedName>
    <definedName name="_____XX25">#REF!</definedName>
    <definedName name="_____XX26">#REF!</definedName>
    <definedName name="_____XX27">#REF!</definedName>
    <definedName name="_____XX28">#REF!</definedName>
    <definedName name="_____XX29">#REF!</definedName>
    <definedName name="_____XX30">#REF!</definedName>
    <definedName name="_____XX31">#REF!</definedName>
    <definedName name="_____XX33">#REF!</definedName>
    <definedName name="_____XX34">#REF!</definedName>
    <definedName name="_____XX35">#REF!</definedName>
    <definedName name="_____XX36">#REF!</definedName>
    <definedName name="_____XX37">#REF!</definedName>
    <definedName name="_____XX38">#REF!</definedName>
    <definedName name="_____XX39">#REF!</definedName>
    <definedName name="____10">#REF!</definedName>
    <definedName name="____11">#REF!</definedName>
    <definedName name="____6">#REF!</definedName>
    <definedName name="____7">#REF!</definedName>
    <definedName name="____8">#REF!</definedName>
    <definedName name="____9">#REF!</definedName>
    <definedName name="____C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'[1]7월'!#REF!</definedName>
    <definedName name="____DAT39">'[1]7월'!#REF!</definedName>
    <definedName name="____DAT4">#REF!</definedName>
    <definedName name="____DAT40">'[1]7월'!#REF!</definedName>
    <definedName name="____DAT41">'[1]7월'!#REF!</definedName>
    <definedName name="____DAT42">'[1]7월'!#REF!</definedName>
    <definedName name="____DAT43">'[1]7월'!#REF!</definedName>
    <definedName name="____DAT44">'[1]7월'!#REF!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NO98">#REF!</definedName>
    <definedName name="____P1">#REF!</definedName>
    <definedName name="____P2">#REF!</definedName>
    <definedName name="____P3">#REF!</definedName>
    <definedName name="____XX01">#REF!</definedName>
    <definedName name="____XX02">#REF!</definedName>
    <definedName name="____XX03">#REF!</definedName>
    <definedName name="____XX04">#REF!</definedName>
    <definedName name="____XX05">#REF!</definedName>
    <definedName name="____XX06">#REF!</definedName>
    <definedName name="____XX07">#REF!</definedName>
    <definedName name="____xx08">#REF!</definedName>
    <definedName name="____XX10">#REF!</definedName>
    <definedName name="____XX11">#REF!</definedName>
    <definedName name="____XX12">#REF!</definedName>
    <definedName name="____XX13">#REF!</definedName>
    <definedName name="____XX14">#REF!</definedName>
    <definedName name="____XX20">#REF!</definedName>
    <definedName name="____XX21">#REF!</definedName>
    <definedName name="____XX24">#REF!</definedName>
    <definedName name="____XX25">#REF!</definedName>
    <definedName name="____XX26">#REF!</definedName>
    <definedName name="____XX27">#REF!</definedName>
    <definedName name="____XX28">#REF!</definedName>
    <definedName name="____XX29">#REF!</definedName>
    <definedName name="____XX30">#REF!</definedName>
    <definedName name="____XX31">#REF!</definedName>
    <definedName name="____XX33">#REF!</definedName>
    <definedName name="____XX34">#REF!</definedName>
    <definedName name="____XX35">#REF!</definedName>
    <definedName name="____XX36">#REF!</definedName>
    <definedName name="____XX37">#REF!</definedName>
    <definedName name="____XX38">#REF!</definedName>
    <definedName name="____XX39">#REF!</definedName>
    <definedName name="___10">#REF!</definedName>
    <definedName name="___11">#REF!</definedName>
    <definedName name="___6">#REF!</definedName>
    <definedName name="___7">#REF!</definedName>
    <definedName name="___8">#REF!</definedName>
    <definedName name="___9">#REF!</definedName>
    <definedName name="___C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'[1]7월'!#REF!</definedName>
    <definedName name="___DAT39">'[1]7월'!#REF!</definedName>
    <definedName name="___DAT4">#REF!</definedName>
    <definedName name="___DAT40">'[1]7월'!#REF!</definedName>
    <definedName name="___DAT41">'[1]7월'!#REF!</definedName>
    <definedName name="___DAT42">'[1]7월'!#REF!</definedName>
    <definedName name="___DAT43">'[1]7월'!#REF!</definedName>
    <definedName name="___DAT44">'[1]7월'!#REF!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NO98">#REF!</definedName>
    <definedName name="___P1">#REF!</definedName>
    <definedName name="___P2">#REF!</definedName>
    <definedName name="___P3">#REF!</definedName>
    <definedName name="___P4">#REF!</definedName>
    <definedName name="___XX01">#REF!</definedName>
    <definedName name="___XX02">#REF!</definedName>
    <definedName name="___XX03">#REF!</definedName>
    <definedName name="___XX04">#REF!</definedName>
    <definedName name="___XX05">#REF!</definedName>
    <definedName name="___XX06">#REF!</definedName>
    <definedName name="___XX07">#REF!</definedName>
    <definedName name="___xx08">#REF!</definedName>
    <definedName name="___XX10">#REF!</definedName>
    <definedName name="___XX11">#REF!</definedName>
    <definedName name="___XX12">#REF!</definedName>
    <definedName name="___XX13">#REF!</definedName>
    <definedName name="___XX14">#REF!</definedName>
    <definedName name="___XX20">#REF!</definedName>
    <definedName name="___XX21">#REF!</definedName>
    <definedName name="___XX24">#REF!</definedName>
    <definedName name="___XX25">#REF!</definedName>
    <definedName name="___XX26">#REF!</definedName>
    <definedName name="___XX27">#REF!</definedName>
    <definedName name="___XX28">#REF!</definedName>
    <definedName name="___XX29">#REF!</definedName>
    <definedName name="___XX30">#REF!</definedName>
    <definedName name="___XX31">#REF!</definedName>
    <definedName name="___XX33">#REF!</definedName>
    <definedName name="___XX34">#REF!</definedName>
    <definedName name="___XX35">#REF!</definedName>
    <definedName name="___XX36">#REF!</definedName>
    <definedName name="___XX37">#REF!</definedName>
    <definedName name="___XX38">#REF!</definedName>
    <definedName name="___XX39">#REF!</definedName>
    <definedName name="__10">#REF!</definedName>
    <definedName name="__11">#REF!</definedName>
    <definedName name="__123Graph_A" hidden="1">[2]목표세부명세!#REF!</definedName>
    <definedName name="__123Graph_B" hidden="1">[2]목표세부명세!#REF!</definedName>
    <definedName name="__6">#REF!</definedName>
    <definedName name="__7">#REF!</definedName>
    <definedName name="__8">#REF!</definedName>
    <definedName name="__9">#REF!</definedName>
    <definedName name="__C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'[1]7월'!#REF!</definedName>
    <definedName name="__DAT39">'[1]7월'!#REF!</definedName>
    <definedName name="__DAT4">#REF!</definedName>
    <definedName name="__DAT40">'[1]7월'!#REF!</definedName>
    <definedName name="__DAT41">'[1]7월'!#REF!</definedName>
    <definedName name="__DAT42">'[1]7월'!#REF!</definedName>
    <definedName name="__DAT43">'[1]7월'!#REF!</definedName>
    <definedName name="__DAT44">'[1]7월'!#REF!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NO98">#REF!</definedName>
    <definedName name="__P1">#REF!</definedName>
    <definedName name="__P2">#REF!</definedName>
    <definedName name="__P3">#REF!</definedName>
    <definedName name="__P4">#REF!</definedName>
    <definedName name="__XX01">#REF!</definedName>
    <definedName name="__XX02">#REF!</definedName>
    <definedName name="__XX03">#REF!</definedName>
    <definedName name="__XX04">#REF!</definedName>
    <definedName name="__XX05">#REF!</definedName>
    <definedName name="__XX06">#REF!</definedName>
    <definedName name="__XX07">#REF!</definedName>
    <definedName name="__xx08">#REF!</definedName>
    <definedName name="__XX10">#REF!</definedName>
    <definedName name="__XX11">#REF!</definedName>
    <definedName name="__XX12">#REF!</definedName>
    <definedName name="__XX13">#REF!</definedName>
    <definedName name="__XX14">#REF!</definedName>
    <definedName name="__XX20">#REF!</definedName>
    <definedName name="__XX21">#REF!</definedName>
    <definedName name="__XX24">#REF!</definedName>
    <definedName name="__XX25">#REF!</definedName>
    <definedName name="__XX26">#REF!</definedName>
    <definedName name="__XX27">#REF!</definedName>
    <definedName name="__XX28">#REF!</definedName>
    <definedName name="__XX29">#REF!</definedName>
    <definedName name="__XX30">#REF!</definedName>
    <definedName name="__XX31">#REF!</definedName>
    <definedName name="__XX33">#REF!</definedName>
    <definedName name="__XX34">#REF!</definedName>
    <definedName name="__XX35">#REF!</definedName>
    <definedName name="__XX36">#REF!</definedName>
    <definedName name="__XX37">#REF!</definedName>
    <definedName name="__XX38">#REF!</definedName>
    <definedName name="__XX39">#REF!</definedName>
    <definedName name="_1">#N/A</definedName>
    <definedName name="_1.매출채권">#REF!</definedName>
    <definedName name="_10">#REF!</definedName>
    <definedName name="_10P1_">#REF!</definedName>
    <definedName name="_10P2_">#REF!</definedName>
    <definedName name="_11">#REF!</definedName>
    <definedName name="_11P3_">#REF!</definedName>
    <definedName name="_12P2_">#REF!</definedName>
    <definedName name="_14P3_">#REF!</definedName>
    <definedName name="_15P4_">#REF!</definedName>
    <definedName name="_16P4_">#REF!</definedName>
    <definedName name="_1C_">#REF!</definedName>
    <definedName name="_2">#N/A</definedName>
    <definedName name="_2_10">#REF!</definedName>
    <definedName name="_3">#N/A</definedName>
    <definedName name="_3_11">#REF!</definedName>
    <definedName name="_4">#REF!</definedName>
    <definedName name="_4_6">#REF!</definedName>
    <definedName name="_5">#REF!</definedName>
    <definedName name="_5_7">#REF!</definedName>
    <definedName name="_6">#REF!</definedName>
    <definedName name="_6_8">#REF!</definedName>
    <definedName name="_7">#N/A</definedName>
    <definedName name="_7_9">#REF!</definedName>
    <definedName name="_8">#REF!</definedName>
    <definedName name="_8C_">#REF!</definedName>
    <definedName name="_9">#REF!</definedName>
    <definedName name="_9P1_">#REF!</definedName>
    <definedName name="_C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'[3]7월'!#REF!</definedName>
    <definedName name="_DAT39">'[3]7월'!#REF!</definedName>
    <definedName name="_DAT4">#REF!</definedName>
    <definedName name="_DAT40">'[3]7월'!#REF!</definedName>
    <definedName name="_DAT41">'[3]7월'!#REF!</definedName>
    <definedName name="_DAT42">'[3]7월'!#REF!</definedName>
    <definedName name="_DAT43">'[3]7월'!#REF!</definedName>
    <definedName name="_DAT44">'[3]7월'!#REF!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Key1" hidden="1">[4]설계내역서!#REF!</definedName>
    <definedName name="_Key2" hidden="1">[4]설계내역서!$C$21</definedName>
    <definedName name="_NO98">#REF!</definedName>
    <definedName name="_Order1" hidden="1">255</definedName>
    <definedName name="_Order2" hidden="1">255</definedName>
    <definedName name="_P1">#REF!</definedName>
    <definedName name="_P2">#REF!</definedName>
    <definedName name="_P3">#REF!</definedName>
    <definedName name="_P4">#REF!</definedName>
    <definedName name="_Sort" hidden="1">[4]설계내역서!$A$21:$S$1630</definedName>
    <definedName name="_XX01">#REF!</definedName>
    <definedName name="_XX02">#REF!</definedName>
    <definedName name="_XX03">#REF!</definedName>
    <definedName name="_XX04">#REF!</definedName>
    <definedName name="_XX05">#REF!</definedName>
    <definedName name="_XX06">#REF!</definedName>
    <definedName name="_XX07">#REF!</definedName>
    <definedName name="_xx08">#REF!</definedName>
    <definedName name="_XX10">#REF!</definedName>
    <definedName name="_XX11">#REF!</definedName>
    <definedName name="_XX12">#REF!</definedName>
    <definedName name="_XX13">#REF!</definedName>
    <definedName name="_XX14">#REF!</definedName>
    <definedName name="_XX20">#REF!</definedName>
    <definedName name="_XX21">#REF!</definedName>
    <definedName name="_XX24">#REF!</definedName>
    <definedName name="_XX25">#REF!</definedName>
    <definedName name="_XX26">#REF!</definedName>
    <definedName name="_XX27">#REF!</definedName>
    <definedName name="_XX28">#REF!</definedName>
    <definedName name="_XX29">#REF!</definedName>
    <definedName name="_XX30">#REF!</definedName>
    <definedName name="_XX31">#REF!</definedName>
    <definedName name="_XX33">#REF!</definedName>
    <definedName name="_XX34">#REF!</definedName>
    <definedName name="_XX35">#REF!</definedName>
    <definedName name="_XX36">#REF!</definedName>
    <definedName name="_XX37">#REF!</definedName>
    <definedName name="_XX38">#REF!</definedName>
    <definedName name="_XX39">#REF!</definedName>
    <definedName name="\a">#N/A</definedName>
    <definedName name="\C">#REF!</definedName>
    <definedName name="\m">#N/A</definedName>
    <definedName name="\p">[5]부대공Ⅱ!#REF!</definedName>
    <definedName name="\q">#REF!</definedName>
    <definedName name="\S">#REF!</definedName>
    <definedName name="\z">#N/A</definedName>
    <definedName name="A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b">#REF!</definedName>
    <definedName name="as">#REF!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삼">#REF!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c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xlnm.Database">#REF!</definedName>
    <definedName name="date">[6]감가상각!$B$68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OGUB">#REF!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">#REF!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ile">[6]감가상각!$B$67</definedName>
    <definedName name="file1">[7]감가상각!$B$58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ormat">[8]투자예상실적!#REF!</definedName>
    <definedName name="G">'[9] 견적서'!#REF!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gg">#REF!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eader">#REF!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h">#REF!</definedName>
    <definedName name="hh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ii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"10/30/2019 01:56:35"</definedName>
    <definedName name="IQ_QTD" hidden="1">750000</definedName>
    <definedName name="IQ_TODAY" hidden="1">0</definedName>
    <definedName name="IQ_YTDMONTH" hidden="1">130000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k">#REF!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O">#REF!</definedName>
    <definedName name="opt">#REF!</definedName>
    <definedName name="plep">#REF!</definedName>
    <definedName name="PRINT_AREA_MI">[10]특외대!#REF!</definedName>
    <definedName name="Print_Titles_MI">[11]RE9604!$1:$6,[11]RE9604!$A:$C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awData">#REF!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">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">#REF!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정코드">[12]계정code!$A$2:$C$674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자산_종업원채권_Y_List">#REF!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년간예산">#REF!</definedName>
    <definedName name="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나라">[13]Sheet1!$Z$24:$Z$112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달나라">[13]Sheet1!$I$24:$I$112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조">[14]통장출금액!$A$192:$P$351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데이타">[13]Sheet1!$Q$24:$Q$112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[15]감가상각!$B$68</definedName>
    <definedName name="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">#REF!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요약">'[16]1. 제품별 수익성'!#REF!</definedName>
    <definedName name="분양">#REF!</definedName>
    <definedName name="비고">#REF!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집통지서">#REF!</definedName>
    <definedName name="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">[15]감가상각!$B$68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">[17]감가상각!$B$58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지부문">'[18]1'!$O:$P,'[18]1'!#REF!,'[18]1'!#REF!,'[18]1'!$J:$J,'[18]1'!#REF!,'[18]1'!#REF!,'[18]1'!#REF!,'[18]1'!$R:$R</definedName>
    <definedName name="순천_연향_1차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ㅎ" hidden="1">#REF!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업">#REF!</definedName>
    <definedName name="영업1">#REF!</definedName>
    <definedName name="영업2">#REF!</definedName>
    <definedName name="영역">#REF!</definedName>
    <definedName name="예">#REF!</definedName>
    <definedName name="예산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쇄영역">[19]첨부1!$B$1:$F$18,[19]첨부1!#REF!,[19]첨부1!#REF!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">#REF!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시">[20]첨부1!$B$1:$F$18,[20]첨부1!#REF!,[20]첨부1!#REF!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잔존가율">#REF!</definedName>
    <definedName name="전월실적누계">#REF!</definedName>
    <definedName name="전월예산누계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택매출">#REF!</definedName>
    <definedName name="주택원가">#REF!</definedName>
    <definedName name="주택최종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1055">#REF!</definedName>
    <definedName name="차입">#REF!</definedName>
    <definedName name="차입금리">#REF!</definedName>
    <definedName name="차입금월data">[21]특외대!#REF!</definedName>
    <definedName name="차입월">[21]특외대!#REF!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고2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칷__?____?">#REF!</definedName>
    <definedName name="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법규">[22]하수급견적대비!$A$2:$M$224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식대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[2]목표세부명세!#REF!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24">'[23]신공항A-9(원가수정)'!$AB$7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DAT1" localSheetId="3">#REF!</definedName>
    <definedName name="__________DAT10" localSheetId="3">#REF!</definedName>
    <definedName name="__________DAT11" localSheetId="3">#REF!</definedName>
    <definedName name="__________DAT14" localSheetId="3">#REF!</definedName>
    <definedName name="__________DAT2" localSheetId="3">#REF!</definedName>
    <definedName name="__________DAT3" localSheetId="3">#REF!</definedName>
    <definedName name="__________DAT38" localSheetId="3">'[1]7월'!#REF!</definedName>
    <definedName name="__________DAT39" localSheetId="3">'[1]7월'!#REF!</definedName>
    <definedName name="__________DAT4" localSheetId="3">#REF!</definedName>
    <definedName name="__________DAT40" localSheetId="3">'[1]7월'!#REF!</definedName>
    <definedName name="__________DAT41" localSheetId="3">'[1]7월'!#REF!</definedName>
    <definedName name="__________DAT42" localSheetId="3">'[1]7월'!#REF!</definedName>
    <definedName name="__________DAT43" localSheetId="3">'[1]7월'!#REF!</definedName>
    <definedName name="__________DAT44" localSheetId="3">'[1]7월'!#REF!</definedName>
    <definedName name="__________DAT5" localSheetId="3">#REF!</definedName>
    <definedName name="__________DAT6" localSheetId="3">#REF!</definedName>
    <definedName name="__________DAT8" localSheetId="3">#REF!</definedName>
    <definedName name="_________P4" localSheetId="3">#REF!</definedName>
    <definedName name="________DAT1" localSheetId="3">#REF!</definedName>
    <definedName name="________DAT10" localSheetId="3">#REF!</definedName>
    <definedName name="________DAT11" localSheetId="3">#REF!</definedName>
    <definedName name="________DAT14" localSheetId="3">#REF!</definedName>
    <definedName name="________DAT2" localSheetId="3">#REF!</definedName>
    <definedName name="________DAT3" localSheetId="3">#REF!</definedName>
    <definedName name="________DAT38" localSheetId="3">'[1]7월'!#REF!</definedName>
    <definedName name="________DAT39" localSheetId="3">'[1]7월'!#REF!</definedName>
    <definedName name="________DAT4" localSheetId="3">#REF!</definedName>
    <definedName name="________DAT40" localSheetId="3">'[1]7월'!#REF!</definedName>
    <definedName name="________DAT41" localSheetId="3">'[1]7월'!#REF!</definedName>
    <definedName name="________DAT42" localSheetId="3">'[1]7월'!#REF!</definedName>
    <definedName name="________DAT43" localSheetId="3">'[1]7월'!#REF!</definedName>
    <definedName name="________DAT44" localSheetId="3">'[1]7월'!#REF!</definedName>
    <definedName name="________DAT5" localSheetId="3">#REF!</definedName>
    <definedName name="________DAT6" localSheetId="3">#REF!</definedName>
    <definedName name="________DAT8" localSheetId="3">#REF!</definedName>
    <definedName name="_______6" localSheetId="3">#REF!</definedName>
    <definedName name="_______7" localSheetId="3">#REF!</definedName>
    <definedName name="_______8" localSheetId="3">#REF!</definedName>
    <definedName name="_______DAT1" localSheetId="3">#REF!</definedName>
    <definedName name="_______DAT10" localSheetId="3">#REF!</definedName>
    <definedName name="_______DAT11" localSheetId="3">#REF!</definedName>
    <definedName name="_______DAT12" localSheetId="3">#REF!</definedName>
    <definedName name="_______DAT13" localSheetId="3">#REF!</definedName>
    <definedName name="_______DAT14" localSheetId="3">#REF!</definedName>
    <definedName name="_______DAT15" localSheetId="3">#REF!</definedName>
    <definedName name="_______DAT16" localSheetId="3">#REF!</definedName>
    <definedName name="_______DAT17" localSheetId="3">#REF!</definedName>
    <definedName name="_______DAT18" localSheetId="3">#REF!</definedName>
    <definedName name="_______DAT19" localSheetId="3">#REF!</definedName>
    <definedName name="_______DAT2" localSheetId="3">#REF!</definedName>
    <definedName name="_______DAT20" localSheetId="3">#REF!</definedName>
    <definedName name="_______DAT21" localSheetId="3">#REF!</definedName>
    <definedName name="_______DAT22" localSheetId="3">#REF!</definedName>
    <definedName name="_______DAT23" localSheetId="3">#REF!</definedName>
    <definedName name="_______DAT24" localSheetId="3">#REF!</definedName>
    <definedName name="_______DAT25" localSheetId="3">#REF!</definedName>
    <definedName name="_______DAT26" localSheetId="3">#REF!</definedName>
    <definedName name="_______DAT27" localSheetId="3">#REF!</definedName>
    <definedName name="_______DAT28" localSheetId="3">#REF!</definedName>
    <definedName name="_______DAT29" localSheetId="3">#REF!</definedName>
    <definedName name="_______DAT3" localSheetId="3">#REF!</definedName>
    <definedName name="_______DAT30" localSheetId="3">#REF!</definedName>
    <definedName name="_______DAT31" localSheetId="3">#REF!</definedName>
    <definedName name="_______DAT32" localSheetId="3">#REF!</definedName>
    <definedName name="_______DAT33" localSheetId="3">#REF!</definedName>
    <definedName name="_______DAT34" localSheetId="3">#REF!</definedName>
    <definedName name="_______DAT35" localSheetId="3">#REF!</definedName>
    <definedName name="_______DAT36" localSheetId="3">#REF!</definedName>
    <definedName name="_______DAT37" localSheetId="3">#REF!</definedName>
    <definedName name="_______DAT38" localSheetId="3">'[1]7월'!#REF!</definedName>
    <definedName name="_______DAT39" localSheetId="3">'[1]7월'!#REF!</definedName>
    <definedName name="_______DAT4" localSheetId="3">#REF!</definedName>
    <definedName name="_______DAT40" localSheetId="3">'[1]7월'!#REF!</definedName>
    <definedName name="_______DAT41" localSheetId="3">'[1]7월'!#REF!</definedName>
    <definedName name="_______DAT42" localSheetId="3">'[1]7월'!#REF!</definedName>
    <definedName name="_______DAT43" localSheetId="3">'[1]7월'!#REF!</definedName>
    <definedName name="_______DAT44" localSheetId="3">'[1]7월'!#REF!</definedName>
    <definedName name="_______DAT5" localSheetId="3">#REF!</definedName>
    <definedName name="_______DAT6" localSheetId="3">#REF!</definedName>
    <definedName name="_______DAT7" localSheetId="3">#REF!</definedName>
    <definedName name="_______DAT8" localSheetId="3">#REF!</definedName>
    <definedName name="_______DAT9" localSheetId="3">#REF!</definedName>
    <definedName name="_______NO98" localSheetId="3">#REF!</definedName>
    <definedName name="_______P4" localSheetId="3">#REF!</definedName>
    <definedName name="_______XX01" localSheetId="3">#REF!</definedName>
    <definedName name="_______XX02" localSheetId="3">#REF!</definedName>
    <definedName name="_______XX03" localSheetId="3">#REF!</definedName>
    <definedName name="_______XX04" localSheetId="3">#REF!</definedName>
    <definedName name="_______XX05" localSheetId="3">#REF!</definedName>
    <definedName name="_______XX06" localSheetId="3">#REF!</definedName>
    <definedName name="_______XX07" localSheetId="3">#REF!</definedName>
    <definedName name="_______xx08" localSheetId="3">#REF!</definedName>
    <definedName name="_______XX10" localSheetId="3">#REF!</definedName>
    <definedName name="_______XX11" localSheetId="3">#REF!</definedName>
    <definedName name="_______XX12" localSheetId="3">#REF!</definedName>
    <definedName name="_______XX13" localSheetId="3">#REF!</definedName>
    <definedName name="_______XX14" localSheetId="3">#REF!</definedName>
    <definedName name="_______XX20" localSheetId="3">#REF!</definedName>
    <definedName name="_______XX21" localSheetId="3">#REF!</definedName>
    <definedName name="_______XX24" localSheetId="3">#REF!</definedName>
    <definedName name="_______XX25" localSheetId="3">#REF!</definedName>
    <definedName name="_______XX26" localSheetId="3">#REF!</definedName>
    <definedName name="_______XX27" localSheetId="3">#REF!</definedName>
    <definedName name="_______XX28" localSheetId="3">#REF!</definedName>
    <definedName name="_______XX29" localSheetId="3">#REF!</definedName>
    <definedName name="_______XX30" localSheetId="3">#REF!</definedName>
    <definedName name="_______XX31" localSheetId="3">#REF!</definedName>
    <definedName name="_______XX33" localSheetId="3">#REF!</definedName>
    <definedName name="_______XX34" localSheetId="3">#REF!</definedName>
    <definedName name="_______XX35" localSheetId="3">#REF!</definedName>
    <definedName name="_______XX36" localSheetId="3">#REF!</definedName>
    <definedName name="_______XX37" localSheetId="3">#REF!</definedName>
    <definedName name="_______XX38" localSheetId="3">#REF!</definedName>
    <definedName name="_______XX39" localSheetId="3">#REF!</definedName>
    <definedName name="______10" localSheetId="3">#REF!</definedName>
    <definedName name="______11" localSheetId="3">#REF!</definedName>
    <definedName name="______6" localSheetId="3">#REF!</definedName>
    <definedName name="______7" localSheetId="3">#REF!</definedName>
    <definedName name="______8" localSheetId="3">#REF!</definedName>
    <definedName name="______9" localSheetId="3">#REF!</definedName>
    <definedName name="______C" localSheetId="3">#REF!</definedName>
    <definedName name="______DAT12" localSheetId="3">#REF!</definedName>
    <definedName name="______DAT13" localSheetId="3">#REF!</definedName>
    <definedName name="______DAT15" localSheetId="3">#REF!</definedName>
    <definedName name="______DAT16" localSheetId="3">#REF!</definedName>
    <definedName name="______DAT17" localSheetId="3">#REF!</definedName>
    <definedName name="______DAT18" localSheetId="3">#REF!</definedName>
    <definedName name="______DAT19" localSheetId="3">#REF!</definedName>
    <definedName name="______DAT20" localSheetId="3">#REF!</definedName>
    <definedName name="______DAT21" localSheetId="3">#REF!</definedName>
    <definedName name="______DAT22" localSheetId="3">#REF!</definedName>
    <definedName name="______DAT23" localSheetId="3">#REF!</definedName>
    <definedName name="______DAT24" localSheetId="3">#REF!</definedName>
    <definedName name="______DAT25" localSheetId="3">#REF!</definedName>
    <definedName name="______DAT26" localSheetId="3">#REF!</definedName>
    <definedName name="______DAT27" localSheetId="3">#REF!</definedName>
    <definedName name="______DAT28" localSheetId="3">#REF!</definedName>
    <definedName name="______DAT29" localSheetId="3">#REF!</definedName>
    <definedName name="______DAT30" localSheetId="3">#REF!</definedName>
    <definedName name="______DAT31" localSheetId="3">#REF!</definedName>
    <definedName name="______DAT32" localSheetId="3">#REF!</definedName>
    <definedName name="______DAT33" localSheetId="3">#REF!</definedName>
    <definedName name="______DAT34" localSheetId="3">#REF!</definedName>
    <definedName name="______DAT35" localSheetId="3">#REF!</definedName>
    <definedName name="______DAT36" localSheetId="3">#REF!</definedName>
    <definedName name="______DAT37" localSheetId="3">#REF!</definedName>
    <definedName name="______DAT7" localSheetId="3">#REF!</definedName>
    <definedName name="______DAT9" localSheetId="3">#REF!</definedName>
    <definedName name="______NO98" localSheetId="3">#REF!</definedName>
    <definedName name="______P1" localSheetId="3">#REF!</definedName>
    <definedName name="______P2" localSheetId="3">#REF!</definedName>
    <definedName name="______P3" localSheetId="3">#REF!</definedName>
    <definedName name="______P4" localSheetId="3">#REF!</definedName>
    <definedName name="______XX01" localSheetId="3">#REF!</definedName>
    <definedName name="______XX02" localSheetId="3">#REF!</definedName>
    <definedName name="______XX03" localSheetId="3">#REF!</definedName>
    <definedName name="______XX04" localSheetId="3">#REF!</definedName>
    <definedName name="______XX05" localSheetId="3">#REF!</definedName>
    <definedName name="______XX06" localSheetId="3">#REF!</definedName>
    <definedName name="______XX07" localSheetId="3">#REF!</definedName>
    <definedName name="______xx08" localSheetId="3">#REF!</definedName>
    <definedName name="______XX10" localSheetId="3">#REF!</definedName>
    <definedName name="______XX11" localSheetId="3">#REF!</definedName>
    <definedName name="______XX12" localSheetId="3">#REF!</definedName>
    <definedName name="______XX13" localSheetId="3">#REF!</definedName>
    <definedName name="______XX14" localSheetId="3">#REF!</definedName>
    <definedName name="______XX20" localSheetId="3">#REF!</definedName>
    <definedName name="______XX21" localSheetId="3">#REF!</definedName>
    <definedName name="______XX24" localSheetId="3">#REF!</definedName>
    <definedName name="______XX25" localSheetId="3">#REF!</definedName>
    <definedName name="______XX26" localSheetId="3">#REF!</definedName>
    <definedName name="______XX27" localSheetId="3">#REF!</definedName>
    <definedName name="______XX28" localSheetId="3">#REF!</definedName>
    <definedName name="______XX29" localSheetId="3">#REF!</definedName>
    <definedName name="______XX30" localSheetId="3">#REF!</definedName>
    <definedName name="______XX31" localSheetId="3">#REF!</definedName>
    <definedName name="______XX33" localSheetId="3">#REF!</definedName>
    <definedName name="______XX34" localSheetId="3">#REF!</definedName>
    <definedName name="______XX35" localSheetId="3">#REF!</definedName>
    <definedName name="______XX36" localSheetId="3">#REF!</definedName>
    <definedName name="______XX37" localSheetId="3">#REF!</definedName>
    <definedName name="______XX38" localSheetId="3">#REF!</definedName>
    <definedName name="______XX39" localSheetId="3">#REF!</definedName>
    <definedName name="_____10" localSheetId="3">#REF!</definedName>
    <definedName name="_____11" localSheetId="3">#REF!</definedName>
    <definedName name="_____6" localSheetId="3">#REF!</definedName>
    <definedName name="_____7" localSheetId="3">#REF!</definedName>
    <definedName name="_____8" localSheetId="3">#REF!</definedName>
    <definedName name="_____9" localSheetId="3">#REF!</definedName>
    <definedName name="_____C" localSheetId="3">#REF!</definedName>
    <definedName name="_____DAT12" localSheetId="3">#REF!</definedName>
    <definedName name="_____DAT13" localSheetId="3">#REF!</definedName>
    <definedName name="_____DAT15" localSheetId="3">#REF!</definedName>
    <definedName name="_____DAT16" localSheetId="3">#REF!</definedName>
    <definedName name="_____DAT17" localSheetId="3">#REF!</definedName>
    <definedName name="_____DAT18" localSheetId="3">#REF!</definedName>
    <definedName name="_____DAT19" localSheetId="3">#REF!</definedName>
    <definedName name="_____DAT20" localSheetId="3">#REF!</definedName>
    <definedName name="_____DAT21" localSheetId="3">#REF!</definedName>
    <definedName name="_____DAT22" localSheetId="3">#REF!</definedName>
    <definedName name="_____DAT23" localSheetId="3">#REF!</definedName>
    <definedName name="_____DAT24" localSheetId="3">#REF!</definedName>
    <definedName name="_____DAT25" localSheetId="3">#REF!</definedName>
    <definedName name="_____DAT26" localSheetId="3">#REF!</definedName>
    <definedName name="_____DAT27" localSheetId="3">#REF!</definedName>
    <definedName name="_____DAT28" localSheetId="3">#REF!</definedName>
    <definedName name="_____DAT29" localSheetId="3">#REF!</definedName>
    <definedName name="_____DAT30" localSheetId="3">#REF!</definedName>
    <definedName name="_____DAT31" localSheetId="3">#REF!</definedName>
    <definedName name="_____DAT32" localSheetId="3">#REF!</definedName>
    <definedName name="_____DAT33" localSheetId="3">#REF!</definedName>
    <definedName name="_____DAT34" localSheetId="3">#REF!</definedName>
    <definedName name="_____DAT35" localSheetId="3">#REF!</definedName>
    <definedName name="_____DAT36" localSheetId="3">#REF!</definedName>
    <definedName name="_____DAT37" localSheetId="3">#REF!</definedName>
    <definedName name="_____DAT7" localSheetId="3">#REF!</definedName>
    <definedName name="_____DAT9" localSheetId="3">#REF!</definedName>
    <definedName name="_____NO98" localSheetId="3">#REF!</definedName>
    <definedName name="_____P1" localSheetId="3">#REF!</definedName>
    <definedName name="_____P2" localSheetId="3">#REF!</definedName>
    <definedName name="_____P3" localSheetId="3">#REF!</definedName>
    <definedName name="_____XX01" localSheetId="3">#REF!</definedName>
    <definedName name="_____XX02" localSheetId="3">#REF!</definedName>
    <definedName name="_____XX03" localSheetId="3">#REF!</definedName>
    <definedName name="_____XX04" localSheetId="3">#REF!</definedName>
    <definedName name="_____XX05" localSheetId="3">#REF!</definedName>
    <definedName name="_____XX06" localSheetId="3">#REF!</definedName>
    <definedName name="_____XX07" localSheetId="3">#REF!</definedName>
    <definedName name="_____xx08" localSheetId="3">#REF!</definedName>
    <definedName name="_____XX10" localSheetId="3">#REF!</definedName>
    <definedName name="_____XX11" localSheetId="3">#REF!</definedName>
    <definedName name="_____XX12" localSheetId="3">#REF!</definedName>
    <definedName name="_____XX13" localSheetId="3">#REF!</definedName>
    <definedName name="_____XX14" localSheetId="3">#REF!</definedName>
    <definedName name="_____XX20" localSheetId="3">#REF!</definedName>
    <definedName name="_____XX21" localSheetId="3">#REF!</definedName>
    <definedName name="_____XX24" localSheetId="3">#REF!</definedName>
    <definedName name="_____XX25" localSheetId="3">#REF!</definedName>
    <definedName name="_____XX26" localSheetId="3">#REF!</definedName>
    <definedName name="_____XX27" localSheetId="3">#REF!</definedName>
    <definedName name="_____XX28" localSheetId="3">#REF!</definedName>
    <definedName name="_____XX29" localSheetId="3">#REF!</definedName>
    <definedName name="_____XX30" localSheetId="3">#REF!</definedName>
    <definedName name="_____XX31" localSheetId="3">#REF!</definedName>
    <definedName name="_____XX33" localSheetId="3">#REF!</definedName>
    <definedName name="_____XX34" localSheetId="3">#REF!</definedName>
    <definedName name="_____XX35" localSheetId="3">#REF!</definedName>
    <definedName name="_____XX36" localSheetId="3">#REF!</definedName>
    <definedName name="_____XX37" localSheetId="3">#REF!</definedName>
    <definedName name="_____XX38" localSheetId="3">#REF!</definedName>
    <definedName name="_____XX39" localSheetId="3">#REF!</definedName>
    <definedName name="____10" localSheetId="3">#REF!</definedName>
    <definedName name="____11" localSheetId="3">#REF!</definedName>
    <definedName name="____6" localSheetId="3">#REF!</definedName>
    <definedName name="____7" localSheetId="3">#REF!</definedName>
    <definedName name="____8" localSheetId="3">#REF!</definedName>
    <definedName name="____9" localSheetId="3">#REF!</definedName>
    <definedName name="____C" localSheetId="3">#REF!</definedName>
    <definedName name="____DAT1" localSheetId="3">#REF!</definedName>
    <definedName name="____DAT10" localSheetId="3">#REF!</definedName>
    <definedName name="____DAT11" localSheetId="3">#REF!</definedName>
    <definedName name="____DAT12" localSheetId="3">#REF!</definedName>
    <definedName name="____DAT13" localSheetId="3">#REF!</definedName>
    <definedName name="____DAT14" localSheetId="3">#REF!</definedName>
    <definedName name="____DAT15" localSheetId="3">#REF!</definedName>
    <definedName name="____DAT16" localSheetId="3">#REF!</definedName>
    <definedName name="____DAT17" localSheetId="3">#REF!</definedName>
    <definedName name="____DAT18" localSheetId="3">#REF!</definedName>
    <definedName name="____DAT19" localSheetId="3">#REF!</definedName>
    <definedName name="____DAT2" localSheetId="3">#REF!</definedName>
    <definedName name="____DAT20" localSheetId="3">#REF!</definedName>
    <definedName name="____DAT21" localSheetId="3">#REF!</definedName>
    <definedName name="____DAT22" localSheetId="3">#REF!</definedName>
    <definedName name="____DAT23" localSheetId="3">#REF!</definedName>
    <definedName name="____DAT24" localSheetId="3">#REF!</definedName>
    <definedName name="____DAT25" localSheetId="3">#REF!</definedName>
    <definedName name="____DAT26" localSheetId="3">#REF!</definedName>
    <definedName name="____DAT27" localSheetId="3">#REF!</definedName>
    <definedName name="____DAT28" localSheetId="3">#REF!</definedName>
    <definedName name="____DAT29" localSheetId="3">#REF!</definedName>
    <definedName name="____DAT3" localSheetId="3">#REF!</definedName>
    <definedName name="____DAT30" localSheetId="3">#REF!</definedName>
    <definedName name="____DAT31" localSheetId="3">#REF!</definedName>
    <definedName name="____DAT32" localSheetId="3">#REF!</definedName>
    <definedName name="____DAT33" localSheetId="3">#REF!</definedName>
    <definedName name="____DAT34" localSheetId="3">#REF!</definedName>
    <definedName name="____DAT35" localSheetId="3">#REF!</definedName>
    <definedName name="____DAT36" localSheetId="3">#REF!</definedName>
    <definedName name="____DAT37" localSheetId="3">#REF!</definedName>
    <definedName name="____DAT38" localSheetId="3">'[1]7월'!#REF!</definedName>
    <definedName name="____DAT39" localSheetId="3">'[1]7월'!#REF!</definedName>
    <definedName name="____DAT4" localSheetId="3">#REF!</definedName>
    <definedName name="____DAT40" localSheetId="3">'[1]7월'!#REF!</definedName>
    <definedName name="____DAT41" localSheetId="3">'[1]7월'!#REF!</definedName>
    <definedName name="____DAT42" localSheetId="3">'[1]7월'!#REF!</definedName>
    <definedName name="____DAT43" localSheetId="3">'[1]7월'!#REF!</definedName>
    <definedName name="____DAT44" localSheetId="3">'[1]7월'!#REF!</definedName>
    <definedName name="____DAT5" localSheetId="3">#REF!</definedName>
    <definedName name="____DAT6" localSheetId="3">#REF!</definedName>
    <definedName name="____DAT7" localSheetId="3">#REF!</definedName>
    <definedName name="____DAT8" localSheetId="3">#REF!</definedName>
    <definedName name="____DAT9" localSheetId="3">#REF!</definedName>
    <definedName name="____NO98" localSheetId="3">#REF!</definedName>
    <definedName name="____P1" localSheetId="3">#REF!</definedName>
    <definedName name="____P2" localSheetId="3">#REF!</definedName>
    <definedName name="____P3" localSheetId="3">#REF!</definedName>
    <definedName name="____XX01" localSheetId="3">#REF!</definedName>
    <definedName name="____XX02" localSheetId="3">#REF!</definedName>
    <definedName name="____XX03" localSheetId="3">#REF!</definedName>
    <definedName name="____XX04" localSheetId="3">#REF!</definedName>
    <definedName name="____XX05" localSheetId="3">#REF!</definedName>
    <definedName name="____XX06" localSheetId="3">#REF!</definedName>
    <definedName name="____XX07" localSheetId="3">#REF!</definedName>
    <definedName name="____xx08" localSheetId="3">#REF!</definedName>
    <definedName name="____XX10" localSheetId="3">#REF!</definedName>
    <definedName name="____XX11" localSheetId="3">#REF!</definedName>
    <definedName name="____XX12" localSheetId="3">#REF!</definedName>
    <definedName name="____XX13" localSheetId="3">#REF!</definedName>
    <definedName name="____XX14" localSheetId="3">#REF!</definedName>
    <definedName name="____XX20" localSheetId="3">#REF!</definedName>
    <definedName name="____XX21" localSheetId="3">#REF!</definedName>
    <definedName name="____XX24" localSheetId="3">#REF!</definedName>
    <definedName name="____XX25" localSheetId="3">#REF!</definedName>
    <definedName name="____XX26" localSheetId="3">#REF!</definedName>
    <definedName name="____XX27" localSheetId="3">#REF!</definedName>
    <definedName name="____XX28" localSheetId="3">#REF!</definedName>
    <definedName name="____XX29" localSheetId="3">#REF!</definedName>
    <definedName name="____XX30" localSheetId="3">#REF!</definedName>
    <definedName name="____XX31" localSheetId="3">#REF!</definedName>
    <definedName name="____XX33" localSheetId="3">#REF!</definedName>
    <definedName name="____XX34" localSheetId="3">#REF!</definedName>
    <definedName name="____XX35" localSheetId="3">#REF!</definedName>
    <definedName name="____XX36" localSheetId="3">#REF!</definedName>
    <definedName name="____XX37" localSheetId="3">#REF!</definedName>
    <definedName name="____XX38" localSheetId="3">#REF!</definedName>
    <definedName name="____XX39" localSheetId="3">#REF!</definedName>
    <definedName name="___10" localSheetId="3">#REF!</definedName>
    <definedName name="___11" localSheetId="3">#REF!</definedName>
    <definedName name="___6" localSheetId="3">#REF!</definedName>
    <definedName name="___7" localSheetId="3">#REF!</definedName>
    <definedName name="___8" localSheetId="3">#REF!</definedName>
    <definedName name="___9" localSheetId="3">#REF!</definedName>
    <definedName name="___C" localSheetId="3">#REF!</definedName>
    <definedName name="___DAT1" localSheetId="3">#REF!</definedName>
    <definedName name="___DAT10" localSheetId="3">#REF!</definedName>
    <definedName name="___DAT11" localSheetId="3">#REF!</definedName>
    <definedName name="___DAT12" localSheetId="3">#REF!</definedName>
    <definedName name="___DAT13" localSheetId="3">#REF!</definedName>
    <definedName name="___DAT14" localSheetId="3">#REF!</definedName>
    <definedName name="___DAT15" localSheetId="3">#REF!</definedName>
    <definedName name="___DAT16" localSheetId="3">#REF!</definedName>
    <definedName name="___DAT17" localSheetId="3">#REF!</definedName>
    <definedName name="___DAT18" localSheetId="3">#REF!</definedName>
    <definedName name="___DAT19" localSheetId="3">#REF!</definedName>
    <definedName name="___DAT2" localSheetId="3">#REF!</definedName>
    <definedName name="___DAT20" localSheetId="3">#REF!</definedName>
    <definedName name="___DAT21" localSheetId="3">#REF!</definedName>
    <definedName name="___DAT22" localSheetId="3">#REF!</definedName>
    <definedName name="___DAT23" localSheetId="3">#REF!</definedName>
    <definedName name="___DAT24" localSheetId="3">#REF!</definedName>
    <definedName name="___DAT25" localSheetId="3">#REF!</definedName>
    <definedName name="___DAT26" localSheetId="3">#REF!</definedName>
    <definedName name="___DAT27" localSheetId="3">#REF!</definedName>
    <definedName name="___DAT28" localSheetId="3">#REF!</definedName>
    <definedName name="___DAT29" localSheetId="3">#REF!</definedName>
    <definedName name="___DAT3" localSheetId="3">#REF!</definedName>
    <definedName name="___DAT30" localSheetId="3">#REF!</definedName>
    <definedName name="___DAT31" localSheetId="3">#REF!</definedName>
    <definedName name="___DAT32" localSheetId="3">#REF!</definedName>
    <definedName name="___DAT33" localSheetId="3">#REF!</definedName>
    <definedName name="___DAT34" localSheetId="3">#REF!</definedName>
    <definedName name="___DAT35" localSheetId="3">#REF!</definedName>
    <definedName name="___DAT36" localSheetId="3">#REF!</definedName>
    <definedName name="___DAT37" localSheetId="3">#REF!</definedName>
    <definedName name="___DAT38" localSheetId="3">'[1]7월'!#REF!</definedName>
    <definedName name="___DAT39" localSheetId="3">'[1]7월'!#REF!</definedName>
    <definedName name="___DAT4" localSheetId="3">#REF!</definedName>
    <definedName name="___DAT40" localSheetId="3">'[1]7월'!#REF!</definedName>
    <definedName name="___DAT41" localSheetId="3">'[1]7월'!#REF!</definedName>
    <definedName name="___DAT42" localSheetId="3">'[1]7월'!#REF!</definedName>
    <definedName name="___DAT43" localSheetId="3">'[1]7월'!#REF!</definedName>
    <definedName name="___DAT44" localSheetId="3">'[1]7월'!#REF!</definedName>
    <definedName name="___DAT5" localSheetId="3">#REF!</definedName>
    <definedName name="___DAT6" localSheetId="3">#REF!</definedName>
    <definedName name="___DAT7" localSheetId="3">#REF!</definedName>
    <definedName name="___DAT8" localSheetId="3">#REF!</definedName>
    <definedName name="___DAT9" localSheetId="3">#REF!</definedName>
    <definedName name="___NO98" localSheetId="3">#REF!</definedName>
    <definedName name="___P1" localSheetId="3">#REF!</definedName>
    <definedName name="___P2" localSheetId="3">#REF!</definedName>
    <definedName name="___P3" localSheetId="3">#REF!</definedName>
    <definedName name="___P4" localSheetId="3">#REF!</definedName>
    <definedName name="___XX01" localSheetId="3">#REF!</definedName>
    <definedName name="___XX02" localSheetId="3">#REF!</definedName>
    <definedName name="___XX03" localSheetId="3">#REF!</definedName>
    <definedName name="___XX04" localSheetId="3">#REF!</definedName>
    <definedName name="___XX05" localSheetId="3">#REF!</definedName>
    <definedName name="___XX06" localSheetId="3">#REF!</definedName>
    <definedName name="___XX07" localSheetId="3">#REF!</definedName>
    <definedName name="___xx08" localSheetId="3">#REF!</definedName>
    <definedName name="___XX10" localSheetId="3">#REF!</definedName>
    <definedName name="___XX11" localSheetId="3">#REF!</definedName>
    <definedName name="___XX12" localSheetId="3">#REF!</definedName>
    <definedName name="___XX13" localSheetId="3">#REF!</definedName>
    <definedName name="___XX14" localSheetId="3">#REF!</definedName>
    <definedName name="___XX20" localSheetId="3">#REF!</definedName>
    <definedName name="___XX21" localSheetId="3">#REF!</definedName>
    <definedName name="___XX24" localSheetId="3">#REF!</definedName>
    <definedName name="___XX25" localSheetId="3">#REF!</definedName>
    <definedName name="___XX26" localSheetId="3">#REF!</definedName>
    <definedName name="___XX27" localSheetId="3">#REF!</definedName>
    <definedName name="___XX28" localSheetId="3">#REF!</definedName>
    <definedName name="___XX29" localSheetId="3">#REF!</definedName>
    <definedName name="___XX30" localSheetId="3">#REF!</definedName>
    <definedName name="___XX31" localSheetId="3">#REF!</definedName>
    <definedName name="___XX33" localSheetId="3">#REF!</definedName>
    <definedName name="___XX34" localSheetId="3">#REF!</definedName>
    <definedName name="___XX35" localSheetId="3">#REF!</definedName>
    <definedName name="___XX36" localSheetId="3">#REF!</definedName>
    <definedName name="___XX37" localSheetId="3">#REF!</definedName>
    <definedName name="___XX38" localSheetId="3">#REF!</definedName>
    <definedName name="___XX39" localSheetId="3">#REF!</definedName>
    <definedName name="__10" localSheetId="3">#REF!</definedName>
    <definedName name="__11" localSheetId="3">#REF!</definedName>
    <definedName name="__123Graph_A" localSheetId="3" hidden="1">[2]목표세부명세!#REF!</definedName>
    <definedName name="__123Graph_B" localSheetId="3" hidden="1">[2]목표세부명세!#REF!</definedName>
    <definedName name="__6" localSheetId="3">#REF!</definedName>
    <definedName name="__7" localSheetId="3">#REF!</definedName>
    <definedName name="__8" localSheetId="3">#REF!</definedName>
    <definedName name="__9" localSheetId="3">#REF!</definedName>
    <definedName name="__C" localSheetId="3">#REF!</definedName>
    <definedName name="__DAT1" localSheetId="3">#REF!</definedName>
    <definedName name="__DAT10" localSheetId="3">#REF!</definedName>
    <definedName name="__DAT11" localSheetId="3">#REF!</definedName>
    <definedName name="__DAT12" localSheetId="3">#REF!</definedName>
    <definedName name="__DAT13" localSheetId="3">#REF!</definedName>
    <definedName name="__DAT14" localSheetId="3">#REF!</definedName>
    <definedName name="__DAT15" localSheetId="3">#REF!</definedName>
    <definedName name="__DAT16" localSheetId="3">#REF!</definedName>
    <definedName name="__DAT17" localSheetId="3">#REF!</definedName>
    <definedName name="__DAT18" localSheetId="3">#REF!</definedName>
    <definedName name="__DAT19" localSheetId="3">#REF!</definedName>
    <definedName name="__DAT2" localSheetId="3">#REF!</definedName>
    <definedName name="__DAT20" localSheetId="3">#REF!</definedName>
    <definedName name="__DAT21" localSheetId="3">#REF!</definedName>
    <definedName name="__DAT22" localSheetId="3">#REF!</definedName>
    <definedName name="__DAT23" localSheetId="3">#REF!</definedName>
    <definedName name="__DAT24" localSheetId="3">#REF!</definedName>
    <definedName name="__DAT25" localSheetId="3">#REF!</definedName>
    <definedName name="__DAT26" localSheetId="3">#REF!</definedName>
    <definedName name="__DAT27" localSheetId="3">#REF!</definedName>
    <definedName name="__DAT28" localSheetId="3">#REF!</definedName>
    <definedName name="__DAT29" localSheetId="3">#REF!</definedName>
    <definedName name="__DAT3" localSheetId="3">#REF!</definedName>
    <definedName name="__DAT30" localSheetId="3">#REF!</definedName>
    <definedName name="__DAT31" localSheetId="3">#REF!</definedName>
    <definedName name="__DAT32" localSheetId="3">#REF!</definedName>
    <definedName name="__DAT33" localSheetId="3">#REF!</definedName>
    <definedName name="__DAT34" localSheetId="3">#REF!</definedName>
    <definedName name="__DAT35" localSheetId="3">#REF!</definedName>
    <definedName name="__DAT36" localSheetId="3">#REF!</definedName>
    <definedName name="__DAT37" localSheetId="3">#REF!</definedName>
    <definedName name="__DAT38" localSheetId="3">'[1]7월'!#REF!</definedName>
    <definedName name="__DAT39" localSheetId="3">'[1]7월'!#REF!</definedName>
    <definedName name="__DAT4" localSheetId="3">#REF!</definedName>
    <definedName name="__DAT40" localSheetId="3">'[1]7월'!#REF!</definedName>
    <definedName name="__DAT41" localSheetId="3">'[1]7월'!#REF!</definedName>
    <definedName name="__DAT42" localSheetId="3">'[1]7월'!#REF!</definedName>
    <definedName name="__DAT43" localSheetId="3">'[1]7월'!#REF!</definedName>
    <definedName name="__DAT44" localSheetId="3">'[1]7월'!#REF!</definedName>
    <definedName name="__DAT5" localSheetId="3">#REF!</definedName>
    <definedName name="__DAT6" localSheetId="3">#REF!</definedName>
    <definedName name="__DAT7" localSheetId="3">#REF!</definedName>
    <definedName name="__DAT8" localSheetId="3">#REF!</definedName>
    <definedName name="__DAT9" localSheetId="3">#REF!</definedName>
    <definedName name="__NO98" localSheetId="3">#REF!</definedName>
    <definedName name="__P1" localSheetId="3">#REF!</definedName>
    <definedName name="__P2" localSheetId="3">#REF!</definedName>
    <definedName name="__P3" localSheetId="3">#REF!</definedName>
    <definedName name="__P4" localSheetId="3">#REF!</definedName>
    <definedName name="__XX01" localSheetId="3">#REF!</definedName>
    <definedName name="__XX02" localSheetId="3">#REF!</definedName>
    <definedName name="__XX03" localSheetId="3">#REF!</definedName>
    <definedName name="__XX04" localSheetId="3">#REF!</definedName>
    <definedName name="__XX05" localSheetId="3">#REF!</definedName>
    <definedName name="__XX06" localSheetId="3">#REF!</definedName>
    <definedName name="__XX07" localSheetId="3">#REF!</definedName>
    <definedName name="__xx08" localSheetId="3">#REF!</definedName>
    <definedName name="__XX10" localSheetId="3">#REF!</definedName>
    <definedName name="__XX11" localSheetId="3">#REF!</definedName>
    <definedName name="__XX12" localSheetId="3">#REF!</definedName>
    <definedName name="__XX13" localSheetId="3">#REF!</definedName>
    <definedName name="__XX14" localSheetId="3">#REF!</definedName>
    <definedName name="__XX20" localSheetId="3">#REF!</definedName>
    <definedName name="__XX21" localSheetId="3">#REF!</definedName>
    <definedName name="__XX24" localSheetId="3">#REF!</definedName>
    <definedName name="__XX25" localSheetId="3">#REF!</definedName>
    <definedName name="__XX26" localSheetId="3">#REF!</definedName>
    <definedName name="__XX27" localSheetId="3">#REF!</definedName>
    <definedName name="__XX28" localSheetId="3">#REF!</definedName>
    <definedName name="__XX29" localSheetId="3">#REF!</definedName>
    <definedName name="__XX30" localSheetId="3">#REF!</definedName>
    <definedName name="__XX31" localSheetId="3">#REF!</definedName>
    <definedName name="__XX33" localSheetId="3">#REF!</definedName>
    <definedName name="__XX34" localSheetId="3">#REF!</definedName>
    <definedName name="__XX35" localSheetId="3">#REF!</definedName>
    <definedName name="__XX36" localSheetId="3">#REF!</definedName>
    <definedName name="__XX37" localSheetId="3">#REF!</definedName>
    <definedName name="__XX38" localSheetId="3">#REF!</definedName>
    <definedName name="__XX39" localSheetId="3">#REF!</definedName>
    <definedName name="_1.매출채권" localSheetId="3">#REF!</definedName>
    <definedName name="_10" localSheetId="3">#REF!</definedName>
    <definedName name="_10P1_" localSheetId="3">#REF!</definedName>
    <definedName name="_10P2_" localSheetId="3">#REF!</definedName>
    <definedName name="_11" localSheetId="3">#REF!</definedName>
    <definedName name="_11P3_" localSheetId="3">#REF!</definedName>
    <definedName name="_12P2_" localSheetId="3">#REF!</definedName>
    <definedName name="_14P3_" localSheetId="3">#REF!</definedName>
    <definedName name="_15P4_" localSheetId="3">#REF!</definedName>
    <definedName name="_16P4_" localSheetId="3">#REF!</definedName>
    <definedName name="_1C_" localSheetId="3">#REF!</definedName>
    <definedName name="_2_10" localSheetId="3">#REF!</definedName>
    <definedName name="_3_11" localSheetId="3">#REF!</definedName>
    <definedName name="_4" localSheetId="3">#REF!</definedName>
    <definedName name="_4_6" localSheetId="3">#REF!</definedName>
    <definedName name="_5" localSheetId="3">#REF!</definedName>
    <definedName name="_5_7" localSheetId="3">#REF!</definedName>
    <definedName name="_6" localSheetId="3">#REF!</definedName>
    <definedName name="_6_8" localSheetId="3">#REF!</definedName>
    <definedName name="_7_9" localSheetId="3">#REF!</definedName>
    <definedName name="_8" localSheetId="3">#REF!</definedName>
    <definedName name="_8C_" localSheetId="3">#REF!</definedName>
    <definedName name="_9" localSheetId="3">#REF!</definedName>
    <definedName name="_9P1_" localSheetId="3">#REF!</definedName>
    <definedName name="_C" localSheetId="3">#REF!</definedName>
    <definedName name="_DAT1" localSheetId="3">#REF!</definedName>
    <definedName name="_DAT10" localSheetId="3">#REF!</definedName>
    <definedName name="_DAT11" localSheetId="3">#REF!</definedName>
    <definedName name="_DAT12" localSheetId="3">#REF!</definedName>
    <definedName name="_DAT13" localSheetId="3">#REF!</definedName>
    <definedName name="_DAT14" localSheetId="3">#REF!</definedName>
    <definedName name="_DAT15" localSheetId="3">#REF!</definedName>
    <definedName name="_DAT16" localSheetId="3">#REF!</definedName>
    <definedName name="_DAT17" localSheetId="3">#REF!</definedName>
    <definedName name="_DAT18" localSheetId="3">#REF!</definedName>
    <definedName name="_DAT19" localSheetId="3">#REF!</definedName>
    <definedName name="_DAT2" localSheetId="3">#REF!</definedName>
    <definedName name="_DAT20" localSheetId="3">#REF!</definedName>
    <definedName name="_DAT21" localSheetId="3">#REF!</definedName>
    <definedName name="_DAT22" localSheetId="3">#REF!</definedName>
    <definedName name="_DAT23" localSheetId="3">#REF!</definedName>
    <definedName name="_DAT24" localSheetId="3">#REF!</definedName>
    <definedName name="_DAT25" localSheetId="3">#REF!</definedName>
    <definedName name="_DAT26" localSheetId="3">#REF!</definedName>
    <definedName name="_DAT27" localSheetId="3">#REF!</definedName>
    <definedName name="_DAT28" localSheetId="3">#REF!</definedName>
    <definedName name="_DAT29" localSheetId="3">#REF!</definedName>
    <definedName name="_DAT3" localSheetId="3">#REF!</definedName>
    <definedName name="_DAT30" localSheetId="3">#REF!</definedName>
    <definedName name="_DAT31" localSheetId="3">#REF!</definedName>
    <definedName name="_DAT32" localSheetId="3">#REF!</definedName>
    <definedName name="_DAT33" localSheetId="3">#REF!</definedName>
    <definedName name="_DAT34" localSheetId="3">#REF!</definedName>
    <definedName name="_DAT35" localSheetId="3">#REF!</definedName>
    <definedName name="_DAT36" localSheetId="3">#REF!</definedName>
    <definedName name="_DAT37" localSheetId="3">#REF!</definedName>
    <definedName name="_DAT38" localSheetId="3">'[3]7월'!#REF!</definedName>
    <definedName name="_DAT39" localSheetId="3">'[3]7월'!#REF!</definedName>
    <definedName name="_DAT4" localSheetId="3">#REF!</definedName>
    <definedName name="_DAT40" localSheetId="3">'[3]7월'!#REF!</definedName>
    <definedName name="_DAT41" localSheetId="3">'[3]7월'!#REF!</definedName>
    <definedName name="_DAT42" localSheetId="3">'[3]7월'!#REF!</definedName>
    <definedName name="_DAT43" localSheetId="3">'[3]7월'!#REF!</definedName>
    <definedName name="_DAT44" localSheetId="3">'[3]7월'!#REF!</definedName>
    <definedName name="_DAT5" localSheetId="3">#REF!</definedName>
    <definedName name="_DAT6" localSheetId="3">#REF!</definedName>
    <definedName name="_DAT7" localSheetId="3">#REF!</definedName>
    <definedName name="_DAT8" localSheetId="3">#REF!</definedName>
    <definedName name="_DAT9" localSheetId="3">#REF!</definedName>
    <definedName name="_Key1" localSheetId="3" hidden="1">[4]설계내역서!#REF!</definedName>
    <definedName name="_NO98" localSheetId="3">#REF!</definedName>
    <definedName name="_P1" localSheetId="3">#REF!</definedName>
    <definedName name="_P2" localSheetId="3">#REF!</definedName>
    <definedName name="_P3" localSheetId="3">#REF!</definedName>
    <definedName name="_P4" localSheetId="3">#REF!</definedName>
    <definedName name="_XX01" localSheetId="3">#REF!</definedName>
    <definedName name="_XX02" localSheetId="3">#REF!</definedName>
    <definedName name="_XX03" localSheetId="3">#REF!</definedName>
    <definedName name="_XX04" localSheetId="3">#REF!</definedName>
    <definedName name="_XX05" localSheetId="3">#REF!</definedName>
    <definedName name="_XX06" localSheetId="3">#REF!</definedName>
    <definedName name="_XX07" localSheetId="3">#REF!</definedName>
    <definedName name="_xx08" localSheetId="3">#REF!</definedName>
    <definedName name="_XX10" localSheetId="3">#REF!</definedName>
    <definedName name="_XX11" localSheetId="3">#REF!</definedName>
    <definedName name="_XX12" localSheetId="3">#REF!</definedName>
    <definedName name="_XX13" localSheetId="3">#REF!</definedName>
    <definedName name="_XX14" localSheetId="3">#REF!</definedName>
    <definedName name="_XX20" localSheetId="3">#REF!</definedName>
    <definedName name="_XX21" localSheetId="3">#REF!</definedName>
    <definedName name="_XX24" localSheetId="3">#REF!</definedName>
    <definedName name="_XX25" localSheetId="3">#REF!</definedName>
    <definedName name="_XX26" localSheetId="3">#REF!</definedName>
    <definedName name="_XX27" localSheetId="3">#REF!</definedName>
    <definedName name="_XX28" localSheetId="3">#REF!</definedName>
    <definedName name="_XX29" localSheetId="3">#REF!</definedName>
    <definedName name="_XX30" localSheetId="3">#REF!</definedName>
    <definedName name="_XX31" localSheetId="3">#REF!</definedName>
    <definedName name="_XX33" localSheetId="3">#REF!</definedName>
    <definedName name="_XX34" localSheetId="3">#REF!</definedName>
    <definedName name="_XX35" localSheetId="3">#REF!</definedName>
    <definedName name="_XX36" localSheetId="3">#REF!</definedName>
    <definedName name="_XX37" localSheetId="3">#REF!</definedName>
    <definedName name="_XX38" localSheetId="3">#REF!</definedName>
    <definedName name="_XX39" localSheetId="3">#REF!</definedName>
    <definedName name="\C" localSheetId="3">#REF!</definedName>
    <definedName name="\p" localSheetId="3">[5]부대공Ⅱ!#REF!</definedName>
    <definedName name="\q" localSheetId="3">#REF!</definedName>
    <definedName name="\S" localSheetId="3">#REF!</definedName>
    <definedName name="A" localSheetId="3">#REF!</definedName>
    <definedName name="aa" localSheetId="3">#REF!</definedName>
    <definedName name="aaa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b" localSheetId="3">#REF!</definedName>
    <definedName name="as" localSheetId="3">#REF!</definedName>
    <definedName name="asdasdsfasdfasd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d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dfa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" localSheetId="3">#REF!</definedName>
    <definedName name="bb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 localSheetId="3">#REF!</definedName>
    <definedName name="B삼" localSheetId="3">#REF!</definedName>
    <definedName name="cc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c" localSheetId="3">#REF!</definedName>
    <definedName name="CHD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" localSheetId="3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xlnm.Database" localSheetId="3">#REF!</definedName>
    <definedName name="DDD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OGUB" localSheetId="3">#REF!</definedName>
    <definedName name="DSAFAHSDHFDH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" localSheetId="3">#REF!</definedName>
    <definedName name="ee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adfsa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" localSheetId="3">#REF!</definedName>
    <definedName name="fghfg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ormat" localSheetId="3">[8]투자예상실적!#REF!</definedName>
    <definedName name="G" localSheetId="3">'[9] 견적서'!#REF!</definedName>
    <definedName name="gfdgd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gg" localSheetId="3">#REF!</definedName>
    <definedName name="ghjg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eader" localSheetId="3">#REF!</definedName>
    <definedName name="HG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h" localSheetId="3">#REF!</definedName>
    <definedName name="hhh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ii" localSheetId="3">#REF!</definedName>
    <definedName name="JF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k" localSheetId="3">#REF!</definedName>
    <definedName name="KKL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O" localSheetId="3">#REF!</definedName>
    <definedName name="opt" localSheetId="3">#REF!</definedName>
    <definedName name="plep" localSheetId="3">#REF!</definedName>
    <definedName name="PRINT_AREA_MI" localSheetId="3">[10]특외대!#REF!</definedName>
    <definedName name="q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awData" localSheetId="3">#REF!</definedName>
    <definedName name="rrr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sdfsdafa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" localSheetId="3">#REF!</definedName>
    <definedName name="TEST0" localSheetId="3">#REF!</definedName>
    <definedName name="TEST1" localSheetId="3">#REF!</definedName>
    <definedName name="TESTHKEY" localSheetId="3">#REF!</definedName>
    <definedName name="TESTKEYS" localSheetId="3">#REF!</definedName>
    <definedName name="TESTVKEY" localSheetId="3">#REF!</definedName>
    <definedName name="tryrye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c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" localSheetId="3">#REF!</definedName>
    <definedName name="z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셕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냥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자산_종업원채권_Y_List" localSheetId="3">#REF!</definedName>
    <definedName name="기획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년간예산" localSheetId="3">#REF!</definedName>
    <definedName name="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34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ㅅ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달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중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ㅅㄷ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오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ㄱㅁㄷㅎ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" localSheetId="3">#REF!</definedName>
    <definedName name="매출bogo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진사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별손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요약" localSheetId="3">'[16]1. 제품별 수익성'!#REF!</definedName>
    <definedName name="분양" localSheetId="3">#REF!</definedName>
    <definedName name="비고" localSheetId="3">#REF!</definedName>
    <definedName name="ㅅ교ㄳ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고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 localSheetId="3">#REF!</definedName>
    <definedName name="소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집통지서" localSheetId="3">#REF!</definedName>
    <definedName name="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222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지부문" localSheetId="3">'[18]1'!$O:$P,'[18]1'!#REF!,'[18]1'!#REF!,'[18]1'!$J:$J,'[18]1'!#REF!,'[18]1'!#REF!,'[18]1'!#REF!,'[18]1'!$R:$R</definedName>
    <definedName name="순천_연향_1차" localSheetId="3">#REF!</definedName>
    <definedName name="스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ㄱㅎ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000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ㅎ" localSheetId="3" hidden="1">#REF!</definedName>
    <definedName name="ㅇㅈㄴㄹㄴㅇ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업" localSheetId="3">#REF!</definedName>
    <definedName name="영업1" localSheetId="3">#REF!</definedName>
    <definedName name="영업2" localSheetId="3">#REF!</definedName>
    <definedName name="영역" localSheetId="3">#REF!</definedName>
    <definedName name="예" localSheetId="3">#REF!</definedName>
    <definedName name="예산" localSheetId="3">#REF!</definedName>
    <definedName name="옳ㅇ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쇄영역" localSheetId="3">[19]첨부1!$B$1:$F$18,[19]첨부1!#REF!,[19]첨부1!#REF!</definedName>
    <definedName name="인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" localSheetId="3">#REF!</definedName>
    <definedName name="일산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시" localSheetId="3">[20]첨부1!$B$1:$F$18,[20]첨부1!#REF!,[20]첨부1!#REF!</definedName>
    <definedName name="ㅈ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3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ㄱ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ㅅ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ㄷ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잔존가율" localSheetId="3">#REF!</definedName>
    <definedName name="전월실적누계" localSheetId="3">#REF!</definedName>
    <definedName name="전월예산누계" localSheetId="3">#REF!</definedName>
    <definedName name="전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2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 localSheetId="3">#REF!</definedName>
    <definedName name="정봉용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택매출" localSheetId="3">#REF!</definedName>
    <definedName name="주택원가" localSheetId="3">#REF!</definedName>
    <definedName name="주택최종" localSheetId="3">#REF!</definedName>
    <definedName name="중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1055" localSheetId="3">#REF!</definedName>
    <definedName name="차입" localSheetId="3">#REF!</definedName>
    <definedName name="차입금리" localSheetId="3">#REF!</definedName>
    <definedName name="차입금월data" localSheetId="3">[21]특외대!#REF!</definedName>
    <definedName name="차입월" localSheetId="3">[21]특외대!#REF!</definedName>
    <definedName name="차입월data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고2" localSheetId="3">#REF!</definedName>
    <definedName name="최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칷__?____?" localSheetId="3">#REF!</definedName>
    <definedName name="ㅌ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ㅌ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합손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ㅜㅎ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식대" localSheetId="3">#REF!</definedName>
    <definedName name="회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localSheetId="3" hidden="1">[2]목표세부명세!#REF!</definedName>
    <definedName name="ㅐㅕㅛ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ㅘㅓㅘ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ㅇㅀㅇㅁㄴㅇ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섣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ㅡㅡㅡㅡㅡㅡ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xlnm.Print_Area" localSheetId="3">'인증대행료_유럽향 상세(260417)'!$B$2:$T$30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,,_);[Red]\-#,##0,,_);\-_)"/>
    <numFmt numFmtId="165" formatCode="0.0%;;&quot;-&quot;"/>
    <numFmt numFmtId="166" formatCode="&quot;₩&quot;#,##0;[Red]&quot;₩&quot;#,##0"/>
    <numFmt numFmtId="167" formatCode="_-&quot;₩&quot;* #,##0_-;\-&quot;₩&quot;* #,##0_-;_-&quot;₩&quot;* &quot;-&quot;_-;_-@_-"/>
    <numFmt numFmtId="168" formatCode="[$€-2]\ #,##0;[Red]\-[$€-2]\ #,##0"/>
  </numFmts>
  <fonts count="21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1F3864"/>
      <sz val="13"/>
    </font>
    <font>
      <name val="맑은 고딕"/>
      <charset val="129"/>
      <family val="3"/>
      <color rgb="FF888888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1F2937"/>
      <sz val="9"/>
    </font>
    <font>
      <name val="맑은 고딕"/>
      <charset val="129"/>
      <family val="3"/>
      <color rgb="FFC00000"/>
      <sz val="9"/>
    </font>
    <font>
      <name val="맑은 고딕"/>
      <charset val="129"/>
      <family val="3"/>
      <b val="1"/>
      <color rgb="FF1F2937"/>
      <sz val="9"/>
    </font>
    <font>
      <name val="맑은 고딕"/>
      <charset val="129"/>
      <family val="3"/>
      <sz val="8"/>
      <scheme val="minor"/>
    </font>
    <font>
      <name val="굴림"/>
      <charset val="129"/>
      <family val="3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0000FF"/>
      <sz val="9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</fonts>
  <fills count="2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4A6E9E"/>
      </patternFill>
    </fill>
    <fill>
      <patternFill patternType="solid">
        <fgColor rgb="FF2F5496"/>
      </patternFill>
    </fill>
    <fill>
      <patternFill patternType="solid">
        <fgColor rgb="FF5A84BC"/>
      </patternFill>
    </fill>
    <fill>
      <patternFill patternType="solid">
        <fgColor rgb="FF2E4B7A"/>
      </patternFill>
    </fill>
    <fill>
      <patternFill patternType="solid">
        <fgColor rgb="FF3A67B3"/>
      </patternFill>
    </fill>
    <fill>
      <patternFill patternType="solid">
        <fgColor rgb="FFDCE6F1"/>
      </patternFill>
    </fill>
    <fill>
      <patternFill patternType="solid">
        <fgColor rgb="FFC9D9EE"/>
      </patternFill>
    </fill>
    <fill>
      <patternFill patternType="solid">
        <fgColor rgb="FFFFFFFF"/>
      </patternFill>
    </fill>
    <fill>
      <patternFill patternType="solid">
        <fgColor rgb="FFEEF3FB"/>
      </patternFill>
    </fill>
    <fill>
      <patternFill patternType="solid">
        <fgColor rgb="FFB4C6E7"/>
      </patternFill>
    </fill>
    <fill>
      <patternFill patternType="solid">
        <fgColor rgb="FFA0B9D9"/>
      </patternFill>
    </fill>
    <fill>
      <patternFill patternType="solid">
        <fgColor rgb="FFC6EFCE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7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3">
    <xf numFmtId="0" fontId="0" fillId="0" borderId="0"/>
    <xf numFmtId="9" fontId="10" fillId="0" borderId="0" applyAlignment="1">
      <alignment vertical="center"/>
    </xf>
    <xf numFmtId="0" fontId="1" fillId="0" borderId="0" applyAlignment="1">
      <alignment vertical="center"/>
    </xf>
  </cellStyleXfs>
  <cellXfs count="361">
    <xf numFmtId="0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7" fillId="14" borderId="1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4" fontId="6" fillId="11" borderId="1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center"/>
    </xf>
    <xf numFmtId="164" fontId="8" fillId="12" borderId="1" applyAlignment="1" pivotButton="0" quotePrefix="0" xfId="0">
      <alignment horizontal="right" vertical="center"/>
    </xf>
    <xf numFmtId="165" fontId="8" fillId="12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  <xf numFmtId="165" fontId="8" fillId="13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1" fillId="0" borderId="0" applyAlignment="1" pivotButton="0" quotePrefix="0" xfId="2">
      <alignment vertical="center"/>
    </xf>
    <xf numFmtId="0" fontId="1" fillId="0" borderId="2" applyAlignment="1" pivotButton="0" quotePrefix="0" xfId="2">
      <alignment horizontal="center" vertical="center"/>
    </xf>
    <xf numFmtId="0" fontId="1" fillId="0" borderId="3" applyAlignment="1" pivotButton="0" quotePrefix="0" xfId="2">
      <alignment horizontal="center" vertical="center"/>
    </xf>
    <xf numFmtId="0" fontId="1" fillId="0" borderId="4" applyAlignment="1" pivotButton="0" quotePrefix="0" xfId="2">
      <alignment horizontal="center" vertical="center"/>
    </xf>
    <xf numFmtId="0" fontId="13" fillId="0" borderId="5" applyAlignment="1" pivotButton="0" quotePrefix="0" xfId="2">
      <alignment horizontal="center" vertical="center"/>
    </xf>
    <xf numFmtId="0" fontId="13" fillId="0" borderId="6" applyAlignment="1" pivotButton="0" quotePrefix="0" xfId="2">
      <alignment horizontal="center" vertical="center"/>
    </xf>
    <xf numFmtId="0" fontId="13" fillId="0" borderId="7" applyAlignment="1" pivotButton="0" quotePrefix="0" xfId="2">
      <alignment horizontal="center" vertical="center"/>
    </xf>
    <xf numFmtId="0" fontId="13" fillId="0" borderId="8" applyAlignment="1" pivotButton="0" quotePrefix="0" xfId="2">
      <alignment horizontal="center" vertical="center"/>
    </xf>
    <xf numFmtId="0" fontId="13" fillId="0" borderId="9" applyAlignment="1" pivotButton="0" quotePrefix="0" xfId="2">
      <alignment horizontal="center" vertical="center"/>
    </xf>
    <xf numFmtId="0" fontId="13" fillId="0" borderId="10" applyAlignment="1" pivotButton="0" quotePrefix="0" xfId="2">
      <alignment horizontal="center" vertical="center"/>
    </xf>
    <xf numFmtId="0" fontId="13" fillId="0" borderId="2" applyAlignment="1" pivotButton="0" quotePrefix="0" xfId="2">
      <alignment horizontal="center" vertical="center"/>
    </xf>
    <xf numFmtId="0" fontId="13" fillId="0" borderId="11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5" fillId="0" borderId="14" applyAlignment="1" pivotButton="0" quotePrefix="0" xfId="2">
      <alignment horizontal="center" vertical="center"/>
    </xf>
    <xf numFmtId="166" fontId="15" fillId="0" borderId="15" applyAlignment="1" pivotButton="0" quotePrefix="0" xfId="2">
      <alignment horizontal="center" vertical="center"/>
    </xf>
    <xf numFmtId="166" fontId="15" fillId="0" borderId="16" applyAlignment="1" pivotButton="0" quotePrefix="0" xfId="2">
      <alignment horizontal="center" vertical="center"/>
    </xf>
    <xf numFmtId="166" fontId="15" fillId="0" borderId="17" applyAlignment="1" pivotButton="0" quotePrefix="0" xfId="2">
      <alignment horizontal="center" vertical="center"/>
    </xf>
    <xf numFmtId="166" fontId="15" fillId="0" borderId="18" applyAlignment="1" pivotButton="0" quotePrefix="0" xfId="2">
      <alignment horizontal="center" vertical="center"/>
    </xf>
    <xf numFmtId="166" fontId="15" fillId="15" borderId="19" applyAlignment="1" pivotButton="0" quotePrefix="0" xfId="2">
      <alignment horizontal="center" vertical="center"/>
    </xf>
    <xf numFmtId="166" fontId="15" fillId="16" borderId="11" applyAlignment="1" pivotButton="0" quotePrefix="0" xfId="2">
      <alignment horizontal="center" vertical="center"/>
    </xf>
    <xf numFmtId="166" fontId="15" fillId="16" borderId="2" applyAlignment="1" pivotButton="0" quotePrefix="0" xfId="2">
      <alignment horizontal="center" vertical="center"/>
    </xf>
    <xf numFmtId="0" fontId="15" fillId="0" borderId="22" applyAlignment="1" pivotButton="0" quotePrefix="0" xfId="2">
      <alignment horizontal="center" vertical="center"/>
    </xf>
    <xf numFmtId="166" fontId="15" fillId="17" borderId="16" applyAlignment="1" pivotButton="0" quotePrefix="0" xfId="2">
      <alignment horizontal="center" vertical="center"/>
    </xf>
    <xf numFmtId="166" fontId="15" fillId="16" borderId="18" applyAlignment="1" pivotButton="0" quotePrefix="0" xfId="2">
      <alignment horizontal="center" vertical="center"/>
    </xf>
    <xf numFmtId="166" fontId="15" fillId="17" borderId="17" applyAlignment="1" pivotButton="0" quotePrefix="0" xfId="2">
      <alignment horizontal="center" vertical="center"/>
    </xf>
    <xf numFmtId="166" fontId="15" fillId="16" borderId="23" applyAlignment="1" pivotButton="0" quotePrefix="0" xfId="2">
      <alignment horizontal="center" vertical="center"/>
    </xf>
    <xf numFmtId="166" fontId="15" fillId="16" borderId="24" applyAlignment="1" pivotButton="0" quotePrefix="0" xfId="2">
      <alignment horizontal="center" vertical="center"/>
    </xf>
    <xf numFmtId="166" fontId="15" fillId="16" borderId="17" applyAlignment="1" pivotButton="0" quotePrefix="0" xfId="2">
      <alignment horizontal="center" vertical="center"/>
    </xf>
    <xf numFmtId="166" fontId="15" fillId="17" borderId="23" applyAlignment="1" pivotButton="0" quotePrefix="0" xfId="2">
      <alignment horizontal="center" vertical="center"/>
    </xf>
    <xf numFmtId="166" fontId="15" fillId="17" borderId="24" applyAlignment="1" pivotButton="0" quotePrefix="0" xfId="2">
      <alignment horizontal="center" vertical="center"/>
    </xf>
    <xf numFmtId="166" fontId="15" fillId="0" borderId="23" applyAlignment="1" pivotButton="0" quotePrefix="0" xfId="2">
      <alignment horizontal="center" vertical="center"/>
    </xf>
    <xf numFmtId="166" fontId="15" fillId="18" borderId="29" applyAlignment="1" pivotButton="0" quotePrefix="0" xfId="2">
      <alignment horizontal="center" vertical="center"/>
    </xf>
    <xf numFmtId="166" fontId="15" fillId="0" borderId="29" applyAlignment="1" pivotButton="0" quotePrefix="0" xfId="2">
      <alignment horizontal="center" vertical="center"/>
    </xf>
    <xf numFmtId="166" fontId="15" fillId="0" borderId="24" applyAlignment="1" pivotButton="0" quotePrefix="0" xfId="2">
      <alignment horizontal="center" vertical="center"/>
    </xf>
    <xf numFmtId="166" fontId="15" fillId="15" borderId="30" applyAlignment="1" pivotButton="0" quotePrefix="0" xfId="2">
      <alignment horizontal="center" vertical="center"/>
    </xf>
    <xf numFmtId="166" fontId="15" fillId="16" borderId="31" applyAlignment="1" pivotButton="0" quotePrefix="0" xfId="2">
      <alignment horizontal="center" vertical="center"/>
    </xf>
    <xf numFmtId="0" fontId="1" fillId="16" borderId="24" applyAlignment="1" pivotButton="0" quotePrefix="0" xfId="2">
      <alignment horizontal="center" vertical="center"/>
    </xf>
    <xf numFmtId="0" fontId="1" fillId="16" borderId="30" applyAlignment="1" pivotButton="0" quotePrefix="0" xfId="2">
      <alignment horizontal="center" vertical="center"/>
    </xf>
    <xf numFmtId="166" fontId="15" fillId="17" borderId="29" applyAlignment="1" pivotButton="0" quotePrefix="0" xfId="2">
      <alignment horizontal="center" vertical="center"/>
    </xf>
    <xf numFmtId="166" fontId="15" fillId="0" borderId="31" applyAlignment="1" pivotButton="0" quotePrefix="0" xfId="2">
      <alignment horizontal="center" vertical="center"/>
    </xf>
    <xf numFmtId="166" fontId="15" fillId="19" borderId="29" applyAlignment="1" pivotButton="0" quotePrefix="0" xfId="2">
      <alignment horizontal="center" vertical="center"/>
    </xf>
    <xf numFmtId="166" fontId="15" fillId="20" borderId="29" applyAlignment="1" pivotButton="0" quotePrefix="0" xfId="2">
      <alignment horizontal="center" vertical="center"/>
    </xf>
    <xf numFmtId="167" fontId="15" fillId="16" borderId="30" applyAlignment="1" pivotButton="0" quotePrefix="0" xfId="2">
      <alignment horizontal="center" vertical="center"/>
    </xf>
    <xf numFmtId="166" fontId="15" fillId="21" borderId="24" applyAlignment="1" pivotButton="0" quotePrefix="0" xfId="2">
      <alignment horizontal="center" vertical="center"/>
    </xf>
    <xf numFmtId="166" fontId="15" fillId="0" borderId="33" applyAlignment="1" pivotButton="0" quotePrefix="0" xfId="2">
      <alignment horizontal="center" vertical="center"/>
    </xf>
    <xf numFmtId="166" fontId="15" fillId="0" borderId="27" applyAlignment="1" pivotButton="0" quotePrefix="0" xfId="2">
      <alignment horizontal="center" vertical="center"/>
    </xf>
    <xf numFmtId="166" fontId="15" fillId="20" borderId="27" applyAlignment="1" pivotButton="0" quotePrefix="0" xfId="2">
      <alignment horizontal="center" vertical="center"/>
    </xf>
    <xf numFmtId="166" fontId="15" fillId="0" borderId="34" applyAlignment="1" pivotButton="0" quotePrefix="0" xfId="2">
      <alignment horizontal="center" vertical="center"/>
    </xf>
    <xf numFmtId="167" fontId="15" fillId="16" borderId="35" applyAlignment="1" pivotButton="0" quotePrefix="0" xfId="2">
      <alignment horizontal="center" vertical="center"/>
    </xf>
    <xf numFmtId="166" fontId="15" fillId="16" borderId="34" applyAlignment="1" pivotButton="0" quotePrefix="0" xfId="2">
      <alignment horizontal="center" vertical="center"/>
    </xf>
    <xf numFmtId="166" fontId="15" fillId="16" borderId="36" applyAlignment="1" pivotButton="0" quotePrefix="0" xfId="2">
      <alignment horizontal="center" vertical="center"/>
    </xf>
    <xf numFmtId="166" fontId="15" fillId="15" borderId="22" applyAlignment="1" pivotButton="0" quotePrefix="0" xfId="2">
      <alignment horizontal="center" vertical="center"/>
    </xf>
    <xf numFmtId="166" fontId="15" fillId="16" borderId="35" applyAlignment="1" pivotButton="0" quotePrefix="0" xfId="2">
      <alignment horizontal="center" vertical="center"/>
    </xf>
    <xf numFmtId="0" fontId="15" fillId="0" borderId="32" applyAlignment="1" pivotButton="0" quotePrefix="0" xfId="2">
      <alignment horizontal="center" vertical="center"/>
    </xf>
    <xf numFmtId="166" fontId="15" fillId="17" borderId="27" applyAlignment="1" pivotButton="0" quotePrefix="0" xfId="2">
      <alignment horizontal="center" vertical="center"/>
    </xf>
    <xf numFmtId="166" fontId="15" fillId="15" borderId="35" applyAlignment="1" pivotButton="0" quotePrefix="0" xfId="2">
      <alignment horizontal="center" vertical="center"/>
    </xf>
    <xf numFmtId="0" fontId="15" fillId="0" borderId="40" applyAlignment="1" pivotButton="0" quotePrefix="0" xfId="2">
      <alignment horizontal="center" vertical="center"/>
    </xf>
    <xf numFmtId="166" fontId="15" fillId="0" borderId="37" applyAlignment="1" pivotButton="0" quotePrefix="0" xfId="2">
      <alignment horizontal="center" vertical="center"/>
    </xf>
    <xf numFmtId="166" fontId="15" fillId="0" borderId="41" applyAlignment="1" pivotButton="0" quotePrefix="0" xfId="2">
      <alignment horizontal="center" vertical="center"/>
    </xf>
    <xf numFmtId="166" fontId="15" fillId="17" borderId="41" applyAlignment="1" pivotButton="0" quotePrefix="0" xfId="2">
      <alignment horizontal="center" vertical="center"/>
    </xf>
    <xf numFmtId="166" fontId="15" fillId="0" borderId="42" applyAlignment="1" pivotButton="0" quotePrefix="0" xfId="2">
      <alignment horizontal="center" vertical="center"/>
    </xf>
    <xf numFmtId="166" fontId="15" fillId="16" borderId="43" applyAlignment="1" pivotButton="0" quotePrefix="0" xfId="2">
      <alignment horizontal="center" vertical="center"/>
    </xf>
    <xf numFmtId="166" fontId="15" fillId="16" borderId="42" applyAlignment="1" pivotButton="0" quotePrefix="0" xfId="2">
      <alignment horizontal="center" vertical="center"/>
    </xf>
    <xf numFmtId="0" fontId="15" fillId="0" borderId="48" applyAlignment="1" pivotButton="0" quotePrefix="0" xfId="2">
      <alignment horizontal="center" vertical="center"/>
    </xf>
    <xf numFmtId="166" fontId="15" fillId="0" borderId="2" applyAlignment="1" pivotButton="0" quotePrefix="0" xfId="2">
      <alignment horizontal="center" vertical="center"/>
    </xf>
    <xf numFmtId="166" fontId="15" fillId="0" borderId="3" applyAlignment="1" pivotButton="0" quotePrefix="0" xfId="2">
      <alignment horizontal="center" vertical="center"/>
    </xf>
    <xf numFmtId="166" fontId="15" fillId="0" borderId="11" applyAlignment="1" pivotButton="0" quotePrefix="0" xfId="2">
      <alignment horizontal="center" vertical="center"/>
    </xf>
    <xf numFmtId="166" fontId="15" fillId="0" borderId="19" applyAlignment="1" pivotButton="0" quotePrefix="0" xfId="2">
      <alignment horizontal="center" vertical="center"/>
    </xf>
    <xf numFmtId="166" fontId="15" fillId="15" borderId="48" applyAlignment="1" pivotButton="0" quotePrefix="0" xfId="2">
      <alignment horizontal="center" vertical="center"/>
    </xf>
    <xf numFmtId="166" fontId="15" fillId="0" borderId="49" applyAlignment="1" pivotButton="0" quotePrefix="0" xfId="2">
      <alignment horizontal="center" vertical="center"/>
    </xf>
    <xf numFmtId="166" fontId="15" fillId="0" borderId="20" applyAlignment="1" pivotButton="0" quotePrefix="0" xfId="2">
      <alignment horizontal="center" vertical="center"/>
    </xf>
    <xf numFmtId="166" fontId="15" fillId="17" borderId="20" applyAlignment="1" pivotButton="0" quotePrefix="0" xfId="2">
      <alignment horizontal="center" vertical="center"/>
    </xf>
    <xf numFmtId="166" fontId="15" fillId="0" borderId="50" applyAlignment="1" pivotButton="0" quotePrefix="0" xfId="2">
      <alignment horizontal="center" vertical="center"/>
    </xf>
    <xf numFmtId="166" fontId="15" fillId="0" borderId="51" applyAlignment="1" pivotButton="0" quotePrefix="0" xfId="2">
      <alignment horizontal="center" vertical="center"/>
    </xf>
    <xf numFmtId="166" fontId="15" fillId="16" borderId="22" applyAlignment="1" pivotButton="0" quotePrefix="0" xfId="2">
      <alignment horizontal="center" vertical="center"/>
    </xf>
    <xf numFmtId="166" fontId="15" fillId="0" borderId="22" applyAlignment="1" pivotButton="0" quotePrefix="0" xfId="2">
      <alignment horizontal="center" vertical="center"/>
    </xf>
    <xf numFmtId="166" fontId="15" fillId="0" borderId="43" applyAlignment="1" pivotButton="0" quotePrefix="0" xfId="2">
      <alignment horizontal="center" vertical="center"/>
    </xf>
    <xf numFmtId="166" fontId="15" fillId="16" borderId="40" applyAlignment="1" pivotButton="0" quotePrefix="0" xfId="2">
      <alignment horizontal="center" vertical="center"/>
    </xf>
    <xf numFmtId="166" fontId="15" fillId="17" borderId="37" applyAlignment="1" pivotButton="0" quotePrefix="0" xfId="2">
      <alignment horizontal="center" vertical="center"/>
    </xf>
    <xf numFmtId="0" fontId="15" fillId="0" borderId="26" applyAlignment="1" pivotButton="0" quotePrefix="0" xfId="2">
      <alignment horizontal="center" vertical="center" wrapText="1"/>
    </xf>
    <xf numFmtId="0" fontId="15" fillId="0" borderId="17" applyAlignment="1" pivotButton="0" quotePrefix="0" xfId="2">
      <alignment horizontal="center" vertical="center"/>
    </xf>
    <xf numFmtId="167" fontId="15" fillId="16" borderId="17" applyAlignment="1" pivotButton="0" quotePrefix="0" xfId="2">
      <alignment horizontal="center" vertical="center"/>
    </xf>
    <xf numFmtId="166" fontId="15" fillId="16" borderId="15" applyAlignment="1" pivotButton="0" quotePrefix="0" xfId="2">
      <alignment horizontal="center" vertical="center"/>
    </xf>
    <xf numFmtId="166" fontId="15" fillId="21" borderId="17" applyAlignment="1" pivotButton="0" quotePrefix="0" xfId="2">
      <alignment horizontal="center" vertical="center"/>
    </xf>
    <xf numFmtId="0" fontId="15" fillId="0" borderId="54" applyAlignment="1" pivotButton="0" quotePrefix="0" xfId="2">
      <alignment horizontal="center" vertical="center" wrapText="1"/>
    </xf>
    <xf numFmtId="0" fontId="15" fillId="0" borderId="24" applyAlignment="1" pivotButton="0" quotePrefix="0" xfId="2">
      <alignment horizontal="center" vertical="center"/>
    </xf>
    <xf numFmtId="166" fontId="15" fillId="0" borderId="30" applyAlignment="1" pivotButton="0" quotePrefix="0" xfId="2">
      <alignment horizontal="center" vertical="center"/>
    </xf>
    <xf numFmtId="167" fontId="15" fillId="16" borderId="24" applyAlignment="1" pivotButton="0" quotePrefix="0" xfId="2">
      <alignment horizontal="center" vertical="center"/>
    </xf>
    <xf numFmtId="0" fontId="15" fillId="0" borderId="55" applyAlignment="1" pivotButton="0" quotePrefix="0" xfId="2">
      <alignment horizontal="center" vertical="center" wrapText="1"/>
    </xf>
    <xf numFmtId="0" fontId="15" fillId="0" borderId="42" applyAlignment="1" pivotButton="0" quotePrefix="0" xfId="2">
      <alignment horizontal="center" vertical="center"/>
    </xf>
    <xf numFmtId="167" fontId="15" fillId="16" borderId="42" applyAlignment="1" pivotButton="0" quotePrefix="0" xfId="2">
      <alignment horizontal="center" vertical="center"/>
    </xf>
    <xf numFmtId="166" fontId="15" fillId="21" borderId="37" applyAlignment="1" pivotButton="0" quotePrefix="0" xfId="2">
      <alignment horizontal="center" vertical="center"/>
    </xf>
    <xf numFmtId="166" fontId="15" fillId="21" borderId="42" applyAlignment="1" pivotButton="0" quotePrefix="0" xfId="2">
      <alignment horizontal="center" vertical="center"/>
    </xf>
    <xf numFmtId="168" fontId="15" fillId="16" borderId="42" applyAlignment="1" pivotButton="0" quotePrefix="0" xfId="2">
      <alignment horizontal="left" vertical="center" wrapText="1"/>
    </xf>
    <xf numFmtId="0" fontId="13" fillId="0" borderId="58" applyAlignment="1" pivotButton="0" quotePrefix="0" xfId="2">
      <alignment horizontal="center" vertical="center"/>
    </xf>
    <xf numFmtId="166" fontId="13" fillId="0" borderId="7" applyAlignment="1" pivotButton="0" quotePrefix="0" xfId="2">
      <alignment horizontal="center" vertical="center"/>
    </xf>
    <xf numFmtId="166" fontId="13" fillId="0" borderId="8" applyAlignment="1" pivotButton="0" quotePrefix="0" xfId="2">
      <alignment horizontal="center" vertical="center"/>
    </xf>
    <xf numFmtId="166" fontId="13" fillId="0" borderId="9" applyAlignment="1" pivotButton="0" quotePrefix="0" xfId="2">
      <alignment horizontal="center" vertical="center"/>
    </xf>
    <xf numFmtId="166" fontId="13" fillId="0" borderId="58" applyAlignment="1" pivotButton="0" quotePrefix="0" xfId="2">
      <alignment horizontal="center" vertical="center"/>
    </xf>
    <xf numFmtId="166" fontId="1" fillId="0" borderId="6" applyAlignment="1" pivotButton="0" quotePrefix="0" xfId="2">
      <alignment horizontal="center" vertical="center"/>
    </xf>
    <xf numFmtId="0" fontId="16" fillId="0" borderId="6" applyAlignment="1" pivotButton="0" quotePrefix="0" xfId="2">
      <alignment horizontal="center" vertical="center"/>
    </xf>
    <xf numFmtId="166" fontId="1" fillId="0" borderId="0" applyAlignment="1" pivotButton="0" quotePrefix="0" xfId="2">
      <alignment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3" fillId="0" borderId="56" applyAlignment="1" pivotButton="0" quotePrefix="0" xfId="2">
      <alignment horizontal="center" vertical="center"/>
    </xf>
    <xf numFmtId="0" fontId="13" fillId="0" borderId="57" applyAlignment="1" pivotButton="0" quotePrefix="0" xfId="2">
      <alignment horizontal="center" vertical="center"/>
    </xf>
    <xf numFmtId="0" fontId="13" fillId="0" borderId="58" applyAlignment="1" pivotButton="0" quotePrefix="0" xfId="2">
      <alignment horizontal="center" vertical="center"/>
    </xf>
    <xf numFmtId="166" fontId="1" fillId="0" borderId="6" applyAlignment="1" pivotButton="0" quotePrefix="0" xfId="2">
      <alignment horizontal="center" vertical="center"/>
    </xf>
    <xf numFmtId="0" fontId="1" fillId="0" borderId="6" applyAlignment="1" pivotButton="0" quotePrefix="0" xfId="2">
      <alignment horizontal="center" vertical="center"/>
    </xf>
    <xf numFmtId="167" fontId="15" fillId="22" borderId="0" applyAlignment="1" pivotButton="0" quotePrefix="0" xfId="2">
      <alignment horizontal="center" vertical="center"/>
    </xf>
    <xf numFmtId="0" fontId="1" fillId="22" borderId="0" applyAlignment="1" pivotButton="0" quotePrefix="0" xfId="2">
      <alignment horizontal="center" vertical="center"/>
    </xf>
    <xf numFmtId="0" fontId="1" fillId="20" borderId="0" applyAlignment="1" pivotButton="0" quotePrefix="0" xfId="2">
      <alignment horizontal="center" vertical="center"/>
    </xf>
    <xf numFmtId="0" fontId="1" fillId="17" borderId="0" applyAlignment="1" pivotButton="0" quotePrefix="0" xfId="2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4" fillId="0" borderId="27" applyAlignment="1" pivotButton="0" quotePrefix="0" xfId="2">
      <alignment horizontal="center" vertical="center" wrapText="1"/>
    </xf>
    <xf numFmtId="0" fontId="1" fillId="0" borderId="38" applyAlignment="1" pivotButton="0" quotePrefix="0" xfId="2">
      <alignment horizontal="center" vertical="center" wrapText="1"/>
    </xf>
    <xf numFmtId="0" fontId="15" fillId="0" borderId="27" applyAlignment="1" pivotButton="0" quotePrefix="0" xfId="2">
      <alignment horizontal="center" vertical="center"/>
    </xf>
    <xf numFmtId="0" fontId="1" fillId="0" borderId="38" applyAlignment="1" pivotButton="0" quotePrefix="0" xfId="2">
      <alignment horizontal="center" vertical="center"/>
    </xf>
    <xf numFmtId="0" fontId="15" fillId="0" borderId="34" applyAlignment="1" pivotButton="0" quotePrefix="0" xfId="2">
      <alignment horizontal="center" vertical="center"/>
    </xf>
    <xf numFmtId="0" fontId="1" fillId="0" borderId="53" applyAlignment="1" pivotButton="0" quotePrefix="0" xfId="2">
      <alignment horizontal="center" vertical="center"/>
    </xf>
    <xf numFmtId="0" fontId="15" fillId="16" borderId="22" applyAlignment="1" pivotButton="0" quotePrefix="0" xfId="2">
      <alignment vertical="center" wrapText="1"/>
    </xf>
    <xf numFmtId="0" fontId="1" fillId="0" borderId="40" applyAlignment="1" pivotButton="0" quotePrefix="0" xfId="2">
      <alignment vertical="center" wrapText="1"/>
    </xf>
    <xf numFmtId="0" fontId="1" fillId="0" borderId="15" applyAlignment="1" pivotButton="0" quotePrefix="0" xfId="2">
      <alignment horizontal="center" vertical="center" wrapText="1"/>
    </xf>
    <xf numFmtId="0" fontId="1" fillId="0" borderId="23" applyAlignment="1" pivotButton="0" quotePrefix="0" xfId="2">
      <alignment horizontal="center" vertical="center"/>
    </xf>
    <xf numFmtId="0" fontId="1" fillId="0" borderId="37" applyAlignment="1" pivotButton="0" quotePrefix="0" xfId="2">
      <alignment horizontal="center" vertical="center"/>
    </xf>
    <xf numFmtId="0" fontId="14" fillId="0" borderId="16" applyAlignment="1" pivotButton="0" quotePrefix="0" xfId="2">
      <alignment horizontal="center" vertical="center" wrapText="1"/>
    </xf>
    <xf numFmtId="0" fontId="1" fillId="0" borderId="29" applyAlignment="1" pivotButton="0" quotePrefix="0" xfId="2">
      <alignment horizontal="center" vertical="center" wrapText="1"/>
    </xf>
    <xf numFmtId="0" fontId="15" fillId="16" borderId="12" applyAlignment="1" pivotButton="0" quotePrefix="0" xfId="2">
      <alignment horizontal="left" vertical="center" wrapText="1"/>
    </xf>
    <xf numFmtId="0" fontId="1" fillId="0" borderId="25" applyAlignment="1" pivotButton="0" quotePrefix="0" xfId="2">
      <alignment horizontal="left" vertical="center" wrapText="1"/>
    </xf>
    <xf numFmtId="0" fontId="1" fillId="0" borderId="14" applyAlignment="1" pivotButton="0" quotePrefix="0" xfId="2">
      <alignment horizontal="left" vertical="center" wrapText="1"/>
    </xf>
    <xf numFmtId="0" fontId="1" fillId="0" borderId="41" applyAlignment="1" pivotButton="0" quotePrefix="0" xfId="2">
      <alignment horizontal="center" vertical="center"/>
    </xf>
    <xf numFmtId="166" fontId="15" fillId="21" borderId="31" applyAlignment="1" pivotButton="0" quotePrefix="0" xfId="2">
      <alignment horizontal="center" vertical="center"/>
    </xf>
    <xf numFmtId="0" fontId="1" fillId="21" borderId="30" applyAlignment="1" pivotButton="0" quotePrefix="0" xfId="2">
      <alignment horizontal="center" vertical="center"/>
    </xf>
    <xf numFmtId="0" fontId="14" fillId="0" borderId="27" applyAlignment="1" pivotButton="0" quotePrefix="0" xfId="2">
      <alignment horizontal="center" vertical="center"/>
    </xf>
    <xf numFmtId="0" fontId="14" fillId="0" borderId="20" applyAlignment="1" pivotButton="0" quotePrefix="0" xfId="2">
      <alignment horizontal="center" vertical="center"/>
    </xf>
    <xf numFmtId="0" fontId="15" fillId="0" borderId="20" applyAlignment="1" pivotButton="0" quotePrefix="0" xfId="2">
      <alignment horizontal="center" vertical="center"/>
    </xf>
    <xf numFmtId="0" fontId="15" fillId="0" borderId="28" applyAlignment="1" pivotButton="0" quotePrefix="0" xfId="2">
      <alignment horizontal="center" vertical="center"/>
    </xf>
    <xf numFmtId="0" fontId="15" fillId="0" borderId="21" applyAlignment="1" pivotButton="0" quotePrefix="0" xfId="2">
      <alignment horizontal="center" vertical="center"/>
    </xf>
    <xf numFmtId="0" fontId="1" fillId="0" borderId="39" applyAlignment="1" pivotButton="0" quotePrefix="0" xfId="2">
      <alignment horizontal="center" vertical="center"/>
    </xf>
    <xf numFmtId="0" fontId="15" fillId="16" borderId="32" applyAlignment="1" pivotButton="0" quotePrefix="0" xfId="2">
      <alignment vertical="center" wrapText="1"/>
    </xf>
    <xf numFmtId="0" fontId="15" fillId="16" borderId="25" applyAlignment="1" pivotButton="0" quotePrefix="0" xfId="2">
      <alignment vertical="center" wrapText="1"/>
    </xf>
    <xf numFmtId="0" fontId="1" fillId="0" borderId="45" applyAlignment="1" pivotButton="0" quotePrefix="0" xfId="2">
      <alignment vertical="center" wrapText="1"/>
    </xf>
    <xf numFmtId="166" fontId="15" fillId="17" borderId="44" applyAlignment="1" pivotButton="0" quotePrefix="0" xfId="2">
      <alignment horizontal="center" vertical="center"/>
    </xf>
    <xf numFmtId="0" fontId="1" fillId="17" borderId="43" applyAlignment="1" pivotButton="0" quotePrefix="0" xfId="2">
      <alignment horizontal="center" vertical="center"/>
    </xf>
    <xf numFmtId="0" fontId="1" fillId="0" borderId="46" applyAlignment="1" pivotButton="0" quotePrefix="0" xfId="2">
      <alignment horizontal="center" vertical="center" wrapText="1"/>
    </xf>
    <xf numFmtId="0" fontId="1" fillId="0" borderId="49" applyAlignment="1" pivotButton="0" quotePrefix="0" xfId="2">
      <alignment horizontal="center" vertical="center" wrapText="1"/>
    </xf>
    <xf numFmtId="0" fontId="1" fillId="0" borderId="52" applyAlignment="1" pivotButton="0" quotePrefix="0" xfId="2">
      <alignment horizontal="center" vertical="center"/>
    </xf>
    <xf numFmtId="0" fontId="14" fillId="0" borderId="13" applyAlignment="1" pivotButton="0" quotePrefix="0" xfId="2">
      <alignment horizontal="center" vertical="center" wrapText="1"/>
    </xf>
    <xf numFmtId="0" fontId="1" fillId="0" borderId="16" applyAlignment="1" pivotButton="0" quotePrefix="0" xfId="2">
      <alignment horizontal="center" vertical="center" wrapText="1"/>
    </xf>
    <xf numFmtId="0" fontId="15" fillId="0" borderId="13" applyAlignment="1" pivotButton="0" quotePrefix="0" xfId="2">
      <alignment horizontal="center" vertical="center" wrapText="1"/>
    </xf>
    <xf numFmtId="0" fontId="15" fillId="0" borderId="47" applyAlignment="1" pivotButton="0" quotePrefix="0" xfId="2">
      <alignment horizontal="center" vertical="center"/>
    </xf>
    <xf numFmtId="0" fontId="1" fillId="0" borderId="17" applyAlignment="1" pivotButton="0" quotePrefix="0" xfId="2">
      <alignment horizontal="center" vertical="center"/>
    </xf>
    <xf numFmtId="0" fontId="15" fillId="16" borderId="48" applyAlignment="1" pivotButton="0" quotePrefix="0" xfId="2">
      <alignment vertical="center" wrapText="1"/>
    </xf>
    <xf numFmtId="0" fontId="1" fillId="0" borderId="22" applyAlignment="1" pivotButton="0" quotePrefix="0" xfId="2">
      <alignment vertical="center" wrapText="1"/>
    </xf>
    <xf numFmtId="0" fontId="1" fillId="0" borderId="16" applyAlignment="1" pivotButton="0" quotePrefix="0" xfId="2">
      <alignment horizontal="center" vertical="center"/>
    </xf>
    <xf numFmtId="0" fontId="15" fillId="0" borderId="27" applyAlignment="1" pivotButton="0" quotePrefix="0" xfId="2">
      <alignment horizontal="center" vertical="center" wrapText="1"/>
    </xf>
    <xf numFmtId="0" fontId="15" fillId="0" borderId="20" applyAlignment="1" pivotButton="0" quotePrefix="0" xfId="2">
      <alignment horizontal="center" vertical="center" wrapText="1"/>
    </xf>
    <xf numFmtId="0" fontId="1" fillId="0" borderId="26" applyAlignment="1" pivotButton="0" quotePrefix="0" xfId="2">
      <alignment horizontal="center" vertical="center"/>
    </xf>
    <xf numFmtId="0" fontId="1" fillId="0" borderId="14" applyAlignment="1" pivotButton="0" quotePrefix="0" xfId="2">
      <alignment vertical="center" wrapText="1"/>
    </xf>
    <xf numFmtId="166" fontId="15" fillId="17" borderId="31" applyAlignment="1" pivotButton="0" quotePrefix="0" xfId="2">
      <alignment horizontal="center" vertical="center"/>
    </xf>
    <xf numFmtId="0" fontId="1" fillId="17" borderId="30" applyAlignment="1" pivotButton="0" quotePrefix="0" xfId="2">
      <alignment horizontal="center" vertical="center"/>
    </xf>
    <xf numFmtId="0" fontId="15" fillId="0" borderId="28" applyAlignment="1" pivotButton="0" quotePrefix="0" xfId="2">
      <alignment horizontal="center" vertical="center" wrapText="1"/>
    </xf>
    <xf numFmtId="0" fontId="15" fillId="0" borderId="21" applyAlignment="1" pivotButton="0" quotePrefix="0" xfId="2">
      <alignment horizontal="center" vertical="center" wrapText="1"/>
    </xf>
    <xf numFmtId="0" fontId="1" fillId="0" borderId="26" applyAlignment="1" pivotButton="0" quotePrefix="0" xfId="2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1" fillId="0" borderId="33" applyAlignment="1" pivotButton="0" quotePrefix="0" xfId="2">
      <alignment horizontal="center" vertical="center"/>
    </xf>
    <xf numFmtId="0" fontId="14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 wrapText="1"/>
    </xf>
    <xf numFmtId="0" fontId="15" fillId="0" borderId="5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5" fillId="16" borderId="12" applyAlignment="1" pivotButton="0" quotePrefix="0" xfId="2">
      <alignment vertical="center" wrapText="1"/>
    </xf>
    <xf numFmtId="0" fontId="1" fillId="0" borderId="25" applyAlignment="1" pivotButton="0" quotePrefix="0" xfId="2">
      <alignment vertical="center" wrapText="1"/>
    </xf>
    <xf numFmtId="0" fontId="0" fillId="0" borderId="61" pivotButton="0" quotePrefix="0" xfId="0"/>
    <xf numFmtId="0" fontId="0" fillId="0" borderId="62" pivotButton="0" quotePrefix="0" xfId="0"/>
    <xf numFmtId="0" fontId="0" fillId="0" borderId="65" pivotButton="0" quotePrefix="0" xfId="0"/>
    <xf numFmtId="16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164" fontId="7" fillId="14" borderId="1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164" fontId="6" fillId="11" borderId="1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4" fontId="7" fillId="11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165" fontId="8" fillId="12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  <xf numFmtId="165" fontId="8" fillId="13" borderId="1" applyAlignment="1" pivotButton="0" quotePrefix="0" xfId="0">
      <alignment horizontal="right" vertical="center"/>
    </xf>
    <xf numFmtId="0" fontId="14" fillId="0" borderId="3" applyAlignment="1" pivotButton="0" quotePrefix="0" xfId="2">
      <alignment horizontal="center" vertical="center"/>
    </xf>
    <xf numFmtId="0" fontId="15" fillId="0" borderId="3" applyAlignment="1" pivotButton="0" quotePrefix="0" xfId="2">
      <alignment horizontal="center" vertical="center" wrapText="1"/>
    </xf>
    <xf numFmtId="0" fontId="15" fillId="0" borderId="4" applyAlignment="1" pivotButton="0" quotePrefix="0" xfId="2">
      <alignment horizontal="center" vertical="center"/>
    </xf>
    <xf numFmtId="166" fontId="15" fillId="0" borderId="15" applyAlignment="1" pivotButton="0" quotePrefix="0" xfId="2">
      <alignment horizontal="center" vertical="center"/>
    </xf>
    <xf numFmtId="166" fontId="15" fillId="0" borderId="16" applyAlignment="1" pivotButton="0" quotePrefix="0" xfId="2">
      <alignment horizontal="center" vertical="center"/>
    </xf>
    <xf numFmtId="166" fontId="15" fillId="0" borderId="17" applyAlignment="1" pivotButton="0" quotePrefix="0" xfId="2">
      <alignment horizontal="center" vertical="center"/>
    </xf>
    <xf numFmtId="166" fontId="15" fillId="0" borderId="18" applyAlignment="1" pivotButton="0" quotePrefix="0" xfId="2">
      <alignment horizontal="center" vertical="center"/>
    </xf>
    <xf numFmtId="166" fontId="15" fillId="15" borderId="19" applyAlignment="1" pivotButton="0" quotePrefix="0" xfId="2">
      <alignment horizontal="center" vertical="center"/>
    </xf>
    <xf numFmtId="166" fontId="15" fillId="16" borderId="11" applyAlignment="1" pivotButton="0" quotePrefix="0" xfId="2">
      <alignment horizontal="center" vertical="center"/>
    </xf>
    <xf numFmtId="166" fontId="15" fillId="16" borderId="2" applyAlignment="1" pivotButton="0" quotePrefix="0" xfId="2">
      <alignment horizontal="center" vertical="center"/>
    </xf>
    <xf numFmtId="0" fontId="0" fillId="0" borderId="49" pivotButton="0" quotePrefix="0" xfId="0"/>
    <xf numFmtId="0" fontId="0" fillId="0" borderId="20" pivotButton="0" quotePrefix="0" xfId="0"/>
    <xf numFmtId="0" fontId="0" fillId="0" borderId="21" pivotButton="0" quotePrefix="0" xfId="0"/>
    <xf numFmtId="166" fontId="15" fillId="17" borderId="16" applyAlignment="1" pivotButton="0" quotePrefix="0" xfId="2">
      <alignment horizontal="center" vertical="center"/>
    </xf>
    <xf numFmtId="166" fontId="15" fillId="16" borderId="18" applyAlignment="1" pivotButton="0" quotePrefix="0" xfId="2">
      <alignment horizontal="center" vertical="center"/>
    </xf>
    <xf numFmtId="166" fontId="15" fillId="17" borderId="17" applyAlignment="1" pivotButton="0" quotePrefix="0" xfId="2">
      <alignment horizontal="center" vertical="center"/>
    </xf>
    <xf numFmtId="166" fontId="15" fillId="16" borderId="23" applyAlignment="1" pivotButton="0" quotePrefix="0" xfId="2">
      <alignment horizontal="center" vertical="center"/>
    </xf>
    <xf numFmtId="166" fontId="15" fillId="16" borderId="24" applyAlignment="1" pivotButton="0" quotePrefix="0" xfId="2">
      <alignment horizontal="center" vertical="center"/>
    </xf>
    <xf numFmtId="0" fontId="0" fillId="0" borderId="25" pivotButton="0" quotePrefix="0" xfId="0"/>
    <xf numFmtId="166" fontId="15" fillId="16" borderId="17" applyAlignment="1" pivotButton="0" quotePrefix="0" xfId="2">
      <alignment horizontal="center" vertical="center"/>
    </xf>
    <xf numFmtId="166" fontId="15" fillId="17" borderId="23" applyAlignment="1" pivotButton="0" quotePrefix="0" xfId="2">
      <alignment horizontal="center" vertical="center"/>
    </xf>
    <xf numFmtId="0" fontId="0" fillId="0" borderId="16" pivotButton="0" quotePrefix="0" xfId="0"/>
    <xf numFmtId="0" fontId="0" fillId="0" borderId="26" pivotButton="0" quotePrefix="0" xfId="0"/>
    <xf numFmtId="166" fontId="15" fillId="17" borderId="24" applyAlignment="1" pivotButton="0" quotePrefix="0" xfId="2">
      <alignment horizontal="center" vertical="center"/>
    </xf>
    <xf numFmtId="0" fontId="0" fillId="0" borderId="14" pivotButton="0" quotePrefix="0" xfId="0"/>
    <xf numFmtId="0" fontId="15" fillId="0" borderId="29" applyAlignment="1" pivotButton="0" quotePrefix="0" xfId="2">
      <alignment horizontal="center" vertical="center" wrapText="1"/>
    </xf>
    <xf numFmtId="0" fontId="15" fillId="0" borderId="54" applyAlignment="1" pivotButton="0" quotePrefix="0" xfId="2">
      <alignment horizontal="center" vertical="center"/>
    </xf>
    <xf numFmtId="166" fontId="15" fillId="0" borderId="23" applyAlignment="1" pivotButton="0" quotePrefix="0" xfId="2">
      <alignment horizontal="center" vertical="center"/>
    </xf>
    <xf numFmtId="166" fontId="15" fillId="18" borderId="29" applyAlignment="1" pivotButton="0" quotePrefix="0" xfId="2">
      <alignment horizontal="center" vertical="center"/>
    </xf>
    <xf numFmtId="166" fontId="15" fillId="0" borderId="29" applyAlignment="1" pivotButton="0" quotePrefix="0" xfId="2">
      <alignment horizontal="center" vertical="center"/>
    </xf>
    <xf numFmtId="166" fontId="15" fillId="0" borderId="24" applyAlignment="1" pivotButton="0" quotePrefix="0" xfId="2">
      <alignment horizontal="center" vertical="center"/>
    </xf>
    <xf numFmtId="166" fontId="15" fillId="15" borderId="30" applyAlignment="1" pivotButton="0" quotePrefix="0" xfId="2">
      <alignment horizontal="center" vertical="center"/>
    </xf>
    <xf numFmtId="166" fontId="15" fillId="16" borderId="31" applyAlignment="1" pivotButton="0" quotePrefix="0" xfId="2">
      <alignment horizontal="center" vertical="center"/>
    </xf>
    <xf numFmtId="166" fontId="15" fillId="17" borderId="29" applyAlignment="1" pivotButton="0" quotePrefix="0" xfId="2">
      <alignment horizontal="center" vertical="center"/>
    </xf>
    <xf numFmtId="166" fontId="15" fillId="17" borderId="22" applyAlignment="1" pivotButton="0" quotePrefix="0" xfId="2">
      <alignment horizontal="center" vertical="center"/>
    </xf>
    <xf numFmtId="0" fontId="0" fillId="0" borderId="30" pivotButton="0" quotePrefix="0" xfId="0"/>
    <xf numFmtId="0" fontId="15" fillId="0" borderId="29" applyAlignment="1" pivotButton="0" quotePrefix="0" xfId="2">
      <alignment horizontal="center" vertical="center"/>
    </xf>
    <xf numFmtId="0" fontId="14" fillId="0" borderId="29" applyAlignment="1" pivotButton="0" quotePrefix="0" xfId="2">
      <alignment horizontal="center" vertical="center"/>
    </xf>
    <xf numFmtId="166" fontId="15" fillId="0" borderId="31" applyAlignment="1" pivotButton="0" quotePrefix="0" xfId="2">
      <alignment horizontal="center" vertical="center"/>
    </xf>
    <xf numFmtId="166" fontId="15" fillId="19" borderId="29" applyAlignment="1" pivotButton="0" quotePrefix="0" xfId="2">
      <alignment horizontal="center" vertical="center"/>
    </xf>
    <xf numFmtId="0" fontId="14" fillId="0" borderId="29" applyAlignment="1" pivotButton="0" quotePrefix="0" xfId="2">
      <alignment horizontal="center" vertical="center" wrapText="1"/>
    </xf>
    <xf numFmtId="166" fontId="15" fillId="20" borderId="29" applyAlignment="1" pivotButton="0" quotePrefix="0" xfId="2">
      <alignment horizontal="center" vertical="center"/>
    </xf>
    <xf numFmtId="167" fontId="15" fillId="16" borderId="30" applyAlignment="1" pivotButton="0" quotePrefix="0" xfId="2">
      <alignment horizontal="center" vertical="center"/>
    </xf>
    <xf numFmtId="166" fontId="15" fillId="21" borderId="24" applyAlignment="1" pivotButton="0" quotePrefix="0" xfId="2">
      <alignment horizontal="center" vertical="center"/>
    </xf>
    <xf numFmtId="166" fontId="15" fillId="0" borderId="33" applyAlignment="1" pivotButton="0" quotePrefix="0" xfId="2">
      <alignment horizontal="center" vertical="center"/>
    </xf>
    <xf numFmtId="166" fontId="15" fillId="0" borderId="27" applyAlignment="1" pivotButton="0" quotePrefix="0" xfId="2">
      <alignment horizontal="center" vertical="center"/>
    </xf>
    <xf numFmtId="166" fontId="15" fillId="20" borderId="27" applyAlignment="1" pivotButton="0" quotePrefix="0" xfId="2">
      <alignment horizontal="center" vertical="center"/>
    </xf>
    <xf numFmtId="166" fontId="15" fillId="0" borderId="34" applyAlignment="1" pivotButton="0" quotePrefix="0" xfId="2">
      <alignment horizontal="center" vertical="center"/>
    </xf>
    <xf numFmtId="167" fontId="15" fillId="16" borderId="35" applyAlignment="1" pivotButton="0" quotePrefix="0" xfId="2">
      <alignment horizontal="center" vertical="center"/>
    </xf>
    <xf numFmtId="166" fontId="15" fillId="16" borderId="34" applyAlignment="1" pivotButton="0" quotePrefix="0" xfId="2">
      <alignment horizontal="center" vertical="center"/>
    </xf>
    <xf numFmtId="166" fontId="15" fillId="16" borderId="36" applyAlignment="1" pivotButton="0" quotePrefix="0" xfId="2">
      <alignment horizontal="center" vertical="center"/>
    </xf>
    <xf numFmtId="0" fontId="14" fillId="0" borderId="41" applyAlignment="1" pivotButton="0" quotePrefix="0" xfId="2">
      <alignment horizontal="center" vertical="center"/>
    </xf>
    <xf numFmtId="0" fontId="15" fillId="0" borderId="41" applyAlignment="1" pivotButton="0" quotePrefix="0" xfId="2">
      <alignment horizontal="center" vertical="center"/>
    </xf>
    <xf numFmtId="0" fontId="15" fillId="0" borderId="55" applyAlignment="1" pivotButton="0" quotePrefix="0" xfId="2">
      <alignment horizontal="center" vertical="center"/>
    </xf>
    <xf numFmtId="166" fontId="15" fillId="15" borderId="22" applyAlignment="1" pivotButton="0" quotePrefix="0" xfId="2">
      <alignment horizontal="center" vertical="center"/>
    </xf>
    <xf numFmtId="166" fontId="15" fillId="16" borderId="35" applyAlignment="1" pivotButton="0" quotePrefix="0" xfId="2">
      <alignment horizontal="center" vertical="center"/>
    </xf>
    <xf numFmtId="0" fontId="15" fillId="16" borderId="40" applyAlignment="1" pivotButton="0" quotePrefix="0" xfId="2">
      <alignment vertical="center" wrapText="1"/>
    </xf>
    <xf numFmtId="166" fontId="15" fillId="17" borderId="27" applyAlignment="1" pivotButton="0" quotePrefix="0" xfId="2">
      <alignment horizontal="center" vertical="center"/>
    </xf>
    <xf numFmtId="166" fontId="15" fillId="15" borderId="35" applyAlignment="1" pivotButton="0" quotePrefix="0" xfId="2">
      <alignment horizontal="center" vertical="center"/>
    </xf>
    <xf numFmtId="0" fontId="0" fillId="0" borderId="15" pivotButton="0" quotePrefix="0" xfId="0"/>
    <xf numFmtId="0" fontId="0" fillId="0" borderId="38" pivotButton="0" quotePrefix="0" xfId="0"/>
    <xf numFmtId="0" fontId="0" fillId="0" borderId="39" pivotButton="0" quotePrefix="0" xfId="0"/>
    <xf numFmtId="166" fontId="15" fillId="0" borderId="37" applyAlignment="1" pivotButton="0" quotePrefix="0" xfId="2">
      <alignment horizontal="center" vertical="center"/>
    </xf>
    <xf numFmtId="166" fontId="15" fillId="0" borderId="41" applyAlignment="1" pivotButton="0" quotePrefix="0" xfId="2">
      <alignment horizontal="center" vertical="center"/>
    </xf>
    <xf numFmtId="166" fontId="15" fillId="17" borderId="41" applyAlignment="1" pivotButton="0" quotePrefix="0" xfId="2">
      <alignment horizontal="center" vertical="center"/>
    </xf>
    <xf numFmtId="166" fontId="15" fillId="0" borderId="42" applyAlignment="1" pivotButton="0" quotePrefix="0" xfId="2">
      <alignment horizontal="center" vertical="center"/>
    </xf>
    <xf numFmtId="166" fontId="15" fillId="16" borderId="43" applyAlignment="1" pivotButton="0" quotePrefix="0" xfId="2">
      <alignment horizontal="center" vertical="center"/>
    </xf>
    <xf numFmtId="166" fontId="15" fillId="16" borderId="42" applyAlignment="1" pivotButton="0" quotePrefix="0" xfId="2">
      <alignment horizontal="center" vertical="center"/>
    </xf>
    <xf numFmtId="166" fontId="15" fillId="17" borderId="40" applyAlignment="1" pivotButton="0" quotePrefix="0" xfId="2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1" fillId="0" borderId="7" applyAlignment="1" pivotButton="0" quotePrefix="0" xfId="2">
      <alignment horizontal="center" vertical="center" wrapText="1"/>
    </xf>
    <xf numFmtId="0" fontId="14" fillId="0" borderId="3" applyAlignment="1" pivotButton="0" quotePrefix="0" xfId="2">
      <alignment horizontal="center" vertical="center" wrapText="1"/>
    </xf>
    <xf numFmtId="0" fontId="15" fillId="0" borderId="11" applyAlignment="1" pivotButton="0" quotePrefix="0" xfId="2">
      <alignment horizontal="center" vertical="center"/>
    </xf>
    <xf numFmtId="166" fontId="15" fillId="0" borderId="2" applyAlignment="1" pivotButton="0" quotePrefix="0" xfId="2">
      <alignment horizontal="center" vertical="center"/>
    </xf>
    <xf numFmtId="166" fontId="15" fillId="0" borderId="3" applyAlignment="1" pivotButton="0" quotePrefix="0" xfId="2">
      <alignment horizontal="center" vertical="center"/>
    </xf>
    <xf numFmtId="166" fontId="15" fillId="0" borderId="11" applyAlignment="1" pivotButton="0" quotePrefix="0" xfId="2">
      <alignment horizontal="center" vertical="center"/>
    </xf>
    <xf numFmtId="166" fontId="15" fillId="0" borderId="19" applyAlignment="1" pivotButton="0" quotePrefix="0" xfId="2">
      <alignment horizontal="center" vertical="center"/>
    </xf>
    <xf numFmtId="166" fontId="15" fillId="15" borderId="48" applyAlignment="1" pivotButton="0" quotePrefix="0" xfId="2">
      <alignment horizontal="center" vertical="center"/>
    </xf>
    <xf numFmtId="0" fontId="0" fillId="0" borderId="17" pivotButton="0" quotePrefix="0" xfId="0"/>
    <xf numFmtId="166" fontId="15" fillId="0" borderId="49" applyAlignment="1" pivotButton="0" quotePrefix="0" xfId="2">
      <alignment horizontal="center" vertical="center"/>
    </xf>
    <xf numFmtId="166" fontId="15" fillId="0" borderId="20" applyAlignment="1" pivotButton="0" quotePrefix="0" xfId="2">
      <alignment horizontal="center" vertical="center"/>
    </xf>
    <xf numFmtId="166" fontId="15" fillId="17" borderId="20" applyAlignment="1" pivotButton="0" quotePrefix="0" xfId="2">
      <alignment horizontal="center" vertical="center"/>
    </xf>
    <xf numFmtId="166" fontId="15" fillId="0" borderId="50" applyAlignment="1" pivotButton="0" quotePrefix="0" xfId="2">
      <alignment horizontal="center" vertical="center"/>
    </xf>
    <xf numFmtId="166" fontId="15" fillId="0" borderId="51" applyAlignment="1" pivotButton="0" quotePrefix="0" xfId="2">
      <alignment horizontal="center" vertical="center"/>
    </xf>
    <xf numFmtId="166" fontId="15" fillId="16" borderId="22" applyAlignment="1" pivotButton="0" quotePrefix="0" xfId="2">
      <alignment horizontal="center" vertical="center"/>
    </xf>
    <xf numFmtId="0" fontId="14" fillId="0" borderId="41" applyAlignment="1" pivotButton="0" quotePrefix="0" xfId="2">
      <alignment horizontal="center" vertical="center" wrapText="1"/>
    </xf>
    <xf numFmtId="166" fontId="15" fillId="0" borderId="22" applyAlignment="1" pivotButton="0" quotePrefix="0" xfId="2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166" fontId="15" fillId="0" borderId="43" applyAlignment="1" pivotButton="0" quotePrefix="0" xfId="2">
      <alignment horizontal="center" vertical="center"/>
    </xf>
    <xf numFmtId="166" fontId="15" fillId="16" borderId="40" applyAlignment="1" pivotButton="0" quotePrefix="0" xfId="2">
      <alignment horizontal="center" vertical="center"/>
    </xf>
    <xf numFmtId="166" fontId="15" fillId="17" borderId="37" applyAlignment="1" pivotButton="0" quotePrefix="0" xfId="2">
      <alignment horizontal="center" vertical="center"/>
    </xf>
    <xf numFmtId="167" fontId="15" fillId="16" borderId="17" applyAlignment="1" pivotButton="0" quotePrefix="0" xfId="2">
      <alignment horizontal="center" vertical="center"/>
    </xf>
    <xf numFmtId="166" fontId="15" fillId="16" borderId="15" applyAlignment="1" pivotButton="0" quotePrefix="0" xfId="2">
      <alignment horizontal="center" vertical="center"/>
    </xf>
    <xf numFmtId="166" fontId="15" fillId="21" borderId="17" applyAlignment="1" pivotButton="0" quotePrefix="0" xfId="2">
      <alignment horizontal="center" vertical="center"/>
    </xf>
    <xf numFmtId="0" fontId="15" fillId="16" borderId="48" applyAlignment="1" pivotButton="0" quotePrefix="0" xfId="2">
      <alignment horizontal="left" vertical="center" wrapText="1"/>
    </xf>
    <xf numFmtId="166" fontId="15" fillId="0" borderId="30" applyAlignment="1" pivotButton="0" quotePrefix="0" xfId="2">
      <alignment horizontal="center" vertical="center"/>
    </xf>
    <xf numFmtId="167" fontId="15" fillId="16" borderId="24" applyAlignment="1" pivotButton="0" quotePrefix="0" xfId="2">
      <alignment horizontal="center" vertical="center"/>
    </xf>
    <xf numFmtId="166" fontId="15" fillId="21" borderId="22" applyAlignment="1" pivotButton="0" quotePrefix="0" xfId="2">
      <alignment horizontal="center" vertical="center"/>
    </xf>
    <xf numFmtId="167" fontId="15" fillId="16" borderId="42" applyAlignment="1" pivotButton="0" quotePrefix="0" xfId="2">
      <alignment horizontal="center" vertical="center"/>
    </xf>
    <xf numFmtId="166" fontId="15" fillId="21" borderId="37" applyAlignment="1" pivotButton="0" quotePrefix="0" xfId="2">
      <alignment horizontal="center" vertical="center"/>
    </xf>
    <xf numFmtId="166" fontId="15" fillId="21" borderId="42" applyAlignment="1" pivotButton="0" quotePrefix="0" xfId="2">
      <alignment horizontal="center" vertical="center"/>
    </xf>
    <xf numFmtId="168" fontId="15" fillId="16" borderId="42" applyAlignment="1" pivotButton="0" quotePrefix="0" xfId="2">
      <alignment horizontal="left" vertical="center" wrapText="1"/>
    </xf>
    <xf numFmtId="0" fontId="0" fillId="0" borderId="57" pivotButton="0" quotePrefix="0" xfId="0"/>
    <xf numFmtId="0" fontId="0" fillId="0" borderId="58" pivotButton="0" quotePrefix="0" xfId="0"/>
    <xf numFmtId="166" fontId="13" fillId="0" borderId="7" applyAlignment="1" pivotButton="0" quotePrefix="0" xfId="2">
      <alignment horizontal="center" vertical="center"/>
    </xf>
    <xf numFmtId="166" fontId="13" fillId="0" borderId="8" applyAlignment="1" pivotButton="0" quotePrefix="0" xfId="2">
      <alignment horizontal="center" vertical="center"/>
    </xf>
    <xf numFmtId="166" fontId="13" fillId="0" borderId="9" applyAlignment="1" pivotButton="0" quotePrefix="0" xfId="2">
      <alignment horizontal="center" vertical="center"/>
    </xf>
    <xf numFmtId="166" fontId="13" fillId="0" borderId="58" applyAlignment="1" pivotButton="0" quotePrefix="0" xfId="2">
      <alignment horizontal="center" vertical="center"/>
    </xf>
    <xf numFmtId="166" fontId="1" fillId="0" borderId="6" applyAlignment="1" pivotButton="0" quotePrefix="0" xfId="2">
      <alignment horizontal="center" vertical="center"/>
    </xf>
    <xf numFmtId="167" fontId="15" fillId="22" borderId="0" applyAlignment="1" pivotButton="0" quotePrefix="0" xfId="2">
      <alignment horizontal="center" vertical="center"/>
    </xf>
    <xf numFmtId="166" fontId="1" fillId="0" borderId="0" applyAlignment="1" pivotButton="0" quotePrefix="0" xfId="2">
      <alignment vertical="center"/>
    </xf>
  </cellXfs>
  <cellStyles count="3">
    <cellStyle name="표준" xfId="0" builtinId="0"/>
    <cellStyle name="백분율 3" xfId="1"/>
    <cellStyle name="표준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externalLink" Target="/xl/externalLinks/externalLink6.xml" Id="rId10" /><Relationship Type="http://schemas.openxmlformats.org/officeDocument/2006/relationships/externalLink" Target="/xl/externalLinks/externalLink7.xml" Id="rId11" /><Relationship Type="http://schemas.openxmlformats.org/officeDocument/2006/relationships/externalLink" Target="/xl/externalLinks/externalLink8.xml" Id="rId12" /><Relationship Type="http://schemas.openxmlformats.org/officeDocument/2006/relationships/externalLink" Target="/xl/externalLinks/externalLink9.xml" Id="rId13" /><Relationship Type="http://schemas.openxmlformats.org/officeDocument/2006/relationships/externalLink" Target="/xl/externalLinks/externalLink10.xml" Id="rId14" /><Relationship Type="http://schemas.openxmlformats.org/officeDocument/2006/relationships/externalLink" Target="/xl/externalLinks/externalLink11.xml" Id="rId15" /><Relationship Type="http://schemas.openxmlformats.org/officeDocument/2006/relationships/externalLink" Target="/xl/externalLinks/externalLink12.xml" Id="rId16" /><Relationship Type="http://schemas.openxmlformats.org/officeDocument/2006/relationships/externalLink" Target="/xl/externalLinks/externalLink13.xml" Id="rId17" /><Relationship Type="http://schemas.openxmlformats.org/officeDocument/2006/relationships/externalLink" Target="/xl/externalLinks/externalLink14.xml" Id="rId18" /><Relationship Type="http://schemas.openxmlformats.org/officeDocument/2006/relationships/externalLink" Target="/xl/externalLinks/externalLink15.xml" Id="rId19" /><Relationship Type="http://schemas.openxmlformats.org/officeDocument/2006/relationships/externalLink" Target="/xl/externalLinks/externalLink16.xml" Id="rId20" /><Relationship Type="http://schemas.openxmlformats.org/officeDocument/2006/relationships/externalLink" Target="/xl/externalLinks/externalLink17.xml" Id="rId21" /><Relationship Type="http://schemas.openxmlformats.org/officeDocument/2006/relationships/externalLink" Target="/xl/externalLinks/externalLink18.xml" Id="rId22" /><Relationship Type="http://schemas.openxmlformats.org/officeDocument/2006/relationships/externalLink" Target="/xl/externalLinks/externalLink19.xml" Id="rId23" /><Relationship Type="http://schemas.openxmlformats.org/officeDocument/2006/relationships/externalLink" Target="/xl/externalLinks/externalLink20.xml" Id="rId24" /><Relationship Type="http://schemas.openxmlformats.org/officeDocument/2006/relationships/externalLink" Target="/xl/externalLinks/externalLink21.xml" Id="rId25" /><Relationship Type="http://schemas.openxmlformats.org/officeDocument/2006/relationships/externalLink" Target="/xl/externalLinks/externalLink22.xml" Id="rId26" /><Relationship Type="http://schemas.openxmlformats.org/officeDocument/2006/relationships/externalLink" Target="/xl/externalLinks/externalLink23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omments/comment1.xml><?xml version="1.0" encoding="utf-8"?>
<comments xmlns="http://schemas.openxmlformats.org/spreadsheetml/2006/main">
  <authors>
    <author>오인희(Inhee Oh)/HumaxEV</author>
    <author>주혜윤(Hyeyun Ju)</author>
  </authors>
  <commentList>
    <comment ref="H7" authorId="0" shapeId="0">
      <text>
        <t>오인희(Inhee Oh)/HumaxEV:
4,783,000</t>
      </text>
    </comment>
    <comment ref="H8" authorId="0" shapeId="0">
      <text>
        <t>오인희(Inhee Oh)/HumaxEV:
10,783,000</t>
      </text>
    </comment>
    <comment ref="H12" authorId="0" shapeId="0">
      <text>
        <t>오인희(Inhee Oh)/HumaxEV:
EMC Test : HOME_UK + HOME_EU
 -&gt; 1650만x2 를 2700만으로 네고</t>
      </text>
    </comment>
    <comment ref="H15" authorId="0" shapeId="0">
      <text>
        <t>오인희(Inhee Oh)/HumaxEV:
RF/RF EMC test : HOME_UK + HOME_EU
 -&gt; 1,440+1,400 를 1,845만으로 네고</t>
      </text>
    </comment>
    <comment ref="O31" authorId="1" shapeId="0">
      <text>
        <t>주혜윤(Hyeyun Ju):
3.64억 대비 +0.75억
'Cyber Security 7월 0.6억 누락
'예산 추정치 반영으로 인한 오차 0.15억
→네고를 통한 차액 최소화 노력중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://depa.humaxdigital.com/Documents%20and%20Settings/wjchung/My%20Documents/Humax%20(Chung,%20Wook%20Jae)/&#44221;&#50689;&#44592;&#54925;&#49892;/&#44221;&#50689;&#44592;&#54925;&#49892;%20&#50629;&#47924;&#51088;&#47308;/&#50629;&#47924;&#48372;&#44256;&#51088;&#47308;/&#49892;&#51201;&#44288;&#47144;/&#50629;&#47924;&#44288;&#47144;/7-8&#50900;%20&#47784;&#45944;&#48324;%20&#50672;&#44208;&#49892;&#51201;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Dscljh\c\EXCEL\&#49688;&#51452;\&#49324;&#50629;&#49457;~1\96\&#49552;&#51061;&#44592;01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://depa.humaxdigital.com/Documents%20and%20Settings/hgoh/Local%20Settings/Temporary%20Internet%20Files/OLK3E/&#50629;&#47924;&#44288;&#47144;/7-8&#50900;%20&#47784;&#45944;&#48324;%20&#50672;&#44208;&#49892;&#51201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My%20Documents\&#51077;&#52272;\&#48264;&#50689;&#47196;\&#47924;&#50504;&#54616;&#49688;\&#49892;&#54665;(1)\&#45236;&#50669;&#49436;(1)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F:\BUDGET\HIGHWAY\KYUNGIN2\THIRD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F:\WINDOWS\TEMP\&#44256;&#47924;&#49324;&#50629;&#44228;&#54925;(&#51648;&#48516;&#48708;&#54252;&#54632;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F:\WINDOWS\TEMP\2000&#45380;&#50696;&#49328;\99&#45380;&#52628;&#51221;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://depa.humaxdigital.com/Documents%20and%20Settings/hgoh/Local%20Settings/Temporary%20Internet%20Files/OLK3E/06&#45380;%20&#44221;&#48708;%20&#48143;%20&#53804;&#51088;%20&#50696;&#49345;%20&#49892;&#51201;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F:\WINDOWS\TEMP\&#51473;&#51109;&#44592;\99~03&#51648;&#44553;&#51060;&#51088;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://depa.humaxdigital.com/&#50900;&#52264;&#44208;&#49328;/9604&#50900;&#52264;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F:\WINDOWS\TEMP\Clients\&#51452;&#51008;&#49328;&#50629;\(1999)_&#51452;&#51008;&#49328;&#50629;\(&#54924;&#49324;&#51228;&#49884;)&#51116;&#47924;&#51228;&#54364;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http://depa.humaxdigital.com/Documents%20and%20Settings/leeyho/Local%20Settings/Temporary%20Internet%20Files/OLK1/5&#50900;%20&#51228;&#54408;&#48324;%20&#49688;&#51061;&#49457;(0620)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&#50724;&#52268;&#51452;\MY%20DOCUMENTS\windows\TEMP\&#52285;&#49888;&#48372;&#44256;1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H:\USER\imsi\KG08A\YBC\WINDOWS\TEMP\&#48512;&#49549;&#49892;&#51228;&#52636;&#50857;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://depa.humaxdigital.com/Documents%20and%20Settings/leeyho/Local%20Settings/Temporary%20Internet%20Files/OLK1/&#47784;&#45944;&#48324;%20&#50689;&#50629;&#51060;&#51061;&#50529;%20(9&#50900;&#45572;&#51201;)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\USER\imsi\KG08A\YBC\WINDOWS\TEMP\99&#45380;&#52628;&#51221;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F:\Documents%20and%20Settings\shlee2\Local%20Settings\Temporary%20Internet%20Files\OLK2D\&#52572;&#51333;%20(2)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Btrip57\2003.01%20&#50900;&#52264;&#44208;&#49328;\WINDOWS\TEMP\NC8376C5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51060;&#54788;&#51452;\C\WINDOWS\TEMP\NC8376C5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F:\WINDOWS\TEMP\WINDOWS\TEMP\&#51473;&#51109;&#44592;\99~03&#51648;&#44553;&#51060;&#51088;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H:\My%20Documents\&#51077;&#52272;\&#48264;&#50689;&#47196;\&#45824;&#51652;3&#44277;\&#49892;&#54665;&#45236;&#50669;.XLS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&#51060;&#44288;&#49345;\D\backup\DATA\&#44288;&#47532;\2000&#45380;&#50696;&#49328;\&#50577;&#49885;\&#53664;&#47785;&#50577;&#49885;\&#47588;&#52636;&#50896;&#44032;&#44592;&#49457;3&#52264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주요모델 (2)"/>
      <sheetName val="매출&amp;재고"/>
      <sheetName val="주요모델"/>
      <sheetName val="7월"/>
      <sheetName val="8월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첨부1"/>
      <sheetName val="입찰안"/>
      <sheetName val="노임이"/>
      <sheetName val="수입"/>
      <sheetName val="공통가설"/>
      <sheetName val="간접"/>
      <sheetName val="집계표"/>
      <sheetName val="손익"/>
      <sheetName val="현금흐름"/>
      <sheetName val="시산표(매출조정전)"/>
      <sheetName val="A4288"/>
      <sheetName val="SG"/>
      <sheetName val="수정시산표"/>
      <sheetName val="주택"/>
      <sheetName val="주택(백만원)"/>
      <sheetName val="신공항A-9(원가수정)"/>
      <sheetName val="손익분석"/>
      <sheetName val="KUNGDEVI"/>
      <sheetName val="자바라1"/>
      <sheetName val="그래프"/>
      <sheetName val="관로내역원"/>
      <sheetName val="SUMMARY"/>
      <sheetName val="PAINT"/>
      <sheetName val="GDP"/>
      <sheetName val="손익기01"/>
      <sheetName val="5Traffic1"/>
      <sheetName val="부문인원3"/>
      <sheetName val="C-A(취합)파리"/>
      <sheetName val="CTEMCOST"/>
      <sheetName val="ELECTRIC"/>
      <sheetName val="Sheet1"/>
      <sheetName val="감독1130"/>
      <sheetName val="현장관리비"/>
      <sheetName val="COL"/>
      <sheetName val="동선(을)"/>
      <sheetName val="인사자료총집계"/>
      <sheetName val="전계가"/>
      <sheetName val="변경실행(2차) "/>
      <sheetName val="원가계산서"/>
      <sheetName val="금액내역서"/>
      <sheetName val="설계내역서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CC Down load 0716"/>
      <sheetName val="화물2팀"/>
      <sheetName val="bm(CIcable)"/>
      <sheetName val="01"/>
      <sheetName val="내역"/>
      <sheetName val="실행내역"/>
      <sheetName val="예가표"/>
      <sheetName val="시멘트"/>
      <sheetName val="유동성사채"/>
      <sheetName val="나.출고"/>
      <sheetName val="나.입고"/>
      <sheetName val="8월차잔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호프"/>
      <sheetName val="공사개요"/>
      <sheetName val="  한국 AMP ASP-23 판매가격  "/>
      <sheetName val="산근"/>
      <sheetName val="여흥"/>
      <sheetName val="APT"/>
      <sheetName val="b_balju (2)"/>
      <sheetName val="b_gunmul"/>
      <sheetName val="장기대여금1"/>
      <sheetName val="表21 净利润调节表"/>
      <sheetName val="공사비집계"/>
      <sheetName val="노임단가"/>
      <sheetName val="982월원안"/>
      <sheetName val="요약"/>
      <sheetName val="감가상각"/>
      <sheetName val="월말명세0912"/>
      <sheetName val="11.외화채무증권(AFS,HTM)08"/>
      <sheetName val="Hedge09"/>
      <sheetName val="13.감액TEST_08"/>
      <sheetName val="해외채권"/>
      <sheetName val="BS09"/>
      <sheetName val="상각스케쥴(조정)"/>
      <sheetName val="공통비총괄표"/>
      <sheetName val="Variables"/>
      <sheetName val="제조원가 원단위 분석"/>
      <sheetName val="종합표양식(품의 &amp; 입고)_2"/>
      <sheetName val="SCHEDULE"/>
      <sheetName val="JUCKEYK"/>
      <sheetName val="원가관리 (동월대비)"/>
      <sheetName val="45,46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DATA"/>
      <sheetName val="실적공사"/>
      <sheetName val="업무처리전"/>
      <sheetName val="2연암거"/>
      <sheetName val="경사수로집계표"/>
      <sheetName val="경사수로"/>
      <sheetName val="진입교량"/>
      <sheetName val="S&amp;R"/>
      <sheetName val="Calen"/>
      <sheetName val="물량표"/>
      <sheetName val="노무비"/>
      <sheetName val="추가예산"/>
      <sheetName val="갑지(추정)"/>
      <sheetName val="ABUT수량-A1"/>
      <sheetName val="정산표"/>
      <sheetName val="MIBK원단위"/>
      <sheetName val="RECIMAKE"/>
      <sheetName val="Proposal"/>
      <sheetName val="SM1-09"/>
      <sheetName val="SM2-09"/>
      <sheetName val="BD-09"/>
      <sheetName val="7 (2)"/>
      <sheetName val="97년추정손익계산서"/>
      <sheetName val="12년 CF(9월)"/>
      <sheetName val="#REF"/>
      <sheetName val="유림골조"/>
      <sheetName val="기본DATA"/>
      <sheetName val="Sheet13"/>
      <sheetName val="Sheet14"/>
      <sheetName val="견적의뢰"/>
      <sheetName val="중기조종사 단위단가"/>
      <sheetName val="6PILE  (돌출)"/>
      <sheetName val="기성청구 공문"/>
      <sheetName val="IW-LIST"/>
      <sheetName val="woo(mac)"/>
      <sheetName val="화의-현금흐름"/>
      <sheetName val="기계경비(시간당)"/>
      <sheetName val="램머"/>
      <sheetName val="입찰내역서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수주현황2월"/>
      <sheetName val="재료"/>
      <sheetName val="MIJIBI"/>
      <sheetName val="점수계산1-2"/>
      <sheetName val="SIL98"/>
      <sheetName val="일위대가"/>
      <sheetName val="대비표"/>
      <sheetName val="A-4"/>
      <sheetName val="골조시행"/>
      <sheetName val="업무연락"/>
      <sheetName val="Ethylene"/>
      <sheetName val="월별매출"/>
      <sheetName val="ChlorAlkali"/>
      <sheetName val="VXXXXXXX"/>
      <sheetName val="지점장"/>
      <sheetName val="부서코드표"/>
      <sheetName val="2-2.매출분석"/>
      <sheetName val="A-100전제"/>
      <sheetName val="몰드시스템 리스트"/>
      <sheetName val="93"/>
      <sheetName val="예정(3)"/>
      <sheetName val="동원(3)"/>
      <sheetName val="토목검측서"/>
      <sheetName val="정비손익"/>
      <sheetName val="200"/>
      <sheetName val="월별수입"/>
      <sheetName val="차수"/>
      <sheetName val="담보"/>
      <sheetName val="1유리"/>
      <sheetName val="예적금"/>
      <sheetName val="월별손익"/>
      <sheetName val="매출"/>
      <sheetName val="Borrower"/>
      <sheetName val="중요02월25일"/>
      <sheetName val="단가추이"/>
      <sheetName val="경유량추이"/>
      <sheetName val="RE9604"/>
      <sheetName val="역T형"/>
      <sheetName val="평가제외"/>
      <sheetName val="단가산출"/>
      <sheetName val="13월별BS"/>
      <sheetName val="집행내역"/>
      <sheetName val="공통부대관리"/>
      <sheetName val="Sheet1 (2)"/>
      <sheetName val="하수급견적대비"/>
      <sheetName val="양식(직판용)"/>
      <sheetName val="퇴충"/>
      <sheetName val="미드수량"/>
      <sheetName val="참조"/>
      <sheetName val="DATE"/>
      <sheetName val="현장지지물물량"/>
      <sheetName val="양식3"/>
      <sheetName val="원가(통신)"/>
      <sheetName val="표지"/>
      <sheetName val="설비원가"/>
      <sheetName val="재고현황"/>
      <sheetName val="발행제기"/>
      <sheetName val="2.대외공문"/>
      <sheetName val="영동(D)"/>
      <sheetName val="조명시설"/>
      <sheetName val="수지"/>
      <sheetName val="FAB"/>
      <sheetName val="BEST"/>
      <sheetName val="완제품3"/>
      <sheetName val="비가동-20"/>
      <sheetName val="통장출금액"/>
      <sheetName val="실적"/>
      <sheetName val="37개월"/>
      <sheetName val="총내역서"/>
      <sheetName val="카메라"/>
      <sheetName val="CAUDIT"/>
      <sheetName val="단가표"/>
      <sheetName val="slipsumpR"/>
      <sheetName val="손익현황"/>
      <sheetName val="현황CODE"/>
      <sheetName val="감가상각비"/>
      <sheetName val="물량표(신)"/>
      <sheetName val="대공종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주형"/>
      <sheetName val="sum1 (2)"/>
      <sheetName val="적격"/>
      <sheetName val="자재단가"/>
      <sheetName val="Total"/>
      <sheetName val="3.바닥판설계"/>
      <sheetName val="504전기실 동부하-L"/>
      <sheetName val="Sheet15"/>
      <sheetName val="Sheet9"/>
      <sheetName val="DUT-BAT1"/>
      <sheetName val="2.총괄표"/>
      <sheetName val="LinerWt"/>
      <sheetName val="적용건축"/>
      <sheetName val="部署名"/>
      <sheetName val="車両別燃費及び油類単価"/>
      <sheetName val="1_종합손익(도급)1"/>
      <sheetName val="推移グラフ"/>
      <sheetName val="참조시트"/>
      <sheetName val="BAND(200)"/>
      <sheetName val="OUTER AREA(겹침없음)"/>
      <sheetName val="EG-09"/>
      <sheetName val="M3산출"/>
      <sheetName val="EL 표면적"/>
      <sheetName val="Year"/>
      <sheetName val="인원계획-미화"/>
      <sheetName val="ADR"/>
      <sheetName val="Prices"/>
      <sheetName val="조정내역"/>
      <sheetName val="CF6"/>
      <sheetName val="FRQ"/>
      <sheetName val="기준"/>
      <sheetName val="P.M 별"/>
      <sheetName val="Sheet4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7_(2)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주행"/>
      <sheetName val="KAM설비"/>
      <sheetName val="D-623D"/>
      <sheetName val="BQMPALOC"/>
      <sheetName val="세부내역서"/>
      <sheetName val="XZLC004_PART2"/>
      <sheetName val="XZLC003_PART1"/>
      <sheetName val="조경"/>
      <sheetName val="입찰보고"/>
      <sheetName val="건축내역"/>
      <sheetName val="단가(반정3교-원주)"/>
      <sheetName val="설계명세서"/>
      <sheetName val="전신환매도율"/>
      <sheetName val="시산표"/>
      <sheetName val="목록"/>
      <sheetName val="중기"/>
      <sheetName val="연돌일위집계"/>
      <sheetName val="원가계산하도"/>
      <sheetName val="월별예산"/>
      <sheetName val="입찰내역 발주처 양식"/>
      <sheetName val="산출근거"/>
      <sheetName val="일위(토목)"/>
      <sheetName val="_x0018__x0000_"/>
      <sheetName val=""/>
      <sheetName val="실행간접비용"/>
      <sheetName val="품셈TABLE"/>
      <sheetName val="변동인원"/>
      <sheetName val="품셈표"/>
      <sheetName val="갑근세납세필증명원"/>
      <sheetName val="슬래브"/>
      <sheetName val="요약PL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09~10년 매출계획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회사정보"/>
      <sheetName val="제1호"/>
      <sheetName val="차액보증"/>
      <sheetName val="64061000"/>
      <sheetName val="주현(해보)"/>
      <sheetName val="주현(영광)"/>
      <sheetName val="입출재고현황 (2)"/>
      <sheetName val="TRE TABLE"/>
      <sheetName val="C3"/>
      <sheetName val="자금추ȕ"/>
      <sheetName val="05년말(건재)"/>
      <sheetName val="CC16-내역서"/>
      <sheetName val="신공"/>
      <sheetName val="Y-WORK"/>
      <sheetName val="INPUT"/>
      <sheetName val="경비"/>
      <sheetName val="물량표S"/>
      <sheetName val="2.주요계수총괄"/>
      <sheetName val="원가서"/>
      <sheetName val="A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原価センタ"/>
      <sheetName val="Data Validation"/>
      <sheetName val="0001new"/>
      <sheetName val="_x0018_?"/>
      <sheetName val="__"/>
      <sheetName val="근거 및 가정"/>
      <sheetName val="총괄표"/>
      <sheetName val="2 카드채권(대출포함)"/>
      <sheetName val="118.세금과공과"/>
      <sheetName val="수선비"/>
      <sheetName val="GAEYO"/>
      <sheetName val="내역표지"/>
      <sheetName val="cp-e1"/>
      <sheetName val="자금운용계획표"/>
      <sheetName val="부대공"/>
      <sheetName val="Project Brief"/>
      <sheetName val="Master"/>
      <sheetName val="Macro1"/>
      <sheetName val="공통비(전체)"/>
      <sheetName val="토목공사"/>
      <sheetName val="새공통(96임금인상기준)"/>
      <sheetName val="비교1"/>
      <sheetName val="유림총괄"/>
      <sheetName val="교각계산"/>
      <sheetName val="PIPE"/>
      <sheetName val="FLANGE"/>
      <sheetName val="VALVE"/>
      <sheetName val="단면 (2)"/>
      <sheetName val="기초"/>
      <sheetName val="재무상태표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공사비증감"/>
      <sheetName val="부속동"/>
      <sheetName val="MEMORY"/>
      <sheetName val="찍기"/>
      <sheetName val="단가일람"/>
      <sheetName val="단위량당중기"/>
      <sheetName val="수량집계표(舊)"/>
      <sheetName val="현금"/>
      <sheetName val="정부노임단가"/>
      <sheetName val="한강운반비"/>
      <sheetName val="동절기투입(자재)"/>
      <sheetName val="전도품의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위탁매매_1103"/>
      <sheetName val="자기매매_1103"/>
      <sheetName val="위탁매매_1109"/>
      <sheetName val="자기매매_1109"/>
      <sheetName val="접대비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5"/>
      <sheetName val="Sheet8"/>
      <sheetName val="_x005f_x0018_"/>
      <sheetName val="1.차입금"/>
      <sheetName val="choose"/>
      <sheetName val="선급비용"/>
      <sheetName val="_x005f_x0018__x005f_x0000_"/>
      <sheetName val="품목코드표"/>
      <sheetName val="입찰내역_발주처_양식"/>
      <sheetName val="Data_Validation"/>
      <sheetName val="일위(PN)"/>
      <sheetName val="1.본사계정별"/>
      <sheetName val="부서별집계표"/>
      <sheetName val="금년실적"/>
      <sheetName val="B-1.기본정보"/>
      <sheetName val="해외 기술훈련비 (합계)"/>
      <sheetName val="Utility Usage YTN TOWER"/>
      <sheetName val="Bond"/>
      <sheetName val="원본"/>
      <sheetName val="최소가치(간편)-회계"/>
      <sheetName val="회사제시"/>
      <sheetName val="설산1.나"/>
      <sheetName val="본사S"/>
      <sheetName val="본문"/>
      <sheetName val="95하U$가격"/>
      <sheetName val="ETC"/>
      <sheetName val="3.6.2남양주택배"/>
      <sheetName val="구성비"/>
      <sheetName val="Back Data 1"/>
      <sheetName val="Manual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슬래԰"/>
      <sheetName val="슬래"/>
      <sheetName val="슬래렀"/>
      <sheetName val="슬래㰀"/>
      <sheetName val="1월 예산"/>
      <sheetName val="슬래밀"/>
      <sheetName val="슬래　"/>
      <sheetName val="슬래尀"/>
      <sheetName val="슬래⠀"/>
      <sheetName val="공사내역"/>
      <sheetName val="BD%_70s"/>
      <sheetName val="BOX-1510"/>
      <sheetName val="경비2내역"/>
      <sheetName val="22철거수량"/>
      <sheetName val="슬래"/>
      <sheetName val="슬래堌"/>
      <sheetName val="슬래䰀"/>
      <sheetName val="슬래簀"/>
      <sheetName val="슬래퀀"/>
      <sheetName val="슬래뀀"/>
      <sheetName val="슬래瀀"/>
      <sheetName val="슬래鰀"/>
      <sheetName val="11월"/>
      <sheetName val="특외대"/>
      <sheetName val=" 견적서"/>
      <sheetName val="내역(한신APT)"/>
      <sheetName val="FB25JN"/>
      <sheetName val="도"/>
      <sheetName val="의정부문예회관변경내역"/>
      <sheetName val="상가지급현황"/>
      <sheetName val="일반관리비"/>
      <sheetName val="설문 평가"/>
      <sheetName val="보고서"/>
      <sheetName val="인수기간별S"/>
      <sheetName val="본부유지율"/>
      <sheetName val="4-2물건누계"/>
      <sheetName val="자동차추정자료"/>
      <sheetName val="손해감소유형"/>
      <sheetName val="7"/>
      <sheetName val="항목"/>
      <sheetName val="1_종합손익(도급)4"/>
      <sheetName val="설계명세서(선로)"/>
      <sheetName val="시화점실행"/>
      <sheetName val="전체철근집계"/>
      <sheetName val="건축2"/>
      <sheetName val="1. 시공측량"/>
      <sheetName val="자재목록"/>
      <sheetName val="품목"/>
      <sheetName val="분전함신설"/>
      <sheetName val="접지1종"/>
      <sheetName val="설치원가"/>
      <sheetName val="터파기및재료"/>
      <sheetName val="3본사"/>
      <sheetName val="98지급계획"/>
      <sheetName val="125PIECE"/>
      <sheetName val="소총괄표"/>
      <sheetName val="아파트연면적비율(참고1)"/>
      <sheetName val="수종별수량 (2)"/>
      <sheetName val="구간별수량"/>
      <sheetName val="전선 및 전선관"/>
      <sheetName val="연습"/>
      <sheetName val="수량산출"/>
      <sheetName val="#1) 투자 구분"/>
      <sheetName val="P-산#1-1(WOWA1)"/>
      <sheetName val="명단원자료(이전)"/>
      <sheetName val="Back_Data_1"/>
      <sheetName val="※유형구분분류"/>
      <sheetName val="※类型区分分类"/>
      <sheetName val="선택창"/>
      <sheetName val="외주현황.wq1"/>
      <sheetName val="노동부"/>
      <sheetName val="RAW"/>
      <sheetName val="기초정보"/>
      <sheetName val="공정"/>
      <sheetName val="2013.2월 연결대상"/>
      <sheetName val="BS_Package_내부거래"/>
      <sheetName val="PL_Package_내부거래"/>
      <sheetName val="손익실적"/>
      <sheetName val="손익실적(매출원가)"/>
      <sheetName val="당년사별실적"/>
      <sheetName val="VXXXX"/>
      <sheetName val="탄산"/>
      <sheetName val="13.포장용역비표준"/>
      <sheetName val="9.가공부자재표준"/>
      <sheetName val="8.ROLL표준(TSW)"/>
      <sheetName val="4.톤당조관량표준"/>
      <sheetName val="5.조관부자재표준"/>
      <sheetName val="추정pl"/>
      <sheetName val="要員用master"/>
      <sheetName val="Facility_Information"/>
      <sheetName val="일위대가(계측기설치)"/>
      <sheetName val="공사비예산서(토목분)"/>
      <sheetName val="sheet6"/>
      <sheetName val="약품공급2"/>
      <sheetName val="감액총괄표"/>
      <sheetName val="9GNG운반"/>
      <sheetName val="납부내역총괄표 (수정)"/>
      <sheetName val="IS"/>
      <sheetName val="TB"/>
      <sheetName val="PL"/>
      <sheetName val="CS"/>
      <sheetName val="대투_보관자료 변경"/>
      <sheetName val="내수자재"/>
      <sheetName val="예산계정INDEX"/>
      <sheetName val="환율change"/>
      <sheetName val="부하(성남)"/>
      <sheetName val="RE"/>
      <sheetName val="FP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배수공"/>
      <sheetName val="합천내역"/>
      <sheetName val="전기단가조사서"/>
      <sheetName val="Weekly Progress(계장)"/>
      <sheetName val="表21_净利润夐#奜#"/>
      <sheetName val="고정자산-회사제시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제시_손익계산서"/>
      <sheetName val="업무연락_(2)"/>
      <sheetName val="M_7회차_담금_계획"/>
      <sheetName val="01_02월_성과급1"/>
      <sheetName val="09~10년_매출계획"/>
      <sheetName val="97_사업추정(WEKI)"/>
      <sheetName val="팀별_실적"/>
      <sheetName val="팀별_실적_(환산)"/>
      <sheetName val="6월_공정외주"/>
      <sheetName val="Tong_hop"/>
      <sheetName val="95_1_1이후취득자산(숨기기상태)"/>
      <sheetName val="1_MDF1공장"/>
      <sheetName val="hiddenSheet"/>
      <sheetName val="TO"/>
      <sheetName val="C2121"/>
      <sheetName val="C2123"/>
      <sheetName val="C2124"/>
      <sheetName val="C2125"/>
      <sheetName val="C2127"/>
      <sheetName val="C2122"/>
      <sheetName val="FA-LISTING"/>
      <sheetName val="해외_기술훈련비_(합계)"/>
      <sheetName val="118_세금과공과"/>
      <sheetName val="予算実績管理現況"/>
      <sheetName val="10월_vs_12월_채권잔액"/>
      <sheetName val="기본"/>
      <sheetName val="Rev. Recon 1"/>
      <sheetName val="1.고객불만건수"/>
      <sheetName val="1.변경범위"/>
      <sheetName val="현용"/>
      <sheetName val="현장"/>
      <sheetName val="MH_생산"/>
      <sheetName val="목록!"/>
      <sheetName val="마스터0919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2-1.강사료,교통비 지급명세"/>
      <sheetName val="compare2"/>
      <sheetName val="Krw"/>
      <sheetName val="BS"/>
      <sheetName val="부대공Ⅱ"/>
      <sheetName val="입찰내역 Ĉ_x0000__x0000_ᇆ"/>
      <sheetName val="입찰내역 Ĉ_x0000__x0000_ᇆ"/>
      <sheetName val="정보화기기매출"/>
      <sheetName val="1. 작성방식"/>
      <sheetName val="코드"/>
      <sheetName val="판가반영"/>
      <sheetName val="개산공사비"/>
      <sheetName val="선평원내역"/>
      <sheetName val="기둥(원형)"/>
      <sheetName val="화전내"/>
      <sheetName val="수량산출내역1115"/>
      <sheetName val="BID"/>
      <sheetName val="식재품셈"/>
      <sheetName val="표)CFT장 조직별 배분"/>
      <sheetName val="Remark"/>
      <sheetName val="기술분류체계"/>
      <sheetName val="20180214 P&amp;T"/>
      <sheetName val="Ref. 중점 추진 과제별 상세"/>
      <sheetName val="작성요령"/>
      <sheetName val="최적단면"/>
      <sheetName val="공시용CF"/>
      <sheetName val="MAT"/>
      <sheetName val="대투_보관자료_변경"/>
      <sheetName val="97년"/>
      <sheetName val="Jul-Sep Actual cost (2)"/>
      <sheetName val="규"/>
      <sheetName val="규(3)"/>
      <sheetName val="소"/>
      <sheetName val="RE(2)"/>
      <sheetName val="4. Inj 투자상세내역"/>
      <sheetName val="3. Blow 투자 상세내역"/>
      <sheetName val="4__Inj_투자상세내역"/>
      <sheetName val="3__Blow_투자_상세내역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[손익기01.XL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97실적"/>
      <sheetName val="을지"/>
      <sheetName val="npv"/>
      <sheetName val="13손익(실적)"/>
      <sheetName val="이름표시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????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상품입력"/>
      <sheetName val="RES"/>
      <sheetName val="그룹자료"/>
      <sheetName val="임율자료"/>
      <sheetName val="구조물공"/>
      <sheetName val="토공"/>
      <sheetName val="포장공"/>
      <sheetName val="원가1"/>
      <sheetName val="원가2"/>
      <sheetName val="TYPE-1"/>
      <sheetName val="구분List"/>
      <sheetName val="KEY CODE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2007전체투자세액공제_2008년처분"/>
      <sheetName val="득점현황"/>
      <sheetName val="#5"/>
      <sheetName val="#3"/>
      <sheetName val="Appendix(권장,단체)"/>
      <sheetName val="환율표"/>
      <sheetName val="세액계산"/>
      <sheetName val="表21_净利润墨-닑⿕"/>
      <sheetName val="7.Utility Analysis"/>
      <sheetName val="Operational Activities"/>
      <sheetName val="월별자료"/>
      <sheetName val="Index"/>
      <sheetName val="U_TYPE_1_"/>
      <sheetName val="C1.3.1"/>
      <sheetName val="소야공정계획표"/>
      <sheetName val="실행기성 갑지"/>
      <sheetName val="Eq. Mobilization"/>
      <sheetName val="견적"/>
      <sheetName val="기계경비"/>
      <sheetName val="종단계산"/>
      <sheetName val="산출근거(S4)"/>
      <sheetName val="설치자재"/>
      <sheetName val="표시트"/>
      <sheetName val="カテゴリ表"/>
      <sheetName val="카드채권(대출포함)"/>
      <sheetName val="공통"/>
      <sheetName val="T6-6(7)"/>
      <sheetName val="입찰내역_발주처_양식1"/>
      <sheetName val="Data_Validation1"/>
      <sheetName val="부대시행1_(2)"/>
      <sheetName val="근거_및_가정"/>
      <sheetName val="2_카드채권(대출포함)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pg15"/>
      <sheetName val="2.6 三无 (2)"/>
      <sheetName val="_x0018__"/>
      <sheetName val="CF表示組替表"/>
      <sheetName val="support"/>
      <sheetName val="000000"/>
      <sheetName val="노임단가(공사)"/>
      <sheetName val="수량산출서 갑지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설계조건"/>
      <sheetName val="터널전기"/>
      <sheetName val="제-노임"/>
      <sheetName val="N賃率-職"/>
      <sheetName val="토목주소"/>
      <sheetName val="프랜트면허"/>
      <sheetName val="I一般比"/>
      <sheetName val="Desal-E&amp;I"/>
      <sheetName val="数据有效性"/>
      <sheetName val="Worker List"/>
      <sheetName val="GB-IC Villingen GG"/>
      <sheetName val="MC&amp;다변화"/>
      <sheetName val="Library"/>
      <sheetName val="Month-Report"/>
      <sheetName val="BM_NEW2"/>
      <sheetName val="97손익계획"/>
      <sheetName val="가정"/>
      <sheetName val="공시용PL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1_종합손익(도급)5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09~10년_매출계획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2_주요계수총괄1"/>
      <sheetName val="1_본사계정별1"/>
      <sheetName val="118_세금과공과1"/>
      <sheetName val="Tong_hop1"/>
      <sheetName val="95_1_1이후취득자산(숨기기상태)1"/>
      <sheetName val="1_MDF1공장1"/>
      <sheetName val="3_6_2남양주택배"/>
      <sheetName val="Project_Brief1"/>
      <sheetName val="Back_Data_11"/>
      <sheetName val="Facility_Information1"/>
      <sheetName val="단면_(2)1"/>
      <sheetName val="1월_예산"/>
      <sheetName val="해외_기술훈련비_(합계)1"/>
      <sheetName val="#1)_투자_구분"/>
      <sheetName val="1__시공측량"/>
      <sheetName val="수종별수량_(2)"/>
      <sheetName val="설산1_나"/>
      <sheetName val="Weekly_Progress(계장)"/>
      <sheetName val="납부내역총괄표_(수정)"/>
      <sheetName val="전선_및_전선관"/>
      <sheetName val="KEY_CODE"/>
      <sheetName val="2013_2월_연결대상"/>
      <sheetName val="외주현황_wq1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날개수량1.5"/>
      <sheetName val="月度設定"/>
      <sheetName val="드롭다운"/>
      <sheetName val="외부자료"/>
      <sheetName val="산자사 운전용품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3.일반사상"/>
      <sheetName val="슬래_xd800_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코드관리"/>
      <sheetName val="4.1 월별 에너지 사용량"/>
      <sheetName val="Diesel Price "/>
      <sheetName val="10매출"/>
      <sheetName val="수목단가"/>
      <sheetName val="시설수량표"/>
      <sheetName val="식재수량표"/>
      <sheetName val="98수문일위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준검 내역서"/>
      <sheetName val="을-ATYPE"/>
      <sheetName val="대전-교대(A1-A2)"/>
      <sheetName val="CAT_5"/>
      <sheetName val="FitOutConfCentre"/>
      <sheetName val="MTP"/>
      <sheetName val="STANDARD"/>
      <sheetName val="유효성검사"/>
      <sheetName val="7상품수"/>
      <sheetName val="생산성(2차)"/>
      <sheetName val="요약(1차)"/>
      <sheetName val="단기차입금(200006)"/>
      <sheetName val="6월 공嚺㓶가"/>
      <sheetName val="Exchange rate"/>
      <sheetName val="작성양식"/>
      <sheetName val="有型区分分类"/>
      <sheetName val="업무 분류(Category)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1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euc"/>
      <sheetName val="진행 DATA (2)"/>
      <sheetName val="_x005f_x005f_x005f_x0000__x005f_x005f_x005f_x0000_"/>
      <sheetName val="Cntmrs"/>
      <sheetName val="$bhp"/>
      <sheetName val="업무분장 "/>
      <sheetName val="7300-1000.11"/>
      <sheetName val="7300-1000_11"/>
      <sheetName val="기준Data"/>
      <sheetName val="PJT 현황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기초정보 코드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배열수식"/>
      <sheetName val="조도계산서 (도서)"/>
      <sheetName val="갑지"/>
      <sheetName val="기계"/>
      <sheetName val="정화조"/>
      <sheetName val="토목"/>
      <sheetName val="F 월별기성수금현황 "/>
      <sheetName val="EP0618"/>
      <sheetName val="M&amp;Q Lead"/>
      <sheetName val="계좌정보"/>
      <sheetName val="안산기계장치"/>
      <sheetName val="1월~9월"/>
      <sheetName val="견적 맵"/>
      <sheetName val="Sheet475"/>
      <sheetName val="수정양식"/>
      <sheetName val="#1 Basic"/>
      <sheetName val="만기"/>
      <sheetName val="월별비교(물리)"/>
      <sheetName val="sum_x0008__x0000__x000d__x0000__x0006__x0000_"/>
      <sheetName val="Ѐ܀ऀ܀؀਀؀Ԁ̀Ѐ̀Ѐࠀ܀ఀ؀܀"/>
      <sheetName val="분석가정"/>
      <sheetName val="첨부#2.Cash Flow(현장작성)"/>
      <sheetName val="미계약2"/>
      <sheetName val="숨김"/>
      <sheetName val="오류항목"/>
      <sheetName val="Basic Information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호남본"/>
      <sheetName val="필요면적"/>
      <sheetName val="견적을지"/>
      <sheetName val="부산제일극장"/>
      <sheetName val="기본일위"/>
      <sheetName val="설비등록׃⼫"/>
      <sheetName val="설비등록_x0010__x0000_"/>
      <sheetName val="기성현황집계표"/>
      <sheetName val="중기일위대가"/>
      <sheetName val="특수선일위대가"/>
      <sheetName val="TOWER 12TON"/>
      <sheetName val="TOWER 10TON"/>
      <sheetName val="JIB CRANE,HOIST"/>
      <sheetName val="시스템 개요 유효값"/>
      <sheetName val="네고14"/>
      <sheetName val="문의내용 카테고리 분류(수정X)"/>
      <sheetName val="관리1"/>
      <sheetName val="연체리스료"/>
      <sheetName val="A(Rev.3)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입찰내역 Ĉ"/>
      <sheetName val="일위대가(목록)"/>
      <sheetName val="재료비"/>
      <sheetName val="갑지1"/>
      <sheetName val="견적내역서"/>
      <sheetName val="일위대가목차"/>
      <sheetName val="시험장S자로가로등공사"/>
      <sheetName val="Sheet17"/>
      <sheetName val="전기자료"/>
      <sheetName val="Sheet10"/>
      <sheetName val="Assign"/>
      <sheetName val="합잔_역사"/>
      <sheetName val="01현금및현금성자산(ok)"/>
      <sheetName val="상불"/>
      <sheetName val="구분 Table"/>
      <sheetName val="1월"/>
      <sheetName val="회사전체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3YP2016-Bottom_up1"/>
      <sheetName val="2_카드채권(대출포함)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Dashboard_Prevención_Riesgos_"/>
      <sheetName val="TOP_KPIs_MTM"/>
      <sheetName val="PLAN_DE_ACCION"/>
      <sheetName val="Faro_de_Indicadores"/>
      <sheetName val="Issues_List_Payments"/>
      <sheetName val="Grafica_Actos"/>
      <sheetName val="Condiciones_SyE"/>
      <sheetName val="POC_LIST"/>
      <sheetName val="turnover_reason퇴직사유"/>
      <sheetName val="SKU_Basic_Data"/>
      <sheetName val="DETALLE_MENSUAL"/>
      <sheetName val="do_not_delete"/>
      <sheetName val="REALxMETA_-_CERVEJA2"/>
      <sheetName val="REALxMETA_-_REFRI2"/>
      <sheetName val="APAC_S"/>
      <sheetName val="APAC_N"/>
      <sheetName val="Slide_output"/>
      <sheetName val="Directrices_de_Metas_2017"/>
      <sheetName val="Entity_Target"/>
      <sheetName val="구분"/>
      <sheetName val="_손익기01.XL_x005f_x0000__x0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工作表2"/>
      <sheetName val="条件格式选项"/>
      <sheetName val="单位信息"/>
      <sheetName val="条件格式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Sheet3 (2)"/>
      <sheetName val="요일 테이블 "/>
      <sheetName val="Lookups"/>
      <sheetName val="dd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隐患统计图"/>
      <sheetName val="Other Listings"/>
      <sheetName val="Registros"/>
      <sheetName val="菜单联动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不安全行为库"/>
      <sheetName val="KPI标准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Refs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참조용"/>
      <sheetName val="Comp Inseguros"/>
      <sheetName val="Controls"/>
      <sheetName val="BNR_2012 в ящике"/>
      <sheetName val="筛选列表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DO NOT MOVE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6월_공정외주2"/>
      <sheetName val="입출재고현황_(2)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INGRESO (2)"/>
      <sheetName val="PG-K1610 (UEN Areas)MNG"/>
      <sheetName val="DATOS GEN."/>
      <sheetName val="NUEVOS CRITERIOS"/>
      <sheetName val="Un"/>
      <sheetName val="Condiciones Agua"/>
      <sheetName val="Justificativas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品牌填写下拉菜单"/>
      <sheetName val="PINC汇总"/>
      <sheetName val="选项"/>
      <sheetName val="한계원가"/>
      <sheetName val="대환취급"/>
      <sheetName val="(참조)"/>
      <sheetName val="Investment Category"/>
      <sheetName val="_x005f_x005f_x005f_x0000__x005f"/>
      <sheetName val="소주(苏州)"/>
      <sheetName val="_x005f_x005f_x005f_x0018__x005f_x005f_x005f_x0000_"/>
      <sheetName val="_x005f_x0018_?"/>
      <sheetName val="control sheet"/>
      <sheetName val="전기요금 산출내역"/>
      <sheetName val="NG Item"/>
      <sheetName val="1__작성방식"/>
      <sheetName val="표)CFT장_조직별_배분"/>
      <sheetName val="20180214_P&amp;T"/>
      <sheetName val="Ref__중점_추진_과제별_상세"/>
      <sheetName val="Bank_code"/>
      <sheetName val="Drop-down_RAW"/>
      <sheetName val="Basic_Information"/>
      <sheetName val="Exchange_rate"/>
      <sheetName val="Ref. Spec Review 양식"/>
      <sheetName val="Ref. 시험항목 테이블"/>
      <sheetName val="Ref. Search Result 테이블"/>
      <sheetName val="견적서"/>
      <sheetName val="받을어음"/>
      <sheetName val="외상매출금현황-수정분 A2"/>
      <sheetName val="JT3.0견적-구1"/>
      <sheetName val="Dropbox 목록"/>
      <sheetName val="월간공정표(04월))"/>
      <sheetName val="1TL종점(1)"/>
      <sheetName val="관리자"/>
      <sheetName val="Project Count"/>
      <sheetName val="Index1"/>
      <sheetName val="STRAT_PLAN_WKSHT1"/>
      <sheetName val="Sales_Plan_&amp;_other1"/>
      <sheetName val="drop_downs"/>
      <sheetName val="XREF"/>
      <sheetName val="손익계산서"/>
      <sheetName val="Sheet16"/>
      <sheetName val="6호기"/>
      <sheetName val="PUR-12K"/>
      <sheetName val="TSCLFEB"/>
      <sheetName val="Mot So Thuat Ngu EN-VI"/>
      <sheetName val="Worker_List"/>
      <sheetName val="GB-IC_Villingen_GG"/>
      <sheetName val="Mot_So_Thuat_Ngu_EN-VI"/>
      <sheetName val="640ꠌ᜹렀㣃씃"/>
      <sheetName val="640ꠏ᜹쀀씃"/>
      <sheetName val="역T형옹벽(3.0)"/>
      <sheetName val="지급어음"/>
      <sheetName val="Legend"/>
      <sheetName val="Note"/>
      <sheetName val="物料主数据"/>
      <sheetName val="Dropdown list"/>
      <sheetName val="Liste"/>
      <sheetName val="清单"/>
      <sheetName val="beerflow"/>
      <sheetName val="[손익기01_XLDePara5"/>
      <sheetName val="_손익기01_XLDePara5"/>
      <sheetName val="Проверки"/>
      <sheetName val="Drop list"/>
      <sheetName val="FX Rates"/>
      <sheetName val="Proced."/>
      <sheetName val="PTN"/>
      <sheetName val="Cut Machine Summary"/>
      <sheetName val="Control de Fallas"/>
      <sheetName val="Setup for Templates"/>
      <sheetName val="Datos emp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생산성"/>
      <sheetName val="Asset9809CAK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무형자산 LS11"/>
      <sheetName val="Global"/>
      <sheetName val="노원열병합  건축공사기성내역서"/>
      <sheetName val="대구은행"/>
      <sheetName val="원재료"/>
      <sheetName val="비품"/>
      <sheetName val="PF 현황(11년12월)"/>
      <sheetName val="91"/>
      <sheetName val="생산1-2"/>
      <sheetName val="생산1-1"/>
      <sheetName val="매출계획"/>
      <sheetName val="품의서개정(갑)"/>
      <sheetName val="10.예산 및 원가 계획(02년)"/>
      <sheetName val="Sensitivity and GC Value"/>
      <sheetName val="소방사항"/>
      <sheetName val="本月预计"/>
      <sheetName val="1)추진현황"/>
      <sheetName val="매출회전"/>
      <sheetName val="sum_x0008_"/>
      <sheetName val="TMPA"/>
      <sheetName val="예총"/>
      <sheetName val="TLoss"/>
      <sheetName val="0304"/>
      <sheetName val="2_대외공문4"/>
      <sheetName val="sum1_(2)4"/>
      <sheetName val="3_바닥판설계4"/>
      <sheetName val="504전기실_동부하-L4"/>
      <sheetName val="2_총괄표4"/>
      <sheetName val="OUTER_AREA(겹침없음)4"/>
      <sheetName val="EL_표면적4"/>
      <sheetName val="P_M_별3"/>
      <sheetName val="Back_Data_12"/>
      <sheetName val="Facility_Information2"/>
      <sheetName val="1__작성방식1"/>
      <sheetName val="2_주요계수총괄2"/>
      <sheetName val="Project_Brief2"/>
      <sheetName val="Utility_Usage_YTN_TOWER1"/>
      <sheetName val="118_세금과공과2"/>
      <sheetName val="1_차입금1"/>
      <sheetName val="근거_및_가정1"/>
      <sheetName val="1_본사계정별2"/>
      <sheetName val="부대시행1_(2)1"/>
      <sheetName val="3_6_2남양주택배1"/>
      <sheetName val="단면_(2)2"/>
      <sheetName val="PAD_TR보호대기초1"/>
      <sheetName val="설산1_나1"/>
      <sheetName val="표)CFT장_조직별_배분1"/>
      <sheetName val="20180214_P&amp;T1"/>
      <sheetName val="Ref__중점_추진_과제별_상세1"/>
      <sheetName val="1__시공측량1"/>
      <sheetName val="수종별수량_(2)1"/>
      <sheetName val="Bank_code1"/>
      <sheetName val="해외_기술훈련비_(합계)2"/>
      <sheetName val="설문_평가1"/>
      <sheetName val="납부내역총괄표_(수정)1"/>
      <sheetName val="_견적서1"/>
      <sheetName val="B-1_기본정보1"/>
      <sheetName val="1월_예산1"/>
      <sheetName val="Drop-down_RAW1"/>
      <sheetName val="#1)_투자_구분1"/>
      <sheetName val="전선_및_전선관1"/>
      <sheetName val="Weekly_Progress(계장)1"/>
      <sheetName val="대투_보관자료_변경1"/>
      <sheetName val="외주현황_wq11"/>
      <sheetName val="Basic_Information1"/>
      <sheetName val="Exchange_rate1"/>
      <sheetName val="실행기성_갑지1"/>
      <sheetName val="Eq__Mobilization"/>
      <sheetName val="진행_DATA_(2)"/>
      <sheetName val="NG_Item"/>
      <sheetName val="Ref__Spec_Review_양식"/>
      <sheetName val="Ref__시험항목_테이블"/>
      <sheetName val="Ref__Search_Result_테이블"/>
      <sheetName val="C1_3_1"/>
      <sheetName val="2013_2월_연결대상1"/>
      <sheetName val="7_Utility_Analysis"/>
      <sheetName val="Operational_Activities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2-1_강사료,교통비_지급명세1"/>
      <sheetName val="2-2_투자1"/>
      <sheetName val="Proj__Fin_1"/>
      <sheetName val="ITS_Assumptions"/>
      <sheetName val="Master_Data"/>
      <sheetName val="KEY_CODE1"/>
      <sheetName val="13_포장용역비표준1"/>
      <sheetName val="9_가공부자재표준1"/>
      <sheetName val="8_ROLL표준(TSW)1"/>
      <sheetName val="4_톤당조관량표준1"/>
      <sheetName val="5_조관부자재표준1"/>
      <sheetName val="Rev__Recon_1"/>
      <sheetName val="1_고객불만건수"/>
      <sheetName val="1_변경범위"/>
      <sheetName val="F_월별기성수금현황_"/>
      <sheetName val="준검_내역서"/>
      <sheetName val="수량산출서_갑지"/>
      <sheetName val="G_R300경비"/>
      <sheetName val="AS포장복구_"/>
      <sheetName val="설_계"/>
      <sheetName val="조도계산서_(도서)"/>
      <sheetName val="기초정보_코드"/>
      <sheetName val="날개수량1_5"/>
      <sheetName val="입찰내역_Ĉᇆ"/>
      <sheetName val="입찰내역_Ĉᇆ"/>
      <sheetName val="sum_x000a_"/>
      <sheetName val="6월_공嚺㓶가"/>
      <sheetName val="2_6_三无_(2)"/>
      <sheetName val="_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4_1_월별_에너지_사용량"/>
      <sheetName val="TOWER_12TON"/>
      <sheetName val="TOWER_10TON"/>
      <sheetName val="JIB_CRANE,HOIST"/>
      <sheetName val="M&amp;Q_Lead"/>
      <sheetName val="07.01"/>
      <sheetName val="증감대비"/>
      <sheetName val="공종단가"/>
      <sheetName val="지장물C"/>
      <sheetName val="협가표"/>
      <sheetName val="집계"/>
      <sheetName val="BATCH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1-1"/>
      <sheetName val="wall"/>
      <sheetName val="수량산출서 (2)"/>
      <sheetName val="1.수인터널"/>
      <sheetName val="설계내역양식"/>
      <sheetName val="경영비율 "/>
      <sheetName val="기준재고"/>
      <sheetName val="수액원료4"/>
      <sheetName val="공통부대비"/>
      <sheetName val="데이터유효성목록"/>
      <sheetName val="_x005f_x0018__"/>
      <sheetName val="23기-3분기결산PL"/>
      <sheetName val="OH _x000f_"/>
      <sheetName val="____"/>
      <sheetName val="7_Utility_Analysis1"/>
      <sheetName val="Operational_Activities1"/>
      <sheetName val="근거_및_가정2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6월_공정외주4"/>
      <sheetName val="입출재고현황_(2)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20년 동일기간 소테마"/>
      <sheetName val="연결조정사항(2019)"/>
      <sheetName val="가설공사내역"/>
      <sheetName val="401"/>
      <sheetName val="이자"/>
      <sheetName val="001"/>
      <sheetName val="FORM4"/>
      <sheetName val="FORM1"/>
      <sheetName val="FORM2"/>
      <sheetName val="FORM3"/>
      <sheetName val="FORM5"/>
      <sheetName val="FORM10"/>
      <sheetName val="FORM15"/>
      <sheetName val="FORM16"/>
      <sheetName val="F4-F7"/>
      <sheetName val="Supplement2"/>
      <sheetName val="FAB별"/>
      <sheetName val="master(ZH)"/>
      <sheetName val="참고3.DATA"/>
      <sheetName val="3.공통공사대비"/>
      <sheetName val="2002년12월"/>
      <sheetName val="현장관리비 산출내역"/>
      <sheetName val="일일투입집계표"/>
      <sheetName val="평가데이터"/>
      <sheetName val="Macro3"/>
      <sheetName val="Planilha_relts??eos7"/>
      <sheetName val="간접경상비"/>
      <sheetName val="P_M_별4"/>
      <sheetName val="Back_Data_13"/>
      <sheetName val="Facility_Information3"/>
      <sheetName val="1__작성방식2"/>
      <sheetName val="2_주요계수총괄3"/>
      <sheetName val="Project_Brief3"/>
      <sheetName val="Utility_Usage_YTN_TOWER2"/>
      <sheetName val="118_세금과공과3"/>
      <sheetName val="1_차입금2"/>
      <sheetName val="1_본사계정별3"/>
      <sheetName val="부대시행1_(2)2"/>
      <sheetName val="3_6_2남양주택배2"/>
      <sheetName val="단면_(2)3"/>
      <sheetName val="PAD_TR보호대기초2"/>
      <sheetName val="표)CFT장_조직별_배분2"/>
      <sheetName val="설산1_나2"/>
      <sheetName val="20180214_P&amp;T2"/>
      <sheetName val="Ref__중점_추진_과제별_상세2"/>
      <sheetName val="1__시공측량2"/>
      <sheetName val="수종별수량_(2)2"/>
      <sheetName val="Bank_code2"/>
      <sheetName val="B-1_기본정보2"/>
      <sheetName val="해외_기술훈련비_(합계)3"/>
      <sheetName val="납부내역총괄표_(수정)2"/>
      <sheetName val="_견적서2"/>
      <sheetName val="1월_예산2"/>
      <sheetName val="Drop-down_RAW2"/>
      <sheetName val="설문_평가2"/>
      <sheetName val="Basic_Information2"/>
      <sheetName val="외주현황_wq12"/>
      <sheetName val="대투_보관자료_변경2"/>
      <sheetName val="#1)_투자_구분2"/>
      <sheetName val="전선_및_전선관2"/>
      <sheetName val="Weekly_Progress(계장)2"/>
      <sheetName val="Exchange_rate2"/>
      <sheetName val="실행기성_갑지2"/>
      <sheetName val="Eq__Mobilization1"/>
      <sheetName val="진행_DATA_(2)1"/>
      <sheetName val="Ref__Spec_Review_양식1"/>
      <sheetName val="Ref__시험항목_테이블1"/>
      <sheetName val="Ref__Search_Result_테이블1"/>
      <sheetName val="NG_Item1"/>
      <sheetName val="2013_2월_연결대상2"/>
      <sheetName val="Rev__Recon_11"/>
      <sheetName val="1_고객불만건수1"/>
      <sheetName val="1_변경범위1"/>
      <sheetName val="2-2_투자2"/>
      <sheetName val="Proj__Fin_2"/>
      <sheetName val="ITS_Assumptions1"/>
      <sheetName val="Master_Data1"/>
      <sheetName val="C1_3_11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2-1_강사료,교통비_지급명세2"/>
      <sheetName val="KEY_CODE2"/>
      <sheetName val="13_포장용역비표준2"/>
      <sheetName val="9_가공부자재표준2"/>
      <sheetName val="8_ROLL표준(TSW)2"/>
      <sheetName val="4_톤당조관량표준2"/>
      <sheetName val="5_조관부자재표준2"/>
      <sheetName val="F_월별기성수금현황_1"/>
      <sheetName val="준검_내역서1"/>
      <sheetName val="수량산출서_갑지1"/>
      <sheetName val="G_R300경비1"/>
      <sheetName val="AS포장복구_1"/>
      <sheetName val="설_계1"/>
      <sheetName val="조도계산서_(도서)1"/>
      <sheetName val="기초정보_코드1"/>
      <sheetName val="날개수량1_51"/>
      <sheetName val="6월_공嚺㓶가1"/>
      <sheetName val="2_6_三无_(2)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TOWER_12TON1"/>
      <sheetName val="TOWER_10TON1"/>
      <sheetName val="JIB_CRANE,HOIST1"/>
      <sheetName val="Worker_List1"/>
      <sheetName val="GB-IC_Villingen_GG1"/>
      <sheetName val="M&amp;Q_Lead1"/>
      <sheetName val="입찰내역_Ĉ"/>
      <sheetName val="sum"/>
      <sheetName val="3_일반사상"/>
      <sheetName val="OH_"/>
      <sheetName val="설비등록"/>
      <sheetName val="A(Rev_3)"/>
      <sheetName val="업무_분류(Category)"/>
      <sheetName val="#1_Basic"/>
      <sheetName val="첨부#2_Cash_Flow(현장작성)"/>
      <sheetName val="산자사_운전용품"/>
      <sheetName val="경영비율_"/>
      <sheetName val="Dropbox_목록"/>
      <sheetName val="2.FM Fee_2차년도"/>
      <sheetName val="3.감가장비"/>
      <sheetName val="01_02월_성B_x0000_"/>
      <sheetName val="산출"/>
      <sheetName val="이름표"/>
      <sheetName val="1공구산출내역서"/>
      <sheetName val="7_공사비집_x0000__x0000_Ā_x0000__x0005__x0000_翸_x0000_"/>
      <sheetName val="기성"/>
      <sheetName val="BQ"/>
      <sheetName val="Basic"/>
      <sheetName val="교량하부공"/>
      <sheetName val="1~9 하중계산"/>
      <sheetName val="정공공사"/>
      <sheetName val="날개벽수량표"/>
      <sheetName val="아산추가1220"/>
      <sheetName val="main"/>
      <sheetName val="工완성공사율"/>
      <sheetName val="개발계획수립"/>
      <sheetName val="건축"/>
      <sheetName val="산근(목록)"/>
      <sheetName val="심사계산"/>
      <sheetName val="기초단가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2_실행ﶻĉ_x0000_"/>
      <sheetName val="2_실행䔭疖꜀"/>
      <sheetName val="2_실행ﶻ_x001e__x0000_"/>
      <sheetName val="DB"/>
      <sheetName val="SS20"/>
      <sheetName val="SS10"/>
      <sheetName val="유리단가"/>
      <sheetName val="OUTER_A՜_x0000_缀_x0000__x0000__x0000_尀빙끯"/>
      <sheetName val="부대공사총괄"/>
      <sheetName val="건축공사집계표"/>
      <sheetName val="방배동내역 (총괄)"/>
      <sheetName val="공통비_x0000__x0000_ʯ"/>
      <sheetName val="공통비_x0000_í遘̩"/>
      <sheetName val="BSD (2)"/>
      <sheetName val="날개벽(시점좌측)"/>
      <sheetName val="철거산출근거"/>
      <sheetName val="gr_val"/>
      <sheetName val="gr_sum"/>
      <sheetName val="부대내역"/>
      <sheetName val="C1ㅇ"/>
      <sheetName val="단가조정"/>
      <sheetName val="나_출_x0000__x0000_"/>
      <sheetName val="1_수인터널"/>
      <sheetName val="NKC (final)"/>
      <sheetName val="OUTER_A՜"/>
      <sheetName val="건축갑지"/>
      <sheetName val="건축내역서"/>
      <sheetName val="견적보고서"/>
      <sheetName val="类别"/>
      <sheetName val="(실사조정)총괄"/>
      <sheetName val="단기대여금"/>
      <sheetName val="장기대여금"/>
      <sheetName val="Menu_Link"/>
      <sheetName val="3.판관비명세서"/>
      <sheetName val="_x005f_x0000_"/>
      <sheetName val="기타수지&amp;특별손익_ﹴÕ"/>
      <sheetName val="총괄집계표"/>
      <sheetName val="합계표"/>
      <sheetName val="체신주조서"/>
      <sheetName val="기준정보基准信息参考"/>
      <sheetName val="계정정보"/>
      <sheetName val="파일의이용"/>
      <sheetName val="_x005f_x0000___x0000__x0000__x0005__x0000_㴐ኰ"/>
      <sheetName val="_x005f_x0000___x0000__x0000__x0005__x0000_움ᕕ"/>
      <sheetName val="오스피셔스제사차"/>
      <sheetName val="공종별집계"/>
      <sheetName val="항목(1)"/>
      <sheetName val="BOOK4"/>
      <sheetName val="7_공사비집"/>
      <sheetName val="B05"/>
      <sheetName val="B07"/>
      <sheetName val="A02"/>
      <sheetName val="A04"/>
      <sheetName val="A13"/>
      <sheetName val="B08"/>
      <sheetName val="B10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STRAT_PLAN_WKSHT2"/>
      <sheetName val="Sales_Plan_&amp;_other2"/>
      <sheetName val="drop_downs1"/>
      <sheetName val="구분_Table"/>
      <sheetName val="역T형옹벽(3_0)"/>
      <sheetName val="외상매출금현황-수정분_A2"/>
      <sheetName val="Project_Count"/>
      <sheetName val="control_sheet"/>
      <sheetName val="PF_현황(11년12월)"/>
      <sheetName val="Diesel_Price_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국내_x0000__x0000_"/>
      <sheetName val="운반"/>
      <sheetName val="자판실행"/>
      <sheetName val="자금_제_x0000__x0000_Ԁ_x0000_"/>
      <sheetName val="지급제한자"/>
      <sheetName val="tifico"/>
      <sheetName val="생산"/>
      <sheetName val="단가조사표"/>
      <sheetName val="NCR_HEC_6 Opens"/>
      <sheetName val="NCR_HEC_4 Open &amp; Vendor_2 Opens"/>
      <sheetName val="물가대비표"/>
      <sheetName val="상반기손익차2총괄"/>
      <sheetName val="7_공사비집Ā翸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__Dscljh_c_EXCEL________1_96__2"/>
      <sheetName val="토공(우물통,기타) "/>
      <sheetName val="_x005f_x005f_x005f_x005f_x005f_x005f_x005f_x0018__x005f"/>
      <sheetName val="_x005f_x005f_x005f_x0018__"/>
      <sheetName val="간접비"/>
      <sheetName val="무역한도관리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ALK_Chi tiết công nợ"/>
      <sheetName val="Parem"/>
      <sheetName val="CHITIET VL-NC-TT1p"/>
      <sheetName val="TONGKE3p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#1_Basic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기본사항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공통비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4b Consolidated PL"/>
      <sheetName val="C200"/>
      <sheetName val="TT List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운영경비 세부작성근거"/>
      <sheetName val="SPT vs PHI"/>
      <sheetName val="퇴직사유"/>
      <sheetName val="원가관리_(동월대-_x0000_Ԁ"/>
      <sheetName val="카테고리 분류 (수정X)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입찰내역 _x0000__x0000__x0000__x0001_Ԁ_x0000_"/>
      <sheetName val="입찰내역 _x0000_⊍_x0000__x0000_∀的"/>
      <sheetName val="집계확_x0000_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4월 매출"/>
      <sheetName val="Stop"/>
      <sheetName val="Accueil"/>
      <sheetName val="C61X-BOM"/>
      <sheetName val="⑤항목별2"/>
      <sheetName val="산출기준(파견전산실)"/>
      <sheetName val="보빈규격"/>
      <sheetName val="504전기실_x0000__x0000__x0001_Ԁ_x0000_"/>
      <sheetName val="__한국_AMP_ASP-23_판매가격_롟"/>
      <sheetName val="기타코드"/>
      <sheetName val="CIP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기본값"/>
      <sheetName val="PH 5"/>
      <sheetName val="bar chart-rev"/>
      <sheetName val="CERTIFICATE"/>
      <sheetName val="6F8"/>
      <sheetName val="504전기실_Ç_x0000_Ԁ_x0000_瀀"/>
      <sheetName val="504전기실_Ç_x0000_Ԁ_x0000_退"/>
      <sheetName val="504전기실_壇멿︀ⳕԯ"/>
      <sheetName val="공기연장현황"/>
      <sheetName val="합산목표(감가+5_x0000__x0000_Ԁ_x0000_䀀"/>
      <sheetName val="영업보증금"/>
      <sheetName val="변동률산출"/>
      <sheetName val="사업단위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Dimension_IN_Sheet1!D1912"/>
      <sheetName val="Dimension_IN_1912"/>
      <sheetName val="Admin"/>
      <sheetName val="4Q주석"/>
      <sheetName val="_Cash_Flow(자_x0000__x0000_"/>
      <sheetName val="공사비지급"/>
      <sheetName val="책임준비금"/>
      <sheetName val="예산관리대장"/>
      <sheetName val="Xunit (단위환산)"/>
      <sheetName val="T13(P68~72,78)"/>
      <sheetName val=" Drop"/>
      <sheetName val="품목리스트"/>
      <sheetName val="신당동집계표"/>
      <sheetName val="첨부1-2. 증감사유내역서(을)"/>
      <sheetName val="6PILE__(Y_x0000__x0000_"/>
      <sheetName val="4월25일실행"/>
      <sheetName val="경계석,골재외 (2)"/>
      <sheetName val="조도"/>
      <sheetName val="단면치수"/>
      <sheetName val="철거공사1"/>
      <sheetName val="유효성 목록"/>
      <sheetName val="드롭다운(수정금지)"/>
      <sheetName val="총 원가계산"/>
      <sheetName val="증감내역서"/>
      <sheetName val="통က_x0000_"/>
      <sheetName val="제조원가_원단ၒ_x0000__x0000__x0000_"/>
      <sheetName val="제조원가_원단_x0000_좏_x0000__x0000_"/>
      <sheetName val="제조원가_원단_x0000_泀_x0000__x0000_"/>
      <sheetName val="제조원가_원단_x0010__x0000_༘֜"/>
      <sheetName val="제조원가_원단_x0000_ī_x0000_"/>
      <sheetName val="식재총괄"/>
      <sheetName val="P-J"/>
      <sheetName val="방배2E"/>
      <sheetName val="_x005f_x0000__"/>
      <sheetName val="1.설계조건"/>
      <sheetName val="1.설계기준"/>
      <sheetName val="경상직원"/>
      <sheetName val="6PILE__(剙_x0010__x0000_"/>
      <sheetName val="자금_제"/>
      <sheetName val="504전기실"/>
      <sheetName val="단가산출서"/>
      <sheetName val="골조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기준표"/>
      <sheetName val="입찰내역 "/>
      <sheetName val="원가관리_(동월대-"/>
      <sheetName val="504전기실_Ç"/>
      <sheetName val="합산목표(감가+5"/>
      <sheetName val="공사"/>
      <sheetName val="▶ 일일출역 집계_20210819143316"/>
      <sheetName val="완성차 미수금"/>
      <sheetName val="1_종합손익(주택,绘ÿ헾⽊"/>
      <sheetName val="sum "/>
      <sheetName val="A(Rev_3)1"/>
      <sheetName val="1~9_하중계산"/>
      <sheetName val="504전기실Ԁ"/>
      <sheetName val="BSD_(2)"/>
      <sheetName val="시스템_개요_유효값"/>
      <sheetName val="전기요금_산출내역"/>
      <sheetName val="_x005f_x0000__㴐ኰ"/>
      <sheetName val="_x005f_x0000__움ᕕ"/>
      <sheetName val="2_실행ﶻ"/>
      <sheetName val="504전기실__x0000_Ԁ_x0000_"/>
      <sheetName val="504전기실__x0000_Ԁ_x0000_က"/>
      <sheetName val="직종부호"/>
      <sheetName val="Ⅴ-2.공종별내역"/>
      <sheetName val="97노임단가"/>
      <sheetName val="입력란"/>
      <sheetName val="수량이동"/>
      <sheetName val="견적 (2)"/>
      <sheetName val="토지조서(원본)"/>
      <sheetName val="L형옹벽"/>
      <sheetName val="물가정보"/>
      <sheetName val="정부노임"/>
      <sheetName val="입찰내역"/>
      <sheetName val="ITB COST"/>
      <sheetName val="단양 00 아파트-세부내역"/>
      <sheetName val="암거날개벽"/>
      <sheetName val="OH_Cost경비(배부呸2닑"/>
      <sheetName val="KPIs- TTP, PTP, People Turnover"/>
      <sheetName val="部门"/>
      <sheetName val="1월 목표"/>
      <sheetName val="FILIAL MINAS"/>
      <sheetName val="info for drop box"/>
      <sheetName val="[손익기01_XL_x0000__x0000_DePara10"/>
      <sheetName val="_손익기01_XL_x0000__x0000_DePara10"/>
      <sheetName val="_손익기01_XL_x0000__x05"/>
      <sheetName val="_손익기01_XL_x005f_x0000__x7"/>
      <sheetName val="POCM 배송지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데이터 유효성 목록"/>
      <sheetName val="Mapping "/>
      <sheetName val="WS 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辅助表格"/>
      <sheetName val="10 麦汁CIP清洗标准水量"/>
      <sheetName val="BU"/>
      <sheetName val="Tipo Viaje"/>
      <sheetName val="Flota y Personal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后台"/>
      <sheetName val="AL来源"/>
      <sheetName val="Name List"/>
      <sheetName val="Ref_New Contract Model"/>
      <sheetName val="Dec"/>
      <sheetName val="리스트용"/>
      <sheetName val="3__Training_&amp;_travel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SUPERMONT_P5"/>
      <sheetName val="3__Training_&amp;_travel2"/>
      <sheetName val="3__Training_&amp;_travel1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5"/>
      <sheetName val="SUPERMONT_P6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6"/>
      <sheetName val="SUPERMONT_P7"/>
      <sheetName val="Data_selection5"/>
      <sheetName val="1_5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다목적갑"/>
      <sheetName val="Warranty"/>
      <sheetName val="HERO01"/>
      <sheetName val="인건비"/>
      <sheetName val="04_4월말_합병시_지분변동차액"/>
      <sheetName val="2007"/>
      <sheetName val="Name"/>
      <sheetName val="가설전기별첨"/>
      <sheetName val="2014"/>
      <sheetName val="2018"/>
      <sheetName val="금액집계(리포트)"/>
      <sheetName val="GL"/>
      <sheetName val="2003FX"/>
      <sheetName val="실행내역서 "/>
      <sheetName val="2.Consideration sheet"/>
      <sheetName val="3. Export"/>
      <sheetName val="선택옵션"/>
      <sheetName val="옵션"/>
      <sheetName val="CriteriaUpdate"/>
      <sheetName val="주간남10대순위1"/>
      <sheetName val="주간여30대순위1"/>
      <sheetName val="건강_미결"/>
      <sheetName val="Noncurrent assets"/>
      <sheetName val="2장(1사업부)ERP"/>
      <sheetName val="Essbase"/>
      <sheetName val="CO"/>
      <sheetName val="_x005f_x005f_x005f_x0018_"/>
      <sheetName val="입찰내역 Ĉ_x005f_x0000__x005f_x0000_ᇆ"/>
      <sheetName val="입찰내역 Ĉ_x005f_x0000__x005f_x0000_ᇆ"/>
      <sheetName val="_x005f_x005f_x005f_x005f_x005f_x005f_x005f_x0000__x005f"/>
      <sheetName val="추정99"/>
      <sheetName val="기준정보"/>
      <sheetName val="Process Li"/>
      <sheetName val="제조원가_원단"/>
      <sheetName val="제조원가_원단_x0010_"/>
      <sheetName val="토지평가조서(발송용)"/>
      <sheetName val="계정code"/>
      <sheetName val="anaysis_sheet"/>
      <sheetName val="주관사업"/>
      <sheetName val="방법론선택및업로드"/>
      <sheetName val="표준공사비-조명제외x10%up"/>
      <sheetName val="@공통코드"/>
      <sheetName val="유림콘도"/>
      <sheetName val="07~08 PL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기성및원가"/>
      <sheetName val="화기9901매출"/>
      <sheetName val="Act vs. budget"/>
      <sheetName val="목록구분"/>
      <sheetName val="MTP1"/>
      <sheetName val="장비명"/>
      <sheetName val="Ext. Stone-P"/>
      <sheetName val="Cash2"/>
      <sheetName val="Z"/>
      <sheetName val="PH_5"/>
      <sheetName val="bar_chart-rev"/>
      <sheetName val="1_설계조건"/>
      <sheetName val="수량산출서_(2)"/>
      <sheetName val="노원열병합__건축공사기성내역서"/>
      <sheetName val="Investment_Category"/>
      <sheetName val="JT3_0견적-구1"/>
      <sheetName val="Preferred_Option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2020_MMR12"/>
      <sheetName val="Razão_Social"/>
      <sheetName val="NCR_HEC_6_Opens"/>
      <sheetName val="NCR_HEC_4_Open_&amp;_Vendor_2_Opens"/>
      <sheetName val="2_FM_Fee_2차년도"/>
      <sheetName val="3_감가장비"/>
      <sheetName val="PC%계산"/>
      <sheetName val="P_M_별5"/>
      <sheetName val="1_차입금3"/>
      <sheetName val="근거_및_가정3"/>
      <sheetName val="2_주요계수총괄4"/>
      <sheetName val="1_본사계정별4"/>
      <sheetName val="부대시행1_(2)3"/>
      <sheetName val="118_세금과공과4"/>
      <sheetName val="3_6_2남양주택배3"/>
      <sheetName val="Back_Data_14"/>
      <sheetName val="Project_Brief4"/>
      <sheetName val="Facility_Information4"/>
      <sheetName val="단면_(2)4"/>
      <sheetName val="PAD_TR보호대기초3"/>
      <sheetName val="1월_예산3"/>
      <sheetName val="_견적서3"/>
      <sheetName val="설산1_나3"/>
      <sheetName val="설문_평가3"/>
      <sheetName val="해외_기술훈련비_(합계)4"/>
      <sheetName val="외주현황_wq13"/>
      <sheetName val="#1)_투자_구분3"/>
      <sheetName val="1__시공측량3"/>
      <sheetName val="수종별수량_(2)3"/>
      <sheetName val="B-1_기본정보3"/>
      <sheetName val="Utility_Usage_YTN_TOWER3"/>
      <sheetName val="대투_보관자료_변경3"/>
      <sheetName val="납부내역총괄표_(수정)3"/>
      <sheetName val="전선_및_전선관3"/>
      <sheetName val="2013_2월_연결대상3"/>
      <sheetName val="Weekly_Progress(계장)3"/>
      <sheetName val="Rev__Recon_12"/>
      <sheetName val="1_고객불만건수2"/>
      <sheetName val="1_변경범위2"/>
      <sheetName val="KEY_CODE3"/>
      <sheetName val="2-1_강사료,교통비_지급명세3"/>
      <sheetName val="13_포장용역비표준3"/>
      <sheetName val="9_가공부자재표준3"/>
      <sheetName val="8_ROLL표준(TSW)3"/>
      <sheetName val="4_톤당조관량표준3"/>
      <sheetName val="5_조관부자재표준3"/>
      <sheetName val="2-2_투자3"/>
      <sheetName val="Proj__Fin_3"/>
      <sheetName val="ITS_Assumptions2"/>
      <sheetName val="Master_Data2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7_Utility_Analysis2"/>
      <sheetName val="Operational_Activities2"/>
      <sheetName val="C1_3_12"/>
      <sheetName val="실행기성_갑지3"/>
      <sheetName val="Eq__Mobilization2"/>
      <sheetName val="1__작성방식3"/>
      <sheetName val="표)CFT장_조직별_배분3"/>
      <sheetName val="20180214_P&amp;T3"/>
      <sheetName val="Ref__중점_추진_과제별_상세3"/>
      <sheetName val="2_6_三无_(2)2"/>
      <sheetName val="수량산출서_갑지2"/>
      <sheetName val="G_R300경비2"/>
      <sheetName val="AS포장복구_2"/>
      <sheetName val="설_계2"/>
      <sheetName val="Worker_List2"/>
      <sheetName val="GB-IC_Villingen_GG2"/>
      <sheetName val="Bank_code3"/>
      <sheetName val="Drop-down_RAW3"/>
      <sheetName val="Basic_Information3"/>
      <sheetName val="Exchange_rate3"/>
      <sheetName val="진행_DATA_(2)2"/>
      <sheetName val="Ref__Spec_Review_양식2"/>
      <sheetName val="Ref__시험항목_테이블2"/>
      <sheetName val="Ref__Search_Result_테이블2"/>
      <sheetName val="NG_Item2"/>
      <sheetName val="F_월별기성수금현황_2"/>
      <sheetName val="준검_내역서2"/>
      <sheetName val="조도계산서_(도서)2"/>
      <sheetName val="기초정보_코드2"/>
      <sheetName val="날개수량1_52"/>
      <sheetName val="6월_공嚺㓶가2"/>
      <sheetName val="입찰내역_Ĉ1"/>
      <sheetName val="3_일반사상1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산자사_운전용품1"/>
      <sheetName val="4_1_월별_에너지_사용량2"/>
      <sheetName val="업무_분류(Category)1"/>
      <sheetName val="첨부#2_Cash_Flow(현장작성)1"/>
      <sheetName val="Mot_So_Thuat_Ngu_EN-VI1"/>
      <sheetName val="M&amp;Q_Lead2"/>
      <sheetName val="10_예산_및_원가_계획(02년)"/>
      <sheetName val="TOWER_12TON2"/>
      <sheetName val="TOWER_10TON2"/>
      <sheetName val="JIB_CRANE,HOIST2"/>
      <sheetName val="경영비율_1"/>
      <sheetName val="SRS_월별_BS1"/>
      <sheetName val="평가&amp;선급_미지급1"/>
      <sheetName val="EXC_IND"/>
      <sheetName val="COLOR별_인쇄"/>
      <sheetName val="Dropbox_목록1"/>
      <sheetName val="20년_동일기간_소테마"/>
      <sheetName val="07_01"/>
      <sheetName val="실행내역서_"/>
      <sheetName val="무형자산_LS11"/>
      <sheetName val="2_Consideration_sheet"/>
      <sheetName val="3__Export"/>
      <sheetName val="_손익기01.XL__DePara"/>
      <sheetName val="_손익기01_XL__DePara"/>
      <sheetName val="부가가치"/>
      <sheetName val="2021 KPI_SD (대표이사)"/>
      <sheetName val="건축개요_"/>
      <sheetName val="表21_净利润釘×㜀࠷"/>
      <sheetName val="TEMP2"/>
      <sheetName val="표지 (3)"/>
      <sheetName val="북마크"/>
      <sheetName val="연간점유"/>
      <sheetName val="업무계획1"/>
      <sheetName val="2담당0113"/>
      <sheetName val="1담당0113"/>
      <sheetName val="Ⅱ.추정종합"/>
      <sheetName val="통က"/>
      <sheetName val="단독빌딩 총합계본"/>
      <sheetName val="SS215065"/>
      <sheetName val="ASALTOTA"/>
      <sheetName val="국민연금"/>
      <sheetName val="backdata"/>
      <sheetName val="본사공가현황"/>
      <sheetName val="자료입력"/>
      <sheetName val="제임스짐 예상매출 for 2023B"/>
      <sheetName val="경영혁신본부"/>
      <sheetName val="종합"/>
      <sheetName val="Quantity"/>
      <sheetName val="Process Li 鸴"/>
      <sheetName val="DRUM"/>
      <sheetName val="돈암사업"/>
      <sheetName val="Salary(해외)"/>
      <sheetName val="ENE-CAL"/>
      <sheetName val="sum_x0008__x0000_ _x0000__x0006__x0000_"/>
      <sheetName val="슬래?"/>
      <sheetName val="_x005f_x0000__x005f"/>
      <sheetName val="[손익기01_XL_x0000__x0000_DePara11"/>
      <sheetName val="_손익기01_XL_x0000__x0000_DePara11"/>
      <sheetName val="_손익기01_XL_x0000__x06"/>
      <sheetName val="_x0000___x0000__x0000__x0005__x0000_㴐ኰ"/>
      <sheetName val="_x0000___x0000__x0000__x0005__x0000_움ᕕ"/>
      <sheetName val="_x005f_x005f_x005f_x0018__x005f"/>
      <sheetName val="Rate Analysis"/>
      <sheetName val="EE-PROP"/>
      <sheetName val="집계표(OPTION)"/>
      <sheetName val="일위"/>
      <sheetName val="매출내역"/>
      <sheetName val="품목코드"/>
      <sheetName val="8月水电燃使用表"/>
      <sheetName val="자산LIST"/>
      <sheetName val="해외출자현황(원본틀)"/>
      <sheetName val="Sheet376"/>
      <sheetName val="해외_기술훈련비_(합계)5"/>
      <sheetName val="P_M_별6"/>
      <sheetName val="근거_및_가정4"/>
      <sheetName val="Facility_Information5"/>
      <sheetName val="부대시행1_(2)4"/>
      <sheetName val="1_차입금4"/>
      <sheetName val="118_세금과공과5"/>
      <sheetName val="2_주요계수총괄5"/>
      <sheetName val="1_본사계정별5"/>
      <sheetName val="B-1_기본정보4"/>
      <sheetName val="Utility_Usage_YTN_TOWER4"/>
      <sheetName val="설산1_나4"/>
      <sheetName val="Project_Brief5"/>
      <sheetName val="단면_(2)5"/>
      <sheetName val="PAD_TR보호대기초4"/>
      <sheetName val="1__시공측량4"/>
      <sheetName val="3_6_2남양주택배4"/>
      <sheetName val="Back_Data_15"/>
      <sheetName val="1월_예산4"/>
      <sheetName val="수종별수량_(2)4"/>
      <sheetName val="전선_및_전선관4"/>
      <sheetName val="설문_평가4"/>
      <sheetName val="외주현황_wq14"/>
      <sheetName val="_견적서4"/>
      <sheetName val="대투_보관자료_변경4"/>
      <sheetName val="납부내역총괄표_(수정)4"/>
      <sheetName val="#1)_투자_구분4"/>
      <sheetName val="Rev__Recon_13"/>
      <sheetName val="1_고객불만건수3"/>
      <sheetName val="1_변경범위3"/>
      <sheetName val="Weekly_Progress(계장)4"/>
      <sheetName val="2013_2월_연결대상4"/>
      <sheetName val="Proj__Fin_4"/>
      <sheetName val="2-2_투자4"/>
      <sheetName val="ITS_Assumptions3"/>
      <sheetName val="Master_Data3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2-1_강사료,교통비_지급명세4"/>
      <sheetName val="C1_3_13"/>
      <sheetName val="7_Utility_Analysis3"/>
      <sheetName val="Operational_Activitie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산자사_운전용품2"/>
      <sheetName val="1__작성방식4"/>
      <sheetName val="표)CFT장_조직별_배분4"/>
      <sheetName val="20180214_P&amp;T4"/>
      <sheetName val="Ref__중점_추진_과제별_상세4"/>
      <sheetName val="Bank_code4"/>
      <sheetName val="Drop-down_RAW4"/>
      <sheetName val="실행기성_갑지4"/>
      <sheetName val="Eq__Mobilization3"/>
      <sheetName val="날개수량1_5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Exchange_rate4"/>
      <sheetName val="업무_분류(Category)2"/>
      <sheetName val="진행_DATA_(2)3"/>
      <sheetName val="업무분장_1"/>
      <sheetName val="7300-1000_112"/>
      <sheetName val="PJT_현황1"/>
      <sheetName val="참고)_기준정보1"/>
      <sheetName val="Long_Term_Prices1"/>
      <sheetName val="기초정보_코드3"/>
      <sheetName val="STRAT_PLAN_WKSHT3"/>
      <sheetName val="Sales_Plan_&amp;_other3"/>
      <sheetName val="drop_downs2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M&amp;Q_Lead3"/>
      <sheetName val="구분_Table1"/>
      <sheetName val="Basic_Information4"/>
      <sheetName val="견적_맵1"/>
      <sheetName val="3_일반사상2"/>
      <sheetName val="Diesel_Price_1"/>
      <sheetName val="준검_내역서3"/>
      <sheetName val="6월_공嚺㓶가3"/>
      <sheetName val="조도계산서_(도서)3"/>
      <sheetName val="F_월별기성수금현황_3"/>
      <sheetName val="#1_Basic2"/>
      <sheetName val="첨부#2_Cash_Flow(현장작성)2"/>
      <sheetName val="TOWER_12TON3"/>
      <sheetName val="TOWER_10TON3"/>
      <sheetName val="JIB_CRANE,HOIST3"/>
      <sheetName val="Investment_Category1"/>
      <sheetName val="문의내용_카테고리_분류(수정X)1"/>
      <sheetName val="A(Rev_3)2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입찰내역_Ĉ2"/>
      <sheetName val="시스템_개요_유효값1"/>
      <sheetName val="Mot_So_Thuat_Ngu_EN-VI2"/>
      <sheetName val="역T형옹벽(3_0)1"/>
      <sheetName val="외상매출금현황-수정분_A21"/>
      <sheetName val="전기요금_산출내역1"/>
      <sheetName val="노원열병합__건축공사기성내역서1"/>
      <sheetName val="control_sheet1"/>
      <sheetName val="Project_Count1"/>
      <sheetName val="PF_현황(11년12월)1"/>
      <sheetName val="NG_Item3"/>
      <sheetName val="Ref__Spec_Review_양식3"/>
      <sheetName val="Ref__시험항목_테이블3"/>
      <sheetName val="Ref__Search_Result_테이블3"/>
      <sheetName val="SRS_월별_BS2"/>
      <sheetName val="평가&amp;선급_미지급2"/>
      <sheetName val="EXC_IND1"/>
      <sheetName val="COLOR별_인쇄1"/>
      <sheetName val="유류대_현황2"/>
      <sheetName val="1__템플릿2"/>
      <sheetName val="2__작성_참고사항2"/>
      <sheetName val="mapping_(2)2"/>
      <sheetName val="Ref_2"/>
      <sheetName val="2_3_Projects_Status2"/>
      <sheetName val="Consolidated_Project_List2"/>
      <sheetName val="Fixed_Cost2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Manage_to_Sustain1"/>
      <sheetName val="Meeting_List1"/>
      <sheetName val="Packages_Info1"/>
      <sheetName val="Preferred_Option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2020_MMR121"/>
      <sheetName val="Razão_Social1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운영경비_세부작성근거1"/>
      <sheetName val="20년_동일기간_소테마1"/>
      <sheetName val="JT3_0견적-구11"/>
      <sheetName val="Dropbox_목록2"/>
      <sheetName val="3_공통공사대비1"/>
      <sheetName val="현장관리비_산출내역1"/>
      <sheetName val="무형자산_LS111"/>
      <sheetName val="1~9_하중계산1"/>
      <sheetName val="10_예산_및_원가_계획(02년)1"/>
      <sheetName val="경영비율_2"/>
      <sheetName val="Sensitivity_and_GC_Value1"/>
      <sheetName val="07_011"/>
      <sheetName val="수량산출서_(2)1"/>
      <sheetName val="1_수인터널2"/>
      <sheetName val="2_FM_Fee_2차년도1"/>
      <sheetName val="3_감가장비1"/>
      <sheetName val="방배동내역_(총괄)1"/>
      <sheetName val="BSD_(2)1"/>
      <sheetName val="운영경비_세부작성근거"/>
      <sheetName val="3_공통공사대비"/>
      <sheetName val="현장관리비_산출내역"/>
      <sheetName val="1_수인터널1"/>
      <sheetName val="방배동내역_(총괄)"/>
      <sheetName val="下拉框选项"/>
      <sheetName val="Criteria List"/>
      <sheetName val="应收帐款(외상매출금)"/>
      <sheetName val="0405比较_查询"/>
      <sheetName val="6PILE__(돌출_x0000_"/>
      <sheetName val="제조원가_원단_x0000_ǻ_x0000_"/>
      <sheetName val="argl(1)"/>
      <sheetName val="자본금99(수)"/>
      <sheetName val="Spreadsheet Information"/>
      <sheetName val="원형1호맨홀토공수량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96보완계획7.12"/>
      <sheetName val="loading"/>
      <sheetName val="a.연결정리"/>
      <sheetName val="NOZZLE제작단가"/>
      <sheetName val="Electrical Load List"/>
      <sheetName val="월별"/>
      <sheetName val="1차)기초데이터_인건비월별추정"/>
      <sheetName val="KENworth"/>
      <sheetName val="12월시산표"/>
      <sheetName val="손익계산서(출력)"/>
      <sheetName val="매출원가"/>
      <sheetName val="제주환경순환센터"/>
      <sheetName val="8호선 원가 투입내역"/>
      <sheetName val="B"/>
      <sheetName val="STROPEZ"/>
      <sheetName val="major"/>
      <sheetName val="감가상각비(2002)"/>
      <sheetName val="1.현금예금"/>
      <sheetName val="리드14"/>
      <sheetName val="총괄표_전체"/>
      <sheetName val="총괄표_기본"/>
      <sheetName val="총괄표_확장"/>
      <sheetName val="DATA SHEET(절대삭제 금지)"/>
      <sheetName val="member design"/>
      <sheetName val="design criteria"/>
      <sheetName val="working load at the btm ft."/>
      <sheetName val="plan&amp;section of foundation"/>
      <sheetName val="종합표양식(품의좲_xdd02_쒥⠀쮎_x001d__x0000__x0000_"/>
      <sheetName val="범한여행"/>
      <sheetName val="D"/>
      <sheetName val="act98"/>
      <sheetName val="건설중인"/>
      <sheetName val="대지급(한미)"/>
      <sheetName val="Piping Design Data"/>
      <sheetName val="DANHPHAP"/>
      <sheetName val="CHITIET VL-NC-TT -1p"/>
      <sheetName val="CHITIET VL-NC-TT-3p"/>
      <sheetName val="TONG HOP VL-NC TT"/>
      <sheetName val="TDTKP1"/>
      <sheetName val="KPVC-BD "/>
      <sheetName val="목차_"/>
      <sheetName val="0__물류비집계_rev1"/>
      <sheetName val="0__물류비_집계"/>
      <sheetName val="(1-2)_국내_구간별_운송_견적_1"/>
      <sheetName val="(1-1)_국내_구간별_운송_실적__(2)"/>
      <sheetName val="(1)_국내_사이트_상세_주소_"/>
      <sheetName val="수입_건수_정리"/>
      <sheetName val="(2-1)_수출_해상_(LCL)_"/>
      <sheetName val="(2-2)_수출_항공_"/>
      <sheetName val="(2-4)_수출_내륙_운송료"/>
      <sheetName val="(3-1)_수입_해상_(FCL)"/>
      <sheetName val="(3-2)_수입_해상_(LCL)_"/>
      <sheetName val="(3-3)_수입_항공_"/>
      <sheetName val="(3-5)_수입_내륙_운송료"/>
      <sheetName val="운송내역_"/>
      <sheetName val="SPT_vs_PHI"/>
      <sheetName val="NKC_(final)1"/>
      <sheetName val="입찰내역_Ԁ"/>
      <sheetName val="입찰내역_⊍∀的"/>
      <sheetName val="참고3_DATA"/>
      <sheetName val="입찰내역_"/>
      <sheetName val="토공(우물통,기타)_"/>
      <sheetName val="Insight_MTD_QTD_YTD_DATA"/>
      <sheetName val="Working_(PivotTable)"/>
      <sheetName val="Essbase_(53_Weeks)"/>
      <sheetName val="Essbase_(52_Weeks)"/>
      <sheetName val="Store_Listing"/>
      <sheetName val="COMP_Working"/>
      <sheetName val="COMP_LLY_Working"/>
      <sheetName val="ALK_Chi_tiết_công_nợ"/>
      <sheetName val="CHITIET_VL-NC-TT1p"/>
      <sheetName val="Xunit_(단위환산)"/>
      <sheetName val="4월_매출"/>
      <sheetName val="SAP_검증(평균환율)"/>
      <sheetName val="SAP_검증(월말환율)"/>
      <sheetName val="전분기말_정산표(PQE)"/>
      <sheetName val="전년동기_정산표"/>
      <sheetName val="전기말_정산표(PYE)"/>
      <sheetName val="당기말_정산표(CPE)"/>
      <sheetName val="A01-3_조정내역"/>
      <sheetName val="A01-3_단순합산"/>
      <sheetName val="매출채권_및_금융자산"/>
      <sheetName val="A03-3_연결조정"/>
      <sheetName val="A07__유형자산_차기이월,_미실현"/>
      <sheetName val="A07__유형자산_감가상각"/>
      <sheetName val="A08__연결_조정"/>
      <sheetName val="A09__연결_조정"/>
      <sheetName val="B01_연결_조정"/>
      <sheetName val="B04_연결_조정"/>
      <sheetName val="B05_연결_조정"/>
      <sheetName val="납입자본(연결자본변동표_참조_작성)"/>
      <sheetName val="이익잉여금(연결자본변동표_참조_작성)"/>
      <sheetName val="기타포괄손익누계액(연결자본변동표_참조_작성)"/>
      <sheetName val="D01_연결_조정"/>
      <sheetName val="주당손익(개별파일_작성)"/>
      <sheetName val="_Drop"/>
      <sheetName val="7__2_3"/>
      <sheetName val="Report_Setup2"/>
      <sheetName val="OWNER-1_(2)2"/>
      <sheetName val="고객만족도_향상"/>
      <sheetName val="108_수선비"/>
      <sheetName val="BS준비_XLS"/>
      <sheetName val="BS%EC%A4%80%EB%B9%84_XLS"/>
      <sheetName val="퇴직금추계(04_9_30)"/>
      <sheetName val="1_경제설계"/>
      <sheetName val="경수97_02"/>
      <sheetName val="1995년_섹터별_매출"/>
      <sheetName val="44-2Q_주석_xlsx"/>
      <sheetName val="팀_업체별_월기성실적"/>
      <sheetName val="팀_업체별_시공의뢰"/>
      <sheetName val="A_(3)"/>
      <sheetName val="DL08_DF_모드"/>
      <sheetName val="원지_수급가"/>
      <sheetName val="2_상각보정명세"/>
      <sheetName val="특수,항공_부서코드표3"/>
      <sheetName val="예산조정신청서_양식3"/>
      <sheetName val="96예산신청을_위한_양식및_공문3"/>
      <sheetName val="96예산신청을%20위한%20양식및%20공문_XLS1"/>
      <sheetName val="4b_Consolidated_PL"/>
      <sheetName val="TT_List"/>
      <sheetName val="#1_Basic3"/>
      <sheetName val="STRAT_PLAN_WKSHT4"/>
      <sheetName val="Sales_Plan_&amp;_other4"/>
      <sheetName val="drop_downs3"/>
      <sheetName val="견적_맵2"/>
      <sheetName val="7300-1000_113"/>
      <sheetName val="PJT_현황2"/>
      <sheetName val="참고)_기준정보2"/>
      <sheetName val="Long_Term_Prices2"/>
      <sheetName val="업무분장_2"/>
      <sheetName val="구분_Table2"/>
      <sheetName val="문의내용_카테고리_분류(수정X)2"/>
      <sheetName val="Diesel_Price_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목차_1"/>
      <sheetName val="0__물류비집계_rev11"/>
      <sheetName val="0__물류비_집계1"/>
      <sheetName val="(1-2)_국내_구간별_운송_견적_11"/>
      <sheetName val="(1-1)_국내_구간별_운송_실적__(2)1"/>
      <sheetName val="(1)_국내_사이트_상세_주소_1"/>
      <sheetName val="수입_건수_정리1"/>
      <sheetName val="(2-1)_수출_해상_(LCL)_1"/>
      <sheetName val="(2-2)_수출_항공_1"/>
      <sheetName val="(2-4)_수출_내륙_운송료1"/>
      <sheetName val="(3-1)_수입_해상_(FCL)1"/>
      <sheetName val="(3-2)_수입_해상_(LCL)_1"/>
      <sheetName val="(3-3)_수입_항공_1"/>
      <sheetName val="(3-5)_수입_내륙_운송료1"/>
      <sheetName val="운송내역_1"/>
      <sheetName val="Project_Count2"/>
      <sheetName val="역T형옹벽(3_0)2"/>
      <sheetName val="외상매출금현황-수정분_A22"/>
      <sheetName val="control_sheet2"/>
      <sheetName val="SPT_vs_PHI1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NKC_(final)2"/>
      <sheetName val="NCR_HEC_6_Opens1"/>
      <sheetName val="NCR_HEC_4_Open_&amp;_Vendor_2_Open1"/>
      <sheetName val="PF_현황(11년12월)2"/>
      <sheetName val="Sensitivity_and_GC_Value2"/>
      <sheetName val="참고3_DATA1"/>
      <sheetName val="입찰내역_1"/>
      <sheetName val="토공(우물통,기타)_1"/>
      <sheetName val="Insight_MTD_QTD_YTD_DATA1"/>
      <sheetName val="Working_(PivotTable)1"/>
      <sheetName val="Essbase_(53_Weeks)1"/>
      <sheetName val="Essbase_(52_Weeks)1"/>
      <sheetName val="Store_Listing1"/>
      <sheetName val="COMP_Working1"/>
      <sheetName val="COMP_LLY_Working1"/>
      <sheetName val="ALK_Chi_tiết_công_nợ1"/>
      <sheetName val="CHITIET_VL-NC-TT1p1"/>
      <sheetName val="PH_51"/>
      <sheetName val="bar_chart-rev1"/>
      <sheetName val="Xunit_(단위환산)1"/>
      <sheetName val="4월_매출1"/>
      <sheetName val="SAP_검증(평균환율)1"/>
      <sheetName val="SAP_검증(월말환율)1"/>
      <sheetName val="전분기말_정산표(PQE)1"/>
      <sheetName val="전년동기_정산표1"/>
      <sheetName val="전기말_정산표(PYE)1"/>
      <sheetName val="당기말_정산표(CPE)1"/>
      <sheetName val="A01-3_조정내역1"/>
      <sheetName val="A01-3_단순합산1"/>
      <sheetName val="매출채권_및_금융자산1"/>
      <sheetName val="A03-3_연결조정1"/>
      <sheetName val="A07__유형자산_차기이월,_미실현1"/>
      <sheetName val="A07__유형자산_감가상각1"/>
      <sheetName val="A08__연결_조정1"/>
      <sheetName val="A09__연결_조정1"/>
      <sheetName val="B01_연결_조정1"/>
      <sheetName val="B04_연결_조정1"/>
      <sheetName val="B05_연결_조정1"/>
      <sheetName val="납입자본(연결자본변동표_참조_작성)1"/>
      <sheetName val="이익잉여금(연결자본변동표_참조_작성)1"/>
      <sheetName val="기타포괄손익누계액(연결자본변동표_참조_작성)1"/>
      <sheetName val="D01_연결_조정1"/>
      <sheetName val="주당손익(개별파일_작성)1"/>
      <sheetName val="_Drop1"/>
      <sheetName val="7__2_4"/>
      <sheetName val="Report_Setup3"/>
      <sheetName val="OWNER-1_(2)3"/>
      <sheetName val="고객만족도_향상1"/>
      <sheetName val="108_수선비1"/>
      <sheetName val="BS준비_XLS1"/>
      <sheetName val="BS%EC%A4%80%EB%B9%84_XLS1"/>
      <sheetName val="퇴직금추계(04_9_30)1"/>
      <sheetName val="1_경제설계1"/>
      <sheetName val="경수97_021"/>
      <sheetName val="1995년_섹터별_매출1"/>
      <sheetName val="44-2Q_주석_xlsx1"/>
      <sheetName val="팀_업체별_월기성실적1"/>
      <sheetName val="팀_업체별_시공의뢰1"/>
      <sheetName val="A_(3)1"/>
      <sheetName val="DL08_DF_모드1"/>
      <sheetName val="원지_수급가1"/>
      <sheetName val="2_상각보정명세1"/>
      <sheetName val="특수,항공_부서코드표4"/>
      <sheetName val="예산조정신청서_양식4"/>
      <sheetName val="96예산신청을_위한_양식및_공문4"/>
      <sheetName val="96예산신청을%20위한%20양식및%20공문_XLS2"/>
      <sheetName val="4b_Consolidated_PL1"/>
      <sheetName val="TT_List1"/>
      <sheetName val="VS P-Q"/>
      <sheetName val="97 사업추정(W؀_x0001__x0000__x0000_"/>
      <sheetName val="Tr.C 당일자금판"/>
      <sheetName val="내역서(토목)"/>
      <sheetName val="8월현금흐름표"/>
      <sheetName val="TTL"/>
      <sheetName val="참고(3)고정비"/>
      <sheetName val="목공사품의서"/>
      <sheetName val="온라인 계수 기준표"/>
      <sheetName val="利润表"/>
      <sheetName val="정산표Y_E(10년-4Q)"/>
      <sheetName val="资产负债"/>
      <sheetName val="scoreY_E(10년-4Q)"/>
      <sheetName val="利润表FY10"/>
      <sheetName val="database"/>
      <sheetName val="DESBAST"/>
      <sheetName val="ACTIVITY CODE &amp; AREA LIST"/>
      <sheetName val="1) MALL"/>
      <sheetName val="504전기실_"/>
      <sheetName val="CAL1"/>
      <sheetName val="생산"/>
      <sheetName val="구매대행이행율(2)"/>
      <sheetName val="FB150’980123"/>
      <sheetName val="category대응"/>
      <sheetName val="대출 상환액 산출표"/>
      <sheetName val="사외외주 9월 현황"/>
      <sheetName val="GRACE"/>
      <sheetName val="1-8"/>
      <sheetName val="HK1.83站合力改善 "/>
      <sheetName val="생계99ST"/>
      <sheetName val="SHAFT"/>
      <sheetName val="G2설비도급"/>
      <sheetName val="2001Org"/>
      <sheetName val="DHEQSUPT"/>
      <sheetName val="7_공사비집_x0000_跇˜_x0000__x0000__x0000_Ā_x0000_"/>
      <sheetName val="1-11조직표"/>
      <sheetName val="Requirement(Work Crew)"/>
      <sheetName val="개요"/>
      <sheetName val="07~08_PL"/>
      <sheetName val="유효성_목록"/>
      <sheetName val="1_설계기준"/>
      <sheetName val="6PILE__(剙"/>
      <sheetName val="첨부1-2__증감사유내역서(을)"/>
      <sheetName val="총_원가계산"/>
      <sheetName val="제조원가_원단༘֜"/>
      <sheetName val="경계석,골재외_(2)"/>
      <sheetName val="sum_"/>
      <sheetName val="UPA(Part_C,D,E,G,H)"/>
      <sheetName val="UPA(Part_F)"/>
      <sheetName val="일위대가_(Part_C,D,E,G,H)"/>
      <sheetName val="카테고리_분류_(수정X)"/>
      <sheetName val="Ⅴ-2_공종별내역"/>
      <sheetName val="일위목차"/>
      <sheetName val="0226"/>
      <sheetName val="2)단가비교표"/>
      <sheetName val="SHEET"/>
      <sheetName val="설비등록ၒ_x0000_"/>
      <sheetName val="3_판관비명세서"/>
      <sheetName val="▶_일일출역_집계_20210819143316"/>
      <sheetName val="완성차_미수금"/>
      <sheetName val="견적_(2)"/>
      <sheetName val="ITB_COST"/>
      <sheetName val="종합표양식(품의좲쒥⠀쮎"/>
      <sheetName val="Process_Li"/>
      <sheetName val="_㴐ኰ"/>
      <sheetName val="_움ᕕ"/>
      <sheetName val="단양_00_아파트-세부내역"/>
      <sheetName val="96보완계획7_12"/>
      <sheetName val="투입계획서(변경)"/>
      <sheetName val="기안"/>
      <sheetName val="지하시설물작성"/>
      <sheetName val="사다리"/>
      <sheetName val="_Cash_Flo_x0000__x0000__x0000__x0000__x0000_"/>
      <sheetName val="_x005f_x0000__x00_x0000__x0000__x0000_"/>
      <sheetName val="변경내역대비표(2)"/>
      <sheetName val="MAIN_TABLE"/>
      <sheetName val="COVER-P"/>
      <sheetName val="_REF"/>
      <sheetName val="H.P견적(참조)"/>
      <sheetName val="공사예산하조서(O.K)"/>
      <sheetName val="표건"/>
      <sheetName val="제조원가_원단_x0000_궰_x0000__x0000_"/>
      <sheetName val="제조원가_원단_x0000_聏_x0000__x0000_"/>
      <sheetName val="실토지와투자자12.6.30"/>
      <sheetName val="일위대가목록"/>
      <sheetName val="중기단가목록"/>
      <sheetName val="Data추가sheet"/>
      <sheetName val="시설이용권명세서"/>
      <sheetName val="NBCF"/>
      <sheetName val="INVDAYS"/>
      <sheetName val="※유형구분분류 (2)"/>
      <sheetName val="Ref1"/>
      <sheetName val="계획대비 실적_조정후"/>
      <sheetName val="3BL공동구 수량"/>
      <sheetName val="NON SLIP"/>
      <sheetName val="12년_CF(9월_x0000_"/>
      <sheetName val="C.S.A"/>
      <sheetName val="Rate"/>
      <sheetName val="Sch.6"/>
      <sheetName val="동력"/>
      <sheetName val="변압기"/>
      <sheetName val="단독빌딩_총합계본"/>
      <sheetName val="7_공사비집_x0000__x0000__x0000__x0000_⽐ʇ_x0000_"/>
      <sheetName val="제조원가_원단샀_x000e__x0000__x0000_"/>
      <sheetName val="C&amp;C유형"/>
      <sheetName val="콘크리트타설집계표"/>
      <sheetName val="나_출؀_x0001_"/>
      <sheetName val="12"/>
      <sheetName val="분류기준"/>
      <sheetName val="로우프"/>
      <sheetName val="개산견적원본"/>
      <sheetName val="1_종합손익탬됊혁酧_x0000__x0000_ꠀⅱ"/>
      <sheetName val="1_종합손익훬酧_x0000__x0000_怀ꇨ吖ᑌ"/>
      <sheetName val="1_종합손익훬酧_x0000__x0000_㠀ᥖ吨ᑌ"/>
      <sheetName val="1_종합손익(_x0000__x0000_ᥨᗊ"/>
      <sheetName val="1_종합손익(葔ǯૐŖ"/>
      <sheetName val="1_종합손익(_x0000__x0000__x0005__x0000_"/>
      <sheetName val="변경전"/>
      <sheetName val="할증 "/>
      <sheetName val="다이꾸"/>
      <sheetName val="별제권_정리담보권"/>
      <sheetName val="공사직종별노임"/>
      <sheetName val="운반거리(0.7km)"/>
      <sheetName val="종합표양식(품의_&amp;¾_x0000__x0000__x0000__x0000_漁ן"/>
      <sheetName val="제조원가_원단뿰朮_x0000__x0000_"/>
      <sheetName val="제조원가_원단뽰_x0000__x0000_"/>
      <sheetName val="제조원가_원단뽀ᚔ_x0000__x0000_"/>
      <sheetName val="천마갑지"/>
      <sheetName val="재고선1"/>
      <sheetName val="연차일수"/>
      <sheetName val="REQUEST"/>
      <sheetName val="VC"/>
      <sheetName val="TA10"/>
      <sheetName val="Field"/>
      <sheetName val="공정-일반MG"/>
      <sheetName val="아파트진행률"/>
      <sheetName val="운행일지"/>
      <sheetName val="상품보조수불"/>
      <sheetName val="제조원가"/>
      <sheetName val="원료 CODE"/>
      <sheetName val="계열사현황종합"/>
      <sheetName val="업무연덽_(2)9"/>
      <sheetName val="단"/>
      <sheetName val="일위_파일"/>
      <sheetName val="수리결과"/>
      <sheetName val="Ma CV"/>
      <sheetName val="은아수_05월 주간 및 요일별 평균매출"/>
      <sheetName val="_손익기01_XL_x005f_x0000__x005f_x005f_x0"/>
      <sheetName val="Ext__Stone-P"/>
      <sheetName val="ARP"/>
      <sheetName val="_손익기01_XL_x005f_x0000__x8"/>
      <sheetName val="_x0000__x005f"/>
      <sheetName val="_x005f_x0018__x005f"/>
      <sheetName val="[손익기01_XL_x0000__x0000_DePara12"/>
      <sheetName val="_손익기01_XL_x0000__x0000_DePara12"/>
      <sheetName val="_손익기01_XL_x005f_x0000__x9"/>
      <sheetName val="_손익기01_XL_x0000__x07"/>
      <sheetName val="[손익기01_XL_x0000__x0000_DePara13"/>
      <sheetName val="_손익기01_XL_x0000__x0000_DePara13"/>
      <sheetName val="_손익기01_XL_x005f_x0000__10"/>
      <sheetName val="_손익기01_XL_x0000__x08"/>
      <sheetName val="종합표양식(품의좲?쒥⠀쮎_x001d__x0000__x0000_"/>
      <sheetName val="_x0000__x00_x0000__x0000__x0000_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C_Down_load_071613"/>
      <sheetName val="변경실행(2차)_13"/>
      <sheetName val="__한국_AMP_ASP-23_판매가격__13"/>
      <sheetName val="나_출고13"/>
      <sheetName val="나_입고13"/>
      <sheetName val="09년_인건비(속리산)13"/>
      <sheetName val="합산목표(감가+57_5)13"/>
      <sheetName val="b_balju_(2)13"/>
      <sheetName val="제조원가_원단위_분석13"/>
      <sheetName val="종합표양식(품의_&amp;_입고)_213"/>
      <sheetName val="원가관리_(동월대비)13"/>
      <sheetName val="중기조종사_단위단가13"/>
      <sheetName val="2-2_매출분석13"/>
      <sheetName val="6PILE__(돌출)13"/>
      <sheetName val="기성청구_공문13"/>
      <sheetName val="몰드시스템_리스트13"/>
      <sheetName val="11_외화채무증권(AFS,HTM)0813"/>
      <sheetName val="13_감액TEST_0813"/>
      <sheetName val="7_(2)15"/>
      <sheetName val="12년_CF(9월)13"/>
      <sheetName val="Sheet1_(2)13"/>
      <sheetName val="2_총괄표11"/>
      <sheetName val="sum1_(2)11"/>
      <sheetName val="504전기실_동부하-L11"/>
      <sheetName val="2_대외공문11"/>
      <sheetName val="表21_净利润调节表12"/>
      <sheetName val="입출재고현황_(2)11"/>
      <sheetName val="Facility_Information6"/>
      <sheetName val="2_주요계수총괄6"/>
      <sheetName val="3_바닥판설계11"/>
      <sheetName val="입찰내역_발주처_양식11"/>
      <sheetName val="P_M_별7"/>
      <sheetName val="TRE_TABLE11"/>
      <sheetName val="OUTER_AREA(겹침없음)11"/>
      <sheetName val="EL_표면적11"/>
      <sheetName val="Project_Brief6"/>
      <sheetName val="PAD_TR보호대기초5"/>
      <sheetName val="단면_(2)6"/>
      <sheetName val="근거_및_가정5"/>
      <sheetName val="09~10년_매출계획13"/>
      <sheetName val="2_카드채권(대출포함)12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Process_List15"/>
      <sheetName val="제시_손익계산서15"/>
      <sheetName val="업무연락_(2)15"/>
      <sheetName val="M_7회차_담금_계획15"/>
      <sheetName val="01_02월_성과급16"/>
      <sheetName val="97_사업추정(WEKI)11"/>
      <sheetName val="팀별_실적15"/>
      <sheetName val="팀별_실적_(환산)15"/>
      <sheetName val="6월_공정외주11"/>
      <sheetName val="1_차입금5"/>
      <sheetName val="118_세금과공과6"/>
      <sheetName val="Tong_hop11"/>
      <sheetName val="95_1_1이후취득자산(숨기기상태)11"/>
      <sheetName val="1_MDF1공장13"/>
      <sheetName val="1__시공측량5"/>
      <sheetName val="1_본사계정별6"/>
      <sheetName val="부대시행1_(2)5"/>
      <sheetName val="3_6_2남양주택배5"/>
      <sheetName val="Back_Data_16"/>
      <sheetName val="해외_기술훈련비_(합계)6"/>
      <sheetName val="수종별수량_(2)5"/>
      <sheetName val="전선_및_전선관5"/>
      <sheetName val="1월_예산5"/>
      <sheetName val="_견적서5"/>
      <sheetName val="#1)_투자_구분5"/>
      <sheetName val="Weekly_Progress(계장)5"/>
      <sheetName val="설산1_나5"/>
      <sheetName val="납부내역총괄표_(수정)5"/>
      <sheetName val="설문_평가5"/>
      <sheetName val="Utility_Usage_YTN_TOWER5"/>
      <sheetName val="B-1_기본정보5"/>
      <sheetName val="대투_보관자료_변경5"/>
      <sheetName val="G_R300경비4"/>
      <sheetName val="AS포장복구_4"/>
      <sheetName val="설_계4"/>
      <sheetName val="2013_2월_연결대상5"/>
      <sheetName val="Rev__Recon_14"/>
      <sheetName val="1_고객불만건수4"/>
      <sheetName val="1_변경범위4"/>
      <sheetName val="외주현황_wq15"/>
      <sheetName val="수량산출서_갑지4"/>
      <sheetName val="실행기성_갑지5"/>
      <sheetName val="Eq__Mobilization4"/>
      <sheetName val="KEY_CODE5"/>
      <sheetName val="2-1_강사료,교통비_지급명세5"/>
      <sheetName val="13_포장용역비표준5"/>
      <sheetName val="9_가공부자재표준5"/>
      <sheetName val="8_ROLL표준(TSW)5"/>
      <sheetName val="4_톤당조관량표준5"/>
      <sheetName val="5_조관부자재표준5"/>
      <sheetName val="4__Inj_투자상세내역15"/>
      <sheetName val="3__Blow_투자_상세내역15"/>
      <sheetName val="Jul-Sep_Actual_cost_(2)10"/>
      <sheetName val="요일_테이블15"/>
      <sheetName val="요일_테이블_(2)14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3_ISo_YTD15"/>
      <sheetName val="E_法规NC15"/>
      <sheetName val="Données_LMU15"/>
      <sheetName val="Brazil_Sovereign15"/>
      <sheetName val="Resumen_Costo15"/>
      <sheetName val="Fixed_ZBB15"/>
      <sheetName val="5_115"/>
      <sheetName val="Extract_Loss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Base_de_Dados15"/>
      <sheetName val="Testing_Template_Guidance15"/>
      <sheetName val="Test_Programs15"/>
      <sheetName val="Dados_BLP15"/>
      <sheetName val="Controls_data17"/>
      <sheetName val="FJJX_Bud_IB14"/>
      <sheetName val="look-up_data14"/>
      <sheetName val="JOB_PROFILE_-_LAS15"/>
      <sheetName val="ARdistr_(2)15"/>
      <sheetName val="Prd_Hierarchy(产品层级)14"/>
      <sheetName val="Com_(2PK)14"/>
      <sheetName val="Prd_Hierarchy(产品层次)14"/>
      <sheetName val="Project_Code14"/>
      <sheetName val="15년_BL_사계14"/>
      <sheetName val="_손익기01_XL14"/>
      <sheetName val="drop_down_list14"/>
      <sheetName val="[손익기01_XL_x0000__x0000_DePara14"/>
      <sheetName val="[손익기01_XL14"/>
      <sheetName val="Income_Stmt14"/>
      <sheetName val="Quarterly_LBO_Model14"/>
      <sheetName val="_손익기01_XL_x0000__x0000_DePara14"/>
      <sheetName val="Classification_分类13"/>
      <sheetName val="Figures_Report13"/>
      <sheetName val="Set_Up14"/>
      <sheetName val="Fare_prices13"/>
      <sheetName val="Hotel_prices13"/>
      <sheetName val="tab_STATUS_DO_PROCESSO_13"/>
      <sheetName val="Perf__Plan__Diário113"/>
      <sheetName val="In_(2)13"/>
      <sheetName val="slide_24_cat_A13"/>
      <sheetName val="slide_82_cat_b13"/>
      <sheetName val="Incident_유형구분표13"/>
      <sheetName val="CLASIFICACION_DE_AI13"/>
      <sheetName val="Base_da_Datos13"/>
      <sheetName val="Dados_dos_Produtos13"/>
      <sheetName val="DD_list13"/>
      <sheetName val="3YP2016-Bottom_up12"/>
      <sheetName val="MASTER_APP12"/>
      <sheetName val="Cond__Inseguros12"/>
      <sheetName val="Comp__Inseguros12"/>
      <sheetName val="Lista_de_datos12"/>
      <sheetName val="Base_de_Datos12"/>
      <sheetName val="_DD_List12"/>
      <sheetName val="Share_Price_200212"/>
      <sheetName val="Clasif_12"/>
      <sheetName val="Lista_CI12"/>
      <sheetName val="Farol_Acciones12"/>
      <sheetName val="Lista_de_Entrenamientos12"/>
      <sheetName val="Supply_Cost_Centers12"/>
      <sheetName val="BEP_加薪_KPI11"/>
      <sheetName val="2-2_투자5"/>
      <sheetName val="Proj__Fin_5"/>
      <sheetName val="ITS_Assumptions4"/>
      <sheetName val="Master_Data4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7_Utility_Analysis4"/>
      <sheetName val="Operational_Activities4"/>
      <sheetName val="기초정보_코드4"/>
      <sheetName val="1__작성방식5"/>
      <sheetName val="조도계산서_(도서)4"/>
      <sheetName val="C1_3_14"/>
      <sheetName val="준검_내역서4"/>
      <sheetName val="F_월별기성수금현황_4"/>
      <sheetName val="A(Rev_3)3"/>
      <sheetName val="날개수량1_54"/>
      <sheetName val="표)CFT장_조직별_배분5"/>
      <sheetName val="20180214_P&amp;T5"/>
      <sheetName val="Ref__중점_추진_과제별_상세5"/>
      <sheetName val="2_6_三无_(2)4"/>
      <sheetName val="Worker_List4"/>
      <sheetName val="GB-IC_Villingen_GG4"/>
      <sheetName val="입찰내역_Ĉ3"/>
      <sheetName val="6월_공嚺㓶가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M&amp;Q_Lead4"/>
      <sheetName val="4_1_월별_에너지_사용량4"/>
      <sheetName val="Bank_code5"/>
      <sheetName val="Drop-down_RAW5"/>
      <sheetName val="산자사_운전용품3"/>
      <sheetName val="업무_분류(Category)3"/>
      <sheetName val="전기요금_산출내역2"/>
      <sheetName val="3_일반사상3"/>
      <sheetName val="부재료_비교(11년_vs_10년)9"/>
      <sheetName val="Dashboard_Prevención_Riesgos_11"/>
      <sheetName val="TOP_KPIs_MTM11"/>
      <sheetName val="PLAN_DE_ACCION11"/>
      <sheetName val="Faro_de_Indicadores11"/>
      <sheetName val="Unidades_SAC-REVENDA13"/>
      <sheetName val="FornecM_Check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Estratificación_AI11"/>
      <sheetName val="condicion_inseguras11"/>
      <sheetName val="Actos_Inseguros11"/>
      <sheetName val="Control_de_incidentes11"/>
      <sheetName val="Plan_de_Acción11"/>
      <sheetName val="_손익기01_XL_x005f_x0000__11"/>
      <sheetName val="Issues_List_Payments11"/>
      <sheetName val="turnover_reason퇴직사유11"/>
      <sheetName val="Grafica_Actos11"/>
      <sheetName val="POC_LIST11"/>
      <sheetName val="Condiciones_SyE11"/>
      <sheetName val="DETALLE_MENSUAL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REALxMETA_-_CERVEJA13"/>
      <sheetName val="REALxMETA_-_REFRI13"/>
      <sheetName val="Directrices_de_Metas_201711"/>
      <sheetName val="SKU_Basic_Data11"/>
      <sheetName val="Entity_Target11"/>
      <sheetName val="VALIDACION_DE_DATOS10"/>
      <sheetName val="Drop-down_List10"/>
      <sheetName val="by_DD10"/>
      <sheetName val="Check_Qualidade9"/>
      <sheetName val="De_Para10"/>
      <sheetName val="Check_Aderencia9"/>
      <sheetName val="Exchange_rate5"/>
      <sheetName val="TOWER_12TON4"/>
      <sheetName val="TOWER_10TON4"/>
      <sheetName val="JIB_CRANE,HOIST4"/>
      <sheetName val="첨부#2_Cash_Flow(현장작성)3"/>
      <sheetName val="1~9_하중계산2"/>
      <sheetName val="1_수인터널3"/>
      <sheetName val="시스템_개요_유효값2"/>
      <sheetName val="Basic_Information5"/>
      <sheetName val="JT3_0견적-구12"/>
      <sheetName val="진행_DATA_(2)4"/>
      <sheetName val="Dropbox_목록3"/>
      <sheetName val="Investment_Category2"/>
      <sheetName val="Base_Farol9"/>
      <sheetName val="Gerencial_IL9"/>
      <sheetName val="Ventas_Campo9"/>
      <sheetName val="ACTOS_POR_RIESGO9"/>
      <sheetName val="drop_lists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_손익기01_XL_x0000__x09"/>
      <sheetName val="요일_테이블_9"/>
      <sheetName val="Nombre_de_SOP9"/>
      <sheetName val="_mngt_Pillar9"/>
      <sheetName val="2__Indicadores9"/>
      <sheetName val="Ta_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Other_Listings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Pauta_RPS_Distribuição8"/>
      <sheetName val="Estoque_(2)8"/>
      <sheetName val="DATOS_DE_VALIDACIÓN8"/>
      <sheetName val="Datos_con8"/>
      <sheetName val="_Datos_Cond_8"/>
      <sheetName val="Comp_Inseguros8"/>
      <sheetName val="BNR_2012_в_ящике8"/>
      <sheetName val="INGRESO_(2)8"/>
      <sheetName val="PG-K1610_(UEN_Areas)MNG8"/>
      <sheetName val="DATOS_GEN_8"/>
      <sheetName val="NUEVOS_CRITERIOS8"/>
      <sheetName val="Condiciones_Agua8"/>
      <sheetName val="DO_NOT_MOVE8"/>
      <sheetName val="Dropdown_list7"/>
      <sheetName val="Control_de_Fallas7"/>
      <sheetName val="Setup_for_Templates7"/>
      <sheetName val="Datos_emp7"/>
      <sheetName val="Drop_list7"/>
      <sheetName val="FX_Rates7"/>
      <sheetName val="Proced_7"/>
      <sheetName val="Cut_Machine_Summary7"/>
      <sheetName val="Validation_lists7"/>
      <sheetName val="__한국_AMP_ASP-23_판㧤가격__7"/>
      <sheetName val="11_䡸화채무줝ⴌ(AFS,HTM)08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Vagas_x_Candidatos7"/>
      <sheetName val="Listas_y_equipos_a_evaluar7"/>
      <sheetName val="Data_Reporte7"/>
      <sheetName val="Read_me7"/>
      <sheetName val="Champions_List6"/>
      <sheetName val="NAZ_Strategy5"/>
      <sheetName val="Daily_Dashboard7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7"/>
      <sheetName val="SUPERMONT_P8"/>
      <sheetName val="Data_selection6"/>
      <sheetName val="1_6"/>
      <sheetName val="Customer_&amp;_SO5"/>
      <sheetName val="Session_Proposal5"/>
      <sheetName val="Dropdown_Menu3"/>
      <sheetName val="Análise_Tempos4"/>
      <sheetName val="Incentivo_Automóvil4"/>
      <sheetName val="PDA_BOP4"/>
      <sheetName val="Validação_de_Dados4"/>
      <sheetName val="No_llenar_4"/>
      <sheetName val="유류대_현황3"/>
      <sheetName val="1__템플릿3"/>
      <sheetName val="2__작성_참고사항3"/>
      <sheetName val="mapping_(2)3"/>
      <sheetName val="Ref_3"/>
      <sheetName val="Lista_de_Motivos4"/>
      <sheetName val="Ponto_Crítico_-_Resp__Plano4"/>
      <sheetName val="Lista_Funcionários_(2)4"/>
      <sheetName val="2_3_Projects_Status3"/>
      <sheetName val="PROCESS_MD4"/>
      <sheetName val="Consolidated_Project_List3"/>
      <sheetName val="Fixed_Cost3"/>
      <sheetName val="Project_List3"/>
      <sheetName val="Выпадающие_списки3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SOP_Freshness2"/>
      <sheetName val="PAINEL_RECOLHA_CRÉDITO4"/>
      <sheetName val="Gráficos_-_CDD4"/>
      <sheetName val="3__Training_&amp;_travel5"/>
      <sheetName val="Dimension_IN_Sheet1!D19122"/>
      <sheetName val="Dimension_IN_19122"/>
      <sheetName val="Manage_to_Sustain2"/>
      <sheetName val="Meeting_List2"/>
      <sheetName val="Packages_Info2"/>
      <sheetName val="Preferred_Option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2020_MMR122"/>
      <sheetName val="Razão_Social2"/>
      <sheetName val="방배동내역_(총괄)2"/>
      <sheetName val="BSD_(2)2"/>
      <sheetName val="SRS_월별_BS3"/>
      <sheetName val="평가&amp;선급_미지급3"/>
      <sheetName val="EXC_IND2"/>
      <sheetName val="COLOR별_인쇄2"/>
      <sheetName val="Mot_So_Thuat_Ngu_EN-VI3"/>
      <sheetName val="노원열병합__건축공사기성내역서2"/>
      <sheetName val="3_공통공사대비2"/>
      <sheetName val="현장관리비_산출내역2"/>
      <sheetName val="무형자산_LS112"/>
      <sheetName val="NG_Item4"/>
      <sheetName val="NCR_HEC_6_Opens2"/>
      <sheetName val="NCR_HEC_4_Open_&amp;_Vendor_2_Open2"/>
      <sheetName val="수량산출서_(2)2"/>
      <sheetName val="첨부1-2__증감사유내역서(을)1"/>
      <sheetName val="경계석,골재외_(2)1"/>
      <sheetName val="Ref__Spec_Review_양식4"/>
      <sheetName val="Ref__시험항목_테이블4"/>
      <sheetName val="Ref__Search_Result_테이블4"/>
      <sheetName val="2_FM_Fee_2차년도2"/>
      <sheetName val="3_감가장비2"/>
      <sheetName val="10_예산_및_원가_계획(02년)2"/>
      <sheetName val="경영비율_3"/>
      <sheetName val="20년_동일기간_소테마2"/>
      <sheetName val="07_012"/>
      <sheetName val="3_판관비명세서1"/>
      <sheetName val="유효성_목록1"/>
      <sheetName val="총_원가계산1"/>
      <sheetName val="1_설계조건1"/>
      <sheetName val="1_설계기준1"/>
      <sheetName val="UPA(Part_C,D,E,G,H)1"/>
      <sheetName val="UPA(Part_F)1"/>
      <sheetName val="일위대가_(Part_C,D,E,G,H)1"/>
      <sheetName val="완성차_미수금1"/>
      <sheetName val="Process_Li1"/>
      <sheetName val="sum_1"/>
      <sheetName val="운영경비_세부작성근거2"/>
      <sheetName val="카테고리_분류_(수정X)1"/>
      <sheetName val="▶_일일출역_집계_202108191433161"/>
      <sheetName val="Ⅴ-2_공종별내역1"/>
      <sheetName val="ITB_COST1"/>
      <sheetName val="견적_(2)1"/>
      <sheetName val="실행내역서_1"/>
      <sheetName val="Process_Li 鸴"/>
      <sheetName val="단양_00_아파트-세부내역1"/>
      <sheetName val="Rate_Analysis"/>
      <sheetName val="KPIs-_TTP,_PTP,_People_Turnover"/>
      <sheetName val="1월_목표"/>
      <sheetName val="FILIAL_MINAS"/>
      <sheetName val="info_for_drop_box"/>
      <sheetName val="POCM_배송지"/>
      <sheetName val="데이터_유효성_목록"/>
      <sheetName val="Mapping_"/>
      <sheetName val="WS_DB"/>
      <sheetName val="Region_"/>
      <sheetName val="SKU_DB"/>
      <sheetName val="10_麦汁CIP清洗标准水量"/>
      <sheetName val="Tipo_Viaje"/>
      <sheetName val="Flota_y_Personal"/>
      <sheetName val="SAP_info"/>
      <sheetName val="Target_Book"/>
      <sheetName val="Name_List"/>
      <sheetName val="Ref_New_Contract_Model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제임스짐_예상매출_for_2023B"/>
      <sheetName val="ACTIVITY_CODE_&amp;_AREA_LIST"/>
      <sheetName val="예산표_"/>
      <sheetName val="PAINT_(2)"/>
      <sheetName val="물량표_(2)"/>
      <sheetName val="Noncurrent_assets"/>
      <sheetName val="1)_MALL"/>
      <sheetName val="2_Consideration_sheet1"/>
      <sheetName val="3__Export1"/>
      <sheetName val="표지_(3)"/>
      <sheetName val="Act_vs__budget"/>
      <sheetName val="a_연결정리"/>
      <sheetName val="2021_KPI_SD_(대표이사)"/>
      <sheetName val="_손익기01_XL__DePara1"/>
      <sheetName val="Ⅱ_추정종합"/>
      <sheetName val="96보완계획7_121"/>
      <sheetName val="member_design"/>
      <sheetName val="design_criteria"/>
      <sheetName val="working_load_at_the_btm_ft_"/>
      <sheetName val="plan&amp;section_of_foundation"/>
      <sheetName val="97_사업추정(W؀"/>
      <sheetName val="Requirement(Work_Crew)"/>
      <sheetName val="3BL공동구_수량"/>
      <sheetName val="NON_SLIP"/>
      <sheetName val="8호선_원가_투입내역"/>
      <sheetName val="Criteria_List"/>
      <sheetName val="DATA_SHEET(절대삭제_금지)"/>
      <sheetName val="Spreadsheet_Information"/>
      <sheetName val="VS_P-Q"/>
      <sheetName val="Electrical_Load_List"/>
      <sheetName val="12년_CF౮_x0002_저殑"/>
      <sheetName val="6PILE__(?ㆥ堀"/>
      <sheetName val="6PILE__(౮_x0002_저"/>
      <sheetName val="견적내역서(산출근거)"/>
      <sheetName val="말뚝지지력산정"/>
      <sheetName val="[손익기01_XL_x005f_x0000__x005f_x0000_DePara14"/>
      <sheetName val="_손익기01_XL_x005f_x0000__x005f_x0000_DePara14"/>
      <sheetName val="_손익기01_XL_x005f_x005f_x005f_x0000__x005f_x005f_11"/>
      <sheetName val="_손익기01_XL_x005f_x0000__x09"/>
      <sheetName val="입찰내역_Ĉ_x005f_x0000__x005f_x0000_ᇆ"/>
      <sheetName val="입찰내역_Ĉ_x005f_x0000__x005f_x0000_ᇆ"/>
      <sheetName val="6PILE__(_xddf4_ㆥ堀"/>
      <sheetName val="Notes"/>
      <sheetName val="1_종합손익(주택,&quot;_x0000__x0000__x0000_"/>
      <sheetName val="챤넬"/>
      <sheetName val="제작LIST"/>
      <sheetName val="Attach 4-18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Planilha_relts__eos7"/>
      <sheetName val="_손익기01_XL__DePara9"/>
      <sheetName val="슬래_"/>
      <sheetName val="_손익기01_XL__DePara10"/>
      <sheetName val="총괄집계 "/>
      <sheetName val="입찰내역서(통합)A3"/>
      <sheetName val="입찰내역서(기본)"/>
      <sheetName val="입찰내역서(확장)"/>
      <sheetName val="_x005f_x0000__x00_x0000__x0000_Ԁ"/>
      <sheetName val="타견적(을)"/>
      <sheetName val="Template"/>
      <sheetName val="C021(SEAT ASSY) "/>
      <sheetName val="PCS"/>
      <sheetName val="1-1.교육 일정표(지점도약)"/>
      <sheetName val="전체"/>
      <sheetName val="주요지표"/>
      <sheetName val=" PL"/>
      <sheetName val="매출액명세"/>
      <sheetName val="매출원가명세"/>
      <sheetName val="매출이익명세"/>
      <sheetName val="판관비-공통"/>
      <sheetName val="판관비-기타경비명세"/>
      <sheetName val="기타&amp;특별수지 명세"/>
      <sheetName val="매출채권산출"/>
      <sheetName val="재고자산산출"/>
      <sheetName val="수입계획"/>
      <sheetName val="매입채무산출"/>
      <sheetName val="이자비용"/>
      <sheetName val="BS계정"/>
      <sheetName val="ROIC"/>
      <sheetName val=" Cash Flow"/>
      <sheetName val="Sensible Indicator"/>
      <sheetName val="Sheet420"/>
      <sheetName val="XL4Poppy"/>
      <sheetName val="_x0000_ "/>
      <sheetName val="_x0000__x0009_"/>
      <sheetName val="H3500"/>
      <sheetName val="총괄갑 "/>
      <sheetName val="Utilities"/>
      <sheetName val="BASEINPUT"/>
      <sheetName val="10.31"/>
      <sheetName val="적용단가표 (2)"/>
      <sheetName val="DUTY%"/>
      <sheetName val="영업.일1"/>
      <sheetName val="제조원가계산"/>
      <sheetName val="품목별매출"/>
      <sheetName val="A-41"/>
      <sheetName val="실행간萹_x0014_旄"/>
      <sheetName val="실행간萹į㿔"/>
      <sheetName val="실행간萹⼴"/>
      <sheetName val="실행간萹%ㄤ"/>
      <sheetName val="실행간萹ç⽄"/>
      <sheetName val="실행간萹Ľ≌"/>
      <sheetName val="실행간萹Ăㇴ"/>
      <sheetName val="실행간萹à⌌"/>
      <sheetName val="실행간萹Ó㋄"/>
      <sheetName val="실행간萹Ĭ㈤"/>
      <sheetName val="실행간_x0000__x0000__x0005_"/>
      <sheetName val="Report"/>
      <sheetName val="전산품의"/>
      <sheetName val="back data"/>
      <sheetName val="TinhGiaNC"/>
      <sheetName val="Thiet Bi"/>
      <sheetName val="Arch"/>
      <sheetName val="주식"/>
      <sheetName val="Assumption List"/>
      <sheetName val="schbhn"/>
      <sheetName val="schalt"/>
      <sheetName val="schtng"/>
      <sheetName val="PSV2701F"/>
      <sheetName val="플랜트 설치"/>
      <sheetName val="중기사용료"/>
      <sheetName val="청산공사"/>
      <sheetName val="일위대가D"/>
      <sheetName val="2.하중산정"/>
      <sheetName val="材料费"/>
      <sheetName val="재료집계"/>
      <sheetName val="K55수출"/>
      <sheetName val="손익(11)_수출포_x0000_"/>
      <sheetName val="율표"/>
      <sheetName val="Master DB"/>
      <sheetName val="NRD PD_Detailed result of Index"/>
      <sheetName val="소방"/>
      <sheetName val="ocean voyage"/>
      <sheetName val="Rev ORSO EXMPF"/>
      <sheetName val="ME EX_MPF"/>
      <sheetName val="ME MPF"/>
      <sheetName val="Rev 5%GF"/>
      <sheetName val="Rev Endowment-3P8"/>
      <sheetName val="Rev HNW"/>
      <sheetName val="Rev Others"/>
      <sheetName val="Rev Term"/>
      <sheetName val="Rev Traditional"/>
      <sheetName val="Rev Class C"/>
      <sheetName val="Rev Unit Linked"/>
      <sheetName val="Rev Single Premium"/>
      <sheetName val="Rev Variable Life"/>
      <sheetName val="Rev CGF"/>
      <sheetName val="Rev CPF"/>
      <sheetName val="Rev Class G"/>
      <sheetName val="Rev GPF"/>
      <sheetName val="Rev Class H"/>
      <sheetName val="Rev HSPF"/>
      <sheetName val="Rev Class I"/>
      <sheetName val="Rev MPF GF"/>
      <sheetName val="Rev Non_GF"/>
      <sheetName val="Sep 18 Summary"/>
      <sheetName val="试算平衡表"/>
      <sheetName val="合并2"/>
      <sheetName val="dongia (2)"/>
      <sheetName val="검토사항"/>
      <sheetName val="D1300 자삽"/>
      <sheetName val="기성내역"/>
      <sheetName val="총제품수불"/>
      <sheetName val="C_d"/>
      <sheetName val="WGS TOT KA Segmentation"/>
      <sheetName val="WGSK SEGMENTATION"/>
      <sheetName val="WGSK Venue Segment"/>
      <sheetName val="Segment"/>
      <sheetName val="Instr"/>
      <sheetName val="TM"/>
      <sheetName val="Plant assumptions"/>
      <sheetName val="주식배당"/>
      <sheetName val="Lista AI"/>
      <sheetName val="Temp"/>
      <sheetName val="."/>
      <sheetName val="Data_validation11"/>
      <sheetName val="KPIs-_TTP,_PTP,_People_Turnove1"/>
      <sheetName val="FILIAL_MINAS1"/>
      <sheetName val="_손익기01_XL_x005f_x0000__x005f_x005f_x01"/>
      <sheetName val="info_for_drop_box1"/>
      <sheetName val="1월_목표1"/>
      <sheetName val="POCM_배송지1"/>
      <sheetName val="Explicacion"/>
      <sheetName val="COE Scope - Strategic Projects"/>
      <sheetName val="PARTICIPACION"/>
      <sheetName val="SEGUIMIENTO SEMANAL"/>
      <sheetName val="Nomenclatura"/>
      <sheetName val="TO TTZ"/>
      <sheetName val="CATÁLOGO DE PELIGROS"/>
      <sheetName val="OPCIONES"/>
      <sheetName val="YOY"/>
      <sheetName val="2017"/>
      <sheetName val="2019"/>
      <sheetName val="Q4 2018"/>
      <sheetName val="Q4 2019"/>
      <sheetName val="Q4 Sum"/>
      <sheetName val="2020"/>
      <sheetName val="2020 KPI LE0"/>
      <sheetName val="列表"/>
      <sheetName val="match list"/>
      <sheetName val="Rate data"/>
      <sheetName val="_x0000__x0005__x0000__x0000__x0000__x0000__x0000_"/>
      <sheetName val="RyNV detectados "/>
      <sheetName val="Curva 2021"/>
      <sheetName val="Fechas"/>
      <sheetName val="Eficiencias"/>
      <sheetName val="KPI's"/>
      <sheetName val="Por PPR"/>
      <sheetName val="Hoja6"/>
      <sheetName val="Por_PPR"/>
      <sheetName val="Template HN"/>
      <sheetName val="BUD"/>
      <sheetName val="Itens"/>
      <sheetName val="Acessorios"/>
      <sheetName val="vlook"/>
      <sheetName val="ARGUS"/>
      <sheetName val="Resumen (hL env)"/>
      <sheetName val="KPI need to input"/>
      <sheetName val="安全事件分类"/>
      <sheetName val="강남 CRM_11월"/>
      <sheetName val="CRITERIOS DE AI"/>
      <sheetName val="Áreas"/>
      <sheetName val="Nigeria &amp; Ghana"/>
      <sheetName val="Manual Database"/>
      <sheetName val="TO_Data_Base24"/>
      <sheetName val="YTD_Summary23"/>
      <sheetName val="Month_Summary23"/>
      <sheetName val="Trial_Balance_MAY_200923"/>
      <sheetName val="TB_Pivot23"/>
      <sheetName val="total_per_LB_LB223"/>
      <sheetName val="Trial_Balance_Vlookup23"/>
      <sheetName val="Trial_Balance_APRIL_200923"/>
      <sheetName val="Roll_Out_AQ23"/>
      <sheetName val="Evolução_mandamentos23"/>
      <sheetName val="Planilha_resultados22"/>
      <sheetName val="Historico_200322"/>
      <sheetName val="Sig_Cycles_Accts_&amp;_Processes22"/>
      <sheetName val="Fixed_ZBB16"/>
      <sheetName val="E_法规NC16"/>
      <sheetName val="3_ISo_YTD16"/>
      <sheetName val="Données_LMU16"/>
      <sheetName val="Brazil_Sovereign16"/>
      <sheetName val="Resumen_Costo16"/>
      <sheetName val="Extract_Loss16"/>
      <sheetName val="QA_跟踪记录表16"/>
      <sheetName val="5_116"/>
      <sheetName val="Base_de_Dados16"/>
      <sheetName val="Como_Estamos16"/>
      <sheetName val="Controls_data18"/>
      <sheetName val="RG_Depots16"/>
      <sheetName val="material_data16"/>
      <sheetName val="other_data16"/>
      <sheetName val="Database_(RUR)Mar_YTD16"/>
      <sheetName val="SKU_Mapping16"/>
      <sheetName val="Drop_Down16"/>
      <sheetName val="Raw_Data16"/>
      <sheetName val="EBM-2_GHQ16"/>
      <sheetName val="Base_PEF17"/>
      <sheetName val="Testing_Template_Guidance16"/>
      <sheetName val="Test_Programs16"/>
      <sheetName val="Dados_BLP16"/>
      <sheetName val="FJJX_Bud_IB15"/>
      <sheetName val="JOB_PROFILE_-_LAS16"/>
      <sheetName val="ARdistr_(2)16"/>
      <sheetName val="look-up_data15"/>
      <sheetName val="Prd_Hierarchy(产品层级)15"/>
      <sheetName val="Com_(2PK)15"/>
      <sheetName val="Project_Code15"/>
      <sheetName val="요일_테이블16"/>
      <sheetName val="요일_테이블_(2)15"/>
      <sheetName val="Prd_Hierarchy(产品层次)15"/>
      <sheetName val="전사_PL17"/>
      <sheetName val="자금_제외_PL17"/>
      <sheetName val="자금_PL17"/>
      <sheetName val="전사_BS17"/>
      <sheetName val="자금_제외_BS17"/>
      <sheetName val="자금_BS17"/>
      <sheetName val="BS_계정_설명17"/>
      <sheetName val="_Cash_Flow(전사)17"/>
      <sheetName val="_Cash_Flow(자금제외)17"/>
      <sheetName val="_Cash_Flow(자금)17"/>
      <sheetName val="ROIC_17"/>
      <sheetName val="인건비_명세17"/>
      <sheetName val="판관비_명세17"/>
      <sheetName val="OH_Cost경비(내역)17"/>
      <sheetName val="OH_Cost경비(배부기준)17"/>
      <sheetName val="기타수지&amp;특별손익_명세17"/>
      <sheetName val="업무연락_(2)16"/>
      <sheetName val="제시_손익계산서16"/>
      <sheetName val="01_02월_성과급17"/>
      <sheetName val="M_7회차_담금_계획16"/>
      <sheetName val="팀별_실적16"/>
      <sheetName val="팀별_실적_(환산)16"/>
      <sheetName val="4__Inj_투자상세내역16"/>
      <sheetName val="3__Blow_투자_상세내역16"/>
      <sheetName val="Process_List16"/>
      <sheetName val="7_(2)16"/>
      <sheetName val="_손익기01_XL15"/>
      <sheetName val="Income_Stmt15"/>
      <sheetName val="drop_down_list15"/>
      <sheetName val="[손익기01_XL_x005f_x0000__x005f_x0000_DePara15"/>
      <sheetName val="Quarterly_LBO_Model15"/>
      <sheetName val="Figures_Report14"/>
      <sheetName val="[손익기01_XL15"/>
      <sheetName val="_손익기01_XL_x005f_x0000__x005f_x0000_DePara15"/>
      <sheetName val="Fare_prices14"/>
      <sheetName val="Hotel_prices14"/>
      <sheetName val="Set_Up15"/>
      <sheetName val="15년_BL_사계15"/>
      <sheetName val="1_종합손익(도급)15"/>
      <sheetName val="1_종합손익(주택,개발)15"/>
      <sheetName val="2_실행예산15"/>
      <sheetName val="2_2과부족15"/>
      <sheetName val="2_3원가절감15"/>
      <sheetName val="8_외주비집행현황15"/>
      <sheetName val="9_자재비15"/>
      <sheetName val="10_현장집행15"/>
      <sheetName val="3_추가원가15"/>
      <sheetName val="3_추가원가_(2)15"/>
      <sheetName val="4_사전공사15"/>
      <sheetName val="5_추정공사비15"/>
      <sheetName val="6_금융비용15"/>
      <sheetName val="7_공사비집행현황(총괄)15"/>
      <sheetName val="11_1생산성15"/>
      <sheetName val="11_2인원산출15"/>
      <sheetName val="Classification_分类14"/>
      <sheetName val="tab_STATUS_DO_PROCESSO_14"/>
      <sheetName val="Perf__Plan__Diário114"/>
      <sheetName val="In_(2)14"/>
      <sheetName val="__한국_AMP_ASP-23_판매가격__14"/>
      <sheetName val="CC_Down_load_071614"/>
      <sheetName val="변경실행(2차)_14"/>
      <sheetName val="나_출고14"/>
      <sheetName val="나_입고14"/>
      <sheetName val="09년_인건비(속리산)14"/>
      <sheetName val="합산목표(감가+57_5)14"/>
      <sheetName val="제조원가_원단위_분석14"/>
      <sheetName val="종합표양식(품의_&amp;_입고)_214"/>
      <sheetName val="원가관리_(동월대비)14"/>
      <sheetName val="b_balju_(2)14"/>
      <sheetName val="2-2_매출분석14"/>
      <sheetName val="몰드시스템_리스트14"/>
      <sheetName val="11_외화채무증권(AFS,HTM)0814"/>
      <sheetName val="13_감액TEST_0814"/>
      <sheetName val="12년_CF(9월)14"/>
      <sheetName val="중기조종사_단위단가14"/>
      <sheetName val="6PILE__(돌출)14"/>
      <sheetName val="기성청구_공문14"/>
      <sheetName val="Sheet1_(2)14"/>
      <sheetName val="CLASIFICACION_DE_AI14"/>
      <sheetName val="Base_da_Datos14"/>
      <sheetName val="slide_24_cat_A14"/>
      <sheetName val="slide_82_cat_b14"/>
      <sheetName val="Dados_dos_Produtos14"/>
      <sheetName val="09~10년_매출계획14"/>
      <sheetName val="1_MDF1공장14"/>
      <sheetName val="Incident_유형구분표14"/>
      <sheetName val="3YP2016-Bottom_up13"/>
      <sheetName val="DD_list14"/>
      <sheetName val="Base_de_Datos13"/>
      <sheetName val="Clasif_13"/>
      <sheetName val="Supply_Cost_Centers13"/>
      <sheetName val="Cond__Inseguros13"/>
      <sheetName val="Comp__Inseguros13"/>
      <sheetName val="Lista_de_datos13"/>
      <sheetName val="MASTER_APP13"/>
      <sheetName val="2_카드채권(대출포함)13"/>
      <sheetName val="表21_净利润调节表13"/>
      <sheetName val="Lista_CI13"/>
      <sheetName val="Dashboard_Prevención_Riesgos_12"/>
      <sheetName val="TOP_KPIs_MTM12"/>
      <sheetName val="PLAN_DE_ACCION12"/>
      <sheetName val="Faro_de_Indicadores12"/>
      <sheetName val="Farol_Acciones13"/>
      <sheetName val="Lista_de_Entrenamientos13"/>
      <sheetName val="Unidades_SAC-REVENDA14"/>
      <sheetName val="FornecM_Check12"/>
      <sheetName val="Share_Price_200213"/>
      <sheetName val="_DD_List13"/>
      <sheetName val="BEP_加薪_KPI12"/>
      <sheetName val="Estratificación_AI12"/>
      <sheetName val="condicion_inseguras12"/>
      <sheetName val="Actos_Inseguros12"/>
      <sheetName val="Control_de_incidentes12"/>
      <sheetName val="Plan_de_Acción12"/>
      <sheetName val="Issues_List_Payments12"/>
      <sheetName val="do_not_delete12"/>
      <sheetName val="Grafica_Actos12"/>
      <sheetName val="APAC_S12"/>
      <sheetName val="APAC_N12"/>
      <sheetName val="Slide_output12"/>
      <sheetName val="[손익기01_XL??DePara12"/>
      <sheetName val="Farol_Metas12"/>
      <sheetName val="Mod_Relac_12"/>
      <sheetName val="Condiciones_SyE12"/>
      <sheetName val="REALxMETA_-_CERVEJA14"/>
      <sheetName val="REALxMETA_-_REFRI14"/>
      <sheetName val="Directrices_de_Metas_201712"/>
      <sheetName val="Data_validation12"/>
      <sheetName val="_손익기01_XL_x005f_x005f_x005f_x0000__x005f_x005f_12"/>
      <sheetName val="Hazards_Analysis-隐患分析12"/>
      <sheetName val="F08_-_Asia_Pac_Full_Year_Q313"/>
      <sheetName val="Top_Priorities13"/>
      <sheetName val="Listco_Stock13"/>
      <sheetName val="Intl_Purchase13"/>
      <sheetName val="FY_outlook13"/>
      <sheetName val="CY_outlook13"/>
      <sheetName val="Cash_metrics13"/>
      <sheetName val="P6_713"/>
      <sheetName val="DATOS_BASE12"/>
      <sheetName val="97_사업추정(WEKI)12"/>
      <sheetName val="Tong_hop12"/>
      <sheetName val="95_1_1이후취득자산(숨기기상태)12"/>
      <sheetName val="sum1_(2)12"/>
      <sheetName val="3_바닥판설계12"/>
      <sheetName val="6월_공정외주12"/>
      <sheetName val="2_대외공문12"/>
      <sheetName val="2_총괄표12"/>
      <sheetName val="입출재고현황_(2)12"/>
      <sheetName val="504전기실_동부하-L12"/>
      <sheetName val="OUTER_AREA(겹침없음)12"/>
      <sheetName val="EL_표면적12"/>
      <sheetName val="TRE_TABLE12"/>
      <sheetName val="입찰내역_발주처_양식12"/>
      <sheetName val="POC_LIST12"/>
      <sheetName val="turnover_reason퇴직사유12"/>
      <sheetName val="SKU_Basic_Data12"/>
      <sheetName val="Entity_Target12"/>
      <sheetName val="DETALLE_MENSUAL12"/>
      <sheetName val="Drop-down_List11"/>
      <sheetName val="by_DD11"/>
      <sheetName val="VALIDACION_DE_DATOS11"/>
      <sheetName val="Jul-Sep_Actual_cost_(2)11"/>
      <sheetName val="Check_Qualidade10"/>
      <sheetName val="De_Para11"/>
      <sheetName val="Check_Aderencia10"/>
      <sheetName val="_손익기01_XL_x005f_x0000__x010"/>
      <sheetName val="부재료_비교(11년_vs_10년)10"/>
      <sheetName val="Base_Farol10"/>
      <sheetName val="Gerencial_IL10"/>
      <sheetName val="Ventas_Campo10"/>
      <sheetName val="ACTOS_POR_RIESGO10"/>
      <sheetName val="drop_lists10"/>
      <sheetName val="MRL_NON_SUPPLY_URU10"/>
      <sheetName val="AIIM_-_Empresas_Ext_201210"/>
      <sheetName val="KPIs_Hana10"/>
      <sheetName val="Catalago_de_refacciones_10"/>
      <sheetName val="Existencias_al_07-Nov-201210"/>
      <sheetName val="Check_GG10"/>
      <sheetName val="Sheet3_(2)10"/>
      <sheetName val="Nombre_de_SOP10"/>
      <sheetName val="Lao_&amp;_Cam10"/>
      <sheetName val="Hoegaarden_201910"/>
      <sheetName val="Lao_&amp;_Cam_201910"/>
      <sheetName val="Malaysia_201910"/>
      <sheetName val="Singapore_201910"/>
      <sheetName val="Sheet2_(2)10"/>
      <sheetName val="요일_테이블_10"/>
      <sheetName val="Other_Listings10"/>
      <sheetName val="2__Indicadores10"/>
      <sheetName val="Ta_10"/>
      <sheetName val="Lista_de_Entrenamientos_RSO10"/>
      <sheetName val="Tablero_SDG13"/>
      <sheetName val="Lista_Areas13"/>
      <sheetName val="One_Page13"/>
      <sheetName val="Sub-Productos_HN11"/>
      <sheetName val="Eficiencia_linea10"/>
      <sheetName val="_mngt_Pillar10"/>
      <sheetName val="Pauta_RPS_Distribuição9"/>
      <sheetName val="Estoque_(2)9"/>
      <sheetName val="BNR_2012_в_ящике9"/>
      <sheetName val="Comp_Inseguros9"/>
      <sheetName val="DO_NOT_MOVE9"/>
      <sheetName val="DATOS_DE_VALIDACIÓN9"/>
      <sheetName val="Datos_con9"/>
      <sheetName val="_Datos_Cond_9"/>
      <sheetName val="INGRESO_(2)9"/>
      <sheetName val="PG-K1610_(UEN_Areas)MNG9"/>
      <sheetName val="DATOS_GEN_9"/>
      <sheetName val="NUEVOS_CRITERIOS9"/>
      <sheetName val="Condiciones_Agua9"/>
      <sheetName val="__한국_AMP_ASP-23_판㧤가격__8"/>
      <sheetName val="11_䡸화채무줝ⴌ(AFS,HTM)088"/>
      <sheetName val="Drop_list8"/>
      <sheetName val="FX_Rates8"/>
      <sheetName val="Dropdown_list8"/>
      <sheetName val="Vagas_x_Candidatos8"/>
      <sheetName val="Proced_8"/>
      <sheetName val="Cut_Machine_Summary8"/>
      <sheetName val="Control_de_Fallas8"/>
      <sheetName val="Setup_for_Templates8"/>
      <sheetName val="Datos_emp8"/>
      <sheetName val="Validation_lists8"/>
      <sheetName val="TIPO_DE_ACTO8"/>
      <sheetName val="CRITICIDAD_DE_CI8"/>
      <sheetName val="Catálogo_de_CI8"/>
      <sheetName val="%_CUMPLIMIENTO8"/>
      <sheetName val="%_cumplimiento_8"/>
      <sheetName val="CALIFICACIONES_20196"/>
      <sheetName val="Lev_4_360_deg_check_Crit_Task6"/>
      <sheetName val="Lev_4_Chk_IC_Stock_Crit_Task6"/>
      <sheetName val="Lev_4_WMS_Putaway_Crit_Task6"/>
      <sheetName val="Listas_y_equipos_a_evaluar8"/>
      <sheetName val="Data_Reporte8"/>
      <sheetName val="Read_me8"/>
      <sheetName val="NAZ_Strategy6"/>
      <sheetName val="Champions_List7"/>
      <sheetName val="Daily_Dashboard8"/>
      <sheetName val="Customer_&amp;_SO6"/>
      <sheetName val="Session_Proposal6"/>
      <sheetName val="Análise_Tempos5"/>
      <sheetName val="PDA_BOP5"/>
      <sheetName val="Validação_de_Dados5"/>
      <sheetName val="No_llenar_5"/>
      <sheetName val="Incentivo_Automóvil5"/>
      <sheetName val="Project_List4"/>
      <sheetName val="Dropdown_Menu4"/>
      <sheetName val="SOP_Freshness3"/>
      <sheetName val="Lista_de_Motivos5"/>
      <sheetName val="Ponto_Crítico_-_Resp__Plano5"/>
      <sheetName val="Lista_Funcionários_(2)5"/>
      <sheetName val="Выпадающие_списки4"/>
      <sheetName val="PROCESS_MD5"/>
      <sheetName val="PAINEL_RECOLHA_CRÉDITO5"/>
      <sheetName val="Gráficos_-_CDD5"/>
      <sheetName val="Dimension_IN_Sheet1!D19123"/>
      <sheetName val="Dimension_IN_19123"/>
      <sheetName val="FILIAL_MINAS2"/>
      <sheetName val="_손익기01_XL_x005f_x0000__x005f_x005f_x02"/>
      <sheetName val="info_for_drop_box2"/>
      <sheetName val="KPIs-_TTP,_PTP,_People_Turnove2"/>
      <sheetName val="1월_목표2"/>
      <sheetName val="POCM_배송지2"/>
      <sheetName val="Lista_AI"/>
      <sheetName val="产品相关信息汇总表"/>
      <sheetName val="_손익기01.XL_x005f_x005f_x00"/>
      <sheetName val="_손익기01_XL_x005f_x005f_x00"/>
      <sheetName val="Planilha_relts_xdb75__xdb62_eos"/>
      <sheetName val="子品牌"/>
      <sheetName val="品牌"/>
      <sheetName val="压滤机线糖化计划"/>
      <sheetName val="Target"/>
      <sheetName val="Check"/>
      <sheetName val="강남_CRM_11월"/>
      <sheetName val="COE_Scope_-_Strategic_Projects"/>
      <sheetName val="SEGUIMIENTO_SEMANAL"/>
      <sheetName val="Q4_2018"/>
      <sheetName val="Q4_2019"/>
      <sheetName val="Q4_Sum"/>
      <sheetName val="2020_KPI_LE0"/>
      <sheetName val="TO_TTZ"/>
      <sheetName val="CATÁLOGO_DE_PELIGROS"/>
      <sheetName val="match_list"/>
      <sheetName val="Rate_data"/>
      <sheetName val="KPI_need_to_input"/>
      <sheetName val="Template_HN"/>
      <sheetName val="RyNV_detectados_"/>
      <sheetName val="Curva_2021"/>
      <sheetName val="Por_PPR1"/>
      <sheetName val="Nigeria_&amp;_Ghana"/>
      <sheetName val="Resumen_(hL_env)"/>
      <sheetName val="Projeto"/>
      <sheetName val="DEX (2)"/>
      <sheetName val="判定-不能删"/>
      <sheetName val="WS"/>
      <sheetName val="经销商信息"/>
      <sheetName val="产品信息"/>
      <sheetName val="填写规范"/>
      <sheetName val="TR  KHCode"/>
      <sheetName val="价格树"/>
      <sheetName val="NDD CPT"/>
      <sheetName val="MP"/>
      <sheetName val="_折扣项 PromotionPlan"/>
      <sheetName val="填写规则"/>
      <sheetName val="大组套餐名称"/>
      <sheetName val="费用概况"/>
      <sheetName val="对应表"/>
      <sheetName val="Desplegable"/>
      <sheetName val="SDCA"/>
      <sheetName val="TERMINOS"/>
      <sheetName val="Lista d"/>
      <sheetName val="Catalogo Cursos"/>
      <sheetName val="Catalogo Cursos_"/>
      <sheetName val="Guia"/>
      <sheetName val="Check People"/>
      <sheetName val="GRÁFICA"/>
      <sheetName val="AVANCE PROGRAMACION"/>
      <sheetName val="PAE"/>
      <sheetName val="PGMLOG"/>
      <sheetName val="PGMPROD"/>
      <sheetName val="Cumplimiento por Entrenamiento"/>
      <sheetName val="Cumplimiento del Plan por área"/>
      <sheetName val="BDD_Activos_BU"/>
      <sheetName val="CAPTURA ENE MAY"/>
      <sheetName val="tablas cuadrillas"/>
      <sheetName val="CATALOGOS"/>
      <sheetName val="Seguridad"/>
      <sheetName val="Base de Datos de Activos "/>
      <sheetName val="PIVOT ADHERENCIA"/>
      <sheetName val="Programacion"/>
      <sheetName val="Steps of Committe "/>
      <sheetName val="BDD_Activos_Caribe201910"/>
      <sheetName val="Leyenda"/>
      <sheetName val="IC's (2)"/>
      <sheetName val="Participación en entrenamie (2"/>
      <sheetName val="Detalle para correctivo excep  "/>
      <sheetName val="Bloques"/>
      <sheetName val="Puerto Rico"/>
      <sheetName val="Z30"/>
      <sheetName val="Z40"/>
      <sheetName val="AI OYS Acum"/>
      <sheetName val="Boletas Condiciones"/>
      <sheetName val="GraficosEarly"/>
      <sheetName val="1.1"/>
      <sheetName val="1.2"/>
      <sheetName val="2.1-Pareto"/>
      <sheetName val="Datos Mensuales"/>
      <sheetName val="Indicador EE Mensual"/>
      <sheetName val="Detalle_para_correctivo_excep__"/>
      <sheetName val="Lista_d"/>
      <sheetName val="CRITERIOS_DE_AI"/>
      <sheetName val="Plan de Acción MAZ"/>
      <sheetName val="Puerto_Rico"/>
      <sheetName val="AI_OYS_Acum"/>
      <sheetName val="Boletas_Condiciones"/>
      <sheetName val="1_11"/>
      <sheetName val="1_21"/>
      <sheetName val="2_1-Pareto"/>
      <sheetName val="Datos_Mensuales"/>
      <sheetName val="Indicador_EE_Mensual"/>
      <sheetName val="NewProjectStatus"/>
      <sheetName val="ProjectStatus"/>
      <sheetName val="Tabelle1"/>
      <sheetName val="synthgraph"/>
      <sheetName val="辅助页"/>
      <sheetName val="NIUs"/>
      <sheetName val="IH跟踪"/>
      <sheetName val="KPI"/>
      <sheetName val="Plant_assumptions"/>
      <sheetName val="Mapeo_SKUs11"/>
      <sheetName val="Vol_(Ds)11"/>
      <sheetName val="Vol_(Ka)11"/>
      <sheetName val="Vol_(Oth)11"/>
      <sheetName val="Vol_(Oth)_Cortesias11"/>
      <sheetName val="INPUT-Cust_Sugg_Margin(Ds)11"/>
      <sheetName val="On_Invoice11"/>
      <sheetName val="INPUT-Cust_Sugg_Margin(Ka)11"/>
      <sheetName val="INPUT_SKUs11"/>
      <sheetName val="Brand_P&amp;L8"/>
      <sheetName val="SUPERMONT_P9"/>
      <sheetName val="Data_selection7"/>
      <sheetName val="1_7"/>
      <sheetName val="3__Training_&amp;_travel6"/>
      <sheetName val="GH GM"/>
      <sheetName val="FES PM"/>
      <sheetName val="FES GM"/>
      <sheetName val="SATZ GM"/>
      <sheetName val="WGS_TOT_KA_Segmentation"/>
      <sheetName val="WGSK_SEGMENTATION"/>
      <sheetName val="WGSK_Venue_Segment"/>
      <sheetName val="JC_A5_原料＿実績"/>
      <sheetName val="滝グラフ"/>
      <sheetName val="TO_Data_Base25"/>
      <sheetName val="YTD_Summary24"/>
      <sheetName val="Month_Summary24"/>
      <sheetName val="Trial_Balance_MAY_200924"/>
      <sheetName val="TB_Pivot24"/>
      <sheetName val="total_per_LB_LB224"/>
      <sheetName val="Trial_Balance_Vlookup24"/>
      <sheetName val="Trial_Balance_APRIL_200924"/>
      <sheetName val="Roll_Out_AQ24"/>
      <sheetName val="Evolução_mandamentos24"/>
      <sheetName val="Planilha_resultados23"/>
      <sheetName val="Historico_200323"/>
      <sheetName val="Sig_Cycles_Accts_&amp;_Processes23"/>
      <sheetName val="Fixed_ZBB17"/>
      <sheetName val="E_法规NC17"/>
      <sheetName val="3_ISo_YTD17"/>
      <sheetName val="Données_LMU17"/>
      <sheetName val="Brazil_Sovereign17"/>
      <sheetName val="Base_de_Dados17"/>
      <sheetName val="Resumen_Costo17"/>
      <sheetName val="Extract_Loss17"/>
      <sheetName val="QA_跟踪记录表17"/>
      <sheetName val="5_117"/>
      <sheetName val="material_data17"/>
      <sheetName val="other_data17"/>
      <sheetName val="Dados_BLP17"/>
      <sheetName val="Como_Estamos17"/>
      <sheetName val="RG_Depots17"/>
      <sheetName val="Base_PEF18"/>
      <sheetName val="SKU_Mapping17"/>
      <sheetName val="Drop_Down17"/>
      <sheetName val="Controls_data19"/>
      <sheetName val="Testing_Template_Guidance17"/>
      <sheetName val="Test_Programs17"/>
      <sheetName val="Raw_Data17"/>
      <sheetName val="EBM-2_GHQ17"/>
      <sheetName val="JOB_PROFILE_-_LAS17"/>
      <sheetName val="ARdistr_(2)17"/>
      <sheetName val="Database_(RUR)Mar_YTD17"/>
      <sheetName val="look-up_data16"/>
      <sheetName val="FJJX_Bud_IB16"/>
      <sheetName val="Com_(2PK)16"/>
      <sheetName val="Prd_Hierarchy(产品层级)16"/>
      <sheetName val="Project_Code16"/>
      <sheetName val="요일_테이블17"/>
      <sheetName val="요일_테이블_(2)16"/>
      <sheetName val="전사_PL18"/>
      <sheetName val="자금_제외_PL18"/>
      <sheetName val="자금_PL18"/>
      <sheetName val="전사_BS18"/>
      <sheetName val="자금_제외_BS18"/>
      <sheetName val="자금_BS18"/>
      <sheetName val="BS_계정_설명18"/>
      <sheetName val="_Cash_Flow(전사)18"/>
      <sheetName val="_Cash_Flow(자금제외)18"/>
      <sheetName val="_Cash_Flow(자금)18"/>
      <sheetName val="ROIC_18"/>
      <sheetName val="인건비_명세18"/>
      <sheetName val="판관비_명세18"/>
      <sheetName val="OH_Cost경비(내역)18"/>
      <sheetName val="OH_Cost경비(배부기준)18"/>
      <sheetName val="기타수지&amp;특별손익_명세18"/>
      <sheetName val="업무연락_(2)17"/>
      <sheetName val="제시_손익계산서17"/>
      <sheetName val="01_02월_성과급18"/>
      <sheetName val="M_7회차_담금_계획17"/>
      <sheetName val="팀별_실적17"/>
      <sheetName val="팀별_실적_(환산)17"/>
      <sheetName val="4__Inj_투자상세내역17"/>
      <sheetName val="3__Blow_투자_상세내역17"/>
      <sheetName val="Process_List17"/>
      <sheetName val="7_(2)17"/>
      <sheetName val="Prd_Hierarchy(产品层次)16"/>
      <sheetName val="_손익기01_XL16"/>
      <sheetName val="Income_Stmt16"/>
      <sheetName val="drop_down_list16"/>
      <sheetName val="[손익기01_XL_x005f_x0000__x005f_x0000_DePara16"/>
      <sheetName val="Set_Up16"/>
      <sheetName val="[손익기01_XL16"/>
      <sheetName val="Quarterly_LBO_Model16"/>
      <sheetName val="tab_STATUS_DO_PROCESSO_15"/>
      <sheetName val="CLASIFICACION_DE_AI15"/>
      <sheetName val="Base_da_Datos15"/>
      <sheetName val="_손익기01_XL_x005f_x0000__x005f_x0000_DePara16"/>
      <sheetName val="Perf__Plan__Diário115"/>
      <sheetName val="In_(2)15"/>
      <sheetName val="Classification_分类15"/>
      <sheetName val="15년_BL_사계16"/>
      <sheetName val="1_종합손익(도급)16"/>
      <sheetName val="1_종합손익(주택,개발)16"/>
      <sheetName val="2_실행예산16"/>
      <sheetName val="2_2과부족16"/>
      <sheetName val="2_3원가절감16"/>
      <sheetName val="8_외주비집행현황16"/>
      <sheetName val="9_자재비16"/>
      <sheetName val="10_현장집행16"/>
      <sheetName val="3_추가원가16"/>
      <sheetName val="3_추가원가_(2)16"/>
      <sheetName val="4_사전공사16"/>
      <sheetName val="5_추정공사비16"/>
      <sheetName val="6_금융비용16"/>
      <sheetName val="7_공사비집행현황(총괄)16"/>
      <sheetName val="11_1생산성16"/>
      <sheetName val="11_2인원산출16"/>
      <sheetName val="Figures_Report15"/>
      <sheetName val="Dados_dos_Produtos15"/>
      <sheetName val="Fare_prices15"/>
      <sheetName val="Hotel_prices15"/>
      <sheetName val="MASTER_APP14"/>
      <sheetName val="Cond__Inseguros14"/>
      <sheetName val="Comp__Inseguros14"/>
      <sheetName val="__한국_AMP_ASP-23_판매가격__15"/>
      <sheetName val="CC_Down_load_071615"/>
      <sheetName val="변경실행(2차)_15"/>
      <sheetName val="나_출고15"/>
      <sheetName val="나_입고15"/>
      <sheetName val="09년_인건비(속리산)15"/>
      <sheetName val="합산목표(감가+57_5)15"/>
      <sheetName val="제조원가_원단위_분석15"/>
      <sheetName val="종합표양식(품의_&amp;_입고)_215"/>
      <sheetName val="원가관리_(동월대비)15"/>
      <sheetName val="b_balju_(2)15"/>
      <sheetName val="2-2_매출분석15"/>
      <sheetName val="몰드시스템_리스트15"/>
      <sheetName val="11_외화채무증권(AFS,HTM)0815"/>
      <sheetName val="13_감액TEST_0815"/>
      <sheetName val="12년_CF(9월)15"/>
      <sheetName val="중기조종사_단위단가15"/>
      <sheetName val="6PILE__(돌출)15"/>
      <sheetName val="기성청구_공문15"/>
      <sheetName val="Sheet1_(2)15"/>
      <sheetName val="slide_24_cat_A15"/>
      <sheetName val="slide_82_cat_b15"/>
      <sheetName val="09~10년_매출계획15"/>
      <sheetName val="1_MDF1공장15"/>
      <sheetName val="Incident_유형구분표15"/>
      <sheetName val="3YP2016-Bottom_up14"/>
      <sheetName val="DD_list15"/>
      <sheetName val="Lista_de_datos14"/>
      <sheetName val="Base_de_Datos14"/>
      <sheetName val="Farol_Acciones14"/>
      <sheetName val="Lista_de_Entrenamientos14"/>
      <sheetName val="Clasif_14"/>
      <sheetName val="Lista_CI14"/>
      <sheetName val="2_카드채권(대출포함)14"/>
      <sheetName val="表21_净利润调节表14"/>
      <sheetName val="Unidades_SAC-REVENDA15"/>
      <sheetName val="FornecM_Check13"/>
      <sheetName val="Supply_Cost_Centers14"/>
      <sheetName val="Faro_de_Indicadores13"/>
      <sheetName val="TOP_KPIs_MTM13"/>
      <sheetName val="PLAN_DE_ACCION13"/>
      <sheetName val="Grafica_Actos13"/>
      <sheetName val="Estratificación_AI13"/>
      <sheetName val="condicion_inseguras13"/>
      <sheetName val="Actos_Inseguros13"/>
      <sheetName val="Control_de_incidentes13"/>
      <sheetName val="Plan_de_Acción13"/>
      <sheetName val="REALxMETA_-_CERVEJA15"/>
      <sheetName val="REALxMETA_-_REFRI15"/>
      <sheetName val="Condiciones_SyE13"/>
      <sheetName val="Share_Price_200214"/>
      <sheetName val="_DD_List14"/>
      <sheetName val="BEP_加薪_KPI13"/>
      <sheetName val="[손익기01_XL??DePara13"/>
      <sheetName val="Farol_Metas13"/>
      <sheetName val="Dashboard_Prevención_Riesgos_13"/>
      <sheetName val="Mod_Relac_13"/>
      <sheetName val="Directrices_de_Metas_201713"/>
      <sheetName val="Issues_List_Payments13"/>
      <sheetName val="DETALLE_MENSUAL13"/>
      <sheetName val="POC_LIST13"/>
      <sheetName val="Entity_Target13"/>
      <sheetName val="Check_Qualidade11"/>
      <sheetName val="do_not_delete13"/>
      <sheetName val="APAC_S13"/>
      <sheetName val="APAC_N13"/>
      <sheetName val="Slide_output13"/>
      <sheetName val="_손익기01_XL_x005f_x005f_x005f_x0000__x005f_x005f_13"/>
      <sheetName val="F08_-_Asia_Pac_Full_Year_Q314"/>
      <sheetName val="Top_Priorities14"/>
      <sheetName val="Listco_Stock14"/>
      <sheetName val="Intl_Purchase14"/>
      <sheetName val="FY_outlook14"/>
      <sheetName val="CY_outlook14"/>
      <sheetName val="Cash_metrics14"/>
      <sheetName val="P6_714"/>
      <sheetName val="DATOS_BASE13"/>
      <sheetName val="Hazards_Analysis-隐患分析13"/>
      <sheetName val="97_사업추정(WEKI)13"/>
      <sheetName val="Tong_hop13"/>
      <sheetName val="95_1_1이후취득자산(숨기기상태)13"/>
      <sheetName val="sum1_(2)13"/>
      <sheetName val="3_바닥판설계13"/>
      <sheetName val="6월_공정외주13"/>
      <sheetName val="2_대외공문13"/>
      <sheetName val="2_총괄표13"/>
      <sheetName val="입출재고현황_(2)13"/>
      <sheetName val="504전기실_동부하-L13"/>
      <sheetName val="OUTER_AREA(겹침없음)13"/>
      <sheetName val="EL_표면적13"/>
      <sheetName val="TRE_TABLE13"/>
      <sheetName val="입찰내역_발주처_양식13"/>
      <sheetName val="turnover_reason퇴직사유13"/>
      <sheetName val="Data_validation13"/>
      <sheetName val="SKU_Basic_Data13"/>
      <sheetName val="Check_Aderencia11"/>
      <sheetName val="De_Para12"/>
      <sheetName val="Ventas_Campo11"/>
      <sheetName val="Base_Farol11"/>
      <sheetName val="Gerencial_IL11"/>
      <sheetName val="VALIDACION_DE_DATOS12"/>
      <sheetName val="KPIs_Hana11"/>
      <sheetName val="Catalago_de_refacciones_11"/>
      <sheetName val="Existencias_al_07-Nov-201211"/>
      <sheetName val="ACTOS_POR_RIESGO11"/>
      <sheetName val="drop_lists11"/>
      <sheetName val="Check_GG11"/>
      <sheetName val="AIIM_-_Empresas_Ext_201211"/>
      <sheetName val="Nombre_de_SOP11"/>
      <sheetName val="Ta_11"/>
      <sheetName val="2__Indicadores11"/>
      <sheetName val="Drop-down_List12"/>
      <sheetName val="by_DD12"/>
      <sheetName val="Jul-Sep_Actual_cost_(2)12"/>
      <sheetName val="MRL_NON_SUPPLY_URU11"/>
      <sheetName val="Lista_de_Entrenamientos_RSO11"/>
      <sheetName val="Tablero_SDG14"/>
      <sheetName val="Lista_Areas14"/>
      <sheetName val="One_Page14"/>
      <sheetName val="Sub-Productos_HN12"/>
      <sheetName val="Eficiencia_linea11"/>
      <sheetName val="_손익기01_XL_x005f_x0000__x011"/>
      <sheetName val="부재료_비교(11년_vs_10년)11"/>
      <sheetName val="_mngt_Pillar11"/>
      <sheetName val="Comp_Inseguros10"/>
      <sheetName val="Pauta_RPS_Distribuição10"/>
      <sheetName val="Estoque_(2)10"/>
      <sheetName val="Sheet3_(2)11"/>
      <sheetName val="Lao_&amp;_Cam11"/>
      <sheetName val="Hoegaarden_201911"/>
      <sheetName val="Lao_&amp;_Cam_201911"/>
      <sheetName val="Malaysia_201911"/>
      <sheetName val="Singapore_201911"/>
      <sheetName val="Sheet2_(2)11"/>
      <sheetName val="요일_테이블_11"/>
      <sheetName val="Other_Listings11"/>
      <sheetName val="BNR_2012_в_ящике10"/>
      <sheetName val="FX_Rates9"/>
      <sheetName val="__한국_AMP_ASP-23_판㧤가격__9"/>
      <sheetName val="11_䡸화채무줝ⴌ(AFS,HTM)089"/>
      <sheetName val="Drop_list9"/>
      <sheetName val="Vagas_x_Candidatos9"/>
      <sheetName val="DO_NOT_MOVE10"/>
      <sheetName val="DATOS_DE_VALIDACIÓN10"/>
      <sheetName val="Datos_con10"/>
      <sheetName val="_Datos_Cond_10"/>
      <sheetName val="INGRESO_(2)10"/>
      <sheetName val="PG-K1610_(UEN_Areas)MNG10"/>
      <sheetName val="DATOS_GEN_10"/>
      <sheetName val="NUEVOS_CRITERIOS10"/>
      <sheetName val="Condiciones_Agua10"/>
      <sheetName val="Análise_Tempos6"/>
      <sheetName val="Dropdown_list9"/>
      <sheetName val="Proced_9"/>
      <sheetName val="Cut_Machine_Summary9"/>
      <sheetName val="Control_de_Fallas9"/>
      <sheetName val="Setup_for_Templates9"/>
      <sheetName val="Datos_emp9"/>
      <sheetName val="Validation_lists9"/>
      <sheetName val="Validação_de_Dados6"/>
      <sheetName val="Lista_de_Motivos6"/>
      <sheetName val="Ponto_Crítico_-_Resp__Plano6"/>
      <sheetName val="Lista_Funcionários_(2)6"/>
      <sheetName val="No_llenar_6"/>
      <sheetName val="TIPO_DE_ACTO9"/>
      <sheetName val="CRITICIDAD_DE_CI9"/>
      <sheetName val="Catálogo_de_CI9"/>
      <sheetName val="%_CUMPLIMIENTO9"/>
      <sheetName val="%_cumplimiento_9"/>
      <sheetName val="CALIFICACIONES_20197"/>
      <sheetName val="Lev_4_360_deg_check_Crit_Task7"/>
      <sheetName val="Lev_4_Chk_IC_Stock_Crit_Task7"/>
      <sheetName val="Lev_4_WMS_Putaway_Crit_Task7"/>
      <sheetName val="PAINEL_RECOLHA_CRÉDITO6"/>
      <sheetName val="Gráficos_-_CDD6"/>
      <sheetName val="Listas_y_equipos_a_evaluar9"/>
      <sheetName val="Data_Reporte9"/>
      <sheetName val="Read_me9"/>
      <sheetName val="Champions_List8"/>
      <sheetName val="NAZ_Strategy7"/>
      <sheetName val="Razão_Social3"/>
      <sheetName val="Daily_Dashboard9"/>
      <sheetName val="Customer_&amp;_SO7"/>
      <sheetName val="Session_Proposal7"/>
      <sheetName val="PDA_BOP6"/>
      <sheetName val="Incentivo_Automóvil6"/>
      <sheetName val="Status_de_Usuario4"/>
      <sheetName val="Listas_desplegables4"/>
      <sheetName val="Resumen_General4"/>
      <sheetName val="Cátalogo_de_CI4"/>
      <sheetName val="Hoja2_(2)4"/>
      <sheetName val="Technology_check_list4"/>
      <sheetName val="Actos_y_Condiciones_4"/>
      <sheetName val="NO_BORRAR4"/>
      <sheetName val="PROCESS_MD6"/>
      <sheetName val="Dropdown_Menu5"/>
      <sheetName val="Project_List5"/>
      <sheetName val="Выпадающие_списки5"/>
      <sheetName val="유류대_현황4"/>
      <sheetName val="2_3_Projects_Status4"/>
      <sheetName val="mapping_(2)4"/>
      <sheetName val="Ref_4"/>
      <sheetName val="SOP_Freshness4"/>
      <sheetName val="Formato_checklist_Lab4"/>
      <sheetName val="1__템플릿4"/>
      <sheetName val="2__작성_참고사항4"/>
      <sheetName val="Consolidated_Project_List4"/>
      <sheetName val="Fixed_Cost4"/>
      <sheetName val="Dimension_IN_Sheet1!D19124"/>
      <sheetName val="Dimension_IN_19124"/>
      <sheetName val="Manage_to_Sustain3"/>
      <sheetName val="Packages_Info3"/>
      <sheetName val="Meeting_List3"/>
      <sheetName val="FILIAL_MINAS3"/>
      <sheetName val="2020_MMR123"/>
      <sheetName val="입문_트랜드(종합분석)3"/>
      <sheetName val="Master_CE3"/>
      <sheetName val="CE_Final_3"/>
      <sheetName val="OL_LIST3"/>
      <sheetName val="YTD_GUEST_LIST3"/>
      <sheetName val="Session_Full_list3"/>
      <sheetName val="FOOD_PAYMENT_update_JAN3"/>
      <sheetName val="Rate_card_F19_3"/>
      <sheetName val="Master_Plan__(update)3"/>
      <sheetName val="The_KPI_3"/>
      <sheetName val="Mentor_Plan_3"/>
      <sheetName val="Master_Plan_3"/>
      <sheetName val="Tier_1_GOV_PC_Networking_3"/>
      <sheetName val="Tier_1_LBO_3"/>
      <sheetName val="Preferred_Option3"/>
      <sheetName val="_손익기01_XL_x005f_x0000__x005f_x005f_x03"/>
      <sheetName val="info_for_drop_box3"/>
      <sheetName val="KPIs-_TTP,_PTP,_People_Turnove3"/>
      <sheetName val="1월_목표3"/>
      <sheetName val="POCM_배송지3"/>
      <sheetName val="Mapping_1"/>
      <sheetName val="WS_DB1"/>
      <sheetName val="Region_1"/>
      <sheetName val="SKU_DB1"/>
      <sheetName val="SAP_info1"/>
      <sheetName val="Target_Book1"/>
      <sheetName val="10_麦汁CIP清洗标准水量1"/>
      <sheetName val="Lista_AI1"/>
      <sheetName val="COE_Scope_-_Strategic_Projects1"/>
      <sheetName val="SEGUIMIENTO_SEMANAL1"/>
      <sheetName val="Tipo_Viaje1"/>
      <sheetName val="Flota_y_Personal1"/>
      <sheetName val="TO_TTZ1"/>
      <sheetName val="CATÁLOGO_DE_PELIGROS1"/>
      <sheetName val="데이터_유효성_목록1"/>
      <sheetName val="Ref_New_Contract_Model1"/>
      <sheetName val="RyNV_detectados_1"/>
      <sheetName val="Curva_20211"/>
      <sheetName val="Por_PPR2"/>
      <sheetName val="Name_List1"/>
      <sheetName val="_1"/>
      <sheetName val="Template_HN1"/>
      <sheetName val="Resumen_(hL_env)1"/>
      <sheetName val="match_list1"/>
      <sheetName val="Q4_20181"/>
      <sheetName val="Q4_20191"/>
      <sheetName val="Q4_Sum1"/>
      <sheetName val="2020_KPI_LE01"/>
      <sheetName val="Rate_data1"/>
      <sheetName val="KPI_need_to_input1"/>
      <sheetName val="강남_CRM_11월1"/>
      <sheetName val="CRITERIOS_DE_AI1"/>
      <sheetName val="Nigeria_&amp;_Ghana1"/>
      <sheetName val="Manual_Database"/>
      <sheetName val="_손익기01_XL_x005f_x005f_x001"/>
      <sheetName val="DEX_(2)"/>
      <sheetName val="TR__KHCode"/>
      <sheetName val="NDD_CPT"/>
      <sheetName val="_折扣项_PromotionPlan"/>
      <sheetName val="Lista_d1"/>
      <sheetName val="Catalogo_Cursos"/>
      <sheetName val="Catalogo_Cursos_"/>
      <sheetName val="Check_People"/>
      <sheetName val="AVANCE_PROGRAMACION"/>
      <sheetName val="Cumplimiento_por_Entrenamiento"/>
      <sheetName val="Cumplimiento_del_Plan_por_área"/>
      <sheetName val="CAPTURA_ENE_MAY"/>
      <sheetName val="tablas_cuadrillas"/>
      <sheetName val="Base_de_Datos_de_Activos_"/>
      <sheetName val="PIVOT_ADHERENCIA"/>
      <sheetName val="Steps_of_Committe_"/>
      <sheetName val="IC's_(2)"/>
      <sheetName val="Participación_en_entrenamie_(2"/>
      <sheetName val="Detalle_para_correctivo_excep_1"/>
      <sheetName val="Puerto_Rico1"/>
      <sheetName val="AI_OYS_Acum1"/>
      <sheetName val="Boletas_Condiciones1"/>
      <sheetName val="1_12"/>
      <sheetName val="1_22"/>
      <sheetName val="2_1-Pareto1"/>
      <sheetName val="Datos_Mensuales1"/>
      <sheetName val="Indicador_EE_Mensual1"/>
      <sheetName val="Plan_de_Acción_MAZ"/>
      <sheetName val="TO_Data_Base26"/>
      <sheetName val="YTD_Summary25"/>
      <sheetName val="Month_Summary25"/>
      <sheetName val="Trial_Balance_MAY_200925"/>
      <sheetName val="TB_Pivot25"/>
      <sheetName val="total_per_LB_LB225"/>
      <sheetName val="Trial_Balance_Vlookup25"/>
      <sheetName val="Trial_Balance_APRIL_200925"/>
      <sheetName val="Roll_Out_AQ25"/>
      <sheetName val="Evolução_mandamentos25"/>
      <sheetName val="Planilha_resultados24"/>
      <sheetName val="Historico_200324"/>
      <sheetName val="Sig_Cycles_Accts_&amp;_Processes24"/>
      <sheetName val="E_法规NC18"/>
      <sheetName val="3_ISo_YTD18"/>
      <sheetName val="Resumen_Costo18"/>
      <sheetName val="Extract_Loss18"/>
      <sheetName val="QA_跟踪记录表18"/>
      <sheetName val="Fixed_ZBB18"/>
      <sheetName val="Données_LMU18"/>
      <sheetName val="Brazil_Sovereign18"/>
      <sheetName val="5_118"/>
      <sheetName val="material_data18"/>
      <sheetName val="other_data18"/>
      <sheetName val="요일_테이블18"/>
      <sheetName val="요일_테이블_(2)17"/>
      <sheetName val="RG_Depots18"/>
      <sheetName val="Como_Estamos18"/>
      <sheetName val="Database_(RUR)Mar_YTD18"/>
      <sheetName val="SKU_Mapping18"/>
      <sheetName val="Drop_Down18"/>
      <sheetName val="Raw_Data18"/>
      <sheetName val="EBM-2_GHQ18"/>
      <sheetName val="Base_PEF19"/>
      <sheetName val="Base_de_Dados18"/>
      <sheetName val="Testing_Template_Guidance18"/>
      <sheetName val="Test_Programs18"/>
      <sheetName val="Dados_BLP18"/>
      <sheetName val="Controls_data20"/>
      <sheetName val="FJJX_Bud_IB17"/>
      <sheetName val="look-up_data17"/>
      <sheetName val="JOB_PROFILE_-_LAS18"/>
      <sheetName val="ARdistr_(2)18"/>
      <sheetName val="Prd_Hierarchy(产品层级)17"/>
      <sheetName val="Com_(2PK)17"/>
      <sheetName val="전사_PL19"/>
      <sheetName val="자금_제외_PL19"/>
      <sheetName val="자금_PL19"/>
      <sheetName val="전사_BS19"/>
      <sheetName val="자금_제외_BS19"/>
      <sheetName val="자금_BS19"/>
      <sheetName val="BS_계정_설명19"/>
      <sheetName val="_Cash_Flow(전사)19"/>
      <sheetName val="_Cash_Flow(자금제외)19"/>
      <sheetName val="_Cash_Flow(자금)19"/>
      <sheetName val="ROIC_19"/>
      <sheetName val="인건비_명세19"/>
      <sheetName val="판관비_명세19"/>
      <sheetName val="OH_Cost경비(내역)19"/>
      <sheetName val="OH_Cost경비(배부기준)19"/>
      <sheetName val="기타수지&amp;특별손익_명세19"/>
      <sheetName val="업무연락_(2)18"/>
      <sheetName val="제시_손익계산서18"/>
      <sheetName val="01_02월_성과급19"/>
      <sheetName val="M_7회차_담금_계획18"/>
      <sheetName val="팀별_실적18"/>
      <sheetName val="팀별_실적_(환산)18"/>
      <sheetName val="4__Inj_투자상세내역18"/>
      <sheetName val="3__Blow_투자_상세내역18"/>
      <sheetName val="Process_List18"/>
      <sheetName val="7_(2)18"/>
      <sheetName val="Prd_Hierarchy(产品层次)17"/>
      <sheetName val="Project_Code17"/>
      <sheetName val="_손익기01_XL17"/>
      <sheetName val="drop_down_list17"/>
      <sheetName val="[손익기01_XL_x005f_x0000__x005f_x0000_DePara17"/>
      <sheetName val="Income_Stmt17"/>
      <sheetName val="Quarterly_LBO_Model17"/>
      <sheetName val="[손익기01_XL17"/>
      <sheetName val="_손익기01_XL_x005f_x0000__x005f_x0000_DePara17"/>
      <sheetName val="15년_BL_사계17"/>
      <sheetName val="1_종합손익(도급)17"/>
      <sheetName val="1_종합손익(주택,개발)17"/>
      <sheetName val="2_실행예산17"/>
      <sheetName val="2_2과부족17"/>
      <sheetName val="2_3원가절감17"/>
      <sheetName val="8_외주비집행현황17"/>
      <sheetName val="9_자재비17"/>
      <sheetName val="10_현장집행17"/>
      <sheetName val="3_추가원가17"/>
      <sheetName val="3_추가원가_(2)17"/>
      <sheetName val="4_사전공사17"/>
      <sheetName val="5_추정공사비17"/>
      <sheetName val="6_금융비용17"/>
      <sheetName val="7_공사비집행현황(총괄)17"/>
      <sheetName val="11_1생산성17"/>
      <sheetName val="11_2인원산출17"/>
      <sheetName val="Classification_分类16"/>
      <sheetName val="Figures_Report16"/>
      <sheetName val="Set_Up17"/>
      <sheetName val="Fare_prices16"/>
      <sheetName val="Hotel_prices16"/>
      <sheetName val="__한국_AMP_ASP-23_판매가격__16"/>
      <sheetName val="CC_Down_load_071616"/>
      <sheetName val="변경실행(2차)_16"/>
      <sheetName val="나_출고16"/>
      <sheetName val="나_입고16"/>
      <sheetName val="09년_인건비(속리산)16"/>
      <sheetName val="합산목표(감가+57_5)16"/>
      <sheetName val="제조원가_원단위_분석16"/>
      <sheetName val="종합표양식(품의_&amp;_입고)_216"/>
      <sheetName val="원가관리_(동월대비)16"/>
      <sheetName val="b_balju_(2)16"/>
      <sheetName val="2-2_매출분석16"/>
      <sheetName val="몰드시스템_리스트16"/>
      <sheetName val="11_외화채무증권(AFS,HTM)0816"/>
      <sheetName val="13_감액TEST_0816"/>
      <sheetName val="12년_CF(9월)16"/>
      <sheetName val="중기조종사_단위단가16"/>
      <sheetName val="6PILE__(돌출)16"/>
      <sheetName val="기성청구_공문16"/>
      <sheetName val="Sheet1_(2)16"/>
      <sheetName val="09~10년_매출계획16"/>
      <sheetName val="1_MDF1공장16"/>
      <sheetName val="tab_STATUS_DO_PROCESSO_16"/>
      <sheetName val="Perf__Plan__Diário116"/>
      <sheetName val="In_(2)16"/>
      <sheetName val="slide_24_cat_A16"/>
      <sheetName val="slide_82_cat_b16"/>
      <sheetName val="Incident_유형구분표16"/>
      <sheetName val="CLASIFICACION_DE_AI16"/>
      <sheetName val="Base_da_Datos16"/>
      <sheetName val="Dados_dos_Produtos16"/>
      <sheetName val="DD_list16"/>
      <sheetName val="3YP2016-Bottom_up15"/>
      <sheetName val="2_카드채권(대출포함)15"/>
      <sheetName val="表21_净利润调节表15"/>
      <sheetName val="MASTER_APP15"/>
      <sheetName val="Cond__Inseguros15"/>
      <sheetName val="Comp__Inseguros15"/>
      <sheetName val="Lista_de_datos15"/>
      <sheetName val="Base_de_Datos15"/>
      <sheetName val="_DD_List15"/>
      <sheetName val="Share_Price_200215"/>
      <sheetName val="Clasif_15"/>
      <sheetName val="Lista_CI15"/>
      <sheetName val="Farol_Acciones15"/>
      <sheetName val="Lista_de_Entrenamientos15"/>
      <sheetName val="Supply_Cost_Centers15"/>
      <sheetName val="BEP_加薪_KPI14"/>
      <sheetName val="F08_-_Asia_Pac_Full_Year_Q315"/>
      <sheetName val="Top_Priorities15"/>
      <sheetName val="Listco_Stock15"/>
      <sheetName val="Intl_Purchase15"/>
      <sheetName val="FY_outlook15"/>
      <sheetName val="CY_outlook15"/>
      <sheetName val="Cash_metrics15"/>
      <sheetName val="P6_715"/>
      <sheetName val="DATOS_BASE14"/>
      <sheetName val="Unidades_SAC-REVENDA16"/>
      <sheetName val="FornecM_Check14"/>
      <sheetName val="Estratificación_AI14"/>
      <sheetName val="condicion_inseguras14"/>
      <sheetName val="Actos_Inseguros14"/>
      <sheetName val="Control_de_incidentes14"/>
      <sheetName val="Plan_de_Acción14"/>
      <sheetName val="Dashboard_Prevención_Riesgos_14"/>
      <sheetName val="TOP_KPIs_MTM14"/>
      <sheetName val="PLAN_DE_ACCION14"/>
      <sheetName val="Faro_de_Indicadores14"/>
      <sheetName val="Hazards_Analysis-隐患分析14"/>
      <sheetName val="_손익기01_XL_x005f_x005f_x005f_x0000__x005f_x005f_14"/>
      <sheetName val="97_사업추정(WEKI)14"/>
      <sheetName val="Tong_hop14"/>
      <sheetName val="95_1_1이후취득자산(숨기기상태)14"/>
      <sheetName val="sum1_(2)14"/>
      <sheetName val="3_바닥판설계14"/>
      <sheetName val="6월_공정외주14"/>
      <sheetName val="2_대외공문14"/>
      <sheetName val="2_총괄표14"/>
      <sheetName val="입출재고현황_(2)14"/>
      <sheetName val="504전기실_동부하-L14"/>
      <sheetName val="OUTER_AREA(겹침없음)14"/>
      <sheetName val="EL_표면적14"/>
      <sheetName val="TRE_TABLE14"/>
      <sheetName val="입찰내역_발주처_양식14"/>
      <sheetName val="Jul-Sep_Actual_cost_(2)13"/>
      <sheetName val="Issues_List_Payments14"/>
      <sheetName val="turnover_reason퇴직사유14"/>
      <sheetName val="Grafica_Actos14"/>
      <sheetName val="POC_LIST14"/>
      <sheetName val="부재료_비교(11년_vs_10년)12"/>
      <sheetName val="Condiciones_SyE14"/>
      <sheetName val="DETALLE_MENSUAL14"/>
      <sheetName val="do_not_delete14"/>
      <sheetName val="APAC_S14"/>
      <sheetName val="APAC_N14"/>
      <sheetName val="Slide_output14"/>
      <sheetName val="[손익기01_XL??DePara14"/>
      <sheetName val="Farol_Metas14"/>
      <sheetName val="Mod_Relac_14"/>
      <sheetName val="REALxMETA_-_CERVEJA16"/>
      <sheetName val="REALxMETA_-_REFRI16"/>
      <sheetName val="Directrices_de_Metas_201714"/>
      <sheetName val="Data_validation14"/>
      <sheetName val="SKU_Basic_Data14"/>
      <sheetName val="Entity_Target14"/>
      <sheetName val="VALIDACION_DE_DATOS13"/>
      <sheetName val="Drop-down_List13"/>
      <sheetName val="by_DD13"/>
      <sheetName val="Check_Qualidade12"/>
      <sheetName val="De_Para13"/>
      <sheetName val="Check_Aderencia12"/>
      <sheetName val="_손익기01_XL_x005f_x0000__x012"/>
      <sheetName val="Base_Farol12"/>
      <sheetName val="Gerencial_IL12"/>
      <sheetName val="Ventas_Campo12"/>
      <sheetName val="ACTOS_POR_RIESGO12"/>
      <sheetName val="drop_lists12"/>
      <sheetName val="MRL_NON_SUPPLY_URU12"/>
      <sheetName val="AIIM_-_Empresas_Ext_201212"/>
      <sheetName val="KPIs_Hana12"/>
      <sheetName val="Catalago_de_refacciones_12"/>
      <sheetName val="Existencias_al_07-Nov-201212"/>
      <sheetName val="Check_GG12"/>
      <sheetName val="Sheet3_(2)12"/>
      <sheetName val="요일_테이블_12"/>
      <sheetName val="Nombre_de_SOP12"/>
      <sheetName val="_mngt_Pillar12"/>
      <sheetName val="2__Indicadores12"/>
      <sheetName val="Ta_12"/>
      <sheetName val="Lao_&amp;_Cam12"/>
      <sheetName val="Hoegaarden_201912"/>
      <sheetName val="Lao_&amp;_Cam_201912"/>
      <sheetName val="Malaysia_201912"/>
      <sheetName val="Singapore_201912"/>
      <sheetName val="Sheet2_(2)12"/>
      <sheetName val="Other_Listings12"/>
      <sheetName val="Lista_de_Entrenamientos_RSO12"/>
      <sheetName val="Tablero_SDG15"/>
      <sheetName val="Lista_Areas15"/>
      <sheetName val="One_Page15"/>
      <sheetName val="Sub-Productos_HN13"/>
      <sheetName val="Eficiencia_linea12"/>
      <sheetName val="Pauta_RPS_Distribuição11"/>
      <sheetName val="Estoque_(2)11"/>
      <sheetName val="Comp_Inseguros11"/>
      <sheetName val="BNR_2012_в_ящике11"/>
      <sheetName val="DATOS_DE_VALIDACIÓN11"/>
      <sheetName val="Datos_con11"/>
      <sheetName val="_Datos_Cond_11"/>
      <sheetName val="DO_NOT_MOVE11"/>
      <sheetName val="INGRESO_(2)11"/>
      <sheetName val="PG-K1610_(UEN_Areas)MNG11"/>
      <sheetName val="DATOS_GEN_11"/>
      <sheetName val="NUEVOS_CRITERIOS11"/>
      <sheetName val="Condiciones_Agua11"/>
      <sheetName val="Dropdown_list10"/>
      <sheetName val="Drop_list10"/>
      <sheetName val="FX_Rates10"/>
      <sheetName val="Proced_10"/>
      <sheetName val="Cut_Machine_Summary10"/>
      <sheetName val="Control_de_Fallas10"/>
      <sheetName val="Setup_for_Templates10"/>
      <sheetName val="Datos_emp10"/>
      <sheetName val="Validation_lists10"/>
      <sheetName val="__한국_AMP_ASP-23_판㧤가격__10"/>
      <sheetName val="11_䡸화채무줝ⴌ(AFS,HTM)0810"/>
      <sheetName val="TIPO_DE_ACTO10"/>
      <sheetName val="CRITICIDAD_DE_CI10"/>
      <sheetName val="Catálogo_de_CI10"/>
      <sheetName val="%_CUMPLIMIENTO10"/>
      <sheetName val="%_cumplimiento_10"/>
      <sheetName val="CALIFICACIONES_20198"/>
      <sheetName val="Lev_4_360_deg_check_Crit_Task8"/>
      <sheetName val="Lev_4_Chk_IC_Stock_Crit_Task8"/>
      <sheetName val="Lev_4_WMS_Putaway_Crit_Task8"/>
      <sheetName val="Data_selection8"/>
      <sheetName val="1_8"/>
      <sheetName val="Customer_&amp;_SO8"/>
      <sheetName val="Session_Proposal8"/>
      <sheetName val="Vagas_x_Candidatos10"/>
      <sheetName val="Listas_y_equipos_a_evaluar10"/>
      <sheetName val="Data_Reporte10"/>
      <sheetName val="Read_me10"/>
      <sheetName val="Champions_List9"/>
      <sheetName val="NAZ_Strategy8"/>
      <sheetName val="Daily_Dashboard10"/>
      <sheetName val="Dropdown_Menu6"/>
      <sheetName val="Análise_Tempos7"/>
      <sheetName val="PDA_BOP7"/>
      <sheetName val="Validação_de_Dados7"/>
      <sheetName val="No_llenar_7"/>
      <sheetName val="유류대_현황5"/>
      <sheetName val="Incentivo_Automóvil7"/>
      <sheetName val="mapping_(2)5"/>
      <sheetName val="Ref_5"/>
      <sheetName val="Consolidated_Project_List5"/>
      <sheetName val="Fixed_Cost5"/>
      <sheetName val="1__템플릿5"/>
      <sheetName val="2__작성_참고사항5"/>
      <sheetName val="Lista_de_Motivos7"/>
      <sheetName val="Ponto_Crítico_-_Resp__Plano7"/>
      <sheetName val="Lista_Funcionários_(2)7"/>
      <sheetName val="2_3_Projects_Status5"/>
      <sheetName val="Project_List6"/>
      <sheetName val="PROCESS_MD7"/>
      <sheetName val="Выпадающие_списки6"/>
      <sheetName val="Listas_desplegables5"/>
      <sheetName val="Resumen_General5"/>
      <sheetName val="Cátalogo_de_CI5"/>
      <sheetName val="Hoja2_(2)5"/>
      <sheetName val="Technology_check_list5"/>
      <sheetName val="Status_de_Usuario5"/>
      <sheetName val="Actos_y_Condiciones_5"/>
      <sheetName val="NO_BORRAR5"/>
      <sheetName val="Formato_checklist_Lab5"/>
      <sheetName val="SOP_Freshness5"/>
      <sheetName val="Master_Data5"/>
      <sheetName val="PAINEL_RECOLHA_CRÉDITO7"/>
      <sheetName val="Gráficos_-_CDD7"/>
      <sheetName val="Dimension_IN_Sheet1!D19125"/>
      <sheetName val="Dimension_IN_19125"/>
      <sheetName val="Manage_to_Sustain4"/>
      <sheetName val="Packages_Info4"/>
      <sheetName val="Meeting_List4"/>
      <sheetName val="2020_MMR124"/>
      <sheetName val="입문_트랜드(종합분석)4"/>
      <sheetName val="Master_CE4"/>
      <sheetName val="CE_Final_4"/>
      <sheetName val="OL_LIST4"/>
      <sheetName val="YTD_GUEST_LIST4"/>
      <sheetName val="Session_Full_list4"/>
      <sheetName val="FOOD_PAYMENT_update_JAN4"/>
      <sheetName val="Rate_card_F19_4"/>
      <sheetName val="Master_Plan__(update)4"/>
      <sheetName val="The_KPI_4"/>
      <sheetName val="Mentor_Plan_4"/>
      <sheetName val="Master_Plan_4"/>
      <sheetName val="Tier_1_GOV_PC_Networking_4"/>
      <sheetName val="Tier_1_LBO_4"/>
      <sheetName val="Preferred_Option4"/>
      <sheetName val="Razão_Social4"/>
      <sheetName val="_손익기01_XL_x005f_x0000__x005f_x005f_x04"/>
      <sheetName val="1월_목표4"/>
      <sheetName val="FILIAL_MINAS4"/>
      <sheetName val="info_for_drop_box4"/>
      <sheetName val="KPIs-_TTP,_PTP,_People_Turnove4"/>
      <sheetName val="POCM_배송지4"/>
      <sheetName val="10_麦汁CIP清洗标准水量2"/>
      <sheetName val="Mapping_2"/>
      <sheetName val="WS_DB2"/>
      <sheetName val="Region_2"/>
      <sheetName val="SKU_DB2"/>
      <sheetName val="데이터_유효성_목록2"/>
      <sheetName val="SAP_info2"/>
      <sheetName val="Target_Book2"/>
      <sheetName val="Tipo_Viaje2"/>
      <sheetName val="Flota_y_Personal2"/>
      <sheetName val="Name_List2"/>
      <sheetName val="Ref_New_Contract_Model2"/>
      <sheetName val="_손익기01_XL__DePara11"/>
      <sheetName val="Q4_20182"/>
      <sheetName val="Q4_20192"/>
      <sheetName val="Q4_Sum2"/>
      <sheetName val="2020_KPI_LE02"/>
      <sheetName val="Lista_AI2"/>
      <sheetName val="_2"/>
      <sheetName val="COE_Scope_-_Strategic_Projects2"/>
      <sheetName val="SEGUIMIENTO_SEMANAL2"/>
      <sheetName val="TO_TTZ2"/>
      <sheetName val="CATÁLOGO_DE_PELIGROS2"/>
      <sheetName val="match_list2"/>
      <sheetName val="Rate_data2"/>
      <sheetName val="KPI_need_to_input2"/>
      <sheetName val="강남_CRM_11월2"/>
      <sheetName val="Template_HN2"/>
      <sheetName val="Resumen_(hL_env)2"/>
      <sheetName val="RyNV_detectados_2"/>
      <sheetName val="Curva_20212"/>
      <sheetName val="Por_PPR3"/>
      <sheetName val="Nigeria_&amp;_Ghana2"/>
      <sheetName val="_손익기01_XL_x005f_x005f_x002"/>
      <sheetName val="Manual_Database1"/>
      <sheetName val="CRITERIOS_DE_AI2"/>
      <sheetName val="TR__KHCode1"/>
      <sheetName val="NDD_CPT1"/>
      <sheetName val="_折扣项_PromotionPlan1"/>
      <sheetName val="DEX_(2)1"/>
      <sheetName val="Lista_d2"/>
      <sheetName val="Catalogo_Cursos1"/>
      <sheetName val="Catalogo_Cursos_1"/>
      <sheetName val="Check_People1"/>
      <sheetName val="AVANCE_PROGRAMACION1"/>
      <sheetName val="Cumplimiento_por_Entrenamiento1"/>
      <sheetName val="Cumplimiento_del_Plan_por_área1"/>
      <sheetName val="CAPTURA_ENE_MAY1"/>
      <sheetName val="tablas_cuadrillas1"/>
      <sheetName val="Base_de_Datos_de_Activos_1"/>
      <sheetName val="PIVOT_ADHERENCIA1"/>
      <sheetName val="Steps_of_Committe_1"/>
      <sheetName val="IC's_(2)1"/>
      <sheetName val="Participación_en_entrenamie_(21"/>
      <sheetName val="Detalle_para_correctivo_excep_2"/>
      <sheetName val="Puerto_Rico2"/>
      <sheetName val="AI_OYS_Acum2"/>
      <sheetName val="Boletas_Condiciones2"/>
      <sheetName val="1_13"/>
      <sheetName val="1_23"/>
      <sheetName val="2_1-Pareto2"/>
      <sheetName val="Datos_Mensuales2"/>
      <sheetName val="Indicador_EE_Mensual2"/>
      <sheetName val="Plan_de_Acción_MAZ1"/>
      <sheetName val="DIAGEO_VENTURE1"/>
      <sheetName val="MAESTRO_CODIGOS1"/>
      <sheetName val="Por_regional1"/>
      <sheetName val="Por_Proveedor1"/>
      <sheetName val="X_Categoria1"/>
      <sheetName val="Por_Vendedor1"/>
      <sheetName val="Por_Mayoristas1"/>
      <sheetName val="Por_Cliente1"/>
      <sheetName val="Por_producto1"/>
      <sheetName val="Por_producto_cant_1"/>
      <sheetName val="Por_producto_cant__(2)1"/>
      <sheetName val="Por_Vendedor_X_Ciudad1"/>
      <sheetName val="Act_por_cliente1"/>
      <sheetName val="Act_por_Proveedor1"/>
      <sheetName val="Act_por_producto1"/>
      <sheetName val="0428"/>
      <sheetName val="안성 주기장 개발"/>
      <sheetName val="합손"/>
      <sheetName val="Trans"/>
      <sheetName val="RD제품개발투자비(매가)"/>
      <sheetName val="3000P데이타"/>
      <sheetName val="상세 계산 내역"/>
      <sheetName val="계산 DATA 입력"/>
      <sheetName val="예산계획"/>
      <sheetName val="Sheet⤖_x0000_崒"/>
      <sheetName val="Selection"/>
      <sheetName val="DD30"/>
      <sheetName val="FF20"/>
      <sheetName val="전체실적"/>
      <sheetName val="견적집계표"/>
      <sheetName val="거래처별"/>
      <sheetName val="Statement_20.12"/>
      <sheetName val="Deposit"/>
      <sheetName val="동별"/>
      <sheetName val="21년_211109"/>
      <sheetName val="21년_220117"/>
      <sheetName val="받을어음명세(5월31일)"/>
      <sheetName val="1_종합손익탬됊혁酧"/>
      <sheetName val="1_종합손익훬酧"/>
      <sheetName val="1_종합손익("/>
      <sheetName val="종합표양식(품의_&amp;¾"/>
      <sheetName val="b_balju_x0000_ʼ웠Ɍ旼"/>
      <sheetName val="b_balju_x0003__x0000_羈̗㓡"/>
      <sheetName val="b_balju㓡s髸ጃ_x0000_"/>
      <sheetName val="b_balju밽¹Ⴠᣵ_x0000_"/>
      <sheetName val="b_balju_x0000_〸_x0000__x0000_Ā"/>
      <sheetName val=""/>
      <sheetName val="간접비 총괄표"/>
      <sheetName val="시설유형"/>
      <sheetName val="년도기부"/>
      <sheetName val="98상품수불(기초)"/>
      <sheetName val="98제품수불부"/>
      <sheetName val="구의33고"/>
      <sheetName val="투자비 상세(180117_김인태+2F 리모델링 추가)"/>
      <sheetName val="대비"/>
      <sheetName val="차도부연장현황"/>
      <sheetName val="95년12월말"/>
      <sheetName val="기본자료"/>
      <sheetName val="과6"/>
      <sheetName val="Personnel-Wages"/>
      <sheetName val="Set-up"/>
      <sheetName val="기성청구°_x0000__x0000__x0000_"/>
      <sheetName val="Tongke"/>
      <sheetName val="일위대가1"/>
      <sheetName val="表21_净利润_xdac0_㹛+_x0000_"/>
      <sheetName val="Ownership Interests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 refreshError="1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/>
      <sheetData sheetId="1174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 refreshError="1"/>
      <sheetData sheetId="1847"/>
      <sheetData sheetId="1848"/>
      <sheetData sheetId="1849" refreshError="1"/>
      <sheetData sheetId="1850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/>
      <sheetData sheetId="1858" refreshError="1"/>
      <sheetData sheetId="1859" refreshError="1"/>
      <sheetData sheetId="1860"/>
      <sheetData sheetId="1861"/>
      <sheetData sheetId="1862" refreshError="1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 refreshError="1"/>
      <sheetData sheetId="2772" refreshError="1"/>
      <sheetData sheetId="2773" refreshError="1"/>
      <sheetData sheetId="2774" refreshError="1"/>
      <sheetData sheetId="2775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/>
      <sheetData sheetId="2794" refreshError="1"/>
      <sheetData sheetId="2795" refreshError="1"/>
      <sheetData sheetId="2796" refreshError="1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/>
      <sheetData sheetId="2820"/>
      <sheetData sheetId="282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/>
      <sheetData sheetId="2875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/>
      <sheetData sheetId="3404"/>
      <sheetData sheetId="3405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/>
      <sheetData sheetId="3414"/>
      <sheetData sheetId="3415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/>
      <sheetData sheetId="3464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/>
      <sheetData sheetId="3665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/>
      <sheetData sheetId="4346"/>
      <sheetData sheetId="4347"/>
      <sheetData sheetId="4348" refreshError="1"/>
      <sheetData sheetId="4349" refreshError="1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 refreshError="1"/>
      <sheetData sheetId="4548" refreshError="1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 refreshError="1"/>
      <sheetData sheetId="4652" refreshError="1"/>
      <sheetData sheetId="4653" refreshError="1"/>
      <sheetData sheetId="4654" refreshError="1"/>
      <sheetData sheetId="4655"/>
      <sheetData sheetId="4656"/>
      <sheetData sheetId="4657"/>
      <sheetData sheetId="4658"/>
      <sheetData sheetId="4659"/>
      <sheetData sheetId="4660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 refreshError="1"/>
      <sheetData sheetId="5064" refreshError="1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/>
      <sheetData sheetId="5415" refreshError="1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/>
      <sheetData sheetId="5529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/>
      <sheetData sheetId="5586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/>
      <sheetData sheetId="5632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/>
      <sheetData sheetId="5873"/>
      <sheetData sheetId="5874"/>
      <sheetData sheetId="5875"/>
      <sheetData sheetId="5876"/>
      <sheetData sheetId="5877"/>
      <sheetData sheetId="5878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/>
      <sheetData sheetId="5918" refreshError="1"/>
      <sheetData sheetId="5919" refreshError="1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/>
      <sheetData sheetId="6290" refreshError="1"/>
      <sheetData sheetId="6291" refreshError="1"/>
      <sheetData sheetId="6292" refreshError="1"/>
      <sheetData sheetId="6293" refreshError="1"/>
      <sheetData sheetId="6294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 refreshError="1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/>
      <sheetData sheetId="6834"/>
      <sheetData sheetId="6835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 refreshError="1"/>
      <sheetData sheetId="6856" refreshError="1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 refreshError="1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 refreshError="1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/>
      <sheetData sheetId="7838"/>
      <sheetData sheetId="7839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/>
      <sheetData sheetId="7874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 refreshError="1"/>
      <sheetData sheetId="8066"/>
      <sheetData sheetId="8067"/>
      <sheetData sheetId="8068"/>
      <sheetData sheetId="8069" refreshError="1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 refreshError="1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/>
      <sheetData sheetId="8487"/>
      <sheetData sheetId="8488"/>
      <sheetData sheetId="8489"/>
      <sheetData sheetId="8490"/>
      <sheetData sheetId="849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/>
      <sheetData sheetId="8511"/>
      <sheetData sheetId="8512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/>
      <sheetData sheetId="8648"/>
      <sheetData sheetId="8649"/>
      <sheetData sheetId="8650"/>
      <sheetData sheetId="8651"/>
      <sheetData sheetId="8652"/>
      <sheetData sheetId="8653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 refreshError="1"/>
      <sheetData sheetId="9110" refreshError="1"/>
      <sheetData sheetId="9111" refreshError="1"/>
      <sheetData sheetId="9112" refreshError="1"/>
      <sheetData sheetId="9113"/>
      <sheetData sheetId="9114"/>
      <sheetData sheetId="9115"/>
      <sheetData sheetId="9116" refreshError="1"/>
      <sheetData sheetId="9117" refreshError="1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/>
      <sheetData sheetId="9978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주요모델 (2)"/>
      <sheetName val="매출&amp;재고"/>
      <sheetName val="주요모델"/>
      <sheetName val="7월"/>
      <sheetName val="8월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설계내역서"/>
      <sheetName val="영업부문분류"/>
      <sheetName val="시행결의을"/>
      <sheetName val="BOX"/>
      <sheetName val="Sheet1"/>
      <sheetName val="Sheet2"/>
      <sheetName val="Sheet3"/>
      <sheetName val="선박별 배부"/>
      <sheetName val="KUNGDEVI"/>
      <sheetName val="건축공사"/>
      <sheetName val="200"/>
      <sheetName val="기본정보"/>
      <sheetName val="내역"/>
      <sheetName val="내역서(1)"/>
      <sheetName val="실행내역"/>
      <sheetName val="내역서중"/>
      <sheetName val="개요"/>
      <sheetName val="BID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특외대"/>
      <sheetName val="1.변경범위"/>
      <sheetName val="수입실적"/>
      <sheetName val="A-100전제"/>
      <sheetName val="#REF"/>
      <sheetName val="품의"/>
      <sheetName val="comps LFY+"/>
      <sheetName val="HDI implied"/>
      <sheetName val="호봉피치"/>
      <sheetName val="첨부1"/>
      <sheetName val="감독1130"/>
      <sheetName val="CAUDIT"/>
      <sheetName val="임의 매출-수정전"/>
      <sheetName val="감가상각"/>
      <sheetName val="채권 현황"/>
      <sheetName val="수정시산표"/>
      <sheetName val="출자한도"/>
      <sheetName val="FRQ"/>
      <sheetName val="기준"/>
      <sheetName val="지급자재"/>
      <sheetName val="직접공사비"/>
      <sheetName val="단가"/>
      <sheetName val="입찰보고"/>
      <sheetName val="2000년 공정표"/>
      <sheetName val="노임단가"/>
      <sheetName val="내역서"/>
      <sheetName val="공사비총괄표"/>
      <sheetName val="차수공개요"/>
      <sheetName val="F4-F7"/>
      <sheetName val="자산LIST"/>
      <sheetName val="손익"/>
      <sheetName val="코드"/>
      <sheetName val="간접1"/>
      <sheetName val="BOJUNGGM"/>
      <sheetName val="현금흐름"/>
      <sheetName val="목표세부명세"/>
      <sheetName val="갑지"/>
      <sheetName val="입찰안"/>
      <sheetName val="내역서1"/>
      <sheetName val="제경비율"/>
      <sheetName val="추가예산"/>
      <sheetName val="설계명세서"/>
      <sheetName val="CC Down load 0716"/>
      <sheetName val="CF6"/>
      <sheetName val="9703"/>
      <sheetName val="미지급비용"/>
      <sheetName val="차입"/>
      <sheetName val="코드표"/>
      <sheetName val="월별예산"/>
      <sheetName val="PC%계산"/>
      <sheetName val="정식주주명부(061108)"/>
      <sheetName val="6월수불"/>
      <sheetName val="통장출금액"/>
      <sheetName val="유가증권LS"/>
      <sheetName val="요일별시간대별 근무인원 그래프"/>
      <sheetName val="code"/>
      <sheetName val="내역(설계)"/>
      <sheetName val="BOX(1.5X1.5)"/>
      <sheetName val="점수계산1-2"/>
      <sheetName val="구조물공"/>
      <sheetName val="단기차입금"/>
      <sheetName val="980731"/>
      <sheetName val="표지"/>
      <sheetName val="1.매출액"/>
      <sheetName val="2.원가"/>
      <sheetName val="10.인원"/>
      <sheetName val="대비"/>
      <sheetName val="코드(대중분류)"/>
      <sheetName val="1월 예산"/>
      <sheetName val="합천내역"/>
      <sheetName val="2.호선별예상실적"/>
      <sheetName val="생산매출 (4)"/>
      <sheetName val="사업계획"/>
      <sheetName val="프랜트면허"/>
      <sheetName val="토목주소"/>
      <sheetName val="증감내역서"/>
      <sheetName val="부대tu"/>
      <sheetName val="업무연락"/>
      <sheetName val="월별매출"/>
      <sheetName val="직노"/>
      <sheetName val="집계표"/>
      <sheetName val="VXXXXXXX"/>
      <sheetName val="RE9604"/>
      <sheetName val="220 (2)"/>
      <sheetName val="골조"/>
      <sheetName val="하수급견적대비"/>
      <sheetName val="N賃率-職"/>
      <sheetName val="손익분석"/>
      <sheetName val="연부97-1"/>
      <sheetName val="대차대조표 (2)"/>
      <sheetName val="손익계산서"/>
      <sheetName val="지점장"/>
      <sheetName val="XREF"/>
      <sheetName val="98지급계획"/>
      <sheetName val="admin"/>
      <sheetName val="AN-01"/>
      <sheetName val="경비"/>
      <sheetName val="갑지(추정)"/>
      <sheetName val="2000년1차"/>
      <sheetName val="2000전체분"/>
      <sheetName val="조명시설"/>
      <sheetName val="DATA98"/>
      <sheetName val="건설가"/>
      <sheetName val="환율 및 참고"/>
      <sheetName val="2.损益表"/>
      <sheetName val="3800-400 기계감가"/>
      <sheetName val="==과목코드=="/>
      <sheetName val="현장"/>
      <sheetName val="선급비용"/>
      <sheetName val="본사업"/>
      <sheetName val="P4-C"/>
      <sheetName val="1062-X방향 "/>
      <sheetName val="총괄-1"/>
      <sheetName val="MAIN_TABLE"/>
      <sheetName val="95년12월말"/>
      <sheetName val="금융비용"/>
      <sheetName val="공문"/>
      <sheetName val="국도접속 차도부수량"/>
      <sheetName val="그림모음"/>
      <sheetName val="원가계산서"/>
      <sheetName val="은행"/>
      <sheetName val="1차설계변경내역"/>
      <sheetName val="실행"/>
      <sheetName val="바닥판"/>
      <sheetName val="입력DATA"/>
      <sheetName val="DATE"/>
      <sheetName val="용지조사보고서"/>
      <sheetName val="CTEMCOST"/>
      <sheetName val="Sheet4"/>
      <sheetName val="MIBK원단위"/>
      <sheetName val="재료"/>
      <sheetName val="전체"/>
      <sheetName val="조명율표"/>
      <sheetName val="내역서 제출"/>
      <sheetName val="실행(ALT1)"/>
      <sheetName val="세부내역"/>
      <sheetName val="공종별현황_공무팀자료"/>
      <sheetName val="6. 안전관리비"/>
      <sheetName val="자료입력"/>
      <sheetName val="품셈TABLE"/>
      <sheetName val="콘크리트타설집계표"/>
      <sheetName val="노임이"/>
      <sheetName val="Total"/>
      <sheetName val="정렬"/>
      <sheetName val="종합표"/>
      <sheetName val="상시"/>
      <sheetName val="주beam"/>
      <sheetName val="부안일위"/>
      <sheetName val="간접(90)"/>
      <sheetName val="현장경비"/>
      <sheetName val=" 총괄표"/>
      <sheetName val="실행(1)"/>
      <sheetName val="단가조사표"/>
      <sheetName val="11.산출(전열)"/>
      <sheetName val="6.산출(동력)"/>
      <sheetName val="7.산출(TRAY)"/>
      <sheetName val="중기"/>
      <sheetName val="Sheet5"/>
      <sheetName val="DANGA"/>
      <sheetName val="청학계"/>
      <sheetName val="사다리"/>
      <sheetName val="영창26"/>
      <sheetName val="중기일위대가"/>
      <sheetName val="공사비예산서(토목분)"/>
      <sheetName val="외화채권"/>
      <sheetName val="Assumptions"/>
      <sheetName val="조명투자및환수계획"/>
      <sheetName val="제조중간결과"/>
      <sheetName val="설산1.나"/>
      <sheetName val="본사S"/>
      <sheetName val="일위대가"/>
      <sheetName val="방배동내역(리라)"/>
      <sheetName val="건축공사집계표"/>
      <sheetName val="방배동내역 (총괄)"/>
      <sheetName val="기계경비"/>
      <sheetName val="4.PL"/>
      <sheetName val="6.BS"/>
      <sheetName val="9.차입,대여금"/>
      <sheetName val="1월--7월"/>
      <sheetName val="2-2.매출분석"/>
      <sheetName val="첨부_예산"/>
      <sheetName val="선박별_배부"/>
      <sheetName val="1_변경범위"/>
      <sheetName val="comps_LFY+"/>
      <sheetName val="HDI_implied"/>
      <sheetName val="임의_매출-수정전"/>
      <sheetName val="채권_현황"/>
      <sheetName val="2000년_공정표"/>
      <sheetName val="CC_Down_load_0716"/>
      <sheetName val="요일별시간대별_근무인원_그래프"/>
      <sheetName val="BOX(1_5X1_5)"/>
      <sheetName val="1_매출액"/>
      <sheetName val="2_원가"/>
      <sheetName val="10_인원"/>
      <sheetName val="1월_예산"/>
      <sheetName val="2_호선별예상실적"/>
      <sheetName val="생산매출_(4)"/>
      <sheetName val="220_(2)"/>
      <sheetName val="대차대조표_(2)"/>
      <sheetName val="환율_및_참고"/>
      <sheetName val="6.PL"/>
      <sheetName val="4.成本明细表"/>
      <sheetName val="7.6大成本明细表"/>
      <sheetName val="본부평가(연말)"/>
      <sheetName val="4.추정손익"/>
      <sheetName val="2.매출원가"/>
      <sheetName val="3.일반관리,영업외"/>
      <sheetName val="AT비용"/>
      <sheetName val="JJ비용"/>
      <sheetName val="부대수입"/>
      <sheetName val="MA비용"/>
      <sheetName val="ME비용"/>
      <sheetName val="MF비용"/>
      <sheetName val="MI비용"/>
      <sheetName val="MT비용"/>
      <sheetName val="5.管理费明细表"/>
      <sheetName val="6.营业外收支明细表"/>
      <sheetName val="3.收入明细表"/>
      <sheetName val="공통"/>
      <sheetName val="FAB별"/>
      <sheetName val="GAEYO"/>
      <sheetName val="cash_flow"/>
      <sheetName val="입력"/>
      <sheetName val="날개벽수량표"/>
      <sheetName val="교통대책내역"/>
      <sheetName val="데이타"/>
      <sheetName val="현장경상비"/>
      <sheetName val="식재인부"/>
      <sheetName val="샤워실위생"/>
      <sheetName val="현장관리비"/>
      <sheetName val="원가"/>
      <sheetName val="갑지1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시멘트"/>
      <sheetName val="견적의뢰"/>
      <sheetName val="판매시설"/>
      <sheetName val="일위대가표"/>
      <sheetName val="작성"/>
      <sheetName val="수량집계"/>
      <sheetName val="실행예산-변경분"/>
      <sheetName val="중기사용료"/>
      <sheetName val="동원인원"/>
      <sheetName val="입찰견적보고서"/>
      <sheetName val="금액"/>
      <sheetName val="평가데이터"/>
      <sheetName val="요율"/>
      <sheetName val="협력업체"/>
      <sheetName val="예가표"/>
      <sheetName val="건축직영"/>
      <sheetName val="계DATA"/>
      <sheetName val="실DATA "/>
      <sheetName val="음료실행"/>
      <sheetName val="인제내역"/>
      <sheetName val="산업"/>
      <sheetName val="현장관리"/>
      <sheetName val="소비자가"/>
      <sheetName val=" 갑  지 "/>
      <sheetName val="지수980731이후"/>
      <sheetName val="설계서(7)"/>
      <sheetName val="내역표지"/>
      <sheetName val="공구"/>
      <sheetName val="총괄내역서"/>
      <sheetName val="건축내역서"/>
      <sheetName val="조내역"/>
      <sheetName val="조직도"/>
      <sheetName val="공정표"/>
      <sheetName val="코스모공장 (어음)"/>
      <sheetName val="원가계산서(거목)"/>
      <sheetName val="원가계산서(다숲)"/>
      <sheetName val="원가계산서(법정외주)"/>
      <sheetName val="총괄"/>
      <sheetName val="조건"/>
      <sheetName val="실DATA_"/>
      <sheetName val="주식"/>
      <sheetName val="경산"/>
      <sheetName val="수량산출"/>
      <sheetName val="을"/>
      <sheetName val="_갑__지_"/>
      <sheetName val="환경기계공정표 (3)"/>
      <sheetName val="A 견적"/>
      <sheetName val="공사개요"/>
      <sheetName val="참조"/>
      <sheetName val="목차"/>
      <sheetName val="값"/>
      <sheetName val="건축공사실행"/>
      <sheetName val="내역서2안"/>
      <sheetName val="아파트"/>
      <sheetName val="계약내역(2)"/>
      <sheetName val="일위대가목록"/>
      <sheetName val="관접합및부설"/>
      <sheetName val="COVER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원가data"/>
      <sheetName val="SAM"/>
      <sheetName val="인사자료총집계"/>
      <sheetName val="기초단가"/>
      <sheetName val="납부서"/>
      <sheetName val="사급자재"/>
      <sheetName val="SPEC"/>
      <sheetName val="견적"/>
      <sheetName val="수량-양식"/>
      <sheetName val="단가 (2)"/>
      <sheetName val="기안"/>
      <sheetName val="시중노임단가"/>
      <sheetName val="전등설비"/>
      <sheetName val="카펫타일"/>
      <sheetName val="연돌일위집계"/>
      <sheetName val="개산공사비"/>
      <sheetName val="Y-WORK"/>
      <sheetName val="기계경비(시간당)"/>
      <sheetName val="램머"/>
      <sheetName val="01"/>
      <sheetName val="6PILE  (돌출)"/>
      <sheetName val="구성비"/>
      <sheetName val="실행대비"/>
      <sheetName val="금액내역서"/>
      <sheetName val="단중표"/>
      <sheetName val="본실행경비"/>
      <sheetName val="원가계산"/>
      <sheetName val="입력데이타"/>
      <sheetName val="투찰내역서"/>
      <sheetName val="건축"/>
      <sheetName val="Sheet1 (2)"/>
      <sheetName val="총 원가계산"/>
      <sheetName val="화전내"/>
      <sheetName val="노무비"/>
      <sheetName val="총괄갑 "/>
      <sheetName val="일위"/>
      <sheetName val="벽체물량산출서"/>
      <sheetName val="지수"/>
      <sheetName val="---FAB#1업무일지---"/>
      <sheetName val="EQT-ESTN"/>
      <sheetName val="변경내역서"/>
      <sheetName val="11-2.아파트내역"/>
      <sheetName val="물가대비표"/>
      <sheetName val="DATA1"/>
      <sheetName val="식재수량표"/>
      <sheetName val="일위목록"/>
      <sheetName val="SG"/>
      <sheetName val="내역서1999.8최종"/>
      <sheetName val="5사남"/>
      <sheetName val="물량표"/>
      <sheetName val="6호기"/>
      <sheetName val="노무"/>
      <sheetName val="진주방향"/>
      <sheetName val="용역비내역-진짜"/>
      <sheetName val="추정_최근현장"/>
      <sheetName val="리스트_최근현장"/>
      <sheetName val="팩스리스트"/>
      <sheetName val="원가계산하도"/>
      <sheetName val="실행철강하도"/>
      <sheetName val="참고사항"/>
      <sheetName val="근로자자료입력"/>
      <sheetName val="당정동경상이수"/>
      <sheetName val="당정동공통이수"/>
      <sheetName val="총괄집계표"/>
      <sheetName val="전기"/>
      <sheetName val="factor(건축)"/>
      <sheetName val="산근"/>
      <sheetName val="세금자료"/>
      <sheetName val="정보"/>
      <sheetName val="ilch"/>
      <sheetName val="총투입계"/>
      <sheetName val="직재"/>
      <sheetName val="기초입력 DATA"/>
      <sheetName val="사진대지"/>
      <sheetName val="국내조달(통합-1)"/>
      <sheetName val="수배전반"/>
      <sheetName val="001"/>
      <sheetName val="노임"/>
      <sheetName val="실행_ALT1_"/>
      <sheetName val="자재가격조사표"/>
      <sheetName val="1차 내역서"/>
      <sheetName val="파일의이용"/>
      <sheetName val="공종목록표"/>
      <sheetName val="공통가설"/>
      <sheetName val="차액보증"/>
      <sheetName val="출입자명단"/>
      <sheetName val="일위산출"/>
      <sheetName val="노임단가 (2)"/>
      <sheetName val="건축집계표"/>
      <sheetName val=" 견적서"/>
      <sheetName val="상호참고자료"/>
      <sheetName val="발주처자료입력"/>
      <sheetName val="회사기본자료"/>
      <sheetName val="하자보증자료"/>
      <sheetName val="기술자관련자료"/>
      <sheetName val="자재단가"/>
      <sheetName val="장비경비"/>
      <sheetName val="Option"/>
      <sheetName val="을지"/>
      <sheetName val="견적조건"/>
      <sheetName val="건축공사집계"/>
      <sheetName val="C3"/>
      <sheetName val="플랜트 설치"/>
      <sheetName val="FORM-0"/>
      <sheetName val="계산서(곡선부)"/>
      <sheetName val="포장재료집계표"/>
      <sheetName val="날개벽(시점좌측)"/>
      <sheetName val="수리결과"/>
      <sheetName val="TYPE-A"/>
      <sheetName val="inter"/>
      <sheetName val="TEST1"/>
      <sheetName val="배명(단가)"/>
      <sheetName val="견적갑지"/>
      <sheetName val="물량내역"/>
      <sheetName val="자단"/>
      <sheetName val="건축실행"/>
      <sheetName val="산출"/>
      <sheetName val="집계"/>
      <sheetName val="해평견적"/>
      <sheetName val="직접경비"/>
      <sheetName val="직접인건비"/>
      <sheetName val="내역서01"/>
      <sheetName val="2-1. 경관조명 내역총괄표"/>
      <sheetName val="결재판"/>
      <sheetName val="CON'C"/>
      <sheetName val="일위대가 "/>
      <sheetName val="수목단가"/>
      <sheetName val="시설수량표"/>
      <sheetName val="예산서"/>
      <sheetName val="BSD (2)"/>
      <sheetName val="건축내역"/>
      <sheetName val="청천내"/>
      <sheetName val="0"/>
      <sheetName val="PAINT"/>
      <sheetName val="CONCRETE"/>
      <sheetName val="설계서"/>
      <sheetName val="업무분장"/>
      <sheetName val="설계서(본관)"/>
      <sheetName val="배관배선내역"/>
      <sheetName val="인건비 "/>
      <sheetName val="차수"/>
      <sheetName val="pier(각형)"/>
      <sheetName val="토목공사"/>
      <sheetName val="토공연장"/>
      <sheetName val="자재"/>
      <sheetName val="공사_산출"/>
      <sheetName val="철거산출근거"/>
      <sheetName val="FOB발"/>
      <sheetName val="중기조종사 단위단가"/>
      <sheetName val="적격심사표"/>
      <sheetName val="wall"/>
      <sheetName val="장비집계"/>
      <sheetName val="COST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05-원가계산"/>
      <sheetName val="설명서 "/>
      <sheetName val="토목"/>
      <sheetName val="역T형교대(말뚝기초)"/>
      <sheetName val="설비공사"/>
      <sheetName val="신.분"/>
      <sheetName val="토공집계"/>
      <sheetName val="기성"/>
      <sheetName val="현장별"/>
      <sheetName val="동별집계(비디오폰흑백-&gt;칼라)"/>
      <sheetName val="동별집계"/>
      <sheetName val="세부내역서"/>
      <sheetName val="가설공사내역"/>
      <sheetName val="설계내역"/>
      <sheetName val="2공구산출내역"/>
      <sheetName val="설비내역서"/>
      <sheetName val="전기내역서"/>
      <sheetName val="말뚝지지력산정"/>
      <sheetName val="예정공정표"/>
      <sheetName val="초기화면"/>
      <sheetName val="관급자재"/>
      <sheetName val="소요자재"/>
      <sheetName val="참조M"/>
      <sheetName val="한강운반비"/>
      <sheetName val="C1.공사개요"/>
      <sheetName val="A1.스케쥴"/>
      <sheetName val="계목분류"/>
      <sheetName val="퍼스트"/>
      <sheetName val="기초일위"/>
      <sheetName val="시설일위"/>
      <sheetName val="조명일위"/>
      <sheetName val="정부노임단가"/>
      <sheetName val="3월팀계 "/>
      <sheetName val="수량명세서"/>
      <sheetName val="용수량(생활용수)"/>
      <sheetName val="유림골조"/>
      <sheetName val="골조시행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견적율"/>
      <sheetName val="Customer Databas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#3_일위대가목록"/>
      <sheetName val="APT"/>
      <sheetName val="101동"/>
      <sheetName val="변경총괄지(1)"/>
      <sheetName val="부대내역"/>
      <sheetName val="SANTOGO"/>
      <sheetName val="지수적용공사비내역서"/>
      <sheetName val="마산월령동골조물량변경"/>
      <sheetName val="약품공급2"/>
      <sheetName val="교각1"/>
      <sheetName val="부대공Ⅱ"/>
      <sheetName val="연결임시"/>
      <sheetName val="TB-내역서"/>
      <sheetName val="선박별_배부1"/>
      <sheetName val="1_변경범위1"/>
      <sheetName val="comps_LFY+1"/>
      <sheetName val="HDI_implied1"/>
      <sheetName val="임의_매출-수정전1"/>
      <sheetName val="채권_현황1"/>
      <sheetName val="2000년_공정표1"/>
      <sheetName val="CC_Down_load_07161"/>
      <sheetName val="요일별시간대별_근무인원_그래프1"/>
      <sheetName val="BOX(1_5X1_5)1"/>
      <sheetName val="1_매출액1"/>
      <sheetName val="2_원가1"/>
      <sheetName val="10_인원1"/>
      <sheetName val="2_호선별예상실적1"/>
      <sheetName val="생산매출_(4)1"/>
      <sheetName val="1월_예산1"/>
      <sheetName val="220_(2)1"/>
      <sheetName val="대차대조표_(2)1"/>
      <sheetName val="환율_및_참고1"/>
      <sheetName val="_총괄표"/>
      <sheetName val="1062-X방향_"/>
      <sheetName val="2_损益表"/>
      <sheetName val="4_PL"/>
      <sheetName val="6_BS"/>
      <sheetName val="9_차입,대여금"/>
      <sheetName val="2-2_매출분석"/>
      <sheetName val="6_PL"/>
      <sheetName val="4_成本明细表"/>
      <sheetName val="7_6大成本明细表"/>
      <sheetName val="4_추정손익"/>
      <sheetName val="2_매출원가"/>
      <sheetName val="3_일반관리,영업외"/>
      <sheetName val="5_管理费明细表"/>
      <sheetName val="6_营业外收支明细表"/>
      <sheetName val="3_收入明细表"/>
      <sheetName val="3800-400_기계감가"/>
      <sheetName val="본사재고"/>
      <sheetName val="하수처리장"/>
      <sheetName val="BREAKDOWN(철거설치)"/>
      <sheetName val="사고96"/>
      <sheetName val="data"/>
      <sheetName val="911 파트별통계-월별 건수"/>
      <sheetName val="투자자산명세서"/>
    </sheetNames>
    <sheetDataSet>
      <sheetData sheetId="0" refreshError="1">
        <row r="21">
          <cell r="B21" t="str">
            <v>1.토공</v>
          </cell>
        </row>
        <row r="22">
          <cell r="B22" t="str">
            <v>토사절취</v>
          </cell>
          <cell r="C22" t="str">
            <v>도쟈 19ton</v>
          </cell>
          <cell r="D22">
            <v>465.1</v>
          </cell>
          <cell r="E22" t="str">
            <v>m3</v>
          </cell>
        </row>
        <row r="23">
          <cell r="B23" t="str">
            <v>노 상</v>
          </cell>
          <cell r="D23">
            <v>1294.5</v>
          </cell>
          <cell r="E23" t="str">
            <v>m3</v>
          </cell>
        </row>
        <row r="24">
          <cell r="B24" t="str">
            <v>운반성토</v>
          </cell>
          <cell r="C24" t="str">
            <v>토사</v>
          </cell>
          <cell r="D24">
            <v>46662</v>
          </cell>
          <cell r="E24" t="str">
            <v>m3</v>
          </cell>
        </row>
        <row r="25">
          <cell r="B25" t="str">
            <v>성토정지</v>
          </cell>
          <cell r="C25" t="str">
            <v>도쟈 19ton</v>
          </cell>
          <cell r="D25">
            <v>55356.07</v>
          </cell>
          <cell r="E25" t="str">
            <v>m3</v>
          </cell>
        </row>
        <row r="26">
          <cell r="B26" t="str">
            <v>터파기(육상성토)</v>
          </cell>
          <cell r="D26">
            <v>8420.14</v>
          </cell>
          <cell r="E26" t="str">
            <v>m3</v>
          </cell>
        </row>
        <row r="27">
          <cell r="B27" t="str">
            <v>기계터파기(수중)</v>
          </cell>
          <cell r="C27" t="str">
            <v>토사(0-4m)</v>
          </cell>
          <cell r="D27">
            <v>6075.87</v>
          </cell>
          <cell r="E27" t="str">
            <v>m3</v>
          </cell>
        </row>
        <row r="28">
          <cell r="B28" t="str">
            <v>잔토처리(기계)</v>
          </cell>
          <cell r="C28" t="str">
            <v>토사(현장내)</v>
          </cell>
          <cell r="D28">
            <v>6535.73</v>
          </cell>
          <cell r="E28" t="str">
            <v>m3</v>
          </cell>
        </row>
        <row r="29">
          <cell r="B29" t="str">
            <v>되메우기</v>
          </cell>
          <cell r="C29" t="str">
            <v>기계</v>
          </cell>
          <cell r="D29">
            <v>8145.84</v>
          </cell>
          <cell r="E29" t="str">
            <v>m3</v>
          </cell>
        </row>
        <row r="30">
          <cell r="B30" t="str">
            <v>표토제거(사토)</v>
          </cell>
          <cell r="C30" t="str">
            <v>도쟈 19ton</v>
          </cell>
          <cell r="D30">
            <v>3202</v>
          </cell>
          <cell r="E30" t="str">
            <v>m3</v>
          </cell>
        </row>
        <row r="31">
          <cell r="B31" t="str">
            <v>표토제거(탑구간)</v>
          </cell>
          <cell r="C31" t="str">
            <v>도쟈 19ton</v>
          </cell>
          <cell r="D31">
            <v>3202</v>
          </cell>
          <cell r="E31" t="str">
            <v>m3</v>
          </cell>
        </row>
        <row r="32">
          <cell r="B32" t="str">
            <v>츠구터파기(토사)</v>
          </cell>
          <cell r="C32" t="str">
            <v>기계</v>
          </cell>
          <cell r="D32">
            <v>201.25</v>
          </cell>
          <cell r="E32" t="str">
            <v>m3</v>
          </cell>
        </row>
        <row r="33">
          <cell r="B33" t="str">
            <v>측구뚝쌓기</v>
          </cell>
          <cell r="C33" t="str">
            <v>인력다짐</v>
          </cell>
          <cell r="D33">
            <v>16.12</v>
          </cell>
          <cell r="E33" t="str">
            <v>m3</v>
          </cell>
        </row>
        <row r="34">
          <cell r="B34" t="str">
            <v>치환다짐포설및다짐</v>
          </cell>
          <cell r="C34" t="str">
            <v>보조기층재</v>
          </cell>
          <cell r="D34">
            <v>1552.94</v>
          </cell>
          <cell r="E34" t="str">
            <v>m2</v>
          </cell>
        </row>
        <row r="35">
          <cell r="B35" t="str">
            <v>줄떼붙임</v>
          </cell>
          <cell r="D35">
            <v>4261.78</v>
          </cell>
          <cell r="E35" t="str">
            <v>m2</v>
          </cell>
        </row>
        <row r="36">
          <cell r="A36">
            <v>10</v>
          </cell>
          <cell r="B36" t="str">
            <v>P P 마대쌓기</v>
          </cell>
          <cell r="C36" t="str">
            <v>45*70</v>
          </cell>
          <cell r="D36">
            <v>560.20000000000005</v>
          </cell>
          <cell r="E36" t="str">
            <v>m2</v>
          </cell>
        </row>
        <row r="37">
          <cell r="B37" t="str">
            <v>물 푸 기</v>
          </cell>
          <cell r="E37" t="str">
            <v>HR</v>
          </cell>
        </row>
        <row r="38">
          <cell r="B38" t="str">
            <v>2.구조물공</v>
          </cell>
        </row>
        <row r="39">
          <cell r="B39" t="str">
            <v>1)침사지및유입펌프장</v>
          </cell>
        </row>
        <row r="40">
          <cell r="B40" t="str">
            <v>콘크리트펌프카타설</v>
          </cell>
          <cell r="C40" t="str">
            <v>무근</v>
          </cell>
          <cell r="D40">
            <v>67.05</v>
          </cell>
          <cell r="E40" t="str">
            <v>m3</v>
          </cell>
        </row>
        <row r="41">
          <cell r="B41" t="str">
            <v>콘크리트펌프카타설</v>
          </cell>
          <cell r="C41" t="str">
            <v>철근</v>
          </cell>
          <cell r="D41">
            <v>1409.52</v>
          </cell>
          <cell r="E41" t="str">
            <v>m3</v>
          </cell>
        </row>
        <row r="42">
          <cell r="B42" t="str">
            <v>합판거푸집</v>
          </cell>
          <cell r="C42" t="str">
            <v>6회</v>
          </cell>
          <cell r="D42">
            <v>13.62</v>
          </cell>
          <cell r="E42" t="str">
            <v>m2</v>
          </cell>
        </row>
        <row r="43">
          <cell r="B43" t="str">
            <v>합판거푸집</v>
          </cell>
          <cell r="C43" t="str">
            <v>3회</v>
          </cell>
          <cell r="D43">
            <v>1180.8499999999999</v>
          </cell>
          <cell r="E43" t="str">
            <v>m2</v>
          </cell>
        </row>
        <row r="44">
          <cell r="B44" t="str">
            <v>원형거푸집</v>
          </cell>
          <cell r="C44" t="str">
            <v>3회</v>
          </cell>
          <cell r="D44">
            <v>2.77</v>
          </cell>
          <cell r="E44" t="str">
            <v>m2</v>
          </cell>
        </row>
        <row r="45">
          <cell r="B45" t="str">
            <v>FORM-TIE</v>
          </cell>
          <cell r="C45" t="str">
            <v>3회 T=800</v>
          </cell>
          <cell r="D45">
            <v>247.63</v>
          </cell>
          <cell r="E45" t="str">
            <v>m2</v>
          </cell>
        </row>
        <row r="46">
          <cell r="B46" t="str">
            <v>FORM-TIE</v>
          </cell>
          <cell r="C46" t="str">
            <v>3회 T=500</v>
          </cell>
          <cell r="D46">
            <v>1622.41</v>
          </cell>
          <cell r="E46" t="str">
            <v>m2</v>
          </cell>
        </row>
        <row r="47">
          <cell r="B47" t="str">
            <v>강관동바리(3개월)</v>
          </cell>
          <cell r="C47" t="str">
            <v>4.2M이상</v>
          </cell>
          <cell r="D47">
            <v>194.63</v>
          </cell>
          <cell r="E47" t="str">
            <v>공/m3</v>
          </cell>
        </row>
        <row r="48">
          <cell r="B48" t="str">
            <v>강관동바리(3개월)</v>
          </cell>
          <cell r="C48" t="str">
            <v>4.2M이하</v>
          </cell>
          <cell r="D48">
            <v>1709.97</v>
          </cell>
          <cell r="E48" t="str">
            <v>공/m3</v>
          </cell>
        </row>
        <row r="49">
          <cell r="B49" t="str">
            <v>강관비계매기</v>
          </cell>
          <cell r="C49" t="str">
            <v>3개월</v>
          </cell>
          <cell r="D49">
            <v>1104.03</v>
          </cell>
          <cell r="E49" t="str">
            <v>m2</v>
          </cell>
        </row>
        <row r="50">
          <cell r="B50" t="str">
            <v>침투성+수성페인트</v>
          </cell>
          <cell r="D50">
            <v>428.71</v>
          </cell>
          <cell r="E50" t="str">
            <v>m2</v>
          </cell>
        </row>
        <row r="51">
          <cell r="B51" t="str">
            <v>에폭시방수</v>
          </cell>
          <cell r="D51">
            <v>981.96</v>
          </cell>
          <cell r="E51" t="str">
            <v>m2</v>
          </cell>
        </row>
        <row r="52">
          <cell r="B52" t="str">
            <v>지수판설치</v>
          </cell>
          <cell r="C52" t="str">
            <v>B=230,T=5MM</v>
          </cell>
          <cell r="D52">
            <v>423.87</v>
          </cell>
          <cell r="E52" t="str">
            <v>m</v>
          </cell>
        </row>
        <row r="53">
          <cell r="B53" t="str">
            <v>양 생</v>
          </cell>
          <cell r="C53" t="str">
            <v>비닐</v>
          </cell>
          <cell r="D53">
            <v>1388.4449999999999</v>
          </cell>
          <cell r="E53" t="str">
            <v>m2</v>
          </cell>
        </row>
        <row r="54">
          <cell r="B54" t="str">
            <v>시공이음면정리</v>
          </cell>
          <cell r="D54">
            <v>137.78</v>
          </cell>
          <cell r="E54" t="str">
            <v>m2</v>
          </cell>
        </row>
        <row r="55">
          <cell r="B55" t="str">
            <v>몰탈</v>
          </cell>
          <cell r="C55" t="str">
            <v>1:3</v>
          </cell>
          <cell r="D55">
            <v>10.53</v>
          </cell>
          <cell r="E55" t="str">
            <v>m3</v>
          </cell>
        </row>
        <row r="56">
          <cell r="B56" t="str">
            <v>FORM-TIE 구멍채우기</v>
          </cell>
          <cell r="D56">
            <v>1748</v>
          </cell>
          <cell r="E56" t="str">
            <v>EA</v>
          </cell>
        </row>
        <row r="57">
          <cell r="B57" t="str">
            <v>난간(STS)</v>
          </cell>
          <cell r="C57" t="str">
            <v>수평(1.2M)</v>
          </cell>
          <cell r="D57">
            <v>93.03</v>
          </cell>
          <cell r="E57" t="str">
            <v>스판</v>
          </cell>
        </row>
        <row r="58">
          <cell r="B58" t="str">
            <v>난간(STS)</v>
          </cell>
          <cell r="C58" t="str">
            <v>경사(0.9M)</v>
          </cell>
          <cell r="D58">
            <v>30</v>
          </cell>
          <cell r="E58" t="str">
            <v>스판</v>
          </cell>
        </row>
        <row r="59">
          <cell r="B59" t="str">
            <v>사다리설치</v>
          </cell>
          <cell r="C59" t="str">
            <v>A-TYPE</v>
          </cell>
          <cell r="D59">
            <v>51</v>
          </cell>
          <cell r="E59" t="str">
            <v>EA</v>
          </cell>
        </row>
        <row r="60">
          <cell r="B60" t="str">
            <v>사다리설치</v>
          </cell>
          <cell r="C60" t="str">
            <v>B-TYPE</v>
          </cell>
          <cell r="D60">
            <v>20.6</v>
          </cell>
          <cell r="E60" t="str">
            <v>EA</v>
          </cell>
        </row>
        <row r="61">
          <cell r="B61" t="str">
            <v>PVC PIPE T S 접합</v>
          </cell>
          <cell r="C61" t="str">
            <v>D=100M/M</v>
          </cell>
          <cell r="D61">
            <v>0.9</v>
          </cell>
          <cell r="E61" t="str">
            <v>m</v>
          </cell>
        </row>
        <row r="62">
          <cell r="B62" t="str">
            <v>PVC PIPE T S 접합</v>
          </cell>
          <cell r="C62" t="str">
            <v>D=150M/M</v>
          </cell>
          <cell r="D62">
            <v>1.5</v>
          </cell>
          <cell r="E62" t="str">
            <v>m</v>
          </cell>
        </row>
        <row r="63">
          <cell r="B63" t="str">
            <v>슬리브</v>
          </cell>
          <cell r="C63" t="str">
            <v>D=150,T=500</v>
          </cell>
          <cell r="D63">
            <v>5</v>
          </cell>
          <cell r="E63" t="str">
            <v>EA</v>
          </cell>
        </row>
        <row r="64">
          <cell r="B64" t="str">
            <v>슬리브</v>
          </cell>
          <cell r="C64" t="str">
            <v>D=200,T=500</v>
          </cell>
          <cell r="D64">
            <v>2</v>
          </cell>
          <cell r="E64" t="str">
            <v>EA</v>
          </cell>
        </row>
        <row r="65">
          <cell r="B65" t="str">
            <v>슬리브</v>
          </cell>
          <cell r="C65" t="str">
            <v>D=500,T=500</v>
          </cell>
          <cell r="D65">
            <v>1</v>
          </cell>
          <cell r="E65" t="str">
            <v>EA</v>
          </cell>
        </row>
        <row r="66">
          <cell r="B66" t="str">
            <v>슬리브</v>
          </cell>
          <cell r="C66" t="str">
            <v>D=300,T=500</v>
          </cell>
          <cell r="D66">
            <v>1</v>
          </cell>
          <cell r="E66" t="str">
            <v>EA</v>
          </cell>
        </row>
        <row r="67">
          <cell r="B67" t="str">
            <v>JOINT-FILLER</v>
          </cell>
          <cell r="C67" t="str">
            <v>T=20M/M</v>
          </cell>
          <cell r="D67">
            <v>22.15</v>
          </cell>
          <cell r="E67" t="str">
            <v>m2</v>
          </cell>
        </row>
        <row r="68">
          <cell r="B68" t="str">
            <v>실런트</v>
          </cell>
          <cell r="C68" t="str">
            <v>T=20M/M</v>
          </cell>
          <cell r="D68">
            <v>70.349999999999994</v>
          </cell>
          <cell r="E68" t="str">
            <v>m</v>
          </cell>
        </row>
        <row r="69">
          <cell r="B69" t="str">
            <v>흙채움</v>
          </cell>
          <cell r="C69" t="str">
            <v>인력</v>
          </cell>
          <cell r="D69">
            <v>485.36</v>
          </cell>
          <cell r="E69" t="str">
            <v>m2</v>
          </cell>
        </row>
        <row r="70">
          <cell r="B70" t="str">
            <v>철근가공및조립</v>
          </cell>
          <cell r="C70" t="str">
            <v>복잡</v>
          </cell>
          <cell r="D70">
            <v>150.38300000000001</v>
          </cell>
          <cell r="E70" t="str">
            <v>TON</v>
          </cell>
        </row>
        <row r="71">
          <cell r="B71" t="str">
            <v>PC PILE항타</v>
          </cell>
          <cell r="C71" t="str">
            <v>천공후항타</v>
          </cell>
          <cell r="D71">
            <v>6</v>
          </cell>
          <cell r="E71" t="str">
            <v>본</v>
          </cell>
        </row>
        <row r="72">
          <cell r="B72" t="str">
            <v>말뚝박기용천공</v>
          </cell>
          <cell r="C72" t="str">
            <v>토사</v>
          </cell>
          <cell r="D72">
            <v>54</v>
          </cell>
          <cell r="E72" t="str">
            <v>m</v>
          </cell>
        </row>
        <row r="73">
          <cell r="B73" t="str">
            <v>PC 파일두부보강</v>
          </cell>
          <cell r="C73" t="str">
            <v>T=500,L=9.0M</v>
          </cell>
          <cell r="D73">
            <v>6</v>
          </cell>
          <cell r="E73" t="str">
            <v>본</v>
          </cell>
        </row>
        <row r="74">
          <cell r="B74" t="str">
            <v>SHEET-PILE항타인발</v>
          </cell>
          <cell r="C74" t="str">
            <v>L=9.0M</v>
          </cell>
          <cell r="D74">
            <v>75</v>
          </cell>
          <cell r="E74" t="str">
            <v>본</v>
          </cell>
        </row>
        <row r="75">
          <cell r="B75" t="str">
            <v>SHEET-PILE</v>
          </cell>
          <cell r="C75" t="str">
            <v>임대료</v>
          </cell>
          <cell r="D75">
            <v>1</v>
          </cell>
          <cell r="E75" t="str">
            <v>식</v>
          </cell>
        </row>
        <row r="76">
          <cell r="B76" t="str">
            <v>2)유량조정조</v>
          </cell>
        </row>
        <row r="77">
          <cell r="B77" t="str">
            <v>콘크리트펌프카타설</v>
          </cell>
          <cell r="C77" t="str">
            <v>무근</v>
          </cell>
          <cell r="D77">
            <v>26.79</v>
          </cell>
          <cell r="E77" t="str">
            <v>m3</v>
          </cell>
        </row>
        <row r="78">
          <cell r="B78" t="str">
            <v>콘크리트펌프카타설</v>
          </cell>
          <cell r="C78" t="str">
            <v>철근</v>
          </cell>
          <cell r="D78">
            <v>401.3</v>
          </cell>
          <cell r="E78" t="str">
            <v>m3</v>
          </cell>
        </row>
        <row r="79">
          <cell r="B79" t="str">
            <v>합판거푸집</v>
          </cell>
          <cell r="C79" t="str">
            <v>6회</v>
          </cell>
          <cell r="D79">
            <v>7.39</v>
          </cell>
          <cell r="E79" t="str">
            <v>m2</v>
          </cell>
        </row>
        <row r="80">
          <cell r="B80" t="str">
            <v>합판거푸집</v>
          </cell>
          <cell r="C80" t="str">
            <v>3회</v>
          </cell>
          <cell r="D80">
            <v>163.88</v>
          </cell>
          <cell r="E80" t="str">
            <v>m2</v>
          </cell>
        </row>
        <row r="81">
          <cell r="B81" t="str">
            <v>원형거푸집</v>
          </cell>
          <cell r="C81" t="str">
            <v>3회</v>
          </cell>
          <cell r="D81">
            <v>252.8</v>
          </cell>
          <cell r="E81" t="str">
            <v>m2</v>
          </cell>
        </row>
        <row r="82">
          <cell r="B82" t="str">
            <v>FORM-TIE</v>
          </cell>
          <cell r="C82" t="str">
            <v>3회 T=800</v>
          </cell>
          <cell r="D82">
            <v>680.73</v>
          </cell>
          <cell r="E82" t="str">
            <v>m2</v>
          </cell>
        </row>
        <row r="83">
          <cell r="B83" t="str">
            <v>FORM-TIE</v>
          </cell>
          <cell r="C83" t="str">
            <v>3회 T=500</v>
          </cell>
          <cell r="D83">
            <v>237.56</v>
          </cell>
          <cell r="E83" t="str">
            <v>m2</v>
          </cell>
        </row>
        <row r="84">
          <cell r="B84" t="str">
            <v>강관동바리(3개월)</v>
          </cell>
          <cell r="C84" t="str">
            <v>4.2M이상</v>
          </cell>
          <cell r="D84">
            <v>31.68</v>
          </cell>
          <cell r="E84" t="str">
            <v>공/m3</v>
          </cell>
        </row>
        <row r="85">
          <cell r="B85" t="str">
            <v>강관동바리(3개월)</v>
          </cell>
          <cell r="C85" t="str">
            <v>4.2M이하</v>
          </cell>
          <cell r="D85">
            <v>611.74</v>
          </cell>
          <cell r="E85" t="str">
            <v>공/m3</v>
          </cell>
        </row>
        <row r="86">
          <cell r="B86" t="str">
            <v>강관비계매기</v>
          </cell>
          <cell r="C86" t="str">
            <v>3개월</v>
          </cell>
          <cell r="D86">
            <v>510</v>
          </cell>
          <cell r="E86" t="str">
            <v>m2</v>
          </cell>
        </row>
        <row r="87">
          <cell r="B87" t="str">
            <v>침투성+수성페인트</v>
          </cell>
          <cell r="D87">
            <v>173.84</v>
          </cell>
          <cell r="E87" t="str">
            <v>m2</v>
          </cell>
        </row>
        <row r="88">
          <cell r="B88" t="str">
            <v>지수판설치</v>
          </cell>
          <cell r="C88" t="str">
            <v>B=230,T=5MM</v>
          </cell>
          <cell r="D88">
            <v>131.5</v>
          </cell>
          <cell r="E88" t="str">
            <v>m</v>
          </cell>
        </row>
        <row r="89">
          <cell r="B89" t="str">
            <v>양 생</v>
          </cell>
          <cell r="C89" t="str">
            <v>비닐</v>
          </cell>
          <cell r="D89">
            <v>238.04</v>
          </cell>
          <cell r="E89" t="str">
            <v>m2</v>
          </cell>
        </row>
        <row r="90">
          <cell r="B90" t="str">
            <v>시공이음면정리</v>
          </cell>
          <cell r="D90">
            <v>48.89</v>
          </cell>
          <cell r="E90" t="str">
            <v>m2</v>
          </cell>
        </row>
        <row r="91">
          <cell r="B91" t="str">
            <v>난간(STS)</v>
          </cell>
          <cell r="C91" t="str">
            <v>수평(1.2M)</v>
          </cell>
          <cell r="D91">
            <v>39.29</v>
          </cell>
          <cell r="E91" t="str">
            <v>스판</v>
          </cell>
        </row>
        <row r="92">
          <cell r="B92" t="str">
            <v>난간(STS)</v>
          </cell>
          <cell r="C92" t="str">
            <v>경사(0.9M)</v>
          </cell>
          <cell r="D92">
            <v>13.06</v>
          </cell>
          <cell r="E92" t="str">
            <v>스판</v>
          </cell>
        </row>
        <row r="93">
          <cell r="B93" t="str">
            <v>슬리브</v>
          </cell>
          <cell r="C93" t="str">
            <v>D=300,T=400</v>
          </cell>
          <cell r="D93">
            <v>2</v>
          </cell>
          <cell r="E93" t="str">
            <v>EA</v>
          </cell>
        </row>
        <row r="94">
          <cell r="B94" t="str">
            <v>철근가공및조립</v>
          </cell>
          <cell r="C94" t="str">
            <v>복잡</v>
          </cell>
          <cell r="D94">
            <v>43.308</v>
          </cell>
          <cell r="E94" t="str">
            <v>TON</v>
          </cell>
        </row>
        <row r="95">
          <cell r="B95" t="str">
            <v>FORM-TIE 구멍채우기</v>
          </cell>
          <cell r="D95">
            <v>873</v>
          </cell>
          <cell r="E95" t="str">
            <v>EA</v>
          </cell>
        </row>
        <row r="96">
          <cell r="B96" t="str">
            <v>3)유입유량계실</v>
          </cell>
        </row>
        <row r="97">
          <cell r="B97" t="str">
            <v>콘크리트펌프카타설</v>
          </cell>
          <cell r="C97" t="str">
            <v>무근</v>
          </cell>
          <cell r="D97">
            <v>3.57</v>
          </cell>
          <cell r="E97" t="str">
            <v>m3</v>
          </cell>
        </row>
        <row r="98">
          <cell r="B98" t="str">
            <v>콘크리트펌프카타설</v>
          </cell>
          <cell r="C98" t="str">
            <v>철근</v>
          </cell>
          <cell r="D98">
            <v>26.79</v>
          </cell>
          <cell r="E98" t="str">
            <v>m3</v>
          </cell>
        </row>
        <row r="99">
          <cell r="B99" t="str">
            <v>합판거푸집</v>
          </cell>
          <cell r="C99" t="str">
            <v>6회</v>
          </cell>
          <cell r="D99">
            <v>1.98</v>
          </cell>
          <cell r="E99" t="str">
            <v>m2</v>
          </cell>
        </row>
        <row r="100">
          <cell r="B100" t="str">
            <v>합판거푸집</v>
          </cell>
          <cell r="C100" t="str">
            <v>3회</v>
          </cell>
          <cell r="D100">
            <v>37.82</v>
          </cell>
          <cell r="E100" t="str">
            <v>m2</v>
          </cell>
        </row>
        <row r="101">
          <cell r="B101" t="str">
            <v>FORM-TIE</v>
          </cell>
          <cell r="C101" t="str">
            <v>3회 T=300</v>
          </cell>
          <cell r="D101">
            <v>84</v>
          </cell>
          <cell r="E101" t="str">
            <v>m2</v>
          </cell>
        </row>
        <row r="102">
          <cell r="B102" t="str">
            <v>강관동바리(3개월)</v>
          </cell>
          <cell r="C102" t="str">
            <v>4.2M이하</v>
          </cell>
          <cell r="D102">
            <v>40.5</v>
          </cell>
          <cell r="E102" t="str">
            <v>공/m3</v>
          </cell>
        </row>
        <row r="103">
          <cell r="B103" t="str">
            <v>강관비계매기</v>
          </cell>
          <cell r="C103" t="str">
            <v>3개월</v>
          </cell>
          <cell r="D103">
            <v>97.2</v>
          </cell>
          <cell r="E103" t="str">
            <v>m2</v>
          </cell>
        </row>
        <row r="104">
          <cell r="B104" t="str">
            <v>모체침투성방수</v>
          </cell>
          <cell r="D104">
            <v>58.38</v>
          </cell>
          <cell r="E104" t="str">
            <v>m2</v>
          </cell>
        </row>
        <row r="105">
          <cell r="B105" t="str">
            <v>지수판설치</v>
          </cell>
          <cell r="C105" t="str">
            <v>B=230,T=5MM</v>
          </cell>
          <cell r="D105">
            <v>16.2</v>
          </cell>
          <cell r="E105" t="str">
            <v>m</v>
          </cell>
        </row>
        <row r="106">
          <cell r="B106" t="str">
            <v>양 생</v>
          </cell>
          <cell r="C106" t="str">
            <v>비닐</v>
          </cell>
          <cell r="D106">
            <v>29.46</v>
          </cell>
          <cell r="E106" t="str">
            <v>m2</v>
          </cell>
        </row>
        <row r="107">
          <cell r="B107" t="str">
            <v>시공이음면정리</v>
          </cell>
          <cell r="D107">
            <v>4.8600000000000003</v>
          </cell>
          <cell r="E107" t="str">
            <v>m2</v>
          </cell>
        </row>
        <row r="108">
          <cell r="B108" t="str">
            <v>FORM-TIE 구멍채우기</v>
          </cell>
          <cell r="D108">
            <v>90</v>
          </cell>
          <cell r="E108" t="str">
            <v>EA</v>
          </cell>
        </row>
        <row r="109">
          <cell r="B109" t="str">
            <v>사다리설치</v>
          </cell>
          <cell r="C109" t="str">
            <v>A-TYPE</v>
          </cell>
          <cell r="D109">
            <v>51</v>
          </cell>
          <cell r="E109" t="str">
            <v>EA</v>
          </cell>
        </row>
        <row r="110">
          <cell r="B110" t="str">
            <v>철근가공및조립</v>
          </cell>
          <cell r="C110" t="str">
            <v>복잡</v>
          </cell>
          <cell r="D110">
            <v>2.9009999999999998</v>
          </cell>
          <cell r="E110" t="str">
            <v>TON</v>
          </cell>
        </row>
        <row r="111">
          <cell r="B111" t="str">
            <v>슬리브</v>
          </cell>
          <cell r="C111" t="str">
            <v>D=500,T=300</v>
          </cell>
          <cell r="D111">
            <v>2</v>
          </cell>
          <cell r="E111" t="str">
            <v>EA</v>
          </cell>
        </row>
        <row r="112">
          <cell r="B112" t="str">
            <v>PC PILE항타</v>
          </cell>
          <cell r="C112" t="str">
            <v>천공후항타</v>
          </cell>
          <cell r="D112">
            <v>4</v>
          </cell>
          <cell r="E112" t="str">
            <v>본</v>
          </cell>
        </row>
        <row r="113">
          <cell r="B113" t="str">
            <v>말뚝박기용천공</v>
          </cell>
          <cell r="C113" t="str">
            <v>토사</v>
          </cell>
          <cell r="D113">
            <v>28</v>
          </cell>
          <cell r="E113" t="str">
            <v>m</v>
          </cell>
        </row>
        <row r="114">
          <cell r="B114" t="str">
            <v>PC 파일두부보강</v>
          </cell>
          <cell r="C114" t="str">
            <v>T=400,L=7.0M</v>
          </cell>
          <cell r="D114">
            <v>4</v>
          </cell>
          <cell r="E114" t="str">
            <v>본</v>
          </cell>
        </row>
        <row r="115">
          <cell r="B115" t="str">
            <v>무늬철판뚜껑</v>
          </cell>
          <cell r="C115" t="str">
            <v>1222*1222</v>
          </cell>
          <cell r="D115">
            <v>1</v>
          </cell>
          <cell r="E115" t="str">
            <v>EA</v>
          </cell>
        </row>
        <row r="116">
          <cell r="B116" t="str">
            <v>4)최초침전지분배조</v>
          </cell>
        </row>
        <row r="117">
          <cell r="B117" t="str">
            <v>콘크리트펌프카타설</v>
          </cell>
          <cell r="C117" t="str">
            <v>무근</v>
          </cell>
          <cell r="D117">
            <v>6.84</v>
          </cell>
          <cell r="E117" t="str">
            <v>m3</v>
          </cell>
        </row>
        <row r="118">
          <cell r="B118" t="str">
            <v>콘크리트펌프카타설</v>
          </cell>
          <cell r="C118" t="str">
            <v>철근</v>
          </cell>
          <cell r="D118">
            <v>107.27</v>
          </cell>
          <cell r="E118" t="str">
            <v>m3</v>
          </cell>
        </row>
        <row r="119">
          <cell r="B119" t="str">
            <v>합판거푸집</v>
          </cell>
          <cell r="C119" t="str">
            <v>6회</v>
          </cell>
          <cell r="D119">
            <v>4.28</v>
          </cell>
          <cell r="E119" t="str">
            <v>m2</v>
          </cell>
        </row>
        <row r="120">
          <cell r="B120" t="str">
            <v>합판거푸집</v>
          </cell>
          <cell r="C120" t="str">
            <v>3회</v>
          </cell>
          <cell r="D120">
            <v>169.13</v>
          </cell>
          <cell r="E120" t="str">
            <v>m2</v>
          </cell>
        </row>
        <row r="121">
          <cell r="B121" t="str">
            <v>FORM-TIE</v>
          </cell>
          <cell r="C121" t="str">
            <v>3회 T=400</v>
          </cell>
          <cell r="D121">
            <v>218.25</v>
          </cell>
          <cell r="E121" t="str">
            <v>m2</v>
          </cell>
        </row>
        <row r="122">
          <cell r="B122" t="str">
            <v>FORM-TIE</v>
          </cell>
          <cell r="C122" t="str">
            <v>3회 T=300</v>
          </cell>
          <cell r="D122">
            <v>53.04</v>
          </cell>
          <cell r="E122" t="str">
            <v>m2</v>
          </cell>
        </row>
        <row r="123">
          <cell r="B123" t="str">
            <v>강관동바리(3개월)</v>
          </cell>
          <cell r="C123" t="str">
            <v>4.2M이상</v>
          </cell>
          <cell r="D123">
            <v>64.87</v>
          </cell>
          <cell r="E123" t="str">
            <v>공/m3</v>
          </cell>
        </row>
        <row r="124">
          <cell r="B124" t="str">
            <v>강관동바리(3개월)</v>
          </cell>
          <cell r="C124" t="str">
            <v>4.2M이하</v>
          </cell>
          <cell r="D124">
            <v>61.94</v>
          </cell>
          <cell r="E124" t="str">
            <v>공/m3</v>
          </cell>
        </row>
        <row r="125">
          <cell r="B125" t="str">
            <v>강관비계매기</v>
          </cell>
          <cell r="C125" t="str">
            <v>3개월</v>
          </cell>
          <cell r="D125">
            <v>97.2</v>
          </cell>
          <cell r="E125" t="str">
            <v>m2</v>
          </cell>
        </row>
        <row r="126">
          <cell r="B126" t="str">
            <v>모체침투성방수</v>
          </cell>
          <cell r="D126">
            <v>58.38</v>
          </cell>
          <cell r="E126" t="str">
            <v>m2</v>
          </cell>
        </row>
        <row r="127">
          <cell r="B127" t="str">
            <v>아스팔트방수</v>
          </cell>
          <cell r="C127" t="str">
            <v>2회</v>
          </cell>
          <cell r="D127">
            <v>118.93</v>
          </cell>
          <cell r="E127" t="str">
            <v>m2</v>
          </cell>
        </row>
        <row r="128">
          <cell r="B128" t="str">
            <v>에폭시방수</v>
          </cell>
          <cell r="D128">
            <v>54.43</v>
          </cell>
          <cell r="E128" t="str">
            <v>m2</v>
          </cell>
        </row>
        <row r="129">
          <cell r="B129" t="str">
            <v>지수판설치</v>
          </cell>
          <cell r="C129" t="str">
            <v>B=230,T=5MM</v>
          </cell>
          <cell r="D129">
            <v>16.2</v>
          </cell>
          <cell r="E129" t="str">
            <v>m</v>
          </cell>
        </row>
        <row r="130">
          <cell r="B130" t="str">
            <v>양 생</v>
          </cell>
          <cell r="C130" t="str">
            <v>비닐</v>
          </cell>
          <cell r="D130">
            <v>23.29</v>
          </cell>
          <cell r="E130" t="str">
            <v>m2</v>
          </cell>
        </row>
        <row r="131">
          <cell r="B131" t="str">
            <v>시공이음면정리</v>
          </cell>
          <cell r="D131">
            <v>18.43</v>
          </cell>
          <cell r="E131" t="str">
            <v>m2</v>
          </cell>
        </row>
        <row r="132">
          <cell r="B132" t="str">
            <v>난간(STS)</v>
          </cell>
          <cell r="C132" t="str">
            <v>수평(1.2M)</v>
          </cell>
          <cell r="D132">
            <v>9.17</v>
          </cell>
          <cell r="E132" t="str">
            <v>스판</v>
          </cell>
        </row>
        <row r="133">
          <cell r="B133" t="str">
            <v>난간(STS)</v>
          </cell>
          <cell r="C133" t="str">
            <v>경사(0.9M)</v>
          </cell>
          <cell r="D133">
            <v>10.33</v>
          </cell>
          <cell r="E133" t="str">
            <v>스판</v>
          </cell>
        </row>
        <row r="134">
          <cell r="B134" t="str">
            <v>사다리설치</v>
          </cell>
          <cell r="C134" t="str">
            <v>A-TYPE</v>
          </cell>
          <cell r="D134">
            <v>40</v>
          </cell>
          <cell r="E134" t="str">
            <v>EA</v>
          </cell>
        </row>
        <row r="135">
          <cell r="B135" t="str">
            <v>PVC PIPE T S 접합</v>
          </cell>
          <cell r="C135" t="str">
            <v>D=100M/M</v>
          </cell>
          <cell r="D135">
            <v>0.4</v>
          </cell>
          <cell r="E135" t="str">
            <v>m</v>
          </cell>
        </row>
        <row r="136">
          <cell r="B136" t="str">
            <v>출입문설치</v>
          </cell>
          <cell r="C136" t="str">
            <v>900*2100</v>
          </cell>
          <cell r="D136">
            <v>1.89</v>
          </cell>
          <cell r="E136" t="str">
            <v>m2</v>
          </cell>
        </row>
        <row r="137">
          <cell r="B137" t="str">
            <v>철근가공및조립</v>
          </cell>
          <cell r="C137" t="str">
            <v>복잡</v>
          </cell>
          <cell r="D137">
            <v>11.427</v>
          </cell>
          <cell r="E137" t="str">
            <v>TON</v>
          </cell>
        </row>
        <row r="138">
          <cell r="A138">
            <v>13</v>
          </cell>
          <cell r="B138" t="str">
            <v>FORM-TIE 구멍채우기</v>
          </cell>
          <cell r="D138">
            <v>290</v>
          </cell>
          <cell r="E138" t="str">
            <v>EA</v>
          </cell>
        </row>
        <row r="139">
          <cell r="B139" t="str">
            <v>슬리브</v>
          </cell>
          <cell r="C139" t="str">
            <v>D=300,T=300</v>
          </cell>
          <cell r="D139">
            <v>2</v>
          </cell>
          <cell r="E139" t="str">
            <v>EA</v>
          </cell>
        </row>
        <row r="140">
          <cell r="B140" t="str">
            <v>슬리브</v>
          </cell>
          <cell r="C140" t="str">
            <v>D=400,T=300</v>
          </cell>
          <cell r="D140">
            <v>1</v>
          </cell>
          <cell r="E140" t="str">
            <v>EA</v>
          </cell>
        </row>
        <row r="141">
          <cell r="B141" t="str">
            <v>PC PILE항타</v>
          </cell>
          <cell r="C141" t="str">
            <v>천공후항타</v>
          </cell>
          <cell r="D141">
            <v>9</v>
          </cell>
          <cell r="E141" t="str">
            <v>본</v>
          </cell>
        </row>
        <row r="142">
          <cell r="B142" t="str">
            <v>말뚝박기용천공</v>
          </cell>
          <cell r="C142" t="str">
            <v>토사</v>
          </cell>
          <cell r="D142">
            <v>45</v>
          </cell>
          <cell r="E142" t="str">
            <v>m</v>
          </cell>
        </row>
        <row r="143">
          <cell r="B143" t="str">
            <v>PC 파일두부보강</v>
          </cell>
          <cell r="C143" t="str">
            <v>T=500,L=5.0M</v>
          </cell>
          <cell r="D143">
            <v>9</v>
          </cell>
          <cell r="E143" t="str">
            <v>본</v>
          </cell>
        </row>
        <row r="144">
          <cell r="B144" t="str">
            <v>5)최초침전지</v>
          </cell>
        </row>
        <row r="145">
          <cell r="B145" t="str">
            <v>콘크리트펌프카타설</v>
          </cell>
          <cell r="C145" t="str">
            <v>무근</v>
          </cell>
          <cell r="D145">
            <v>57.44</v>
          </cell>
          <cell r="E145" t="str">
            <v>m3</v>
          </cell>
        </row>
        <row r="146">
          <cell r="B146" t="str">
            <v>콘크리트펌프카타설</v>
          </cell>
          <cell r="C146" t="str">
            <v>철근</v>
          </cell>
          <cell r="D146">
            <v>250.78</v>
          </cell>
          <cell r="E146" t="str">
            <v>m3</v>
          </cell>
        </row>
        <row r="147">
          <cell r="B147" t="str">
            <v>합판거푸집</v>
          </cell>
          <cell r="C147" t="str">
            <v>6회</v>
          </cell>
          <cell r="D147">
            <v>78.12</v>
          </cell>
          <cell r="E147" t="str">
            <v>m2</v>
          </cell>
        </row>
        <row r="148">
          <cell r="B148" t="str">
            <v>합판거푸집</v>
          </cell>
          <cell r="C148" t="str">
            <v>3회</v>
          </cell>
          <cell r="D148">
            <v>32.619999999999997</v>
          </cell>
          <cell r="E148" t="str">
            <v>m2</v>
          </cell>
        </row>
        <row r="149">
          <cell r="B149" t="str">
            <v>원형거푸집</v>
          </cell>
          <cell r="C149" t="str">
            <v>3회</v>
          </cell>
          <cell r="D149">
            <v>732.06</v>
          </cell>
          <cell r="E149" t="str">
            <v>m2</v>
          </cell>
        </row>
        <row r="150">
          <cell r="B150" t="str">
            <v>강관동바리(3개월)</v>
          </cell>
          <cell r="C150" t="str">
            <v>4.2M이하</v>
          </cell>
          <cell r="D150">
            <v>84.4</v>
          </cell>
          <cell r="E150" t="str">
            <v>공/m3</v>
          </cell>
        </row>
        <row r="151">
          <cell r="B151" t="str">
            <v>강관비계매기</v>
          </cell>
          <cell r="C151" t="str">
            <v>3개월</v>
          </cell>
          <cell r="D151">
            <v>382.64</v>
          </cell>
          <cell r="E151" t="str">
            <v>m2</v>
          </cell>
        </row>
        <row r="152">
          <cell r="B152" t="str">
            <v>에폭시방수</v>
          </cell>
          <cell r="D152">
            <v>639.88</v>
          </cell>
          <cell r="E152" t="str">
            <v>m2</v>
          </cell>
        </row>
        <row r="153">
          <cell r="B153" t="str">
            <v>지수판설치</v>
          </cell>
          <cell r="C153" t="str">
            <v>B=230,T=5MM</v>
          </cell>
          <cell r="D153">
            <v>73.52</v>
          </cell>
          <cell r="E153" t="str">
            <v>m</v>
          </cell>
        </row>
        <row r="154">
          <cell r="B154" t="str">
            <v>양 생</v>
          </cell>
          <cell r="C154" t="str">
            <v>비닐</v>
          </cell>
          <cell r="D154">
            <v>100.4</v>
          </cell>
          <cell r="E154" t="str">
            <v>m2</v>
          </cell>
        </row>
        <row r="155">
          <cell r="A155">
            <v>14</v>
          </cell>
          <cell r="B155" t="str">
            <v>시공이음면정리</v>
          </cell>
          <cell r="D155">
            <v>29.4</v>
          </cell>
          <cell r="E155" t="str">
            <v>m2</v>
          </cell>
        </row>
        <row r="156">
          <cell r="B156" t="str">
            <v>사다리설치</v>
          </cell>
          <cell r="C156" t="str">
            <v>A-TYPE</v>
          </cell>
          <cell r="D156">
            <v>14</v>
          </cell>
          <cell r="E156" t="str">
            <v>EA</v>
          </cell>
        </row>
        <row r="157">
          <cell r="B157" t="str">
            <v>철근가공및조립</v>
          </cell>
          <cell r="C157" t="str">
            <v>복잡</v>
          </cell>
          <cell r="D157">
            <v>29.954000000000001</v>
          </cell>
          <cell r="E157" t="str">
            <v>TON</v>
          </cell>
        </row>
        <row r="158">
          <cell r="B158" t="str">
            <v>V-NOTCH 웨어</v>
          </cell>
          <cell r="D158">
            <v>64.08</v>
          </cell>
          <cell r="E158" t="str">
            <v>m</v>
          </cell>
        </row>
        <row r="159">
          <cell r="B159" t="str">
            <v>BAFFLE 웨어</v>
          </cell>
          <cell r="D159">
            <v>59.7</v>
          </cell>
          <cell r="E159" t="str">
            <v>m</v>
          </cell>
        </row>
        <row r="160">
          <cell r="B160" t="str">
            <v>PC PILE항타</v>
          </cell>
          <cell r="C160" t="str">
            <v>천공후항타</v>
          </cell>
          <cell r="D160">
            <v>48</v>
          </cell>
          <cell r="E160" t="str">
            <v>본</v>
          </cell>
        </row>
        <row r="161">
          <cell r="B161" t="str">
            <v>말뚝박기용천공</v>
          </cell>
          <cell r="C161" t="str">
            <v>토사</v>
          </cell>
          <cell r="D161">
            <v>416</v>
          </cell>
          <cell r="E161" t="str">
            <v>m</v>
          </cell>
        </row>
        <row r="162">
          <cell r="B162" t="str">
            <v>PC 파일두부보강</v>
          </cell>
          <cell r="C162" t="str">
            <v>T=500,L=7.0M</v>
          </cell>
          <cell r="D162">
            <v>8</v>
          </cell>
          <cell r="E162" t="str">
            <v>본</v>
          </cell>
        </row>
        <row r="163">
          <cell r="B163" t="str">
            <v>PC 파일두부보강</v>
          </cell>
          <cell r="C163" t="str">
            <v>T=500,L=9.0M</v>
          </cell>
          <cell r="D163">
            <v>40</v>
          </cell>
          <cell r="E163" t="str">
            <v>본</v>
          </cell>
        </row>
        <row r="164">
          <cell r="B164" t="str">
            <v>슬리브</v>
          </cell>
          <cell r="C164" t="str">
            <v>D=400,T=200</v>
          </cell>
          <cell r="D164">
            <v>2</v>
          </cell>
          <cell r="E164" t="str">
            <v>EA</v>
          </cell>
        </row>
        <row r="165">
          <cell r="B165" t="str">
            <v>6)스컴분리대</v>
          </cell>
        </row>
        <row r="166">
          <cell r="B166" t="str">
            <v>콘크리트펌프카타설</v>
          </cell>
          <cell r="C166" t="str">
            <v>무근</v>
          </cell>
          <cell r="D166">
            <v>2.96</v>
          </cell>
          <cell r="E166" t="str">
            <v>m3</v>
          </cell>
        </row>
        <row r="167">
          <cell r="B167" t="str">
            <v>콘크리트펌프카타설</v>
          </cell>
          <cell r="C167" t="str">
            <v>철근</v>
          </cell>
          <cell r="D167">
            <v>26.64</v>
          </cell>
          <cell r="E167" t="str">
            <v>m3</v>
          </cell>
        </row>
        <row r="168">
          <cell r="B168" t="str">
            <v>합판거푸집</v>
          </cell>
          <cell r="C168" t="str">
            <v>6회</v>
          </cell>
          <cell r="D168">
            <v>2.44</v>
          </cell>
          <cell r="E168" t="str">
            <v>m2</v>
          </cell>
        </row>
        <row r="169">
          <cell r="B169" t="str">
            <v>합판거푸집</v>
          </cell>
          <cell r="C169" t="str">
            <v>3회</v>
          </cell>
          <cell r="D169">
            <v>232.72</v>
          </cell>
          <cell r="E169" t="str">
            <v>m2</v>
          </cell>
        </row>
        <row r="170">
          <cell r="B170" t="str">
            <v>강관동바리(3개월)</v>
          </cell>
          <cell r="C170" t="str">
            <v>4.2M이하</v>
          </cell>
          <cell r="D170">
            <v>7.36</v>
          </cell>
          <cell r="E170" t="str">
            <v>공/m3</v>
          </cell>
        </row>
        <row r="171">
          <cell r="B171" t="str">
            <v>강관비계매기</v>
          </cell>
          <cell r="C171" t="str">
            <v>3개월</v>
          </cell>
          <cell r="D171">
            <v>112.48</v>
          </cell>
          <cell r="E171" t="str">
            <v>m2</v>
          </cell>
        </row>
        <row r="172">
          <cell r="A172">
            <v>18</v>
          </cell>
          <cell r="B172" t="str">
            <v>에폭시방수</v>
          </cell>
          <cell r="D172">
            <v>64.78</v>
          </cell>
          <cell r="E172" t="str">
            <v>m2</v>
          </cell>
        </row>
        <row r="173">
          <cell r="B173" t="str">
            <v>지수판설치</v>
          </cell>
          <cell r="C173" t="str">
            <v>B=230,T=5MM</v>
          </cell>
          <cell r="D173">
            <v>27.6</v>
          </cell>
          <cell r="E173" t="str">
            <v>m</v>
          </cell>
        </row>
        <row r="174">
          <cell r="B174" t="str">
            <v>양 생</v>
          </cell>
          <cell r="C174" t="str">
            <v>비닐</v>
          </cell>
          <cell r="D174">
            <v>42.72</v>
          </cell>
          <cell r="E174" t="str">
            <v>m2</v>
          </cell>
        </row>
        <row r="175">
          <cell r="B175" t="str">
            <v>시공이음면정리</v>
          </cell>
          <cell r="D175">
            <v>4.88</v>
          </cell>
          <cell r="E175" t="str">
            <v>m2</v>
          </cell>
        </row>
        <row r="176">
          <cell r="B176" t="str">
            <v>사다리설치</v>
          </cell>
          <cell r="C176" t="str">
            <v>A-TYPE</v>
          </cell>
          <cell r="D176">
            <v>24</v>
          </cell>
          <cell r="E176" t="str">
            <v>EA</v>
          </cell>
        </row>
        <row r="177">
          <cell r="B177" t="str">
            <v>모래채움</v>
          </cell>
          <cell r="D177">
            <v>7.32</v>
          </cell>
          <cell r="E177" t="str">
            <v>m3</v>
          </cell>
        </row>
        <row r="178">
          <cell r="B178" t="str">
            <v>철근가공및조립</v>
          </cell>
          <cell r="C178" t="str">
            <v>복잡</v>
          </cell>
          <cell r="D178">
            <v>3.6019999999999999</v>
          </cell>
          <cell r="E178" t="str">
            <v>TON</v>
          </cell>
        </row>
        <row r="179">
          <cell r="B179" t="str">
            <v>슬리브</v>
          </cell>
          <cell r="C179" t="str">
            <v>D=200,T=200</v>
          </cell>
          <cell r="D179">
            <v>2</v>
          </cell>
          <cell r="E179" t="str">
            <v>EA</v>
          </cell>
        </row>
        <row r="180">
          <cell r="B180" t="str">
            <v>PVC PIPE T S 접합</v>
          </cell>
          <cell r="C180" t="str">
            <v>D=100M/M</v>
          </cell>
          <cell r="D180">
            <v>0.4</v>
          </cell>
          <cell r="E180" t="str">
            <v>m</v>
          </cell>
        </row>
        <row r="181">
          <cell r="B181" t="str">
            <v>PC PILE항타</v>
          </cell>
          <cell r="C181" t="str">
            <v>천공후항타</v>
          </cell>
          <cell r="D181">
            <v>4</v>
          </cell>
          <cell r="E181" t="str">
            <v>본</v>
          </cell>
        </row>
        <row r="182">
          <cell r="B182" t="str">
            <v>말뚝박기용천공</v>
          </cell>
          <cell r="C182" t="str">
            <v>토사</v>
          </cell>
          <cell r="D182">
            <v>32</v>
          </cell>
          <cell r="E182" t="str">
            <v>m</v>
          </cell>
        </row>
        <row r="183">
          <cell r="B183" t="str">
            <v>PC 파일두부보강</v>
          </cell>
          <cell r="C183" t="str">
            <v>T=300,L=8.0M</v>
          </cell>
          <cell r="D183">
            <v>4</v>
          </cell>
          <cell r="E183" t="str">
            <v>본</v>
          </cell>
        </row>
        <row r="184">
          <cell r="B184" t="str">
            <v>7)R.B.C 분배조</v>
          </cell>
        </row>
        <row r="185">
          <cell r="B185" t="str">
            <v>콘크리트펌프카타설</v>
          </cell>
          <cell r="C185" t="str">
            <v>무근</v>
          </cell>
          <cell r="D185">
            <v>25.02</v>
          </cell>
          <cell r="E185" t="str">
            <v>m3</v>
          </cell>
        </row>
        <row r="186">
          <cell r="B186" t="str">
            <v>콘크리트펌프카타설</v>
          </cell>
          <cell r="C186" t="str">
            <v>철근</v>
          </cell>
          <cell r="D186">
            <v>123.15</v>
          </cell>
          <cell r="E186" t="str">
            <v>m3</v>
          </cell>
        </row>
        <row r="187">
          <cell r="B187" t="str">
            <v>합판거푸집</v>
          </cell>
          <cell r="C187" t="str">
            <v>6회</v>
          </cell>
          <cell r="D187">
            <v>11.34</v>
          </cell>
          <cell r="E187" t="str">
            <v>m2</v>
          </cell>
        </row>
        <row r="188">
          <cell r="B188" t="str">
            <v>합판거푸집</v>
          </cell>
          <cell r="C188" t="str">
            <v>3회</v>
          </cell>
          <cell r="D188">
            <v>200.23</v>
          </cell>
          <cell r="E188" t="str">
            <v>m2</v>
          </cell>
        </row>
        <row r="189">
          <cell r="A189">
            <v>16</v>
          </cell>
          <cell r="B189" t="str">
            <v>FORM-TIE</v>
          </cell>
          <cell r="C189" t="str">
            <v>3회 T=400</v>
          </cell>
          <cell r="D189">
            <v>139.08000000000001</v>
          </cell>
          <cell r="E189" t="str">
            <v>m2</v>
          </cell>
        </row>
        <row r="190">
          <cell r="B190" t="str">
            <v>FORM-TIE</v>
          </cell>
          <cell r="C190" t="str">
            <v>3회 T=300</v>
          </cell>
          <cell r="D190">
            <v>149.46</v>
          </cell>
          <cell r="E190" t="str">
            <v>m2</v>
          </cell>
        </row>
        <row r="191">
          <cell r="B191" t="str">
            <v>강관동바리(3개월)</v>
          </cell>
          <cell r="C191" t="str">
            <v>4.2M이하</v>
          </cell>
          <cell r="D191">
            <v>153.24</v>
          </cell>
          <cell r="E191" t="str">
            <v>공/m3</v>
          </cell>
        </row>
        <row r="192">
          <cell r="B192" t="str">
            <v>강관비계매기</v>
          </cell>
          <cell r="C192" t="str">
            <v>3개월</v>
          </cell>
          <cell r="D192">
            <v>135.44</v>
          </cell>
          <cell r="E192" t="str">
            <v>m2</v>
          </cell>
        </row>
        <row r="193">
          <cell r="B193" t="str">
            <v>모체침투성방수</v>
          </cell>
          <cell r="D193">
            <v>41.1</v>
          </cell>
          <cell r="E193" t="str">
            <v>m2</v>
          </cell>
        </row>
        <row r="194">
          <cell r="B194" t="str">
            <v>아스팔트방수</v>
          </cell>
          <cell r="C194" t="str">
            <v>2회</v>
          </cell>
          <cell r="D194">
            <v>11.39</v>
          </cell>
          <cell r="E194" t="str">
            <v>m2</v>
          </cell>
        </row>
        <row r="195">
          <cell r="B195" t="str">
            <v>에폭시방수</v>
          </cell>
          <cell r="D195">
            <v>116.2</v>
          </cell>
          <cell r="E195" t="str">
            <v>m2</v>
          </cell>
        </row>
        <row r="196">
          <cell r="B196" t="str">
            <v>지수판설치</v>
          </cell>
          <cell r="C196" t="str">
            <v>B=230,T=5MM</v>
          </cell>
          <cell r="D196">
            <v>48.75</v>
          </cell>
          <cell r="E196" t="str">
            <v>m</v>
          </cell>
        </row>
        <row r="197">
          <cell r="B197" t="str">
            <v>양 생</v>
          </cell>
          <cell r="C197" t="str">
            <v>비닐</v>
          </cell>
          <cell r="D197">
            <v>53.04</v>
          </cell>
          <cell r="E197" t="str">
            <v>m2</v>
          </cell>
        </row>
        <row r="198">
          <cell r="B198" t="str">
            <v>시공이음면정리</v>
          </cell>
          <cell r="D198">
            <v>18.87</v>
          </cell>
          <cell r="E198" t="str">
            <v>m2</v>
          </cell>
        </row>
        <row r="199">
          <cell r="B199" t="str">
            <v>사다리설치</v>
          </cell>
          <cell r="C199" t="str">
            <v>A-TYPE</v>
          </cell>
          <cell r="D199">
            <v>60</v>
          </cell>
          <cell r="E199" t="str">
            <v>EA</v>
          </cell>
        </row>
        <row r="200">
          <cell r="B200" t="str">
            <v>PVC PIPE T S 접합</v>
          </cell>
          <cell r="C200" t="str">
            <v>D=100M/M</v>
          </cell>
          <cell r="D200">
            <v>0.4</v>
          </cell>
          <cell r="E200" t="str">
            <v>m</v>
          </cell>
        </row>
        <row r="201">
          <cell r="B201" t="str">
            <v>PVC PIPE T S 접합</v>
          </cell>
          <cell r="C201" t="str">
            <v>D=150M/M</v>
          </cell>
          <cell r="D201">
            <v>9.6</v>
          </cell>
          <cell r="E201" t="str">
            <v>m</v>
          </cell>
        </row>
        <row r="202">
          <cell r="B202" t="str">
            <v>FORM-TIE 구멍채우기</v>
          </cell>
          <cell r="D202">
            <v>390</v>
          </cell>
          <cell r="E202" t="str">
            <v>EA</v>
          </cell>
        </row>
        <row r="203">
          <cell r="B203" t="str">
            <v>슬리브</v>
          </cell>
          <cell r="C203" t="str">
            <v>D=400,T=300</v>
          </cell>
          <cell r="D203">
            <v>3</v>
          </cell>
          <cell r="E203" t="str">
            <v>EA</v>
          </cell>
        </row>
        <row r="204">
          <cell r="B204" t="str">
            <v>슬리브</v>
          </cell>
          <cell r="C204" t="str">
            <v>D=250,T=300</v>
          </cell>
          <cell r="D204">
            <v>2</v>
          </cell>
          <cell r="E204" t="str">
            <v>EA</v>
          </cell>
        </row>
        <row r="205">
          <cell r="B205" t="str">
            <v>철근가공및조립</v>
          </cell>
          <cell r="C205" t="str">
            <v>복잡</v>
          </cell>
          <cell r="D205">
            <v>9.5640000000000001</v>
          </cell>
          <cell r="E205" t="str">
            <v>TON</v>
          </cell>
        </row>
        <row r="206">
          <cell r="A206">
            <v>17</v>
          </cell>
          <cell r="B206" t="str">
            <v>PC PILE항타</v>
          </cell>
          <cell r="C206" t="str">
            <v>천공후항타</v>
          </cell>
          <cell r="D206">
            <v>12</v>
          </cell>
          <cell r="E206" t="str">
            <v>본</v>
          </cell>
        </row>
        <row r="207">
          <cell r="B207" t="str">
            <v>말뚝박기용천공</v>
          </cell>
          <cell r="C207" t="str">
            <v>토사</v>
          </cell>
          <cell r="D207">
            <v>60</v>
          </cell>
          <cell r="E207" t="str">
            <v>m</v>
          </cell>
        </row>
        <row r="208">
          <cell r="B208" t="str">
            <v>PC 파일두부보강</v>
          </cell>
          <cell r="C208" t="str">
            <v>T=300,L=8.0M</v>
          </cell>
          <cell r="D208">
            <v>12</v>
          </cell>
          <cell r="E208" t="str">
            <v>본</v>
          </cell>
        </row>
        <row r="209">
          <cell r="B209" t="str">
            <v>PLATE 웨어</v>
          </cell>
          <cell r="D209">
            <v>3</v>
          </cell>
          <cell r="E209" t="str">
            <v>m</v>
          </cell>
        </row>
        <row r="210">
          <cell r="B210" t="str">
            <v>8)R.B.C 조</v>
          </cell>
        </row>
        <row r="211">
          <cell r="B211" t="str">
            <v>콘크리트펌프카타설</v>
          </cell>
          <cell r="C211" t="str">
            <v>무근</v>
          </cell>
          <cell r="D211">
            <v>119.52</v>
          </cell>
          <cell r="E211" t="str">
            <v>m3</v>
          </cell>
        </row>
        <row r="212">
          <cell r="B212" t="str">
            <v>콘크리트펌프카타설</v>
          </cell>
          <cell r="C212" t="str">
            <v>철근</v>
          </cell>
          <cell r="D212">
            <v>512.6</v>
          </cell>
          <cell r="E212" t="str">
            <v>m3</v>
          </cell>
        </row>
        <row r="213">
          <cell r="B213" t="str">
            <v>합판거푸집</v>
          </cell>
          <cell r="C213" t="str">
            <v>6회</v>
          </cell>
          <cell r="D213">
            <v>19.2</v>
          </cell>
          <cell r="E213" t="str">
            <v>m2</v>
          </cell>
        </row>
        <row r="214">
          <cell r="B214" t="str">
            <v>합판거푸집</v>
          </cell>
          <cell r="C214" t="str">
            <v>3회</v>
          </cell>
          <cell r="D214">
            <v>1793.98</v>
          </cell>
          <cell r="E214" t="str">
            <v>m2</v>
          </cell>
        </row>
        <row r="215">
          <cell r="B215" t="str">
            <v>강관비계매기</v>
          </cell>
          <cell r="C215" t="str">
            <v>3개월</v>
          </cell>
          <cell r="D215">
            <v>409.06</v>
          </cell>
          <cell r="E215" t="str">
            <v>m2</v>
          </cell>
        </row>
        <row r="216">
          <cell r="B216" t="str">
            <v>강관동바리(3개월)</v>
          </cell>
          <cell r="C216" t="str">
            <v>4.2M이하</v>
          </cell>
          <cell r="D216">
            <v>347.8</v>
          </cell>
          <cell r="E216" t="str">
            <v>공/m3</v>
          </cell>
        </row>
        <row r="217">
          <cell r="B217" t="str">
            <v>에폭시방수</v>
          </cell>
          <cell r="D217">
            <v>1076.68</v>
          </cell>
          <cell r="E217" t="str">
            <v>m2</v>
          </cell>
        </row>
        <row r="218">
          <cell r="B218" t="str">
            <v>지수판설치</v>
          </cell>
          <cell r="C218" t="str">
            <v>B=230,T=5MM</v>
          </cell>
          <cell r="D218">
            <v>159.76</v>
          </cell>
          <cell r="E218" t="str">
            <v>m</v>
          </cell>
        </row>
        <row r="219">
          <cell r="B219" t="str">
            <v>양 생</v>
          </cell>
          <cell r="C219" t="str">
            <v>비닐</v>
          </cell>
          <cell r="D219">
            <v>1023.48</v>
          </cell>
          <cell r="E219" t="str">
            <v>m2</v>
          </cell>
        </row>
        <row r="220">
          <cell r="B220" t="str">
            <v>시공이음면정리</v>
          </cell>
          <cell r="D220">
            <v>93.76</v>
          </cell>
          <cell r="E220" t="str">
            <v>m2</v>
          </cell>
        </row>
        <row r="221">
          <cell r="B221" t="str">
            <v>사다리설치</v>
          </cell>
          <cell r="C221" t="str">
            <v>A-TYPE</v>
          </cell>
          <cell r="D221">
            <v>36</v>
          </cell>
          <cell r="E221" t="str">
            <v>EA</v>
          </cell>
        </row>
        <row r="222">
          <cell r="B222" t="str">
            <v>무늬철판뚜껑</v>
          </cell>
          <cell r="C222" t="str">
            <v>850*850</v>
          </cell>
          <cell r="D222">
            <v>2</v>
          </cell>
          <cell r="E222" t="str">
            <v>EA</v>
          </cell>
        </row>
        <row r="223">
          <cell r="B223" t="str">
            <v>흙채움</v>
          </cell>
          <cell r="C223" t="str">
            <v>인력</v>
          </cell>
          <cell r="D223">
            <v>77.819999999999993</v>
          </cell>
          <cell r="E223" t="str">
            <v>m3</v>
          </cell>
        </row>
        <row r="224">
          <cell r="B224" t="str">
            <v>STOP-LOG</v>
          </cell>
          <cell r="D224">
            <v>4</v>
          </cell>
          <cell r="E224" t="str">
            <v>EA</v>
          </cell>
        </row>
        <row r="225">
          <cell r="B225" t="str">
            <v>슬리브</v>
          </cell>
          <cell r="C225" t="str">
            <v>D=200,T=300</v>
          </cell>
          <cell r="D225">
            <v>8</v>
          </cell>
          <cell r="E225" t="str">
            <v>EA</v>
          </cell>
        </row>
        <row r="226">
          <cell r="B226" t="str">
            <v>슬리브</v>
          </cell>
          <cell r="C226" t="str">
            <v>D=150,T=300</v>
          </cell>
          <cell r="D226">
            <v>2</v>
          </cell>
          <cell r="E226" t="str">
            <v>EA</v>
          </cell>
        </row>
        <row r="227">
          <cell r="B227" t="str">
            <v>슬리브</v>
          </cell>
          <cell r="C227" t="str">
            <v>D=150,T=200</v>
          </cell>
          <cell r="D227">
            <v>4</v>
          </cell>
          <cell r="E227" t="str">
            <v>EA</v>
          </cell>
        </row>
        <row r="228">
          <cell r="B228" t="str">
            <v>PVC PIPE T S 접합</v>
          </cell>
          <cell r="C228" t="str">
            <v>D=150M/M</v>
          </cell>
          <cell r="D228">
            <v>3</v>
          </cell>
          <cell r="E228" t="str">
            <v>m</v>
          </cell>
        </row>
        <row r="229">
          <cell r="B229" t="str">
            <v>철근가공및조립</v>
          </cell>
          <cell r="C229" t="str">
            <v>복잡</v>
          </cell>
          <cell r="D229">
            <v>50.387999999999998</v>
          </cell>
          <cell r="E229" t="str">
            <v>TON</v>
          </cell>
        </row>
        <row r="230">
          <cell r="B230" t="str">
            <v>PC PILE항타</v>
          </cell>
          <cell r="C230" t="str">
            <v>천공후항타</v>
          </cell>
          <cell r="D230">
            <v>12</v>
          </cell>
          <cell r="E230" t="str">
            <v>본</v>
          </cell>
        </row>
        <row r="231">
          <cell r="B231" t="str">
            <v>말뚝박기용천공</v>
          </cell>
          <cell r="C231" t="str">
            <v>토사</v>
          </cell>
          <cell r="D231">
            <v>60</v>
          </cell>
          <cell r="E231" t="str">
            <v>m</v>
          </cell>
        </row>
        <row r="232">
          <cell r="B232" t="str">
            <v>PC 파일두부보강</v>
          </cell>
          <cell r="C232" t="str">
            <v>T=400,L=9.0M</v>
          </cell>
          <cell r="D232">
            <v>108</v>
          </cell>
          <cell r="E232" t="str">
            <v>본</v>
          </cell>
        </row>
        <row r="233">
          <cell r="B233" t="str">
            <v>9)계 단 실</v>
          </cell>
        </row>
        <row r="234">
          <cell r="B234" t="str">
            <v>콘크리트펌프카타설</v>
          </cell>
          <cell r="C234" t="str">
            <v>무근</v>
          </cell>
          <cell r="D234">
            <v>16.05</v>
          </cell>
          <cell r="E234" t="str">
            <v>m3</v>
          </cell>
        </row>
        <row r="235">
          <cell r="B235" t="str">
            <v>콘크리트펌프카타설</v>
          </cell>
          <cell r="C235" t="str">
            <v>철근</v>
          </cell>
          <cell r="D235">
            <v>165.75</v>
          </cell>
          <cell r="E235" t="str">
            <v>m3</v>
          </cell>
        </row>
        <row r="236">
          <cell r="B236" t="str">
            <v>합판거푸집</v>
          </cell>
          <cell r="C236" t="str">
            <v>6회</v>
          </cell>
          <cell r="D236">
            <v>4.13</v>
          </cell>
          <cell r="E236" t="str">
            <v>m2</v>
          </cell>
        </row>
        <row r="237">
          <cell r="B237" t="str">
            <v>합판거푸집</v>
          </cell>
          <cell r="C237" t="str">
            <v>3회</v>
          </cell>
          <cell r="D237">
            <v>208</v>
          </cell>
          <cell r="E237" t="str">
            <v>m2</v>
          </cell>
        </row>
        <row r="238">
          <cell r="B238" t="str">
            <v>FORM-TIE</v>
          </cell>
          <cell r="C238" t="str">
            <v>3회 T=400</v>
          </cell>
          <cell r="D238">
            <v>425.65</v>
          </cell>
          <cell r="E238" t="str">
            <v>m2</v>
          </cell>
        </row>
        <row r="239">
          <cell r="B239" t="str">
            <v>강관동바리(3개월)</v>
          </cell>
          <cell r="C239" t="str">
            <v>4.2M이상</v>
          </cell>
          <cell r="D239">
            <v>146.69999999999999</v>
          </cell>
          <cell r="E239" t="str">
            <v>공/m3</v>
          </cell>
        </row>
        <row r="240">
          <cell r="B240" t="str">
            <v>강관동바리(3개월)</v>
          </cell>
          <cell r="C240" t="str">
            <v>4.2M이하</v>
          </cell>
          <cell r="D240">
            <v>93.22</v>
          </cell>
          <cell r="E240" t="str">
            <v>공/m3</v>
          </cell>
        </row>
        <row r="241">
          <cell r="B241" t="str">
            <v>강관비계매기</v>
          </cell>
          <cell r="C241" t="str">
            <v>3개월</v>
          </cell>
          <cell r="D241">
            <v>285.37</v>
          </cell>
          <cell r="E241" t="str">
            <v>m2</v>
          </cell>
        </row>
        <row r="242">
          <cell r="B242" t="str">
            <v>모체침투성방수</v>
          </cell>
          <cell r="D242">
            <v>61.9</v>
          </cell>
          <cell r="E242" t="str">
            <v>m2</v>
          </cell>
        </row>
        <row r="243">
          <cell r="B243" t="str">
            <v>아스팔트방수</v>
          </cell>
          <cell r="C243" t="str">
            <v>2회</v>
          </cell>
          <cell r="D243">
            <v>241.3</v>
          </cell>
          <cell r="E243" t="str">
            <v>m2</v>
          </cell>
        </row>
        <row r="244">
          <cell r="B244" t="str">
            <v>지수판설치</v>
          </cell>
          <cell r="C244" t="str">
            <v>B=230,T=5MM</v>
          </cell>
          <cell r="D244">
            <v>72.2</v>
          </cell>
          <cell r="E244" t="str">
            <v>m</v>
          </cell>
        </row>
        <row r="245">
          <cell r="B245" t="str">
            <v>양 생</v>
          </cell>
          <cell r="C245" t="str">
            <v>비닐</v>
          </cell>
          <cell r="D245">
            <v>79.33</v>
          </cell>
          <cell r="E245" t="str">
            <v>m2</v>
          </cell>
        </row>
        <row r="246">
          <cell r="B246" t="str">
            <v>시공이음면정리</v>
          </cell>
          <cell r="D246">
            <v>37.22</v>
          </cell>
          <cell r="E246" t="str">
            <v>m2</v>
          </cell>
        </row>
        <row r="247">
          <cell r="B247" t="str">
            <v>난간(STS)</v>
          </cell>
          <cell r="C247" t="str">
            <v>경사(0.9M)</v>
          </cell>
          <cell r="D247">
            <v>11.38</v>
          </cell>
          <cell r="E247" t="str">
            <v>스판</v>
          </cell>
        </row>
        <row r="248">
          <cell r="B248" t="str">
            <v>출입문설치</v>
          </cell>
          <cell r="C248" t="str">
            <v>900*2100</v>
          </cell>
          <cell r="D248">
            <v>1.89</v>
          </cell>
          <cell r="E248" t="str">
            <v>m2</v>
          </cell>
        </row>
        <row r="249">
          <cell r="B249" t="str">
            <v>FORM-TIE 구멍채우기</v>
          </cell>
          <cell r="D249">
            <v>456</v>
          </cell>
          <cell r="E249" t="str">
            <v>EA</v>
          </cell>
        </row>
        <row r="250">
          <cell r="B250" t="str">
            <v>슬리브</v>
          </cell>
          <cell r="C250" t="str">
            <v>D=400,T=400</v>
          </cell>
          <cell r="D250">
            <v>2</v>
          </cell>
          <cell r="E250" t="str">
            <v>EA</v>
          </cell>
        </row>
        <row r="251">
          <cell r="B251" t="str">
            <v>철근가공및조립</v>
          </cell>
          <cell r="C251" t="str">
            <v>복잡</v>
          </cell>
          <cell r="D251">
            <v>22.140999999999998</v>
          </cell>
          <cell r="E251" t="str">
            <v>TON</v>
          </cell>
        </row>
        <row r="252">
          <cell r="B252" t="str">
            <v>PC PILE항타</v>
          </cell>
          <cell r="C252" t="str">
            <v>천공후항타</v>
          </cell>
          <cell r="D252">
            <v>21</v>
          </cell>
          <cell r="E252" t="str">
            <v>본</v>
          </cell>
        </row>
        <row r="253">
          <cell r="B253" t="str">
            <v>말뚝박기용천공</v>
          </cell>
          <cell r="C253" t="str">
            <v>토사</v>
          </cell>
          <cell r="D253">
            <v>84</v>
          </cell>
          <cell r="E253" t="str">
            <v>m</v>
          </cell>
        </row>
        <row r="254">
          <cell r="B254" t="str">
            <v>PC 파일두부보강</v>
          </cell>
          <cell r="C254" t="str">
            <v>T=500,L=4.0M</v>
          </cell>
          <cell r="D254">
            <v>21</v>
          </cell>
          <cell r="E254" t="str">
            <v>본</v>
          </cell>
        </row>
        <row r="255">
          <cell r="B255" t="str">
            <v>10)최종침전지</v>
          </cell>
        </row>
        <row r="256">
          <cell r="B256" t="str">
            <v>콘크리트펌프카타설</v>
          </cell>
          <cell r="C256" t="str">
            <v>무근</v>
          </cell>
          <cell r="D256">
            <v>60.08</v>
          </cell>
          <cell r="E256" t="str">
            <v>m3</v>
          </cell>
        </row>
        <row r="257">
          <cell r="B257" t="str">
            <v>콘크리트펌프카타설</v>
          </cell>
          <cell r="C257" t="str">
            <v>철근</v>
          </cell>
          <cell r="D257">
            <v>297.12</v>
          </cell>
          <cell r="E257" t="str">
            <v>m3</v>
          </cell>
        </row>
        <row r="258">
          <cell r="B258" t="str">
            <v>합판거푸집</v>
          </cell>
          <cell r="C258" t="str">
            <v>6회</v>
          </cell>
          <cell r="D258">
            <v>82.12</v>
          </cell>
          <cell r="E258" t="str">
            <v>m2</v>
          </cell>
        </row>
        <row r="259">
          <cell r="B259" t="str">
            <v>합판거푸집</v>
          </cell>
          <cell r="C259" t="str">
            <v>3회</v>
          </cell>
          <cell r="D259">
            <v>32.619999999999997</v>
          </cell>
          <cell r="E259" t="str">
            <v>m2</v>
          </cell>
        </row>
        <row r="260">
          <cell r="B260" t="str">
            <v>원형거푸집</v>
          </cell>
          <cell r="C260" t="str">
            <v>3회</v>
          </cell>
          <cell r="D260">
            <v>857.96</v>
          </cell>
          <cell r="E260" t="str">
            <v>m2</v>
          </cell>
        </row>
        <row r="261">
          <cell r="B261" t="str">
            <v>강관동바리(3개월)</v>
          </cell>
          <cell r="C261" t="str">
            <v>4.2M이상</v>
          </cell>
          <cell r="D261">
            <v>149.69999999999999</v>
          </cell>
          <cell r="E261" t="str">
            <v>공/m3</v>
          </cell>
        </row>
        <row r="262">
          <cell r="B262" t="str">
            <v>강관비계매기</v>
          </cell>
          <cell r="C262" t="str">
            <v>3개월</v>
          </cell>
          <cell r="D262">
            <v>450.88</v>
          </cell>
          <cell r="E262" t="str">
            <v>m2</v>
          </cell>
        </row>
        <row r="263">
          <cell r="B263" t="str">
            <v>에폭시방수</v>
          </cell>
          <cell r="D263">
            <v>747.62</v>
          </cell>
          <cell r="E263" t="str">
            <v>m2</v>
          </cell>
        </row>
        <row r="264">
          <cell r="B264" t="str">
            <v>지수판설치</v>
          </cell>
          <cell r="C264" t="str">
            <v>B=230,T=5MM</v>
          </cell>
          <cell r="D264">
            <v>80.42</v>
          </cell>
          <cell r="E264" t="str">
            <v>m</v>
          </cell>
        </row>
        <row r="265">
          <cell r="B265" t="str">
            <v>양 생</v>
          </cell>
          <cell r="C265" t="str">
            <v>비닐</v>
          </cell>
          <cell r="D265">
            <v>110</v>
          </cell>
          <cell r="E265" t="str">
            <v>m2</v>
          </cell>
        </row>
        <row r="266">
          <cell r="B266" t="str">
            <v>시공이음면정리</v>
          </cell>
          <cell r="D266">
            <v>32.159999999999997</v>
          </cell>
          <cell r="E266" t="str">
            <v>m2</v>
          </cell>
        </row>
        <row r="267">
          <cell r="B267" t="str">
            <v>사다리설치</v>
          </cell>
          <cell r="C267" t="str">
            <v>A-TYPE</v>
          </cell>
          <cell r="D267">
            <v>14</v>
          </cell>
          <cell r="E267" t="str">
            <v>EA</v>
          </cell>
        </row>
        <row r="268">
          <cell r="B268" t="str">
            <v>철근가공및조립</v>
          </cell>
          <cell r="C268" t="str">
            <v>복잡</v>
          </cell>
          <cell r="D268">
            <v>35.357999999999997</v>
          </cell>
          <cell r="E268" t="str">
            <v>TON</v>
          </cell>
        </row>
        <row r="269">
          <cell r="B269" t="str">
            <v>V-NOTCH 웨어</v>
          </cell>
          <cell r="D269">
            <v>71</v>
          </cell>
          <cell r="E269" t="str">
            <v>m</v>
          </cell>
        </row>
        <row r="270">
          <cell r="B270" t="str">
            <v>슬리브</v>
          </cell>
          <cell r="C270" t="str">
            <v>D=250,T=200</v>
          </cell>
          <cell r="D270">
            <v>2</v>
          </cell>
          <cell r="E270" t="str">
            <v>EA</v>
          </cell>
        </row>
        <row r="271">
          <cell r="B271" t="str">
            <v>PC PILE항타</v>
          </cell>
          <cell r="C271" t="str">
            <v>천공후항타</v>
          </cell>
          <cell r="D271">
            <v>56</v>
          </cell>
          <cell r="E271" t="str">
            <v>본</v>
          </cell>
        </row>
        <row r="272">
          <cell r="B272" t="str">
            <v>말뚝박기용천공</v>
          </cell>
          <cell r="C272" t="str">
            <v>토사</v>
          </cell>
          <cell r="D272">
            <v>328</v>
          </cell>
          <cell r="E272" t="str">
            <v>m</v>
          </cell>
        </row>
        <row r="273">
          <cell r="B273" t="str">
            <v>PC 파일두부보강</v>
          </cell>
          <cell r="C273" t="str">
            <v>T=500,L=5.0M</v>
          </cell>
          <cell r="D273">
            <v>8</v>
          </cell>
          <cell r="E273" t="str">
            <v>본</v>
          </cell>
        </row>
        <row r="274">
          <cell r="A274">
            <v>21</v>
          </cell>
          <cell r="B274" t="str">
            <v>PC 파일두부보강</v>
          </cell>
          <cell r="C274" t="str">
            <v>T=500,L=6.0M</v>
          </cell>
          <cell r="D274">
            <v>48</v>
          </cell>
          <cell r="E274" t="str">
            <v>본</v>
          </cell>
        </row>
        <row r="275">
          <cell r="B275" t="str">
            <v>11)합류맨홀</v>
          </cell>
        </row>
        <row r="276">
          <cell r="B276" t="str">
            <v>레미콘타설</v>
          </cell>
          <cell r="C276" t="str">
            <v>무근구조물</v>
          </cell>
          <cell r="D276">
            <v>0.26</v>
          </cell>
          <cell r="E276" t="str">
            <v>m3</v>
          </cell>
        </row>
        <row r="277">
          <cell r="B277" t="str">
            <v>레미콘타설</v>
          </cell>
          <cell r="C277" t="str">
            <v>철근구조물</v>
          </cell>
          <cell r="D277">
            <v>2.86</v>
          </cell>
          <cell r="E277" t="str">
            <v>m3</v>
          </cell>
        </row>
        <row r="278">
          <cell r="B278" t="str">
            <v>잡석부설</v>
          </cell>
          <cell r="D278">
            <v>0.77</v>
          </cell>
          <cell r="E278" t="str">
            <v>m3</v>
          </cell>
        </row>
        <row r="279">
          <cell r="B279" t="str">
            <v>합판거푸집</v>
          </cell>
          <cell r="C279" t="str">
            <v>6회</v>
          </cell>
          <cell r="D279">
            <v>0.64</v>
          </cell>
          <cell r="E279" t="str">
            <v>m2</v>
          </cell>
        </row>
        <row r="280">
          <cell r="B280" t="str">
            <v>합판거푸집</v>
          </cell>
          <cell r="C280" t="str">
            <v>3회</v>
          </cell>
          <cell r="D280">
            <v>24.72</v>
          </cell>
          <cell r="E280" t="str">
            <v>m2</v>
          </cell>
        </row>
        <row r="281">
          <cell r="B281" t="str">
            <v>강관비계매기</v>
          </cell>
          <cell r="C281" t="str">
            <v>3개월</v>
          </cell>
          <cell r="D281">
            <v>28.08</v>
          </cell>
          <cell r="E281" t="str">
            <v>m2</v>
          </cell>
        </row>
        <row r="282">
          <cell r="B282" t="str">
            <v>사다리설치</v>
          </cell>
          <cell r="C282" t="str">
            <v>A-TYPE</v>
          </cell>
          <cell r="D282">
            <v>9</v>
          </cell>
          <cell r="E282" t="str">
            <v>EA</v>
          </cell>
        </row>
        <row r="283">
          <cell r="B283" t="str">
            <v>철근가공및조립</v>
          </cell>
          <cell r="C283" t="str">
            <v>보통</v>
          </cell>
          <cell r="D283">
            <v>0.26200000000000001</v>
          </cell>
          <cell r="E283" t="str">
            <v>TON</v>
          </cell>
        </row>
        <row r="284">
          <cell r="B284" t="str">
            <v>슬리브</v>
          </cell>
          <cell r="C284" t="str">
            <v>D=350,T=200</v>
          </cell>
          <cell r="D284">
            <v>1</v>
          </cell>
          <cell r="E284" t="str">
            <v>EA</v>
          </cell>
        </row>
        <row r="285">
          <cell r="B285" t="str">
            <v>슬리브</v>
          </cell>
          <cell r="C285" t="str">
            <v>D=250,T=200</v>
          </cell>
          <cell r="D285">
            <v>2</v>
          </cell>
          <cell r="E285" t="str">
            <v>EA</v>
          </cell>
        </row>
        <row r="286">
          <cell r="B286" t="str">
            <v>12)염소 접촉지</v>
          </cell>
        </row>
        <row r="287">
          <cell r="B287" t="str">
            <v>콘크리트펌프카타설</v>
          </cell>
          <cell r="C287" t="str">
            <v>무근</v>
          </cell>
          <cell r="D287">
            <v>1.49</v>
          </cell>
          <cell r="E287" t="str">
            <v>m3</v>
          </cell>
        </row>
        <row r="288">
          <cell r="B288" t="str">
            <v>콘크리트펌프카타설</v>
          </cell>
          <cell r="C288" t="str">
            <v>철근</v>
          </cell>
          <cell r="D288">
            <v>23.35</v>
          </cell>
          <cell r="E288" t="str">
            <v>m3</v>
          </cell>
        </row>
        <row r="289">
          <cell r="B289" t="str">
            <v>합판거푸집</v>
          </cell>
          <cell r="C289" t="str">
            <v>6회</v>
          </cell>
          <cell r="D289">
            <v>2.31</v>
          </cell>
          <cell r="E289" t="str">
            <v>m2</v>
          </cell>
        </row>
        <row r="290">
          <cell r="B290" t="str">
            <v>합판거푸집</v>
          </cell>
          <cell r="C290" t="str">
            <v>3회</v>
          </cell>
          <cell r="D290">
            <v>7.96</v>
          </cell>
          <cell r="E290" t="str">
            <v>m2</v>
          </cell>
        </row>
        <row r="291">
          <cell r="A291">
            <v>22</v>
          </cell>
          <cell r="B291" t="str">
            <v>FORM-TIE</v>
          </cell>
          <cell r="C291" t="str">
            <v>3회 T=300</v>
          </cell>
          <cell r="D291">
            <v>121.96</v>
          </cell>
          <cell r="E291" t="str">
            <v>m2</v>
          </cell>
        </row>
        <row r="292">
          <cell r="B292" t="str">
            <v>강관동바리(3개월)</v>
          </cell>
          <cell r="C292" t="str">
            <v>4.2M이하</v>
          </cell>
          <cell r="D292">
            <v>12.32</v>
          </cell>
          <cell r="E292" t="str">
            <v>공/m3</v>
          </cell>
        </row>
        <row r="293">
          <cell r="B293" t="str">
            <v>강관비계매기</v>
          </cell>
          <cell r="C293" t="str">
            <v>3개월</v>
          </cell>
          <cell r="D293">
            <v>148.91</v>
          </cell>
          <cell r="E293" t="str">
            <v>m2</v>
          </cell>
        </row>
        <row r="294">
          <cell r="B294" t="str">
            <v>에폭시방수</v>
          </cell>
          <cell r="D294">
            <v>54.16</v>
          </cell>
          <cell r="E294" t="str">
            <v>m2</v>
          </cell>
        </row>
        <row r="295">
          <cell r="B295" t="str">
            <v>지수판설치</v>
          </cell>
          <cell r="C295" t="str">
            <v>B=230,T=5MM</v>
          </cell>
          <cell r="D295">
            <v>16.7</v>
          </cell>
          <cell r="E295" t="str">
            <v>m</v>
          </cell>
        </row>
        <row r="296">
          <cell r="B296" t="str">
            <v>양 생</v>
          </cell>
          <cell r="C296" t="str">
            <v>비닐</v>
          </cell>
          <cell r="D296">
            <v>10.199999999999999</v>
          </cell>
          <cell r="E296" t="str">
            <v>m2</v>
          </cell>
        </row>
        <row r="297">
          <cell r="B297" t="str">
            <v>시공이음면정리</v>
          </cell>
          <cell r="D297">
            <v>5.01</v>
          </cell>
          <cell r="E297" t="str">
            <v>m2</v>
          </cell>
        </row>
        <row r="298">
          <cell r="B298" t="str">
            <v>FORM-TIE 구멍채우기</v>
          </cell>
          <cell r="D298">
            <v>114</v>
          </cell>
          <cell r="E298" t="str">
            <v>EA</v>
          </cell>
        </row>
        <row r="299">
          <cell r="B299" t="str">
            <v>사다리설치</v>
          </cell>
          <cell r="C299" t="str">
            <v>A-TYPE</v>
          </cell>
          <cell r="D299">
            <v>24</v>
          </cell>
          <cell r="E299" t="str">
            <v>EA</v>
          </cell>
        </row>
        <row r="300">
          <cell r="B300" t="str">
            <v>슬리브</v>
          </cell>
          <cell r="C300" t="str">
            <v>D=600,T=300</v>
          </cell>
          <cell r="D300">
            <v>3</v>
          </cell>
          <cell r="E300" t="str">
            <v>EA</v>
          </cell>
        </row>
        <row r="301">
          <cell r="B301" t="str">
            <v>슬리브</v>
          </cell>
          <cell r="C301" t="str">
            <v>D=400,T=300</v>
          </cell>
          <cell r="D301">
            <v>1</v>
          </cell>
          <cell r="E301" t="str">
            <v>EA</v>
          </cell>
        </row>
        <row r="302">
          <cell r="B302" t="str">
            <v>슬리브</v>
          </cell>
          <cell r="C302" t="str">
            <v>D=350,T=300</v>
          </cell>
          <cell r="D302">
            <v>1</v>
          </cell>
          <cell r="E302" t="str">
            <v>EA</v>
          </cell>
        </row>
        <row r="303">
          <cell r="B303" t="str">
            <v>철근가공및조립</v>
          </cell>
          <cell r="C303" t="str">
            <v>복잡</v>
          </cell>
          <cell r="D303">
            <v>3.5579999999999998</v>
          </cell>
          <cell r="E303" t="str">
            <v>TON</v>
          </cell>
        </row>
        <row r="304">
          <cell r="B304" t="str">
            <v>PVC PIPE T S 접합</v>
          </cell>
          <cell r="C304" t="str">
            <v>D=100M/M</v>
          </cell>
          <cell r="D304">
            <v>0.2</v>
          </cell>
          <cell r="E304" t="str">
            <v>m</v>
          </cell>
        </row>
        <row r="305">
          <cell r="B305" t="str">
            <v>PC PILE항타</v>
          </cell>
          <cell r="C305" t="str">
            <v>천공후항타</v>
          </cell>
          <cell r="D305">
            <v>7</v>
          </cell>
          <cell r="E305" t="str">
            <v>본</v>
          </cell>
        </row>
        <row r="306">
          <cell r="B306" t="str">
            <v>말뚝박기용천공</v>
          </cell>
          <cell r="C306" t="str">
            <v>토사</v>
          </cell>
          <cell r="D306">
            <v>53</v>
          </cell>
          <cell r="E306" t="str">
            <v>m</v>
          </cell>
        </row>
        <row r="307">
          <cell r="B307" t="str">
            <v>PC 파일두부보강</v>
          </cell>
          <cell r="C307" t="str">
            <v>T=400,L=7.0M</v>
          </cell>
          <cell r="D307">
            <v>3</v>
          </cell>
          <cell r="E307" t="str">
            <v>본</v>
          </cell>
        </row>
        <row r="308">
          <cell r="A308">
            <v>23</v>
          </cell>
          <cell r="B308" t="str">
            <v>PC 파일두부보강</v>
          </cell>
          <cell r="C308" t="str">
            <v>T=400,L=8.0M</v>
          </cell>
          <cell r="D308">
            <v>4</v>
          </cell>
          <cell r="E308" t="str">
            <v>본</v>
          </cell>
        </row>
        <row r="309">
          <cell r="B309" t="str">
            <v>13)농축조 분배조</v>
          </cell>
        </row>
        <row r="310">
          <cell r="B310" t="str">
            <v>콘크리트펌프카타설</v>
          </cell>
          <cell r="C310" t="str">
            <v>무근</v>
          </cell>
          <cell r="D310">
            <v>2.79</v>
          </cell>
          <cell r="E310" t="str">
            <v>m3</v>
          </cell>
        </row>
        <row r="311">
          <cell r="B311" t="str">
            <v>콘크리트펌프카타설</v>
          </cell>
          <cell r="C311" t="str">
            <v>철근</v>
          </cell>
          <cell r="D311">
            <v>49.69</v>
          </cell>
          <cell r="E311" t="str">
            <v>m3</v>
          </cell>
        </row>
        <row r="312">
          <cell r="B312" t="str">
            <v>합판거푸집</v>
          </cell>
          <cell r="C312" t="str">
            <v>6회</v>
          </cell>
          <cell r="D312">
            <v>1.76</v>
          </cell>
          <cell r="E312" t="str">
            <v>m2</v>
          </cell>
        </row>
        <row r="313">
          <cell r="B313" t="str">
            <v>합판거푸집</v>
          </cell>
          <cell r="C313" t="str">
            <v>3회</v>
          </cell>
          <cell r="D313">
            <v>66.08</v>
          </cell>
          <cell r="E313" t="str">
            <v>m2</v>
          </cell>
        </row>
        <row r="314">
          <cell r="B314" t="str">
            <v>FORM-TIE</v>
          </cell>
          <cell r="C314" t="str">
            <v>3회 T=300</v>
          </cell>
          <cell r="D314">
            <v>112.79</v>
          </cell>
          <cell r="E314" t="str">
            <v>m2</v>
          </cell>
        </row>
        <row r="315">
          <cell r="B315" t="str">
            <v>강관동바리(3개월)</v>
          </cell>
          <cell r="C315" t="str">
            <v>4.2M이하</v>
          </cell>
          <cell r="D315">
            <v>45.62</v>
          </cell>
          <cell r="E315" t="str">
            <v>공/m3</v>
          </cell>
        </row>
        <row r="316">
          <cell r="B316" t="str">
            <v>강관비계매기</v>
          </cell>
          <cell r="C316" t="str">
            <v>3개월</v>
          </cell>
          <cell r="D316">
            <v>152.80000000000001</v>
          </cell>
          <cell r="E316" t="str">
            <v>m2</v>
          </cell>
        </row>
        <row r="317">
          <cell r="B317" t="str">
            <v>아스팔트방수</v>
          </cell>
          <cell r="C317" t="str">
            <v>2회</v>
          </cell>
          <cell r="D317">
            <v>70.48</v>
          </cell>
          <cell r="E317" t="str">
            <v>m2</v>
          </cell>
        </row>
        <row r="318">
          <cell r="B318" t="str">
            <v>에폭시방수</v>
          </cell>
          <cell r="D318">
            <v>40.92</v>
          </cell>
          <cell r="E318" t="str">
            <v>m2</v>
          </cell>
        </row>
        <row r="319">
          <cell r="B319" t="str">
            <v>모체침투성방수</v>
          </cell>
          <cell r="D319">
            <v>10.8</v>
          </cell>
          <cell r="E319" t="str">
            <v>m2</v>
          </cell>
        </row>
        <row r="320">
          <cell r="B320" t="str">
            <v>지수판설치</v>
          </cell>
          <cell r="C320" t="str">
            <v>B=230,T=5MM</v>
          </cell>
          <cell r="D320">
            <v>22.6</v>
          </cell>
          <cell r="E320" t="str">
            <v>m</v>
          </cell>
        </row>
        <row r="321">
          <cell r="B321" t="str">
            <v>양 생</v>
          </cell>
          <cell r="C321" t="str">
            <v>비닐</v>
          </cell>
          <cell r="D321">
            <v>41.8</v>
          </cell>
          <cell r="E321" t="str">
            <v>m2</v>
          </cell>
        </row>
        <row r="322">
          <cell r="B322" t="str">
            <v>시공이음면정리</v>
          </cell>
          <cell r="D322">
            <v>9.7200000000000006</v>
          </cell>
          <cell r="E322" t="str">
            <v>m2</v>
          </cell>
        </row>
        <row r="323">
          <cell r="B323" t="str">
            <v>FORM-TIE 구멍채우기</v>
          </cell>
          <cell r="D323">
            <v>121</v>
          </cell>
          <cell r="E323" t="str">
            <v>EA</v>
          </cell>
        </row>
        <row r="324">
          <cell r="B324" t="str">
            <v>사다리설치</v>
          </cell>
          <cell r="C324" t="str">
            <v>A-TYPE</v>
          </cell>
          <cell r="D324">
            <v>23</v>
          </cell>
          <cell r="E324" t="str">
            <v>EA</v>
          </cell>
        </row>
        <row r="325">
          <cell r="A325">
            <v>24</v>
          </cell>
          <cell r="B325" t="str">
            <v>철근가공및조립</v>
          </cell>
          <cell r="C325" t="str">
            <v>복잡</v>
          </cell>
          <cell r="D325">
            <v>4.3360000000000003</v>
          </cell>
          <cell r="E325" t="str">
            <v>TON</v>
          </cell>
        </row>
        <row r="326">
          <cell r="B326" t="str">
            <v>슬리브</v>
          </cell>
          <cell r="C326" t="str">
            <v>D=200,T=400</v>
          </cell>
          <cell r="D326">
            <v>2</v>
          </cell>
          <cell r="E326" t="str">
            <v>EA</v>
          </cell>
        </row>
        <row r="327">
          <cell r="B327" t="str">
            <v>슬리브</v>
          </cell>
          <cell r="C327" t="str">
            <v>D=100,T=400</v>
          </cell>
          <cell r="D327">
            <v>2</v>
          </cell>
          <cell r="E327" t="str">
            <v>EA</v>
          </cell>
        </row>
        <row r="328">
          <cell r="B328" t="str">
            <v>PC PILE항타</v>
          </cell>
          <cell r="C328" t="str">
            <v>천공후항타</v>
          </cell>
          <cell r="D328">
            <v>6</v>
          </cell>
          <cell r="E328" t="str">
            <v>본</v>
          </cell>
        </row>
        <row r="329">
          <cell r="B329" t="str">
            <v>말뚝박기용천공</v>
          </cell>
          <cell r="C329" t="str">
            <v>토사</v>
          </cell>
          <cell r="D329">
            <v>24</v>
          </cell>
          <cell r="E329" t="str">
            <v>m</v>
          </cell>
        </row>
        <row r="330">
          <cell r="B330" t="str">
            <v>PC 파일두부보강</v>
          </cell>
          <cell r="C330" t="str">
            <v>T=400,L=7.0M</v>
          </cell>
          <cell r="D330">
            <v>6</v>
          </cell>
          <cell r="E330" t="str">
            <v>본</v>
          </cell>
        </row>
        <row r="331">
          <cell r="B331" t="str">
            <v>무늬철판뚜껑</v>
          </cell>
          <cell r="C331" t="str">
            <v>850*850</v>
          </cell>
          <cell r="D331">
            <v>1</v>
          </cell>
          <cell r="E331" t="str">
            <v>EA</v>
          </cell>
        </row>
        <row r="332">
          <cell r="B332" t="str">
            <v>무늬철판뚜껑</v>
          </cell>
          <cell r="C332" t="str">
            <v>650*1050</v>
          </cell>
          <cell r="D332">
            <v>2</v>
          </cell>
          <cell r="E332" t="str">
            <v>EA</v>
          </cell>
        </row>
        <row r="333">
          <cell r="B333" t="str">
            <v>14)농축조</v>
          </cell>
        </row>
        <row r="334">
          <cell r="B334" t="str">
            <v>콘크리트펌프카타설</v>
          </cell>
          <cell r="C334" t="str">
            <v>무근</v>
          </cell>
          <cell r="D334">
            <v>7.2</v>
          </cell>
          <cell r="E334" t="str">
            <v>m3</v>
          </cell>
        </row>
        <row r="335">
          <cell r="B335" t="str">
            <v>콘크리트펌프카타설</v>
          </cell>
          <cell r="C335" t="str">
            <v>철근</v>
          </cell>
          <cell r="D335">
            <v>46.8</v>
          </cell>
          <cell r="E335" t="str">
            <v>m3</v>
          </cell>
        </row>
        <row r="336">
          <cell r="B336" t="str">
            <v>합판거푸집</v>
          </cell>
          <cell r="C336" t="str">
            <v>6회</v>
          </cell>
          <cell r="D336">
            <v>1.22</v>
          </cell>
          <cell r="E336" t="str">
            <v>m2</v>
          </cell>
        </row>
        <row r="337">
          <cell r="B337" t="str">
            <v>합판거푸집</v>
          </cell>
          <cell r="C337" t="str">
            <v>3회</v>
          </cell>
          <cell r="D337">
            <v>27.32</v>
          </cell>
          <cell r="E337" t="str">
            <v>m2</v>
          </cell>
        </row>
        <row r="338">
          <cell r="B338" t="str">
            <v>원형거푸집</v>
          </cell>
          <cell r="C338" t="str">
            <v>3회</v>
          </cell>
          <cell r="D338">
            <v>857.96</v>
          </cell>
          <cell r="E338" t="str">
            <v>m2</v>
          </cell>
        </row>
        <row r="339">
          <cell r="B339" t="str">
            <v>강관동바리(3개월)</v>
          </cell>
          <cell r="C339" t="str">
            <v>4.2M이상</v>
          </cell>
          <cell r="D339">
            <v>15.68</v>
          </cell>
          <cell r="E339" t="str">
            <v>공/m3</v>
          </cell>
        </row>
        <row r="340">
          <cell r="B340" t="str">
            <v>강관비계매기</v>
          </cell>
          <cell r="C340" t="str">
            <v>3개월</v>
          </cell>
          <cell r="D340">
            <v>205.18</v>
          </cell>
          <cell r="E340" t="str">
            <v>m2</v>
          </cell>
        </row>
        <row r="341">
          <cell r="B341" t="str">
            <v>에폭시방수</v>
          </cell>
          <cell r="D341">
            <v>100.46</v>
          </cell>
          <cell r="E341" t="str">
            <v>m2</v>
          </cell>
        </row>
        <row r="342">
          <cell r="B342" t="str">
            <v>지수판설치</v>
          </cell>
          <cell r="C342" t="str">
            <v>B=230,T=5MM</v>
          </cell>
          <cell r="D342">
            <v>19.8</v>
          </cell>
          <cell r="E342" t="str">
            <v>m</v>
          </cell>
        </row>
        <row r="343">
          <cell r="B343" t="str">
            <v>양 생</v>
          </cell>
          <cell r="C343" t="str">
            <v>비닐</v>
          </cell>
          <cell r="D343">
            <v>19.239999999999998</v>
          </cell>
          <cell r="E343" t="str">
            <v>m2</v>
          </cell>
        </row>
        <row r="344">
          <cell r="B344" t="str">
            <v>시공이음면정리</v>
          </cell>
          <cell r="D344">
            <v>6.92</v>
          </cell>
          <cell r="E344" t="str">
            <v>m2</v>
          </cell>
        </row>
        <row r="345">
          <cell r="B345" t="str">
            <v>BAFFLE 웨어</v>
          </cell>
          <cell r="D345">
            <v>9.42</v>
          </cell>
          <cell r="E345" t="str">
            <v>m</v>
          </cell>
        </row>
        <row r="346">
          <cell r="B346" t="str">
            <v>PLATE 웨어</v>
          </cell>
          <cell r="D346">
            <v>12.56</v>
          </cell>
          <cell r="E346" t="str">
            <v>m</v>
          </cell>
        </row>
        <row r="347">
          <cell r="B347" t="str">
            <v>사다리설치</v>
          </cell>
          <cell r="C347" t="str">
            <v>A-TYPE</v>
          </cell>
          <cell r="D347">
            <v>12</v>
          </cell>
          <cell r="E347" t="str">
            <v>EA</v>
          </cell>
        </row>
        <row r="348">
          <cell r="B348" t="str">
            <v>슬리브</v>
          </cell>
          <cell r="C348" t="str">
            <v>D=100,T=350</v>
          </cell>
          <cell r="D348">
            <v>2</v>
          </cell>
          <cell r="E348" t="str">
            <v>EA</v>
          </cell>
        </row>
        <row r="349">
          <cell r="B349" t="str">
            <v>슬리브</v>
          </cell>
          <cell r="C349" t="str">
            <v>D=100,T=200</v>
          </cell>
          <cell r="D349">
            <v>2</v>
          </cell>
          <cell r="E349" t="str">
            <v>EA</v>
          </cell>
        </row>
        <row r="350">
          <cell r="B350" t="str">
            <v>슬리브</v>
          </cell>
          <cell r="C350" t="str">
            <v>D=200,T=350</v>
          </cell>
          <cell r="D350">
            <v>2</v>
          </cell>
          <cell r="E350" t="str">
            <v>EA</v>
          </cell>
        </row>
        <row r="351">
          <cell r="B351" t="str">
            <v>철근가공및조립</v>
          </cell>
          <cell r="C351" t="str">
            <v>복잡</v>
          </cell>
          <cell r="D351">
            <v>4.91</v>
          </cell>
          <cell r="E351" t="str">
            <v>TON</v>
          </cell>
        </row>
        <row r="352">
          <cell r="B352" t="str">
            <v>PC PILE항타</v>
          </cell>
          <cell r="C352" t="str">
            <v>천공후항타</v>
          </cell>
          <cell r="D352">
            <v>8</v>
          </cell>
          <cell r="E352" t="str">
            <v>본</v>
          </cell>
        </row>
        <row r="353">
          <cell r="B353" t="str">
            <v>말뚝박기용천공</v>
          </cell>
          <cell r="C353" t="str">
            <v>토사</v>
          </cell>
          <cell r="D353">
            <v>48</v>
          </cell>
          <cell r="E353" t="str">
            <v>m</v>
          </cell>
        </row>
        <row r="354">
          <cell r="B354" t="str">
            <v>PC 파일두부보강</v>
          </cell>
          <cell r="C354" t="str">
            <v>T=400,L=6.0M</v>
          </cell>
          <cell r="D354">
            <v>8</v>
          </cell>
          <cell r="E354" t="str">
            <v>본</v>
          </cell>
        </row>
        <row r="355">
          <cell r="B355" t="str">
            <v>15)공동구</v>
          </cell>
        </row>
        <row r="356">
          <cell r="B356" t="str">
            <v>레미콘타설</v>
          </cell>
          <cell r="C356" t="str">
            <v>무근구조물</v>
          </cell>
          <cell r="D356">
            <v>57.17</v>
          </cell>
          <cell r="E356" t="str">
            <v>m3</v>
          </cell>
        </row>
        <row r="357">
          <cell r="B357" t="str">
            <v>레미콘타설</v>
          </cell>
          <cell r="C357" t="str">
            <v>철근구조물</v>
          </cell>
          <cell r="D357">
            <v>545.04</v>
          </cell>
          <cell r="E357" t="str">
            <v>m3</v>
          </cell>
        </row>
        <row r="358">
          <cell r="B358" t="str">
            <v>합판거푸집</v>
          </cell>
          <cell r="C358" t="str">
            <v>6회</v>
          </cell>
          <cell r="D358">
            <v>18.89</v>
          </cell>
          <cell r="E358" t="str">
            <v>m2</v>
          </cell>
        </row>
        <row r="359">
          <cell r="A359">
            <v>26</v>
          </cell>
          <cell r="B359" t="str">
            <v>합판거푸집</v>
          </cell>
          <cell r="C359" t="str">
            <v>3회</v>
          </cell>
          <cell r="D359">
            <v>605.27</v>
          </cell>
          <cell r="E359" t="str">
            <v>m2</v>
          </cell>
        </row>
        <row r="360">
          <cell r="B360" t="str">
            <v>FORM-TIE</v>
          </cell>
          <cell r="C360" t="str">
            <v>3회 T=400</v>
          </cell>
          <cell r="D360">
            <v>1114.92</v>
          </cell>
          <cell r="E360" t="str">
            <v>m2</v>
          </cell>
        </row>
        <row r="361">
          <cell r="B361" t="str">
            <v>강관동바리(3개월)</v>
          </cell>
          <cell r="C361" t="str">
            <v>4.2M이하</v>
          </cell>
          <cell r="D361">
            <v>814.86</v>
          </cell>
          <cell r="E361" t="str">
            <v>공/m3</v>
          </cell>
        </row>
        <row r="362">
          <cell r="B362" t="str">
            <v>강관비계매기</v>
          </cell>
          <cell r="C362" t="str">
            <v>3개월</v>
          </cell>
          <cell r="D362">
            <v>766.56</v>
          </cell>
          <cell r="E362" t="str">
            <v>m2</v>
          </cell>
        </row>
        <row r="363">
          <cell r="B363" t="str">
            <v>모체침투성방수</v>
          </cell>
          <cell r="D363">
            <v>270.26</v>
          </cell>
          <cell r="E363" t="str">
            <v>m2</v>
          </cell>
        </row>
        <row r="364">
          <cell r="B364" t="str">
            <v>아스팔트방수</v>
          </cell>
          <cell r="C364" t="str">
            <v>2회</v>
          </cell>
          <cell r="D364">
            <v>1077.6500000000001</v>
          </cell>
          <cell r="E364" t="str">
            <v>m2</v>
          </cell>
        </row>
        <row r="365">
          <cell r="B365" t="str">
            <v>지수판설치</v>
          </cell>
          <cell r="C365" t="str">
            <v>B=230,T=5MM</v>
          </cell>
          <cell r="D365">
            <v>309.88</v>
          </cell>
          <cell r="E365" t="str">
            <v>m</v>
          </cell>
        </row>
        <row r="366">
          <cell r="B366" t="str">
            <v>양 생</v>
          </cell>
          <cell r="C366" t="str">
            <v>비닐</v>
          </cell>
          <cell r="D366">
            <v>676.58</v>
          </cell>
          <cell r="E366" t="str">
            <v>m2</v>
          </cell>
        </row>
        <row r="367">
          <cell r="B367" t="str">
            <v>시공이음면정리</v>
          </cell>
          <cell r="D367">
            <v>74.95</v>
          </cell>
          <cell r="E367" t="str">
            <v>m2</v>
          </cell>
        </row>
        <row r="368">
          <cell r="B368" t="str">
            <v>FORM-TIE 구멍채우기</v>
          </cell>
          <cell r="D368">
            <v>1042</v>
          </cell>
          <cell r="E368" t="str">
            <v>EA</v>
          </cell>
        </row>
        <row r="369">
          <cell r="B369" t="str">
            <v>철근가공및조립</v>
          </cell>
          <cell r="C369" t="str">
            <v>복잡</v>
          </cell>
          <cell r="D369">
            <v>50.087000000000003</v>
          </cell>
          <cell r="E369" t="str">
            <v>TON</v>
          </cell>
        </row>
        <row r="370">
          <cell r="B370" t="str">
            <v>슬리브</v>
          </cell>
          <cell r="C370" t="str">
            <v>D=100,T=400</v>
          </cell>
          <cell r="D370">
            <v>2</v>
          </cell>
          <cell r="E370" t="str">
            <v>EA</v>
          </cell>
        </row>
        <row r="371">
          <cell r="B371" t="str">
            <v>JOINT-FILLER</v>
          </cell>
          <cell r="C371" t="str">
            <v>T=20M/M</v>
          </cell>
          <cell r="D371">
            <v>51.5</v>
          </cell>
          <cell r="E371" t="str">
            <v>m2</v>
          </cell>
        </row>
        <row r="372">
          <cell r="B372" t="str">
            <v>실런트</v>
          </cell>
          <cell r="C372" t="str">
            <v>T=20M/M</v>
          </cell>
          <cell r="D372">
            <v>264.60000000000002</v>
          </cell>
          <cell r="E372" t="str">
            <v>m</v>
          </cell>
        </row>
        <row r="373">
          <cell r="B373" t="str">
            <v>PC PILE항타</v>
          </cell>
          <cell r="C373" t="str">
            <v>천공후항타</v>
          </cell>
          <cell r="D373">
            <v>81</v>
          </cell>
          <cell r="E373" t="str">
            <v>본</v>
          </cell>
        </row>
        <row r="374">
          <cell r="B374" t="str">
            <v>말뚝박기용천공</v>
          </cell>
          <cell r="C374" t="str">
            <v>토사</v>
          </cell>
          <cell r="D374">
            <v>397</v>
          </cell>
          <cell r="E374" t="str">
            <v>m</v>
          </cell>
        </row>
        <row r="375">
          <cell r="B375" t="str">
            <v>PC 파일두부보강</v>
          </cell>
          <cell r="C375" t="str">
            <v>T=500,L=4.0M</v>
          </cell>
          <cell r="D375">
            <v>8</v>
          </cell>
          <cell r="E375" t="str">
            <v>본</v>
          </cell>
        </row>
        <row r="376">
          <cell r="A376">
            <v>27</v>
          </cell>
          <cell r="B376" t="str">
            <v>PC 파일두부보강</v>
          </cell>
          <cell r="C376" t="str">
            <v>T=500,L=5.0M</v>
          </cell>
          <cell r="D376">
            <v>73</v>
          </cell>
          <cell r="E376" t="str">
            <v>본</v>
          </cell>
        </row>
        <row r="377">
          <cell r="B377" t="str">
            <v>16)구내배관</v>
          </cell>
        </row>
        <row r="378">
          <cell r="B378" t="str">
            <v>레미콘타설</v>
          </cell>
          <cell r="C378" t="str">
            <v>무근구조물</v>
          </cell>
          <cell r="D378">
            <v>47.22</v>
          </cell>
          <cell r="E378" t="str">
            <v>m3</v>
          </cell>
        </row>
        <row r="379">
          <cell r="B379" t="str">
            <v>합판거푸집</v>
          </cell>
          <cell r="C379" t="str">
            <v>6회</v>
          </cell>
          <cell r="D379">
            <v>210.37</v>
          </cell>
          <cell r="E379" t="str">
            <v>m2</v>
          </cell>
        </row>
        <row r="380">
          <cell r="B380" t="str">
            <v>잡석부설</v>
          </cell>
          <cell r="D380">
            <v>9.2200000000000006</v>
          </cell>
          <cell r="E380" t="str">
            <v>m3</v>
          </cell>
        </row>
        <row r="381">
          <cell r="B381" t="str">
            <v>K-P 메카니칼 접합</v>
          </cell>
          <cell r="C381" t="str">
            <v>D=100mm(인력)</v>
          </cell>
          <cell r="D381">
            <v>9.6</v>
          </cell>
          <cell r="E381" t="str">
            <v>개소</v>
          </cell>
        </row>
        <row r="382">
          <cell r="B382" t="str">
            <v>K-P 메카니칼 접합</v>
          </cell>
          <cell r="C382" t="str">
            <v>D=150mm(인력)</v>
          </cell>
          <cell r="D382">
            <v>8.1999999999999993</v>
          </cell>
          <cell r="E382" t="str">
            <v>개소</v>
          </cell>
        </row>
        <row r="383">
          <cell r="B383" t="str">
            <v>K-P 메카니칼 접합</v>
          </cell>
          <cell r="C383" t="str">
            <v>D=200mm(기계)</v>
          </cell>
          <cell r="D383">
            <v>2.2999999999999998</v>
          </cell>
          <cell r="E383" t="str">
            <v>개소</v>
          </cell>
        </row>
        <row r="384">
          <cell r="B384" t="str">
            <v>K-P 메카니칼 접합</v>
          </cell>
          <cell r="C384" t="str">
            <v>D=250mm(기계)</v>
          </cell>
          <cell r="D384">
            <v>12.8</v>
          </cell>
          <cell r="E384" t="str">
            <v>개소</v>
          </cell>
        </row>
        <row r="385">
          <cell r="B385" t="str">
            <v>K-P 메카니칼 접합</v>
          </cell>
          <cell r="C385" t="str">
            <v>D=300mm(기계)</v>
          </cell>
          <cell r="D385">
            <v>5.7</v>
          </cell>
          <cell r="E385" t="str">
            <v>개소</v>
          </cell>
        </row>
        <row r="386">
          <cell r="B386" t="str">
            <v>K-P 메카니칼 접합</v>
          </cell>
          <cell r="C386" t="str">
            <v>D=350mm(기계)</v>
          </cell>
          <cell r="D386">
            <v>6.3</v>
          </cell>
          <cell r="E386" t="str">
            <v>개소</v>
          </cell>
        </row>
        <row r="387">
          <cell r="B387" t="str">
            <v>K-P 메카니칼 접합</v>
          </cell>
          <cell r="C387" t="str">
            <v>D=400mm(기계)</v>
          </cell>
          <cell r="D387">
            <v>24</v>
          </cell>
          <cell r="E387" t="str">
            <v>개소</v>
          </cell>
        </row>
        <row r="388">
          <cell r="B388" t="str">
            <v>K-P 메카니칼 접합</v>
          </cell>
          <cell r="C388" t="str">
            <v>D=500mm(기계)</v>
          </cell>
          <cell r="D388">
            <v>5.8</v>
          </cell>
          <cell r="E388" t="str">
            <v>개소</v>
          </cell>
        </row>
        <row r="389">
          <cell r="B389" t="str">
            <v>K-P 메카니칼 접합</v>
          </cell>
          <cell r="C389" t="str">
            <v>D=600mm(기계)</v>
          </cell>
          <cell r="D389">
            <v>7.7</v>
          </cell>
          <cell r="E389" t="str">
            <v>개소</v>
          </cell>
        </row>
        <row r="390">
          <cell r="B390" t="str">
            <v>3.부대공</v>
          </cell>
        </row>
        <row r="391">
          <cell r="B391" t="str">
            <v>1)우수공</v>
          </cell>
        </row>
        <row r="392">
          <cell r="B392" t="str">
            <v>레미콘타설</v>
          </cell>
          <cell r="C392" t="str">
            <v>무근구조물</v>
          </cell>
          <cell r="D392">
            <v>71.13</v>
          </cell>
          <cell r="E392" t="str">
            <v>m3</v>
          </cell>
        </row>
        <row r="393">
          <cell r="A393">
            <v>28</v>
          </cell>
          <cell r="B393" t="str">
            <v>레미콘타설</v>
          </cell>
          <cell r="C393" t="str">
            <v>철근구조물</v>
          </cell>
          <cell r="D393">
            <v>20.853000000000002</v>
          </cell>
          <cell r="E393" t="str">
            <v>m3</v>
          </cell>
        </row>
        <row r="394">
          <cell r="B394" t="str">
            <v>합판거푸집</v>
          </cell>
          <cell r="C394" t="str">
            <v>6회</v>
          </cell>
          <cell r="D394">
            <v>9.5990000000000002</v>
          </cell>
          <cell r="E394" t="str">
            <v>m2</v>
          </cell>
        </row>
        <row r="395">
          <cell r="B395" t="str">
            <v>합판거푸집</v>
          </cell>
          <cell r="C395" t="str">
            <v>4회</v>
          </cell>
          <cell r="D395">
            <v>323.93900000000002</v>
          </cell>
          <cell r="E395" t="str">
            <v>m2</v>
          </cell>
        </row>
        <row r="396">
          <cell r="B396" t="str">
            <v>합판거푸집</v>
          </cell>
          <cell r="C396" t="str">
            <v>3회</v>
          </cell>
          <cell r="D396">
            <v>45.82</v>
          </cell>
          <cell r="E396" t="str">
            <v>m2</v>
          </cell>
        </row>
        <row r="397">
          <cell r="B397" t="str">
            <v>P.E원형맨홀거푸집</v>
          </cell>
          <cell r="C397" t="str">
            <v>D=900,H=1.74M</v>
          </cell>
          <cell r="D397">
            <v>21</v>
          </cell>
          <cell r="E397" t="str">
            <v>개소</v>
          </cell>
        </row>
        <row r="398">
          <cell r="B398" t="str">
            <v>P.E원형맨홀거푸집</v>
          </cell>
          <cell r="C398" t="str">
            <v>D=1200,H=3.69M</v>
          </cell>
          <cell r="D398">
            <v>1</v>
          </cell>
          <cell r="E398" t="str">
            <v>개소</v>
          </cell>
        </row>
        <row r="399">
          <cell r="B399" t="str">
            <v>흄관접합부설(인력)</v>
          </cell>
          <cell r="C399" t="str">
            <v>D=250M/M</v>
          </cell>
          <cell r="D399">
            <v>150</v>
          </cell>
          <cell r="E399" t="str">
            <v>m</v>
          </cell>
        </row>
        <row r="400">
          <cell r="B400" t="str">
            <v>흄관접합부설(인력)</v>
          </cell>
          <cell r="C400" t="str">
            <v>D=300M/M</v>
          </cell>
          <cell r="D400">
            <v>150</v>
          </cell>
          <cell r="E400" t="str">
            <v>m</v>
          </cell>
        </row>
        <row r="401">
          <cell r="B401" t="str">
            <v>흄관접합부설(인력)</v>
          </cell>
          <cell r="C401" t="str">
            <v>D=450M/M</v>
          </cell>
          <cell r="D401">
            <v>556.5</v>
          </cell>
          <cell r="E401" t="str">
            <v>m</v>
          </cell>
        </row>
        <row r="402">
          <cell r="B402" t="str">
            <v>흄관접합부설(인력)</v>
          </cell>
          <cell r="C402" t="str">
            <v>D=600M/M</v>
          </cell>
          <cell r="D402">
            <v>92.5</v>
          </cell>
          <cell r="E402" t="str">
            <v>m</v>
          </cell>
        </row>
        <row r="403">
          <cell r="B403" t="str">
            <v>PVC PIPE T S 접합</v>
          </cell>
          <cell r="C403" t="str">
            <v>D=150mm</v>
          </cell>
          <cell r="D403">
            <v>71</v>
          </cell>
          <cell r="E403" t="str">
            <v>m</v>
          </cell>
        </row>
        <row r="404">
          <cell r="B404" t="str">
            <v>철근가공및조립</v>
          </cell>
          <cell r="C404" t="str">
            <v>보통</v>
          </cell>
          <cell r="D404">
            <v>2.613</v>
          </cell>
          <cell r="E404" t="str">
            <v>TON</v>
          </cell>
        </row>
        <row r="405">
          <cell r="B405" t="str">
            <v>철근가공및조립</v>
          </cell>
          <cell r="C405" t="str">
            <v>복잡</v>
          </cell>
          <cell r="D405">
            <v>1.31</v>
          </cell>
          <cell r="E405" t="str">
            <v>TON</v>
          </cell>
        </row>
        <row r="406">
          <cell r="B406" t="str">
            <v>맨홀사다리설치</v>
          </cell>
          <cell r="C406" t="str">
            <v>D=19M/M</v>
          </cell>
          <cell r="D406">
            <v>138</v>
          </cell>
          <cell r="E406" t="str">
            <v>EA</v>
          </cell>
        </row>
        <row r="407">
          <cell r="B407" t="str">
            <v>맨홀뚜껑설치</v>
          </cell>
          <cell r="C407" t="str">
            <v>D=648M/M</v>
          </cell>
          <cell r="D407">
            <v>22</v>
          </cell>
          <cell r="E407" t="str">
            <v>EA</v>
          </cell>
        </row>
        <row r="408">
          <cell r="B408" t="str">
            <v>잡석부설</v>
          </cell>
          <cell r="D408">
            <v>14.478</v>
          </cell>
          <cell r="E408" t="str">
            <v>m3</v>
          </cell>
        </row>
        <row r="409">
          <cell r="B409" t="str">
            <v>PE차단식홈통받이</v>
          </cell>
          <cell r="D409">
            <v>7</v>
          </cell>
          <cell r="E409" t="str">
            <v>EA</v>
          </cell>
        </row>
        <row r="410">
          <cell r="A410">
            <v>29</v>
          </cell>
          <cell r="B410" t="str">
            <v>시공이음면정리</v>
          </cell>
          <cell r="D410">
            <v>74.95</v>
          </cell>
          <cell r="E410" t="str">
            <v>m2</v>
          </cell>
        </row>
        <row r="411">
          <cell r="B411" t="str">
            <v>양생</v>
          </cell>
          <cell r="C411" t="str">
            <v>비닐</v>
          </cell>
          <cell r="D411">
            <v>25.9</v>
          </cell>
          <cell r="E411" t="str">
            <v>m2</v>
          </cell>
        </row>
        <row r="412">
          <cell r="B412" t="str">
            <v>2)오수공</v>
          </cell>
        </row>
        <row r="413">
          <cell r="B413" t="str">
            <v>레미콘타설</v>
          </cell>
          <cell r="C413" t="str">
            <v>무근구조물</v>
          </cell>
          <cell r="D413">
            <v>39.789000000000001</v>
          </cell>
          <cell r="E413" t="str">
            <v>m3</v>
          </cell>
        </row>
        <row r="414">
          <cell r="B414" t="str">
            <v>레미콘타설</v>
          </cell>
          <cell r="C414" t="str">
            <v>철근구조물</v>
          </cell>
          <cell r="D414">
            <v>2.512</v>
          </cell>
          <cell r="E414" t="str">
            <v>m3</v>
          </cell>
        </row>
        <row r="415">
          <cell r="B415" t="str">
            <v>합판거푸집</v>
          </cell>
          <cell r="C415" t="str">
            <v>6회</v>
          </cell>
          <cell r="D415">
            <v>1.7729999999999999</v>
          </cell>
          <cell r="E415" t="str">
            <v>m2</v>
          </cell>
        </row>
        <row r="416">
          <cell r="B416" t="str">
            <v>합판거푸집</v>
          </cell>
          <cell r="C416" t="str">
            <v>4회</v>
          </cell>
          <cell r="D416">
            <v>95.813999999999993</v>
          </cell>
          <cell r="E416" t="str">
            <v>m2</v>
          </cell>
        </row>
        <row r="417">
          <cell r="B417" t="str">
            <v>PE원형맨홀거푸집</v>
          </cell>
          <cell r="C417" t="str">
            <v>D=900,H=2.6M</v>
          </cell>
          <cell r="D417">
            <v>16</v>
          </cell>
          <cell r="E417" t="str">
            <v>m2</v>
          </cell>
        </row>
        <row r="418">
          <cell r="B418" t="str">
            <v>PE관접합부설(융착)</v>
          </cell>
          <cell r="C418" t="str">
            <v>D=100M/M</v>
          </cell>
          <cell r="D418">
            <v>25</v>
          </cell>
          <cell r="E418" t="str">
            <v>m</v>
          </cell>
        </row>
        <row r="419">
          <cell r="B419" t="str">
            <v>PE관접합부설(융착)</v>
          </cell>
          <cell r="C419" t="str">
            <v>D=200M/M</v>
          </cell>
          <cell r="D419">
            <v>174</v>
          </cell>
          <cell r="E419" t="str">
            <v>m</v>
          </cell>
        </row>
        <row r="420">
          <cell r="B420" t="str">
            <v>PE관접합부설(융착)</v>
          </cell>
          <cell r="C420" t="str">
            <v>D=250M/M</v>
          </cell>
          <cell r="D420">
            <v>265</v>
          </cell>
          <cell r="E420" t="str">
            <v>m</v>
          </cell>
        </row>
        <row r="421">
          <cell r="B421" t="str">
            <v>철근가공및조립</v>
          </cell>
          <cell r="C421" t="str">
            <v>보통</v>
          </cell>
          <cell r="D421">
            <v>0.57899999999999996</v>
          </cell>
          <cell r="E421" t="str">
            <v>TON</v>
          </cell>
        </row>
        <row r="422">
          <cell r="B422" t="str">
            <v>맨홀사다리설치</v>
          </cell>
          <cell r="C422" t="str">
            <v>D=19M/M</v>
          </cell>
          <cell r="D422">
            <v>112</v>
          </cell>
          <cell r="E422" t="str">
            <v>EA</v>
          </cell>
        </row>
        <row r="423">
          <cell r="B423" t="str">
            <v>맨홀뚜껑설치</v>
          </cell>
          <cell r="C423" t="str">
            <v>D=648M/M</v>
          </cell>
          <cell r="D423">
            <v>16</v>
          </cell>
          <cell r="E423" t="str">
            <v>EA</v>
          </cell>
        </row>
        <row r="424">
          <cell r="B424" t="str">
            <v>잡석부설</v>
          </cell>
          <cell r="D424">
            <v>8.1440000000000001</v>
          </cell>
          <cell r="E424" t="str">
            <v>m3</v>
          </cell>
        </row>
        <row r="425">
          <cell r="B425" t="str">
            <v>3)상수도공</v>
          </cell>
        </row>
        <row r="426">
          <cell r="B426" t="str">
            <v>레미콘타설</v>
          </cell>
          <cell r="C426" t="str">
            <v>철근구조물</v>
          </cell>
          <cell r="D426">
            <v>2.5</v>
          </cell>
          <cell r="E426" t="str">
            <v>m3</v>
          </cell>
        </row>
        <row r="427">
          <cell r="B427" t="str">
            <v>레미콘타설</v>
          </cell>
          <cell r="C427" t="str">
            <v>무근구조물</v>
          </cell>
          <cell r="D427">
            <v>0.35</v>
          </cell>
          <cell r="E427" t="str">
            <v>m3</v>
          </cell>
        </row>
        <row r="428">
          <cell r="B428" t="str">
            <v>합판거푸집</v>
          </cell>
          <cell r="C428" t="str">
            <v>6회</v>
          </cell>
          <cell r="D428">
            <v>0.76</v>
          </cell>
          <cell r="E428" t="str">
            <v>m2</v>
          </cell>
        </row>
        <row r="429">
          <cell r="B429" t="str">
            <v>합판거푸집</v>
          </cell>
          <cell r="C429" t="str">
            <v>3회</v>
          </cell>
          <cell r="D429">
            <v>27.6</v>
          </cell>
          <cell r="E429" t="str">
            <v>m2</v>
          </cell>
        </row>
        <row r="430">
          <cell r="B430" t="str">
            <v>시공이음면정리</v>
          </cell>
          <cell r="D430">
            <v>0.83</v>
          </cell>
          <cell r="E430" t="str">
            <v>m2</v>
          </cell>
        </row>
        <row r="431">
          <cell r="B431" t="str">
            <v>철근가공및조립</v>
          </cell>
          <cell r="C431" t="str">
            <v>보통</v>
          </cell>
          <cell r="D431">
            <v>0.20899999999999999</v>
          </cell>
          <cell r="E431" t="str">
            <v>TON</v>
          </cell>
        </row>
        <row r="432">
          <cell r="B432" t="str">
            <v>양생</v>
          </cell>
          <cell r="C432" t="str">
            <v>비닐</v>
          </cell>
          <cell r="D432">
            <v>2.73</v>
          </cell>
          <cell r="E432" t="str">
            <v>m2</v>
          </cell>
        </row>
        <row r="433">
          <cell r="B433" t="str">
            <v>강관동바리(3개월)</v>
          </cell>
          <cell r="C433" t="str">
            <v>4.2M이하</v>
          </cell>
          <cell r="D433">
            <v>1.44</v>
          </cell>
          <cell r="E433" t="str">
            <v>공/m3</v>
          </cell>
        </row>
        <row r="434">
          <cell r="B434" t="str">
            <v>무늬철판뚜껑</v>
          </cell>
          <cell r="C434" t="str">
            <v>850*850</v>
          </cell>
          <cell r="D434">
            <v>1</v>
          </cell>
          <cell r="E434" t="str">
            <v>EA</v>
          </cell>
        </row>
        <row r="435">
          <cell r="B435" t="str">
            <v>지수판설치</v>
          </cell>
          <cell r="C435" t="str">
            <v>B=230,T=5MM</v>
          </cell>
          <cell r="D435">
            <v>6.2</v>
          </cell>
          <cell r="E435" t="str">
            <v>m</v>
          </cell>
        </row>
        <row r="436">
          <cell r="B436" t="str">
            <v>PE관접합부설(융착)</v>
          </cell>
          <cell r="C436" t="str">
            <v>D=16M/M</v>
          </cell>
          <cell r="D436">
            <v>18</v>
          </cell>
          <cell r="E436" t="str">
            <v>m</v>
          </cell>
        </row>
        <row r="437">
          <cell r="B437" t="str">
            <v>PE관접합부설(융착)</v>
          </cell>
          <cell r="C437" t="str">
            <v>D=25M/M</v>
          </cell>
          <cell r="D437">
            <v>123</v>
          </cell>
          <cell r="E437" t="str">
            <v>m</v>
          </cell>
        </row>
        <row r="438">
          <cell r="B438" t="str">
            <v>PE관접합부설(융착)</v>
          </cell>
          <cell r="C438" t="str">
            <v>D=40M/M</v>
          </cell>
          <cell r="D438">
            <v>76</v>
          </cell>
          <cell r="E438" t="str">
            <v>m</v>
          </cell>
        </row>
        <row r="439">
          <cell r="B439" t="str">
            <v>PE관접합부설(융착)</v>
          </cell>
          <cell r="C439" t="str">
            <v>D=50M/M</v>
          </cell>
          <cell r="D439">
            <v>77</v>
          </cell>
          <cell r="E439" t="str">
            <v>m</v>
          </cell>
        </row>
        <row r="440">
          <cell r="B440" t="str">
            <v>심정개발비</v>
          </cell>
          <cell r="D440">
            <v>1</v>
          </cell>
          <cell r="E440" t="str">
            <v>식</v>
          </cell>
        </row>
        <row r="441">
          <cell r="B441" t="str">
            <v>4)포 장 공</v>
          </cell>
        </row>
        <row r="442">
          <cell r="B442" t="str">
            <v>레미콘타설</v>
          </cell>
          <cell r="C442" t="str">
            <v>무근구조물</v>
          </cell>
          <cell r="D442">
            <v>104.76</v>
          </cell>
          <cell r="E442" t="str">
            <v>m3</v>
          </cell>
        </row>
        <row r="443">
          <cell r="B443" t="str">
            <v>합판거푸집</v>
          </cell>
          <cell r="C443" t="str">
            <v>6회</v>
          </cell>
          <cell r="D443">
            <v>251.94</v>
          </cell>
          <cell r="E443" t="str">
            <v>m2</v>
          </cell>
        </row>
        <row r="444">
          <cell r="B444" t="str">
            <v>표층(포설및다짐)</v>
          </cell>
          <cell r="C444" t="str">
            <v>T=5cm</v>
          </cell>
          <cell r="D444">
            <v>6028.74</v>
          </cell>
          <cell r="E444" t="str">
            <v>m2</v>
          </cell>
        </row>
        <row r="445">
          <cell r="B445" t="str">
            <v>기층(포설및다짐)</v>
          </cell>
          <cell r="C445" t="str">
            <v>T=10cm</v>
          </cell>
          <cell r="D445">
            <v>6028.74</v>
          </cell>
          <cell r="E445" t="str">
            <v>m2</v>
          </cell>
        </row>
        <row r="446">
          <cell r="B446" t="str">
            <v>택코팅</v>
          </cell>
          <cell r="C446" t="str">
            <v>RSC-4: 30 L/a</v>
          </cell>
          <cell r="D446">
            <v>60.28</v>
          </cell>
          <cell r="E446" t="str">
            <v>a</v>
          </cell>
        </row>
        <row r="447">
          <cell r="B447" t="str">
            <v>프라임코팅</v>
          </cell>
          <cell r="C447" t="str">
            <v>80 L/a당</v>
          </cell>
          <cell r="D447">
            <v>0.161</v>
          </cell>
          <cell r="E447" t="str">
            <v>a</v>
          </cell>
        </row>
        <row r="448">
          <cell r="B448" t="str">
            <v>보조기층포설및다짐</v>
          </cell>
          <cell r="D448">
            <v>777</v>
          </cell>
          <cell r="E448" t="str">
            <v>m3</v>
          </cell>
        </row>
        <row r="449">
          <cell r="B449" t="str">
            <v>몰탈</v>
          </cell>
          <cell r="C449" t="str">
            <v>1:3</v>
          </cell>
          <cell r="D449">
            <v>0.161</v>
          </cell>
          <cell r="E449" t="str">
            <v>m3</v>
          </cell>
        </row>
        <row r="450">
          <cell r="B450" t="str">
            <v>보도경계블럭설치</v>
          </cell>
          <cell r="C450" t="str">
            <v>180*205*250</v>
          </cell>
          <cell r="D450">
            <v>777</v>
          </cell>
          <cell r="E450" t="str">
            <v>m</v>
          </cell>
        </row>
        <row r="451">
          <cell r="B451" t="str">
            <v>도로경계블럭설치</v>
          </cell>
          <cell r="C451" t="str">
            <v>120*120</v>
          </cell>
          <cell r="D451">
            <v>16.5</v>
          </cell>
          <cell r="E451" t="str">
            <v>m</v>
          </cell>
        </row>
        <row r="452">
          <cell r="B452" t="str">
            <v>ILP고압블럭설치</v>
          </cell>
          <cell r="C452" t="str">
            <v>T=6cm</v>
          </cell>
          <cell r="D452">
            <v>19.84</v>
          </cell>
          <cell r="E452" t="str">
            <v>m2</v>
          </cell>
        </row>
        <row r="453">
          <cell r="B453" t="str">
            <v>차선도색</v>
          </cell>
          <cell r="C453" t="str">
            <v>로타리식기계</v>
          </cell>
          <cell r="D453">
            <v>7.6580000000000004</v>
          </cell>
          <cell r="E453" t="str">
            <v>m2</v>
          </cell>
        </row>
        <row r="454">
          <cell r="B454" t="str">
            <v>5)외부계단</v>
          </cell>
        </row>
        <row r="455">
          <cell r="B455" t="str">
            <v>레미콘타설</v>
          </cell>
          <cell r="C455" t="str">
            <v>철근구조물</v>
          </cell>
          <cell r="D455">
            <v>3.97</v>
          </cell>
          <cell r="E455" t="str">
            <v>m3</v>
          </cell>
        </row>
        <row r="456">
          <cell r="B456" t="str">
            <v>레미콘타설</v>
          </cell>
          <cell r="C456" t="str">
            <v>무근구조물</v>
          </cell>
          <cell r="D456">
            <v>0.1</v>
          </cell>
          <cell r="E456" t="str">
            <v>m3</v>
          </cell>
        </row>
        <row r="457">
          <cell r="B457" t="str">
            <v>합판거푸집</v>
          </cell>
          <cell r="C457" t="str">
            <v>6회</v>
          </cell>
          <cell r="D457">
            <v>0.74</v>
          </cell>
          <cell r="E457" t="str">
            <v>m2</v>
          </cell>
        </row>
        <row r="458">
          <cell r="B458" t="str">
            <v>합판거푸집</v>
          </cell>
          <cell r="C458" t="str">
            <v>4회</v>
          </cell>
          <cell r="D458">
            <v>22.35</v>
          </cell>
          <cell r="E458" t="str">
            <v>m2</v>
          </cell>
        </row>
        <row r="459">
          <cell r="B459" t="str">
            <v>철근가공및조립</v>
          </cell>
          <cell r="C459" t="str">
            <v>보통</v>
          </cell>
          <cell r="D459">
            <v>8.2000000000000003E-2</v>
          </cell>
          <cell r="E459" t="str">
            <v>TON</v>
          </cell>
        </row>
        <row r="460">
          <cell r="B460" t="str">
            <v>6)부대시설</v>
          </cell>
        </row>
        <row r="461">
          <cell r="A461">
            <v>32</v>
          </cell>
          <cell r="B461" t="str">
            <v>울타리설치</v>
          </cell>
          <cell r="C461" t="str">
            <v>B=2.0M,H=1.8M</v>
          </cell>
          <cell r="D461">
            <v>311.5</v>
          </cell>
          <cell r="E461" t="str">
            <v>스판</v>
          </cell>
        </row>
        <row r="462">
          <cell r="B462" t="str">
            <v>테니스장</v>
          </cell>
          <cell r="C462" t="str">
            <v>21.5*35.5</v>
          </cell>
          <cell r="D462">
            <v>1</v>
          </cell>
          <cell r="E462" t="str">
            <v>식</v>
          </cell>
        </row>
        <row r="463">
          <cell r="B463" t="str">
            <v>출입문</v>
          </cell>
          <cell r="C463" t="str">
            <v>1.8M*6M</v>
          </cell>
          <cell r="D463">
            <v>2</v>
          </cell>
          <cell r="E463" t="str">
            <v>개소</v>
          </cell>
        </row>
        <row r="464">
          <cell r="B464" t="str">
            <v>7)가설비</v>
          </cell>
        </row>
        <row r="465">
          <cell r="B465" t="str">
            <v>조립식가설사무소</v>
          </cell>
          <cell r="C465" t="str">
            <v>2년</v>
          </cell>
          <cell r="D465">
            <v>160</v>
          </cell>
          <cell r="E465" t="str">
            <v>m2</v>
          </cell>
        </row>
        <row r="466">
          <cell r="B466" t="str">
            <v>조립식가설창고</v>
          </cell>
          <cell r="C466" t="str">
            <v>2년</v>
          </cell>
          <cell r="D466">
            <v>120</v>
          </cell>
          <cell r="E466" t="str">
            <v>m2</v>
          </cell>
        </row>
        <row r="467">
          <cell r="B467" t="str">
            <v>조립식시험실</v>
          </cell>
          <cell r="C467" t="str">
            <v>2년</v>
          </cell>
          <cell r="D467">
            <v>40</v>
          </cell>
          <cell r="E467" t="str">
            <v>m2</v>
          </cell>
        </row>
        <row r="468">
          <cell r="B468" t="str">
            <v>4.운반비</v>
          </cell>
        </row>
        <row r="469">
          <cell r="B469" t="str">
            <v>시멘트운반</v>
          </cell>
          <cell r="D469">
            <v>323</v>
          </cell>
          <cell r="E469" t="str">
            <v>포</v>
          </cell>
        </row>
        <row r="470">
          <cell r="B470" t="str">
            <v>모래운반</v>
          </cell>
          <cell r="D470">
            <v>122</v>
          </cell>
          <cell r="E470" t="str">
            <v>m3</v>
          </cell>
        </row>
        <row r="471">
          <cell r="B471" t="str">
            <v>잡석운반</v>
          </cell>
          <cell r="D471">
            <v>34</v>
          </cell>
          <cell r="E471" t="str">
            <v>m3</v>
          </cell>
        </row>
        <row r="472">
          <cell r="B472" t="str">
            <v>자갈운반</v>
          </cell>
          <cell r="D472">
            <v>9</v>
          </cell>
          <cell r="E472" t="str">
            <v>m3</v>
          </cell>
        </row>
        <row r="473">
          <cell r="B473" t="str">
            <v>철근운반</v>
          </cell>
          <cell r="D473">
            <v>440.697</v>
          </cell>
          <cell r="E473" t="str">
            <v>TON</v>
          </cell>
        </row>
        <row r="474">
          <cell r="B474" t="str">
            <v>흄관운반</v>
          </cell>
          <cell r="C474" t="str">
            <v>D=250M/M</v>
          </cell>
          <cell r="D474">
            <v>62</v>
          </cell>
          <cell r="E474" t="str">
            <v>본</v>
          </cell>
        </row>
        <row r="475">
          <cell r="B475" t="str">
            <v>흄관운반</v>
          </cell>
          <cell r="C475" t="str">
            <v>D=300M/M</v>
          </cell>
          <cell r="D475">
            <v>15</v>
          </cell>
          <cell r="E475" t="str">
            <v>본</v>
          </cell>
        </row>
        <row r="476">
          <cell r="B476" t="str">
            <v>흄관운반</v>
          </cell>
          <cell r="C476" t="str">
            <v>D=450M/M</v>
          </cell>
          <cell r="D476">
            <v>229</v>
          </cell>
          <cell r="E476" t="str">
            <v>본</v>
          </cell>
        </row>
        <row r="477">
          <cell r="B477" t="str">
            <v>흄관운반</v>
          </cell>
          <cell r="C477" t="str">
            <v>D=600M/M</v>
          </cell>
          <cell r="D477">
            <v>38</v>
          </cell>
          <cell r="E477" t="str">
            <v>본</v>
          </cell>
        </row>
        <row r="478">
          <cell r="A478">
            <v>33</v>
          </cell>
          <cell r="B478" t="str">
            <v>구내배관운반</v>
          </cell>
          <cell r="D478">
            <v>48.442</v>
          </cell>
          <cell r="E478" t="str">
            <v>TON</v>
          </cell>
        </row>
        <row r="479">
          <cell r="B479" t="str">
            <v>아스콘(#467)</v>
          </cell>
          <cell r="C479" t="str">
            <v>운반</v>
          </cell>
          <cell r="D479">
            <v>1414</v>
          </cell>
          <cell r="E479" t="str">
            <v>TON</v>
          </cell>
        </row>
        <row r="480">
          <cell r="B480" t="str">
            <v>아스콘(#78)</v>
          </cell>
          <cell r="C480" t="str">
            <v>운반</v>
          </cell>
          <cell r="D480">
            <v>738</v>
          </cell>
          <cell r="E480" t="str">
            <v>TON</v>
          </cell>
        </row>
        <row r="481">
          <cell r="B481" t="str">
            <v>아스팔트(MC-3)</v>
          </cell>
          <cell r="C481" t="str">
            <v>운반</v>
          </cell>
          <cell r="D481">
            <v>25</v>
          </cell>
          <cell r="E481" t="str">
            <v>드럼</v>
          </cell>
        </row>
        <row r="482">
          <cell r="B482" t="str">
            <v>아스팔트(RSC-4)</v>
          </cell>
          <cell r="C482" t="str">
            <v>운반</v>
          </cell>
          <cell r="D482">
            <v>9</v>
          </cell>
          <cell r="E482" t="str">
            <v>드럼</v>
          </cell>
        </row>
        <row r="483">
          <cell r="B483" t="str">
            <v>보조기층재운반</v>
          </cell>
          <cell r="D483">
            <v>3621</v>
          </cell>
          <cell r="E483" t="str">
            <v>m3</v>
          </cell>
        </row>
        <row r="484">
          <cell r="B484" t="str">
            <v>중기 운반비</v>
          </cell>
          <cell r="D484">
            <v>1</v>
          </cell>
          <cell r="E484" t="str">
            <v>식</v>
          </cell>
        </row>
        <row r="485">
          <cell r="B485" t="str">
            <v>SHEET-PILE운반</v>
          </cell>
          <cell r="C485" t="str">
            <v>H=9.0M</v>
          </cell>
          <cell r="D485">
            <v>51.375</v>
          </cell>
          <cell r="E485" t="str">
            <v>TON</v>
          </cell>
        </row>
        <row r="486">
          <cell r="B486" t="str">
            <v>*사급자재비</v>
          </cell>
        </row>
        <row r="487">
          <cell r="B487" t="str">
            <v>스페이서</v>
          </cell>
          <cell r="C487" t="str">
            <v>T=150</v>
          </cell>
          <cell r="D487">
            <v>2228</v>
          </cell>
          <cell r="E487" t="str">
            <v>EA</v>
          </cell>
        </row>
        <row r="488">
          <cell r="B488" t="str">
            <v>스페이서</v>
          </cell>
          <cell r="C488" t="str">
            <v>T=100</v>
          </cell>
          <cell r="D488">
            <v>1228</v>
          </cell>
          <cell r="E488" t="str">
            <v>EA</v>
          </cell>
        </row>
        <row r="489">
          <cell r="B489" t="str">
            <v>스페이서</v>
          </cell>
          <cell r="C489" t="str">
            <v>T=80</v>
          </cell>
          <cell r="D489">
            <v>13138</v>
          </cell>
          <cell r="E489" t="str">
            <v>EA</v>
          </cell>
        </row>
        <row r="490">
          <cell r="B490" t="str">
            <v>스페이서</v>
          </cell>
          <cell r="C490" t="str">
            <v>T=60</v>
          </cell>
          <cell r="D490">
            <v>1690</v>
          </cell>
          <cell r="E490" t="str">
            <v>EA</v>
          </cell>
        </row>
        <row r="491">
          <cell r="B491" t="str">
            <v>스페이서</v>
          </cell>
          <cell r="C491" t="str">
            <v>T=50</v>
          </cell>
          <cell r="D491">
            <v>938</v>
          </cell>
          <cell r="E491" t="str">
            <v>EA</v>
          </cell>
        </row>
        <row r="492">
          <cell r="B492" t="str">
            <v>그레이팅뚜껑</v>
          </cell>
          <cell r="C492" t="str">
            <v>690*2890*44</v>
          </cell>
          <cell r="D492">
            <v>1</v>
          </cell>
          <cell r="E492" t="str">
            <v>EA</v>
          </cell>
        </row>
        <row r="493">
          <cell r="B493" t="str">
            <v>그레이팅뚜껑</v>
          </cell>
          <cell r="C493" t="str">
            <v>690*2090*44</v>
          </cell>
          <cell r="D493">
            <v>1</v>
          </cell>
          <cell r="E493" t="str">
            <v>EA</v>
          </cell>
        </row>
        <row r="494">
          <cell r="B494" t="str">
            <v>그레이팅뚜껑</v>
          </cell>
          <cell r="C494" t="str">
            <v>690*1090*44</v>
          </cell>
          <cell r="D494">
            <v>3</v>
          </cell>
          <cell r="E494" t="str">
            <v>EA</v>
          </cell>
        </row>
        <row r="495">
          <cell r="B495" t="str">
            <v>그레이팅뚜껑</v>
          </cell>
          <cell r="C495" t="str">
            <v>690*690*44</v>
          </cell>
          <cell r="D495">
            <v>9</v>
          </cell>
          <cell r="E495" t="str">
            <v>EA</v>
          </cell>
        </row>
        <row r="496">
          <cell r="B496" t="str">
            <v>그레이팅뚜껑</v>
          </cell>
          <cell r="C496" t="str">
            <v>690*1590*44</v>
          </cell>
          <cell r="D496">
            <v>1</v>
          </cell>
          <cell r="E496" t="str">
            <v>EA</v>
          </cell>
        </row>
        <row r="497">
          <cell r="B497" t="str">
            <v>그레이팅뚜껑</v>
          </cell>
          <cell r="C497" t="str">
            <v>890*890*44</v>
          </cell>
          <cell r="D497">
            <v>6</v>
          </cell>
          <cell r="E497" t="str">
            <v>EA</v>
          </cell>
        </row>
        <row r="498">
          <cell r="B498" t="str">
            <v>그레이팅뚜껑</v>
          </cell>
          <cell r="C498" t="str">
            <v>1090*1090*44</v>
          </cell>
          <cell r="D498">
            <v>5</v>
          </cell>
          <cell r="E498" t="str">
            <v>EA</v>
          </cell>
        </row>
        <row r="499">
          <cell r="B499" t="str">
            <v>그레이팅뚜껑</v>
          </cell>
          <cell r="C499" t="str">
            <v>345*590*44</v>
          </cell>
          <cell r="D499">
            <v>2</v>
          </cell>
          <cell r="E499" t="str">
            <v>EA</v>
          </cell>
        </row>
        <row r="500">
          <cell r="B500" t="str">
            <v>그레이팅뚜껑</v>
          </cell>
          <cell r="C500" t="str">
            <v>3090*490*44</v>
          </cell>
          <cell r="D500">
            <v>6</v>
          </cell>
          <cell r="E500" t="str">
            <v>EA</v>
          </cell>
        </row>
        <row r="501">
          <cell r="B501" t="str">
            <v>그레이팅뚜껑</v>
          </cell>
          <cell r="C501" t="str">
            <v>6522*590*44</v>
          </cell>
          <cell r="D501">
            <v>4</v>
          </cell>
          <cell r="E501" t="str">
            <v>EA</v>
          </cell>
        </row>
        <row r="502">
          <cell r="B502" t="str">
            <v>그레이팅뚜껑</v>
          </cell>
          <cell r="C502" t="str">
            <v>1090*590*44</v>
          </cell>
          <cell r="D502">
            <v>4</v>
          </cell>
          <cell r="E502" t="str">
            <v>EA</v>
          </cell>
        </row>
        <row r="503">
          <cell r="B503" t="str">
            <v>그레이팅뚜껑</v>
          </cell>
          <cell r="C503" t="str">
            <v>845*845*44</v>
          </cell>
          <cell r="D503">
            <v>6</v>
          </cell>
          <cell r="E503" t="str">
            <v>EA</v>
          </cell>
        </row>
        <row r="504">
          <cell r="B504" t="str">
            <v>그레이팅뚜껑</v>
          </cell>
          <cell r="C504" t="str">
            <v>900*290*44</v>
          </cell>
          <cell r="D504">
            <v>4</v>
          </cell>
          <cell r="E504" t="str">
            <v>EA</v>
          </cell>
        </row>
        <row r="505">
          <cell r="B505" t="str">
            <v>그레이팅뚜껑</v>
          </cell>
          <cell r="C505" t="str">
            <v>890*690*44</v>
          </cell>
          <cell r="D505">
            <v>6</v>
          </cell>
          <cell r="E505" t="str">
            <v>EA</v>
          </cell>
        </row>
        <row r="506">
          <cell r="B506" t="str">
            <v>그레이팅뚜껑</v>
          </cell>
          <cell r="C506" t="str">
            <v>890*2290*44</v>
          </cell>
          <cell r="D506">
            <v>1</v>
          </cell>
          <cell r="E506" t="str">
            <v>EA</v>
          </cell>
        </row>
        <row r="507">
          <cell r="B507" t="str">
            <v>그레이팅뚜껑</v>
          </cell>
          <cell r="C507" t="str">
            <v>890*2200*44</v>
          </cell>
          <cell r="D507">
            <v>1</v>
          </cell>
          <cell r="E507" t="str">
            <v>EA</v>
          </cell>
        </row>
        <row r="508">
          <cell r="B508" t="str">
            <v>그레이팅뚜껑</v>
          </cell>
          <cell r="C508" t="str">
            <v>5600*590*44</v>
          </cell>
          <cell r="D508">
            <v>4</v>
          </cell>
          <cell r="E508" t="str">
            <v>EA</v>
          </cell>
        </row>
        <row r="509">
          <cell r="B509" t="str">
            <v>그레이팅뚜껑</v>
          </cell>
          <cell r="C509" t="str">
            <v>1590*1590*44</v>
          </cell>
          <cell r="D509">
            <v>1</v>
          </cell>
          <cell r="E509" t="str">
            <v>EA</v>
          </cell>
        </row>
        <row r="510">
          <cell r="B510" t="str">
            <v>농축조 카바</v>
          </cell>
          <cell r="C510" t="str">
            <v>D=2800M/M</v>
          </cell>
          <cell r="D510">
            <v>2</v>
          </cell>
          <cell r="E510" t="str">
            <v>EA</v>
          </cell>
        </row>
        <row r="511">
          <cell r="B511" t="str">
            <v>공동구카바</v>
          </cell>
          <cell r="C511" t="str">
            <v>2900*1400</v>
          </cell>
          <cell r="D511">
            <v>4</v>
          </cell>
          <cell r="E511" t="str">
            <v>EA</v>
          </cell>
        </row>
        <row r="512">
          <cell r="B512" t="str">
            <v xml:space="preserve">PVC PIPE </v>
          </cell>
          <cell r="C512" t="str">
            <v>D=25M/M</v>
          </cell>
          <cell r="D512">
            <v>33.6</v>
          </cell>
          <cell r="E512" t="str">
            <v>m</v>
          </cell>
        </row>
        <row r="513">
          <cell r="B513" t="str">
            <v xml:space="preserve">PVC PIPE </v>
          </cell>
          <cell r="C513" t="str">
            <v>D=100M/M</v>
          </cell>
          <cell r="D513">
            <v>2.2999999999999998</v>
          </cell>
          <cell r="E513" t="str">
            <v>m</v>
          </cell>
        </row>
        <row r="514">
          <cell r="B514" t="str">
            <v xml:space="preserve">PVC PIPE </v>
          </cell>
          <cell r="C514" t="str">
            <v>D=150M/M</v>
          </cell>
          <cell r="D514">
            <v>85.1</v>
          </cell>
          <cell r="E514" t="str">
            <v>m</v>
          </cell>
        </row>
        <row r="515">
          <cell r="B515" t="str">
            <v>잡석</v>
          </cell>
          <cell r="D515">
            <v>34</v>
          </cell>
          <cell r="E515" t="str">
            <v>m</v>
          </cell>
        </row>
        <row r="516">
          <cell r="B516" t="str">
            <v>모래</v>
          </cell>
          <cell r="D516">
            <v>122</v>
          </cell>
          <cell r="E516" t="str">
            <v>m3</v>
          </cell>
        </row>
        <row r="517">
          <cell r="B517" t="str">
            <v>자갈</v>
          </cell>
          <cell r="C517" t="str">
            <v>D=25M/M</v>
          </cell>
          <cell r="D517">
            <v>9</v>
          </cell>
          <cell r="E517" t="str">
            <v>m3</v>
          </cell>
        </row>
        <row r="518">
          <cell r="B518" t="str">
            <v>보조기층</v>
          </cell>
          <cell r="D518">
            <v>3621</v>
          </cell>
          <cell r="E518" t="str">
            <v>m3</v>
          </cell>
        </row>
        <row r="519">
          <cell r="B519" t="str">
            <v>동판지수판</v>
          </cell>
          <cell r="C519" t="str">
            <v>B=450*21</v>
          </cell>
          <cell r="D519">
            <v>103.69</v>
          </cell>
          <cell r="E519" t="str">
            <v>kg</v>
          </cell>
        </row>
        <row r="520">
          <cell r="B520" t="str">
            <v>SLOP-BAR</v>
          </cell>
          <cell r="C520" t="str">
            <v>D=19M/M</v>
          </cell>
          <cell r="D520">
            <v>56</v>
          </cell>
          <cell r="E520" t="str">
            <v>EA</v>
          </cell>
        </row>
        <row r="521">
          <cell r="B521" t="str">
            <v>PC파일</v>
          </cell>
          <cell r="C521" t="str">
            <v>D=350,L=4M</v>
          </cell>
          <cell r="D521">
            <v>35</v>
          </cell>
          <cell r="E521" t="str">
            <v>본</v>
          </cell>
        </row>
        <row r="522">
          <cell r="B522" t="str">
            <v>PC파일</v>
          </cell>
          <cell r="C522" t="str">
            <v>D=350,L=5M</v>
          </cell>
          <cell r="D522">
            <v>102</v>
          </cell>
          <cell r="E522" t="str">
            <v>본</v>
          </cell>
        </row>
        <row r="523">
          <cell r="B523" t="str">
            <v>PC파일</v>
          </cell>
          <cell r="C523" t="str">
            <v>D=350,L=6M</v>
          </cell>
          <cell r="D523">
            <v>56</v>
          </cell>
          <cell r="E523" t="str">
            <v>본</v>
          </cell>
        </row>
        <row r="524">
          <cell r="B524" t="str">
            <v>PC파일</v>
          </cell>
          <cell r="C524" t="str">
            <v>D=350,L=7M</v>
          </cell>
          <cell r="D524">
            <v>15</v>
          </cell>
          <cell r="E524" t="str">
            <v>본</v>
          </cell>
        </row>
        <row r="525">
          <cell r="B525" t="str">
            <v>PC파일</v>
          </cell>
          <cell r="C525" t="str">
            <v>D=350,L=8M</v>
          </cell>
          <cell r="D525">
            <v>8</v>
          </cell>
          <cell r="E525" t="str">
            <v>본</v>
          </cell>
        </row>
        <row r="526">
          <cell r="B526" t="str">
            <v>PC파일</v>
          </cell>
          <cell r="C526" t="str">
            <v>D=350,L=9M</v>
          </cell>
          <cell r="D526">
            <v>154</v>
          </cell>
          <cell r="E526" t="str">
            <v>본</v>
          </cell>
        </row>
        <row r="527">
          <cell r="B527" t="str">
            <v xml:space="preserve">PE관 </v>
          </cell>
          <cell r="C527" t="str">
            <v>D=100M/M</v>
          </cell>
          <cell r="D527">
            <v>25</v>
          </cell>
          <cell r="E527" t="str">
            <v>본</v>
          </cell>
        </row>
        <row r="528">
          <cell r="B528" t="str">
            <v xml:space="preserve">PE관 </v>
          </cell>
          <cell r="C528" t="str">
            <v>D=200M/M</v>
          </cell>
          <cell r="D528">
            <v>174</v>
          </cell>
          <cell r="E528" t="str">
            <v>본</v>
          </cell>
        </row>
        <row r="529">
          <cell r="A529">
            <v>36</v>
          </cell>
          <cell r="B529" t="str">
            <v xml:space="preserve">PE관 </v>
          </cell>
          <cell r="C529" t="str">
            <v>D=250M/M</v>
          </cell>
          <cell r="D529">
            <v>260</v>
          </cell>
          <cell r="E529" t="str">
            <v>본</v>
          </cell>
        </row>
        <row r="530">
          <cell r="B530" t="str">
            <v xml:space="preserve">PE곡관 </v>
          </cell>
          <cell r="C530" t="str">
            <v>D=200*45</v>
          </cell>
          <cell r="D530">
            <v>2</v>
          </cell>
          <cell r="E530" t="str">
            <v>본</v>
          </cell>
        </row>
        <row r="531">
          <cell r="B531" t="str">
            <v xml:space="preserve">PE곡관 </v>
          </cell>
          <cell r="C531" t="str">
            <v>16*90</v>
          </cell>
          <cell r="D531">
            <v>3</v>
          </cell>
          <cell r="E531" t="str">
            <v>본</v>
          </cell>
        </row>
        <row r="532">
          <cell r="B532" t="str">
            <v xml:space="preserve">PE곡관 </v>
          </cell>
          <cell r="C532" t="str">
            <v>25*90</v>
          </cell>
          <cell r="D532">
            <v>5</v>
          </cell>
          <cell r="E532" t="str">
            <v>본</v>
          </cell>
        </row>
        <row r="533">
          <cell r="B533" t="str">
            <v xml:space="preserve">PE곡관 </v>
          </cell>
          <cell r="C533" t="str">
            <v>40*90</v>
          </cell>
          <cell r="D533">
            <v>7</v>
          </cell>
          <cell r="E533" t="str">
            <v>본</v>
          </cell>
        </row>
        <row r="534">
          <cell r="B534" t="str">
            <v xml:space="preserve">PE곡관 </v>
          </cell>
          <cell r="C534" t="str">
            <v>50*90</v>
          </cell>
          <cell r="D534">
            <v>2</v>
          </cell>
          <cell r="E534" t="str">
            <v>본</v>
          </cell>
        </row>
        <row r="535">
          <cell r="B535" t="str">
            <v>수도용 PE 관</v>
          </cell>
          <cell r="C535" t="str">
            <v>D=16M/M</v>
          </cell>
          <cell r="D535">
            <v>18</v>
          </cell>
          <cell r="E535" t="str">
            <v>m</v>
          </cell>
        </row>
        <row r="536">
          <cell r="B536" t="str">
            <v>수도용 PE 관</v>
          </cell>
          <cell r="C536" t="str">
            <v>D=25M/M</v>
          </cell>
          <cell r="D536">
            <v>123</v>
          </cell>
          <cell r="E536" t="str">
            <v>m</v>
          </cell>
        </row>
        <row r="537">
          <cell r="B537" t="str">
            <v>수도용 PE 관</v>
          </cell>
          <cell r="C537" t="str">
            <v>D=40M/M</v>
          </cell>
          <cell r="D537">
            <v>76</v>
          </cell>
          <cell r="E537" t="str">
            <v>m</v>
          </cell>
        </row>
        <row r="538">
          <cell r="B538" t="str">
            <v>수도용 PE 관</v>
          </cell>
          <cell r="C538" t="str">
            <v>D=50M/M</v>
          </cell>
          <cell r="D538">
            <v>77</v>
          </cell>
          <cell r="E538" t="str">
            <v>m</v>
          </cell>
        </row>
        <row r="539">
          <cell r="B539" t="str">
            <v>PE 이경티</v>
          </cell>
          <cell r="C539" t="str">
            <v>D=40*25M/M</v>
          </cell>
          <cell r="D539">
            <v>1</v>
          </cell>
          <cell r="E539" t="str">
            <v>EA</v>
          </cell>
        </row>
        <row r="540">
          <cell r="B540" t="str">
            <v>콘크리트뚜껑</v>
          </cell>
          <cell r="C540" t="str">
            <v>550*620*80</v>
          </cell>
          <cell r="D540">
            <v>16</v>
          </cell>
          <cell r="E540" t="str">
            <v>EA</v>
          </cell>
        </row>
        <row r="541">
          <cell r="B541" t="str">
            <v>콘크리트뚜껑</v>
          </cell>
          <cell r="C541" t="str">
            <v>500*440*80</v>
          </cell>
          <cell r="D541">
            <v>90</v>
          </cell>
          <cell r="E541" t="str">
            <v>EA</v>
          </cell>
        </row>
        <row r="542">
          <cell r="B542" t="str">
            <v>스틸그레이팅</v>
          </cell>
          <cell r="C542" t="str">
            <v>400*500*50</v>
          </cell>
          <cell r="D542">
            <v>43</v>
          </cell>
          <cell r="E542" t="str">
            <v>조</v>
          </cell>
        </row>
        <row r="543">
          <cell r="B543" t="str">
            <v>PE차단식홈통받이</v>
          </cell>
          <cell r="C543" t="str">
            <v>D=500,H=600</v>
          </cell>
          <cell r="D543">
            <v>7</v>
          </cell>
          <cell r="E543" t="str">
            <v>EA</v>
          </cell>
        </row>
        <row r="544">
          <cell r="B544" t="str">
            <v>맨홀뚜껑</v>
          </cell>
          <cell r="C544" t="str">
            <v>D=648M/M</v>
          </cell>
          <cell r="D544">
            <v>38</v>
          </cell>
          <cell r="E544" t="str">
            <v>조</v>
          </cell>
        </row>
        <row r="545">
          <cell r="B545" t="str">
            <v>STS PIPE</v>
          </cell>
          <cell r="C545" t="str">
            <v>D=50M/M</v>
          </cell>
          <cell r="D545">
            <v>0.5</v>
          </cell>
          <cell r="E545" t="str">
            <v>m</v>
          </cell>
        </row>
        <row r="546">
          <cell r="B546" t="str">
            <v>STS 곡관</v>
          </cell>
          <cell r="C546" t="str">
            <v>50*90</v>
          </cell>
          <cell r="D546">
            <v>2</v>
          </cell>
          <cell r="E546" t="str">
            <v>EA</v>
          </cell>
        </row>
        <row r="547">
          <cell r="B547" t="str">
            <v>도로경계블럭</v>
          </cell>
          <cell r="C547" t="str">
            <v>120*120</v>
          </cell>
          <cell r="D547">
            <v>17</v>
          </cell>
          <cell r="E547" t="str">
            <v>m</v>
          </cell>
        </row>
        <row r="548">
          <cell r="B548" t="str">
            <v>ILP고압블럭설치</v>
          </cell>
          <cell r="C548" t="str">
            <v>T=6cm</v>
          </cell>
          <cell r="D548">
            <v>20.440000000000001</v>
          </cell>
          <cell r="E548" t="str">
            <v>m2</v>
          </cell>
        </row>
        <row r="549">
          <cell r="B549" t="str">
            <v>플랜지단관</v>
          </cell>
          <cell r="C549" t="str">
            <v>D=100,L=1.00</v>
          </cell>
          <cell r="D549">
            <v>10</v>
          </cell>
          <cell r="E549" t="str">
            <v>EA</v>
          </cell>
        </row>
        <row r="550">
          <cell r="B550" t="str">
            <v>플랜지단관</v>
          </cell>
          <cell r="C550" t="str">
            <v>D=100,L=0.31</v>
          </cell>
          <cell r="D550">
            <v>2</v>
          </cell>
          <cell r="E550" t="str">
            <v>EA</v>
          </cell>
        </row>
        <row r="551">
          <cell r="B551" t="str">
            <v>플랜지단관</v>
          </cell>
          <cell r="C551" t="str">
            <v>D=100,L=0.399</v>
          </cell>
          <cell r="D551">
            <v>2</v>
          </cell>
          <cell r="E551" t="str">
            <v>EA</v>
          </cell>
        </row>
        <row r="552">
          <cell r="B552" t="str">
            <v>플랜지단관</v>
          </cell>
          <cell r="C552" t="str">
            <v>D=100,L=0.75</v>
          </cell>
          <cell r="D552">
            <v>2</v>
          </cell>
          <cell r="E552" t="str">
            <v>EA</v>
          </cell>
        </row>
        <row r="553">
          <cell r="B553" t="str">
            <v>플랜지단관</v>
          </cell>
          <cell r="C553" t="str">
            <v>D=150,L=0.755</v>
          </cell>
          <cell r="D553">
            <v>2</v>
          </cell>
          <cell r="E553" t="str">
            <v>EA</v>
          </cell>
        </row>
        <row r="554">
          <cell r="B554" t="str">
            <v>플랜지단관</v>
          </cell>
          <cell r="C554" t="str">
            <v>D=200,L=1.00</v>
          </cell>
          <cell r="D554">
            <v>6</v>
          </cell>
          <cell r="E554" t="str">
            <v>EA</v>
          </cell>
        </row>
        <row r="555">
          <cell r="B555" t="str">
            <v>플랜지단관</v>
          </cell>
          <cell r="C555" t="str">
            <v>D=250,L=1.00</v>
          </cell>
          <cell r="D555">
            <v>10</v>
          </cell>
          <cell r="E555" t="str">
            <v>EA</v>
          </cell>
        </row>
        <row r="556">
          <cell r="B556" t="str">
            <v>플랜지단관</v>
          </cell>
          <cell r="C556" t="str">
            <v>D=250,L=1.245</v>
          </cell>
          <cell r="D556">
            <v>2</v>
          </cell>
          <cell r="E556" t="str">
            <v>EA</v>
          </cell>
        </row>
        <row r="557">
          <cell r="B557" t="str">
            <v>플랜지단관</v>
          </cell>
          <cell r="C557" t="str">
            <v>D=250,L=3.145</v>
          </cell>
          <cell r="D557">
            <v>2</v>
          </cell>
          <cell r="E557" t="str">
            <v>EA</v>
          </cell>
        </row>
        <row r="558">
          <cell r="B558" t="str">
            <v>플랜지단관</v>
          </cell>
          <cell r="C558" t="str">
            <v>D=300,L=0.875</v>
          </cell>
          <cell r="D558">
            <v>2</v>
          </cell>
          <cell r="E558" t="str">
            <v>EA</v>
          </cell>
        </row>
        <row r="559">
          <cell r="B559" t="str">
            <v>플랜지단관</v>
          </cell>
          <cell r="C559" t="str">
            <v>D=300,L=0.605</v>
          </cell>
          <cell r="D559">
            <v>1</v>
          </cell>
          <cell r="E559" t="str">
            <v>EA</v>
          </cell>
        </row>
        <row r="560">
          <cell r="B560" t="str">
            <v>플랜지단관</v>
          </cell>
          <cell r="C560" t="str">
            <v>D=350,L=1.00</v>
          </cell>
          <cell r="D560">
            <v>1</v>
          </cell>
          <cell r="E560" t="str">
            <v>EA</v>
          </cell>
        </row>
        <row r="561">
          <cell r="B561" t="str">
            <v>플랜지단관</v>
          </cell>
          <cell r="C561" t="str">
            <v>D=350,L=0.74</v>
          </cell>
          <cell r="D561">
            <v>1</v>
          </cell>
          <cell r="E561" t="str">
            <v>EA</v>
          </cell>
        </row>
        <row r="562">
          <cell r="B562" t="str">
            <v>플랜지단관</v>
          </cell>
          <cell r="C562" t="str">
            <v>D=400,L=1.00</v>
          </cell>
          <cell r="D562">
            <v>6</v>
          </cell>
          <cell r="E562" t="str">
            <v>EA</v>
          </cell>
        </row>
        <row r="563">
          <cell r="A563">
            <v>39</v>
          </cell>
          <cell r="B563" t="str">
            <v>플랜지단관</v>
          </cell>
          <cell r="C563" t="str">
            <v>D=400,L=2.58</v>
          </cell>
          <cell r="D563">
            <v>2</v>
          </cell>
          <cell r="E563" t="str">
            <v>EA</v>
          </cell>
        </row>
        <row r="564">
          <cell r="B564" t="str">
            <v>플랜지관</v>
          </cell>
          <cell r="C564" t="str">
            <v>D=350</v>
          </cell>
          <cell r="D564">
            <v>1</v>
          </cell>
          <cell r="E564" t="str">
            <v>EA</v>
          </cell>
        </row>
        <row r="565">
          <cell r="B565" t="str">
            <v>플랜지관</v>
          </cell>
          <cell r="C565" t="str">
            <v>D=400</v>
          </cell>
          <cell r="D565">
            <v>4</v>
          </cell>
          <cell r="E565" t="str">
            <v>EA</v>
          </cell>
        </row>
        <row r="566">
          <cell r="B566" t="str">
            <v>플랜지관</v>
          </cell>
          <cell r="C566" t="str">
            <v>D=500</v>
          </cell>
          <cell r="D566">
            <v>2</v>
          </cell>
          <cell r="E566" t="str">
            <v>EA</v>
          </cell>
        </row>
        <row r="567">
          <cell r="B567" t="str">
            <v>플랜지관</v>
          </cell>
          <cell r="C567" t="str">
            <v>D=600</v>
          </cell>
          <cell r="D567">
            <v>2</v>
          </cell>
          <cell r="E567" t="str">
            <v>EA</v>
          </cell>
        </row>
        <row r="568">
          <cell r="B568" t="str">
            <v>소켓단관</v>
          </cell>
          <cell r="C568" t="str">
            <v>D=100,L=2.61</v>
          </cell>
          <cell r="D568">
            <v>1</v>
          </cell>
          <cell r="E568" t="str">
            <v>EA</v>
          </cell>
        </row>
        <row r="569">
          <cell r="B569" t="str">
            <v>소켓단관</v>
          </cell>
          <cell r="C569" t="str">
            <v>D=100,L=1.61</v>
          </cell>
          <cell r="D569">
            <v>1</v>
          </cell>
          <cell r="E569" t="str">
            <v>EA</v>
          </cell>
        </row>
        <row r="570">
          <cell r="B570" t="str">
            <v>소켓단관</v>
          </cell>
          <cell r="C570" t="str">
            <v>D=100,L=1.839</v>
          </cell>
          <cell r="D570">
            <v>2</v>
          </cell>
          <cell r="E570" t="str">
            <v>EA</v>
          </cell>
        </row>
        <row r="571">
          <cell r="B571" t="str">
            <v>소켓단관</v>
          </cell>
          <cell r="C571" t="str">
            <v>D=100,L=2.77</v>
          </cell>
          <cell r="D571">
            <v>2</v>
          </cell>
          <cell r="E571" t="str">
            <v>EA</v>
          </cell>
        </row>
        <row r="572">
          <cell r="B572" t="str">
            <v>소켓단관</v>
          </cell>
          <cell r="C572" t="str">
            <v>D=150,L=1.00</v>
          </cell>
          <cell r="D572">
            <v>1</v>
          </cell>
          <cell r="E572" t="str">
            <v>EA</v>
          </cell>
        </row>
        <row r="573">
          <cell r="B573" t="str">
            <v>소켓단관</v>
          </cell>
          <cell r="C573" t="str">
            <v>D=150,L=4.21</v>
          </cell>
          <cell r="D573">
            <v>1</v>
          </cell>
          <cell r="E573" t="str">
            <v>EA</v>
          </cell>
        </row>
        <row r="574">
          <cell r="B574" t="str">
            <v>소켓단관</v>
          </cell>
          <cell r="C574" t="str">
            <v>D=150,L=1.851</v>
          </cell>
          <cell r="D574">
            <v>1</v>
          </cell>
          <cell r="E574" t="str">
            <v>EA</v>
          </cell>
        </row>
        <row r="575">
          <cell r="B575" t="str">
            <v>소켓단관</v>
          </cell>
          <cell r="C575" t="str">
            <v>D=150,L=4.4</v>
          </cell>
          <cell r="D575">
            <v>1</v>
          </cell>
          <cell r="E575" t="str">
            <v>EA</v>
          </cell>
        </row>
        <row r="576">
          <cell r="B576" t="str">
            <v>소켓단관</v>
          </cell>
          <cell r="C576" t="str">
            <v>D=200,L=3.797</v>
          </cell>
          <cell r="D576">
            <v>2</v>
          </cell>
          <cell r="E576" t="str">
            <v>EA</v>
          </cell>
        </row>
        <row r="577">
          <cell r="B577" t="str">
            <v>소켓단관</v>
          </cell>
          <cell r="C577" t="str">
            <v>D=250,L=1.00</v>
          </cell>
          <cell r="D577">
            <v>2</v>
          </cell>
          <cell r="E577" t="str">
            <v>EA</v>
          </cell>
        </row>
        <row r="578">
          <cell r="B578" t="str">
            <v>소켓단관</v>
          </cell>
          <cell r="C578" t="str">
            <v>D=250,L=0.365</v>
          </cell>
          <cell r="D578">
            <v>2</v>
          </cell>
          <cell r="E578" t="str">
            <v>EA</v>
          </cell>
        </row>
        <row r="579">
          <cell r="B579" t="str">
            <v>소켓단관</v>
          </cell>
          <cell r="C579" t="str">
            <v>D=250,L=0.832</v>
          </cell>
          <cell r="D579">
            <v>2</v>
          </cell>
          <cell r="E579" t="str">
            <v>EA</v>
          </cell>
        </row>
        <row r="580">
          <cell r="A580">
            <v>40</v>
          </cell>
          <cell r="B580" t="str">
            <v>소켓단관</v>
          </cell>
          <cell r="C580" t="str">
            <v>D=250,L=1.775</v>
          </cell>
          <cell r="D580">
            <v>2</v>
          </cell>
          <cell r="E580" t="str">
            <v>EA</v>
          </cell>
        </row>
        <row r="581">
          <cell r="B581" t="str">
            <v>소켓단관</v>
          </cell>
          <cell r="C581" t="str">
            <v>D=250,L=4.88</v>
          </cell>
          <cell r="D581">
            <v>2</v>
          </cell>
          <cell r="E581" t="str">
            <v>EA</v>
          </cell>
        </row>
        <row r="582">
          <cell r="B582" t="str">
            <v>소켓단관</v>
          </cell>
          <cell r="C582" t="str">
            <v>D=250,L=2.722</v>
          </cell>
          <cell r="D582">
            <v>2</v>
          </cell>
          <cell r="E582" t="str">
            <v>EA</v>
          </cell>
        </row>
        <row r="583">
          <cell r="B583" t="str">
            <v>소켓단관</v>
          </cell>
          <cell r="C583" t="str">
            <v>D=300,L=3.603</v>
          </cell>
          <cell r="D583">
            <v>1</v>
          </cell>
          <cell r="E583" t="str">
            <v>EA</v>
          </cell>
        </row>
        <row r="584">
          <cell r="B584" t="str">
            <v>소켓단관</v>
          </cell>
          <cell r="C584" t="str">
            <v>D=350,L=3.14</v>
          </cell>
          <cell r="D584">
            <v>1</v>
          </cell>
          <cell r="E584" t="str">
            <v>EA</v>
          </cell>
        </row>
        <row r="585">
          <cell r="B585" t="str">
            <v>소켓단관</v>
          </cell>
          <cell r="C585" t="str">
            <v>D=400,L=1.932</v>
          </cell>
          <cell r="D585">
            <v>2</v>
          </cell>
          <cell r="E585" t="str">
            <v>EA</v>
          </cell>
        </row>
        <row r="586">
          <cell r="B586" t="str">
            <v>소켓단관</v>
          </cell>
          <cell r="C586" t="str">
            <v>D=400,L=3.916</v>
          </cell>
          <cell r="D586">
            <v>1</v>
          </cell>
          <cell r="E586" t="str">
            <v>EA</v>
          </cell>
        </row>
        <row r="587">
          <cell r="B587" t="str">
            <v>소켓단관</v>
          </cell>
          <cell r="C587" t="str">
            <v>D=400,L=5.879</v>
          </cell>
          <cell r="D587">
            <v>1</v>
          </cell>
          <cell r="E587" t="str">
            <v>EA</v>
          </cell>
        </row>
        <row r="588">
          <cell r="B588" t="str">
            <v>소켓단관</v>
          </cell>
          <cell r="C588" t="str">
            <v>D=400,L=4.700</v>
          </cell>
          <cell r="D588">
            <v>2</v>
          </cell>
          <cell r="E588" t="str">
            <v>EA</v>
          </cell>
        </row>
        <row r="589">
          <cell r="B589" t="str">
            <v>소켓단관</v>
          </cell>
          <cell r="C589" t="str">
            <v>D=400,L=5.12</v>
          </cell>
          <cell r="D589">
            <v>2</v>
          </cell>
          <cell r="E589" t="str">
            <v>EA</v>
          </cell>
        </row>
        <row r="590">
          <cell r="B590" t="str">
            <v>소켓단관</v>
          </cell>
          <cell r="C590" t="str">
            <v>D=500,L=5.565</v>
          </cell>
          <cell r="D590">
            <v>1</v>
          </cell>
          <cell r="E590" t="str">
            <v>EA</v>
          </cell>
        </row>
        <row r="591">
          <cell r="B591" t="str">
            <v>소켓단관</v>
          </cell>
          <cell r="C591" t="str">
            <v>D=500,L=1.995</v>
          </cell>
          <cell r="D591">
            <v>1</v>
          </cell>
          <cell r="E591" t="str">
            <v>EA</v>
          </cell>
        </row>
        <row r="592">
          <cell r="B592" t="str">
            <v>소켓단관</v>
          </cell>
          <cell r="C592" t="str">
            <v>D=500,L=5.115</v>
          </cell>
          <cell r="D592">
            <v>1</v>
          </cell>
          <cell r="E592" t="str">
            <v>EA</v>
          </cell>
        </row>
        <row r="593">
          <cell r="B593" t="str">
            <v>소켓단관</v>
          </cell>
          <cell r="C593" t="str">
            <v>D=600,L=0.82</v>
          </cell>
          <cell r="D593">
            <v>1</v>
          </cell>
          <cell r="E593" t="str">
            <v>EA</v>
          </cell>
        </row>
        <row r="594">
          <cell r="B594" t="str">
            <v>소켓단관</v>
          </cell>
          <cell r="C594" t="str">
            <v>D=600,L=0.56</v>
          </cell>
          <cell r="D594">
            <v>1</v>
          </cell>
          <cell r="E594" t="str">
            <v>EA</v>
          </cell>
        </row>
        <row r="595">
          <cell r="B595" t="str">
            <v>소켓단관</v>
          </cell>
          <cell r="C595" t="str">
            <v>D=600,L=1.78</v>
          </cell>
          <cell r="D595">
            <v>1</v>
          </cell>
          <cell r="E595" t="str">
            <v>EA</v>
          </cell>
        </row>
        <row r="596">
          <cell r="B596" t="str">
            <v>소켓단관</v>
          </cell>
          <cell r="C596" t="str">
            <v>D=600,L=5.31</v>
          </cell>
          <cell r="D596">
            <v>1</v>
          </cell>
          <cell r="E596" t="str">
            <v>EA</v>
          </cell>
        </row>
        <row r="597">
          <cell r="A597">
            <v>41</v>
          </cell>
          <cell r="B597" t="str">
            <v>소켓단관</v>
          </cell>
          <cell r="C597" t="str">
            <v>D=600,L=1.16</v>
          </cell>
          <cell r="D597">
            <v>1</v>
          </cell>
          <cell r="E597" t="str">
            <v>EA</v>
          </cell>
        </row>
        <row r="598">
          <cell r="B598" t="str">
            <v>45도소켓곡관</v>
          </cell>
          <cell r="C598" t="str">
            <v>D=100m/m,M+A형</v>
          </cell>
          <cell r="D598">
            <v>6</v>
          </cell>
          <cell r="E598" t="str">
            <v>EA</v>
          </cell>
        </row>
        <row r="599">
          <cell r="B599" t="str">
            <v>45도소켓곡관</v>
          </cell>
          <cell r="C599" t="str">
            <v>D=150m/m,M+A형</v>
          </cell>
          <cell r="D599">
            <v>4</v>
          </cell>
          <cell r="E599" t="str">
            <v>EA</v>
          </cell>
        </row>
        <row r="600">
          <cell r="B600" t="str">
            <v>45도소켓곡관</v>
          </cell>
          <cell r="C600" t="str">
            <v>D=250m/m,M+A형</v>
          </cell>
          <cell r="D600">
            <v>4</v>
          </cell>
          <cell r="E600" t="str">
            <v>EA</v>
          </cell>
        </row>
        <row r="601">
          <cell r="B601" t="str">
            <v>45도소켓곡관</v>
          </cell>
          <cell r="C601" t="str">
            <v>D=300m/m,M+A형</v>
          </cell>
          <cell r="D601">
            <v>3</v>
          </cell>
          <cell r="E601" t="str">
            <v>EA</v>
          </cell>
        </row>
        <row r="602">
          <cell r="B602" t="str">
            <v>45도소켓곡관</v>
          </cell>
          <cell r="C602" t="str">
            <v>D=350m/m,M+A형</v>
          </cell>
          <cell r="D602">
            <v>1</v>
          </cell>
          <cell r="E602" t="str">
            <v>EA</v>
          </cell>
        </row>
        <row r="603">
          <cell r="B603" t="str">
            <v>45도소켓곡관</v>
          </cell>
          <cell r="C603" t="str">
            <v>D=400m/m,M+A형</v>
          </cell>
          <cell r="D603">
            <v>4</v>
          </cell>
          <cell r="E603" t="str">
            <v>EA</v>
          </cell>
        </row>
        <row r="604">
          <cell r="B604" t="str">
            <v>45도소켓곡관</v>
          </cell>
          <cell r="C604" t="str">
            <v>D=500m/m,M+A형</v>
          </cell>
          <cell r="D604">
            <v>2</v>
          </cell>
          <cell r="E604" t="str">
            <v>EA</v>
          </cell>
        </row>
        <row r="605">
          <cell r="B605" t="str">
            <v>45도소켓곡관</v>
          </cell>
          <cell r="C605" t="str">
            <v>D=600m/m,M+A형</v>
          </cell>
          <cell r="D605">
            <v>1</v>
          </cell>
          <cell r="E605" t="str">
            <v>EA</v>
          </cell>
        </row>
        <row r="606">
          <cell r="B606" t="str">
            <v>45도소켓곡관</v>
          </cell>
          <cell r="C606" t="str">
            <v>D=100m/m,M+B형</v>
          </cell>
          <cell r="D606">
            <v>4</v>
          </cell>
          <cell r="E606" t="str">
            <v>EA</v>
          </cell>
        </row>
        <row r="607">
          <cell r="B607" t="str">
            <v>45도소켓곡관</v>
          </cell>
          <cell r="C607" t="str">
            <v>D=150m/m,M+B형</v>
          </cell>
          <cell r="D607">
            <v>6</v>
          </cell>
          <cell r="E607" t="str">
            <v>EA</v>
          </cell>
        </row>
        <row r="608">
          <cell r="B608" t="str">
            <v>45도소켓곡관</v>
          </cell>
          <cell r="C608" t="str">
            <v>D=250m/m,M+B형</v>
          </cell>
          <cell r="D608">
            <v>14</v>
          </cell>
          <cell r="E608" t="str">
            <v>EA</v>
          </cell>
        </row>
        <row r="609">
          <cell r="B609" t="str">
            <v>45도소켓곡관</v>
          </cell>
          <cell r="C609" t="str">
            <v>D=300m/m,M+B형</v>
          </cell>
          <cell r="D609">
            <v>2</v>
          </cell>
          <cell r="E609" t="str">
            <v>EA</v>
          </cell>
        </row>
        <row r="610">
          <cell r="B610" t="str">
            <v>45도소켓곡관</v>
          </cell>
          <cell r="C610" t="str">
            <v>D=350m/m,M+B형</v>
          </cell>
          <cell r="D610">
            <v>1</v>
          </cell>
          <cell r="E610" t="str">
            <v>EA</v>
          </cell>
        </row>
        <row r="611">
          <cell r="B611" t="str">
            <v>45도소켓곡관</v>
          </cell>
          <cell r="C611" t="str">
            <v>D=400m/m,M+B형</v>
          </cell>
          <cell r="D611">
            <v>8</v>
          </cell>
          <cell r="E611" t="str">
            <v>EA</v>
          </cell>
        </row>
        <row r="612">
          <cell r="B612" t="str">
            <v>45도소켓곡관</v>
          </cell>
          <cell r="C612" t="str">
            <v>D=500m/m,M+B형</v>
          </cell>
          <cell r="D612">
            <v>2</v>
          </cell>
          <cell r="E612" t="str">
            <v>EA</v>
          </cell>
        </row>
        <row r="613">
          <cell r="B613" t="str">
            <v>45도소켓곡관</v>
          </cell>
          <cell r="C613" t="str">
            <v>D=600m/m,M+B형</v>
          </cell>
          <cell r="D613">
            <v>1</v>
          </cell>
          <cell r="E613" t="str">
            <v>EA</v>
          </cell>
        </row>
        <row r="614">
          <cell r="A614">
            <v>42</v>
          </cell>
          <cell r="B614" t="str">
            <v>90도소켓곡관</v>
          </cell>
          <cell r="C614" t="str">
            <v>D=400m/m,M+A형</v>
          </cell>
          <cell r="D614">
            <v>1</v>
          </cell>
          <cell r="E614" t="str">
            <v>EA</v>
          </cell>
        </row>
        <row r="615">
          <cell r="B615" t="str">
            <v>90도소켓곡관</v>
          </cell>
          <cell r="C615" t="str">
            <v>D=400m/m,M+B형</v>
          </cell>
          <cell r="D615">
            <v>2</v>
          </cell>
          <cell r="E615" t="str">
            <v>EA</v>
          </cell>
        </row>
        <row r="616">
          <cell r="B616" t="str">
            <v>90도소켓곡관</v>
          </cell>
          <cell r="C616" t="str">
            <v>D=250m/m,M+B형</v>
          </cell>
          <cell r="D616">
            <v>2</v>
          </cell>
          <cell r="E616" t="str">
            <v>EA</v>
          </cell>
        </row>
        <row r="617">
          <cell r="B617" t="str">
            <v>1125도소켓곡관</v>
          </cell>
          <cell r="C617" t="str">
            <v>D=100m/m,M+B형</v>
          </cell>
          <cell r="D617">
            <v>2</v>
          </cell>
          <cell r="E617" t="str">
            <v>EA</v>
          </cell>
        </row>
        <row r="618">
          <cell r="B618" t="str">
            <v>Y형관</v>
          </cell>
          <cell r="C618" t="str">
            <v>D=300m/m,M+A형</v>
          </cell>
          <cell r="D618">
            <v>1</v>
          </cell>
          <cell r="E618" t="str">
            <v>EA</v>
          </cell>
        </row>
        <row r="619">
          <cell r="B619" t="str">
            <v>무수단관</v>
          </cell>
          <cell r="C619" t="str">
            <v>D=100,L=3.78</v>
          </cell>
          <cell r="D619">
            <v>2</v>
          </cell>
          <cell r="E619" t="str">
            <v>EA</v>
          </cell>
        </row>
        <row r="620">
          <cell r="B620" t="str">
            <v>무수단관</v>
          </cell>
          <cell r="C620" t="str">
            <v>D=100,L=0.669</v>
          </cell>
          <cell r="D620">
            <v>2</v>
          </cell>
          <cell r="E620" t="str">
            <v>EA</v>
          </cell>
        </row>
        <row r="621">
          <cell r="B621" t="str">
            <v>무수단관</v>
          </cell>
          <cell r="C621" t="str">
            <v>D=150,L=1.194</v>
          </cell>
          <cell r="D621">
            <v>1</v>
          </cell>
          <cell r="E621" t="str">
            <v>EA</v>
          </cell>
        </row>
        <row r="622">
          <cell r="B622" t="str">
            <v>무수단관</v>
          </cell>
          <cell r="C622" t="str">
            <v>D=150,L=3.025</v>
          </cell>
          <cell r="D622">
            <v>1</v>
          </cell>
          <cell r="E622" t="str">
            <v>EA</v>
          </cell>
        </row>
        <row r="623">
          <cell r="B623" t="str">
            <v>무수단관</v>
          </cell>
          <cell r="C623" t="str">
            <v>D=150,L=2.608</v>
          </cell>
          <cell r="D623">
            <v>1</v>
          </cell>
          <cell r="E623" t="str">
            <v>EA</v>
          </cell>
        </row>
        <row r="624">
          <cell r="B624" t="str">
            <v>무수단관</v>
          </cell>
          <cell r="C624" t="str">
            <v>D=150,L=2.58</v>
          </cell>
          <cell r="D624">
            <v>1</v>
          </cell>
          <cell r="E624" t="str">
            <v>EA</v>
          </cell>
        </row>
        <row r="625">
          <cell r="B625" t="str">
            <v>무수단관</v>
          </cell>
          <cell r="C625" t="str">
            <v>D=150,L=1.194</v>
          </cell>
          <cell r="D625">
            <v>1</v>
          </cell>
          <cell r="E625" t="str">
            <v>EA</v>
          </cell>
        </row>
        <row r="626">
          <cell r="B626" t="str">
            <v>무수단관</v>
          </cell>
          <cell r="C626" t="str">
            <v>D=250,L=0.291</v>
          </cell>
          <cell r="D626">
            <v>2</v>
          </cell>
          <cell r="E626" t="str">
            <v>EA</v>
          </cell>
        </row>
        <row r="627">
          <cell r="B627" t="str">
            <v>무수단관</v>
          </cell>
          <cell r="C627" t="str">
            <v>D=250,L=3.225</v>
          </cell>
          <cell r="D627">
            <v>2</v>
          </cell>
          <cell r="E627" t="str">
            <v>EA</v>
          </cell>
        </row>
        <row r="628">
          <cell r="B628" t="str">
            <v>무수단관</v>
          </cell>
          <cell r="C628" t="str">
            <v>D=250,L=1.00</v>
          </cell>
          <cell r="D628">
            <v>2</v>
          </cell>
          <cell r="E628" t="str">
            <v>EA</v>
          </cell>
        </row>
        <row r="629">
          <cell r="B629" t="str">
            <v>무수단관</v>
          </cell>
          <cell r="C629" t="str">
            <v>D=300,L=1.064</v>
          </cell>
          <cell r="D629">
            <v>2</v>
          </cell>
          <cell r="E629" t="str">
            <v>EA</v>
          </cell>
        </row>
        <row r="630">
          <cell r="B630" t="str">
            <v>무수단관</v>
          </cell>
          <cell r="C630" t="str">
            <v>D=300,L=1.00</v>
          </cell>
          <cell r="D630">
            <v>1</v>
          </cell>
          <cell r="E630" t="str">
            <v>EA</v>
          </cell>
        </row>
        <row r="631">
          <cell r="A631">
            <v>43</v>
          </cell>
          <cell r="B631" t="str">
            <v>무수단관</v>
          </cell>
          <cell r="C631" t="str">
            <v>D=300,L=0.617</v>
          </cell>
          <cell r="D631">
            <v>1</v>
          </cell>
          <cell r="E631" t="str">
            <v>EA</v>
          </cell>
        </row>
        <row r="632">
          <cell r="B632" t="str">
            <v>무수단관</v>
          </cell>
          <cell r="C632" t="str">
            <v>D=300,L=3.055</v>
          </cell>
          <cell r="D632">
            <v>1</v>
          </cell>
          <cell r="E632" t="str">
            <v>EA</v>
          </cell>
        </row>
        <row r="633">
          <cell r="B633" t="str">
            <v>무수단관</v>
          </cell>
          <cell r="C633" t="str">
            <v>D=350,L=1.975</v>
          </cell>
          <cell r="D633">
            <v>1</v>
          </cell>
          <cell r="E633" t="str">
            <v>EA</v>
          </cell>
        </row>
        <row r="634">
          <cell r="B634" t="str">
            <v>무수단관</v>
          </cell>
          <cell r="C634" t="str">
            <v>D=100,L=3.47</v>
          </cell>
          <cell r="D634">
            <v>2</v>
          </cell>
          <cell r="E634" t="str">
            <v>EA</v>
          </cell>
        </row>
        <row r="635">
          <cell r="B635" t="str">
            <v>무수단관</v>
          </cell>
          <cell r="C635" t="str">
            <v>D=400,L=3.352</v>
          </cell>
          <cell r="D635">
            <v>2</v>
          </cell>
          <cell r="E635" t="str">
            <v>EA</v>
          </cell>
        </row>
        <row r="636">
          <cell r="B636" t="str">
            <v>무수단관</v>
          </cell>
          <cell r="C636" t="str">
            <v>D=400,L=1.045</v>
          </cell>
          <cell r="D636">
            <v>2</v>
          </cell>
          <cell r="E636" t="str">
            <v>EA</v>
          </cell>
        </row>
        <row r="637">
          <cell r="B637" t="str">
            <v>무수단관</v>
          </cell>
          <cell r="C637" t="str">
            <v>D=400,L=0.50</v>
          </cell>
          <cell r="D637">
            <v>2</v>
          </cell>
          <cell r="E637" t="str">
            <v>EA</v>
          </cell>
        </row>
        <row r="638">
          <cell r="B638" t="str">
            <v>무수단관</v>
          </cell>
          <cell r="C638" t="str">
            <v>D=500,L=3.642</v>
          </cell>
          <cell r="D638">
            <v>1</v>
          </cell>
          <cell r="E638" t="str">
            <v>EA</v>
          </cell>
        </row>
        <row r="639">
          <cell r="B639" t="str">
            <v>무수단관</v>
          </cell>
          <cell r="C639" t="str">
            <v>D=500,L=1.167</v>
          </cell>
          <cell r="D639">
            <v>1</v>
          </cell>
          <cell r="E639" t="str">
            <v>EA</v>
          </cell>
        </row>
        <row r="640">
          <cell r="B640" t="str">
            <v>무수단관</v>
          </cell>
          <cell r="C640" t="str">
            <v>D=600,L=0.794</v>
          </cell>
          <cell r="D640">
            <v>1</v>
          </cell>
          <cell r="E640" t="str">
            <v>EA</v>
          </cell>
        </row>
        <row r="641">
          <cell r="B641" t="str">
            <v>직관</v>
          </cell>
          <cell r="C641" t="str">
            <v>D=100,L=5.00</v>
          </cell>
          <cell r="D641">
            <v>5</v>
          </cell>
          <cell r="E641" t="str">
            <v>EA</v>
          </cell>
        </row>
        <row r="642">
          <cell r="B642" t="str">
            <v>직관</v>
          </cell>
          <cell r="C642" t="str">
            <v>D=150,L=5.00</v>
          </cell>
          <cell r="D642">
            <v>3</v>
          </cell>
          <cell r="E642" t="str">
            <v>EA</v>
          </cell>
        </row>
        <row r="643">
          <cell r="B643" t="str">
            <v>직관</v>
          </cell>
          <cell r="C643" t="str">
            <v>D=250,L=6.00</v>
          </cell>
          <cell r="D643">
            <v>6</v>
          </cell>
          <cell r="E643" t="str">
            <v>EA</v>
          </cell>
        </row>
        <row r="644">
          <cell r="B644" t="str">
            <v>직관</v>
          </cell>
          <cell r="C644" t="str">
            <v>D=300,L=6.00</v>
          </cell>
          <cell r="D644">
            <v>3</v>
          </cell>
          <cell r="E644" t="str">
            <v>EA</v>
          </cell>
        </row>
        <row r="645">
          <cell r="B645" t="str">
            <v>직관</v>
          </cell>
          <cell r="C645" t="str">
            <v>D=350,L=6.00</v>
          </cell>
          <cell r="D645">
            <v>5</v>
          </cell>
          <cell r="E645" t="str">
            <v>EA</v>
          </cell>
        </row>
        <row r="646">
          <cell r="B646" t="str">
            <v>직관</v>
          </cell>
          <cell r="C646" t="str">
            <v>D=400,L=6.00</v>
          </cell>
          <cell r="D646">
            <v>15</v>
          </cell>
          <cell r="E646" t="str">
            <v>EA</v>
          </cell>
        </row>
        <row r="647">
          <cell r="B647" t="str">
            <v>직관</v>
          </cell>
          <cell r="C647" t="str">
            <v>D=500,L=6.00</v>
          </cell>
          <cell r="D647">
            <v>2</v>
          </cell>
          <cell r="E647" t="str">
            <v>EA</v>
          </cell>
        </row>
        <row r="648">
          <cell r="A648">
            <v>44</v>
          </cell>
          <cell r="B648" t="str">
            <v>직관</v>
          </cell>
          <cell r="C648" t="str">
            <v>D=600,L=6.00</v>
          </cell>
          <cell r="D648">
            <v>4</v>
          </cell>
          <cell r="E648" t="str">
            <v>EA</v>
          </cell>
        </row>
        <row r="649">
          <cell r="B649" t="str">
            <v>STS플랜지단관</v>
          </cell>
          <cell r="C649" t="str">
            <v>D=200,L=0.80</v>
          </cell>
          <cell r="D649">
            <v>2</v>
          </cell>
          <cell r="E649" t="str">
            <v>EA</v>
          </cell>
        </row>
        <row r="650">
          <cell r="B650" t="str">
            <v>STS곡관</v>
          </cell>
          <cell r="C650" t="str">
            <v>200*90</v>
          </cell>
          <cell r="D650">
            <v>4</v>
          </cell>
          <cell r="E650" t="str">
            <v>EA</v>
          </cell>
        </row>
        <row r="651">
          <cell r="B651" t="str">
            <v>소켓단관</v>
          </cell>
          <cell r="C651" t="str">
            <v>D=250,L=0.250</v>
          </cell>
          <cell r="D651">
            <v>2</v>
          </cell>
          <cell r="E651" t="str">
            <v>EA</v>
          </cell>
        </row>
        <row r="652">
          <cell r="B652" t="str">
            <v>소켓단관</v>
          </cell>
          <cell r="C652" t="str">
            <v>D=250,L=3.065</v>
          </cell>
          <cell r="D652">
            <v>2</v>
          </cell>
          <cell r="E652" t="str">
            <v>EA</v>
          </cell>
        </row>
        <row r="653">
          <cell r="B653" t="str">
            <v>소켓단관</v>
          </cell>
          <cell r="C653" t="str">
            <v>D=250,L=5.847</v>
          </cell>
          <cell r="D653">
            <v>1</v>
          </cell>
          <cell r="E653" t="str">
            <v>EA</v>
          </cell>
        </row>
        <row r="654">
          <cell r="B654" t="str">
            <v>무수단관</v>
          </cell>
          <cell r="C654" t="str">
            <v>D=250,L=5.847</v>
          </cell>
          <cell r="E654" t="str">
            <v>EA</v>
          </cell>
        </row>
        <row r="655">
          <cell r="B655" t="str">
            <v>양플렌지단관</v>
          </cell>
          <cell r="C655" t="str">
            <v>D=250,L=5.847</v>
          </cell>
          <cell r="E655" t="str">
            <v>EA</v>
          </cell>
        </row>
        <row r="656">
          <cell r="B656" t="str">
            <v>무수단관</v>
          </cell>
          <cell r="C656" t="str">
            <v>D=250,L=5.847</v>
          </cell>
          <cell r="E656" t="str">
            <v>EA</v>
          </cell>
        </row>
        <row r="657">
          <cell r="B657" t="str">
            <v>소켓단관</v>
          </cell>
          <cell r="C657" t="str">
            <v>D=250,L=5.847</v>
          </cell>
          <cell r="E657" t="str">
            <v>EA</v>
          </cell>
        </row>
        <row r="658">
          <cell r="B658" t="str">
            <v>소켓단관</v>
          </cell>
          <cell r="C658" t="str">
            <v>D=250,L=5.847</v>
          </cell>
          <cell r="E658" t="str">
            <v>EA</v>
          </cell>
        </row>
        <row r="659">
          <cell r="B659" t="str">
            <v>양플렌지단관</v>
          </cell>
          <cell r="C659" t="str">
            <v>D=250,L=5.847</v>
          </cell>
          <cell r="E659" t="str">
            <v>EA</v>
          </cell>
        </row>
        <row r="660">
          <cell r="B660" t="str">
            <v>소켓단관</v>
          </cell>
          <cell r="C660" t="str">
            <v>D=250,L=5.847</v>
          </cell>
          <cell r="E660" t="str">
            <v>EA</v>
          </cell>
        </row>
        <row r="661">
          <cell r="B661" t="str">
            <v>1125도소켓곡관</v>
          </cell>
          <cell r="C661" t="str">
            <v>D=250,L=5.847</v>
          </cell>
          <cell r="E661" t="str">
            <v>EA</v>
          </cell>
        </row>
        <row r="662">
          <cell r="B662" t="str">
            <v>*관급자재비</v>
          </cell>
        </row>
        <row r="663">
          <cell r="B663" t="str">
            <v>시멘트</v>
          </cell>
          <cell r="D663">
            <v>323</v>
          </cell>
          <cell r="E663" t="str">
            <v>대</v>
          </cell>
        </row>
        <row r="664">
          <cell r="B664" t="str">
            <v>철근</v>
          </cell>
          <cell r="C664" t="str">
            <v>D13</v>
          </cell>
          <cell r="D664">
            <v>62.883000000000003</v>
          </cell>
          <cell r="E664" t="str">
            <v>TON</v>
          </cell>
        </row>
        <row r="665">
          <cell r="B665" t="str">
            <v>철근</v>
          </cell>
          <cell r="C665" t="str">
            <v>D16</v>
          </cell>
          <cell r="D665">
            <v>147.05099999999999</v>
          </cell>
          <cell r="E665" t="str">
            <v>TON</v>
          </cell>
        </row>
        <row r="666">
          <cell r="B666" t="str">
            <v>철근</v>
          </cell>
          <cell r="C666" t="str">
            <v>D19</v>
          </cell>
          <cell r="D666">
            <v>153.059</v>
          </cell>
          <cell r="E666" t="str">
            <v>TON</v>
          </cell>
        </row>
        <row r="667">
          <cell r="B667" t="str">
            <v>철근</v>
          </cell>
          <cell r="C667" t="str">
            <v>D22</v>
          </cell>
          <cell r="D667">
            <v>70.275000000000006</v>
          </cell>
          <cell r="E667" t="str">
            <v>TON</v>
          </cell>
        </row>
        <row r="668">
          <cell r="B668" t="str">
            <v>철근</v>
          </cell>
          <cell r="C668" t="str">
            <v>D25</v>
          </cell>
          <cell r="D668">
            <v>6.6689999999999996</v>
          </cell>
          <cell r="E668" t="str">
            <v>TON</v>
          </cell>
        </row>
        <row r="669">
          <cell r="B669" t="str">
            <v>레미콘</v>
          </cell>
          <cell r="C669" t="str">
            <v>40-135-8</v>
          </cell>
          <cell r="D669">
            <v>381</v>
          </cell>
          <cell r="E669" t="str">
            <v>m3</v>
          </cell>
        </row>
        <row r="670">
          <cell r="B670" t="str">
            <v>레미콘</v>
          </cell>
          <cell r="C670" t="str">
            <v>25-180-8</v>
          </cell>
          <cell r="D670">
            <v>280</v>
          </cell>
          <cell r="E670" t="str">
            <v>m3</v>
          </cell>
        </row>
        <row r="671">
          <cell r="B671" t="str">
            <v>레미콘</v>
          </cell>
          <cell r="C671" t="str">
            <v>25-210-8</v>
          </cell>
          <cell r="D671">
            <v>16</v>
          </cell>
          <cell r="E671" t="str">
            <v>m3</v>
          </cell>
        </row>
        <row r="672">
          <cell r="B672" t="str">
            <v>레미콘</v>
          </cell>
          <cell r="C672" t="str">
            <v>40-210-8</v>
          </cell>
          <cell r="D672">
            <v>71</v>
          </cell>
          <cell r="E672" t="str">
            <v>m3</v>
          </cell>
        </row>
        <row r="673">
          <cell r="B673" t="str">
            <v>레미콘</v>
          </cell>
          <cell r="C673" t="str">
            <v>25-240-8</v>
          </cell>
          <cell r="D673">
            <v>4044</v>
          </cell>
          <cell r="E673" t="str">
            <v>m3</v>
          </cell>
        </row>
        <row r="674">
          <cell r="B674" t="str">
            <v>흄관(칼라제외)</v>
          </cell>
          <cell r="C674" t="str">
            <v>D=250M/M</v>
          </cell>
          <cell r="D674">
            <v>62</v>
          </cell>
          <cell r="E674" t="str">
            <v>본</v>
          </cell>
        </row>
        <row r="675">
          <cell r="B675" t="str">
            <v>흄관(칼라제외)</v>
          </cell>
          <cell r="C675" t="str">
            <v>D=300M/M</v>
          </cell>
          <cell r="D675">
            <v>15</v>
          </cell>
          <cell r="E675" t="str">
            <v>본</v>
          </cell>
        </row>
        <row r="676">
          <cell r="B676" t="str">
            <v>흄관(칼라제외)</v>
          </cell>
          <cell r="C676" t="str">
            <v>D=450M/M</v>
          </cell>
          <cell r="D676">
            <v>229</v>
          </cell>
          <cell r="E676" t="str">
            <v>본</v>
          </cell>
        </row>
        <row r="677">
          <cell r="B677" t="str">
            <v>흄관(칼라제외)</v>
          </cell>
          <cell r="C677" t="str">
            <v>D=600M/M</v>
          </cell>
          <cell r="D677">
            <v>38</v>
          </cell>
          <cell r="E677" t="str">
            <v>본</v>
          </cell>
        </row>
        <row r="678">
          <cell r="B678" t="str">
            <v>아스콘</v>
          </cell>
          <cell r="C678" t="str">
            <v>#467</v>
          </cell>
          <cell r="D678">
            <v>1414</v>
          </cell>
          <cell r="E678" t="str">
            <v>TON</v>
          </cell>
        </row>
        <row r="679">
          <cell r="B679" t="str">
            <v>아스콘</v>
          </cell>
          <cell r="C679" t="str">
            <v>#78</v>
          </cell>
          <cell r="D679">
            <v>738</v>
          </cell>
          <cell r="E679" t="str">
            <v>TON</v>
          </cell>
        </row>
        <row r="680">
          <cell r="B680" t="str">
            <v>아스팔트</v>
          </cell>
          <cell r="C680" t="str">
            <v>MC-3</v>
          </cell>
          <cell r="D680">
            <v>25</v>
          </cell>
          <cell r="E680" t="str">
            <v>TON</v>
          </cell>
        </row>
        <row r="681">
          <cell r="B681" t="str">
            <v>아스팔트</v>
          </cell>
          <cell r="C681" t="str">
            <v>RSC-4</v>
          </cell>
          <cell r="D681">
            <v>9</v>
          </cell>
          <cell r="E681" t="str">
            <v>TON</v>
          </cell>
        </row>
        <row r="682">
          <cell r="A682">
            <v>46</v>
          </cell>
          <cell r="B682" t="str">
            <v>보차도경계블럭</v>
          </cell>
          <cell r="C682" t="str">
            <v>180*205*250</v>
          </cell>
          <cell r="D682">
            <v>800</v>
          </cell>
          <cell r="E682" t="str">
            <v>m</v>
          </cell>
        </row>
        <row r="683">
          <cell r="B683" t="str">
            <v>조달수수료</v>
          </cell>
          <cell r="D683">
            <v>1.4</v>
          </cell>
          <cell r="E683" t="str">
            <v>%</v>
          </cell>
        </row>
        <row r="684">
          <cell r="B684" t="str">
            <v>*토취장사용료</v>
          </cell>
          <cell r="C684" t="str">
            <v>토사</v>
          </cell>
          <cell r="D684">
            <v>15625</v>
          </cell>
          <cell r="E684" t="str">
            <v>m3</v>
          </cell>
        </row>
        <row r="699">
          <cell r="A699">
            <v>47</v>
          </cell>
        </row>
        <row r="700">
          <cell r="A700" t="str">
            <v>조경</v>
          </cell>
          <cell r="B700" t="str">
            <v>무안하수종말처리장</v>
          </cell>
        </row>
        <row r="701">
          <cell r="B701" t="str">
            <v>1)식재공사</v>
          </cell>
        </row>
        <row r="702">
          <cell r="B702" t="str">
            <v>2)시설물공사</v>
          </cell>
        </row>
        <row r="703">
          <cell r="B703" t="str">
            <v>3)부대공사</v>
          </cell>
        </row>
        <row r="705">
          <cell r="B705" t="str">
            <v>계</v>
          </cell>
        </row>
        <row r="716">
          <cell r="A716">
            <v>49</v>
          </cell>
        </row>
        <row r="717">
          <cell r="B717" t="str">
            <v>무안하수종말처리장</v>
          </cell>
        </row>
        <row r="720">
          <cell r="B720" t="str">
            <v>1)식재공사</v>
          </cell>
        </row>
        <row r="721">
          <cell r="B721" t="str">
            <v>소나무</v>
          </cell>
          <cell r="C721" t="str">
            <v>H 4.0 X R 15</v>
          </cell>
          <cell r="D721">
            <v>10</v>
          </cell>
          <cell r="E721" t="str">
            <v>주</v>
          </cell>
        </row>
        <row r="722">
          <cell r="B722" t="str">
            <v>소나무</v>
          </cell>
          <cell r="C722" t="str">
            <v>H 3.0 X R 10</v>
          </cell>
          <cell r="D722">
            <v>16</v>
          </cell>
          <cell r="E722" t="str">
            <v>주</v>
          </cell>
        </row>
        <row r="723">
          <cell r="B723" t="str">
            <v>스트로브잣</v>
          </cell>
          <cell r="C723" t="str">
            <v>H 3.0 X W 1.0</v>
          </cell>
          <cell r="D723">
            <v>115</v>
          </cell>
          <cell r="E723" t="str">
            <v>주</v>
          </cell>
        </row>
        <row r="724">
          <cell r="B724" t="str">
            <v>측백나무</v>
          </cell>
          <cell r="C724" t="str">
            <v>H 3.0 X W 1.0</v>
          </cell>
          <cell r="D724">
            <v>127</v>
          </cell>
          <cell r="E724" t="str">
            <v>주</v>
          </cell>
        </row>
        <row r="725">
          <cell r="B725" t="str">
            <v>해 송</v>
          </cell>
          <cell r="C725" t="str">
            <v>H 3.0 X W 1.0</v>
          </cell>
          <cell r="D725">
            <v>129</v>
          </cell>
          <cell r="E725" t="str">
            <v>주</v>
          </cell>
        </row>
        <row r="726">
          <cell r="B726" t="str">
            <v>후박나무</v>
          </cell>
          <cell r="C726" t="str">
            <v>H 2.5 X R 4</v>
          </cell>
          <cell r="D726">
            <v>27</v>
          </cell>
          <cell r="E726" t="str">
            <v>주</v>
          </cell>
        </row>
        <row r="727">
          <cell r="B727" t="str">
            <v>가시나무</v>
          </cell>
          <cell r="C727" t="str">
            <v>H 2.0 X R 4</v>
          </cell>
          <cell r="D727">
            <v>40</v>
          </cell>
          <cell r="E727" t="str">
            <v>주</v>
          </cell>
        </row>
        <row r="728">
          <cell r="B728" t="str">
            <v>동백나무</v>
          </cell>
          <cell r="C728" t="str">
            <v>H 1.5 X W 0.6</v>
          </cell>
          <cell r="D728">
            <v>64</v>
          </cell>
          <cell r="E728" t="str">
            <v>주</v>
          </cell>
        </row>
        <row r="729">
          <cell r="B729" t="str">
            <v>느티나무</v>
          </cell>
          <cell r="C729" t="str">
            <v>H 4.0 X R 12</v>
          </cell>
          <cell r="D729">
            <v>32</v>
          </cell>
          <cell r="E729" t="str">
            <v>주</v>
          </cell>
        </row>
        <row r="730">
          <cell r="B730" t="str">
            <v>청단풍</v>
          </cell>
          <cell r="C730" t="str">
            <v>H 2.0 X R 6</v>
          </cell>
          <cell r="D730">
            <v>24</v>
          </cell>
          <cell r="E730" t="str">
            <v>주</v>
          </cell>
        </row>
        <row r="731">
          <cell r="B731" t="str">
            <v>매타세콰이어</v>
          </cell>
          <cell r="C731" t="str">
            <v>H 3.0 X R 6</v>
          </cell>
          <cell r="D731">
            <v>55</v>
          </cell>
          <cell r="E731" t="str">
            <v>주</v>
          </cell>
        </row>
        <row r="732">
          <cell r="B732" t="str">
            <v>목련</v>
          </cell>
          <cell r="C732" t="str">
            <v>H 3.0 X R 10</v>
          </cell>
          <cell r="D732">
            <v>10</v>
          </cell>
          <cell r="E732" t="str">
            <v>주</v>
          </cell>
        </row>
        <row r="733">
          <cell r="B733" t="str">
            <v>모과나무</v>
          </cell>
          <cell r="C733" t="str">
            <v>H 3.0 X R 8</v>
          </cell>
          <cell r="D733">
            <v>9</v>
          </cell>
          <cell r="E733" t="str">
            <v>주</v>
          </cell>
        </row>
        <row r="734">
          <cell r="B734" t="str">
            <v>배롱나무</v>
          </cell>
          <cell r="C734" t="str">
            <v>H 2.5 X R 7</v>
          </cell>
          <cell r="D734">
            <v>21</v>
          </cell>
          <cell r="E734" t="str">
            <v>주</v>
          </cell>
        </row>
        <row r="735">
          <cell r="B735" t="str">
            <v>광나무</v>
          </cell>
          <cell r="C735" t="str">
            <v>H 1.0 X W 0.3</v>
          </cell>
          <cell r="D735">
            <v>1120</v>
          </cell>
          <cell r="E735" t="str">
            <v>주</v>
          </cell>
        </row>
        <row r="736">
          <cell r="B736" t="str">
            <v>회양목</v>
          </cell>
          <cell r="C736" t="str">
            <v>H 0.3 X W 0.3</v>
          </cell>
          <cell r="D736">
            <v>952</v>
          </cell>
          <cell r="E736" t="str">
            <v>주</v>
          </cell>
        </row>
        <row r="737">
          <cell r="B737" t="str">
            <v>수수꽂다리</v>
          </cell>
          <cell r="C737" t="str">
            <v>H 2.0 X W 1.0</v>
          </cell>
          <cell r="D737">
            <v>51</v>
          </cell>
          <cell r="E737" t="str">
            <v>주</v>
          </cell>
        </row>
        <row r="738">
          <cell r="B738" t="str">
            <v>산철쭉</v>
          </cell>
          <cell r="C738" t="str">
            <v>H 0.4 X W 0.3</v>
          </cell>
          <cell r="D738">
            <v>1180</v>
          </cell>
          <cell r="E738" t="str">
            <v>주</v>
          </cell>
        </row>
        <row r="739">
          <cell r="B739" t="str">
            <v>잔 듸</v>
          </cell>
          <cell r="C739" t="str">
            <v>0.3x0.3x0.03</v>
          </cell>
          <cell r="D739">
            <v>10331</v>
          </cell>
          <cell r="E739" t="str">
            <v>m2</v>
          </cell>
        </row>
        <row r="740">
          <cell r="B740" t="str">
            <v>지주목(이각)</v>
          </cell>
          <cell r="D740">
            <v>40</v>
          </cell>
          <cell r="E740" t="str">
            <v>조</v>
          </cell>
        </row>
        <row r="741">
          <cell r="B741" t="str">
            <v>지주목(삼발이)</v>
          </cell>
          <cell r="C741" t="str">
            <v>소형</v>
          </cell>
          <cell r="D741">
            <v>533</v>
          </cell>
          <cell r="E741" t="str">
            <v>조</v>
          </cell>
        </row>
        <row r="742">
          <cell r="B742" t="str">
            <v>지주목(삼발이)</v>
          </cell>
          <cell r="C742" t="str">
            <v>대형</v>
          </cell>
          <cell r="D742">
            <v>46</v>
          </cell>
          <cell r="E742" t="str">
            <v>조</v>
          </cell>
        </row>
        <row r="743">
          <cell r="B743" t="str">
            <v>소  계</v>
          </cell>
        </row>
        <row r="750">
          <cell r="A750">
            <v>51</v>
          </cell>
        </row>
        <row r="751">
          <cell r="B751" t="str">
            <v>2)시설물공사</v>
          </cell>
        </row>
        <row r="752">
          <cell r="B752" t="str">
            <v>파고라</v>
          </cell>
          <cell r="C752" t="str">
            <v>5,200 x 5,200</v>
          </cell>
          <cell r="D752">
            <v>3</v>
          </cell>
          <cell r="E752" t="str">
            <v>개소</v>
          </cell>
        </row>
        <row r="753">
          <cell r="B753" t="str">
            <v>팽의자</v>
          </cell>
          <cell r="C753" t="str">
            <v>HW 2-2-1</v>
          </cell>
          <cell r="D753">
            <v>12</v>
          </cell>
          <cell r="E753" t="str">
            <v>개소</v>
          </cell>
        </row>
        <row r="754">
          <cell r="B754" t="str">
            <v>등의자</v>
          </cell>
          <cell r="C754" t="str">
            <v>HW 3-1-1</v>
          </cell>
          <cell r="D754">
            <v>4</v>
          </cell>
          <cell r="E754" t="str">
            <v>개소</v>
          </cell>
        </row>
        <row r="755">
          <cell r="B755" t="str">
            <v>휴지통</v>
          </cell>
          <cell r="D755">
            <v>2</v>
          </cell>
          <cell r="E755" t="str">
            <v>개소</v>
          </cell>
        </row>
        <row r="756">
          <cell r="B756" t="str">
            <v>소  계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결재지"/>
      <sheetName val="갑지"/>
      <sheetName val="토공"/>
      <sheetName val="배수공"/>
      <sheetName val="구조물공"/>
      <sheetName val="포장공"/>
      <sheetName val="부대공"/>
      <sheetName val="터널공"/>
      <sheetName val="군부대공사"/>
      <sheetName val="상수도이설공"/>
      <sheetName val="광통신관로공"/>
      <sheetName val="석수IC"/>
      <sheetName val="개착구간"/>
      <sheetName val="부대공Ⅱ"/>
      <sheetName val="B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2001목표합의서"/>
      <sheetName val="2000년실적평가"/>
      <sheetName val="2.편성기준"/>
      <sheetName val="3.RISK"/>
      <sheetName val="4.PL"/>
      <sheetName val="4.PL(지분포함)"/>
      <sheetName val="5.BS"/>
      <sheetName val="6.판매계획"/>
      <sheetName val="6-1계획대비"/>
      <sheetName val="6-2실적대비"/>
      <sheetName val="7.신제품매출"/>
      <sheetName val="8.생산계획"/>
      <sheetName val="가동율분석"/>
      <sheetName val="9.제조원가"/>
      <sheetName val="9-1(울산)"/>
      <sheetName val="9-2(여수)"/>
      <sheetName val="10.판관비"/>
      <sheetName val="11.영업외손익"/>
      <sheetName val="13.투자계획"/>
      <sheetName val="14.CF"/>
      <sheetName val="15.차입"/>
      <sheetName val="16.vp실적및계획"/>
      <sheetName val="17.교육계획"/>
      <sheetName val="영업외수익"/>
      <sheetName val="재무제표"/>
      <sheetName val="최종영업외수익"/>
      <sheetName val="차입금"/>
      <sheetName val="편성기준CA"/>
      <sheetName val="16.Downsizing"/>
      <sheetName val="감가상각"/>
      <sheetName val="감가상각비"/>
      <sheetName val="평가익 (2)"/>
      <sheetName val="Sheet1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67">
          <cell r="B67" t="str">
            <v>c:\99\bscf</v>
          </cell>
        </row>
        <row r="68">
          <cell r="B68" t="str">
            <v>'98.12.9.</v>
          </cell>
        </row>
      </sheetData>
      <sheetData sheetId="30"/>
      <sheetData sheetId="31"/>
      <sheetData sheetId="32"/>
      <sheetData sheetId="3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재평가"/>
      <sheetName val="3.RISK"/>
      <sheetName val="재무제표"/>
      <sheetName val="상반기누계"/>
      <sheetName val="차입금"/>
      <sheetName val="2.PL"/>
      <sheetName val="13.CF"/>
      <sheetName val="4.BS"/>
      <sheetName val="기안지 (3)"/>
      <sheetName val="10.영업외손익"/>
      <sheetName val="16.Downsizing"/>
      <sheetName val="14.차입"/>
      <sheetName val="감가상각"/>
      <sheetName val="감가상각비"/>
      <sheetName val="평가익"/>
      <sheetName val="평가익 (2)"/>
      <sheetName val="cfchark"/>
      <sheetName val="macro"/>
      <sheetName val="환율"/>
      <sheetName val="정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8">
          <cell r="B58" t="str">
            <v>c:\99\bscf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경비예상실적"/>
      <sheetName val="투자예상실적"/>
      <sheetName val="감가상각"/>
    </sheetNames>
    <sheetDataSet>
      <sheetData sheetId="0"/>
      <sheetData sheetId="1"/>
      <sheetData sheetId="2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 견적서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합의서"/>
      <sheetName val="월별목표"/>
      <sheetName val="중점추진업무"/>
      <sheetName val="감가상각"/>
      <sheetName val="RE9604"/>
      <sheetName val="내역"/>
      <sheetName val="UR2-Calculation"/>
      <sheetName val="금액집계"/>
      <sheetName val="수입"/>
      <sheetName val="재공수합"/>
      <sheetName val="정산표"/>
      <sheetName val="채권한전"/>
      <sheetName val="원본"/>
      <sheetName val="118.세금과공과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서울청"/>
      <sheetName val="이직현황"/>
      <sheetName val="이직자명단"/>
      <sheetName val="LEAD SHEET (K상각후회수율)"/>
      <sheetName val="FRT_O"/>
      <sheetName val="FAB_I"/>
      <sheetName val="0006_FLT_IR_NAME"/>
      <sheetName val="일위대가"/>
      <sheetName val="Customer Databas"/>
      <sheetName val="공사개요"/>
      <sheetName val="소비자가"/>
      <sheetName val="ins"/>
      <sheetName val="Customize Your Purchase Order"/>
      <sheetName val="Purchase Order"/>
      <sheetName val="Assumptions"/>
      <sheetName val="MC총괄표"/>
      <sheetName val="AA200"/>
      <sheetName val="Main"/>
      <sheetName val="SALES(FPL)"/>
      <sheetName val="2002년요약"/>
      <sheetName val="관계주식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I.설계조건"/>
      <sheetName val="기준자료"/>
      <sheetName val="Template"/>
      <sheetName val="Sheet1"/>
      <sheetName val="여건,목표"/>
      <sheetName val="중기-여건"/>
      <sheetName val="DEC_DHDSR0"/>
      <sheetName val="本部A3"/>
      <sheetName val="本部A2"/>
      <sheetName val="DATA(BAC)"/>
      <sheetName val="CAL"/>
      <sheetName val="매입별세금계산서집계표"/>
      <sheetName val="신용카드"/>
      <sheetName val="Total"/>
      <sheetName val="유통망계획"/>
      <sheetName val="매출"/>
      <sheetName val="XREF"/>
      <sheetName val="데이타"/>
      <sheetName val="DATA"/>
      <sheetName val="Ⅱ1-0타"/>
      <sheetName val="첨부1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"/>
      <sheetName val="Table"/>
      <sheetName val="현금및예치금-기말"/>
      <sheetName val="97년비품"/>
      <sheetName val="CVT산정"/>
      <sheetName val="FX Rates"/>
      <sheetName val="건물"/>
      <sheetName val="Stop"/>
      <sheetName val="조립"/>
      <sheetName val="재무가정"/>
      <sheetName val="11월업적급(FIS)"/>
      <sheetName val="626TD(COLOR)"/>
      <sheetName val="대출금-8"/>
      <sheetName val="월별생산"/>
      <sheetName val="B737"/>
      <sheetName val="우편번호"/>
      <sheetName val="하수급견적대비"/>
      <sheetName val="경비"/>
      <sheetName val="Bank charge"/>
      <sheetName val="ABUT수량-A1"/>
      <sheetName val="ALL"/>
      <sheetName val="?È"/>
      <sheetName val="차수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재집"/>
      <sheetName val="직재"/>
      <sheetName val="LU"/>
      <sheetName val="계정code"/>
      <sheetName val="평가데이터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대차총괄"/>
      <sheetName val="기준정보"/>
      <sheetName val="기계내역"/>
      <sheetName val="TEL"/>
      <sheetName val="월별손익"/>
      <sheetName val="공통가설"/>
      <sheetName val="목차"/>
      <sheetName val="PUMP"/>
      <sheetName val="Y-WORK"/>
      <sheetName val="96월경계 (2)"/>
      <sheetName val="T6-6(2)"/>
      <sheetName val="HISTORICAL"/>
      <sheetName val="FORECASTING"/>
      <sheetName val="CAUDIT"/>
      <sheetName val="내역서"/>
      <sheetName val="Input"/>
      <sheetName val="Comps"/>
      <sheetName val="1_當期시산표"/>
      <sheetName val="기초코드"/>
      <sheetName val="분기별데이타"/>
      <sheetName val="월별데이타"/>
      <sheetName val="기타계열"/>
      <sheetName val="#REF"/>
      <sheetName val="_È"/>
      <sheetName val="BS-E"/>
      <sheetName val="BS요약"/>
      <sheetName val="MAR"/>
      <sheetName val="FEB"/>
      <sheetName val="총괄매출계획"/>
      <sheetName val="DISTTB"/>
      <sheetName val="INOBTB"/>
      <sheetName val="부대대비"/>
      <sheetName val="냉연집계"/>
      <sheetName val="전체현황"/>
      <sheetName val="환율"/>
      <sheetName val="신전산소항목시산표(5월)"/>
      <sheetName val="0-Basics"/>
      <sheetName val="KY.LEE"/>
      <sheetName val="MN2G"/>
      <sheetName val="MARCsheet"/>
      <sheetName val="목표관리모델(누적)"/>
      <sheetName val="BUS제원1"/>
      <sheetName val="Assignment"/>
      <sheetName val="제조원가"/>
      <sheetName val="통장출금액"/>
      <sheetName val="97KJIST"/>
      <sheetName val="교각̼산"/>
      <sheetName val="_견적서1"/>
      <sheetName val="장기투자_계획및_예산"/>
      <sheetName val="장기투자_계획_항목별_내용"/>
      <sheetName val="4급_지로"/>
      <sheetName val="03년도_계획"/>
      <sheetName val="전년_대비"/>
      <sheetName val="30단(손보)_(2)"/>
      <sheetName val="방포사(손보)_(2)"/>
      <sheetName val="XL4Poppy_(2)"/>
      <sheetName val="XL4Poppy_(3)"/>
      <sheetName val="LEAD_SHEET_(K상각후회수율)"/>
      <sheetName val="Customer_Databas"/>
      <sheetName val="07-29기_공개모집병_"/>
      <sheetName val="계급별현황_(2)"/>
      <sheetName val="총원"/>
      <sheetName val="회사정보"/>
      <sheetName val="1ST"/>
      <sheetName val="2004년전체승무원"/>
      <sheetName val="4.경비 5.영업외수지"/>
      <sheetName val="라이신_NML"/>
      <sheetName val="REF"/>
      <sheetName val="기본자료(재직자)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TS"/>
      <sheetName val="CODE0"/>
      <sheetName val="Analysis"/>
      <sheetName val="Ship Advice"/>
      <sheetName val=" °ßÀû¼­"/>
      <sheetName val="1995년 섹터별 매출"/>
      <sheetName val="대비"/>
      <sheetName val="mibk"/>
      <sheetName val="목표세부명세"/>
      <sheetName val="위원회결의"/>
      <sheetName val="심사반합의체"/>
      <sheetName val="부의서"/>
      <sheetName val="이사회부의서"/>
      <sheetName val="계열재무"/>
      <sheetName val="여신담보현황"/>
      <sheetName val="여신 (2)"/>
      <sheetName val="담보"/>
      <sheetName val="손익영향"/>
      <sheetName val="재무현황요약"/>
      <sheetName val="실사요약"/>
      <sheetName val="실사요약수정"/>
      <sheetName val="회사현황(1)"/>
      <sheetName val="회사현황"/>
      <sheetName val="회사현황 (2)"/>
      <sheetName val="2001상반기"/>
      <sheetName val="재무현황"/>
      <sheetName val="승인신청서"/>
      <sheetName val="심사의견1"/>
      <sheetName val="PLarp"/>
      <sheetName val="실행내역"/>
      <sheetName val="1-1"/>
      <sheetName val="QMCT"/>
      <sheetName val="6호기"/>
      <sheetName val="설계내역서"/>
      <sheetName val="B767"/>
      <sheetName val="월별예산"/>
      <sheetName val="Header"/>
      <sheetName val="sapactivexlhiddensheet"/>
      <sheetName val="잡손실내역"/>
      <sheetName val="손익예상"/>
      <sheetName val="bs"/>
      <sheetName val="가수금대체"/>
      <sheetName val="현장관리비"/>
      <sheetName val="Staff Cost"/>
      <sheetName val="제품예산"/>
      <sheetName val="제품별매출"/>
      <sheetName val="제품매출계획연간(04)"/>
      <sheetName val="손익분석"/>
      <sheetName val="00000000"/>
      <sheetName val="2-2.매출분석"/>
      <sheetName val="계산근거"/>
      <sheetName val="Data&amp;Result"/>
      <sheetName val="일반관리비"/>
      <sheetName val="전기"/>
      <sheetName val="일반관리1"/>
      <sheetName val="감독1130"/>
      <sheetName val="Graph"/>
      <sheetName val="재고자산명세"/>
      <sheetName val="제조원가(확인)"/>
      <sheetName val="검색"/>
      <sheetName val="완성차 미수금"/>
      <sheetName val="97입고현황(사내)"/>
      <sheetName val="97출고현황(매출분)"/>
      <sheetName val="97출고현황(SEC)"/>
      <sheetName val="고정자산원본"/>
      <sheetName val="cfanal"/>
      <sheetName val="profit"/>
      <sheetName val="조정전"/>
      <sheetName val="NPS"/>
      <sheetName val="2-1.제품군별계획대비실적(B.A)"/>
      <sheetName val="말뚝물량"/>
      <sheetName val="정부노임단가"/>
      <sheetName val="Variable"/>
      <sheetName val="아울렛 농산벤더"/>
      <sheetName val="정의"/>
      <sheetName val="Macro(전선)"/>
      <sheetName val="Daily RPT"/>
      <sheetName val="직노"/>
      <sheetName val="협조전"/>
      <sheetName val="NKC"/>
      <sheetName val="단면가정"/>
      <sheetName val="admin"/>
      <sheetName val="[DEC_DH_x0018_[DEC_DHDSR0.xls"/>
      <sheetName val="통신매신매004"/>
      <sheetName val="기구표"/>
      <sheetName val="forecasted_BS"/>
      <sheetName val="forecasted_IS"/>
      <sheetName val="support"/>
      <sheetName val="갑지"/>
      <sheetName val="RM pallet(2)"/>
      <sheetName val="RM stafel(1)"/>
      <sheetName val="지급어음"/>
      <sheetName val="2004"/>
      <sheetName val="Bloomberg Paste"/>
      <sheetName val="Code"/>
      <sheetName val="직무리스트"/>
      <sheetName val="working"/>
      <sheetName val="평가표"/>
      <sheetName val="교육결과"/>
      <sheetName val="PC"/>
      <sheetName val="기준재고"/>
      <sheetName val="영업점별목표산출"/>
      <sheetName val="보증금"/>
      <sheetName val="Xylose-Aug"/>
      <sheetName val="History input"/>
      <sheetName val="Financial statements"/>
      <sheetName val="일위대가목록"/>
      <sheetName val="분류항목"/>
      <sheetName val="실행철강하도"/>
      <sheetName val="CJE"/>
      <sheetName val="공문 "/>
      <sheetName val="환율change"/>
      <sheetName val="HR Final"/>
      <sheetName val="HR"/>
      <sheetName val="_DEC_DH_x0018__DEC_DHDSR0.xls"/>
      <sheetName val="9-1차이내역"/>
      <sheetName val="106402"/>
      <sheetName val="주요이슈"/>
      <sheetName val="Inv. LS"/>
      <sheetName val="Aug 2004"/>
      <sheetName val="eq_data"/>
      <sheetName val="ITB COST"/>
      <sheetName val="_견적서2"/>
      <sheetName val="03년도_계획1"/>
      <sheetName val="전년_대비1"/>
      <sheetName val="30단(손보)_(2)1"/>
      <sheetName val="방포사(손보)_(2)1"/>
      <sheetName val="XL4Poppy_(2)1"/>
      <sheetName val="XL4Poppy_(3)1"/>
      <sheetName val="장기투자_계획및_예산1"/>
      <sheetName val="장기투자_계획_항목별_내용1"/>
      <sheetName val="4급_지로1"/>
      <sheetName val="LEAD_SHEET_(K상각후회수율)1"/>
      <sheetName val="Customer_Databas1"/>
      <sheetName val="118_세금과공과"/>
      <sheetName val="4_경비_5_영업외수지"/>
      <sheetName val="I_설계조건"/>
      <sheetName val="Financial_impact"/>
      <sheetName val="WACC_Poland"/>
      <sheetName val="WACC_Korea"/>
      <sheetName val="Actual_data"/>
      <sheetName val="8월_부서별_관리판매비실적"/>
      <sheetName val="2-2_매출분석"/>
      <sheetName val="Bloomberg_Paste"/>
      <sheetName val="RM_pallet(2)"/>
      <sheetName val="RM_stafel(1)"/>
      <sheetName val="History_input"/>
      <sheetName val="Financial_statements"/>
      <sheetName val="Staff_Cost"/>
      <sheetName val="_DEC_DH_DEC_DHDSR0_xls"/>
      <sheetName val="Bank_charge"/>
      <sheetName val="Notes_"/>
      <sheetName val="07-29기_공개모집병_1"/>
      <sheetName val="계급별현황_(2)1"/>
      <sheetName val="Customize_Your_Purchase_Order"/>
      <sheetName val="Purchase_Order"/>
      <sheetName val="공문_"/>
      <sheetName val="절감계산"/>
      <sheetName val="제안서입력"/>
      <sheetName val="산출"/>
      <sheetName val="통제목록"/>
      <sheetName val="변재갑"/>
      <sheetName val="Parameter"/>
      <sheetName val="코드"/>
      <sheetName val="Parameter_P"/>
      <sheetName val="PIS인건비"/>
      <sheetName val="CASHFW98"/>
      <sheetName val="연평잔"/>
      <sheetName val="개요"/>
      <sheetName val="_x005f_x0000_È"/>
      <sheetName val="수량산출"/>
      <sheetName val="갑지1"/>
      <sheetName val="받check"/>
      <sheetName val="주요제품생산"/>
      <sheetName val="5공정가동율"/>
      <sheetName val="231218재직현황"/>
      <sheetName val="배부전원가표"/>
      <sheetName val="95부서실"/>
      <sheetName val="당월_63"/>
      <sheetName val="_견적서3"/>
      <sheetName val="03년도_계획2"/>
      <sheetName val="전년_대비2"/>
      <sheetName val="30단(손보)_(2)2"/>
      <sheetName val="방포사(손보)_(2)2"/>
      <sheetName val="XL4Poppy_(2)2"/>
      <sheetName val="XL4Poppy_(3)2"/>
      <sheetName val="장기투자_계획및_예산2"/>
      <sheetName val="장기투자_계획_항목별_내용2"/>
      <sheetName val="4급_지로2"/>
      <sheetName val="LEAD_SHEET_(K상각후회수율)2"/>
      <sheetName val="Customer_Databas2"/>
      <sheetName val="118_세금과공과1"/>
      <sheetName val="4_경비_5_영업외수지1"/>
      <sheetName val="I_설계조건1"/>
      <sheetName val="Financial_impact1"/>
      <sheetName val="WACC_Poland1"/>
      <sheetName val="WACC_Korea1"/>
      <sheetName val="Actual_data1"/>
      <sheetName val="8월_부서별_관리판매비실적1"/>
      <sheetName val="2-2_매출분석1"/>
      <sheetName val="Bloomberg_Paste1"/>
      <sheetName val="RM_pallet(2)1"/>
      <sheetName val="RM_stafel(1)1"/>
      <sheetName val="History_input1"/>
      <sheetName val="Financial_statements1"/>
      <sheetName val="Staff_Cost1"/>
      <sheetName val="[DEC_DH[DEC_DHDSR0_xls"/>
      <sheetName val="Bank_charge1"/>
      <sheetName val="Notes_1"/>
      <sheetName val="07-29기_공개모집병_2"/>
      <sheetName val="계급별현황_(2)2"/>
      <sheetName val="Customize_Your_Purchase_Order1"/>
      <sheetName val="Purchase_Order1"/>
      <sheetName val="공문_1"/>
      <sheetName val="HR_Final"/>
      <sheetName val="Aug_2004"/>
      <sheetName val="ITB_COST"/>
      <sheetName val="BW (원본 080401)"/>
      <sheetName val="Condition"/>
      <sheetName val="자산BS"/>
      <sheetName val="Config"/>
      <sheetName val="퇴직기초"/>
      <sheetName val="ARP"/>
      <sheetName val="借積IQ"/>
      <sheetName val="환"/>
      <sheetName val="Currency Rates"/>
      <sheetName val="Country Totals"/>
      <sheetName val="NH &amp; NHP Spes."/>
      <sheetName val="투자예상실적"/>
      <sheetName val="Variables"/>
      <sheetName val="Oreo"/>
      <sheetName val="CFLOW"/>
      <sheetName val="Budget 2005 - 2007"/>
      <sheetName val="BS(2006.09.30)전년대비 (2)"/>
      <sheetName val="시산표"/>
      <sheetName val="전사집계"/>
      <sheetName val="HSA"/>
      <sheetName val="Technology"/>
      <sheetName val="업무분장(현행)"/>
      <sheetName val="dtxl"/>
      <sheetName val="2002PL"/>
      <sheetName val="Detail"/>
      <sheetName val="재1"/>
      <sheetName val="pivot monthly"/>
      <sheetName val="FAB별"/>
      <sheetName val="FACTOR"/>
      <sheetName val="차량구입"/>
      <sheetName val="경영관리사업계획"/>
      <sheetName val="CD&amp;SwapRates"/>
      <sheetName val="95WBS"/>
      <sheetName val="COA"/>
      <sheetName val="BEND LOSS"/>
      <sheetName val="CAL."/>
      <sheetName val="발주요약"/>
      <sheetName val="도급예산표지(총체)"/>
      <sheetName val="도급예산표지(1차)"/>
      <sheetName val="도급예산서(제1차)"/>
      <sheetName val="도급예산내역서(총체분)"/>
      <sheetName val="수량조서(1차)"/>
      <sheetName val="수량조서(총체)"/>
      <sheetName val="BSD (2)"/>
      <sheetName val="휴가비,급량비"/>
      <sheetName val="sugu95"/>
      <sheetName val="KMPTO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䑔MO도표"/>
      <sheetName val="월별입출고"/>
      <sheetName val="총원명부"/>
      <sheetName val="ROUTES"/>
      <sheetName val="그룹기안"/>
      <sheetName val="노원열병합  건축공사기성내역서"/>
      <sheetName val="Normal Case"/>
      <sheetName val="단가표"/>
      <sheetName val="96상입"/>
      <sheetName val="25_(4_1).일반사채 내역_원화"/>
      <sheetName val="외화예치금명세"/>
      <sheetName val="Control Sheet"/>
      <sheetName val="확인서"/>
      <sheetName val="Listvalues"/>
      <sheetName val="B01"/>
      <sheetName val="Hua Yang Quarterly"/>
      <sheetName val="지수"/>
      <sheetName val="다목적갑"/>
      <sheetName val="RE7월누계"/>
      <sheetName val="20130201_v1.PCLT 奖励金.xlsx"/>
      <sheetName val="danga"/>
      <sheetName val="ilch"/>
      <sheetName val="May."/>
      <sheetName val="June."/>
      <sheetName val="건설가"/>
      <sheetName val="01반기조정감"/>
      <sheetName val="01반기조정증"/>
      <sheetName val="SteamTG"/>
      <sheetName val="총괄표"/>
      <sheetName val="년판01"/>
      <sheetName val="부대공Ⅱ"/>
      <sheetName val="평가제외"/>
      <sheetName val="특외대"/>
      <sheetName val="단가조사서"/>
      <sheetName val="배치1"/>
      <sheetName val="유통조직현황"/>
      <sheetName val="2_1. 전산피드백_청과"/>
      <sheetName val="_x0000__x0000__x0000__x0000__x0000__x0000__x0000__x0000_ (2)"/>
      <sheetName val="_x0000__x0000__x0000__x0000__x0000__x0000__x0000__x0000_ (3)"/>
      <sheetName val="_x0000__x0000__x0000__x0000__x0000__x0000__x0000__x0000__(2)"/>
      <sheetName val="_x0000__x0000__x0000__x0000__x0000__x0000__x0000__x0000__(3)"/>
      <sheetName val="주소(한문)"/>
      <sheetName val="123"/>
      <sheetName val="입력창"/>
      <sheetName val="용량계산"/>
      <sheetName val="냉각탑자료"/>
      <sheetName val="Reference"/>
      <sheetName val="CC Down load 0716"/>
      <sheetName val="과거교육훈련비"/>
      <sheetName val="비용배분"/>
      <sheetName val="기준"/>
      <sheetName val="제품군"/>
      <sheetName val="소유주(원)"/>
      <sheetName val="하남요청"/>
      <sheetName val="_DEC_DH_x005f_x0018__DEC_DHDSR0.xls"/>
      <sheetName val="[DEC_DH_x005f_x0018_[DEC_DHDSR0.xls"/>
      <sheetName val="수량산출서"/>
      <sheetName val="spread"/>
      <sheetName val="VariableFactors"/>
      <sheetName val="IX 20 Yr"/>
      <sheetName val="Fixed Asset 2203 (2)"/>
      <sheetName val="J"/>
      <sheetName val="현금흐름표"/>
      <sheetName val="합손"/>
      <sheetName val="tsuga"/>
      <sheetName val="붙임2-1  지급조서명세서(2001년분)"/>
      <sheetName val="출금실적"/>
      <sheetName val="표준BS갑"/>
      <sheetName val="Mc"/>
      <sheetName val="1차 내역서"/>
      <sheetName val="이자율"/>
      <sheetName val="Sheet1 (2)"/>
      <sheetName val="손익계산서"/>
      <sheetName val="대차대조표"/>
      <sheetName val="경산"/>
      <sheetName val="_x005f_x005f_x005f_x0000_È"/>
      <sheetName val="★ 核心卖场 1000개"/>
      <sheetName val="FC_Int´l Collection"/>
      <sheetName val="SAP_DR4"/>
      <sheetName val="2000제조1"/>
      <sheetName val="PILOT품"/>
      <sheetName val="M96현황-동아"/>
      <sheetName val="연장집계 (2)"/>
      <sheetName val="입찰안"/>
      <sheetName val="상수도토공집계표"/>
      <sheetName val="전기일위대가"/>
      <sheetName val="견적서세부내용"/>
      <sheetName val="견적내용입력"/>
      <sheetName val="sheets"/>
      <sheetName val="GAEYO"/>
      <sheetName val="목록1"/>
      <sheetName val="목록3"/>
      <sheetName val="목록2"/>
      <sheetName val="실매출과총이익"/>
      <sheetName val="Debt"/>
      <sheetName val="9.16~10.6"/>
      <sheetName val="3550"/>
      <sheetName val="명부"/>
      <sheetName val="_DEC_DH_x005f_x005f_x005f_x0018__DEC_DHDSR0"/>
      <sheetName val="_x005f_x005f_x005f_x005f_x005f_x005f_x005f_x0000_È"/>
      <sheetName val="scan"/>
      <sheetName val="증가명세서"/>
      <sheetName val="Profile"/>
      <sheetName val="매각대상자산 청산가치"/>
      <sheetName val="판매.DAT"/>
      <sheetName val="햇반총원가표실적_org"/>
      <sheetName val="전체아이디어현황"/>
      <sheetName val="???(???)_??"/>
      <sheetName val="가설,2차WS idea-list"/>
      <sheetName val="유통간부"/>
      <sheetName val="Tabulation"/>
      <sheetName val="고합"/>
      <sheetName val="반품율"/>
      <sheetName val="퇴직영수증"/>
      <sheetName val="근로영수증"/>
      <sheetName val="회사내역"/>
      <sheetName val="List"/>
      <sheetName val="fab_o"/>
      <sheetName val="통합"/>
      <sheetName val="10K4"/>
      <sheetName val="FX_Rates"/>
      <sheetName val="KY_LEE"/>
      <sheetName val="여신_(2)"/>
      <sheetName val="회사현황_(2)"/>
      <sheetName val="96월경계_(2)"/>
      <sheetName val="_°ßÀû¼­"/>
      <sheetName val="1995년_섹터별_매출"/>
      <sheetName val="Ship_Advice"/>
      <sheetName val="Currency_Rates"/>
      <sheetName val="Country_Totals"/>
      <sheetName val="NH_&amp;_NHP_Spes_"/>
      <sheetName val="Control_Sheet"/>
      <sheetName val="2-1_제품군별계획대비실적(B_A)"/>
      <sheetName val="Inv__LS"/>
      <sheetName val="완성차_미수금"/>
      <sheetName val="아울렛_농산벤더"/>
      <sheetName val="Daily_RPT"/>
      <sheetName val="Budget_2005_-_2007"/>
      <sheetName val="BS(2006_09_30)전년대비_(2)"/>
      <sheetName val="3110-2"/>
      <sheetName val="_견적서4"/>
      <sheetName val="장기투자_계획및_예산3"/>
      <sheetName val="장기투자_계획_항목별_내용3"/>
      <sheetName val="4급_지로3"/>
      <sheetName val="03년도_계획3"/>
      <sheetName val="전년_대비3"/>
      <sheetName val="30단(손보)_(2)3"/>
      <sheetName val="방포사(손보)_(2)3"/>
      <sheetName val="XL4Poppy_(2)3"/>
      <sheetName val="XL4Poppy_(3)3"/>
      <sheetName val="Customer_Databas3"/>
      <sheetName val="I_설계조건2"/>
      <sheetName val="LEAD_SHEET_(K상각후회수율)3"/>
      <sheetName val="Customize_Your_Purchase_Order2"/>
      <sheetName val="Purchase_Order2"/>
      <sheetName val="118_세금과공과2"/>
      <sheetName val="07-29기_공개모집병_3"/>
      <sheetName val="계급별현황_(2)3"/>
      <sheetName val="Notes_2"/>
      <sheetName val="Bank_charge2"/>
      <sheetName val="KY_LEE1"/>
      <sheetName val="여신_(2)1"/>
      <sheetName val="회사현황_(2)1"/>
      <sheetName val="96월경계_(2)1"/>
      <sheetName val="4_경비_5_영업외수지2"/>
      <sheetName val="WACC_Poland2"/>
      <sheetName val="WACC_Korea2"/>
      <sheetName val="Financial_impact2"/>
      <sheetName val="Actual_data2"/>
      <sheetName val="8월_부서별_관리판매비실적2"/>
      <sheetName val="Staff_Cost2"/>
      <sheetName val="2-2_매출분석2"/>
      <sheetName val="_°ßÀû¼­1"/>
      <sheetName val="1995년_섹터별_매출1"/>
      <sheetName val="Ship_Advice1"/>
      <sheetName val="2-1_제품군별계획대비실적(B_A)1"/>
      <sheetName val="FX_Rates1"/>
      <sheetName val="RM_pallet(2)2"/>
      <sheetName val="RM_stafel(1)2"/>
      <sheetName val="Bloomberg_Paste2"/>
      <sheetName val="History_input2"/>
      <sheetName val="Financial_statements2"/>
      <sheetName val="공문_2"/>
      <sheetName val="HR_Final1"/>
      <sheetName val="Inv__LS1"/>
      <sheetName val="Aug_20041"/>
      <sheetName val="ITB_COST1"/>
      <sheetName val="완성차_미수금1"/>
      <sheetName val="아울렛_농산벤더1"/>
      <sheetName val="Daily_RPT1"/>
      <sheetName val="Currency_Rates1"/>
      <sheetName val="Country_Totals1"/>
      <sheetName val="NH_&amp;_NHP_Spes_1"/>
      <sheetName val="Budget_2005_-_20071"/>
      <sheetName val="BS(2006_09_30)전년대비_(2)1"/>
      <sheetName val="Normal_Case"/>
      <sheetName val="Control_Sheet1"/>
      <sheetName val="적용환율"/>
      <sheetName val="을지"/>
      <sheetName val="인사자료총집계"/>
      <sheetName val="통계연보"/>
      <sheetName val="Receive Data"/>
      <sheetName val="인쇄방법"/>
      <sheetName val="F-Assump"/>
      <sheetName val="_x005f_x0000__x005f_x0000__x005f_x0000__x005f_x0000__x0"/>
      <sheetName val="지,업체(fre)"/>
      <sheetName val="보험요율표"/>
      <sheetName val="환율 및 참고"/>
      <sheetName val="EX-기금"/>
      <sheetName val="Jan-Sep"/>
      <sheetName val="관세-기금 효과"/>
      <sheetName val="Basic_Information"/>
      <sheetName val="_x0000__x0000__x0000__x0000__x0"/>
      <sheetName val="Index"/>
      <sheetName val="EX-_x0005__x0000_"/>
      <sheetName val="유화"/>
      <sheetName val="제조원가명세서"/>
      <sheetName val="Lista"/>
      <sheetName val="2002년"/>
      <sheetName val="30단(손׃⿏_x0000__x0000_ᣀ_x0000__x0000_"/>
      <sheetName val="4급_지로声"/>
      <sheetName val="보정사항"/>
      <sheetName val="Intro"/>
      <sheetName val="과목별 집계표"/>
      <sheetName val="발신정보"/>
      <sheetName val="OP12037"/>
      <sheetName val="표지"/>
      <sheetName val="PRT_BS"/>
      <sheetName val="PRT_PL"/>
      <sheetName val="_DEC_DH_x005f_x005f_x005f_x005f_x005f_x005f_x0018"/>
      <sheetName val="_x005f_x005f_x005f_x005f_x005f_x005f_x005f_x005f_x005f_x005f_"/>
      <sheetName val="cms"/>
      <sheetName val="설비등급집계"/>
      <sheetName val="공사비 내역 (가)"/>
      <sheetName val="_DEC_DH_x005f_x0018__DEC_DHDSR0"/>
      <sheetName val="___(___)___"/>
      <sheetName val="_DEC_DH_x005f_x005f_x0018"/>
      <sheetName val="_x005f_x005f_x005f_x005f_"/>
      <sheetName val="단가목록"/>
      <sheetName val="노임단가"/>
      <sheetName val="회사기초자료"/>
      <sheetName val="자재단가"/>
      <sheetName val="단가일람"/>
      <sheetName val="조경일람"/>
      <sheetName val="기본정보입력"/>
      <sheetName val="Action Plan"/>
      <sheetName val="포장재"/>
      <sheetName val="ROV_Analysis"/>
      <sheetName val="[DEC_DH_x005f_x0018_[DEC_DHDSR0_xls"/>
      <sheetName val="_DEC_DH_x005f_x0018__DEC_DHDSR0_xls"/>
      <sheetName val="EP"/>
      <sheetName val="HE"/>
      <sheetName val="SC"/>
      <sheetName val="RESULT"/>
      <sheetName val="현장"/>
      <sheetName val="END직무"/>
      <sheetName val="TCA"/>
      <sheetName val="Electric_LNG"/>
      <sheetName val="제 336차 상개위 회의록 (송부용).xlsx"/>
      <sheetName val="지점합계 (08)"/>
      <sheetName val="Tbom-tot"/>
      <sheetName val="NR Suppliers"/>
      <sheetName val="Investment"/>
      <sheetName val="Production"/>
      <sheetName val="Material"/>
      <sheetName val="Product"/>
      <sheetName val="NR Inland Transport"/>
      <sheetName val="Incentives"/>
      <sheetName val="NR Overseas Transport"/>
      <sheetName val="NR Price"/>
      <sheetName val="Product Mix"/>
      <sheetName val="Exchange Rate"/>
      <sheetName val="도"/>
      <sheetName val="POL설치공정"/>
      <sheetName val="2_1__전산피드백_청과"/>
      <sheetName val="_(2)1"/>
      <sheetName val="_(3)1"/>
      <sheetName val="IX_20_Yr"/>
      <sheetName val="BSD_(2)"/>
      <sheetName val="1차_내역서"/>
      <sheetName val="노원열병합__건축공사기성내역서"/>
      <sheetName val="Sheet1_(2)"/>
      <sheetName val="20130201_v1_PCLT_奖励金_xlsx"/>
      <sheetName val="May_"/>
      <sheetName val="June_"/>
      <sheetName val="★_核心卖场_1000개"/>
      <sheetName val="FC_Int´l_Collection"/>
      <sheetName val="FRQ"/>
      <sheetName val="__FDSCA塅䕃⹌塅E"/>
      <sheetName val="작업추진 계획(일정)"/>
      <sheetName val="SV SPEC."/>
      <sheetName val="CF6"/>
      <sheetName val="RECIMAKE"/>
      <sheetName val="Sheet6 (3)"/>
      <sheetName val="영업외손"/>
      <sheetName val="일반관리"/>
      <sheetName val="특별손익"/>
      <sheetName val="POL6차-PIPING"/>
      <sheetName val="3-3. 제조원가 분석"/>
      <sheetName val="Purchase_O_x0005__x0000__x0000_"/>
      <sheetName val="Foreign Exchange Rates"/>
      <sheetName val="INCOME STATEMENT INPUT"/>
      <sheetName val="Data Input Sheet"/>
      <sheetName val="수불명세서"/>
      <sheetName val="기타현황"/>
      <sheetName val="CHANDL"/>
      <sheetName val="외주비"/>
      <sheetName val="매크로"/>
      <sheetName val="1위임보수"/>
      <sheetName val="96제조"/>
      <sheetName val="결손금"/>
      <sheetName val="5월2주차"/>
      <sheetName val="성화"/>
      <sheetName val="BOQ건축"/>
      <sheetName val="F4-F7"/>
      <sheetName val="EHP 내역서"/>
      <sheetName val="Breakdown"/>
      <sheetName val="건축"/>
      <sheetName val="2.대외공문"/>
      <sheetName val="간접"/>
      <sheetName val="EACT10"/>
      <sheetName val="건축원가계산서"/>
      <sheetName val="총_"/>
      <sheetName val="을"/>
      <sheetName val="etc공제"/>
      <sheetName val="이발비data"/>
      <sheetName val="식대"/>
      <sheetName val="칠소회비"/>
      <sheetName val="내역서 "/>
      <sheetName val="터파기및재료"/>
      <sheetName val="1F"/>
      <sheetName val="1.우편집중내역서"/>
      <sheetName val="_x0004__x0000__x0007__x0000__x0007__x0000_"/>
      <sheetName val="̀ᘀᘀက؀ԀఀఀԀ܀਀̀ऀȀ؀㈀吀Ԁ嘀䄀刀⸀匀Ԁ嘀䄀刀⸀倀"/>
      <sheetName val="̀ᘀᘀက؀ԀఀఀԀ܀਀̀ऀȀ؀焀쀍燂_x000d_燃䀍燃耍燃쀍燃_x000d_燄䀍"/>
      <sheetName val="̀ᘀᘀက؀ԀఀఀԀ܀਀̀ऀȀ؀琀쀍璂_x000d_璃䀍璃耍璃쀍璃_x000d_璄䀍"/>
      <sheetName val="Consolidated Financials"/>
      <sheetName val="dry "/>
      <sheetName val="A1"/>
      <sheetName val="8월_부서별_관_x0005__x0000__x0000__x0000__x0000_"/>
      <sheetName val="구list"/>
      <sheetName val="Foreclosure"/>
      <sheetName val="8월_부서별_관颙⽰_x0005__x0000__x0000_"/>
      <sheetName val="건축직"/>
      <sheetName val="본장"/>
      <sheetName val="type-F"/>
      <sheetName val="8월_부서별_관抎な_x0000__x0000_莸_x0000_"/>
      <sheetName val="품셈 "/>
      <sheetName val="PAINT"/>
      <sheetName val="방화도료"/>
      <sheetName val="Depreciation&amp;Interest"/>
      <sheetName val="Masterdata"/>
      <sheetName val="Cost_Center"/>
      <sheetName val="내ｈ"/>
      <sheetName val="ᛃ_x0000__x0000_"/>
      <sheetName val="하자리스트"/>
      <sheetName val="12월보조2"/>
      <sheetName val="심의위원명단"/>
      <sheetName val="특기사항"/>
      <sheetName val="p.mgmt"/>
      <sheetName val="Chart of Accounts"/>
      <sheetName val="BSD _2_"/>
      <sheetName val="9GNG운반"/>
      <sheetName val="신표지1"/>
      <sheetName val="대손설정"/>
      <sheetName val="학교기부"/>
      <sheetName val="자사주펀드(대신)"/>
      <sheetName val="0.指标说明"/>
      <sheetName val="KKKKKKKK"/>
      <sheetName val="KKKKKKKK (2)"/>
      <sheetName val="KKKKKKKK (3)"/>
      <sheetName val="11월일정계획"/>
      <sheetName val="BW_(원본_080401)"/>
      <sheetName val="9_16~10_6"/>
      <sheetName val="[DEC_DH_x005f_x0018_[DEC_DHDSR0_xls1"/>
      <sheetName val="_DEC_DH_x005f_x0018__DEC_DHDSR0_xls1"/>
      <sheetName val="매각대상자산_청산가치"/>
      <sheetName val="판매_DAT"/>
      <sheetName val="가설,2차WS_idea-list"/>
      <sheetName val="공사비_내역_(가)"/>
      <sheetName val="Action_Plan"/>
      <sheetName val="환율_및_참고"/>
      <sheetName val="CC_Down_load_0716"/>
      <sheetName val="관세-기금_효과"/>
      <sheetName val="계급별현황_(枵⿤_x0000_"/>
      <sheetName val="계급별현황_(枵ざ_x0000_"/>
      <sheetName val="계급별현황_(ËŰ"/>
      <sheetName val="_x0000__x0004__x0000__x0004__x0000_퀜۪_x0010__x0000__x0000_Ȥ_x0000__x0000__x0002__x0000__x0000__x0000_교_x0000_"/>
      <sheetName val="해외생산"/>
      <sheetName val="일별Data"/>
      <sheetName val="CR CODE"/>
      <sheetName val="부서CODE"/>
      <sheetName val="THEME CODE"/>
      <sheetName val="2001GeneralInfo"/>
      <sheetName val="2001Marshal"/>
      <sheetName val="Funding"/>
      <sheetName val="30단(손׃⽛_x0000__x0000_到_x0000__x0000_"/>
      <sheetName val="FPA"/>
      <sheetName val="순수개발"/>
      <sheetName val="30단(손蒈)蓌)헾⼸_x0005_"/>
      <sheetName val="0.1keyAssumption"/>
      <sheetName val="0.0ControlSheet"/>
      <sheetName val="tax1"/>
      <sheetName val="BOH 제품"/>
      <sheetName val="직거래업체통합"/>
      <sheetName val="7682LA SKD(12.4)"/>
      <sheetName val="하매입(02)"/>
      <sheetName val="Input1"/>
      <sheetName val="판관영비"/>
      <sheetName val="CODE별"/>
      <sheetName val="JP_GP_UP통합"/>
      <sheetName val="MP2006 data"/>
      <sheetName val="W-현원가"/>
      <sheetName val="NR_Suppliers"/>
      <sheetName val="NR_Inland_Transport"/>
      <sheetName val="NR_Overseas_Transport"/>
      <sheetName val="NR_Price"/>
      <sheetName val="Product_Mix"/>
      <sheetName val="Exchange_Rate"/>
      <sheetName val="제_336차_상개위_회의록_(송부용)_xlsx"/>
      <sheetName val="지점합계_(08)"/>
      <sheetName val="작업추진_계획(일정)"/>
      <sheetName val="SV_SPEC_"/>
      <sheetName val="MP2006_data"/>
      <sheetName val="Sheet14"/>
      <sheetName val="Sheet13"/>
      <sheetName val="3월 (9)"/>
      <sheetName val="1단계"/>
      <sheetName val="全局图"/>
      <sheetName val="生产原数据"/>
      <sheetName val="基础_折旧"/>
      <sheetName val="CIC"/>
      <sheetName val="피엘"/>
      <sheetName val="32.1"/>
      <sheetName val="작업통제용"/>
      <sheetName val="FSS TB summary Report"/>
      <sheetName val="Æo°¡±aAØ"/>
      <sheetName val="산출데이타(a)"/>
      <sheetName val="원데이타(1)"/>
      <sheetName val="PRINCIPAL"/>
      <sheetName val="소요자재"/>
      <sheetName val="노무산출서"/>
      <sheetName val="실행(ALT1)"/>
      <sheetName val="90.03실행 "/>
      <sheetName val="표지 (2)"/>
      <sheetName val="단"/>
      <sheetName val="B747"/>
      <sheetName val="Calendar"/>
      <sheetName val="신구계정대사표"/>
      <sheetName val="Excess Calc"/>
      <sheetName val="정산표_BS"/>
      <sheetName val="배합비(99-05-25)"/>
      <sheetName val="비주거용"/>
      <sheetName val="유첨 2. Chiller 운영방법 변경 (Test)"/>
      <sheetName val="_견적서5"/>
      <sheetName val="장기투자_계획및_예산4"/>
      <sheetName val="장기투자_계획_항목별_내용4"/>
      <sheetName val="4급_지로4"/>
      <sheetName val="03년도_계획4"/>
      <sheetName val="전년_대비4"/>
      <sheetName val="30단(손보)_(2)4"/>
      <sheetName val="방포사(손보)_(2)4"/>
      <sheetName val="XL4Poppy_(2)4"/>
      <sheetName val="XL4Poppy_(3)4"/>
      <sheetName val="Customer_Databas4"/>
      <sheetName val="I_설계조건3"/>
      <sheetName val="LEAD_SHEET_(K상각후회수율)4"/>
      <sheetName val="118_세금과공과3"/>
      <sheetName val="Notes_3"/>
      <sheetName val="Bank_charge3"/>
      <sheetName val="07-29기_공개모집병_4"/>
      <sheetName val="계급별현황_(2)4"/>
      <sheetName val="Customize_Your_Purchase_Order3"/>
      <sheetName val="Purchase_Order3"/>
      <sheetName val="4_경비_5_영업외수지3"/>
      <sheetName val="20130201_v1_PCLT_奖励金_xlsx1"/>
      <sheetName val="May_1"/>
      <sheetName val="June_1"/>
      <sheetName val="Financial_impact3"/>
      <sheetName val="CC_Down_load_07161"/>
      <sheetName val="HR_Final2"/>
      <sheetName val="WACC_Poland3"/>
      <sheetName val="WACC_Korea3"/>
      <sheetName val="Actual_data3"/>
      <sheetName val="8월_부서별_관리판매비실적3"/>
      <sheetName val="2_1__전산피드백_청과1"/>
      <sheetName val="Staff_Cost3"/>
      <sheetName val="2-2_매출분석3"/>
      <sheetName val="RM_pallet(2)3"/>
      <sheetName val="RM_stafel(1)3"/>
      <sheetName val="Bloomberg_Paste3"/>
      <sheetName val="History_input3"/>
      <sheetName val="Financial_statements3"/>
      <sheetName val="공문_3"/>
      <sheetName val="Aug_20042"/>
      <sheetName val="ITB_COST2"/>
      <sheetName val="제_336차_상개위_회의록_(송부용)_xlsx1"/>
      <sheetName val="지점합계_(08)1"/>
      <sheetName val="NR_Suppliers1"/>
      <sheetName val="NR_Inland_Transport1"/>
      <sheetName val="NR_Overseas_Transport1"/>
      <sheetName val="NR_Price1"/>
      <sheetName val="Product_Mix1"/>
      <sheetName val="Exchange_Rate1"/>
      <sheetName val="BSD_(2)1"/>
      <sheetName val="9_16~10_61"/>
      <sheetName val="BW_(원본_080401)1"/>
      <sheetName val="작업추진_계획(일정)1"/>
      <sheetName val="SV_SPEC_1"/>
      <sheetName val="MP2006_data1"/>
      <sheetName val="Sheet6_(3)"/>
      <sheetName val="3-3__제조원가_분석"/>
      <sheetName val="Purchase_O"/>
      <sheetName val="3월_(9)"/>
      <sheetName val="내역서_"/>
      <sheetName val="시설물"/>
      <sheetName val="Worksheet"/>
      <sheetName val="Validation"/>
      <sheetName val="GL대표분류"/>
      <sheetName val="수혜지역 MASTER"/>
      <sheetName val="GL계정"/>
      <sheetName val="A-100전제"/>
      <sheetName val="don't delete"/>
      <sheetName val="현금및현금성자산"/>
      <sheetName val="재무상태표"/>
      <sheetName val="_9년자재매각"/>
      <sheetName val="basic_info"/>
      <sheetName val="Final Allocation"/>
      <sheetName val="B2B_x0000__x0000_2004"/>
      <sheetName val="9-29(õ병)"/>
      <sheetName val="위로,청원4가현황"/>
      <sheetName val="위로,청원4가기간"/>
      <sheetName val="_DEC_DH_x0018__DEC_DHDSR0"/>
      <sheetName val="_x005f_x005f_"/>
      <sheetName val="_DEC_DH_x0018__DEC_DHDSR0_xls"/>
      <sheetName val="_DEC_DH_x0018"/>
      <sheetName val="_DEC_DH_x0018__DEC_DHDSR0_xls1"/>
      <sheetName val="_"/>
      <sheetName val="_DEC_DH_x005f_x005f_x005f"/>
      <sheetName val="DI_comment"/>
      <sheetName val="미지비용"/>
      <sheetName val="신고서.전"/>
      <sheetName val="_견적서7"/>
      <sheetName val="장기투자_계획및_예산6"/>
      <sheetName val="장기투자_계획_항목별_내용6"/>
      <sheetName val="4급_지로6"/>
      <sheetName val="LEAD_SHEET_(K상각후회수율)6"/>
      <sheetName val="03년도_계획6"/>
      <sheetName val="전년_대비6"/>
      <sheetName val="30단(손보)_(2)6"/>
      <sheetName val="방포사(손보)_(2)6"/>
      <sheetName val="XL4Poppy_(2)6"/>
      <sheetName val="XL4Poppy_(3)6"/>
      <sheetName val="Customer_Databas6"/>
      <sheetName val="118_세금과공과5"/>
      <sheetName val="I_설계조건5"/>
      <sheetName val="Bank_charge5"/>
      <sheetName val="Notes_5"/>
      <sheetName val="07-29기_공개모집병_6"/>
      <sheetName val="계급별현황_(2)6"/>
      <sheetName val="Customize_Your_Purchase_Order5"/>
      <sheetName val="Purchase_Order5"/>
      <sheetName val="아울렛_농산벤더4"/>
      <sheetName val="FX_Rates4"/>
      <sheetName val="KY_LEE4"/>
      <sheetName val="여신_(2)4"/>
      <sheetName val="회사현황_(2)4"/>
      <sheetName val="4_경비_5_영업외수지5"/>
      <sheetName val="96월경계_(2)4"/>
      <sheetName val="WACC_Poland5"/>
      <sheetName val="WACC_Korea5"/>
      <sheetName val="Financial_impact5"/>
      <sheetName val="Actual_data5"/>
      <sheetName val="8월_부서별_관리판매비실적5"/>
      <sheetName val="Staff_Cost5"/>
      <sheetName val="2-2_매출분석5"/>
      <sheetName val="_°ßÀû¼­4"/>
      <sheetName val="1995년_섹터별_매출4"/>
      <sheetName val="Ship_Advice4"/>
      <sheetName val="HR_Final4"/>
      <sheetName val="Currency_Rates4"/>
      <sheetName val="Country_Totals4"/>
      <sheetName val="NH_&amp;_NHP_Spes_4"/>
      <sheetName val="Control_Sheet4"/>
      <sheetName val="Daily_RPT4"/>
      <sheetName val="완성차_미수금4"/>
      <sheetName val="2-1_제품군별계획대비실적(B_A)4"/>
      <sheetName val="Budget_2005_-_20074"/>
      <sheetName val="BS(2006_09_30)전년대비_(2)4"/>
      <sheetName val="RM_pallet(2)5"/>
      <sheetName val="RM_stafel(1)5"/>
      <sheetName val="Bloomberg_Paste5"/>
      <sheetName val="History_input5"/>
      <sheetName val="Financial_statements5"/>
      <sheetName val="공문_5"/>
      <sheetName val="Inv__LS4"/>
      <sheetName val="Aug_20044"/>
      <sheetName val="ITB_COST4"/>
      <sheetName val="2_1__전산피드백_청과3"/>
      <sheetName val="20130201_v1_PCLT_奖励金_xlsx3"/>
      <sheetName val="May_3"/>
      <sheetName val="June_3"/>
      <sheetName val="BSD_(2)3"/>
      <sheetName val="1차_내역서3"/>
      <sheetName val="노원열병합__건축공사기성내역서3"/>
      <sheetName val="Sheet1_(2)3"/>
      <sheetName val="★_核心卖场_1000개3"/>
      <sheetName val="FC_Int´l_Collection3"/>
      <sheetName val="환율_및_참고2"/>
      <sheetName val="CC_Down_load_07162"/>
      <sheetName val="관세-기금_효과2"/>
      <sheetName val="IX_20_Yr3"/>
      <sheetName val="BW_(원본_080401)2"/>
      <sheetName val="9_16~10_62"/>
      <sheetName val="Normal_Case3"/>
      <sheetName val="연장집계_(2)2"/>
      <sheetName val="[DEC_DH_x005f_x0018_[DEC_DHDSR0_xls2"/>
      <sheetName val="_DEC_DH_x005f_x0018__DEC_DHDSR0_xls2"/>
      <sheetName val="매각대상자산_청산가치2"/>
      <sheetName val="판매_DAT2"/>
      <sheetName val="dry_2"/>
      <sheetName val="EX-"/>
      <sheetName val="작업추진_계획(일정)2"/>
      <sheetName val="SV_SPEC_2"/>
      <sheetName val="Sheet6_(3)2"/>
      <sheetName val="3-3__제조원가_분석2"/>
      <sheetName val="붙임2-1__지급조서명세서(2001년분)2"/>
      <sheetName val="BEND_LOSS2"/>
      <sheetName val="CAL_2"/>
      <sheetName val="25_(4_1)_일반사채_내역_원화2"/>
      <sheetName val="가설,2차WS_idea-list2"/>
      <sheetName val="Receive_Data2"/>
      <sheetName val="Fixed_Asset_2203_(2)2"/>
      <sheetName val="Hua_Yang_Quarterly2"/>
      <sheetName val="공사비_내역_(가)2"/>
      <sheetName val="Action_Plan2"/>
      <sheetName val="0_1keyAssumption2"/>
      <sheetName val="0_0ControlSheet2"/>
      <sheetName val="KKKKKKKK_(2)2"/>
      <sheetName val="KKKKKKKK_(3)2"/>
      <sheetName val="CR_CODE2"/>
      <sheetName val="THEME_CODE2"/>
      <sheetName val="pivot_monthly2"/>
      <sheetName val="30단(손蒈)蓌)헾⼸"/>
      <sheetName val="0_指标说明2"/>
      <sheetName val="_견적서6"/>
      <sheetName val="장기투자_계획및_예산5"/>
      <sheetName val="장기투자_계획_항목별_내용5"/>
      <sheetName val="4급_지로5"/>
      <sheetName val="LEAD_SHEET_(K상각후회수율)5"/>
      <sheetName val="03년도_계획5"/>
      <sheetName val="전년_대비5"/>
      <sheetName val="30단(손보)_(2)5"/>
      <sheetName val="방포사(손보)_(2)5"/>
      <sheetName val="XL4Poppy_(2)5"/>
      <sheetName val="XL4Poppy_(3)5"/>
      <sheetName val="Customer_Databas5"/>
      <sheetName val="118_세금과공과4"/>
      <sheetName val="I_설계조건4"/>
      <sheetName val="Bank_charge4"/>
      <sheetName val="Notes_4"/>
      <sheetName val="07-29기_공개모집병_5"/>
      <sheetName val="계급별현황_(2)5"/>
      <sheetName val="Customize_Your_Purchase_Order4"/>
      <sheetName val="Purchase_Order4"/>
      <sheetName val="아울렛_농산벤더3"/>
      <sheetName val="FX_Rates3"/>
      <sheetName val="KY_LEE3"/>
      <sheetName val="여신_(2)3"/>
      <sheetName val="회사현황_(2)3"/>
      <sheetName val="4_경비_5_영업외수지4"/>
      <sheetName val="96월경계_(2)3"/>
      <sheetName val="WACC_Poland4"/>
      <sheetName val="WACC_Korea4"/>
      <sheetName val="Financial_impact4"/>
      <sheetName val="Actual_data4"/>
      <sheetName val="8월_부서별_관리판매비실적4"/>
      <sheetName val="Staff_Cost4"/>
      <sheetName val="2-2_매출분석4"/>
      <sheetName val="_°ßÀû¼­3"/>
      <sheetName val="1995년_섹터별_매출3"/>
      <sheetName val="Ship_Advice3"/>
      <sheetName val="HR_Final3"/>
      <sheetName val="Currency_Rates3"/>
      <sheetName val="Country_Totals3"/>
      <sheetName val="NH_&amp;_NHP_Spes_3"/>
      <sheetName val="Control_Sheet3"/>
      <sheetName val="Daily_RPT3"/>
      <sheetName val="완성차_미수금3"/>
      <sheetName val="2-1_제품군별계획대비실적(B_A)3"/>
      <sheetName val="Budget_2005_-_20073"/>
      <sheetName val="BS(2006_09_30)전년대비_(2)3"/>
      <sheetName val="RM_pallet(2)4"/>
      <sheetName val="RM_stafel(1)4"/>
      <sheetName val="Bloomberg_Paste4"/>
      <sheetName val="History_input4"/>
      <sheetName val="Financial_statements4"/>
      <sheetName val="공문_4"/>
      <sheetName val="Inv__LS3"/>
      <sheetName val="Aug_20043"/>
      <sheetName val="ITB_COST3"/>
      <sheetName val="2_1__전산피드백_청과2"/>
      <sheetName val="20130201_v1_PCLT_奖励金_xlsx2"/>
      <sheetName val="May_2"/>
      <sheetName val="June_2"/>
      <sheetName val="BSD_(2)2"/>
      <sheetName val="1차_내역서2"/>
      <sheetName val="노원열병합__건축공사기성내역서2"/>
      <sheetName val="Sheet1_(2)2"/>
      <sheetName val="★_核心卖场_1000개2"/>
      <sheetName val="FC_Int´l_Collection2"/>
      <sheetName val="환율_및_참고1"/>
      <sheetName val="관세-기금_효과1"/>
      <sheetName val="IX_20_Yr2"/>
      <sheetName val="Normal_Case2"/>
      <sheetName val="연장집계_(2)1"/>
      <sheetName val="매각대상자산_청산가치1"/>
      <sheetName val="판매_DAT1"/>
      <sheetName val="dry_1"/>
      <sheetName val="Sheet6_(3)1"/>
      <sheetName val="3-3__제조원가_분석1"/>
      <sheetName val="붙임2-1__지급조서명세서(2001년분)1"/>
      <sheetName val="BEND_LOSS1"/>
      <sheetName val="CAL_1"/>
      <sheetName val="25_(4_1)_일반사채_내역_원화1"/>
      <sheetName val="가설,2차WS_idea-list1"/>
      <sheetName val="Receive_Data1"/>
      <sheetName val="Fixed_Asset_2203_(2)1"/>
      <sheetName val="Hua_Yang_Quarterly1"/>
      <sheetName val="공사비_내역_(가)1"/>
      <sheetName val="Action_Plan1"/>
      <sheetName val="0_1keyAssumption1"/>
      <sheetName val="0_0ControlSheet1"/>
      <sheetName val="KKKKKKKK_(2)1"/>
      <sheetName val="KKKKKKKK_(3)1"/>
      <sheetName val="CR_CODE1"/>
      <sheetName val="THEME_CODE1"/>
      <sheetName val="pivot_monthly1"/>
      <sheetName val="0_指标说明1"/>
      <sheetName val="아울렛_농산벤더2"/>
      <sheetName val="FX_Rates2"/>
      <sheetName val="KY_LEE2"/>
      <sheetName val="여신_(2)2"/>
      <sheetName val="회사현황_(2)2"/>
      <sheetName val="96월경계_(2)2"/>
      <sheetName val="_°ßÀû¼­2"/>
      <sheetName val="1995년_섹터별_매출2"/>
      <sheetName val="Ship_Advice2"/>
      <sheetName val="Currency_Rates2"/>
      <sheetName val="Country_Totals2"/>
      <sheetName val="NH_&amp;_NHP_Spes_2"/>
      <sheetName val="Control_Sheet2"/>
      <sheetName val="Daily_RPT2"/>
      <sheetName val="완성차_미수금2"/>
      <sheetName val="2-1_제품군별계획대비실적(B_A)2"/>
      <sheetName val="Budget_2005_-_20072"/>
      <sheetName val="BS(2006_09_30)전년대비_(2)2"/>
      <sheetName val="Inv__LS2"/>
      <sheetName val="1차_내역서1"/>
      <sheetName val="노원열병합__건축공사기성내역서1"/>
      <sheetName val="Sheet1_(2)1"/>
      <sheetName val="★_核心卖场_1000개1"/>
      <sheetName val="FC_Int´l_Collection1"/>
      <sheetName val="IX_20_Yr1"/>
      <sheetName val="Normal_Case1"/>
      <sheetName val="연장집계_(2)"/>
      <sheetName val="dry_"/>
      <sheetName val="붙임2-1__지급조서명세서(2001년분)"/>
      <sheetName val="BEND_LOSS"/>
      <sheetName val="CAL_"/>
      <sheetName val="25_(4_1)_일반사채_내역_원화"/>
      <sheetName val="Receive_Data"/>
      <sheetName val="Fixed_Asset_2203_(2)"/>
      <sheetName val="Hua_Yang_Quarterly"/>
      <sheetName val="0_1keyAssumption"/>
      <sheetName val="0_0ControlSheet"/>
      <sheetName val="KKKKKKKK_(2)"/>
      <sheetName val="KKKKKKKK_(3)"/>
      <sheetName val="CR_CODE"/>
      <sheetName val="THEME_CODE"/>
      <sheetName val="pivot_monthly"/>
      <sheetName val="0_指标说明"/>
      <sheetName val="_견적서9"/>
      <sheetName val="장기투자_계획및_예산8"/>
      <sheetName val="장기투자_계획_항목별_내용8"/>
      <sheetName val="4급_지로8"/>
      <sheetName val="LEAD_SHEET_(K상각후회수율)8"/>
      <sheetName val="03년도_계획8"/>
      <sheetName val="전년_대비8"/>
      <sheetName val="30단(손보)_(2)8"/>
      <sheetName val="방포사(손보)_(2)8"/>
      <sheetName val="XL4Poppy_(2)8"/>
      <sheetName val="XL4Poppy_(3)8"/>
      <sheetName val="Customer_Databas8"/>
      <sheetName val="118_세금과공과7"/>
      <sheetName val="I_설계조건7"/>
      <sheetName val="Bank_charge7"/>
      <sheetName val="Notes_7"/>
      <sheetName val="07-29기_공개모집병_8"/>
      <sheetName val="계급별현황_(2)8"/>
      <sheetName val="Customize_Your_Purchase_Order7"/>
      <sheetName val="Purchase_Order7"/>
      <sheetName val="아울렛_농산벤더6"/>
      <sheetName val="FX_Rates6"/>
      <sheetName val="KY_LEE6"/>
      <sheetName val="여신_(2)6"/>
      <sheetName val="회사현황_(2)6"/>
      <sheetName val="4_경비_5_영업외수지7"/>
      <sheetName val="96월경계_(2)6"/>
      <sheetName val="WACC_Poland7"/>
      <sheetName val="WACC_Korea7"/>
      <sheetName val="Financial_impact7"/>
      <sheetName val="Actual_data7"/>
      <sheetName val="8월_부서별_관리판매비실적7"/>
      <sheetName val="Staff_Cost7"/>
      <sheetName val="2-2_매출분석7"/>
      <sheetName val="_°ßÀû¼­6"/>
      <sheetName val="1995년_섹터별_매출6"/>
      <sheetName val="Ship_Advice6"/>
      <sheetName val="HR_Final6"/>
      <sheetName val="Currency_Rates6"/>
      <sheetName val="Country_Totals6"/>
      <sheetName val="NH_&amp;_NHP_Spes_6"/>
      <sheetName val="Control_Sheet6"/>
      <sheetName val="Daily_RPT6"/>
      <sheetName val="완성차_미수금6"/>
      <sheetName val="2-1_제품군별계획대비실적(B_A)6"/>
      <sheetName val="Budget_2005_-_20076"/>
      <sheetName val="BS(2006_09_30)전년대비_(2)6"/>
      <sheetName val="RM_pallet(2)7"/>
      <sheetName val="RM_stafel(1)7"/>
      <sheetName val="Bloomberg_Paste7"/>
      <sheetName val="History_input7"/>
      <sheetName val="Financial_statements7"/>
      <sheetName val="공문_7"/>
      <sheetName val="Inv__LS6"/>
      <sheetName val="Aug_20046"/>
      <sheetName val="ITB_COST6"/>
      <sheetName val="2_1__전산피드백_청과5"/>
      <sheetName val="20130201_v1_PCLT_奖励金_xlsx5"/>
      <sheetName val="May_5"/>
      <sheetName val="June_5"/>
      <sheetName val="BSD_(2)5"/>
      <sheetName val="1차_내역서5"/>
      <sheetName val="노원열병합__건축공사기성내역서5"/>
      <sheetName val="Sheet1_(2)5"/>
      <sheetName val="★_核心卖场_1000개5"/>
      <sheetName val="FC_Int´l_Collection5"/>
      <sheetName val="환율_및_참고4"/>
      <sheetName val="CC_Down_load_07164"/>
      <sheetName val="관세-기금_효과4"/>
      <sheetName val="IX_20_Yr5"/>
      <sheetName val="BW_(원본_080401)4"/>
      <sheetName val="9_16~10_64"/>
      <sheetName val="Normal_Case5"/>
      <sheetName val="연장집계_(2)4"/>
      <sheetName val="[DEC_DH_x005f_x0018_[DEC_DHDSR0_xls4"/>
      <sheetName val="_DEC_DH_x005f_x0018__DEC_DHDSR0_xls4"/>
      <sheetName val="매각대상자산_청산가치4"/>
      <sheetName val="판매_DAT4"/>
      <sheetName val="dry_4"/>
      <sheetName val="작업추진_계획(일정)4"/>
      <sheetName val="SV_SPEC_4"/>
      <sheetName val="Sheet6_(3)4"/>
      <sheetName val="3-3__제조원가_분석4"/>
      <sheetName val="붙임2-1__지급조서명세서(2001년분)4"/>
      <sheetName val="BEND_LOSS4"/>
      <sheetName val="CAL_4"/>
      <sheetName val="25_(4_1)_일반사채_내역_원화4"/>
      <sheetName val="가설,2차WS_idea-list4"/>
      <sheetName val="Receive_Data4"/>
      <sheetName val="Fixed_Asset_2203_(2)4"/>
      <sheetName val="Hua_Yang_Quarterly4"/>
      <sheetName val="공사비_내역_(가)4"/>
      <sheetName val="Action_Plan4"/>
      <sheetName val="0_1keyAssumption4"/>
      <sheetName val="0_0ControlSheet4"/>
      <sheetName val="KKKKKKKK_(2)4"/>
      <sheetName val="KKKKKKKK_(3)4"/>
      <sheetName val="CR_CODE4"/>
      <sheetName val="THEME_CODE4"/>
      <sheetName val="pivot_monthly4"/>
      <sheetName val="0_指标说明4"/>
      <sheetName val="_견적서8"/>
      <sheetName val="장기투자_계획및_예산7"/>
      <sheetName val="장기투자_계획_항목별_내용7"/>
      <sheetName val="4급_지로7"/>
      <sheetName val="LEAD_SHEET_(K상각후회수율)7"/>
      <sheetName val="03년도_계획7"/>
      <sheetName val="전년_대비7"/>
      <sheetName val="30단(손보)_(2)7"/>
      <sheetName val="방포사(손보)_(2)7"/>
      <sheetName val="XL4Poppy_(2)7"/>
      <sheetName val="XL4Poppy_(3)7"/>
      <sheetName val="Customer_Databas7"/>
      <sheetName val="118_세금과공과6"/>
      <sheetName val="I_설계조건6"/>
      <sheetName val="Bank_charge6"/>
      <sheetName val="Notes_6"/>
      <sheetName val="07-29기_공개모집병_7"/>
      <sheetName val="계급별현황_(2)7"/>
      <sheetName val="Customize_Your_Purchase_Order6"/>
      <sheetName val="Purchase_Order6"/>
      <sheetName val="아울렛_농산벤더5"/>
      <sheetName val="FX_Rates5"/>
      <sheetName val="KY_LEE5"/>
      <sheetName val="여신_(2)5"/>
      <sheetName val="회사현황_(2)5"/>
      <sheetName val="4_경비_5_영업외수지6"/>
      <sheetName val="96월경계_(2)5"/>
      <sheetName val="WACC_Poland6"/>
      <sheetName val="WACC_Korea6"/>
      <sheetName val="Financial_impact6"/>
      <sheetName val="Actual_data6"/>
      <sheetName val="8월_부서별_관리판매비실적6"/>
      <sheetName val="Staff_Cost6"/>
      <sheetName val="2-2_매출분석6"/>
      <sheetName val="_°ßÀû¼­5"/>
      <sheetName val="1995년_섹터별_매출5"/>
      <sheetName val="Ship_Advice5"/>
      <sheetName val="HR_Final5"/>
      <sheetName val="Currency_Rates5"/>
      <sheetName val="Country_Totals5"/>
      <sheetName val="NH_&amp;_NHP_Spes_5"/>
      <sheetName val="Control_Sheet5"/>
      <sheetName val="Daily_RPT5"/>
      <sheetName val="완성차_미수금5"/>
      <sheetName val="2-1_제품군별계획대비실적(B_A)5"/>
      <sheetName val="Budget_2005_-_20075"/>
      <sheetName val="BS(2006_09_30)전년대비_(2)5"/>
      <sheetName val="RM_pallet(2)6"/>
      <sheetName val="RM_stafel(1)6"/>
      <sheetName val="Bloomberg_Paste6"/>
      <sheetName val="History_input6"/>
      <sheetName val="Financial_statements6"/>
      <sheetName val="공문_6"/>
      <sheetName val="Inv__LS5"/>
      <sheetName val="Aug_20045"/>
      <sheetName val="ITB_COST5"/>
      <sheetName val="2_1__전산피드백_청과4"/>
      <sheetName val="20130201_v1_PCLT_奖励金_xlsx4"/>
      <sheetName val="May_4"/>
      <sheetName val="June_4"/>
      <sheetName val="BSD_(2)4"/>
      <sheetName val="1차_내역서4"/>
      <sheetName val="노원열병합__건축공사기성내역서4"/>
      <sheetName val="Sheet1_(2)4"/>
      <sheetName val="★_核心卖场_1000개4"/>
      <sheetName val="FC_Int´l_Collection4"/>
      <sheetName val="환율_및_참고3"/>
      <sheetName val="CC_Down_load_07163"/>
      <sheetName val="관세-기금_효과3"/>
      <sheetName val="IX_20_Yr4"/>
      <sheetName val="BW_(원본_080401)3"/>
      <sheetName val="9_16~10_63"/>
      <sheetName val="Normal_Case4"/>
      <sheetName val="연장집계_(2)3"/>
      <sheetName val="[DEC_DH_x005f_x0018_[DEC_DHDSR0_xls3"/>
      <sheetName val="_DEC_DH_x005f_x0018__DEC_DHDSR0_xls3"/>
      <sheetName val="매각대상자산_청산가치3"/>
      <sheetName val="판매_DAT3"/>
      <sheetName val="dry_3"/>
      <sheetName val="작업추진_계획(일정)3"/>
      <sheetName val="SV_SPEC_3"/>
      <sheetName val="Sheet6_(3)3"/>
      <sheetName val="3-3__제조원가_분석3"/>
      <sheetName val="붙임2-1__지급조서명세서(2001년분)3"/>
      <sheetName val="BEND_LOSS3"/>
      <sheetName val="CAL_3"/>
      <sheetName val="25_(4_1)_일반사채_내역_원화3"/>
      <sheetName val="가설,2차WS_idea-list3"/>
      <sheetName val="Receive_Data3"/>
      <sheetName val="Fixed_Asset_2203_(2)3"/>
      <sheetName val="Hua_Yang_Quarterly3"/>
      <sheetName val="공사비_내역_(가)3"/>
      <sheetName val="Action_Plan3"/>
      <sheetName val="0_1keyAssumption3"/>
      <sheetName val="0_0ControlSheet3"/>
      <sheetName val="KKKKKKKK_(2)3"/>
      <sheetName val="KKKKKKKK_(3)3"/>
      <sheetName val="CR_CODE3"/>
      <sheetName val="THEME_CODE3"/>
      <sheetName val="pivot_monthly3"/>
      <sheetName val="0_指标说明3"/>
      <sheetName val="Summary"/>
      <sheetName val="5月下期"/>
      <sheetName val="공통"/>
      <sheetName val="Initial Input Variable"/>
      <sheetName val="99판매상세"/>
      <sheetName val="SpQ"/>
      <sheetName val="1.PP Info"/>
      <sheetName val="인원계획"/>
      <sheetName val="손익분기점 데이터"/>
      <sheetName val="0910"/>
      <sheetName val="wall"/>
      <sheetName val="운항율"/>
      <sheetName val="基礎データ"/>
      <sheetName val="Gmd3"/>
      <sheetName val="(참고용) GL대표분류"/>
      <sheetName val="HKM Kupang-Exterior "/>
      <sheetName val="User"/>
      <sheetName val="Dep2Coefs"/>
      <sheetName val="Dep1Coefs"/>
      <sheetName val="진행 DATA (2)"/>
      <sheetName val="기안"/>
      <sheetName val="CAPVC"/>
      <sheetName val="30단(손׃⿏"/>
      <sheetName val="112-885"/>
      <sheetName val="sales"/>
      <sheetName val="YOEMAGUM"/>
      <sheetName val="수리결과"/>
      <sheetName val="GC산출"/>
      <sheetName val="투자양식"/>
      <sheetName val="거래처위치"/>
      <sheetName val="Input_Infor"/>
      <sheetName val="Input_Country"/>
      <sheetName val="본부별매출"/>
      <sheetName val="N10(미지급) "/>
      <sheetName val="DB"/>
      <sheetName val="심의대상"/>
      <sheetName val="경비2내역"/>
      <sheetName val="DSR HM Data"/>
      <sheetName val="B11"/>
      <sheetName val="C02-2"/>
      <sheetName val="B17"/>
      <sheetName val="C02-3"/>
      <sheetName val="B12"/>
      <sheetName val="B13"/>
      <sheetName val="B14-1"/>
      <sheetName val="B03"/>
      <sheetName val="B14-2"/>
      <sheetName val="B14-3"/>
      <sheetName val="B16-1"/>
      <sheetName val="B16-2"/>
      <sheetName val="B02"/>
      <sheetName val="B18"/>
      <sheetName val="B19-1"/>
      <sheetName val="B19-3"/>
      <sheetName val="B19-4"/>
      <sheetName val="B19-5"/>
      <sheetName val="B19-6"/>
      <sheetName val="B20"/>
      <sheetName val="B21"/>
      <sheetName val="B22"/>
      <sheetName val="B23"/>
      <sheetName val="B04"/>
      <sheetName val="C01"/>
      <sheetName val="C02-1"/>
      <sheetName val="C04"/>
      <sheetName val="C05-1"/>
      <sheetName val="C05-3"/>
      <sheetName val="C05-4"/>
      <sheetName val="C06"/>
      <sheetName val="B05"/>
      <sheetName val="C07-1"/>
      <sheetName val="C07-2"/>
      <sheetName val="C08-1"/>
      <sheetName val="C08-2"/>
      <sheetName val="B15"/>
      <sheetName val="C08-3"/>
      <sheetName val="C08-4"/>
      <sheetName val="C09"/>
      <sheetName val="C10"/>
      <sheetName val="B07"/>
      <sheetName val="B08"/>
      <sheetName val="B09"/>
      <sheetName val="B10"/>
      <sheetName val="LCM사용분"/>
      <sheetName val="30단(손׃⽛"/>
      <sheetName val="Purchase_O_x0005_"/>
      <sheetName val="개당손익0303"/>
      <sheetName val="crude.SLAB RE-bar"/>
      <sheetName val="CRUDE RE-bar"/>
      <sheetName val="이름정의"/>
      <sheetName val="Mobil"/>
      <sheetName val="부하계산서"/>
      <sheetName val="1.설계조건"/>
      <sheetName val="옹벽"/>
      <sheetName val="9609Aß"/>
      <sheetName val="목동세대 산출근거"/>
      <sheetName val="출입자명단"/>
      <sheetName val="상품입고집계"/>
      <sheetName val="인건비허들"/>
      <sheetName val="4급_지로헾"/>
      <sheetName val="ITINERARY"/>
      <sheetName val="30단(손׃⿏??ᣀ??"/>
      <sheetName val="4급_지로卨"/>
      <sheetName val="4급_지로㏈"/>
      <sheetName val="BOH_제품"/>
      <sheetName val="수불상"/>
      <sheetName val="교각1"/>
      <sheetName val="Frcst"/>
      <sheetName val="Margins"/>
      <sheetName val="AJES"/>
      <sheetName val="OP EXP"/>
      <sheetName val="손익구조"/>
      <sheetName val="Data 입력창 5Pnl"/>
      <sheetName val="Financia_x0000__x0000__x0005__x0000_朠鿅ș_x0000_"/>
      <sheetName val="품의양"/>
      <sheetName val="backdata"/>
      <sheetName val="과목별_집계표"/>
      <sheetName val="Foreign_Exchange_Rates"/>
      <sheetName val="INCOME_STATEMENT_INPUT"/>
      <sheetName val="Data_Input_Sheet"/>
      <sheetName val="8월_부서별_관"/>
      <sheetName val="8월_부서별_관颙⽰"/>
      <sheetName val="품셈_"/>
      <sheetName val="Consolidated_Financials"/>
      <sheetName val="퀜۪Ȥ교"/>
      <sheetName val="p_mgmt"/>
      <sheetName val="Chart_of_Accounts"/>
      <sheetName val="BSD__2_"/>
      <sheetName val="_x0004_"/>
      <sheetName val="장기투자_계획및_예　쎒"/>
      <sheetName val="외주정비"/>
      <sheetName val="적용률"/>
      <sheetName val="준공사진"/>
      <sheetName val="기계경비(시간당)"/>
      <sheetName val="과업"/>
      <sheetName val="000000"/>
      <sheetName val="대구경북"/>
      <sheetName val="월별손익현황"/>
      <sheetName val="월별원가(USD)"/>
      <sheetName val="_x005f_x0000__x005f_x0000__x005"/>
      <sheetName val="Purchase_O_x0005__x0000__x0000"/>
      <sheetName val="30단(손׃⿏_x0000__x0000_ᣀ_x0000__x"/>
      <sheetName val="8월_부서별_관_x0005__x0000__x0000__"/>
      <sheetName val="8월_부서별_관颙⽰_x0005__x0000__x0000"/>
      <sheetName val="투입량"/>
      <sheetName val="Inv._xdee0_༖_x0007_"/>
      <sheetName val="Inv.漱M"/>
      <sheetName val="8월_부서별_관"/>
      <sheetName val="Simul"/>
      <sheetName val="Input Adjustments"/>
      <sheetName val="Print_Order"/>
      <sheetName val="NR_Assumption_1"/>
      <sheetName val="1을"/>
      <sheetName val="건설성적"/>
      <sheetName val="판매일반"/>
      <sheetName val="부재예실1월"/>
      <sheetName val="1_PP_Info"/>
      <sheetName val="d01"/>
      <sheetName val="d04"/>
      <sheetName val="이천공장"/>
      <sheetName val="Start"/>
      <sheetName val="영구조서"/>
      <sheetName val="cost9702"/>
      <sheetName val="제_336차_상개위_회의록_(송부용)_xlsx2"/>
      <sheetName val="지점합계_(08)2"/>
      <sheetName val="NR_Suppliers2"/>
      <sheetName val="NR_Inland_Transport2"/>
      <sheetName val="NR_Overseas_Transport2"/>
      <sheetName val="NR_Price2"/>
      <sheetName val="Product_Mix2"/>
      <sheetName val="Exchange_Rate2"/>
      <sheetName val="MP2006_data2"/>
      <sheetName val="3월_(9)1"/>
      <sheetName val="내역서_1"/>
      <sheetName val="유첨_2__Chiller_운영방법_변경_(Test)"/>
      <sheetName val="수혜지역_MASTER"/>
      <sheetName val="don't_delete"/>
      <sheetName val="(참고용)_GL대표분류"/>
      <sheetName val="HKM_Kupang-Exterior_"/>
      <sheetName val="제_336차_상개위_회의록_(송부용)_xlsx4"/>
      <sheetName val="지점합계_(08)4"/>
      <sheetName val="NR_Suppliers4"/>
      <sheetName val="NR_Inland_Transport4"/>
      <sheetName val="NR_Overseas_Transport4"/>
      <sheetName val="NR_Price4"/>
      <sheetName val="Product_Mix4"/>
      <sheetName val="Exchange_Rate4"/>
      <sheetName val="MP2006_data4"/>
      <sheetName val="3월_(9)3"/>
      <sheetName val="내역서_3"/>
      <sheetName val="유첨_2__Chiller_운영방법_변경_(Test)2"/>
      <sheetName val="수혜지역_MASTER2"/>
      <sheetName val="don't_delete2"/>
      <sheetName val="(참고용)_GL대표분류2"/>
      <sheetName val="HKM_Kupang-Exterior_2"/>
      <sheetName val="진행_DATA_(2)1"/>
      <sheetName val="EHP_내역서1"/>
      <sheetName val="과목별_집계표1"/>
      <sheetName val="Inv_༖"/>
      <sheetName val="Inv_漱M1"/>
      <sheetName val="제_336차_상개위_회의록_(송부용)_xlsx3"/>
      <sheetName val="지점합계_(08)3"/>
      <sheetName val="NR_Suppliers3"/>
      <sheetName val="NR_Inland_Transport3"/>
      <sheetName val="NR_Overseas_Transport3"/>
      <sheetName val="NR_Price3"/>
      <sheetName val="Product_Mix3"/>
      <sheetName val="Exchange_Rate3"/>
      <sheetName val="MP2006_data3"/>
      <sheetName val="3월_(9)2"/>
      <sheetName val="내역서_2"/>
      <sheetName val="유첨_2__Chiller_운영방법_변경_(Test)1"/>
      <sheetName val="수혜지역_MASTER1"/>
      <sheetName val="don't_delete1"/>
      <sheetName val="(참고용)_GL대표분류1"/>
      <sheetName val="HKM_Kupang-Exterior_1"/>
      <sheetName val="진행_DATA_(2)"/>
      <sheetName val="EHP_내역서"/>
      <sheetName val="Inv_漱M"/>
      <sheetName val="Fx Summary Sheet"/>
      <sheetName val="CBM-proj"/>
      <sheetName val="lbo-sum"/>
      <sheetName val="수선비"/>
      <sheetName val="B2B"/>
      <sheetName val="8월_부서별_관抎な"/>
      <sheetName val="8월_부서별_관_x0005_"/>
      <sheetName val="8월_부서별_관颙⽰_x0005_"/>
      <sheetName val="DLA"/>
      <sheetName val="_DEC_DH_DEC_DHDSR0_xls2"/>
      <sheetName val="_DEC_DH_DEC_DHDSR0"/>
      <sheetName val="_DEC_DH_DEC_DHDSR0_xls1"/>
      <sheetName val="손익분기점_데이터"/>
      <sheetName val="CR"/>
      <sheetName val="계급별현황_(_x0010__x0000_啸"/>
      <sheetName val="제품구분참고"/>
      <sheetName val="Assump2"/>
      <sheetName val="Assump-Dept"/>
      <sheetName val="BASE"/>
      <sheetName val="Hankook Masters"/>
      <sheetName val="CC_Down_load_07165"/>
      <sheetName val="제_336차_상개위_회의록_(송부용)_xlsx5"/>
      <sheetName val="지점합계_(08)5"/>
      <sheetName val="NR_Suppliers5"/>
      <sheetName val="NR_Inland_Transport5"/>
      <sheetName val="NR_Overseas_Transport5"/>
      <sheetName val="NR_Price5"/>
      <sheetName val="Product_Mix5"/>
      <sheetName val="Exchange_Rate5"/>
      <sheetName val="_DEC_DH_x005f_x0018__DEC_DHDSR0_xls5"/>
      <sheetName val="[DEC_DH_x005f_x0018_[DEC_DHDSR0_xls5"/>
      <sheetName val="9_16~10_65"/>
      <sheetName val="BW_(원본_080401)5"/>
      <sheetName val="작업추진_계획(일정)5"/>
      <sheetName val="SV_SPEC_5"/>
      <sheetName val="MP2006_data5"/>
      <sheetName val="3월_(9)4"/>
      <sheetName val="내역서_4"/>
      <sheetName val="유첨_2__Chiller_운영방법_변경_(Test)3"/>
      <sheetName val="수혜지역_MASTER3"/>
      <sheetName val="don't_delete3"/>
      <sheetName val="(참고용)_GL대표분류3"/>
      <sheetName val="HKM_Kupang-Exterior_3"/>
      <sheetName val="진행_DATA_(2)2"/>
      <sheetName val="EHP_내역서2"/>
      <sheetName val="과목별_집계표2"/>
      <sheetName val="Inv_漱M2"/>
      <sheetName val="Excess_Calc"/>
      <sheetName val="Purchase_O_x0000"/>
      <sheetName val="8월_부서별_관_"/>
      <sheetName val="8월_부서별_관颙⽰_x0000"/>
      <sheetName val="7682LA_SKD(12_4)"/>
      <sheetName val="90_03실행_"/>
      <sheetName val="표지_(2)"/>
      <sheetName val="Hankook_Masters"/>
      <sheetName val="Purchase_O"/>
      <sheetName val="8월_부서별_관颙⽰"/>
      <sheetName val="_견적서10"/>
      <sheetName val="장기투자_계획및_예산9"/>
      <sheetName val="장기투자_계획_항목별_내용9"/>
      <sheetName val="4급_지로9"/>
      <sheetName val="03년도_계획9"/>
      <sheetName val="전년_대비9"/>
      <sheetName val="30단(손보)_(2)9"/>
      <sheetName val="방포사(손보)_(2)9"/>
      <sheetName val="XL4Poppy_(2)9"/>
      <sheetName val="XL4Poppy_(3)9"/>
      <sheetName val="Customer_Databas9"/>
      <sheetName val="I_설계조건8"/>
      <sheetName val="LEAD_SHEET_(K상각후회수율)9"/>
      <sheetName val="118_세금과공과8"/>
      <sheetName val="Notes_8"/>
      <sheetName val="Bank_charge8"/>
      <sheetName val="07-29기_공개모집병_9"/>
      <sheetName val="계급별현황_(2)9"/>
      <sheetName val="Customize_Your_Purchase_Order8"/>
      <sheetName val="Purchase_Order8"/>
      <sheetName val="4_경비_5_영업외수지8"/>
      <sheetName val="20130201_v1_PCLT_奖励金_xlsx6"/>
      <sheetName val="May_6"/>
      <sheetName val="June_6"/>
      <sheetName val="Financial_impact8"/>
      <sheetName val="CC_Down_load_07166"/>
      <sheetName val="HR_Final7"/>
      <sheetName val="WACC_Poland8"/>
      <sheetName val="WACC_Korea8"/>
      <sheetName val="Actual_data8"/>
      <sheetName val="8월_부서별_관리판매비실적8"/>
      <sheetName val="2_1__전산피드백_청과6"/>
      <sheetName val="Staff_Cost8"/>
      <sheetName val="2-2_매출분석8"/>
      <sheetName val="RM_pallet(2)8"/>
      <sheetName val="RM_stafel(1)8"/>
      <sheetName val="Bloomberg_Paste8"/>
      <sheetName val="History_input8"/>
      <sheetName val="Financial_statements8"/>
      <sheetName val="공문_8"/>
      <sheetName val="Aug_20047"/>
      <sheetName val="ITB_COST7"/>
      <sheetName val="제_336차_상개위_회의록_(송부용)_xlsx6"/>
      <sheetName val="지점합계_(08)6"/>
      <sheetName val="NR_Suppliers6"/>
      <sheetName val="NR_Inland_Transport6"/>
      <sheetName val="NR_Overseas_Transport6"/>
      <sheetName val="NR_Price6"/>
      <sheetName val="Product_Mix6"/>
      <sheetName val="Exchange_Rate6"/>
      <sheetName val="_DEC_DH_x005f_x0018__DEC_DHDSR0_xls6"/>
      <sheetName val="[DEC_DH_x005f_x0018_[DEC_DHDSR0_xls6"/>
      <sheetName val="BSD_(2)6"/>
      <sheetName val="9_16~10_66"/>
      <sheetName val="BW_(원본_080401)6"/>
      <sheetName val="작업추진_계획(일정)6"/>
      <sheetName val="SV_SPEC_6"/>
      <sheetName val="MP2006_data6"/>
      <sheetName val="환율_및_참고5"/>
      <sheetName val="Sheet6_(3)5"/>
      <sheetName val="3-3__제조원가_분석5"/>
      <sheetName val="관세-기금_효과5"/>
      <sheetName val="3월_(9)5"/>
      <sheetName val="내역서_5"/>
      <sheetName val="유첨_2__Chiller_운영방법_변경_(Test)4"/>
      <sheetName val="수혜지역_MASTER4"/>
      <sheetName val="don't_delete4"/>
      <sheetName val="(참고용)_GL대표분류4"/>
      <sheetName val="HKM_Kupang-Exterior_4"/>
      <sheetName val="진행_DATA_(2)3"/>
      <sheetName val="EHP_내역서3"/>
      <sheetName val="과목별_집계표3"/>
      <sheetName val="Inv_漱M3"/>
      <sheetName val="Foreign_Exchange_Rates1"/>
      <sheetName val="INCOME_STATEMENT_INPUT1"/>
      <sheetName val="Data_Input_Sheet1"/>
      <sheetName val="품셈_1"/>
      <sheetName val="Excess_Calc1"/>
      <sheetName val="Consolidated_Financials1"/>
      <sheetName val="7682LA_SKD(12_4)1"/>
      <sheetName val="90_03실행_1"/>
      <sheetName val="표지_(2)1"/>
      <sheetName val="Hankook_Masters1"/>
      <sheetName val="BOH_제품1"/>
      <sheetName val="2_대외공문"/>
      <sheetName val="1_우편집중내역서"/>
      <sheetName val="̀ᘀᘀက؀ԀఀఀԀ܀਀̀ऀȀ؀焀쀍燂_x000a_燃䀍燃耍燃쀍燃_x000a_燄䀍"/>
      <sheetName val="̀ᘀᘀက؀ԀఀఀԀ܀਀̀ऀȀ؀琀쀍璂_x000a_璃䀍璃耍璃쀍璃_x000a_璄䀍"/>
      <sheetName val="퇴직금추계ot"/>
      <sheetName val="_DEC_DH_x005f_x005f_x005f_x0018__DEC_DHDS_2"/>
      <sheetName val="_DEC_DH_x005f_x005f_x005f_x0018__DEC_DHDS_3"/>
      <sheetName val="_DEC_DH_x005f_x005f_x005f_x005f_x005f_x005f_x00_2"/>
      <sheetName val="_x005f_x005f_x005f_x005f_x005f_x005f_x005f_x005f_x005_2"/>
      <sheetName val="_x005f_x0000__x005f_x0000__x005f_x0000__x005f_x0000___3"/>
      <sheetName val="_x005f_x0000__x005f_x0000__x005f_x0000__x005f_x0000___4"/>
      <sheetName val="_x005f_x0000__x005f_x0000__x005f_x0000__x005f_x0000___5"/>
      <sheetName val="_x005f_x0000__x005f_x0000__x005f_x0000__x005f_x0000___6"/>
      <sheetName val="_x005f_x005f_x005f_x0000__x005f_x005f_x005f_x0000__x0_2"/>
      <sheetName val="30______x005f_x0000__x005f_x0000___x005f_x0000__2"/>
      <sheetName val="30______x005f_x0000__x005f_x0000___x005f_x0000__3"/>
      <sheetName val="30단(손蒈)蓌)헾⼸_x005f_x0005_"/>
      <sheetName val="EX-_x005f_x0005__x005f_x0000_"/>
      <sheetName val="Purchase_O_x005f_x0005__x005f_x0000___x00_2"/>
      <sheetName val="설계명세서"/>
      <sheetName val="5차설계"/>
      <sheetName val="Fan(Finishing)"/>
      <sheetName val="설비"/>
      <sheetName val="결재란"/>
      <sheetName val="2.입사현황"/>
      <sheetName val="생산판매재고"/>
      <sheetName val="원가"/>
      <sheetName val="N10(미지급)_"/>
      <sheetName val="FSS_TB_summary_Report"/>
      <sheetName val="crude_SLAB_RE-bar"/>
      <sheetName val="CRUDE_RE-bar"/>
      <sheetName val="1_설계조건"/>
      <sheetName val="목동세대_산출근거"/>
      <sheetName val="Final_Allocation"/>
      <sheetName val="p_mgmt1"/>
      <sheetName val="Chart_of_Accounts1"/>
      <sheetName val="BSD__2_1"/>
      <sheetName val="2_대외공문1"/>
      <sheetName val="1_우편집중내역서1"/>
      <sheetName val="BOH_제품2"/>
      <sheetName val="N10(미지급)_1"/>
      <sheetName val="FSS_TB_summary_Report1"/>
      <sheetName val="손익분기점_데이터1"/>
      <sheetName val="crude_SLAB_RE-bar1"/>
      <sheetName val="CRUDE_RE-bar1"/>
      <sheetName val="1_설계조건1"/>
      <sheetName val="목동세대_산출근거1"/>
      <sheetName val="Final_Allocation1"/>
      <sheetName val="_견적서11"/>
      <sheetName val="장기투자_계획및_예산10"/>
      <sheetName val="장기투자_계획_항목별_내용10"/>
      <sheetName val="4급_지로10"/>
      <sheetName val="03년도_계획10"/>
      <sheetName val="전년_대비10"/>
      <sheetName val="30단(손보)_(2)10"/>
      <sheetName val="방포사(손보)_(2)10"/>
      <sheetName val="XL4Poppy_(2)10"/>
      <sheetName val="XL4Poppy_(3)10"/>
      <sheetName val="Customer_Databas10"/>
      <sheetName val="I_설계조건9"/>
      <sheetName val="118_세금과공과9"/>
      <sheetName val="LEAD_SHEET_(K상각후회수율)10"/>
      <sheetName val="Bank_charge9"/>
      <sheetName val="Notes_9"/>
      <sheetName val="07-29기_공개모집병_10"/>
      <sheetName val="계급별현황_(2)10"/>
      <sheetName val="Customize_Your_Purchase_Order9"/>
      <sheetName val="Purchase_Order9"/>
      <sheetName val="KY_LEE7"/>
      <sheetName val="여신_(2)7"/>
      <sheetName val="회사현황_(2)7"/>
      <sheetName val="WACC_Poland9"/>
      <sheetName val="WACC_Korea9"/>
      <sheetName val="Financial_impact9"/>
      <sheetName val="Actual_data9"/>
      <sheetName val="8월_부서별_관리판매비실적9"/>
      <sheetName val="4_경비_5_영업외수지9"/>
      <sheetName val="Staff_Cost9"/>
      <sheetName val="2-2_매출분석9"/>
      <sheetName val="96월경계_(2)7"/>
      <sheetName val="_°ßÀû¼­7"/>
      <sheetName val="1995년_섹터별_매출7"/>
      <sheetName val="Ship_Advice7"/>
      <sheetName val="RM_pallet(2)9"/>
      <sheetName val="RM_stafel(1)9"/>
      <sheetName val="Bloomberg_Paste9"/>
      <sheetName val="History_input9"/>
      <sheetName val="Financial_statements9"/>
      <sheetName val="공문_9"/>
      <sheetName val="HR_Final8"/>
      <sheetName val="Inv__LS7"/>
      <sheetName val="Aug_20048"/>
      <sheetName val="ITB_COST8"/>
      <sheetName val="2-1_제품군별계획대비실적(B_A)7"/>
      <sheetName val="FX_Rates7"/>
      <sheetName val="Currency_Rates7"/>
      <sheetName val="Country_Totals7"/>
      <sheetName val="NH_&amp;_NHP_Spes_7"/>
      <sheetName val="20130201_v1_PCLT_奖励金_xlsx7"/>
      <sheetName val="May_7"/>
      <sheetName val="June_7"/>
      <sheetName val="아울렛_농산벤더7"/>
      <sheetName val="Daily_RPT7"/>
      <sheetName val="2_1__전산피드백_청과7"/>
      <sheetName val="CC_Down_load_07167"/>
      <sheetName val="_DEC_DH_x005f_x0018__DEC_DHDSR0_xls7"/>
      <sheetName val="[DEC_DH_x005f_x0018_[DEC_DHDSR0_xls7"/>
      <sheetName val="완성차_미수금7"/>
      <sheetName val="Budget_2005_-_20077"/>
      <sheetName val="BS(2006_09_30)전년대비_(2)7"/>
      <sheetName val="BSD_(2)7"/>
      <sheetName val="작업추진_계획(일정)7"/>
      <sheetName val="환율_및_참고6"/>
      <sheetName val="SV_SPEC_7"/>
      <sheetName val="IX_20_Yr6"/>
      <sheetName val="Sheet6_(3)6"/>
      <sheetName val="3-3__제조원가_분석6"/>
      <sheetName val="관세-기금_효과6"/>
      <sheetName val="노원열병합__건축공사기성내역서6"/>
      <sheetName val="1차_내역서6"/>
      <sheetName val="Sheet1_(2)6"/>
      <sheetName val="★_核心卖场_1000개6"/>
      <sheetName val="FC_Int´l_Collection6"/>
      <sheetName val="Foreign_Exchange_Rates2"/>
      <sheetName val="INCOME_STATEMENT_INPUT2"/>
      <sheetName val="Data_Input_Sheet2"/>
      <sheetName val="NR_Suppliers7"/>
      <sheetName val="NR_Inland_Transport7"/>
      <sheetName val="NR_Overseas_Transport7"/>
      <sheetName val="NR_Price7"/>
      <sheetName val="Product_Mix7"/>
      <sheetName val="Exchange_Rate7"/>
      <sheetName val="제_336차_상개위_회의록_(송부용)_xlsx7"/>
      <sheetName val="지점합계_(08)7"/>
      <sheetName val="BW_(원본_080401)7"/>
      <sheetName val="9_16~10_67"/>
      <sheetName val="품셈_2"/>
      <sheetName val="MP2006_data7"/>
      <sheetName val="3월_(9)6"/>
      <sheetName val="내역서_6"/>
      <sheetName val="Excess_Calc2"/>
      <sheetName val="과목별_집계표4"/>
      <sheetName val="매각대상자산_청산가치5"/>
      <sheetName val="판매_DAT5"/>
      <sheetName val="가설,2차WS_idea-list5"/>
      <sheetName val="공사비_내역_(가)5"/>
      <sheetName val="Action_Plan5"/>
      <sheetName val="유첨_2__Chiller_운영방법_변경_(Test)5"/>
      <sheetName val="Consolidated_Financials2"/>
      <sheetName val="EHP_내역서4"/>
      <sheetName val="수혜지역_MASTER5"/>
      <sheetName val="don't_delete5"/>
      <sheetName val="(참고용)_GL대표분류5"/>
      <sheetName val="HKM_Kupang-Exterior_5"/>
      <sheetName val="진행_DATA_(2)4"/>
      <sheetName val="Inv_漱M4"/>
      <sheetName val="표지_(2)2"/>
      <sheetName val="90_03실행_2"/>
      <sheetName val="p_mgmt2"/>
      <sheetName val="Chart_of_Accounts2"/>
      <sheetName val="BSD__2_2"/>
      <sheetName val="2_대외공문2"/>
      <sheetName val="1_우편집중내역서2"/>
      <sheetName val="BOH_제품3"/>
      <sheetName val="7682LA_SKD(12_4)2"/>
      <sheetName val="Hankook_Masters2"/>
      <sheetName val="N10(미지급)_2"/>
      <sheetName val="FSS_TB_summary_Report2"/>
      <sheetName val="손익분기점_데이터2"/>
      <sheetName val="crude_SLAB_RE-bar2"/>
      <sheetName val="CRUDE_RE-bar2"/>
      <sheetName val="1_설계조건2"/>
      <sheetName val="목동세대_산출근거2"/>
      <sheetName val="Final_Allocation2"/>
      <sheetName val="neoss"/>
      <sheetName val="선택시트"/>
      <sheetName val="ATM기초철가"/>
      <sheetName val="3.현장배치"/>
      <sheetName val="토공계산서(부체도로)"/>
      <sheetName val="Int'l HC"/>
      <sheetName val="EssbaseDay4"/>
      <sheetName val="Results"/>
      <sheetName val="DSO"/>
      <sheetName val="원_VL"/>
      <sheetName val="DATE"/>
      <sheetName val="부적합현황보고_보고용_"/>
      <sheetName val="213"/>
      <sheetName val="Bloomberg倀澑뢬_x0000_娀蠍"/>
      <sheetName val="Financia"/>
      <sheetName val="횡배수관"/>
      <sheetName val="기계(집계표)"/>
      <sheetName val="32_1"/>
      <sheetName val="APT"/>
      <sheetName val="PTR台손익"/>
      <sheetName val="7_6_3_B_ UG Piping"/>
      <sheetName val="④당월GG"/>
      <sheetName val="계급별현황_(_x0010_"/>
      <sheetName val="계급별현황_(啸"/>
      <sheetName val="계급별현황_("/>
      <sheetName val="발굴과제"/>
      <sheetName val="경비_원본"/>
      <sheetName val="자료"/>
      <sheetName val="798101_26_1"/>
      <sheetName val="7.5 재질별 수율"/>
      <sheetName val="201804 (2)"/>
      <sheetName val="임대차현황표 (2)"/>
      <sheetName val="#1"/>
      <sheetName val="ALL BBD"/>
      <sheetName val="#부서명"/>
      <sheetName val="TRBP"/>
      <sheetName val="Tariptunda"/>
      <sheetName val="Inv._xdc10_䌯G"/>
      <sheetName val="MJ"/>
      <sheetName val="OPT손익 내수"/>
      <sheetName val="OPT손익 수출"/>
      <sheetName val="Control_Sheet7"/>
      <sheetName val="pivot_monthly5"/>
      <sheetName val="Fixed_Asset_2203_(2)5"/>
      <sheetName val="Normal_Case6"/>
      <sheetName val="BEND_LOSS5"/>
      <sheetName val="CAL_5"/>
      <sheetName val="연장집계_(2)5"/>
      <sheetName val="Receive_Data5"/>
      <sheetName val="25_(4_1)_일반사채_내역_원화5"/>
      <sheetName val="Hua_Yang_Quarterly5"/>
      <sheetName val="붙임2-1__지급조서명세서(2001년분)5"/>
      <sheetName val="dry_5"/>
      <sheetName val="0_指标说明5"/>
      <sheetName val="KKKKKKKK_(2)5"/>
      <sheetName val="KKKKKKKK_(3)5"/>
      <sheetName val="CR_CODE5"/>
      <sheetName val="THEME_CODE5"/>
      <sheetName val="0_1keyAssumption5"/>
      <sheetName val="0_0ControlSheet5"/>
      <sheetName val="신고서_전"/>
      <sheetName val="Initial_Input_Variable"/>
      <sheetName val="7_6_3_B__UG_Piping"/>
      <sheetName val="_견적서12"/>
      <sheetName val="03년도_계획11"/>
      <sheetName val="전년_대비11"/>
      <sheetName val="30단(손보)_(2)11"/>
      <sheetName val="방포사(손보)_(2)11"/>
      <sheetName val="XL4Poppy_(2)11"/>
      <sheetName val="XL4Poppy_(3)11"/>
      <sheetName val="장기투자_계획및_예산11"/>
      <sheetName val="장기투자_계획_항목별_내용11"/>
      <sheetName val="4급_지로11"/>
      <sheetName val="LEAD_SHEET_(K상각후회수율)11"/>
      <sheetName val="Customer_Databas11"/>
      <sheetName val="118_세금과공과10"/>
      <sheetName val="4_경비_5_영업외수지10"/>
      <sheetName val="I_설계조건10"/>
      <sheetName val="Financial_impact10"/>
      <sheetName val="WACC_Poland10"/>
      <sheetName val="WACC_Korea10"/>
      <sheetName val="Actual_data10"/>
      <sheetName val="8월_부서별_관리판매비실적10"/>
      <sheetName val="2-2_매출분석10"/>
      <sheetName val="Staff_Cost10"/>
      <sheetName val="RM_pallet(2)10"/>
      <sheetName val="RM_stafel(1)10"/>
      <sheetName val="Bloomberg_Paste10"/>
      <sheetName val="Bank_charge10"/>
      <sheetName val="Notes_10"/>
      <sheetName val="History_input10"/>
      <sheetName val="Financial_statements10"/>
      <sheetName val="07-29기_공개모집병_11"/>
      <sheetName val="계급별현황_(2)11"/>
      <sheetName val="Customize_Your_Purchase_Order10"/>
      <sheetName val="Purchase_Order10"/>
      <sheetName val="공문_10"/>
      <sheetName val="HR_Final9"/>
      <sheetName val="Aug_20049"/>
      <sheetName val="ITB_COST9"/>
      <sheetName val="Inv__LS9"/>
      <sheetName val="KY_LEE9"/>
      <sheetName val="96월경계_(2)9"/>
      <sheetName val="매각대상자산_청산가치7"/>
      <sheetName val="판매_DAT7"/>
      <sheetName val="가설,2차WS_idea-list7"/>
      <sheetName val="아울렛_농산벤더9"/>
      <sheetName val="_°ßÀû¼­9"/>
      <sheetName val="1995년_섹터별_매출9"/>
      <sheetName val="Ship_Advice9"/>
      <sheetName val="여신_(2)9"/>
      <sheetName val="회사현황_(2)9"/>
      <sheetName val="20130201_v1_PCLT_奖励金_xlsx8"/>
      <sheetName val="May_8"/>
      <sheetName val="June_8"/>
      <sheetName val="FX_Rates9"/>
      <sheetName val="Daily_RPT9"/>
      <sheetName val="완성차_미수금9"/>
      <sheetName val="2-1_제품군별계획대비실적(B_A)9"/>
      <sheetName val="Budget_2005_-_20079"/>
      <sheetName val="BS(2006_09_30)전년대비_(2)9"/>
      <sheetName val="공사비_내역_(가)7"/>
      <sheetName val="Action_Plan7"/>
      <sheetName val="1차_내역서8"/>
      <sheetName val="Currency_Rates9"/>
      <sheetName val="Country_Totals9"/>
      <sheetName val="NH_&amp;_NHP_Spes_9"/>
      <sheetName val="BSD_(2)8"/>
      <sheetName val="2_1__전산피드백_청과8"/>
      <sheetName val="노원열병합__건축공사기성내역서8"/>
      <sheetName val="Sheet1_(2)8"/>
      <sheetName val="Control_Sheet9"/>
      <sheetName val="★_核心卖场_1000개8"/>
      <sheetName val="FC_Int´l_Collection8"/>
      <sheetName val="환율_및_참고7"/>
      <sheetName val="관세-기금_효과7"/>
      <sheetName val="IX_20_Yr8"/>
      <sheetName val="pivot_monthly7"/>
      <sheetName val="손익분기점_데이터3"/>
      <sheetName val="Fixed_Asset_2203_(2)7"/>
      <sheetName val="Normal_Case8"/>
      <sheetName val="BEND_LOSS7"/>
      <sheetName val="CAL_7"/>
      <sheetName val="연장집계_(2)7"/>
      <sheetName val="Receive_Data7"/>
      <sheetName val="Sheet6_(3)7"/>
      <sheetName val="3-3__제조원가_분석7"/>
      <sheetName val="25_(4_1)_일반사채_내역_원화7"/>
      <sheetName val="Hua_Yang_Quarterly7"/>
      <sheetName val="붙임2-1__지급조서명세서(2001년분)7"/>
      <sheetName val="dry_7"/>
      <sheetName val="0_指标说明7"/>
      <sheetName val="KKKKKKKK_(2)7"/>
      <sheetName val="KKKKKKKK_(3)7"/>
      <sheetName val="CR_CODE7"/>
      <sheetName val="THEME_CODE7"/>
      <sheetName val="0_1keyAssumption7"/>
      <sheetName val="0_0ControlSheet7"/>
      <sheetName val="신고서_전2"/>
      <sheetName val="Initial_Input_Variable2"/>
      <sheetName val="1_PP_Info2"/>
      <sheetName val="32_12"/>
      <sheetName val="7_6_3_B__UG_Piping2"/>
      <sheetName val="Inv__LS8"/>
      <sheetName val="KY_LEE8"/>
      <sheetName val="96월경계_(2)8"/>
      <sheetName val="매각대상자산_청산가치6"/>
      <sheetName val="판매_DAT6"/>
      <sheetName val="가설,2차WS_idea-list6"/>
      <sheetName val="아울렛_농산벤더8"/>
      <sheetName val="_°ßÀû¼­8"/>
      <sheetName val="1995년_섹터별_매출8"/>
      <sheetName val="Ship_Advice8"/>
      <sheetName val="여신_(2)8"/>
      <sheetName val="회사현황_(2)8"/>
      <sheetName val="FX_Rates8"/>
      <sheetName val="Daily_RPT8"/>
      <sheetName val="완성차_미수금8"/>
      <sheetName val="2-1_제품군별계획대비실적(B_A)8"/>
      <sheetName val="Budget_2005_-_20078"/>
      <sheetName val="BS(2006_09_30)전년대비_(2)8"/>
      <sheetName val="공사비_내역_(가)6"/>
      <sheetName val="Action_Plan6"/>
      <sheetName val="1차_내역서7"/>
      <sheetName val="Currency_Rates8"/>
      <sheetName val="Country_Totals8"/>
      <sheetName val="NH_&amp;_NHP_Spes_8"/>
      <sheetName val="노원열병합__건축공사기성내역서7"/>
      <sheetName val="Sheet1_(2)7"/>
      <sheetName val="Control_Sheet8"/>
      <sheetName val="★_核心卖场_1000개7"/>
      <sheetName val="FC_Int´l_Collection7"/>
      <sheetName val="IX_20_Yr7"/>
      <sheetName val="pivot_monthly6"/>
      <sheetName val="Fixed_Asset_2203_(2)6"/>
      <sheetName val="Normal_Case7"/>
      <sheetName val="BEND_LOSS6"/>
      <sheetName val="CAL_6"/>
      <sheetName val="연장집계_(2)6"/>
      <sheetName val="Receive_Data6"/>
      <sheetName val="25_(4_1)_일반사채_내역_원화6"/>
      <sheetName val="Hua_Yang_Quarterly6"/>
      <sheetName val="붙임2-1__지급조서명세서(2001년분)6"/>
      <sheetName val="dry_6"/>
      <sheetName val="0_指标说明6"/>
      <sheetName val="KKKKKKKK_(2)6"/>
      <sheetName val="KKKKKKKK_(3)6"/>
      <sheetName val="CR_CODE6"/>
      <sheetName val="THEME_CODE6"/>
      <sheetName val="0_1keyAssumption6"/>
      <sheetName val="0_0ControlSheet6"/>
      <sheetName val="신고서_전1"/>
      <sheetName val="Initial_Input_Variable1"/>
      <sheetName val="1_PP_Info1"/>
      <sheetName val="32_11"/>
      <sheetName val="7_6_3_B__UG_Piping1"/>
      <sheetName val="_견적서13"/>
      <sheetName val="03년도_계획12"/>
      <sheetName val="전년_대비12"/>
      <sheetName val="30단(손보)_(2)12"/>
      <sheetName val="방포사(손보)_(2)12"/>
      <sheetName val="XL4Poppy_(2)12"/>
      <sheetName val="XL4Poppy_(3)12"/>
      <sheetName val="장기투자_계획및_예산12"/>
      <sheetName val="장기투자_계획_항목별_내용12"/>
      <sheetName val="4급_지로12"/>
      <sheetName val="LEAD_SHEET_(K상각후회수율)12"/>
      <sheetName val="Customer_Databas12"/>
      <sheetName val="118_세금과공과11"/>
      <sheetName val="4_경비_5_영업외수지11"/>
      <sheetName val="I_설계조건11"/>
      <sheetName val="Financial_impact11"/>
      <sheetName val="WACC_Poland11"/>
      <sheetName val="WACC_Korea11"/>
      <sheetName val="Actual_data11"/>
      <sheetName val="8월_부서별_관리판매비실적11"/>
      <sheetName val="2-2_매출분석11"/>
      <sheetName val="Staff_Cost11"/>
      <sheetName val="RM_pallet(2)11"/>
      <sheetName val="RM_stafel(1)11"/>
      <sheetName val="Bloomberg_Paste11"/>
      <sheetName val="Bank_charge11"/>
      <sheetName val="Notes_11"/>
      <sheetName val="History_input11"/>
      <sheetName val="Financial_statements11"/>
      <sheetName val="07-29기_공개모집병_12"/>
      <sheetName val="계급별현황_(2)12"/>
      <sheetName val="Customize_Your_Purchase_Order11"/>
      <sheetName val="Purchase_Order11"/>
      <sheetName val="공문_11"/>
      <sheetName val="HR_Final10"/>
      <sheetName val="Aug_200410"/>
      <sheetName val="ITB_COST10"/>
      <sheetName val="Inv__LS10"/>
      <sheetName val="[DEC_DH_x005f_x0018_[DEC_DHDSR0_xls8"/>
      <sheetName val="_DEC_DH_x005f_x0018__DEC_DHDSR0_xls8"/>
      <sheetName val="BW_(원본_080401)8"/>
      <sheetName val="9_16~10_68"/>
      <sheetName val="KY_LEE10"/>
      <sheetName val="96월경계_(2)10"/>
      <sheetName val="매각대상자산_청산가치8"/>
      <sheetName val="판매_DAT8"/>
      <sheetName val="가설,2차WS_idea-list8"/>
      <sheetName val="아울렛_농산벤더10"/>
      <sheetName val="_°ßÀû¼­10"/>
      <sheetName val="1995년_섹터별_매출10"/>
      <sheetName val="Ship_Advice10"/>
      <sheetName val="여신_(2)10"/>
      <sheetName val="회사현황_(2)10"/>
      <sheetName val="20130201_v1_PCLT_奖励金_xlsx9"/>
      <sheetName val="May_9"/>
      <sheetName val="June_9"/>
      <sheetName val="FX_Rates10"/>
      <sheetName val="Daily_RPT10"/>
      <sheetName val="완성차_미수금10"/>
      <sheetName val="2-1_제품군별계획대비실적(B_A)10"/>
      <sheetName val="Budget_2005_-_200710"/>
      <sheetName val="BS(2006_09_30)전년대비_(2)10"/>
      <sheetName val="공사비_내역_(가)8"/>
      <sheetName val="Action_Plan8"/>
      <sheetName val="1차_내역서9"/>
      <sheetName val="Currency_Rates10"/>
      <sheetName val="Country_Totals10"/>
      <sheetName val="NH_&amp;_NHP_Spes_10"/>
      <sheetName val="BSD_(2)9"/>
      <sheetName val="2_1__전산피드백_청과9"/>
      <sheetName val="노원열병합__건축공사기성내역서9"/>
      <sheetName val="Sheet1_(2)9"/>
      <sheetName val="Control_Sheet10"/>
      <sheetName val="★_核心卖场_1000개9"/>
      <sheetName val="FC_Int´l_Collection9"/>
      <sheetName val="환율_및_참고8"/>
      <sheetName val="CC_Down_load_07168"/>
      <sheetName val="관세-기금_효과8"/>
      <sheetName val="IX_20_Yr9"/>
      <sheetName val="pivot_monthly8"/>
      <sheetName val="손익분기점_데이터4"/>
      <sheetName val="Fixed_Asset_2203_(2)8"/>
      <sheetName val="Normal_Case9"/>
      <sheetName val="BEND_LOSS8"/>
      <sheetName val="CAL_8"/>
      <sheetName val="연장집계_(2)8"/>
      <sheetName val="Receive_Data8"/>
      <sheetName val="작업추진_계획(일정)8"/>
      <sheetName val="SV_SPEC_8"/>
      <sheetName val="Sheet6_(3)8"/>
      <sheetName val="3-3__제조원가_분석8"/>
      <sheetName val="25_(4_1)_일반사채_내역_원화8"/>
      <sheetName val="Hua_Yang_Quarterly8"/>
      <sheetName val="표지_(2)3"/>
      <sheetName val="90_03실행_3"/>
      <sheetName val="Foreign_Exchange_Rates3"/>
      <sheetName val="INCOME_STATEMENT_INPUT3"/>
      <sheetName val="Data_Input_Sheet3"/>
      <sheetName val="붙임2-1__지급조서명세서(2001년분)8"/>
      <sheetName val="2_대외공문3"/>
      <sheetName val="1_우편집중내역서3"/>
      <sheetName val="Consolidated_Financials3"/>
      <sheetName val="dry_8"/>
      <sheetName val="p_mgmt3"/>
      <sheetName val="Chart_of_Accounts3"/>
      <sheetName val="BSD__2_3"/>
      <sheetName val="N10(미지급)_3"/>
      <sheetName val="품셈_3"/>
      <sheetName val="0_指标说明8"/>
      <sheetName val="KKKKKKKK_(2)8"/>
      <sheetName val="KKKKKKKK_(3)8"/>
      <sheetName val="CR_CODE8"/>
      <sheetName val="THEME_CODE8"/>
      <sheetName val="Excess_Calc3"/>
      <sheetName val="Final_Allocation3"/>
      <sheetName val="0_1keyAssumption8"/>
      <sheetName val="0_0ControlSheet8"/>
      <sheetName val="7682LA_SKD(12_4)3"/>
      <sheetName val="신고서_전3"/>
      <sheetName val="Initial_Input_Variable3"/>
      <sheetName val="1_PP_Info3"/>
      <sheetName val="32_13"/>
      <sheetName val="FSS_TB_summary_Report3"/>
      <sheetName val="crude_SLAB_RE-bar3"/>
      <sheetName val="CRUDE_RE-bar3"/>
      <sheetName val="1_설계조건3"/>
      <sheetName val="7_6_3_B__UG_Piping3"/>
      <sheetName val="미지급이자(분쟁대상)"/>
      <sheetName val=" 斑利辑"/>
      <sheetName val="Assumption"/>
      <sheetName val="Ratios"/>
      <sheetName val="교육踃"/>
      <sheetName val="A-General"/>
      <sheetName val="수정사항"/>
      <sheetName val="̀ᘀᘀက؀ԀఀఀԀ܀਀̀ऀȀ؀焀쀍燂 燃䀍燃耍燃쀍燃 燄䀍"/>
      <sheetName val="̀ᘀᘀက؀ԀఀఀԀ܀਀̀ऀȀ؀琀쀍璂 璃䀍璃耍璃쀍璃 璄䀍"/>
    </sheetNames>
    <sheetDataSet>
      <sheetData sheetId="0">
        <row r="33">
          <cell r="B33" t="str">
            <v>구분</v>
          </cell>
        </row>
      </sheetData>
      <sheetData sheetId="1">
        <row r="33">
          <cell r="B33" t="str">
            <v>구분</v>
          </cell>
        </row>
      </sheetData>
      <sheetData sheetId="2">
        <row r="33">
          <cell r="B33" t="str">
            <v>구분</v>
          </cell>
        </row>
      </sheetData>
      <sheetData sheetId="3">
        <row r="33">
          <cell r="B33" t="str">
            <v>구분</v>
          </cell>
        </row>
      </sheetData>
      <sheetData sheetId="4">
        <row r="33">
          <cell r="B33" t="str">
            <v>구분</v>
          </cell>
        </row>
      </sheetData>
      <sheetData sheetId="5">
        <row r="33">
          <cell r="B33" t="str">
            <v>구분</v>
          </cell>
        </row>
      </sheetData>
      <sheetData sheetId="6">
        <row r="33">
          <cell r="B33" t="str">
            <v>구분</v>
          </cell>
        </row>
      </sheetData>
      <sheetData sheetId="7">
        <row r="33">
          <cell r="B33" t="str">
            <v>구분</v>
          </cell>
        </row>
      </sheetData>
      <sheetData sheetId="8">
        <row r="33">
          <cell r="B33" t="str">
            <v>구분</v>
          </cell>
        </row>
      </sheetData>
      <sheetData sheetId="9">
        <row r="33">
          <cell r="B33" t="str">
            <v>구분</v>
          </cell>
        </row>
      </sheetData>
      <sheetData sheetId="10" refreshError="1"/>
      <sheetData sheetId="11">
        <row r="33">
          <cell r="B33" t="str">
            <v>구분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3">
          <cell r="B33" t="str">
            <v>구분</v>
          </cell>
        </row>
      </sheetData>
      <sheetData sheetId="48">
        <row r="33">
          <cell r="B33" t="str">
            <v>구분</v>
          </cell>
        </row>
      </sheetData>
      <sheetData sheetId="49">
        <row r="33">
          <cell r="B33" t="str">
            <v>구분</v>
          </cell>
        </row>
      </sheetData>
      <sheetData sheetId="50">
        <row r="33">
          <cell r="B33" t="str">
            <v>구분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33">
          <cell r="B33" t="str">
            <v>구분</v>
          </cell>
        </row>
      </sheetData>
      <sheetData sheetId="136">
        <row r="33">
          <cell r="B33" t="str">
            <v>구분</v>
          </cell>
        </row>
      </sheetData>
      <sheetData sheetId="137">
        <row r="33">
          <cell r="B33" t="str">
            <v>구분</v>
          </cell>
        </row>
      </sheetData>
      <sheetData sheetId="138">
        <row r="33">
          <cell r="B33" t="str">
            <v>구분</v>
          </cell>
        </row>
      </sheetData>
      <sheetData sheetId="139">
        <row r="33">
          <cell r="B33" t="str">
            <v>구분</v>
          </cell>
        </row>
      </sheetData>
      <sheetData sheetId="140">
        <row r="33">
          <cell r="B33" t="str">
            <v>구분</v>
          </cell>
        </row>
      </sheetData>
      <sheetData sheetId="141">
        <row r="33">
          <cell r="B33" t="str">
            <v>구분</v>
          </cell>
        </row>
      </sheetData>
      <sheetData sheetId="142">
        <row r="33">
          <cell r="B33" t="str">
            <v>구분</v>
          </cell>
        </row>
      </sheetData>
      <sheetData sheetId="143">
        <row r="33">
          <cell r="B33" t="str">
            <v>구분</v>
          </cell>
        </row>
      </sheetData>
      <sheetData sheetId="144">
        <row r="33">
          <cell r="B33" t="str">
            <v>구분</v>
          </cell>
        </row>
      </sheetData>
      <sheetData sheetId="145">
        <row r="33">
          <cell r="B33" t="str">
            <v>구분</v>
          </cell>
        </row>
      </sheetData>
      <sheetData sheetId="146">
        <row r="33">
          <cell r="B33" t="str">
            <v>구분</v>
          </cell>
        </row>
      </sheetData>
      <sheetData sheetId="147">
        <row r="33">
          <cell r="B33" t="str">
            <v>구분</v>
          </cell>
        </row>
      </sheetData>
      <sheetData sheetId="148">
        <row r="33">
          <cell r="B33" t="str">
            <v>구분</v>
          </cell>
        </row>
      </sheetData>
      <sheetData sheetId="149">
        <row r="33">
          <cell r="B33" t="str">
            <v>구분</v>
          </cell>
        </row>
      </sheetData>
      <sheetData sheetId="150">
        <row r="33">
          <cell r="B33" t="str">
            <v>구분</v>
          </cell>
        </row>
      </sheetData>
      <sheetData sheetId="151">
        <row r="33">
          <cell r="B33" t="str">
            <v>구분</v>
          </cell>
        </row>
      </sheetData>
      <sheetData sheetId="152">
        <row r="33">
          <cell r="B33" t="str">
            <v>구분</v>
          </cell>
        </row>
      </sheetData>
      <sheetData sheetId="153">
        <row r="33">
          <cell r="B33" t="str">
            <v>구분</v>
          </cell>
        </row>
      </sheetData>
      <sheetData sheetId="154">
        <row r="33">
          <cell r="B33" t="str">
            <v>구분</v>
          </cell>
        </row>
      </sheetData>
      <sheetData sheetId="155">
        <row r="33">
          <cell r="B33" t="str">
            <v>구분</v>
          </cell>
        </row>
      </sheetData>
      <sheetData sheetId="156">
        <row r="33">
          <cell r="B33" t="str">
            <v>구분</v>
          </cell>
        </row>
      </sheetData>
      <sheetData sheetId="157">
        <row r="33">
          <cell r="B33" t="str">
            <v>구분</v>
          </cell>
        </row>
      </sheetData>
      <sheetData sheetId="158">
        <row r="33">
          <cell r="B33" t="str">
            <v>구분</v>
          </cell>
        </row>
      </sheetData>
      <sheetData sheetId="159">
        <row r="33">
          <cell r="B33" t="str">
            <v>구분</v>
          </cell>
        </row>
      </sheetData>
      <sheetData sheetId="160">
        <row r="33">
          <cell r="B33" t="str">
            <v>구분</v>
          </cell>
        </row>
      </sheetData>
      <sheetData sheetId="161">
        <row r="33">
          <cell r="B33" t="str">
            <v>구분</v>
          </cell>
        </row>
      </sheetData>
      <sheetData sheetId="162">
        <row r="33">
          <cell r="B33" t="str">
            <v>구분</v>
          </cell>
        </row>
      </sheetData>
      <sheetData sheetId="163">
        <row r="33">
          <cell r="B33" t="str">
            <v>구분</v>
          </cell>
        </row>
      </sheetData>
      <sheetData sheetId="164">
        <row r="33">
          <cell r="B33" t="str">
            <v>구분</v>
          </cell>
        </row>
      </sheetData>
      <sheetData sheetId="165">
        <row r="33">
          <cell r="B33" t="str">
            <v>구분</v>
          </cell>
        </row>
      </sheetData>
      <sheetData sheetId="166">
        <row r="33">
          <cell r="B33" t="str">
            <v>구분</v>
          </cell>
        </row>
      </sheetData>
      <sheetData sheetId="167">
        <row r="33">
          <cell r="B33" t="str">
            <v>구분</v>
          </cell>
        </row>
      </sheetData>
      <sheetData sheetId="168">
        <row r="33">
          <cell r="B33" t="str">
            <v>구분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>
        <row r="33">
          <cell r="B33" t="str">
            <v>구분</v>
          </cell>
        </row>
      </sheetData>
      <sheetData sheetId="257">
        <row r="33">
          <cell r="B33" t="str">
            <v>구분</v>
          </cell>
        </row>
      </sheetData>
      <sheetData sheetId="258">
        <row r="33">
          <cell r="B33" t="str">
            <v>구분</v>
          </cell>
        </row>
      </sheetData>
      <sheetData sheetId="259">
        <row r="33">
          <cell r="B33" t="str">
            <v>구분</v>
          </cell>
        </row>
      </sheetData>
      <sheetData sheetId="260"/>
      <sheetData sheetId="261"/>
      <sheetData sheetId="262"/>
      <sheetData sheetId="263">
        <row r="33">
          <cell r="B33" t="str">
            <v>구분</v>
          </cell>
        </row>
      </sheetData>
      <sheetData sheetId="264">
        <row r="33">
          <cell r="B33" t="str">
            <v>구분</v>
          </cell>
        </row>
      </sheetData>
      <sheetData sheetId="265">
        <row r="33">
          <cell r="B33" t="str">
            <v>구분</v>
          </cell>
        </row>
      </sheetData>
      <sheetData sheetId="266">
        <row r="33">
          <cell r="B33" t="str">
            <v>구분</v>
          </cell>
        </row>
      </sheetData>
      <sheetData sheetId="267">
        <row r="33">
          <cell r="B33" t="str">
            <v>구분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 refreshError="1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>
        <row r="33">
          <cell r="B33" t="str">
            <v>구분</v>
          </cell>
        </row>
      </sheetData>
      <sheetData sheetId="756"/>
      <sheetData sheetId="757">
        <row r="33">
          <cell r="B33" t="str">
            <v>구분</v>
          </cell>
        </row>
      </sheetData>
      <sheetData sheetId="758"/>
      <sheetData sheetId="759">
        <row r="33">
          <cell r="B33" t="str">
            <v>구분</v>
          </cell>
        </row>
      </sheetData>
      <sheetData sheetId="760">
        <row r="33">
          <cell r="B33" t="str">
            <v>구분</v>
          </cell>
        </row>
      </sheetData>
      <sheetData sheetId="761">
        <row r="33">
          <cell r="B33" t="str">
            <v>구분</v>
          </cell>
        </row>
      </sheetData>
      <sheetData sheetId="762">
        <row r="33">
          <cell r="B33" t="str">
            <v>구분</v>
          </cell>
        </row>
      </sheetData>
      <sheetData sheetId="763">
        <row r="33">
          <cell r="B33" t="str">
            <v>구분</v>
          </cell>
        </row>
      </sheetData>
      <sheetData sheetId="764">
        <row r="33">
          <cell r="B33" t="str">
            <v>구분</v>
          </cell>
        </row>
      </sheetData>
      <sheetData sheetId="765">
        <row r="33">
          <cell r="B33" t="str">
            <v>구분</v>
          </cell>
        </row>
      </sheetData>
      <sheetData sheetId="766">
        <row r="33">
          <cell r="B33" t="str">
            <v>구분</v>
          </cell>
        </row>
      </sheetData>
      <sheetData sheetId="767">
        <row r="33">
          <cell r="B33" t="str">
            <v>구분</v>
          </cell>
        </row>
      </sheetData>
      <sheetData sheetId="768">
        <row r="33">
          <cell r="B33" t="str">
            <v>구분</v>
          </cell>
        </row>
      </sheetData>
      <sheetData sheetId="769"/>
      <sheetData sheetId="770"/>
      <sheetData sheetId="771">
        <row r="33">
          <cell r="B33" t="str">
            <v>구분</v>
          </cell>
        </row>
      </sheetData>
      <sheetData sheetId="772">
        <row r="33">
          <cell r="B33" t="str">
            <v>구분</v>
          </cell>
        </row>
      </sheetData>
      <sheetData sheetId="773">
        <row r="33">
          <cell r="B33" t="str">
            <v>구분</v>
          </cell>
        </row>
      </sheetData>
      <sheetData sheetId="774" refreshError="1"/>
      <sheetData sheetId="775">
        <row r="33">
          <cell r="B33" t="str">
            <v>구분</v>
          </cell>
        </row>
      </sheetData>
      <sheetData sheetId="776">
        <row r="33">
          <cell r="B33" t="str">
            <v>구분</v>
          </cell>
        </row>
      </sheetData>
      <sheetData sheetId="777">
        <row r="33">
          <cell r="B33" t="str">
            <v>구분</v>
          </cell>
        </row>
      </sheetData>
      <sheetData sheetId="778">
        <row r="33">
          <cell r="B33" t="str">
            <v>구분</v>
          </cell>
        </row>
      </sheetData>
      <sheetData sheetId="779">
        <row r="33">
          <cell r="B33" t="str">
            <v>구분</v>
          </cell>
        </row>
      </sheetData>
      <sheetData sheetId="780">
        <row r="33">
          <cell r="B33" t="str">
            <v>구분</v>
          </cell>
        </row>
      </sheetData>
      <sheetData sheetId="781">
        <row r="33">
          <cell r="B33" t="str">
            <v>구분</v>
          </cell>
        </row>
      </sheetData>
      <sheetData sheetId="782">
        <row r="33">
          <cell r="B33" t="str">
            <v>구분</v>
          </cell>
        </row>
      </sheetData>
      <sheetData sheetId="783">
        <row r="33">
          <cell r="B33" t="str">
            <v>구분</v>
          </cell>
        </row>
      </sheetData>
      <sheetData sheetId="784">
        <row r="33">
          <cell r="B33" t="str">
            <v>구분</v>
          </cell>
        </row>
      </sheetData>
      <sheetData sheetId="785">
        <row r="33">
          <cell r="B33" t="str">
            <v>구분</v>
          </cell>
        </row>
      </sheetData>
      <sheetData sheetId="786">
        <row r="33">
          <cell r="B33" t="str">
            <v>구분</v>
          </cell>
        </row>
      </sheetData>
      <sheetData sheetId="787">
        <row r="33">
          <cell r="B33" t="str">
            <v>구분</v>
          </cell>
        </row>
      </sheetData>
      <sheetData sheetId="788">
        <row r="33">
          <cell r="B33" t="str">
            <v>구분</v>
          </cell>
        </row>
      </sheetData>
      <sheetData sheetId="789">
        <row r="33">
          <cell r="B33" t="str">
            <v>구분</v>
          </cell>
        </row>
      </sheetData>
      <sheetData sheetId="790">
        <row r="33">
          <cell r="B33" t="str">
            <v>구분</v>
          </cell>
        </row>
      </sheetData>
      <sheetData sheetId="791">
        <row r="33">
          <cell r="B33" t="str">
            <v>구분</v>
          </cell>
        </row>
      </sheetData>
      <sheetData sheetId="792">
        <row r="33">
          <cell r="B33" t="str">
            <v>구분</v>
          </cell>
        </row>
      </sheetData>
      <sheetData sheetId="793">
        <row r="33">
          <cell r="B33" t="str">
            <v>구분</v>
          </cell>
        </row>
      </sheetData>
      <sheetData sheetId="794">
        <row r="33">
          <cell r="B33" t="str">
            <v>구분</v>
          </cell>
        </row>
      </sheetData>
      <sheetData sheetId="795">
        <row r="33">
          <cell r="B33" t="str">
            <v>구분</v>
          </cell>
        </row>
      </sheetData>
      <sheetData sheetId="796">
        <row r="33">
          <cell r="B33" t="str">
            <v>구분</v>
          </cell>
        </row>
      </sheetData>
      <sheetData sheetId="797">
        <row r="33">
          <cell r="B33" t="str">
            <v>구분</v>
          </cell>
        </row>
      </sheetData>
      <sheetData sheetId="798">
        <row r="33">
          <cell r="B33" t="str">
            <v>구분</v>
          </cell>
        </row>
      </sheetData>
      <sheetData sheetId="799">
        <row r="33">
          <cell r="B33" t="str">
            <v>구분</v>
          </cell>
        </row>
      </sheetData>
      <sheetData sheetId="800">
        <row r="33">
          <cell r="B33" t="str">
            <v>구분</v>
          </cell>
        </row>
      </sheetData>
      <sheetData sheetId="801">
        <row r="33">
          <cell r="B33" t="str">
            <v>구분</v>
          </cell>
        </row>
      </sheetData>
      <sheetData sheetId="802">
        <row r="33">
          <cell r="B33" t="str">
            <v>구분</v>
          </cell>
        </row>
      </sheetData>
      <sheetData sheetId="803">
        <row r="33">
          <cell r="B33" t="str">
            <v>구분</v>
          </cell>
        </row>
      </sheetData>
      <sheetData sheetId="804">
        <row r="33">
          <cell r="B33" t="str">
            <v>구분</v>
          </cell>
        </row>
      </sheetData>
      <sheetData sheetId="805">
        <row r="33">
          <cell r="B33" t="str">
            <v>구분</v>
          </cell>
        </row>
      </sheetData>
      <sheetData sheetId="806">
        <row r="33">
          <cell r="B33" t="str">
            <v>구분</v>
          </cell>
        </row>
      </sheetData>
      <sheetData sheetId="807">
        <row r="33">
          <cell r="B33" t="str">
            <v>구분</v>
          </cell>
        </row>
      </sheetData>
      <sheetData sheetId="808">
        <row r="33">
          <cell r="B33" t="str">
            <v>구분</v>
          </cell>
        </row>
      </sheetData>
      <sheetData sheetId="809">
        <row r="33">
          <cell r="B33" t="str">
            <v>구분</v>
          </cell>
        </row>
      </sheetData>
      <sheetData sheetId="810">
        <row r="33">
          <cell r="B33" t="str">
            <v>구분</v>
          </cell>
        </row>
      </sheetData>
      <sheetData sheetId="811">
        <row r="33">
          <cell r="B33" t="str">
            <v>구분</v>
          </cell>
        </row>
      </sheetData>
      <sheetData sheetId="812">
        <row r="33">
          <cell r="B33" t="str">
            <v>구분</v>
          </cell>
        </row>
      </sheetData>
      <sheetData sheetId="813">
        <row r="33">
          <cell r="B33" t="str">
            <v>구분</v>
          </cell>
        </row>
      </sheetData>
      <sheetData sheetId="814">
        <row r="33">
          <cell r="B33" t="str">
            <v>구분</v>
          </cell>
        </row>
      </sheetData>
      <sheetData sheetId="815">
        <row r="33">
          <cell r="B33" t="str">
            <v>구분</v>
          </cell>
        </row>
      </sheetData>
      <sheetData sheetId="816">
        <row r="33">
          <cell r="B33" t="str">
            <v>구분</v>
          </cell>
        </row>
      </sheetData>
      <sheetData sheetId="817">
        <row r="33">
          <cell r="B33" t="str">
            <v>구분</v>
          </cell>
        </row>
      </sheetData>
      <sheetData sheetId="818">
        <row r="33">
          <cell r="B33" t="str">
            <v>구분</v>
          </cell>
        </row>
      </sheetData>
      <sheetData sheetId="819">
        <row r="33">
          <cell r="B33" t="str">
            <v>구분</v>
          </cell>
        </row>
      </sheetData>
      <sheetData sheetId="820">
        <row r="33">
          <cell r="B33" t="str">
            <v>구분</v>
          </cell>
        </row>
      </sheetData>
      <sheetData sheetId="821">
        <row r="33">
          <cell r="B33" t="str">
            <v>구분</v>
          </cell>
        </row>
      </sheetData>
      <sheetData sheetId="822">
        <row r="33">
          <cell r="B33" t="str">
            <v>구분</v>
          </cell>
        </row>
      </sheetData>
      <sheetData sheetId="823">
        <row r="33">
          <cell r="B33" t="str">
            <v>구분</v>
          </cell>
        </row>
      </sheetData>
      <sheetData sheetId="824">
        <row r="33">
          <cell r="B33" t="str">
            <v>구분</v>
          </cell>
        </row>
      </sheetData>
      <sheetData sheetId="825">
        <row r="33">
          <cell r="B33" t="str">
            <v>구분</v>
          </cell>
        </row>
      </sheetData>
      <sheetData sheetId="826">
        <row r="33">
          <cell r="B33" t="str">
            <v>구분</v>
          </cell>
        </row>
      </sheetData>
      <sheetData sheetId="827">
        <row r="33">
          <cell r="B33" t="str">
            <v>구분</v>
          </cell>
        </row>
      </sheetData>
      <sheetData sheetId="828">
        <row r="33">
          <cell r="B33" t="str">
            <v>구분</v>
          </cell>
        </row>
      </sheetData>
      <sheetData sheetId="829">
        <row r="33">
          <cell r="B33" t="str">
            <v>구분</v>
          </cell>
        </row>
      </sheetData>
      <sheetData sheetId="830">
        <row r="33">
          <cell r="B33" t="str">
            <v>구분</v>
          </cell>
        </row>
      </sheetData>
      <sheetData sheetId="831">
        <row r="33">
          <cell r="B33" t="str">
            <v>구분</v>
          </cell>
        </row>
      </sheetData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33">
          <cell r="B33" t="str">
            <v>구분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>
        <row r="33">
          <cell r="B33" t="str">
            <v>구분</v>
          </cell>
        </row>
      </sheetData>
      <sheetData sheetId="935">
        <row r="33">
          <cell r="B33" t="str">
            <v>구분</v>
          </cell>
        </row>
      </sheetData>
      <sheetData sheetId="936">
        <row r="33">
          <cell r="B33" t="str">
            <v>구분</v>
          </cell>
        </row>
      </sheetData>
      <sheetData sheetId="937">
        <row r="33">
          <cell r="B33" t="str">
            <v>구분</v>
          </cell>
        </row>
      </sheetData>
      <sheetData sheetId="938">
        <row r="33">
          <cell r="B33" t="str">
            <v>구분</v>
          </cell>
        </row>
      </sheetData>
      <sheetData sheetId="939">
        <row r="33">
          <cell r="B33" t="str">
            <v>구분</v>
          </cell>
        </row>
      </sheetData>
      <sheetData sheetId="940">
        <row r="33">
          <cell r="B33" t="str">
            <v>구분</v>
          </cell>
        </row>
      </sheetData>
      <sheetData sheetId="941">
        <row r="33">
          <cell r="B33" t="str">
            <v>구분</v>
          </cell>
        </row>
      </sheetData>
      <sheetData sheetId="942">
        <row r="33">
          <cell r="B33" t="str">
            <v>구분</v>
          </cell>
        </row>
      </sheetData>
      <sheetData sheetId="943">
        <row r="33">
          <cell r="B33" t="str">
            <v>구분</v>
          </cell>
        </row>
      </sheetData>
      <sheetData sheetId="944">
        <row r="33">
          <cell r="B33" t="str">
            <v>구분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33">
          <cell r="B33" t="str">
            <v>구분</v>
          </cell>
        </row>
      </sheetData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>
        <row r="33">
          <cell r="B33" t="str">
            <v>구분</v>
          </cell>
        </row>
      </sheetData>
      <sheetData sheetId="1045">
        <row r="33">
          <cell r="B33" t="str">
            <v>구분</v>
          </cell>
        </row>
      </sheetData>
      <sheetData sheetId="1046">
        <row r="33">
          <cell r="B33" t="str">
            <v>구분</v>
          </cell>
        </row>
      </sheetData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>
        <row r="33">
          <cell r="B33" t="str">
            <v>구분</v>
          </cell>
        </row>
      </sheetData>
      <sheetData sheetId="1074">
        <row r="33">
          <cell r="B33" t="str">
            <v>구분</v>
          </cell>
        </row>
      </sheetData>
      <sheetData sheetId="1075">
        <row r="33">
          <cell r="B33" t="str">
            <v>구분</v>
          </cell>
        </row>
      </sheetData>
      <sheetData sheetId="1076">
        <row r="33">
          <cell r="B33" t="str">
            <v>구분</v>
          </cell>
        </row>
      </sheetData>
      <sheetData sheetId="1077">
        <row r="33">
          <cell r="B33" t="str">
            <v>구분</v>
          </cell>
        </row>
      </sheetData>
      <sheetData sheetId="1078">
        <row r="33">
          <cell r="B33" t="str">
            <v>구분</v>
          </cell>
        </row>
      </sheetData>
      <sheetData sheetId="1079">
        <row r="33">
          <cell r="B33" t="str">
            <v>구분</v>
          </cell>
        </row>
      </sheetData>
      <sheetData sheetId="1080">
        <row r="33">
          <cell r="B33" t="str">
            <v>구분</v>
          </cell>
        </row>
      </sheetData>
      <sheetData sheetId="1081">
        <row r="33">
          <cell r="B33" t="str">
            <v>구분</v>
          </cell>
        </row>
      </sheetData>
      <sheetData sheetId="1082">
        <row r="33">
          <cell r="B33" t="str">
            <v>구분</v>
          </cell>
        </row>
      </sheetData>
      <sheetData sheetId="1083">
        <row r="33">
          <cell r="B33" t="str">
            <v>구분</v>
          </cell>
        </row>
      </sheetData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33">
          <cell r="B33" t="str">
            <v>구분</v>
          </cell>
        </row>
      </sheetData>
      <sheetData sheetId="1114">
        <row r="33">
          <cell r="B33" t="str">
            <v>구분</v>
          </cell>
        </row>
      </sheetData>
      <sheetData sheetId="1115">
        <row r="33">
          <cell r="B33" t="str">
            <v>구분</v>
          </cell>
        </row>
      </sheetData>
      <sheetData sheetId="1116">
        <row r="33">
          <cell r="B33" t="str">
            <v>구분</v>
          </cell>
        </row>
      </sheetData>
      <sheetData sheetId="1117">
        <row r="33">
          <cell r="B33" t="str">
            <v>구분</v>
          </cell>
        </row>
      </sheetData>
      <sheetData sheetId="1118">
        <row r="33">
          <cell r="B33" t="str">
            <v>구분</v>
          </cell>
        </row>
      </sheetData>
      <sheetData sheetId="1119">
        <row r="33">
          <cell r="B33" t="str">
            <v>구분</v>
          </cell>
        </row>
      </sheetData>
      <sheetData sheetId="1120">
        <row r="33">
          <cell r="B33" t="str">
            <v>구분</v>
          </cell>
        </row>
      </sheetData>
      <sheetData sheetId="1121">
        <row r="33">
          <cell r="B33" t="str">
            <v>구분</v>
          </cell>
        </row>
      </sheetData>
      <sheetData sheetId="1122">
        <row r="33">
          <cell r="B33" t="str">
            <v>구분</v>
          </cell>
        </row>
      </sheetData>
      <sheetData sheetId="1123">
        <row r="33">
          <cell r="B33" t="str">
            <v>구분</v>
          </cell>
        </row>
      </sheetData>
      <sheetData sheetId="1124">
        <row r="33">
          <cell r="B33" t="str">
            <v>구분</v>
          </cell>
        </row>
      </sheetData>
      <sheetData sheetId="1125">
        <row r="33">
          <cell r="B33" t="str">
            <v>구분</v>
          </cell>
        </row>
      </sheetData>
      <sheetData sheetId="1126">
        <row r="33">
          <cell r="B33" t="str">
            <v>구분</v>
          </cell>
        </row>
      </sheetData>
      <sheetData sheetId="1127">
        <row r="33">
          <cell r="B33" t="str">
            <v>구분</v>
          </cell>
        </row>
      </sheetData>
      <sheetData sheetId="1128">
        <row r="33">
          <cell r="B33" t="str">
            <v>구분</v>
          </cell>
        </row>
      </sheetData>
      <sheetData sheetId="1129">
        <row r="33">
          <cell r="B33" t="str">
            <v>구분</v>
          </cell>
        </row>
      </sheetData>
      <sheetData sheetId="1130">
        <row r="33">
          <cell r="B33" t="str">
            <v>구분</v>
          </cell>
        </row>
      </sheetData>
      <sheetData sheetId="1131">
        <row r="33">
          <cell r="B33" t="str">
            <v>구분</v>
          </cell>
        </row>
      </sheetData>
      <sheetData sheetId="1132">
        <row r="33">
          <cell r="B33" t="str">
            <v>구분</v>
          </cell>
        </row>
      </sheetData>
      <sheetData sheetId="1133">
        <row r="33">
          <cell r="B33" t="str">
            <v>구분</v>
          </cell>
        </row>
      </sheetData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>
        <row r="33">
          <cell r="B33" t="str">
            <v>구분</v>
          </cell>
        </row>
      </sheetData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33">
          <cell r="B33" t="str">
            <v>구분</v>
          </cell>
        </row>
      </sheetData>
      <sheetData sheetId="1203">
        <row r="33">
          <cell r="B33" t="str">
            <v>구분</v>
          </cell>
        </row>
      </sheetData>
      <sheetData sheetId="1204">
        <row r="33">
          <cell r="B33" t="str">
            <v>구분</v>
          </cell>
        </row>
      </sheetData>
      <sheetData sheetId="1205">
        <row r="33">
          <cell r="B33" t="str">
            <v>구분</v>
          </cell>
        </row>
      </sheetData>
      <sheetData sheetId="1206">
        <row r="33">
          <cell r="B33" t="str">
            <v>구분</v>
          </cell>
        </row>
      </sheetData>
      <sheetData sheetId="1207">
        <row r="33">
          <cell r="B33" t="str">
            <v>구분</v>
          </cell>
        </row>
      </sheetData>
      <sheetData sheetId="1208">
        <row r="33">
          <cell r="B33" t="str">
            <v>구분</v>
          </cell>
        </row>
      </sheetData>
      <sheetData sheetId="1209">
        <row r="33">
          <cell r="B33" t="str">
            <v>구분</v>
          </cell>
        </row>
      </sheetData>
      <sheetData sheetId="1210">
        <row r="33">
          <cell r="B33" t="str">
            <v>구분</v>
          </cell>
        </row>
      </sheetData>
      <sheetData sheetId="1211">
        <row r="33">
          <cell r="B33" t="str">
            <v>구분</v>
          </cell>
        </row>
      </sheetData>
      <sheetData sheetId="1212">
        <row r="33">
          <cell r="B33" t="str">
            <v>구분</v>
          </cell>
        </row>
      </sheetData>
      <sheetData sheetId="1213">
        <row r="33">
          <cell r="B33" t="str">
            <v>구분</v>
          </cell>
        </row>
      </sheetData>
      <sheetData sheetId="1214">
        <row r="33">
          <cell r="B33" t="str">
            <v>구분</v>
          </cell>
        </row>
      </sheetData>
      <sheetData sheetId="1215">
        <row r="33">
          <cell r="B33" t="str">
            <v>구분</v>
          </cell>
        </row>
      </sheetData>
      <sheetData sheetId="1216">
        <row r="33">
          <cell r="B33" t="str">
            <v>구분</v>
          </cell>
        </row>
      </sheetData>
      <sheetData sheetId="1217">
        <row r="33">
          <cell r="B33" t="str">
            <v>구분</v>
          </cell>
        </row>
      </sheetData>
      <sheetData sheetId="1218">
        <row r="33">
          <cell r="B33" t="str">
            <v>구분</v>
          </cell>
        </row>
      </sheetData>
      <sheetData sheetId="1219">
        <row r="33">
          <cell r="B33" t="str">
            <v>구분</v>
          </cell>
        </row>
      </sheetData>
      <sheetData sheetId="1220">
        <row r="33">
          <cell r="B33" t="str">
            <v>구분</v>
          </cell>
        </row>
      </sheetData>
      <sheetData sheetId="1221">
        <row r="33">
          <cell r="B33" t="str">
            <v>구분</v>
          </cell>
        </row>
      </sheetData>
      <sheetData sheetId="1222">
        <row r="33">
          <cell r="B33" t="str">
            <v>구분</v>
          </cell>
        </row>
      </sheetData>
      <sheetData sheetId="1223">
        <row r="33">
          <cell r="B33" t="str">
            <v>구분</v>
          </cell>
        </row>
      </sheetData>
      <sheetData sheetId="1224">
        <row r="33">
          <cell r="B33" t="str">
            <v>구분</v>
          </cell>
        </row>
      </sheetData>
      <sheetData sheetId="1225">
        <row r="33">
          <cell r="B33" t="str">
            <v>구분</v>
          </cell>
        </row>
      </sheetData>
      <sheetData sheetId="1226">
        <row r="33">
          <cell r="B33" t="str">
            <v>구분</v>
          </cell>
        </row>
      </sheetData>
      <sheetData sheetId="1227">
        <row r="33">
          <cell r="B33" t="str">
            <v>구분</v>
          </cell>
        </row>
      </sheetData>
      <sheetData sheetId="1228">
        <row r="33">
          <cell r="B33" t="str">
            <v>구분</v>
          </cell>
        </row>
      </sheetData>
      <sheetData sheetId="1229">
        <row r="33">
          <cell r="B33" t="str">
            <v>구분</v>
          </cell>
        </row>
      </sheetData>
      <sheetData sheetId="1230">
        <row r="33">
          <cell r="B33" t="str">
            <v>구분</v>
          </cell>
        </row>
      </sheetData>
      <sheetData sheetId="1231">
        <row r="33">
          <cell r="B33" t="str">
            <v>구분</v>
          </cell>
        </row>
      </sheetData>
      <sheetData sheetId="1232">
        <row r="33">
          <cell r="B33" t="str">
            <v>구분</v>
          </cell>
        </row>
      </sheetData>
      <sheetData sheetId="1233">
        <row r="33">
          <cell r="B33" t="str">
            <v>구분</v>
          </cell>
        </row>
      </sheetData>
      <sheetData sheetId="1234">
        <row r="33">
          <cell r="B33" t="str">
            <v>구분</v>
          </cell>
        </row>
      </sheetData>
      <sheetData sheetId="1235">
        <row r="33">
          <cell r="B33" t="str">
            <v>구분</v>
          </cell>
        </row>
      </sheetData>
      <sheetData sheetId="1236">
        <row r="33">
          <cell r="B33" t="str">
            <v>구분</v>
          </cell>
        </row>
      </sheetData>
      <sheetData sheetId="1237">
        <row r="33">
          <cell r="B33" t="str">
            <v>구분</v>
          </cell>
        </row>
      </sheetData>
      <sheetData sheetId="1238">
        <row r="33">
          <cell r="B33" t="str">
            <v>구분</v>
          </cell>
        </row>
      </sheetData>
      <sheetData sheetId="1239">
        <row r="33">
          <cell r="B33" t="str">
            <v>구분</v>
          </cell>
        </row>
      </sheetData>
      <sheetData sheetId="1240">
        <row r="33">
          <cell r="B33" t="str">
            <v>구분</v>
          </cell>
        </row>
      </sheetData>
      <sheetData sheetId="1241">
        <row r="33">
          <cell r="B33" t="str">
            <v>구분</v>
          </cell>
        </row>
      </sheetData>
      <sheetData sheetId="1242">
        <row r="33">
          <cell r="B33" t="str">
            <v>구분</v>
          </cell>
        </row>
      </sheetData>
      <sheetData sheetId="1243">
        <row r="33">
          <cell r="B33" t="str">
            <v>구분</v>
          </cell>
        </row>
      </sheetData>
      <sheetData sheetId="1244">
        <row r="33">
          <cell r="B33" t="str">
            <v>구분</v>
          </cell>
        </row>
      </sheetData>
      <sheetData sheetId="1245">
        <row r="33">
          <cell r="B33" t="str">
            <v>구분</v>
          </cell>
        </row>
      </sheetData>
      <sheetData sheetId="1246">
        <row r="33">
          <cell r="B33" t="str">
            <v>구분</v>
          </cell>
        </row>
      </sheetData>
      <sheetData sheetId="1247">
        <row r="33">
          <cell r="B33" t="str">
            <v>구분</v>
          </cell>
        </row>
      </sheetData>
      <sheetData sheetId="1248">
        <row r="33">
          <cell r="B33" t="str">
            <v>구분</v>
          </cell>
        </row>
      </sheetData>
      <sheetData sheetId="1249">
        <row r="33">
          <cell r="B33" t="str">
            <v>구분</v>
          </cell>
        </row>
      </sheetData>
      <sheetData sheetId="1250">
        <row r="33">
          <cell r="B33" t="str">
            <v>구분</v>
          </cell>
        </row>
      </sheetData>
      <sheetData sheetId="1251">
        <row r="33">
          <cell r="B33" t="str">
            <v>구분</v>
          </cell>
        </row>
      </sheetData>
      <sheetData sheetId="1252">
        <row r="33">
          <cell r="B33" t="str">
            <v>구분</v>
          </cell>
        </row>
      </sheetData>
      <sheetData sheetId="1253">
        <row r="33">
          <cell r="B33" t="str">
            <v>구분</v>
          </cell>
        </row>
      </sheetData>
      <sheetData sheetId="1254">
        <row r="33">
          <cell r="B33" t="str">
            <v>구분</v>
          </cell>
        </row>
      </sheetData>
      <sheetData sheetId="1255">
        <row r="33">
          <cell r="B33" t="str">
            <v>구분</v>
          </cell>
        </row>
      </sheetData>
      <sheetData sheetId="1256">
        <row r="33">
          <cell r="B33" t="str">
            <v>구분</v>
          </cell>
        </row>
      </sheetData>
      <sheetData sheetId="1257">
        <row r="33">
          <cell r="B33" t="str">
            <v>구분</v>
          </cell>
        </row>
      </sheetData>
      <sheetData sheetId="1258">
        <row r="33">
          <cell r="B33" t="str">
            <v>구분</v>
          </cell>
        </row>
      </sheetData>
      <sheetData sheetId="1259">
        <row r="33">
          <cell r="B33" t="str">
            <v>구분</v>
          </cell>
        </row>
      </sheetData>
      <sheetData sheetId="1260">
        <row r="33">
          <cell r="B33" t="str">
            <v>구분</v>
          </cell>
        </row>
      </sheetData>
      <sheetData sheetId="1261">
        <row r="33">
          <cell r="B33" t="str">
            <v>구분</v>
          </cell>
        </row>
      </sheetData>
      <sheetData sheetId="1262">
        <row r="33">
          <cell r="B33" t="str">
            <v>구분</v>
          </cell>
        </row>
      </sheetData>
      <sheetData sheetId="1263">
        <row r="33">
          <cell r="B33" t="str">
            <v>구분</v>
          </cell>
        </row>
      </sheetData>
      <sheetData sheetId="1264">
        <row r="33">
          <cell r="B33" t="str">
            <v>구분</v>
          </cell>
        </row>
      </sheetData>
      <sheetData sheetId="1265">
        <row r="33">
          <cell r="B33" t="str">
            <v>구분</v>
          </cell>
        </row>
      </sheetData>
      <sheetData sheetId="1266">
        <row r="33">
          <cell r="B33" t="str">
            <v>구분</v>
          </cell>
        </row>
      </sheetData>
      <sheetData sheetId="1267">
        <row r="33">
          <cell r="B33" t="str">
            <v>구분</v>
          </cell>
        </row>
      </sheetData>
      <sheetData sheetId="1268">
        <row r="33">
          <cell r="B33" t="str">
            <v>구분</v>
          </cell>
        </row>
      </sheetData>
      <sheetData sheetId="1269">
        <row r="33">
          <cell r="B33" t="str">
            <v>구분</v>
          </cell>
        </row>
      </sheetData>
      <sheetData sheetId="1270">
        <row r="33">
          <cell r="B33" t="str">
            <v>구분</v>
          </cell>
        </row>
      </sheetData>
      <sheetData sheetId="1271">
        <row r="33">
          <cell r="B33" t="str">
            <v>구분</v>
          </cell>
        </row>
      </sheetData>
      <sheetData sheetId="1272">
        <row r="33">
          <cell r="B33" t="str">
            <v>구분</v>
          </cell>
        </row>
      </sheetData>
      <sheetData sheetId="1273">
        <row r="33">
          <cell r="B33" t="str">
            <v>구분</v>
          </cell>
        </row>
      </sheetData>
      <sheetData sheetId="1274">
        <row r="33">
          <cell r="B33" t="str">
            <v>구분</v>
          </cell>
        </row>
      </sheetData>
      <sheetData sheetId="1275">
        <row r="33">
          <cell r="B33" t="str">
            <v>구분</v>
          </cell>
        </row>
      </sheetData>
      <sheetData sheetId="1276">
        <row r="33">
          <cell r="B33" t="str">
            <v>구분</v>
          </cell>
        </row>
      </sheetData>
      <sheetData sheetId="1277">
        <row r="33">
          <cell r="B33" t="str">
            <v>구분</v>
          </cell>
        </row>
      </sheetData>
      <sheetData sheetId="1278">
        <row r="33">
          <cell r="B33" t="str">
            <v>구분</v>
          </cell>
        </row>
      </sheetData>
      <sheetData sheetId="1279">
        <row r="33">
          <cell r="B33" t="str">
            <v>구분</v>
          </cell>
        </row>
      </sheetData>
      <sheetData sheetId="1280">
        <row r="33">
          <cell r="B33" t="str">
            <v>구분</v>
          </cell>
        </row>
      </sheetData>
      <sheetData sheetId="1281">
        <row r="33">
          <cell r="B33" t="str">
            <v>구분</v>
          </cell>
        </row>
      </sheetData>
      <sheetData sheetId="1282">
        <row r="33">
          <cell r="B33" t="str">
            <v>구분</v>
          </cell>
        </row>
      </sheetData>
      <sheetData sheetId="1283">
        <row r="33">
          <cell r="B33" t="str">
            <v>구분</v>
          </cell>
        </row>
      </sheetData>
      <sheetData sheetId="1284">
        <row r="33">
          <cell r="B33" t="str">
            <v>구분</v>
          </cell>
        </row>
      </sheetData>
      <sheetData sheetId="1285">
        <row r="33">
          <cell r="B33" t="str">
            <v>구분</v>
          </cell>
        </row>
      </sheetData>
      <sheetData sheetId="1286">
        <row r="33">
          <cell r="B33" t="str">
            <v>구분</v>
          </cell>
        </row>
      </sheetData>
      <sheetData sheetId="1287">
        <row r="33">
          <cell r="B33" t="str">
            <v>구분</v>
          </cell>
        </row>
      </sheetData>
      <sheetData sheetId="1288">
        <row r="33">
          <cell r="B33" t="str">
            <v>구분</v>
          </cell>
        </row>
      </sheetData>
      <sheetData sheetId="1289">
        <row r="33">
          <cell r="B33" t="str">
            <v>구분</v>
          </cell>
        </row>
      </sheetData>
      <sheetData sheetId="1290">
        <row r="33">
          <cell r="B33" t="str">
            <v>구분</v>
          </cell>
        </row>
      </sheetData>
      <sheetData sheetId="1291">
        <row r="33">
          <cell r="B33" t="str">
            <v>구분</v>
          </cell>
        </row>
      </sheetData>
      <sheetData sheetId="1292">
        <row r="33">
          <cell r="B33" t="str">
            <v>구분</v>
          </cell>
        </row>
      </sheetData>
      <sheetData sheetId="1293">
        <row r="33">
          <cell r="B33" t="str">
            <v>구분</v>
          </cell>
        </row>
      </sheetData>
      <sheetData sheetId="1294">
        <row r="33">
          <cell r="B33" t="str">
            <v>구분</v>
          </cell>
        </row>
      </sheetData>
      <sheetData sheetId="1295">
        <row r="33">
          <cell r="B33" t="str">
            <v>구분</v>
          </cell>
        </row>
      </sheetData>
      <sheetData sheetId="1296">
        <row r="33">
          <cell r="B33" t="str">
            <v>구분</v>
          </cell>
        </row>
      </sheetData>
      <sheetData sheetId="1297">
        <row r="33">
          <cell r="B33" t="str">
            <v>구분</v>
          </cell>
        </row>
      </sheetData>
      <sheetData sheetId="1298">
        <row r="33">
          <cell r="B33" t="str">
            <v>구분</v>
          </cell>
        </row>
      </sheetData>
      <sheetData sheetId="1299">
        <row r="33">
          <cell r="B33" t="str">
            <v>구분</v>
          </cell>
        </row>
      </sheetData>
      <sheetData sheetId="1300">
        <row r="33">
          <cell r="B33" t="str">
            <v>구분</v>
          </cell>
        </row>
      </sheetData>
      <sheetData sheetId="1301">
        <row r="33">
          <cell r="B33" t="str">
            <v>구분</v>
          </cell>
        </row>
      </sheetData>
      <sheetData sheetId="1302">
        <row r="33">
          <cell r="B33" t="str">
            <v>구분</v>
          </cell>
        </row>
      </sheetData>
      <sheetData sheetId="1303">
        <row r="33">
          <cell r="B33" t="str">
            <v>구분</v>
          </cell>
        </row>
      </sheetData>
      <sheetData sheetId="1304">
        <row r="33">
          <cell r="B33" t="str">
            <v>구분</v>
          </cell>
        </row>
      </sheetData>
      <sheetData sheetId="1305">
        <row r="33">
          <cell r="B33" t="str">
            <v>구분</v>
          </cell>
        </row>
      </sheetData>
      <sheetData sheetId="1306">
        <row r="33">
          <cell r="B33" t="str">
            <v>구분</v>
          </cell>
        </row>
      </sheetData>
      <sheetData sheetId="1307">
        <row r="33">
          <cell r="B33" t="str">
            <v>구분</v>
          </cell>
        </row>
      </sheetData>
      <sheetData sheetId="1308">
        <row r="33">
          <cell r="B33" t="str">
            <v>구분</v>
          </cell>
        </row>
      </sheetData>
      <sheetData sheetId="1309">
        <row r="33">
          <cell r="B33" t="str">
            <v>구분</v>
          </cell>
        </row>
      </sheetData>
      <sheetData sheetId="1310">
        <row r="33">
          <cell r="B33" t="str">
            <v>구분</v>
          </cell>
        </row>
      </sheetData>
      <sheetData sheetId="1311">
        <row r="33">
          <cell r="B33" t="str">
            <v>구분</v>
          </cell>
        </row>
      </sheetData>
      <sheetData sheetId="1312">
        <row r="33">
          <cell r="B33" t="str">
            <v>구분</v>
          </cell>
        </row>
      </sheetData>
      <sheetData sheetId="1313">
        <row r="33">
          <cell r="B33" t="str">
            <v>구분</v>
          </cell>
        </row>
      </sheetData>
      <sheetData sheetId="1314">
        <row r="33">
          <cell r="B33" t="str">
            <v>구분</v>
          </cell>
        </row>
      </sheetData>
      <sheetData sheetId="1315">
        <row r="33">
          <cell r="B33" t="str">
            <v>구분</v>
          </cell>
        </row>
      </sheetData>
      <sheetData sheetId="1316">
        <row r="33">
          <cell r="B33" t="str">
            <v>구분</v>
          </cell>
        </row>
      </sheetData>
      <sheetData sheetId="1317">
        <row r="33">
          <cell r="B33" t="str">
            <v>구분</v>
          </cell>
        </row>
      </sheetData>
      <sheetData sheetId="1318">
        <row r="33">
          <cell r="B33" t="str">
            <v>구분</v>
          </cell>
        </row>
      </sheetData>
      <sheetData sheetId="1319">
        <row r="33">
          <cell r="B33" t="str">
            <v>구분</v>
          </cell>
        </row>
      </sheetData>
      <sheetData sheetId="1320">
        <row r="33">
          <cell r="B33" t="str">
            <v>구분</v>
          </cell>
        </row>
      </sheetData>
      <sheetData sheetId="1321">
        <row r="33">
          <cell r="B33" t="str">
            <v>구분</v>
          </cell>
        </row>
      </sheetData>
      <sheetData sheetId="1322">
        <row r="33">
          <cell r="B33" t="str">
            <v>구분</v>
          </cell>
        </row>
      </sheetData>
      <sheetData sheetId="1323">
        <row r="33">
          <cell r="B33" t="str">
            <v>구분</v>
          </cell>
        </row>
      </sheetData>
      <sheetData sheetId="1324">
        <row r="33">
          <cell r="B33" t="str">
            <v>구분</v>
          </cell>
        </row>
      </sheetData>
      <sheetData sheetId="1325">
        <row r="33">
          <cell r="B33" t="str">
            <v>구분</v>
          </cell>
        </row>
      </sheetData>
      <sheetData sheetId="1326">
        <row r="33">
          <cell r="B33" t="str">
            <v>구분</v>
          </cell>
        </row>
      </sheetData>
      <sheetData sheetId="1327">
        <row r="33">
          <cell r="B33" t="str">
            <v>구분</v>
          </cell>
        </row>
      </sheetData>
      <sheetData sheetId="1328">
        <row r="33">
          <cell r="B33" t="str">
            <v>구분</v>
          </cell>
        </row>
      </sheetData>
      <sheetData sheetId="1329">
        <row r="33">
          <cell r="B33" t="str">
            <v>구분</v>
          </cell>
        </row>
      </sheetData>
      <sheetData sheetId="1330">
        <row r="33">
          <cell r="B33" t="str">
            <v>구분</v>
          </cell>
        </row>
      </sheetData>
      <sheetData sheetId="1331">
        <row r="33">
          <cell r="B33" t="str">
            <v>구분</v>
          </cell>
        </row>
      </sheetData>
      <sheetData sheetId="1332">
        <row r="33">
          <cell r="B33" t="str">
            <v>구분</v>
          </cell>
        </row>
      </sheetData>
      <sheetData sheetId="1333">
        <row r="33">
          <cell r="B33" t="str">
            <v>구분</v>
          </cell>
        </row>
      </sheetData>
      <sheetData sheetId="1334">
        <row r="33">
          <cell r="B33" t="str">
            <v>구분</v>
          </cell>
        </row>
      </sheetData>
      <sheetData sheetId="1335">
        <row r="33">
          <cell r="B33" t="str">
            <v>구분</v>
          </cell>
        </row>
      </sheetData>
      <sheetData sheetId="1336">
        <row r="33">
          <cell r="B33" t="str">
            <v>구분</v>
          </cell>
        </row>
      </sheetData>
      <sheetData sheetId="1337">
        <row r="33">
          <cell r="B33" t="str">
            <v>구분</v>
          </cell>
        </row>
      </sheetData>
      <sheetData sheetId="1338">
        <row r="33">
          <cell r="B33" t="str">
            <v>구분</v>
          </cell>
        </row>
      </sheetData>
      <sheetData sheetId="1339">
        <row r="33">
          <cell r="B33" t="str">
            <v>구분</v>
          </cell>
        </row>
      </sheetData>
      <sheetData sheetId="1340">
        <row r="33">
          <cell r="B33" t="str">
            <v>구분</v>
          </cell>
        </row>
      </sheetData>
      <sheetData sheetId="1341">
        <row r="33">
          <cell r="B33" t="str">
            <v>구분</v>
          </cell>
        </row>
      </sheetData>
      <sheetData sheetId="1342">
        <row r="33">
          <cell r="B33" t="str">
            <v>구분</v>
          </cell>
        </row>
      </sheetData>
      <sheetData sheetId="1343">
        <row r="33">
          <cell r="B33" t="str">
            <v>구분</v>
          </cell>
        </row>
      </sheetData>
      <sheetData sheetId="1344">
        <row r="33">
          <cell r="B33" t="str">
            <v>구분</v>
          </cell>
        </row>
      </sheetData>
      <sheetData sheetId="1345">
        <row r="33">
          <cell r="B33" t="str">
            <v>구분</v>
          </cell>
        </row>
      </sheetData>
      <sheetData sheetId="1346">
        <row r="33">
          <cell r="B33" t="str">
            <v>구분</v>
          </cell>
        </row>
      </sheetData>
      <sheetData sheetId="1347">
        <row r="33">
          <cell r="B33" t="str">
            <v>구분</v>
          </cell>
        </row>
      </sheetData>
      <sheetData sheetId="1348">
        <row r="33">
          <cell r="B33" t="str">
            <v>구분</v>
          </cell>
        </row>
      </sheetData>
      <sheetData sheetId="1349">
        <row r="33">
          <cell r="B33" t="str">
            <v>구분</v>
          </cell>
        </row>
      </sheetData>
      <sheetData sheetId="1350">
        <row r="33">
          <cell r="B33" t="str">
            <v>구분</v>
          </cell>
        </row>
      </sheetData>
      <sheetData sheetId="1351">
        <row r="33">
          <cell r="B33" t="str">
            <v>구분</v>
          </cell>
        </row>
      </sheetData>
      <sheetData sheetId="1352">
        <row r="33">
          <cell r="B33" t="str">
            <v>구분</v>
          </cell>
        </row>
      </sheetData>
      <sheetData sheetId="1353">
        <row r="33">
          <cell r="B33" t="str">
            <v>구분</v>
          </cell>
        </row>
      </sheetData>
      <sheetData sheetId="1354">
        <row r="33">
          <cell r="B33" t="str">
            <v>구분</v>
          </cell>
        </row>
      </sheetData>
      <sheetData sheetId="1355">
        <row r="33">
          <cell r="B33" t="str">
            <v>구분</v>
          </cell>
        </row>
      </sheetData>
      <sheetData sheetId="1356">
        <row r="33">
          <cell r="B33" t="str">
            <v>구분</v>
          </cell>
        </row>
      </sheetData>
      <sheetData sheetId="1357">
        <row r="33">
          <cell r="B33" t="str">
            <v>구분</v>
          </cell>
        </row>
      </sheetData>
      <sheetData sheetId="1358">
        <row r="33">
          <cell r="B33" t="str">
            <v>구분</v>
          </cell>
        </row>
      </sheetData>
      <sheetData sheetId="1359">
        <row r="33">
          <cell r="B33" t="str">
            <v>구분</v>
          </cell>
        </row>
      </sheetData>
      <sheetData sheetId="1360">
        <row r="33">
          <cell r="B33" t="str">
            <v>구분</v>
          </cell>
        </row>
      </sheetData>
      <sheetData sheetId="1361">
        <row r="33">
          <cell r="B33" t="str">
            <v>구분</v>
          </cell>
        </row>
      </sheetData>
      <sheetData sheetId="1362">
        <row r="33">
          <cell r="B33" t="str">
            <v>구분</v>
          </cell>
        </row>
      </sheetData>
      <sheetData sheetId="1363">
        <row r="33">
          <cell r="B33" t="str">
            <v>구분</v>
          </cell>
        </row>
      </sheetData>
      <sheetData sheetId="1364">
        <row r="33">
          <cell r="B33" t="str">
            <v>구분</v>
          </cell>
        </row>
      </sheetData>
      <sheetData sheetId="1365">
        <row r="33">
          <cell r="B33" t="str">
            <v>구분</v>
          </cell>
        </row>
      </sheetData>
      <sheetData sheetId="1366">
        <row r="33">
          <cell r="B33" t="str">
            <v>구분</v>
          </cell>
        </row>
      </sheetData>
      <sheetData sheetId="1367">
        <row r="33">
          <cell r="B33" t="str">
            <v>구분</v>
          </cell>
        </row>
      </sheetData>
      <sheetData sheetId="1368">
        <row r="33">
          <cell r="B33" t="str">
            <v>구분</v>
          </cell>
        </row>
      </sheetData>
      <sheetData sheetId="1369">
        <row r="33">
          <cell r="B33" t="str">
            <v>구분</v>
          </cell>
        </row>
      </sheetData>
      <sheetData sheetId="1370">
        <row r="33">
          <cell r="B33" t="str">
            <v>구분</v>
          </cell>
        </row>
      </sheetData>
      <sheetData sheetId="1371">
        <row r="33">
          <cell r="B33" t="str">
            <v>구분</v>
          </cell>
        </row>
      </sheetData>
      <sheetData sheetId="1372">
        <row r="33">
          <cell r="B33" t="str">
            <v>구분</v>
          </cell>
        </row>
      </sheetData>
      <sheetData sheetId="1373">
        <row r="33">
          <cell r="B33" t="str">
            <v>구분</v>
          </cell>
        </row>
      </sheetData>
      <sheetData sheetId="1374">
        <row r="33">
          <cell r="B33" t="str">
            <v>구분</v>
          </cell>
        </row>
      </sheetData>
      <sheetData sheetId="1375">
        <row r="33">
          <cell r="B33" t="str">
            <v>구분</v>
          </cell>
        </row>
      </sheetData>
      <sheetData sheetId="1376">
        <row r="33">
          <cell r="B33" t="str">
            <v>구분</v>
          </cell>
        </row>
      </sheetData>
      <sheetData sheetId="1377">
        <row r="33">
          <cell r="B33" t="str">
            <v>구분</v>
          </cell>
        </row>
      </sheetData>
      <sheetData sheetId="1378">
        <row r="33">
          <cell r="B33" t="str">
            <v>구분</v>
          </cell>
        </row>
      </sheetData>
      <sheetData sheetId="1379">
        <row r="33">
          <cell r="B33" t="str">
            <v>구분</v>
          </cell>
        </row>
      </sheetData>
      <sheetData sheetId="1380">
        <row r="33">
          <cell r="B33" t="str">
            <v>구분</v>
          </cell>
        </row>
      </sheetData>
      <sheetData sheetId="1381">
        <row r="33">
          <cell r="B33" t="str">
            <v>구분</v>
          </cell>
        </row>
      </sheetData>
      <sheetData sheetId="1382">
        <row r="33">
          <cell r="B33" t="str">
            <v>구분</v>
          </cell>
        </row>
      </sheetData>
      <sheetData sheetId="1383">
        <row r="33">
          <cell r="B33" t="str">
            <v>구분</v>
          </cell>
        </row>
      </sheetData>
      <sheetData sheetId="1384">
        <row r="33">
          <cell r="B33" t="str">
            <v>구분</v>
          </cell>
        </row>
      </sheetData>
      <sheetData sheetId="1385">
        <row r="33">
          <cell r="B33" t="str">
            <v>구분</v>
          </cell>
        </row>
      </sheetData>
      <sheetData sheetId="1386">
        <row r="33">
          <cell r="B33" t="str">
            <v>구분</v>
          </cell>
        </row>
      </sheetData>
      <sheetData sheetId="1387">
        <row r="33">
          <cell r="B33" t="str">
            <v>구분</v>
          </cell>
        </row>
      </sheetData>
      <sheetData sheetId="1388">
        <row r="33">
          <cell r="B33" t="str">
            <v>구분</v>
          </cell>
        </row>
      </sheetData>
      <sheetData sheetId="1389">
        <row r="33">
          <cell r="B33" t="str">
            <v>구분</v>
          </cell>
        </row>
      </sheetData>
      <sheetData sheetId="1390">
        <row r="33">
          <cell r="B33" t="str">
            <v>구분</v>
          </cell>
        </row>
      </sheetData>
      <sheetData sheetId="1391">
        <row r="33">
          <cell r="B33" t="str">
            <v>구분</v>
          </cell>
        </row>
      </sheetData>
      <sheetData sheetId="1392">
        <row r="33">
          <cell r="B33" t="str">
            <v>구분</v>
          </cell>
        </row>
      </sheetData>
      <sheetData sheetId="1393">
        <row r="33">
          <cell r="B33" t="str">
            <v>구분</v>
          </cell>
        </row>
      </sheetData>
      <sheetData sheetId="1394">
        <row r="33">
          <cell r="B33" t="str">
            <v>구분</v>
          </cell>
        </row>
      </sheetData>
      <sheetData sheetId="1395">
        <row r="33">
          <cell r="B33" t="str">
            <v>구분</v>
          </cell>
        </row>
      </sheetData>
      <sheetData sheetId="1396">
        <row r="33">
          <cell r="B33" t="str">
            <v>구분</v>
          </cell>
        </row>
      </sheetData>
      <sheetData sheetId="1397">
        <row r="33">
          <cell r="B33" t="str">
            <v>구분</v>
          </cell>
        </row>
      </sheetData>
      <sheetData sheetId="1398">
        <row r="33">
          <cell r="B33" t="str">
            <v>구분</v>
          </cell>
        </row>
      </sheetData>
      <sheetData sheetId="1399">
        <row r="33">
          <cell r="B33" t="str">
            <v>구분</v>
          </cell>
        </row>
      </sheetData>
      <sheetData sheetId="1400">
        <row r="33">
          <cell r="B33" t="str">
            <v>구분</v>
          </cell>
        </row>
      </sheetData>
      <sheetData sheetId="1401">
        <row r="33">
          <cell r="B33" t="str">
            <v>구분</v>
          </cell>
        </row>
      </sheetData>
      <sheetData sheetId="1402">
        <row r="33">
          <cell r="B33" t="str">
            <v>구분</v>
          </cell>
        </row>
      </sheetData>
      <sheetData sheetId="1403">
        <row r="33">
          <cell r="B33" t="str">
            <v>구분</v>
          </cell>
        </row>
      </sheetData>
      <sheetData sheetId="1404">
        <row r="33">
          <cell r="B33" t="str">
            <v>구분</v>
          </cell>
        </row>
      </sheetData>
      <sheetData sheetId="1405">
        <row r="33">
          <cell r="B33" t="str">
            <v>구분</v>
          </cell>
        </row>
      </sheetData>
      <sheetData sheetId="1406">
        <row r="33">
          <cell r="B33" t="str">
            <v>구분</v>
          </cell>
        </row>
      </sheetData>
      <sheetData sheetId="1407">
        <row r="33">
          <cell r="B33" t="str">
            <v>구분</v>
          </cell>
        </row>
      </sheetData>
      <sheetData sheetId="1408">
        <row r="33">
          <cell r="B33" t="str">
            <v>구분</v>
          </cell>
        </row>
      </sheetData>
      <sheetData sheetId="1409">
        <row r="33">
          <cell r="B33" t="str">
            <v>구분</v>
          </cell>
        </row>
      </sheetData>
      <sheetData sheetId="1410">
        <row r="33">
          <cell r="B33" t="str">
            <v>구분</v>
          </cell>
        </row>
      </sheetData>
      <sheetData sheetId="1411">
        <row r="33">
          <cell r="B33" t="str">
            <v>구분</v>
          </cell>
        </row>
      </sheetData>
      <sheetData sheetId="1412">
        <row r="33">
          <cell r="B33" t="str">
            <v>구분</v>
          </cell>
        </row>
      </sheetData>
      <sheetData sheetId="1413">
        <row r="33">
          <cell r="B33" t="str">
            <v>구분</v>
          </cell>
        </row>
      </sheetData>
      <sheetData sheetId="1414">
        <row r="33">
          <cell r="B33" t="str">
            <v>구분</v>
          </cell>
        </row>
      </sheetData>
      <sheetData sheetId="1415">
        <row r="33">
          <cell r="B33" t="str">
            <v>구분</v>
          </cell>
        </row>
      </sheetData>
      <sheetData sheetId="1416">
        <row r="33">
          <cell r="B33" t="str">
            <v>구분</v>
          </cell>
        </row>
      </sheetData>
      <sheetData sheetId="1417">
        <row r="33">
          <cell r="B33" t="str">
            <v>구분</v>
          </cell>
        </row>
      </sheetData>
      <sheetData sheetId="1418">
        <row r="33">
          <cell r="B33" t="str">
            <v>구분</v>
          </cell>
        </row>
      </sheetData>
      <sheetData sheetId="1419">
        <row r="33">
          <cell r="B33" t="str">
            <v>구분</v>
          </cell>
        </row>
      </sheetData>
      <sheetData sheetId="1420">
        <row r="33">
          <cell r="B33" t="str">
            <v>구분</v>
          </cell>
        </row>
      </sheetData>
      <sheetData sheetId="1421">
        <row r="33">
          <cell r="B33" t="str">
            <v>구분</v>
          </cell>
        </row>
      </sheetData>
      <sheetData sheetId="1422">
        <row r="33">
          <cell r="B33" t="str">
            <v>구분</v>
          </cell>
        </row>
      </sheetData>
      <sheetData sheetId="1423">
        <row r="33">
          <cell r="B33" t="str">
            <v>구분</v>
          </cell>
        </row>
      </sheetData>
      <sheetData sheetId="1424">
        <row r="33">
          <cell r="B33" t="str">
            <v>구분</v>
          </cell>
        </row>
      </sheetData>
      <sheetData sheetId="1425">
        <row r="33">
          <cell r="B33" t="str">
            <v>구분</v>
          </cell>
        </row>
      </sheetData>
      <sheetData sheetId="1426">
        <row r="33">
          <cell r="B33" t="str">
            <v>구분</v>
          </cell>
        </row>
      </sheetData>
      <sheetData sheetId="1427">
        <row r="33">
          <cell r="B33" t="str">
            <v>구분</v>
          </cell>
        </row>
      </sheetData>
      <sheetData sheetId="1428">
        <row r="33">
          <cell r="B33" t="str">
            <v>구분</v>
          </cell>
        </row>
      </sheetData>
      <sheetData sheetId="1429">
        <row r="33">
          <cell r="B33" t="str">
            <v>구분</v>
          </cell>
        </row>
      </sheetData>
      <sheetData sheetId="1430">
        <row r="33">
          <cell r="B33" t="str">
            <v>구분</v>
          </cell>
        </row>
      </sheetData>
      <sheetData sheetId="1431">
        <row r="33">
          <cell r="B33" t="str">
            <v>구분</v>
          </cell>
        </row>
      </sheetData>
      <sheetData sheetId="1432">
        <row r="33">
          <cell r="B33" t="str">
            <v>구분</v>
          </cell>
        </row>
      </sheetData>
      <sheetData sheetId="1433">
        <row r="33">
          <cell r="B33" t="str">
            <v>구분</v>
          </cell>
        </row>
      </sheetData>
      <sheetData sheetId="1434">
        <row r="33">
          <cell r="B33" t="str">
            <v>구분</v>
          </cell>
        </row>
      </sheetData>
      <sheetData sheetId="1435">
        <row r="33">
          <cell r="B33" t="str">
            <v>구분</v>
          </cell>
        </row>
      </sheetData>
      <sheetData sheetId="1436">
        <row r="33">
          <cell r="B33" t="str">
            <v>구분</v>
          </cell>
        </row>
      </sheetData>
      <sheetData sheetId="1437">
        <row r="33">
          <cell r="B33" t="str">
            <v>구분</v>
          </cell>
        </row>
      </sheetData>
      <sheetData sheetId="1438">
        <row r="33">
          <cell r="B33" t="str">
            <v>구분</v>
          </cell>
        </row>
      </sheetData>
      <sheetData sheetId="1439">
        <row r="33">
          <cell r="B33" t="str">
            <v>구분</v>
          </cell>
        </row>
      </sheetData>
      <sheetData sheetId="1440">
        <row r="33">
          <cell r="B33" t="str">
            <v>구분</v>
          </cell>
        </row>
      </sheetData>
      <sheetData sheetId="1441">
        <row r="33">
          <cell r="B33" t="str">
            <v>구분</v>
          </cell>
        </row>
      </sheetData>
      <sheetData sheetId="1442">
        <row r="33">
          <cell r="B33" t="str">
            <v>구분</v>
          </cell>
        </row>
      </sheetData>
      <sheetData sheetId="1443">
        <row r="33">
          <cell r="B33" t="str">
            <v>구분</v>
          </cell>
        </row>
      </sheetData>
      <sheetData sheetId="1444">
        <row r="33">
          <cell r="B33" t="str">
            <v>구분</v>
          </cell>
        </row>
      </sheetData>
      <sheetData sheetId="1445">
        <row r="33">
          <cell r="B33" t="str">
            <v>구분</v>
          </cell>
        </row>
      </sheetData>
      <sheetData sheetId="1446">
        <row r="33">
          <cell r="B33" t="str">
            <v>구분</v>
          </cell>
        </row>
      </sheetData>
      <sheetData sheetId="1447">
        <row r="33">
          <cell r="B33" t="str">
            <v>구분</v>
          </cell>
        </row>
      </sheetData>
      <sheetData sheetId="1448">
        <row r="33">
          <cell r="B33" t="str">
            <v>구분</v>
          </cell>
        </row>
      </sheetData>
      <sheetData sheetId="1449">
        <row r="33">
          <cell r="B33" t="str">
            <v>구분</v>
          </cell>
        </row>
      </sheetData>
      <sheetData sheetId="1450">
        <row r="33">
          <cell r="B33" t="str">
            <v>구분</v>
          </cell>
        </row>
      </sheetData>
      <sheetData sheetId="1451">
        <row r="33">
          <cell r="B33" t="str">
            <v>구분</v>
          </cell>
        </row>
      </sheetData>
      <sheetData sheetId="1452">
        <row r="33">
          <cell r="B33" t="str">
            <v>구분</v>
          </cell>
        </row>
      </sheetData>
      <sheetData sheetId="1453">
        <row r="33">
          <cell r="B33" t="str">
            <v>구분</v>
          </cell>
        </row>
      </sheetData>
      <sheetData sheetId="1454">
        <row r="33">
          <cell r="B33" t="str">
            <v>구분</v>
          </cell>
        </row>
      </sheetData>
      <sheetData sheetId="1455">
        <row r="33">
          <cell r="B33" t="str">
            <v>구분</v>
          </cell>
        </row>
      </sheetData>
      <sheetData sheetId="1456">
        <row r="33">
          <cell r="B33" t="str">
            <v>구분</v>
          </cell>
        </row>
      </sheetData>
      <sheetData sheetId="1457">
        <row r="33">
          <cell r="B33" t="str">
            <v>구분</v>
          </cell>
        </row>
      </sheetData>
      <sheetData sheetId="1458">
        <row r="33">
          <cell r="B33" t="str">
            <v>구분</v>
          </cell>
        </row>
      </sheetData>
      <sheetData sheetId="1459">
        <row r="33">
          <cell r="B33" t="str">
            <v>구분</v>
          </cell>
        </row>
      </sheetData>
      <sheetData sheetId="1460">
        <row r="33">
          <cell r="B33" t="str">
            <v>구분</v>
          </cell>
        </row>
      </sheetData>
      <sheetData sheetId="1461">
        <row r="33">
          <cell r="B33" t="str">
            <v>구분</v>
          </cell>
        </row>
      </sheetData>
      <sheetData sheetId="1462">
        <row r="33">
          <cell r="B33" t="str">
            <v>구분</v>
          </cell>
        </row>
      </sheetData>
      <sheetData sheetId="1463">
        <row r="33">
          <cell r="B33" t="str">
            <v>구분</v>
          </cell>
        </row>
      </sheetData>
      <sheetData sheetId="1464">
        <row r="33">
          <cell r="B33" t="str">
            <v>구분</v>
          </cell>
        </row>
      </sheetData>
      <sheetData sheetId="1465">
        <row r="33">
          <cell r="B33" t="str">
            <v>구분</v>
          </cell>
        </row>
      </sheetData>
      <sheetData sheetId="1466">
        <row r="33">
          <cell r="B33" t="str">
            <v>구분</v>
          </cell>
        </row>
      </sheetData>
      <sheetData sheetId="1467">
        <row r="33">
          <cell r="B33" t="str">
            <v>구분</v>
          </cell>
        </row>
      </sheetData>
      <sheetData sheetId="1468">
        <row r="33">
          <cell r="B33" t="str">
            <v>구분</v>
          </cell>
        </row>
      </sheetData>
      <sheetData sheetId="1469">
        <row r="33">
          <cell r="B33" t="str">
            <v>구분</v>
          </cell>
        </row>
      </sheetData>
      <sheetData sheetId="1470">
        <row r="33">
          <cell r="B33" t="str">
            <v>구분</v>
          </cell>
        </row>
      </sheetData>
      <sheetData sheetId="1471">
        <row r="33">
          <cell r="B33" t="str">
            <v>구분</v>
          </cell>
        </row>
      </sheetData>
      <sheetData sheetId="1472">
        <row r="33">
          <cell r="B33" t="str">
            <v>구분</v>
          </cell>
        </row>
      </sheetData>
      <sheetData sheetId="1473">
        <row r="33">
          <cell r="B33" t="str">
            <v>구분</v>
          </cell>
        </row>
      </sheetData>
      <sheetData sheetId="1474">
        <row r="33">
          <cell r="B33" t="str">
            <v>구분</v>
          </cell>
        </row>
      </sheetData>
      <sheetData sheetId="1475">
        <row r="33">
          <cell r="B33" t="str">
            <v>구분</v>
          </cell>
        </row>
      </sheetData>
      <sheetData sheetId="1476">
        <row r="33">
          <cell r="B33" t="str">
            <v>구분</v>
          </cell>
        </row>
      </sheetData>
      <sheetData sheetId="1477">
        <row r="33">
          <cell r="B33" t="str">
            <v>구분</v>
          </cell>
        </row>
      </sheetData>
      <sheetData sheetId="1478">
        <row r="33">
          <cell r="B33" t="str">
            <v>구분</v>
          </cell>
        </row>
      </sheetData>
      <sheetData sheetId="1479">
        <row r="33">
          <cell r="B33" t="str">
            <v>구분</v>
          </cell>
        </row>
      </sheetData>
      <sheetData sheetId="1480">
        <row r="33">
          <cell r="B33" t="str">
            <v>구분</v>
          </cell>
        </row>
      </sheetData>
      <sheetData sheetId="1481">
        <row r="33">
          <cell r="B33" t="str">
            <v>구분</v>
          </cell>
        </row>
      </sheetData>
      <sheetData sheetId="1482">
        <row r="33">
          <cell r="B33" t="str">
            <v>구분</v>
          </cell>
        </row>
      </sheetData>
      <sheetData sheetId="1483">
        <row r="33">
          <cell r="B33" t="str">
            <v>구분</v>
          </cell>
        </row>
      </sheetData>
      <sheetData sheetId="1484">
        <row r="33">
          <cell r="B33" t="str">
            <v>구분</v>
          </cell>
        </row>
      </sheetData>
      <sheetData sheetId="1485">
        <row r="33">
          <cell r="B33" t="str">
            <v>구분</v>
          </cell>
        </row>
      </sheetData>
      <sheetData sheetId="1486">
        <row r="33">
          <cell r="B33" t="str">
            <v>구분</v>
          </cell>
        </row>
      </sheetData>
      <sheetData sheetId="1487">
        <row r="33">
          <cell r="B33" t="str">
            <v>구분</v>
          </cell>
        </row>
      </sheetData>
      <sheetData sheetId="1488">
        <row r="33">
          <cell r="B33" t="str">
            <v>구분</v>
          </cell>
        </row>
      </sheetData>
      <sheetData sheetId="1489">
        <row r="33">
          <cell r="B33" t="str">
            <v>구분</v>
          </cell>
        </row>
      </sheetData>
      <sheetData sheetId="1490">
        <row r="33">
          <cell r="B33" t="str">
            <v>구분</v>
          </cell>
        </row>
      </sheetData>
      <sheetData sheetId="1491">
        <row r="33">
          <cell r="B33" t="str">
            <v>구분</v>
          </cell>
        </row>
      </sheetData>
      <sheetData sheetId="1492">
        <row r="33">
          <cell r="B33" t="str">
            <v>구분</v>
          </cell>
        </row>
      </sheetData>
      <sheetData sheetId="1493">
        <row r="33">
          <cell r="B33" t="str">
            <v>구분</v>
          </cell>
        </row>
      </sheetData>
      <sheetData sheetId="1494">
        <row r="33">
          <cell r="B33" t="str">
            <v>구분</v>
          </cell>
        </row>
      </sheetData>
      <sheetData sheetId="1495">
        <row r="33">
          <cell r="B33" t="str">
            <v>구분</v>
          </cell>
        </row>
      </sheetData>
      <sheetData sheetId="1496">
        <row r="33">
          <cell r="B33" t="str">
            <v>구분</v>
          </cell>
        </row>
      </sheetData>
      <sheetData sheetId="1497">
        <row r="33">
          <cell r="B33" t="str">
            <v>구분</v>
          </cell>
        </row>
      </sheetData>
      <sheetData sheetId="1498">
        <row r="33">
          <cell r="B33" t="str">
            <v>구분</v>
          </cell>
        </row>
      </sheetData>
      <sheetData sheetId="1499">
        <row r="33">
          <cell r="B33" t="str">
            <v>구분</v>
          </cell>
        </row>
      </sheetData>
      <sheetData sheetId="1500">
        <row r="33">
          <cell r="B33" t="str">
            <v>구분</v>
          </cell>
        </row>
      </sheetData>
      <sheetData sheetId="1501">
        <row r="33">
          <cell r="B33" t="str">
            <v>구분</v>
          </cell>
        </row>
      </sheetData>
      <sheetData sheetId="1502">
        <row r="33">
          <cell r="B33" t="str">
            <v>구분</v>
          </cell>
        </row>
      </sheetData>
      <sheetData sheetId="1503">
        <row r="33">
          <cell r="B33" t="str">
            <v>구분</v>
          </cell>
        </row>
      </sheetData>
      <sheetData sheetId="1504">
        <row r="33">
          <cell r="B33" t="str">
            <v>구분</v>
          </cell>
        </row>
      </sheetData>
      <sheetData sheetId="1505">
        <row r="33">
          <cell r="B33" t="str">
            <v>구분</v>
          </cell>
        </row>
      </sheetData>
      <sheetData sheetId="1506">
        <row r="33">
          <cell r="B33" t="str">
            <v>구분</v>
          </cell>
        </row>
      </sheetData>
      <sheetData sheetId="1507">
        <row r="33">
          <cell r="B33" t="str">
            <v>구분</v>
          </cell>
        </row>
      </sheetData>
      <sheetData sheetId="1508">
        <row r="33">
          <cell r="B33" t="str">
            <v>구분</v>
          </cell>
        </row>
      </sheetData>
      <sheetData sheetId="1509">
        <row r="33">
          <cell r="B33" t="str">
            <v>구분</v>
          </cell>
        </row>
      </sheetData>
      <sheetData sheetId="1510">
        <row r="33">
          <cell r="B33" t="str">
            <v>구분</v>
          </cell>
        </row>
      </sheetData>
      <sheetData sheetId="1511">
        <row r="33">
          <cell r="B33" t="str">
            <v>구분</v>
          </cell>
        </row>
      </sheetData>
      <sheetData sheetId="1512">
        <row r="33">
          <cell r="B33" t="str">
            <v>구분</v>
          </cell>
        </row>
      </sheetData>
      <sheetData sheetId="1513">
        <row r="33">
          <cell r="B33" t="str">
            <v>구분</v>
          </cell>
        </row>
      </sheetData>
      <sheetData sheetId="1514">
        <row r="33">
          <cell r="B33" t="str">
            <v>구분</v>
          </cell>
        </row>
      </sheetData>
      <sheetData sheetId="1515">
        <row r="33">
          <cell r="B33" t="str">
            <v>구분</v>
          </cell>
        </row>
      </sheetData>
      <sheetData sheetId="1516">
        <row r="33">
          <cell r="B33" t="str">
            <v>구분</v>
          </cell>
        </row>
      </sheetData>
      <sheetData sheetId="1517">
        <row r="33">
          <cell r="B33" t="str">
            <v>구분</v>
          </cell>
        </row>
      </sheetData>
      <sheetData sheetId="1518">
        <row r="33">
          <cell r="B33" t="str">
            <v>구분</v>
          </cell>
        </row>
      </sheetData>
      <sheetData sheetId="1519">
        <row r="33">
          <cell r="B33" t="str">
            <v>구분</v>
          </cell>
        </row>
      </sheetData>
      <sheetData sheetId="1520">
        <row r="33">
          <cell r="B33" t="str">
            <v>구분</v>
          </cell>
        </row>
      </sheetData>
      <sheetData sheetId="1521">
        <row r="33">
          <cell r="B33" t="str">
            <v>구분</v>
          </cell>
        </row>
      </sheetData>
      <sheetData sheetId="1522">
        <row r="33">
          <cell r="B33" t="str">
            <v>구분</v>
          </cell>
        </row>
      </sheetData>
      <sheetData sheetId="1523">
        <row r="33">
          <cell r="B33" t="str">
            <v>구분</v>
          </cell>
        </row>
      </sheetData>
      <sheetData sheetId="1524">
        <row r="33">
          <cell r="B33" t="str">
            <v>구분</v>
          </cell>
        </row>
      </sheetData>
      <sheetData sheetId="1525">
        <row r="33">
          <cell r="B33" t="str">
            <v>구분</v>
          </cell>
        </row>
      </sheetData>
      <sheetData sheetId="1526">
        <row r="33">
          <cell r="B33" t="str">
            <v>구분</v>
          </cell>
        </row>
      </sheetData>
      <sheetData sheetId="1527">
        <row r="33">
          <cell r="B33" t="str">
            <v>구분</v>
          </cell>
        </row>
      </sheetData>
      <sheetData sheetId="1528">
        <row r="33">
          <cell r="B33" t="str">
            <v>구분</v>
          </cell>
        </row>
      </sheetData>
      <sheetData sheetId="1529">
        <row r="33">
          <cell r="B33" t="str">
            <v>구분</v>
          </cell>
        </row>
      </sheetData>
      <sheetData sheetId="1530">
        <row r="33">
          <cell r="B33" t="str">
            <v>구분</v>
          </cell>
        </row>
      </sheetData>
      <sheetData sheetId="1531">
        <row r="33">
          <cell r="B33" t="str">
            <v>구분</v>
          </cell>
        </row>
      </sheetData>
      <sheetData sheetId="1532">
        <row r="33">
          <cell r="B33" t="str">
            <v>구분</v>
          </cell>
        </row>
      </sheetData>
      <sheetData sheetId="1533">
        <row r="33">
          <cell r="B33" t="str">
            <v>구분</v>
          </cell>
        </row>
      </sheetData>
      <sheetData sheetId="1534">
        <row r="33">
          <cell r="B33" t="str">
            <v>구분</v>
          </cell>
        </row>
      </sheetData>
      <sheetData sheetId="1535">
        <row r="33">
          <cell r="B33" t="str">
            <v>구분</v>
          </cell>
        </row>
      </sheetData>
      <sheetData sheetId="1536">
        <row r="33">
          <cell r="B33" t="str">
            <v>구분</v>
          </cell>
        </row>
      </sheetData>
      <sheetData sheetId="1537">
        <row r="33">
          <cell r="B33" t="str">
            <v>구분</v>
          </cell>
        </row>
      </sheetData>
      <sheetData sheetId="1538">
        <row r="33">
          <cell r="B33" t="str">
            <v>구분</v>
          </cell>
        </row>
      </sheetData>
      <sheetData sheetId="1539">
        <row r="33">
          <cell r="B33" t="str">
            <v>구분</v>
          </cell>
        </row>
      </sheetData>
      <sheetData sheetId="1540">
        <row r="33">
          <cell r="B33" t="str">
            <v>구분</v>
          </cell>
        </row>
      </sheetData>
      <sheetData sheetId="1541">
        <row r="33">
          <cell r="B33" t="str">
            <v>구분</v>
          </cell>
        </row>
      </sheetData>
      <sheetData sheetId="1542">
        <row r="33">
          <cell r="B33" t="str">
            <v>구분</v>
          </cell>
        </row>
      </sheetData>
      <sheetData sheetId="1543">
        <row r="33">
          <cell r="B33" t="str">
            <v>구분</v>
          </cell>
        </row>
      </sheetData>
      <sheetData sheetId="1544">
        <row r="33">
          <cell r="B33" t="str">
            <v>구분</v>
          </cell>
        </row>
      </sheetData>
      <sheetData sheetId="1545">
        <row r="33">
          <cell r="B33" t="str">
            <v>구분</v>
          </cell>
        </row>
      </sheetData>
      <sheetData sheetId="1546">
        <row r="33">
          <cell r="B33" t="str">
            <v>구분</v>
          </cell>
        </row>
      </sheetData>
      <sheetData sheetId="1547">
        <row r="33">
          <cell r="B33" t="str">
            <v>구분</v>
          </cell>
        </row>
      </sheetData>
      <sheetData sheetId="1548">
        <row r="33">
          <cell r="B33" t="str">
            <v>구분</v>
          </cell>
        </row>
      </sheetData>
      <sheetData sheetId="1549">
        <row r="33">
          <cell r="B33" t="str">
            <v>구분</v>
          </cell>
        </row>
      </sheetData>
      <sheetData sheetId="1550">
        <row r="33">
          <cell r="B33" t="str">
            <v>구분</v>
          </cell>
        </row>
      </sheetData>
      <sheetData sheetId="1551">
        <row r="33">
          <cell r="B33" t="str">
            <v>구분</v>
          </cell>
        </row>
      </sheetData>
      <sheetData sheetId="1552">
        <row r="33">
          <cell r="B33" t="str">
            <v>구분</v>
          </cell>
        </row>
      </sheetData>
      <sheetData sheetId="1553">
        <row r="33">
          <cell r="B33" t="str">
            <v>구분</v>
          </cell>
        </row>
      </sheetData>
      <sheetData sheetId="1554">
        <row r="33">
          <cell r="B33" t="str">
            <v>구분</v>
          </cell>
        </row>
      </sheetData>
      <sheetData sheetId="1555">
        <row r="33">
          <cell r="B33" t="str">
            <v>구분</v>
          </cell>
        </row>
      </sheetData>
      <sheetData sheetId="1556">
        <row r="33">
          <cell r="B33" t="str">
            <v>구분</v>
          </cell>
        </row>
      </sheetData>
      <sheetData sheetId="1557">
        <row r="33">
          <cell r="B33" t="str">
            <v>구분</v>
          </cell>
        </row>
      </sheetData>
      <sheetData sheetId="1558">
        <row r="33">
          <cell r="B33" t="str">
            <v>구분</v>
          </cell>
        </row>
      </sheetData>
      <sheetData sheetId="1559">
        <row r="33">
          <cell r="B33" t="str">
            <v>구분</v>
          </cell>
        </row>
      </sheetData>
      <sheetData sheetId="1560">
        <row r="33">
          <cell r="B33" t="str">
            <v>구분</v>
          </cell>
        </row>
      </sheetData>
      <sheetData sheetId="1561">
        <row r="33">
          <cell r="B33" t="str">
            <v>구분</v>
          </cell>
        </row>
      </sheetData>
      <sheetData sheetId="1562">
        <row r="33">
          <cell r="B33" t="str">
            <v>구분</v>
          </cell>
        </row>
      </sheetData>
      <sheetData sheetId="1563">
        <row r="33">
          <cell r="B33" t="str">
            <v>구분</v>
          </cell>
        </row>
      </sheetData>
      <sheetData sheetId="1564">
        <row r="33">
          <cell r="B33" t="str">
            <v>구분</v>
          </cell>
        </row>
      </sheetData>
      <sheetData sheetId="1565">
        <row r="33">
          <cell r="B33" t="str">
            <v>구분</v>
          </cell>
        </row>
      </sheetData>
      <sheetData sheetId="1566">
        <row r="33">
          <cell r="B33" t="str">
            <v>구분</v>
          </cell>
        </row>
      </sheetData>
      <sheetData sheetId="1567">
        <row r="33">
          <cell r="B33" t="str">
            <v>구분</v>
          </cell>
        </row>
      </sheetData>
      <sheetData sheetId="1568">
        <row r="33">
          <cell r="B33" t="str">
            <v>구분</v>
          </cell>
        </row>
      </sheetData>
      <sheetData sheetId="1569">
        <row r="33">
          <cell r="B33" t="str">
            <v>구분</v>
          </cell>
        </row>
      </sheetData>
      <sheetData sheetId="1570">
        <row r="33">
          <cell r="B33" t="str">
            <v>구분</v>
          </cell>
        </row>
      </sheetData>
      <sheetData sheetId="1571">
        <row r="33">
          <cell r="B33" t="str">
            <v>구분</v>
          </cell>
        </row>
      </sheetData>
      <sheetData sheetId="1572">
        <row r="33">
          <cell r="B33" t="str">
            <v>구분</v>
          </cell>
        </row>
      </sheetData>
      <sheetData sheetId="1573">
        <row r="33">
          <cell r="B33" t="str">
            <v>구분</v>
          </cell>
        </row>
      </sheetData>
      <sheetData sheetId="1574">
        <row r="33">
          <cell r="B33" t="str">
            <v>구분</v>
          </cell>
        </row>
      </sheetData>
      <sheetData sheetId="1575">
        <row r="33">
          <cell r="B33" t="str">
            <v>구분</v>
          </cell>
        </row>
      </sheetData>
      <sheetData sheetId="1576">
        <row r="33">
          <cell r="B33" t="str">
            <v>구분</v>
          </cell>
        </row>
      </sheetData>
      <sheetData sheetId="1577">
        <row r="33">
          <cell r="B33" t="str">
            <v>구분</v>
          </cell>
        </row>
      </sheetData>
      <sheetData sheetId="1578">
        <row r="33">
          <cell r="B33" t="str">
            <v>구분</v>
          </cell>
        </row>
      </sheetData>
      <sheetData sheetId="1579">
        <row r="33">
          <cell r="B33" t="str">
            <v>구분</v>
          </cell>
        </row>
      </sheetData>
      <sheetData sheetId="1580">
        <row r="33">
          <cell r="B33" t="str">
            <v>구분</v>
          </cell>
        </row>
      </sheetData>
      <sheetData sheetId="1581">
        <row r="33">
          <cell r="B33" t="str">
            <v>구분</v>
          </cell>
        </row>
      </sheetData>
      <sheetData sheetId="1582">
        <row r="33">
          <cell r="B33" t="str">
            <v>구분</v>
          </cell>
        </row>
      </sheetData>
      <sheetData sheetId="1583">
        <row r="33">
          <cell r="B33" t="str">
            <v>구분</v>
          </cell>
        </row>
      </sheetData>
      <sheetData sheetId="1584">
        <row r="33">
          <cell r="B33" t="str">
            <v>구분</v>
          </cell>
        </row>
      </sheetData>
      <sheetData sheetId="1585">
        <row r="33">
          <cell r="B33" t="str">
            <v>구분</v>
          </cell>
        </row>
      </sheetData>
      <sheetData sheetId="1586">
        <row r="33">
          <cell r="B33" t="str">
            <v>구분</v>
          </cell>
        </row>
      </sheetData>
      <sheetData sheetId="1587">
        <row r="33">
          <cell r="B33" t="str">
            <v>구분</v>
          </cell>
        </row>
      </sheetData>
      <sheetData sheetId="1588">
        <row r="33">
          <cell r="B33" t="str">
            <v>구분</v>
          </cell>
        </row>
      </sheetData>
      <sheetData sheetId="1589">
        <row r="33">
          <cell r="B33" t="str">
            <v>구분</v>
          </cell>
        </row>
      </sheetData>
      <sheetData sheetId="1590">
        <row r="33">
          <cell r="B33" t="str">
            <v>구분</v>
          </cell>
        </row>
      </sheetData>
      <sheetData sheetId="1591">
        <row r="33">
          <cell r="B33" t="str">
            <v>구분</v>
          </cell>
        </row>
      </sheetData>
      <sheetData sheetId="1592">
        <row r="33">
          <cell r="B33" t="str">
            <v>구분</v>
          </cell>
        </row>
      </sheetData>
      <sheetData sheetId="1593">
        <row r="33">
          <cell r="B33" t="str">
            <v>구분</v>
          </cell>
        </row>
      </sheetData>
      <sheetData sheetId="1594">
        <row r="33">
          <cell r="B33" t="str">
            <v>구분</v>
          </cell>
        </row>
      </sheetData>
      <sheetData sheetId="1595">
        <row r="33">
          <cell r="B33" t="str">
            <v>구분</v>
          </cell>
        </row>
      </sheetData>
      <sheetData sheetId="1596">
        <row r="33">
          <cell r="B33" t="str">
            <v>구분</v>
          </cell>
        </row>
      </sheetData>
      <sheetData sheetId="1597">
        <row r="33">
          <cell r="B33" t="str">
            <v>구분</v>
          </cell>
        </row>
      </sheetData>
      <sheetData sheetId="1598">
        <row r="33">
          <cell r="B33" t="str">
            <v>구분</v>
          </cell>
        </row>
      </sheetData>
      <sheetData sheetId="1599">
        <row r="33">
          <cell r="B33" t="str">
            <v>구분</v>
          </cell>
        </row>
      </sheetData>
      <sheetData sheetId="1600">
        <row r="33">
          <cell r="B33" t="str">
            <v>구분</v>
          </cell>
        </row>
      </sheetData>
      <sheetData sheetId="1601">
        <row r="33">
          <cell r="B33" t="str">
            <v>구분</v>
          </cell>
        </row>
      </sheetData>
      <sheetData sheetId="1602">
        <row r="33">
          <cell r="B33" t="str">
            <v>구분</v>
          </cell>
        </row>
      </sheetData>
      <sheetData sheetId="1603">
        <row r="33">
          <cell r="B33" t="str">
            <v>구분</v>
          </cell>
        </row>
      </sheetData>
      <sheetData sheetId="1604">
        <row r="33">
          <cell r="B33" t="str">
            <v>구분</v>
          </cell>
        </row>
      </sheetData>
      <sheetData sheetId="1605">
        <row r="33">
          <cell r="B33" t="str">
            <v>구분</v>
          </cell>
        </row>
      </sheetData>
      <sheetData sheetId="1606">
        <row r="33">
          <cell r="B33" t="str">
            <v>구분</v>
          </cell>
        </row>
      </sheetData>
      <sheetData sheetId="1607">
        <row r="33">
          <cell r="B33" t="str">
            <v>구분</v>
          </cell>
        </row>
      </sheetData>
      <sheetData sheetId="1608">
        <row r="33">
          <cell r="B33" t="str">
            <v>구분</v>
          </cell>
        </row>
      </sheetData>
      <sheetData sheetId="1609">
        <row r="33">
          <cell r="B33" t="str">
            <v>구분</v>
          </cell>
        </row>
      </sheetData>
      <sheetData sheetId="1610">
        <row r="33">
          <cell r="B33" t="str">
            <v>구분</v>
          </cell>
        </row>
      </sheetData>
      <sheetData sheetId="1611">
        <row r="33">
          <cell r="B33" t="str">
            <v>구분</v>
          </cell>
        </row>
      </sheetData>
      <sheetData sheetId="1612">
        <row r="33">
          <cell r="B33" t="str">
            <v>구분</v>
          </cell>
        </row>
      </sheetData>
      <sheetData sheetId="1613">
        <row r="33">
          <cell r="B33" t="str">
            <v>구분</v>
          </cell>
        </row>
      </sheetData>
      <sheetData sheetId="1614">
        <row r="33">
          <cell r="B33" t="str">
            <v>구분</v>
          </cell>
        </row>
      </sheetData>
      <sheetData sheetId="1615">
        <row r="33">
          <cell r="B33" t="str">
            <v>구분</v>
          </cell>
        </row>
      </sheetData>
      <sheetData sheetId="1616">
        <row r="33">
          <cell r="B33" t="str">
            <v>구분</v>
          </cell>
        </row>
      </sheetData>
      <sheetData sheetId="1617">
        <row r="33">
          <cell r="B33" t="str">
            <v>구분</v>
          </cell>
        </row>
      </sheetData>
      <sheetData sheetId="1618">
        <row r="33">
          <cell r="B33" t="str">
            <v>구분</v>
          </cell>
        </row>
      </sheetData>
      <sheetData sheetId="1619">
        <row r="33">
          <cell r="B33" t="str">
            <v>구분</v>
          </cell>
        </row>
      </sheetData>
      <sheetData sheetId="1620">
        <row r="33">
          <cell r="B33" t="str">
            <v>구분</v>
          </cell>
        </row>
      </sheetData>
      <sheetData sheetId="1621">
        <row r="33">
          <cell r="B33" t="str">
            <v>구분</v>
          </cell>
        </row>
      </sheetData>
      <sheetData sheetId="1622">
        <row r="33">
          <cell r="B33" t="str">
            <v>구분</v>
          </cell>
        </row>
      </sheetData>
      <sheetData sheetId="1623">
        <row r="33">
          <cell r="B33" t="str">
            <v>구분</v>
          </cell>
        </row>
      </sheetData>
      <sheetData sheetId="1624">
        <row r="33">
          <cell r="B33" t="str">
            <v>구분</v>
          </cell>
        </row>
      </sheetData>
      <sheetData sheetId="1625">
        <row r="33">
          <cell r="B33" t="str">
            <v>구분</v>
          </cell>
        </row>
      </sheetData>
      <sheetData sheetId="1626">
        <row r="33">
          <cell r="B33" t="str">
            <v>구분</v>
          </cell>
        </row>
      </sheetData>
      <sheetData sheetId="1627">
        <row r="33">
          <cell r="B33" t="str">
            <v>구분</v>
          </cell>
        </row>
      </sheetData>
      <sheetData sheetId="1628">
        <row r="33">
          <cell r="B33" t="str">
            <v>구분</v>
          </cell>
        </row>
      </sheetData>
      <sheetData sheetId="1629">
        <row r="33">
          <cell r="B33" t="str">
            <v>구분</v>
          </cell>
        </row>
      </sheetData>
      <sheetData sheetId="1630">
        <row r="33">
          <cell r="B33" t="str">
            <v>구분</v>
          </cell>
        </row>
      </sheetData>
      <sheetData sheetId="1631">
        <row r="33">
          <cell r="B33" t="str">
            <v>구분</v>
          </cell>
        </row>
      </sheetData>
      <sheetData sheetId="1632">
        <row r="33">
          <cell r="B33" t="str">
            <v>구분</v>
          </cell>
        </row>
      </sheetData>
      <sheetData sheetId="1633">
        <row r="33">
          <cell r="B33" t="str">
            <v>구분</v>
          </cell>
        </row>
      </sheetData>
      <sheetData sheetId="1634">
        <row r="33">
          <cell r="B33" t="str">
            <v>구분</v>
          </cell>
        </row>
      </sheetData>
      <sheetData sheetId="1635">
        <row r="33">
          <cell r="B33" t="str">
            <v>구분</v>
          </cell>
        </row>
      </sheetData>
      <sheetData sheetId="1636">
        <row r="33">
          <cell r="B33" t="str">
            <v>구분</v>
          </cell>
        </row>
      </sheetData>
      <sheetData sheetId="1637">
        <row r="33">
          <cell r="B33" t="str">
            <v>구분</v>
          </cell>
        </row>
      </sheetData>
      <sheetData sheetId="1638">
        <row r="33">
          <cell r="B33" t="str">
            <v>구분</v>
          </cell>
        </row>
      </sheetData>
      <sheetData sheetId="1639"/>
      <sheetData sheetId="1640"/>
      <sheetData sheetId="1641"/>
      <sheetData sheetId="1642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>
        <row r="33">
          <cell r="B33" t="str">
            <v>구분</v>
          </cell>
        </row>
      </sheetData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>
        <row r="33">
          <cell r="B33" t="str">
            <v>구분</v>
          </cell>
        </row>
      </sheetData>
      <sheetData sheetId="1761"/>
      <sheetData sheetId="1762"/>
      <sheetData sheetId="1763"/>
      <sheetData sheetId="1764">
        <row r="33">
          <cell r="B33" t="str">
            <v>구분</v>
          </cell>
        </row>
      </sheetData>
      <sheetData sheetId="1765">
        <row r="33">
          <cell r="B33" t="str">
            <v>구분</v>
          </cell>
        </row>
      </sheetData>
      <sheetData sheetId="1766">
        <row r="33">
          <cell r="B33" t="str">
            <v>구분</v>
          </cell>
        </row>
      </sheetData>
      <sheetData sheetId="1767"/>
      <sheetData sheetId="1768">
        <row r="33">
          <cell r="B33" t="str">
            <v>구분</v>
          </cell>
        </row>
      </sheetData>
      <sheetData sheetId="1769"/>
      <sheetData sheetId="1770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>
        <row r="33">
          <cell r="B33" t="str">
            <v>구분</v>
          </cell>
        </row>
      </sheetData>
      <sheetData sheetId="1790">
        <row r="33">
          <cell r="B33" t="str">
            <v>구분</v>
          </cell>
        </row>
      </sheetData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/>
      <sheetData sheetId="1824"/>
      <sheetData sheetId="1825">
        <row r="33">
          <cell r="B33" t="str">
            <v>구분</v>
          </cell>
        </row>
      </sheetData>
      <sheetData sheetId="1826"/>
      <sheetData sheetId="1827">
        <row r="33">
          <cell r="B33" t="str">
            <v>구분</v>
          </cell>
        </row>
      </sheetData>
      <sheetData sheetId="1828"/>
      <sheetData sheetId="1829"/>
      <sheetData sheetId="1830"/>
      <sheetData sheetId="1831"/>
      <sheetData sheetId="1832">
        <row r="33">
          <cell r="B33" t="str">
            <v>구분</v>
          </cell>
        </row>
      </sheetData>
      <sheetData sheetId="1833">
        <row r="33">
          <cell r="B33" t="str">
            <v>구분</v>
          </cell>
        </row>
      </sheetData>
      <sheetData sheetId="1834">
        <row r="33">
          <cell r="B33" t="str">
            <v>구분</v>
          </cell>
        </row>
      </sheetData>
      <sheetData sheetId="1835">
        <row r="33">
          <cell r="B33" t="str">
            <v>구분</v>
          </cell>
        </row>
      </sheetData>
      <sheetData sheetId="1836">
        <row r="33">
          <cell r="B33" t="str">
            <v>구분</v>
          </cell>
        </row>
      </sheetData>
      <sheetData sheetId="1837">
        <row r="33">
          <cell r="B33" t="str">
            <v>구분</v>
          </cell>
        </row>
      </sheetData>
      <sheetData sheetId="1838">
        <row r="33">
          <cell r="B33" t="str">
            <v>구분</v>
          </cell>
        </row>
      </sheetData>
      <sheetData sheetId="1839">
        <row r="33">
          <cell r="B33" t="str">
            <v>구분</v>
          </cell>
        </row>
      </sheetData>
      <sheetData sheetId="1840">
        <row r="33">
          <cell r="B33" t="str">
            <v>구분</v>
          </cell>
        </row>
      </sheetData>
      <sheetData sheetId="1841">
        <row r="33">
          <cell r="B33" t="str">
            <v>구분</v>
          </cell>
        </row>
      </sheetData>
      <sheetData sheetId="1842">
        <row r="33">
          <cell r="B33" t="str">
            <v>구분</v>
          </cell>
        </row>
      </sheetData>
      <sheetData sheetId="1843">
        <row r="33">
          <cell r="B33" t="str">
            <v>구분</v>
          </cell>
        </row>
      </sheetData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>
        <row r="33">
          <cell r="B33" t="str">
            <v>구분</v>
          </cell>
        </row>
      </sheetData>
      <sheetData sheetId="1854">
        <row r="33">
          <cell r="B33" t="str">
            <v>구분</v>
          </cell>
        </row>
      </sheetData>
      <sheetData sheetId="1855">
        <row r="33">
          <cell r="B33" t="str">
            <v>구분</v>
          </cell>
        </row>
      </sheetData>
      <sheetData sheetId="1856">
        <row r="33">
          <cell r="B33" t="str">
            <v>구분</v>
          </cell>
        </row>
      </sheetData>
      <sheetData sheetId="1857">
        <row r="33">
          <cell r="B33" t="str">
            <v>구분</v>
          </cell>
        </row>
      </sheetData>
      <sheetData sheetId="1858">
        <row r="33">
          <cell r="B33" t="str">
            <v>구분</v>
          </cell>
        </row>
      </sheetData>
      <sheetData sheetId="1859">
        <row r="33">
          <cell r="B33" t="str">
            <v>구분</v>
          </cell>
        </row>
      </sheetData>
      <sheetData sheetId="1860">
        <row r="33">
          <cell r="B33" t="str">
            <v>구분</v>
          </cell>
        </row>
      </sheetData>
      <sheetData sheetId="1861">
        <row r="33">
          <cell r="B33" t="str">
            <v>구분</v>
          </cell>
        </row>
      </sheetData>
      <sheetData sheetId="1862">
        <row r="33">
          <cell r="B33" t="str">
            <v>구분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>
        <row r="33">
          <cell r="B33" t="str">
            <v>구분</v>
          </cell>
        </row>
      </sheetData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>
        <row r="33">
          <cell r="B33" t="str">
            <v>구분</v>
          </cell>
        </row>
      </sheetData>
      <sheetData sheetId="1895">
        <row r="33">
          <cell r="B33" t="str">
            <v>구분</v>
          </cell>
        </row>
      </sheetData>
      <sheetData sheetId="1896"/>
      <sheetData sheetId="1897"/>
      <sheetData sheetId="1898">
        <row r="33">
          <cell r="B33" t="str">
            <v>구분</v>
          </cell>
        </row>
      </sheetData>
      <sheetData sheetId="1899">
        <row r="33">
          <cell r="B33" t="str">
            <v>구분</v>
          </cell>
        </row>
      </sheetData>
      <sheetData sheetId="1900">
        <row r="33">
          <cell r="B33" t="str">
            <v>구분</v>
          </cell>
        </row>
      </sheetData>
      <sheetData sheetId="1901">
        <row r="33">
          <cell r="B33" t="str">
            <v>구분</v>
          </cell>
        </row>
      </sheetData>
      <sheetData sheetId="1902"/>
      <sheetData sheetId="1903"/>
      <sheetData sheetId="1904">
        <row r="33">
          <cell r="B33" t="str">
            <v>구분</v>
          </cell>
        </row>
      </sheetData>
      <sheetData sheetId="1905">
        <row r="33">
          <cell r="B33" t="str">
            <v>구분</v>
          </cell>
        </row>
      </sheetData>
      <sheetData sheetId="1906">
        <row r="33">
          <cell r="B33" t="str">
            <v>구분</v>
          </cell>
        </row>
      </sheetData>
      <sheetData sheetId="1907"/>
      <sheetData sheetId="1908">
        <row r="33">
          <cell r="B33" t="str">
            <v>구분</v>
          </cell>
        </row>
      </sheetData>
      <sheetData sheetId="1909">
        <row r="33">
          <cell r="B33" t="str">
            <v>구분</v>
          </cell>
        </row>
      </sheetData>
      <sheetData sheetId="1910">
        <row r="33">
          <cell r="B33" t="str">
            <v>구분</v>
          </cell>
        </row>
      </sheetData>
      <sheetData sheetId="1911"/>
      <sheetData sheetId="1912">
        <row r="33">
          <cell r="B33" t="str">
            <v>구분</v>
          </cell>
        </row>
      </sheetData>
      <sheetData sheetId="1913">
        <row r="33">
          <cell r="B33" t="str">
            <v>구분</v>
          </cell>
        </row>
      </sheetData>
      <sheetData sheetId="1914"/>
      <sheetData sheetId="1915" refreshError="1"/>
      <sheetData sheetId="1916" refreshError="1"/>
      <sheetData sheetId="1917"/>
      <sheetData sheetId="1918"/>
      <sheetData sheetId="1919"/>
      <sheetData sheetId="1920">
        <row r="33">
          <cell r="B33" t="str">
            <v>구분</v>
          </cell>
        </row>
      </sheetData>
      <sheetData sheetId="1921">
        <row r="33">
          <cell r="B33" t="str">
            <v>구분</v>
          </cell>
        </row>
      </sheetData>
      <sheetData sheetId="1922">
        <row r="33">
          <cell r="B33" t="str">
            <v>구분</v>
          </cell>
        </row>
      </sheetData>
      <sheetData sheetId="1923">
        <row r="33">
          <cell r="B33" t="str">
            <v>구분</v>
          </cell>
        </row>
      </sheetData>
      <sheetData sheetId="1924">
        <row r="33">
          <cell r="B33" t="str">
            <v>구분</v>
          </cell>
        </row>
      </sheetData>
      <sheetData sheetId="1925">
        <row r="33">
          <cell r="B33" t="str">
            <v>구분</v>
          </cell>
        </row>
      </sheetData>
      <sheetData sheetId="1926">
        <row r="33">
          <cell r="B33" t="str">
            <v>구분</v>
          </cell>
        </row>
      </sheetData>
      <sheetData sheetId="1927">
        <row r="33">
          <cell r="B33" t="str">
            <v>구분</v>
          </cell>
        </row>
      </sheetData>
      <sheetData sheetId="1928">
        <row r="33">
          <cell r="B33" t="str">
            <v>구분</v>
          </cell>
        </row>
      </sheetData>
      <sheetData sheetId="1929">
        <row r="33">
          <cell r="B33" t="str">
            <v>구분</v>
          </cell>
        </row>
      </sheetData>
      <sheetData sheetId="1930"/>
      <sheetData sheetId="1931"/>
      <sheetData sheetId="1932">
        <row r="33">
          <cell r="B33" t="str">
            <v>구분</v>
          </cell>
        </row>
      </sheetData>
      <sheetData sheetId="1933">
        <row r="33">
          <cell r="B33" t="str">
            <v>구분</v>
          </cell>
        </row>
      </sheetData>
      <sheetData sheetId="1934">
        <row r="33">
          <cell r="B33" t="str">
            <v>구분</v>
          </cell>
        </row>
      </sheetData>
      <sheetData sheetId="1935">
        <row r="33">
          <cell r="B33" t="str">
            <v>구분</v>
          </cell>
        </row>
      </sheetData>
      <sheetData sheetId="1936">
        <row r="33">
          <cell r="B33" t="str">
            <v>구분</v>
          </cell>
        </row>
      </sheetData>
      <sheetData sheetId="1937">
        <row r="33">
          <cell r="B33" t="str">
            <v>구분</v>
          </cell>
        </row>
      </sheetData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>
        <row r="33">
          <cell r="B33" t="str">
            <v>구분</v>
          </cell>
        </row>
      </sheetData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>
        <row r="33">
          <cell r="B33" t="str">
            <v>구분</v>
          </cell>
        </row>
      </sheetData>
      <sheetData sheetId="1974">
        <row r="33">
          <cell r="B33" t="str">
            <v>구분</v>
          </cell>
        </row>
      </sheetData>
      <sheetData sheetId="1975"/>
      <sheetData sheetId="1976"/>
      <sheetData sheetId="1977">
        <row r="33">
          <cell r="B33" t="str">
            <v>구분</v>
          </cell>
        </row>
      </sheetData>
      <sheetData sheetId="1978"/>
      <sheetData sheetId="1979"/>
      <sheetData sheetId="1980"/>
      <sheetData sheetId="1981"/>
      <sheetData sheetId="1982">
        <row r="33">
          <cell r="B33" t="str">
            <v>구분</v>
          </cell>
        </row>
      </sheetData>
      <sheetData sheetId="1983">
        <row r="33">
          <cell r="B33" t="str">
            <v>구분</v>
          </cell>
        </row>
      </sheetData>
      <sheetData sheetId="1984">
        <row r="33">
          <cell r="B33" t="str">
            <v>구분</v>
          </cell>
        </row>
      </sheetData>
      <sheetData sheetId="1985"/>
      <sheetData sheetId="1986"/>
      <sheetData sheetId="1987">
        <row r="33">
          <cell r="B33" t="str">
            <v>구분</v>
          </cell>
        </row>
      </sheetData>
      <sheetData sheetId="1988">
        <row r="33">
          <cell r="B33" t="str">
            <v>구분</v>
          </cell>
        </row>
      </sheetData>
      <sheetData sheetId="1989">
        <row r="33">
          <cell r="B33" t="str">
            <v>구분</v>
          </cell>
        </row>
      </sheetData>
      <sheetData sheetId="1990"/>
      <sheetData sheetId="1991">
        <row r="33">
          <cell r="B33" t="str">
            <v>구분</v>
          </cell>
        </row>
      </sheetData>
      <sheetData sheetId="1992">
        <row r="33">
          <cell r="B33" t="str">
            <v>구분</v>
          </cell>
        </row>
      </sheetData>
      <sheetData sheetId="1993"/>
      <sheetData sheetId="1994"/>
      <sheetData sheetId="1995"/>
      <sheetData sheetId="1996">
        <row r="33">
          <cell r="B33" t="str">
            <v>구분</v>
          </cell>
        </row>
      </sheetData>
      <sheetData sheetId="1997">
        <row r="33">
          <cell r="B33" t="str">
            <v>구분</v>
          </cell>
        </row>
      </sheetData>
      <sheetData sheetId="1998"/>
      <sheetData sheetId="1999"/>
      <sheetData sheetId="2000">
        <row r="33">
          <cell r="B33" t="str">
            <v>구분</v>
          </cell>
        </row>
      </sheetData>
      <sheetData sheetId="2001">
        <row r="33">
          <cell r="B33" t="str">
            <v>구분</v>
          </cell>
        </row>
      </sheetData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/>
      <sheetData sheetId="2032"/>
      <sheetData sheetId="2033"/>
      <sheetData sheetId="2034">
        <row r="33">
          <cell r="B33" t="str">
            <v>구분</v>
          </cell>
        </row>
      </sheetData>
      <sheetData sheetId="2035">
        <row r="33">
          <cell r="B33" t="str">
            <v>구분</v>
          </cell>
        </row>
      </sheetData>
      <sheetData sheetId="2036">
        <row r="33">
          <cell r="B33" t="str">
            <v>구분</v>
          </cell>
        </row>
      </sheetData>
      <sheetData sheetId="2037">
        <row r="33">
          <cell r="B33" t="str">
            <v>구분</v>
          </cell>
        </row>
      </sheetData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>
        <row r="33">
          <cell r="B33" t="str">
            <v>구분</v>
          </cell>
        </row>
      </sheetData>
      <sheetData sheetId="2049">
        <row r="33">
          <cell r="B33" t="str">
            <v>구분</v>
          </cell>
        </row>
      </sheetData>
      <sheetData sheetId="2050">
        <row r="33">
          <cell r="B33" t="str">
            <v>구분</v>
          </cell>
        </row>
      </sheetData>
      <sheetData sheetId="2051">
        <row r="33">
          <cell r="B33" t="str">
            <v>구분</v>
          </cell>
        </row>
      </sheetData>
      <sheetData sheetId="2052">
        <row r="33">
          <cell r="B33" t="str">
            <v>구분</v>
          </cell>
        </row>
      </sheetData>
      <sheetData sheetId="2053">
        <row r="33">
          <cell r="B33" t="str">
            <v>구분</v>
          </cell>
        </row>
      </sheetData>
      <sheetData sheetId="2054">
        <row r="33">
          <cell r="B33" t="str">
            <v>구분</v>
          </cell>
        </row>
      </sheetData>
      <sheetData sheetId="2055">
        <row r="33">
          <cell r="B33" t="str">
            <v>구분</v>
          </cell>
        </row>
      </sheetData>
      <sheetData sheetId="2056">
        <row r="33">
          <cell r="B33" t="str">
            <v>구분</v>
          </cell>
        </row>
      </sheetData>
      <sheetData sheetId="2057">
        <row r="33">
          <cell r="B33" t="str">
            <v>구분</v>
          </cell>
        </row>
      </sheetData>
      <sheetData sheetId="2058">
        <row r="33">
          <cell r="B33" t="str">
            <v>구분</v>
          </cell>
        </row>
      </sheetData>
      <sheetData sheetId="2059">
        <row r="33">
          <cell r="B33" t="str">
            <v>구분</v>
          </cell>
        </row>
      </sheetData>
      <sheetData sheetId="2060">
        <row r="33">
          <cell r="B33" t="str">
            <v>구분</v>
          </cell>
        </row>
      </sheetData>
      <sheetData sheetId="2061">
        <row r="33">
          <cell r="B33" t="str">
            <v>구분</v>
          </cell>
        </row>
      </sheetData>
      <sheetData sheetId="2062"/>
      <sheetData sheetId="2063"/>
      <sheetData sheetId="2064">
        <row r="33">
          <cell r="B33" t="str">
            <v>구분</v>
          </cell>
        </row>
      </sheetData>
      <sheetData sheetId="2065">
        <row r="33">
          <cell r="B33" t="str">
            <v>구분</v>
          </cell>
        </row>
      </sheetData>
      <sheetData sheetId="2066">
        <row r="33">
          <cell r="B33" t="str">
            <v>구분</v>
          </cell>
        </row>
      </sheetData>
      <sheetData sheetId="2067">
        <row r="33">
          <cell r="B33" t="str">
            <v>구분</v>
          </cell>
        </row>
      </sheetData>
      <sheetData sheetId="2068">
        <row r="33">
          <cell r="B33" t="str">
            <v>구분</v>
          </cell>
        </row>
      </sheetData>
      <sheetData sheetId="2069">
        <row r="33">
          <cell r="B33" t="str">
            <v>구분</v>
          </cell>
        </row>
      </sheetData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>
        <row r="33">
          <cell r="B33" t="str">
            <v>구분</v>
          </cell>
        </row>
      </sheetData>
      <sheetData sheetId="2138">
        <row r="33">
          <cell r="B33" t="str">
            <v>구분</v>
          </cell>
        </row>
      </sheetData>
      <sheetData sheetId="2139">
        <row r="33">
          <cell r="B33" t="str">
            <v>구분</v>
          </cell>
        </row>
      </sheetData>
      <sheetData sheetId="2140">
        <row r="33">
          <cell r="B33" t="str">
            <v>구분</v>
          </cell>
        </row>
      </sheetData>
      <sheetData sheetId="2141">
        <row r="33">
          <cell r="B33" t="str">
            <v>구분</v>
          </cell>
        </row>
      </sheetData>
      <sheetData sheetId="2142">
        <row r="33">
          <cell r="B33" t="str">
            <v>구분</v>
          </cell>
        </row>
      </sheetData>
      <sheetData sheetId="2143">
        <row r="33">
          <cell r="B33" t="str">
            <v>구분</v>
          </cell>
        </row>
      </sheetData>
      <sheetData sheetId="2144">
        <row r="33">
          <cell r="B33" t="str">
            <v>구분</v>
          </cell>
        </row>
      </sheetData>
      <sheetData sheetId="2145">
        <row r="33">
          <cell r="B33" t="str">
            <v>구분</v>
          </cell>
        </row>
      </sheetData>
      <sheetData sheetId="2146">
        <row r="33">
          <cell r="B33" t="str">
            <v>구분</v>
          </cell>
        </row>
      </sheetData>
      <sheetData sheetId="2147">
        <row r="33">
          <cell r="B33" t="str">
            <v>구분</v>
          </cell>
        </row>
      </sheetData>
      <sheetData sheetId="2148">
        <row r="33">
          <cell r="B33" t="str">
            <v>구분</v>
          </cell>
        </row>
      </sheetData>
      <sheetData sheetId="2149">
        <row r="33">
          <cell r="B33" t="str">
            <v>구분</v>
          </cell>
        </row>
      </sheetData>
      <sheetData sheetId="2150">
        <row r="33">
          <cell r="B33" t="str">
            <v>구분</v>
          </cell>
        </row>
      </sheetData>
      <sheetData sheetId="2151">
        <row r="33">
          <cell r="B33" t="str">
            <v>구분</v>
          </cell>
        </row>
      </sheetData>
      <sheetData sheetId="2152"/>
      <sheetData sheetId="2153"/>
      <sheetData sheetId="2154"/>
      <sheetData sheetId="2155"/>
      <sheetData sheetId="2156">
        <row r="33">
          <cell r="B33" t="str">
            <v>구분</v>
          </cell>
        </row>
      </sheetData>
      <sheetData sheetId="2157">
        <row r="33">
          <cell r="B33" t="str">
            <v>구분</v>
          </cell>
        </row>
      </sheetData>
      <sheetData sheetId="2158">
        <row r="33">
          <cell r="B33" t="str">
            <v>구분</v>
          </cell>
        </row>
      </sheetData>
      <sheetData sheetId="2159">
        <row r="33">
          <cell r="B33" t="str">
            <v>구분</v>
          </cell>
        </row>
      </sheetData>
      <sheetData sheetId="2160">
        <row r="33">
          <cell r="B33" t="str">
            <v>구분</v>
          </cell>
        </row>
      </sheetData>
      <sheetData sheetId="2161">
        <row r="33">
          <cell r="B33" t="str">
            <v>구분</v>
          </cell>
        </row>
      </sheetData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 refreshError="1"/>
      <sheetData sheetId="2197" refreshError="1"/>
      <sheetData sheetId="2198" refreshError="1"/>
      <sheetData sheetId="2199" refreshError="1"/>
      <sheetData sheetId="2200"/>
      <sheetData sheetId="2201">
        <row r="33">
          <cell r="B33" t="str">
            <v>구분</v>
          </cell>
        </row>
      </sheetData>
      <sheetData sheetId="2202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 refreshError="1"/>
      <sheetData sheetId="2217" refreshError="1"/>
      <sheetData sheetId="2218" refreshError="1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/>
      <sheetData sheetId="2529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합계"/>
      <sheetName val="국내리스1"/>
      <sheetName val="특외대"/>
      <sheetName val="연불,리스"/>
      <sheetName val="원화00"/>
      <sheetName val="원화01"/>
      <sheetName val="원화02"/>
      <sheetName val="원화03"/>
      <sheetName val="현지00"/>
      <sheetName val="현지01"/>
      <sheetName val="현지02"/>
      <sheetName val="현지03"/>
      <sheetName val="회사채00"/>
      <sheetName val="회사채01"/>
      <sheetName val="회사채02"/>
      <sheetName val="회사채03"/>
      <sheetName val="국내리스2"/>
      <sheetName val="대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RE9604"/>
      <sheetName val="콘도손익"/>
      <sheetName val="장림"/>
      <sheetName val="장림전제"/>
      <sheetName val="Sheet2"/>
      <sheetName val="Sheet3"/>
      <sheetName val="특외대"/>
      <sheetName val="신공항A-9(원가수정)"/>
      <sheetName val="9604월차"/>
    </sheetNames>
    <sheetDataSet>
      <sheetData sheetId="0" refreshError="1">
        <row r="2">
          <cell r="A2" t="str">
            <v>   </v>
          </cell>
          <cell r="G2" t="str">
            <v>수 입 금 액 조 정 표</v>
          </cell>
        </row>
        <row r="3">
          <cell r="N3" t="str">
            <v> </v>
          </cell>
        </row>
        <row r="4">
          <cell r="A4" t="str">
            <v>F/N : 월차결산RE9604.XLS</v>
          </cell>
          <cell r="F4" t="str">
            <v> </v>
          </cell>
          <cell r="T4" t="str">
            <v xml:space="preserve">           1996. 04. 30 현재</v>
          </cell>
        </row>
        <row r="5">
          <cell r="B5" t="str">
            <v> </v>
          </cell>
          <cell r="E5" t="str">
            <v>도   급   액</v>
          </cell>
          <cell r="G5" t="str">
            <v xml:space="preserve"> 원 가 율</v>
          </cell>
          <cell r="I5" t="str">
            <v> </v>
          </cell>
          <cell r="J5" t="str">
            <v>공 사 수 입 금</v>
          </cell>
          <cell r="M5" t="str">
            <v>공    사    비</v>
          </cell>
          <cell r="O5" t="str">
            <v>공 사 미 수 금</v>
          </cell>
          <cell r="P5" t="str">
            <v>공 사 선 수 금</v>
          </cell>
          <cell r="Q5" t="str">
            <v>공 사 수 입 금</v>
          </cell>
          <cell r="R5" t="str">
            <v> </v>
          </cell>
          <cell r="S5" t="str">
            <v>기 성 고  계 상  자 료</v>
          </cell>
        </row>
        <row r="6">
          <cell r="A6" t="str">
            <v>번호</v>
          </cell>
          <cell r="B6" t="str">
            <v>공 사 명</v>
          </cell>
          <cell r="D6" t="str">
            <v xml:space="preserve"> 96 년도 이전    계   약   액</v>
          </cell>
          <cell r="E6" t="str">
            <v xml:space="preserve"> 96 년 도 중     신 규 계 약          </v>
          </cell>
          <cell r="F6" t="str">
            <v>( 합  계 )</v>
          </cell>
          <cell r="G6" t="str">
            <v>통산</v>
          </cell>
          <cell r="H6" t="str">
            <v xml:space="preserve"> 96년중</v>
          </cell>
          <cell r="I6" t="str">
            <v xml:space="preserve"> 96 년 이 전  수입금 계상액</v>
          </cell>
          <cell r="J6" t="str">
            <v xml:space="preserve">  9 6 년 중     계상 한도액</v>
          </cell>
          <cell r="K6" t="str">
            <v>진행율에 의한 96년중 수입금</v>
          </cell>
          <cell r="L6" t="str">
            <v xml:space="preserve"> 96 년 이 전   투  입  액</v>
          </cell>
          <cell r="M6" t="str">
            <v xml:space="preserve"> 9 6 년 중     투  입  액</v>
          </cell>
          <cell r="N6" t="str">
            <v>( 합 계 )</v>
          </cell>
          <cell r="O6" t="str">
            <v>계  상  액    (상 계 액)</v>
          </cell>
          <cell r="P6" t="str">
            <v>상  계  액    (계 상 액)</v>
          </cell>
          <cell r="Q6" t="str">
            <v>계  상  액    (상 계 액)</v>
          </cell>
          <cell r="R6" t="str">
            <v xml:space="preserve">공사비 </v>
          </cell>
          <cell r="S6" t="str">
            <v>공사수입금</v>
          </cell>
          <cell r="T6" t="str">
            <v xml:space="preserve">   공사선수금 </v>
          </cell>
          <cell r="U6" t="str">
            <v>공사미수금</v>
          </cell>
        </row>
        <row r="7">
          <cell r="A7">
            <v>1</v>
          </cell>
          <cell r="B7" t="str">
            <v xml:space="preserve"> 11부두</v>
          </cell>
          <cell r="C7" t="str">
            <v> </v>
          </cell>
        </row>
        <row r="8">
          <cell r="A8">
            <v>2</v>
          </cell>
          <cell r="B8" t="str">
            <v xml:space="preserve"> 59시설</v>
          </cell>
        </row>
        <row r="9">
          <cell r="A9">
            <v>3</v>
          </cell>
          <cell r="B9" t="str">
            <v xml:space="preserve"> 강경우회</v>
          </cell>
        </row>
        <row r="10">
          <cell r="A10">
            <v>4</v>
          </cell>
          <cell r="B10" t="str">
            <v xml:space="preserve"> 고령선로</v>
          </cell>
        </row>
        <row r="11">
          <cell r="A11">
            <v>5</v>
          </cell>
          <cell r="B11" t="str">
            <v xml:space="preserve"> 고속철도</v>
          </cell>
        </row>
        <row r="12">
          <cell r="A12">
            <v>6</v>
          </cell>
          <cell r="B12" t="str">
            <v xml:space="preserve"> 공릉배수</v>
          </cell>
        </row>
        <row r="13">
          <cell r="A13">
            <v>7</v>
          </cell>
          <cell r="B13" t="str">
            <v xml:space="preserve"> 광역상수</v>
          </cell>
        </row>
        <row r="14">
          <cell r="A14">
            <v>8</v>
          </cell>
          <cell r="B14" t="str">
            <v xml:space="preserve"> 구곡택지</v>
          </cell>
        </row>
        <row r="15">
          <cell r="A15">
            <v>9</v>
          </cell>
          <cell r="B15" t="str">
            <v xml:space="preserve"> 군장도로</v>
          </cell>
        </row>
        <row r="16">
          <cell r="A16">
            <v>10</v>
          </cell>
          <cell r="B16" t="str">
            <v xml:space="preserve"> 남동도로</v>
          </cell>
        </row>
        <row r="17">
          <cell r="A17">
            <v>11</v>
          </cell>
          <cell r="B17" t="str">
            <v xml:space="preserve"> 남해고속</v>
          </cell>
        </row>
        <row r="18">
          <cell r="A18">
            <v>12</v>
          </cell>
          <cell r="B18" t="str">
            <v xml:space="preserve"> 당진선로</v>
          </cell>
          <cell r="C18" t="str">
            <v> </v>
          </cell>
        </row>
        <row r="19">
          <cell r="A19">
            <v>13</v>
          </cell>
          <cell r="B19" t="str">
            <v xml:space="preserve"> 대야도로</v>
          </cell>
          <cell r="C19" t="str">
            <v> </v>
          </cell>
        </row>
        <row r="20">
          <cell r="A20">
            <v>14</v>
          </cell>
          <cell r="B20" t="str">
            <v xml:space="preserve"> 대전도로</v>
          </cell>
          <cell r="C20" t="str">
            <v> </v>
          </cell>
        </row>
        <row r="21">
          <cell r="A21">
            <v>15</v>
          </cell>
          <cell r="B21" t="str">
            <v xml:space="preserve"> 분당도로</v>
          </cell>
          <cell r="C21" t="str">
            <v> </v>
          </cell>
        </row>
        <row r="22">
          <cell r="A22">
            <v>16</v>
          </cell>
          <cell r="B22" t="str">
            <v xml:space="preserve"> 분당철도</v>
          </cell>
          <cell r="C22" t="str">
            <v> </v>
          </cell>
        </row>
        <row r="23">
          <cell r="A23">
            <v>17</v>
          </cell>
          <cell r="B23" t="str">
            <v xml:space="preserve"> 삼성소각</v>
          </cell>
        </row>
        <row r="24">
          <cell r="A24">
            <v>18</v>
          </cell>
          <cell r="B24" t="str">
            <v xml:space="preserve"> 상모도로</v>
          </cell>
          <cell r="C24" t="str">
            <v> </v>
          </cell>
        </row>
        <row r="25">
          <cell r="A25">
            <v>19</v>
          </cell>
          <cell r="B25" t="str">
            <v xml:space="preserve"> 서라벌CC</v>
          </cell>
        </row>
        <row r="26">
          <cell r="A26">
            <v>20</v>
          </cell>
          <cell r="B26" t="str">
            <v xml:space="preserve"> 서부도로</v>
          </cell>
          <cell r="C26" t="str">
            <v> </v>
          </cell>
        </row>
        <row r="27">
          <cell r="A27">
            <v>21</v>
          </cell>
          <cell r="B27" t="str">
            <v xml:space="preserve"> 서산개발</v>
          </cell>
        </row>
        <row r="28">
          <cell r="A28">
            <v>22</v>
          </cell>
          <cell r="B28" t="str">
            <v xml:space="preserve"> 서울도로</v>
          </cell>
        </row>
        <row r="29">
          <cell r="A29">
            <v>23</v>
          </cell>
          <cell r="B29" t="str">
            <v xml:space="preserve"> 서해고속</v>
          </cell>
        </row>
        <row r="30">
          <cell r="A30">
            <v>24</v>
          </cell>
          <cell r="B30" t="str">
            <v xml:space="preserve"> 서해도로</v>
          </cell>
        </row>
        <row r="31">
          <cell r="A31">
            <v>25</v>
          </cell>
          <cell r="B31" t="str">
            <v xml:space="preserve"> 순환도로</v>
          </cell>
        </row>
        <row r="32">
          <cell r="A32">
            <v>26</v>
          </cell>
          <cell r="B32" t="str">
            <v xml:space="preserve"> 신공항</v>
          </cell>
        </row>
        <row r="33">
          <cell r="A33">
            <v>27</v>
          </cell>
          <cell r="B33" t="str">
            <v xml:space="preserve"> 영등택지</v>
          </cell>
        </row>
        <row r="34">
          <cell r="A34">
            <v>28</v>
          </cell>
          <cell r="B34" t="str">
            <v xml:space="preserve"> 옥산TL</v>
          </cell>
          <cell r="C34" t="str">
            <v> </v>
          </cell>
        </row>
        <row r="35">
          <cell r="A35">
            <v>29</v>
          </cell>
          <cell r="B35" t="str">
            <v xml:space="preserve"> 옥산도로</v>
          </cell>
        </row>
        <row r="36">
          <cell r="A36">
            <v>30</v>
          </cell>
          <cell r="B36" t="str">
            <v xml:space="preserve"> 외곽도로</v>
          </cell>
        </row>
        <row r="37">
          <cell r="A37">
            <v>31</v>
          </cell>
          <cell r="B37" t="str">
            <v xml:space="preserve"> 용평터널</v>
          </cell>
          <cell r="C37" t="str">
            <v> </v>
          </cell>
        </row>
        <row r="38">
          <cell r="A38">
            <v>32</v>
          </cell>
          <cell r="B38" t="str">
            <v xml:space="preserve"> 유수매립</v>
          </cell>
          <cell r="C38" t="str">
            <v> </v>
          </cell>
        </row>
        <row r="39">
          <cell r="A39">
            <v>33</v>
          </cell>
          <cell r="B39" t="str">
            <v xml:space="preserve"> 육육공단</v>
          </cell>
          <cell r="C39" t="str">
            <v> </v>
          </cell>
        </row>
        <row r="40">
          <cell r="A40">
            <v>34</v>
          </cell>
          <cell r="B40" t="str">
            <v xml:space="preserve"> 이리도로</v>
          </cell>
          <cell r="C40" t="str">
            <v> </v>
          </cell>
        </row>
        <row r="41">
          <cell r="A41">
            <v>35</v>
          </cell>
          <cell r="B41" t="str">
            <v xml:space="preserve"> 이화터널</v>
          </cell>
          <cell r="C41" t="str">
            <v> </v>
          </cell>
        </row>
        <row r="42">
          <cell r="A42">
            <v>36</v>
          </cell>
          <cell r="B42" t="str">
            <v xml:space="preserve"> 정수시설</v>
          </cell>
          <cell r="C42" t="str">
            <v> </v>
          </cell>
        </row>
        <row r="43">
          <cell r="A43">
            <v>37</v>
          </cell>
          <cell r="B43" t="str">
            <v xml:space="preserve"> 정포C.C</v>
          </cell>
          <cell r="C43" t="str">
            <v> </v>
          </cell>
        </row>
        <row r="44">
          <cell r="A44">
            <v>38</v>
          </cell>
          <cell r="B44" t="str">
            <v xml:space="preserve"> 제 2고속</v>
          </cell>
          <cell r="C44" t="str">
            <v> </v>
          </cell>
        </row>
        <row r="45">
          <cell r="A45">
            <v>39</v>
          </cell>
          <cell r="B45" t="str">
            <v xml:space="preserve"> 제7부두</v>
          </cell>
          <cell r="C45" t="str">
            <v> </v>
          </cell>
        </row>
        <row r="46">
          <cell r="A46">
            <v>40</v>
          </cell>
          <cell r="B46" t="str">
            <v xml:space="preserve"> 제천고속</v>
          </cell>
        </row>
        <row r="47">
          <cell r="A47">
            <v>41</v>
          </cell>
          <cell r="B47" t="str">
            <v xml:space="preserve"> 중부도로</v>
          </cell>
          <cell r="C47" t="str">
            <v> </v>
          </cell>
        </row>
        <row r="48">
          <cell r="A48">
            <v>42</v>
          </cell>
          <cell r="B48" t="str">
            <v xml:space="preserve"> 지하5호</v>
          </cell>
        </row>
        <row r="49">
          <cell r="A49">
            <v>43</v>
          </cell>
          <cell r="B49" t="str">
            <v xml:space="preserve"> 창원저수</v>
          </cell>
        </row>
        <row r="50">
          <cell r="A50">
            <v>44</v>
          </cell>
          <cell r="B50" t="str">
            <v xml:space="preserve"> 춘천저류</v>
          </cell>
        </row>
        <row r="51">
          <cell r="A51">
            <v>45</v>
          </cell>
          <cell r="B51" t="str">
            <v xml:space="preserve"> 충주저수</v>
          </cell>
        </row>
        <row r="52">
          <cell r="A52">
            <v>46</v>
          </cell>
          <cell r="B52" t="str">
            <v xml:space="preserve"> 회산교량</v>
          </cell>
        </row>
        <row r="53">
          <cell r="A53">
            <v>47</v>
          </cell>
          <cell r="B53" t="str">
            <v xml:space="preserve"> LNG시설</v>
          </cell>
          <cell r="C53">
            <v>1</v>
          </cell>
        </row>
        <row r="54">
          <cell r="A54">
            <v>48</v>
          </cell>
          <cell r="B54" t="str">
            <v xml:space="preserve"> 남원TL</v>
          </cell>
          <cell r="C54">
            <v>1</v>
          </cell>
        </row>
        <row r="55">
          <cell r="A55">
            <v>49</v>
          </cell>
          <cell r="B55" t="str">
            <v xml:space="preserve"> 식수개발</v>
          </cell>
          <cell r="C55">
            <v>1</v>
          </cell>
        </row>
        <row r="56">
          <cell r="A56">
            <v>50</v>
          </cell>
          <cell r="B56" t="str">
            <v xml:space="preserve"> 중부송유</v>
          </cell>
          <cell r="C56">
            <v>1</v>
          </cell>
        </row>
        <row r="57">
          <cell r="A57" t="str">
            <v> </v>
          </cell>
          <cell r="B57" t="str">
            <v xml:space="preserve"> 토목소계</v>
          </cell>
        </row>
        <row r="58">
          <cell r="A58">
            <v>51</v>
          </cell>
          <cell r="B58" t="str">
            <v xml:space="preserve"> 3M신축</v>
          </cell>
        </row>
        <row r="59">
          <cell r="A59">
            <v>52</v>
          </cell>
          <cell r="B59" t="str">
            <v xml:space="preserve"> B 빌딩</v>
          </cell>
        </row>
        <row r="60">
          <cell r="A60">
            <v>53</v>
          </cell>
          <cell r="B60" t="str">
            <v xml:space="preserve"> KL빌딩</v>
          </cell>
        </row>
        <row r="61">
          <cell r="A61">
            <v>54</v>
          </cell>
          <cell r="B61" t="str">
            <v xml:space="preserve"> OB5공장</v>
          </cell>
          <cell r="C61" t="str">
            <v> </v>
          </cell>
        </row>
        <row r="62">
          <cell r="A62">
            <v>55</v>
          </cell>
          <cell r="B62" t="str">
            <v xml:space="preserve"> OB기숙사</v>
          </cell>
        </row>
        <row r="63">
          <cell r="A63">
            <v>56</v>
          </cell>
          <cell r="B63" t="str">
            <v xml:space="preserve"> PC공장</v>
          </cell>
        </row>
        <row r="64">
          <cell r="A64">
            <v>57</v>
          </cell>
          <cell r="B64" t="str">
            <v xml:space="preserve"> 개발잡96</v>
          </cell>
        </row>
        <row r="65">
          <cell r="A65">
            <v>58</v>
          </cell>
          <cell r="B65" t="str">
            <v xml:space="preserve"> 경월공장</v>
          </cell>
          <cell r="C65" t="str">
            <v> </v>
          </cell>
        </row>
        <row r="66">
          <cell r="A66">
            <v>59</v>
          </cell>
          <cell r="B66" t="str">
            <v xml:space="preserve"> 계산APT</v>
          </cell>
          <cell r="C66" t="str">
            <v> </v>
          </cell>
        </row>
        <row r="67">
          <cell r="A67">
            <v>60</v>
          </cell>
          <cell r="B67" t="str">
            <v xml:space="preserve"> 공구상가</v>
          </cell>
        </row>
        <row r="68">
          <cell r="A68">
            <v>61</v>
          </cell>
          <cell r="B68" t="str">
            <v xml:space="preserve"> 공원시설</v>
          </cell>
        </row>
        <row r="69">
          <cell r="A69">
            <v>62</v>
          </cell>
          <cell r="B69" t="str">
            <v xml:space="preserve"> 광주통신</v>
          </cell>
        </row>
        <row r="70">
          <cell r="A70">
            <v>63</v>
          </cell>
          <cell r="B70" t="str">
            <v xml:space="preserve"> 구로개량</v>
          </cell>
        </row>
        <row r="71">
          <cell r="A71">
            <v>64</v>
          </cell>
          <cell r="B71" t="str">
            <v xml:space="preserve"> 구로복합</v>
          </cell>
        </row>
        <row r="72">
          <cell r="A72">
            <v>65</v>
          </cell>
          <cell r="B72" t="str">
            <v xml:space="preserve"> 남가좌-7</v>
          </cell>
        </row>
        <row r="73">
          <cell r="A73">
            <v>66</v>
          </cell>
          <cell r="B73" t="str">
            <v xml:space="preserve"> 남양APT</v>
          </cell>
          <cell r="C73" t="str">
            <v> </v>
          </cell>
        </row>
        <row r="74">
          <cell r="A74">
            <v>67</v>
          </cell>
          <cell r="B74" t="str">
            <v xml:space="preserve"> 농산신축</v>
          </cell>
          <cell r="C74" t="str">
            <v> </v>
          </cell>
        </row>
        <row r="75">
          <cell r="A75">
            <v>68</v>
          </cell>
          <cell r="B75" t="str">
            <v xml:space="preserve"> 답십리-9</v>
          </cell>
        </row>
        <row r="76">
          <cell r="A76">
            <v>69</v>
          </cell>
          <cell r="B76" t="str">
            <v xml:space="preserve"> 대구복합</v>
          </cell>
        </row>
        <row r="77">
          <cell r="A77">
            <v>70</v>
          </cell>
          <cell r="B77" t="str">
            <v xml:space="preserve"> 덕산호텔</v>
          </cell>
        </row>
        <row r="78">
          <cell r="A78">
            <v>71</v>
          </cell>
          <cell r="B78" t="str">
            <v xml:space="preserve"> 덕소APT</v>
          </cell>
        </row>
        <row r="79">
          <cell r="A79">
            <v>72</v>
          </cell>
          <cell r="B79" t="str">
            <v xml:space="preserve"> 두산타워</v>
          </cell>
          <cell r="C79" t="str">
            <v> </v>
          </cell>
        </row>
        <row r="80">
          <cell r="A80">
            <v>73</v>
          </cell>
          <cell r="B80" t="str">
            <v xml:space="preserve"> 로얄빌딩</v>
          </cell>
        </row>
        <row r="81">
          <cell r="A81">
            <v>74</v>
          </cell>
          <cell r="B81" t="str">
            <v xml:space="preserve"> 미래타워</v>
          </cell>
          <cell r="C81" t="str">
            <v> </v>
          </cell>
        </row>
        <row r="82">
          <cell r="A82">
            <v>75</v>
          </cell>
          <cell r="B82" t="str">
            <v xml:space="preserve"> 민속관</v>
          </cell>
          <cell r="C82" t="str">
            <v> </v>
          </cell>
        </row>
        <row r="83">
          <cell r="A83">
            <v>76</v>
          </cell>
          <cell r="B83" t="str">
            <v xml:space="preserve"> 봉천개량</v>
          </cell>
          <cell r="C83" t="str">
            <v> </v>
          </cell>
        </row>
        <row r="84">
          <cell r="A84">
            <v>77</v>
          </cell>
          <cell r="B84" t="str">
            <v xml:space="preserve"> 산본소각</v>
          </cell>
        </row>
        <row r="85">
          <cell r="A85">
            <v>78</v>
          </cell>
          <cell r="B85" t="str">
            <v xml:space="preserve"> 삼화공장</v>
          </cell>
          <cell r="C85" t="str">
            <v> </v>
          </cell>
        </row>
        <row r="86">
          <cell r="A86">
            <v>79</v>
          </cell>
          <cell r="B86" t="str">
            <v xml:space="preserve"> 서초빌딩</v>
          </cell>
        </row>
        <row r="87">
          <cell r="A87">
            <v>80</v>
          </cell>
          <cell r="B87" t="str">
            <v xml:space="preserve"> 석관APT</v>
          </cell>
          <cell r="C87" t="str">
            <v> </v>
          </cell>
        </row>
        <row r="88">
          <cell r="A88">
            <v>81</v>
          </cell>
          <cell r="B88" t="str">
            <v xml:space="preserve"> 선교센타</v>
          </cell>
        </row>
        <row r="89">
          <cell r="A89">
            <v>82</v>
          </cell>
          <cell r="B89" t="str">
            <v xml:space="preserve"> 성원APT</v>
          </cell>
        </row>
        <row r="90">
          <cell r="A90">
            <v>83</v>
          </cell>
          <cell r="B90" t="str">
            <v xml:space="preserve"> 소암빌딩</v>
          </cell>
        </row>
        <row r="91">
          <cell r="A91">
            <v>84</v>
          </cell>
          <cell r="B91" t="str">
            <v xml:space="preserve"> 신길역사</v>
          </cell>
        </row>
        <row r="92">
          <cell r="A92">
            <v>85</v>
          </cell>
          <cell r="B92" t="str">
            <v xml:space="preserve"> 신도리코</v>
          </cell>
        </row>
        <row r="93">
          <cell r="A93">
            <v>86</v>
          </cell>
          <cell r="B93" t="str">
            <v xml:space="preserve"> 신림복합</v>
          </cell>
        </row>
        <row r="94">
          <cell r="A94">
            <v>87</v>
          </cell>
          <cell r="B94" t="str">
            <v xml:space="preserve"> 신일APT</v>
          </cell>
          <cell r="C94" t="str">
            <v> </v>
          </cell>
        </row>
        <row r="95">
          <cell r="A95">
            <v>88</v>
          </cell>
          <cell r="B95" t="str">
            <v xml:space="preserve"> 신협빌딩</v>
          </cell>
          <cell r="C95" t="str">
            <v> </v>
          </cell>
        </row>
        <row r="96">
          <cell r="A96">
            <v>89</v>
          </cell>
          <cell r="B96" t="str">
            <v xml:space="preserve"> 아주공업</v>
          </cell>
        </row>
        <row r="97">
          <cell r="A97">
            <v>90</v>
          </cell>
          <cell r="B97" t="str">
            <v xml:space="preserve"> 아카데미</v>
          </cell>
        </row>
        <row r="98">
          <cell r="A98">
            <v>91</v>
          </cell>
          <cell r="B98" t="str">
            <v xml:space="preserve"> 아현APT</v>
          </cell>
        </row>
        <row r="99">
          <cell r="A99">
            <v>92</v>
          </cell>
          <cell r="B99" t="str">
            <v xml:space="preserve"> 에덴크럽</v>
          </cell>
        </row>
        <row r="100">
          <cell r="A100">
            <v>93</v>
          </cell>
          <cell r="B100" t="str">
            <v xml:space="preserve"> 역삼빌딩</v>
          </cell>
        </row>
        <row r="101">
          <cell r="A101">
            <v>94</v>
          </cell>
          <cell r="B101" t="str">
            <v xml:space="preserve"> 연강병원</v>
          </cell>
        </row>
        <row r="102">
          <cell r="A102">
            <v>95</v>
          </cell>
          <cell r="B102" t="str">
            <v xml:space="preserve"> 연강빌딩</v>
          </cell>
        </row>
        <row r="103">
          <cell r="A103">
            <v>96</v>
          </cell>
          <cell r="B103" t="str">
            <v xml:space="preserve"> 열병합</v>
          </cell>
          <cell r="C103" t="str">
            <v> </v>
          </cell>
        </row>
        <row r="104">
          <cell r="A104">
            <v>97</v>
          </cell>
          <cell r="B104" t="str">
            <v xml:space="preserve"> 오남APT</v>
          </cell>
        </row>
        <row r="105">
          <cell r="A105">
            <v>98</v>
          </cell>
          <cell r="B105" t="str">
            <v xml:space="preserve"> 오비집진</v>
          </cell>
          <cell r="C105" t="str">
            <v> </v>
          </cell>
        </row>
        <row r="106">
          <cell r="A106">
            <v>99</v>
          </cell>
          <cell r="B106" t="str">
            <v xml:space="preserve"> 옥수복합</v>
          </cell>
          <cell r="C106" t="str">
            <v> </v>
          </cell>
        </row>
        <row r="107">
          <cell r="A107">
            <v>100</v>
          </cell>
          <cell r="B107" t="str">
            <v xml:space="preserve"> 온천타워</v>
          </cell>
        </row>
        <row r="108">
          <cell r="A108">
            <v>101</v>
          </cell>
          <cell r="B108" t="str">
            <v xml:space="preserve"> 웅진인삼</v>
          </cell>
          <cell r="C108" t="str">
            <v> </v>
          </cell>
        </row>
        <row r="109">
          <cell r="A109">
            <v>102</v>
          </cell>
          <cell r="B109" t="str">
            <v xml:space="preserve"> 원동APT</v>
          </cell>
        </row>
        <row r="110">
          <cell r="A110">
            <v>103</v>
          </cell>
          <cell r="B110" t="str">
            <v xml:space="preserve"> 원미APT</v>
          </cell>
          <cell r="C110" t="str">
            <v> </v>
          </cell>
        </row>
        <row r="111">
          <cell r="A111">
            <v>104</v>
          </cell>
          <cell r="B111" t="str">
            <v xml:space="preserve"> 월곡개량</v>
          </cell>
          <cell r="C111" t="str">
            <v> </v>
          </cell>
        </row>
        <row r="112">
          <cell r="A112">
            <v>105</v>
          </cell>
          <cell r="B112" t="str">
            <v xml:space="preserve"> 음성소각</v>
          </cell>
          <cell r="C112" t="str">
            <v> </v>
          </cell>
        </row>
        <row r="113">
          <cell r="A113">
            <v>106</v>
          </cell>
          <cell r="B113" t="str">
            <v xml:space="preserve"> 익산신축</v>
          </cell>
          <cell r="C113" t="str">
            <v> </v>
          </cell>
        </row>
        <row r="114">
          <cell r="A114">
            <v>107</v>
          </cell>
          <cell r="B114" t="str">
            <v xml:space="preserve"> 일산매장</v>
          </cell>
          <cell r="C114" t="str">
            <v> </v>
          </cell>
        </row>
        <row r="115">
          <cell r="A115">
            <v>108</v>
          </cell>
          <cell r="B115" t="str">
            <v xml:space="preserve"> 잠실APT</v>
          </cell>
          <cell r="C115" t="str">
            <v> </v>
          </cell>
        </row>
        <row r="116">
          <cell r="A116">
            <v>109</v>
          </cell>
          <cell r="B116" t="str">
            <v xml:space="preserve"> 잠원APT</v>
          </cell>
          <cell r="C116" t="str">
            <v> </v>
          </cell>
        </row>
        <row r="117">
          <cell r="A117">
            <v>110</v>
          </cell>
          <cell r="B117" t="str">
            <v xml:space="preserve"> 장기신축</v>
          </cell>
          <cell r="C117" t="str">
            <v> </v>
          </cell>
        </row>
        <row r="118">
          <cell r="A118">
            <v>111</v>
          </cell>
          <cell r="B118" t="str">
            <v xml:space="preserve"> 장기은행</v>
          </cell>
        </row>
        <row r="119">
          <cell r="A119">
            <v>112</v>
          </cell>
          <cell r="B119" t="str">
            <v xml:space="preserve"> 장은카드</v>
          </cell>
        </row>
        <row r="120">
          <cell r="A120">
            <v>113</v>
          </cell>
          <cell r="B120" t="str">
            <v xml:space="preserve"> 전자공장</v>
          </cell>
          <cell r="C120" t="str">
            <v> </v>
          </cell>
        </row>
        <row r="121">
          <cell r="A121">
            <v>114</v>
          </cell>
          <cell r="B121" t="str">
            <v xml:space="preserve"> 전자구미</v>
          </cell>
        </row>
        <row r="122">
          <cell r="A122">
            <v>115</v>
          </cell>
          <cell r="B122" t="str">
            <v xml:space="preserve"> 전자신축</v>
          </cell>
          <cell r="C122" t="str">
            <v> </v>
          </cell>
        </row>
        <row r="123">
          <cell r="A123">
            <v>116</v>
          </cell>
          <cell r="B123" t="str">
            <v xml:space="preserve"> 전자연구</v>
          </cell>
        </row>
        <row r="124">
          <cell r="A124">
            <v>117</v>
          </cell>
          <cell r="B124" t="str">
            <v xml:space="preserve"> 정보센타</v>
          </cell>
        </row>
        <row r="125">
          <cell r="A125">
            <v>118</v>
          </cell>
          <cell r="B125" t="str">
            <v xml:space="preserve"> 종합식품</v>
          </cell>
        </row>
        <row r="126">
          <cell r="A126">
            <v>119</v>
          </cell>
          <cell r="B126" t="str">
            <v xml:space="preserve"> 주안APT</v>
          </cell>
          <cell r="C126" t="str">
            <v> </v>
          </cell>
        </row>
        <row r="127">
          <cell r="A127">
            <v>120</v>
          </cell>
          <cell r="B127" t="str">
            <v xml:space="preserve"> 중계상가</v>
          </cell>
        </row>
        <row r="128">
          <cell r="A128">
            <v>121</v>
          </cell>
          <cell r="B128" t="str">
            <v xml:space="preserve"> 진미빌딩</v>
          </cell>
        </row>
        <row r="129">
          <cell r="A129">
            <v>122</v>
          </cell>
          <cell r="B129" t="str">
            <v xml:space="preserve"> 진해증축</v>
          </cell>
        </row>
        <row r="130">
          <cell r="A130">
            <v>123</v>
          </cell>
          <cell r="B130" t="str">
            <v xml:space="preserve"> 천호물류</v>
          </cell>
          <cell r="C130" t="str">
            <v> </v>
          </cell>
        </row>
        <row r="131">
          <cell r="A131">
            <v>124</v>
          </cell>
          <cell r="B131" t="str">
            <v xml:space="preserve"> 천호복합</v>
          </cell>
        </row>
        <row r="132">
          <cell r="A132">
            <v>125</v>
          </cell>
          <cell r="B132" t="str">
            <v xml:space="preserve"> 청담빌라</v>
          </cell>
          <cell r="C132" t="str">
            <v> </v>
          </cell>
        </row>
        <row r="133">
          <cell r="A133">
            <v>126</v>
          </cell>
          <cell r="B133" t="str">
            <v xml:space="preserve"> 청주매장</v>
          </cell>
        </row>
        <row r="134">
          <cell r="A134">
            <v>127</v>
          </cell>
          <cell r="B134" t="str">
            <v xml:space="preserve"> 한국쉐링</v>
          </cell>
          <cell r="C134" t="str">
            <v> </v>
          </cell>
        </row>
        <row r="135">
          <cell r="A135">
            <v>128</v>
          </cell>
          <cell r="B135" t="str">
            <v xml:space="preserve"> 한국콘도</v>
          </cell>
        </row>
        <row r="136">
          <cell r="A136">
            <v>129</v>
          </cell>
          <cell r="B136" t="str">
            <v xml:space="preserve"> 한국통신</v>
          </cell>
        </row>
        <row r="137">
          <cell r="A137">
            <v>130</v>
          </cell>
          <cell r="B137" t="str">
            <v xml:space="preserve"> 해운APT</v>
          </cell>
          <cell r="C137" t="str">
            <v> </v>
          </cell>
        </row>
        <row r="138">
          <cell r="A138">
            <v>131</v>
          </cell>
          <cell r="B138" t="str">
            <v xml:space="preserve"> 행당APT</v>
          </cell>
          <cell r="C138" t="str">
            <v> </v>
          </cell>
        </row>
        <row r="139">
          <cell r="A139">
            <v>132</v>
          </cell>
          <cell r="B139" t="str">
            <v xml:space="preserve"> 홍은APT</v>
          </cell>
        </row>
        <row r="140">
          <cell r="A140">
            <v>133</v>
          </cell>
          <cell r="B140" t="str">
            <v xml:space="preserve"> 로옴증축</v>
          </cell>
          <cell r="C140">
            <v>1</v>
          </cell>
        </row>
        <row r="141">
          <cell r="A141">
            <v>134</v>
          </cell>
          <cell r="B141" t="str">
            <v xml:space="preserve"> 배합사료</v>
          </cell>
          <cell r="C141">
            <v>1</v>
          </cell>
        </row>
        <row r="142">
          <cell r="A142">
            <v>135</v>
          </cell>
          <cell r="B142" t="str">
            <v xml:space="preserve"> 신송복합</v>
          </cell>
          <cell r="C142">
            <v>1</v>
          </cell>
        </row>
        <row r="143">
          <cell r="A143">
            <v>136</v>
          </cell>
          <cell r="B143" t="str">
            <v xml:space="preserve"> 전자사옥</v>
          </cell>
          <cell r="C143">
            <v>1</v>
          </cell>
        </row>
        <row r="144">
          <cell r="A144">
            <v>137</v>
          </cell>
          <cell r="B144" t="str">
            <v xml:space="preserve"> 터미널</v>
          </cell>
          <cell r="C144">
            <v>1</v>
          </cell>
        </row>
        <row r="145">
          <cell r="A145" t="str">
            <v> </v>
          </cell>
          <cell r="B145" t="str">
            <v>건축소계</v>
          </cell>
          <cell r="C145" t="str">
            <v> </v>
          </cell>
        </row>
        <row r="146">
          <cell r="B146" t="str">
            <v>총   계</v>
          </cell>
        </row>
        <row r="147">
          <cell r="A147" t="str">
            <v> </v>
          </cell>
          <cell r="B147" t="str">
            <v> </v>
          </cell>
          <cell r="C147" t="str">
            <v> </v>
          </cell>
        </row>
        <row r="148">
          <cell r="A148" t="str">
            <v> </v>
          </cell>
          <cell r="B148" t="str">
            <v> </v>
          </cell>
          <cell r="C148" t="str">
            <v> </v>
          </cell>
        </row>
        <row r="149">
          <cell r="A149" t="str">
            <v> </v>
          </cell>
          <cell r="B149" t="str">
            <v> </v>
          </cell>
          <cell r="C149" t="str">
            <v> </v>
          </cell>
        </row>
        <row r="150">
          <cell r="A150" t="str">
            <v> </v>
          </cell>
          <cell r="B150" t="str">
            <v> </v>
          </cell>
          <cell r="C150" t="str">
            <v> </v>
          </cell>
        </row>
        <row r="151">
          <cell r="A151" t="str">
            <v> </v>
          </cell>
          <cell r="B151" t="str">
            <v> </v>
          </cell>
          <cell r="C151" t="str">
            <v> </v>
          </cell>
        </row>
        <row r="152">
          <cell r="A152" t="str">
            <v> </v>
          </cell>
          <cell r="B152" t="str">
            <v> </v>
          </cell>
          <cell r="C152" t="str">
            <v> </v>
          </cell>
        </row>
        <row r="153">
          <cell r="A153" t="str">
            <v> </v>
          </cell>
          <cell r="B153" t="str">
            <v> </v>
          </cell>
          <cell r="C153" t="str">
            <v> </v>
          </cell>
        </row>
        <row r="154">
          <cell r="A154" t="str">
            <v> </v>
          </cell>
          <cell r="B154" t="str">
            <v> </v>
          </cell>
          <cell r="C154" t="str">
            <v> </v>
          </cell>
        </row>
        <row r="155">
          <cell r="A155" t="str">
            <v> </v>
          </cell>
          <cell r="B155" t="str">
            <v> </v>
          </cell>
          <cell r="C155" t="str">
            <v> </v>
          </cell>
        </row>
        <row r="156">
          <cell r="A156" t="str">
            <v> </v>
          </cell>
          <cell r="B156" t="str">
            <v> </v>
          </cell>
          <cell r="C156" t="str">
            <v> </v>
          </cell>
        </row>
        <row r="157">
          <cell r="A157" t="str">
            <v> </v>
          </cell>
          <cell r="B157" t="str">
            <v> </v>
          </cell>
          <cell r="C157" t="str">
            <v> 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VXXXXX"/>
      <sheetName val="XXXX"/>
      <sheetName val="계정code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Sheet1"/>
      <sheetName val="24.보증금(전신전화가입권)"/>
    </sheetNames>
    <sheetDataSet>
      <sheetData sheetId="0" refreshError="1"/>
      <sheetData sheetId="1"/>
      <sheetData sheetId="2">
        <row r="2">
          <cell r="A2">
            <v>10</v>
          </cell>
          <cell r="C2" t="str">
            <v xml:space="preserve"> 자           산</v>
          </cell>
        </row>
        <row r="3">
          <cell r="A3">
            <v>11</v>
          </cell>
          <cell r="C3" t="str">
            <v>Ⅰ. 유   동    자   산</v>
          </cell>
        </row>
        <row r="4">
          <cell r="A4">
            <v>12</v>
          </cell>
          <cell r="C4" t="str">
            <v>(1) 당   좌    자   산</v>
          </cell>
        </row>
        <row r="5">
          <cell r="A5">
            <v>13</v>
          </cell>
          <cell r="C5" t="str">
            <v>(2) 재   고    자   산</v>
          </cell>
        </row>
        <row r="6">
          <cell r="A6">
            <v>21</v>
          </cell>
          <cell r="C6" t="str">
            <v>Ⅱ. 고   정    자   산</v>
          </cell>
        </row>
        <row r="7">
          <cell r="A7">
            <v>22</v>
          </cell>
          <cell r="C7" t="str">
            <v>(1) 투   자    자   산</v>
          </cell>
        </row>
        <row r="8">
          <cell r="A8">
            <v>23</v>
          </cell>
          <cell r="C8" t="str">
            <v>(2) 유   형    자   산</v>
          </cell>
        </row>
        <row r="9">
          <cell r="A9">
            <v>24</v>
          </cell>
          <cell r="C9" t="str">
            <v>(3) 무   형    자   산</v>
          </cell>
        </row>
        <row r="10">
          <cell r="A10">
            <v>25</v>
          </cell>
          <cell r="C10" t="str">
            <v>(4) 이   연    자   산</v>
          </cell>
        </row>
        <row r="11">
          <cell r="A11">
            <v>29</v>
          </cell>
          <cell r="C11" t="str">
            <v xml:space="preserve">  자   산   총   계</v>
          </cell>
        </row>
        <row r="12">
          <cell r="A12">
            <v>30</v>
          </cell>
          <cell r="C12" t="str">
            <v xml:space="preserve"> 부           채</v>
          </cell>
        </row>
        <row r="13">
          <cell r="A13">
            <v>31</v>
          </cell>
          <cell r="C13" t="str">
            <v>Ⅰ. 유   동    부   채</v>
          </cell>
        </row>
        <row r="14">
          <cell r="A14">
            <v>32</v>
          </cell>
          <cell r="C14" t="str">
            <v>Ⅱ. 고   정    부   채</v>
          </cell>
        </row>
        <row r="15">
          <cell r="A15">
            <v>39</v>
          </cell>
          <cell r="C15" t="str">
            <v xml:space="preserve">  부   채   총   계</v>
          </cell>
        </row>
        <row r="16">
          <cell r="A16">
            <v>40</v>
          </cell>
          <cell r="C16" t="str">
            <v xml:space="preserve"> 자           본</v>
          </cell>
        </row>
        <row r="17">
          <cell r="A17">
            <v>41</v>
          </cell>
          <cell r="C17" t="str">
            <v>Ⅰ. 자      본      금</v>
          </cell>
        </row>
        <row r="18">
          <cell r="A18">
            <v>42</v>
          </cell>
          <cell r="C18" t="str">
            <v>Ⅱ. 자  본  잉  여  금</v>
          </cell>
        </row>
        <row r="19">
          <cell r="C19" t="str">
            <v>(1) 자  본  준  비  금</v>
          </cell>
        </row>
        <row r="20">
          <cell r="C20" t="str">
            <v>(2) 재 평 가  적 립 금</v>
          </cell>
        </row>
        <row r="21">
          <cell r="A21">
            <v>43</v>
          </cell>
          <cell r="C21" t="str">
            <v>Ⅱ. 이  익  잉  여  금</v>
          </cell>
        </row>
        <row r="22">
          <cell r="A22">
            <v>48</v>
          </cell>
          <cell r="C22" t="str">
            <v xml:space="preserve">  자   본   총   계</v>
          </cell>
        </row>
        <row r="23">
          <cell r="A23">
            <v>49</v>
          </cell>
          <cell r="C23" t="str">
            <v xml:space="preserve">  부채 와 자본 총계</v>
          </cell>
        </row>
        <row r="26">
          <cell r="A26">
            <v>50</v>
          </cell>
          <cell r="C26" t="str">
            <v>Ⅰ. 매      출      액</v>
          </cell>
        </row>
        <row r="27">
          <cell r="A27">
            <v>51</v>
          </cell>
          <cell r="C27" t="str">
            <v>Ⅱ. 매   출    원   가</v>
          </cell>
        </row>
        <row r="28">
          <cell r="A28">
            <v>52</v>
          </cell>
          <cell r="C28" t="str">
            <v>Ⅲ. 매  출  총  이  익</v>
          </cell>
        </row>
        <row r="29">
          <cell r="A29">
            <v>53</v>
          </cell>
          <cell r="C29" t="str">
            <v>Ⅳ. 판매비 와 관 리 비</v>
          </cell>
        </row>
        <row r="30">
          <cell r="A30">
            <v>54</v>
          </cell>
          <cell r="C30" t="str">
            <v>Ⅴ. 영   업    이   익</v>
          </cell>
        </row>
        <row r="31">
          <cell r="A31">
            <v>55</v>
          </cell>
          <cell r="C31" t="str">
            <v>Ⅵ. 영  업  외  수  익</v>
          </cell>
        </row>
        <row r="32">
          <cell r="A32">
            <v>56</v>
          </cell>
          <cell r="C32" t="str">
            <v>Ⅶ. 영  업  외  비  용</v>
          </cell>
        </row>
        <row r="33">
          <cell r="A33">
            <v>57</v>
          </cell>
          <cell r="C33" t="str">
            <v>Ⅷ. 경   상    이   익</v>
          </cell>
        </row>
        <row r="34">
          <cell r="A34">
            <v>58</v>
          </cell>
          <cell r="C34" t="str">
            <v>Ⅸ. 특   별    이   익</v>
          </cell>
        </row>
        <row r="35">
          <cell r="A35">
            <v>59</v>
          </cell>
          <cell r="C35" t="str">
            <v>Ⅹ. 특   별    손   실</v>
          </cell>
        </row>
        <row r="36">
          <cell r="A36">
            <v>60</v>
          </cell>
          <cell r="C36" t="str">
            <v>ⅩⅠ.법인세비용차감전순이익</v>
          </cell>
        </row>
        <row r="37">
          <cell r="A37">
            <v>61</v>
          </cell>
          <cell r="C37" t="str">
            <v>ⅩⅡ.법  인  세  비 용</v>
          </cell>
        </row>
        <row r="38">
          <cell r="A38">
            <v>62</v>
          </cell>
          <cell r="C38" t="str">
            <v>ⅩⅢ.당  기  순  이 익</v>
          </cell>
        </row>
        <row r="40">
          <cell r="A40">
            <v>71</v>
          </cell>
          <cell r="C40" t="str">
            <v>Ⅰ. 재      료      비</v>
          </cell>
        </row>
        <row r="41">
          <cell r="A41">
            <v>72</v>
          </cell>
          <cell r="C41" t="str">
            <v>Ⅱ. 노      무      비</v>
          </cell>
        </row>
        <row r="42">
          <cell r="A42">
            <v>73</v>
          </cell>
          <cell r="C42" t="str">
            <v>Ⅲ. 경              비</v>
          </cell>
        </row>
        <row r="43">
          <cell r="A43">
            <v>74</v>
          </cell>
          <cell r="C43" t="str">
            <v>Ⅳ. 당기 총 제 조 비용</v>
          </cell>
        </row>
        <row r="44">
          <cell r="A44">
            <v>75</v>
          </cell>
          <cell r="C44" t="str">
            <v>Ⅴ. 기초 재 공 품 재고</v>
          </cell>
        </row>
        <row r="45">
          <cell r="A45">
            <v>76</v>
          </cell>
          <cell r="C45" t="str">
            <v>Ⅵ. 합              계</v>
          </cell>
        </row>
        <row r="46">
          <cell r="A46">
            <v>77</v>
          </cell>
          <cell r="C46" t="str">
            <v>Ⅶ. 기말 재 공 품 재고</v>
          </cell>
        </row>
        <row r="47">
          <cell r="A47">
            <v>78</v>
          </cell>
          <cell r="C47" t="str">
            <v>Ⅷ. 타  계  정  대  체</v>
          </cell>
        </row>
        <row r="48">
          <cell r="A48">
            <v>79</v>
          </cell>
          <cell r="C48" t="str">
            <v>Ⅸ. 당기 제품 제조원가</v>
          </cell>
        </row>
        <row r="49">
          <cell r="A49">
            <v>80</v>
          </cell>
          <cell r="C49" t="str">
            <v>Ⅹ. 타 계 정 으로 대체</v>
          </cell>
        </row>
        <row r="51">
          <cell r="A51">
            <v>81</v>
          </cell>
          <cell r="C51" t="str">
            <v>Ⅰ. 용              지</v>
          </cell>
        </row>
        <row r="52">
          <cell r="A52">
            <v>82</v>
          </cell>
          <cell r="C52" t="str">
            <v>Ⅱ. 재      료      비</v>
          </cell>
        </row>
        <row r="53">
          <cell r="A53">
            <v>83</v>
          </cell>
          <cell r="C53" t="str">
            <v>Ⅲ. 노      무      비</v>
          </cell>
        </row>
        <row r="54">
          <cell r="A54">
            <v>84</v>
          </cell>
          <cell r="C54" t="str">
            <v>Ⅳ. 외      주      비</v>
          </cell>
        </row>
        <row r="55">
          <cell r="A55">
            <v>85</v>
          </cell>
          <cell r="C55" t="str">
            <v>Ⅴ. 경              비</v>
          </cell>
        </row>
        <row r="56">
          <cell r="A56">
            <v>86</v>
          </cell>
          <cell r="C56" t="str">
            <v>Ⅵ. 당기 총 공사 원 가</v>
          </cell>
        </row>
        <row r="57">
          <cell r="A57">
            <v>87</v>
          </cell>
          <cell r="C57" t="str">
            <v>Ⅶ. 기초 미 완 성 주택</v>
          </cell>
        </row>
        <row r="58">
          <cell r="A58">
            <v>88</v>
          </cell>
          <cell r="C58" t="str">
            <v>Ⅷ. 타 계 정 에서 대체</v>
          </cell>
        </row>
        <row r="59">
          <cell r="A59">
            <v>89</v>
          </cell>
          <cell r="C59" t="str">
            <v xml:space="preserve">     합          계</v>
          </cell>
        </row>
        <row r="60">
          <cell r="A60">
            <v>90</v>
          </cell>
          <cell r="C60" t="str">
            <v>Ⅸ. 기말 미 완 성 주택</v>
          </cell>
        </row>
        <row r="61">
          <cell r="A61">
            <v>91</v>
          </cell>
          <cell r="C61" t="str">
            <v>Ⅹ. 타 계 정 으로 대체</v>
          </cell>
        </row>
        <row r="62">
          <cell r="A62">
            <v>92</v>
          </cell>
          <cell r="C62" t="str">
            <v>ⅩⅠ. 당기주택공사원가</v>
          </cell>
        </row>
        <row r="67">
          <cell r="C67" t="str">
            <v xml:space="preserve">  &lt;당 좌 자 산&gt;</v>
          </cell>
        </row>
        <row r="68">
          <cell r="A68">
            <v>100</v>
          </cell>
          <cell r="B68" t="str">
            <v> </v>
          </cell>
          <cell r="C68" t="str">
            <v>지              점</v>
          </cell>
        </row>
        <row r="69">
          <cell r="A69">
            <v>101</v>
          </cell>
          <cell r="C69" t="str">
            <v>현              금</v>
          </cell>
        </row>
        <row r="70">
          <cell r="A70">
            <v>102</v>
          </cell>
          <cell r="C70" t="str">
            <v>당   좌    예   금</v>
          </cell>
        </row>
        <row r="71">
          <cell r="A71">
            <v>103</v>
          </cell>
          <cell r="C71" t="str">
            <v>보   통    예   금</v>
          </cell>
        </row>
        <row r="72">
          <cell r="A72">
            <v>104</v>
          </cell>
          <cell r="C72" t="str">
            <v>제      예      금</v>
          </cell>
        </row>
        <row r="73">
          <cell r="A73">
            <v>105</v>
          </cell>
          <cell r="C73" t="str">
            <v>정   기    적   금</v>
          </cell>
        </row>
        <row r="74">
          <cell r="A74">
            <v>106</v>
          </cell>
          <cell r="C74" t="str">
            <v>별   단    예   금</v>
          </cell>
        </row>
        <row r="75">
          <cell r="A75">
            <v>107</v>
          </cell>
          <cell r="C75" t="str">
            <v>유   가    증   권</v>
          </cell>
        </row>
        <row r="76">
          <cell r="A76">
            <v>108</v>
          </cell>
          <cell r="C76" t="str">
            <v>선  급  법  인  세</v>
          </cell>
        </row>
        <row r="77">
          <cell r="A77">
            <v>109</v>
          </cell>
          <cell r="C77" t="str">
            <v>대  손  충  당  금</v>
          </cell>
        </row>
        <row r="78">
          <cell r="A78">
            <v>110</v>
          </cell>
          <cell r="C78" t="str">
            <v>받   을   어    음</v>
          </cell>
        </row>
        <row r="79">
          <cell r="A79">
            <v>111</v>
          </cell>
          <cell r="C79" t="str">
            <v>대  손  충  당  금</v>
          </cell>
        </row>
        <row r="80">
          <cell r="A80">
            <v>112</v>
          </cell>
          <cell r="C80" t="str">
            <v>미      수      금</v>
          </cell>
        </row>
        <row r="81">
          <cell r="A81">
            <v>113</v>
          </cell>
          <cell r="C81" t="str">
            <v>단  기  대  여  금</v>
          </cell>
        </row>
        <row r="82">
          <cell r="A82">
            <v>114</v>
          </cell>
          <cell r="C82" t="str">
            <v>미   수    수   익</v>
          </cell>
        </row>
        <row r="83">
          <cell r="A83">
            <v>115</v>
          </cell>
          <cell r="C83" t="str">
            <v>공  사  미  수  금</v>
          </cell>
        </row>
        <row r="84">
          <cell r="A84">
            <v>116</v>
          </cell>
          <cell r="C84" t="str">
            <v>대  손  충  당  금</v>
          </cell>
        </row>
        <row r="85">
          <cell r="A85">
            <v>117</v>
          </cell>
          <cell r="C85" t="str">
            <v>관계회사단기대여금</v>
          </cell>
        </row>
        <row r="86">
          <cell r="A86">
            <v>118</v>
          </cell>
          <cell r="C86" t="str">
            <v>주임종 단기 대여금</v>
          </cell>
        </row>
        <row r="87">
          <cell r="A87">
            <v>119</v>
          </cell>
          <cell r="C87" t="str">
            <v>선      급      금</v>
          </cell>
        </row>
        <row r="88">
          <cell r="A88">
            <v>120</v>
          </cell>
          <cell r="C88" t="str">
            <v>선   급    비   용</v>
          </cell>
        </row>
        <row r="89">
          <cell r="A89">
            <v>121</v>
          </cell>
          <cell r="C89" t="str">
            <v>가   지    급   금</v>
          </cell>
        </row>
        <row r="90">
          <cell r="A90">
            <v>122</v>
          </cell>
          <cell r="C90" t="str">
            <v>부 가 세  대 급 금</v>
          </cell>
        </row>
        <row r="91">
          <cell r="A91">
            <v>123</v>
          </cell>
          <cell r="C91" t="str">
            <v>선  급  법  인  세</v>
          </cell>
        </row>
        <row r="92">
          <cell r="A92">
            <v>124</v>
          </cell>
          <cell r="C92" t="str">
            <v>임원종업원단기채권</v>
          </cell>
        </row>
        <row r="93">
          <cell r="A93">
            <v>125</v>
          </cell>
          <cell r="C93" t="str">
            <v>전      도      금</v>
          </cell>
        </row>
        <row r="94">
          <cell r="A94">
            <v>126</v>
          </cell>
          <cell r="C94" t="str">
            <v>분  양  미  수  금</v>
          </cell>
        </row>
        <row r="95">
          <cell r="A95">
            <v>127</v>
          </cell>
          <cell r="C95" t="str">
            <v>어  음  대  여  금</v>
          </cell>
        </row>
        <row r="96">
          <cell r="A96">
            <v>128</v>
          </cell>
          <cell r="C96" t="str">
            <v>고용 보험 대 급 금</v>
          </cell>
        </row>
        <row r="97">
          <cell r="A97">
            <v>129</v>
          </cell>
          <cell r="C97" t="str">
            <v>현  금  과  예  금</v>
          </cell>
        </row>
        <row r="98">
          <cell r="A98">
            <v>130</v>
          </cell>
          <cell r="C98" t="str">
            <v>매   출    채   권</v>
          </cell>
        </row>
        <row r="100">
          <cell r="A100">
            <v>131</v>
          </cell>
          <cell r="C100" t="str">
            <v>완   성    주   택</v>
          </cell>
        </row>
        <row r="101">
          <cell r="A101">
            <v>132</v>
          </cell>
          <cell r="C101" t="str">
            <v>미  완  성  주  택</v>
          </cell>
        </row>
        <row r="102">
          <cell r="A102">
            <v>133</v>
          </cell>
          <cell r="C102" t="str">
            <v>용              지</v>
          </cell>
        </row>
        <row r="103">
          <cell r="A103">
            <v>134</v>
          </cell>
          <cell r="C103" t="str">
            <v>제              품</v>
          </cell>
        </row>
        <row r="104">
          <cell r="A104">
            <v>135</v>
          </cell>
          <cell r="C104" t="str">
            <v>재      공      품</v>
          </cell>
        </row>
        <row r="105">
          <cell r="A105">
            <v>136</v>
          </cell>
          <cell r="C105" t="str">
            <v>원      재      료</v>
          </cell>
        </row>
        <row r="106">
          <cell r="A106">
            <v>137</v>
          </cell>
          <cell r="C106" t="str">
            <v>부      재      료</v>
          </cell>
        </row>
        <row r="107">
          <cell r="A107">
            <v>138</v>
          </cell>
          <cell r="C107" t="str">
            <v>미      착      품</v>
          </cell>
        </row>
        <row r="108">
          <cell r="A108">
            <v>139</v>
          </cell>
          <cell r="C108" t="str">
            <v>가      설      재</v>
          </cell>
        </row>
        <row r="110">
          <cell r="A110">
            <v>141</v>
          </cell>
          <cell r="C110" t="str">
            <v>장  기  성  예  금</v>
          </cell>
        </row>
        <row r="111">
          <cell r="A111">
            <v>142</v>
          </cell>
          <cell r="C111" t="str">
            <v>특정 현금 과 예 금</v>
          </cell>
        </row>
        <row r="112">
          <cell r="A112">
            <v>143</v>
          </cell>
          <cell r="C112" t="str">
            <v>투 자  유 가 증 권</v>
          </cell>
        </row>
        <row r="113">
          <cell r="A113">
            <v>144</v>
          </cell>
          <cell r="C113" t="str">
            <v>장  기  대  여  금</v>
          </cell>
        </row>
        <row r="114">
          <cell r="A114">
            <v>145</v>
          </cell>
          <cell r="C114" t="str">
            <v>대  손  충  당  금</v>
          </cell>
        </row>
        <row r="115">
          <cell r="A115">
            <v>146</v>
          </cell>
          <cell r="C115" t="str">
            <v>출      자      금</v>
          </cell>
        </row>
        <row r="116">
          <cell r="A116">
            <v>147</v>
          </cell>
          <cell r="C116" t="str">
            <v>관계회사  출 자 금</v>
          </cell>
        </row>
        <row r="117">
          <cell r="A117">
            <v>148</v>
          </cell>
          <cell r="C117" t="str">
            <v>전신 전화 가 입 권</v>
          </cell>
        </row>
        <row r="118">
          <cell r="A118">
            <v>149</v>
          </cell>
          <cell r="C118" t="str">
            <v>임  차  보  증  금</v>
          </cell>
        </row>
        <row r="119">
          <cell r="A119">
            <v>150</v>
          </cell>
          <cell r="C119" t="str">
            <v>전      세      권</v>
          </cell>
        </row>
        <row r="120">
          <cell r="A120">
            <v>151</v>
          </cell>
          <cell r="C120" t="str">
            <v>단 퇴 보 험 예치금</v>
          </cell>
        </row>
        <row r="121">
          <cell r="A121">
            <v>152</v>
          </cell>
          <cell r="C121" t="str">
            <v>부   도    어   음</v>
          </cell>
        </row>
        <row r="122">
          <cell r="A122">
            <v>153</v>
          </cell>
          <cell r="C122" t="str">
            <v>회      원      권</v>
          </cell>
        </row>
        <row r="123">
          <cell r="A123">
            <v>154</v>
          </cell>
          <cell r="C123" t="str">
            <v>국 민 연 금 전환금</v>
          </cell>
        </row>
        <row r="124">
          <cell r="A124">
            <v>155</v>
          </cell>
          <cell r="C124" t="str">
            <v>예  치  보  증  금</v>
          </cell>
        </row>
        <row r="125">
          <cell r="A125">
            <v>156</v>
          </cell>
          <cell r="C125" t="str">
            <v>선급 기술 도 입 비</v>
          </cell>
        </row>
        <row r="126">
          <cell r="A126">
            <v>157</v>
          </cell>
          <cell r="C126" t="str">
            <v>선급 리스 부 대 비</v>
          </cell>
        </row>
        <row r="127">
          <cell r="A127">
            <v>158</v>
          </cell>
          <cell r="C127" t="str">
            <v>영  업  보  증  금</v>
          </cell>
        </row>
        <row r="128">
          <cell r="C128" t="str">
            <v>장기성 매 출 채 권</v>
          </cell>
        </row>
        <row r="129">
          <cell r="C129" t="str">
            <v>현재가치 할인 차금</v>
          </cell>
        </row>
        <row r="130">
          <cell r="C130" t="str">
            <v>대  손  충  당  금</v>
          </cell>
        </row>
        <row r="131">
          <cell r="C131" t="str">
            <v>투  자  부  동  산</v>
          </cell>
        </row>
        <row r="132">
          <cell r="C132" t="str">
            <v>보      증      금</v>
          </cell>
        </row>
        <row r="133">
          <cell r="A133">
            <v>159</v>
          </cell>
          <cell r="C133" t="str">
            <v>임      차      권</v>
          </cell>
        </row>
        <row r="135">
          <cell r="A135">
            <v>161</v>
          </cell>
          <cell r="C135" t="str">
            <v>토              지</v>
          </cell>
        </row>
        <row r="136">
          <cell r="A136">
            <v>162</v>
          </cell>
          <cell r="C136" t="str">
            <v>건              물</v>
          </cell>
        </row>
        <row r="137">
          <cell r="A137">
            <v>163</v>
          </cell>
          <cell r="C137" t="str">
            <v>감가 상각 누 계 액</v>
          </cell>
        </row>
        <row r="138">
          <cell r="A138">
            <v>164</v>
          </cell>
          <cell r="C138" t="str">
            <v>구      축      물</v>
          </cell>
        </row>
        <row r="139">
          <cell r="A139">
            <v>165</v>
          </cell>
          <cell r="C139" t="str">
            <v>감가 상각 누 계 액</v>
          </cell>
        </row>
        <row r="140">
          <cell r="A140">
            <v>166</v>
          </cell>
          <cell r="C140" t="str">
            <v>기   계    장   치</v>
          </cell>
        </row>
        <row r="141">
          <cell r="A141">
            <v>167</v>
          </cell>
          <cell r="C141" t="str">
            <v>감가 상각 누 계 액</v>
          </cell>
        </row>
        <row r="142">
          <cell r="A142">
            <v>168</v>
          </cell>
          <cell r="C142" t="str">
            <v>차  량  운  반  구</v>
          </cell>
        </row>
        <row r="143">
          <cell r="A143">
            <v>169</v>
          </cell>
          <cell r="C143" t="str">
            <v>감가 상각 누 계 액</v>
          </cell>
        </row>
        <row r="144">
          <cell r="A144">
            <v>170</v>
          </cell>
          <cell r="C144" t="str">
            <v>공  구  와  기  구</v>
          </cell>
        </row>
        <row r="145">
          <cell r="A145">
            <v>171</v>
          </cell>
          <cell r="C145" t="str">
            <v>감가 상각 누 계 액</v>
          </cell>
        </row>
        <row r="146">
          <cell r="A146">
            <v>172</v>
          </cell>
          <cell r="C146" t="str">
            <v>집   기    비   품</v>
          </cell>
        </row>
        <row r="147">
          <cell r="A147">
            <v>173</v>
          </cell>
          <cell r="C147" t="str">
            <v>감가 상각 누 계 액</v>
          </cell>
        </row>
        <row r="148">
          <cell r="A148">
            <v>174</v>
          </cell>
          <cell r="C148" t="str">
            <v>시   설    장   치</v>
          </cell>
        </row>
        <row r="149">
          <cell r="A149">
            <v>175</v>
          </cell>
          <cell r="C149" t="str">
            <v>감가 상각 누 계 액</v>
          </cell>
        </row>
        <row r="150">
          <cell r="A150">
            <v>178</v>
          </cell>
          <cell r="C150" t="str">
            <v>건   설    장   비</v>
          </cell>
        </row>
        <row r="151">
          <cell r="A151">
            <v>179</v>
          </cell>
          <cell r="C151" t="str">
            <v>감가 상각 누 계 액</v>
          </cell>
        </row>
        <row r="152">
          <cell r="C152" t="str">
            <v>건 물  부 속 설 비</v>
          </cell>
        </row>
        <row r="153">
          <cell r="C153" t="str">
            <v>건 설 중 인  자 산</v>
          </cell>
        </row>
        <row r="154">
          <cell r="A154">
            <v>176</v>
          </cell>
          <cell r="C154" t="str">
            <v>임대용 주 택 용 지</v>
          </cell>
        </row>
        <row r="155">
          <cell r="C155" t="str">
            <v>임대용 완 성 주 택</v>
          </cell>
        </row>
        <row r="156">
          <cell r="C156" t="str">
            <v>감가 상각 누 계 액</v>
          </cell>
        </row>
        <row r="157">
          <cell r="A157">
            <v>177</v>
          </cell>
          <cell r="C157" t="str">
            <v>임대용 미완성 주택</v>
          </cell>
        </row>
        <row r="158">
          <cell r="C158" t="str">
            <v>감가 상각 누 계 액</v>
          </cell>
        </row>
        <row r="161">
          <cell r="A161">
            <v>181</v>
          </cell>
          <cell r="C161" t="str">
            <v>영      업      권</v>
          </cell>
        </row>
        <row r="162">
          <cell r="A162">
            <v>182</v>
          </cell>
          <cell r="C162" t="str">
            <v>특      허      권</v>
          </cell>
        </row>
        <row r="163">
          <cell r="A163">
            <v>183</v>
          </cell>
          <cell r="C163" t="str">
            <v>상      표      권</v>
          </cell>
        </row>
        <row r="164">
          <cell r="A164">
            <v>184</v>
          </cell>
          <cell r="C164" t="str">
            <v>실  용  신  안  권</v>
          </cell>
        </row>
        <row r="165">
          <cell r="A165">
            <v>185</v>
          </cell>
          <cell r="C165" t="str">
            <v>의      장      권</v>
          </cell>
        </row>
        <row r="166">
          <cell r="A166">
            <v>186</v>
          </cell>
          <cell r="C166" t="str">
            <v>면      허      권</v>
          </cell>
        </row>
        <row r="167">
          <cell r="A167">
            <v>187</v>
          </cell>
          <cell r="C167" t="str">
            <v>광      업      권</v>
          </cell>
        </row>
        <row r="169">
          <cell r="A169">
            <v>191</v>
          </cell>
          <cell r="C169" t="str">
            <v>창      업      비</v>
          </cell>
        </row>
        <row r="170">
          <cell r="A170">
            <v>192</v>
          </cell>
          <cell r="C170" t="str">
            <v>개      업      비</v>
          </cell>
        </row>
        <row r="171">
          <cell r="A171">
            <v>193</v>
          </cell>
          <cell r="C171" t="str">
            <v>신  주  발  행  비</v>
          </cell>
        </row>
        <row r="172">
          <cell r="A172">
            <v>194</v>
          </cell>
          <cell r="C172" t="str">
            <v>사  채  발  행  비</v>
          </cell>
        </row>
        <row r="173">
          <cell r="A173">
            <v>195</v>
          </cell>
          <cell r="C173" t="str">
            <v>연  구  개  발  비</v>
          </cell>
        </row>
        <row r="174">
          <cell r="A174">
            <v>196</v>
          </cell>
          <cell r="C174" t="str">
            <v>환  율  조  정  차</v>
          </cell>
        </row>
        <row r="176">
          <cell r="A176">
            <v>201</v>
          </cell>
          <cell r="C176" t="str">
            <v>외  상  매  입  금</v>
          </cell>
        </row>
        <row r="177">
          <cell r="A177">
            <v>202</v>
          </cell>
          <cell r="C177" t="str">
            <v>지   급    어   음</v>
          </cell>
        </row>
        <row r="178">
          <cell r="A178">
            <v>203</v>
          </cell>
          <cell r="C178" t="str">
            <v>당   좌    차   월</v>
          </cell>
        </row>
        <row r="179">
          <cell r="A179">
            <v>204</v>
          </cell>
          <cell r="C179" t="str">
            <v>단  기  차  입  금</v>
          </cell>
        </row>
        <row r="180">
          <cell r="A180">
            <v>205</v>
          </cell>
          <cell r="C180" t="str">
            <v>미   지    급   금</v>
          </cell>
        </row>
        <row r="181">
          <cell r="A181">
            <v>206</v>
          </cell>
          <cell r="C181" t="str">
            <v>미  지  급  비  용</v>
          </cell>
        </row>
        <row r="182">
          <cell r="A182">
            <v>207</v>
          </cell>
          <cell r="C182" t="str">
            <v>예      수      금</v>
          </cell>
        </row>
        <row r="183">
          <cell r="A183">
            <v>208</v>
          </cell>
          <cell r="C183" t="str">
            <v>부 가 세  예 수 금</v>
          </cell>
        </row>
        <row r="184">
          <cell r="A184">
            <v>209</v>
          </cell>
          <cell r="C184" t="str">
            <v>가      수      금</v>
          </cell>
        </row>
        <row r="185">
          <cell r="A185">
            <v>210</v>
          </cell>
          <cell r="C185" t="str">
            <v>예  수  보  증  금</v>
          </cell>
        </row>
        <row r="186">
          <cell r="A186">
            <v>211</v>
          </cell>
          <cell r="C186" t="str">
            <v>선      수      금</v>
          </cell>
        </row>
        <row r="187">
          <cell r="A187">
            <v>212</v>
          </cell>
          <cell r="C187" t="str">
            <v>미 지 급  법 인 세</v>
          </cell>
        </row>
        <row r="188">
          <cell r="A188">
            <v>213</v>
          </cell>
          <cell r="C188" t="str">
            <v>선   수    수   익</v>
          </cell>
        </row>
        <row r="189">
          <cell r="A189">
            <v>214</v>
          </cell>
          <cell r="C189" t="str">
            <v>유 동 성 장기 부채</v>
          </cell>
        </row>
        <row r="190">
          <cell r="A190">
            <v>215</v>
          </cell>
          <cell r="C190" t="str">
            <v>미 지 급  배 당 금</v>
          </cell>
        </row>
        <row r="191">
          <cell r="A191">
            <v>216</v>
          </cell>
          <cell r="C191" t="str">
            <v>공  사  선  수  금</v>
          </cell>
        </row>
        <row r="192">
          <cell r="A192">
            <v>217</v>
          </cell>
          <cell r="C192" t="str">
            <v>주 임 종 단기 채무</v>
          </cell>
        </row>
        <row r="193">
          <cell r="A193">
            <v>218</v>
          </cell>
          <cell r="C193" t="str">
            <v xml:space="preserve">  관계회사단기차입금</v>
          </cell>
        </row>
        <row r="194">
          <cell r="A194">
            <v>219</v>
          </cell>
          <cell r="C194" t="str">
            <v>어  음  차  입  금</v>
          </cell>
        </row>
        <row r="195">
          <cell r="A195">
            <v>220</v>
          </cell>
          <cell r="B195" t="str">
            <v> </v>
          </cell>
          <cell r="C195" t="str">
            <v>수  입  보  증  금</v>
          </cell>
        </row>
        <row r="196">
          <cell r="A196">
            <v>221</v>
          </cell>
          <cell r="C196" t="str">
            <v>분  양  선  수  금</v>
          </cell>
        </row>
        <row r="197">
          <cell r="A197">
            <v>222</v>
          </cell>
          <cell r="C197" t="str">
            <v>임대상가 분양선수금</v>
          </cell>
        </row>
        <row r="198">
          <cell r="A198">
            <v>223</v>
          </cell>
          <cell r="C198" t="str">
            <v>사              채</v>
          </cell>
        </row>
        <row r="200">
          <cell r="A200">
            <v>231</v>
          </cell>
          <cell r="C200" t="str">
            <v>사              채</v>
          </cell>
        </row>
        <row r="201">
          <cell r="A201">
            <v>232</v>
          </cell>
          <cell r="C201" t="str">
            <v>사 채  발 행 차 금</v>
          </cell>
        </row>
        <row r="202">
          <cell r="A202">
            <v>233</v>
          </cell>
          <cell r="C202" t="str">
            <v>장  기  차  입  금</v>
          </cell>
        </row>
        <row r="203">
          <cell r="A203">
            <v>234</v>
          </cell>
          <cell r="C203" t="str">
            <v>외화 장기 차 입 금</v>
          </cell>
        </row>
        <row r="204">
          <cell r="A204">
            <v>235</v>
          </cell>
          <cell r="C204" t="str">
            <v>임  대  보  증  금</v>
          </cell>
        </row>
        <row r="205">
          <cell r="A205">
            <v>236</v>
          </cell>
          <cell r="C205" t="str">
            <v>퇴 직 급 여 충당금</v>
          </cell>
        </row>
        <row r="206">
          <cell r="A206">
            <v>237</v>
          </cell>
          <cell r="C206" t="str">
            <v>단체퇴직급여충당금</v>
          </cell>
        </row>
        <row r="207">
          <cell r="A207">
            <v>238</v>
          </cell>
          <cell r="C207" t="str">
            <v>장  기 미 지 급 금</v>
          </cell>
        </row>
        <row r="208">
          <cell r="A208">
            <v>239</v>
          </cell>
          <cell r="C208" t="str">
            <v>장 기 성 매입 채무</v>
          </cell>
        </row>
        <row r="209">
          <cell r="A209">
            <v>240</v>
          </cell>
          <cell r="C209" t="str">
            <v>현재가치 할인 차금</v>
          </cell>
        </row>
        <row r="210">
          <cell r="A210">
            <v>241</v>
          </cell>
          <cell r="C210" t="str">
            <v>주 임 종 장기차입금</v>
          </cell>
        </row>
        <row r="211">
          <cell r="A211">
            <v>242</v>
          </cell>
          <cell r="C211" t="str">
            <v>관계회사장기차입금</v>
          </cell>
        </row>
        <row r="216">
          <cell r="A216">
            <v>249</v>
          </cell>
          <cell r="C216" t="str">
            <v>환  율  조  정  대</v>
          </cell>
        </row>
        <row r="218">
          <cell r="A218">
            <v>251</v>
          </cell>
          <cell r="C218" t="str">
            <v>자      본      금</v>
          </cell>
        </row>
        <row r="219">
          <cell r="A219">
            <v>252</v>
          </cell>
          <cell r="C219" t="str">
            <v>보 통 주  자 본 금</v>
          </cell>
        </row>
        <row r="220">
          <cell r="A220">
            <v>253</v>
          </cell>
          <cell r="C220" t="str">
            <v>인      출      금</v>
          </cell>
        </row>
        <row r="222">
          <cell r="A222">
            <v>254</v>
          </cell>
          <cell r="C222" t="str">
            <v>주식 발행 초 과 금</v>
          </cell>
        </row>
        <row r="223">
          <cell r="A223">
            <v>255</v>
          </cell>
          <cell r="C223" t="str">
            <v>감   자    차   익</v>
          </cell>
        </row>
        <row r="224">
          <cell r="A224">
            <v>256</v>
          </cell>
          <cell r="C224" t="str">
            <v>합   병    차   익</v>
          </cell>
        </row>
        <row r="225">
          <cell r="A225">
            <v>257</v>
          </cell>
          <cell r="C225" t="str">
            <v>기타 자본 잉 여 금</v>
          </cell>
        </row>
        <row r="226">
          <cell r="A226">
            <v>258</v>
          </cell>
          <cell r="C226" t="str">
            <v xml:space="preserve">  국 고 보 조 금</v>
          </cell>
        </row>
        <row r="227">
          <cell r="A227">
            <v>259</v>
          </cell>
          <cell r="C227" t="str">
            <v xml:space="preserve">  공 사 부 담 금</v>
          </cell>
        </row>
        <row r="228">
          <cell r="A228">
            <v>260</v>
          </cell>
          <cell r="C228" t="str">
            <v xml:space="preserve">  보  험  차  익</v>
          </cell>
        </row>
        <row r="229">
          <cell r="A229">
            <v>261</v>
          </cell>
          <cell r="C229" t="str">
            <v xml:space="preserve">  자산 수증 이익</v>
          </cell>
        </row>
        <row r="230">
          <cell r="A230">
            <v>262</v>
          </cell>
          <cell r="C230" t="str">
            <v xml:space="preserve">  채무 면제 이익</v>
          </cell>
        </row>
        <row r="231">
          <cell r="A231">
            <v>263</v>
          </cell>
          <cell r="C231" t="str">
            <v xml:space="preserve">  재 평 가적립금</v>
          </cell>
        </row>
        <row r="234">
          <cell r="A234">
            <v>270</v>
          </cell>
          <cell r="C234" t="str">
            <v>이  익  준  비  금</v>
          </cell>
        </row>
        <row r="235">
          <cell r="A235">
            <v>271</v>
          </cell>
          <cell r="C235" t="str">
            <v>기업합리화 적립금</v>
          </cell>
        </row>
        <row r="236">
          <cell r="A236">
            <v>272</v>
          </cell>
          <cell r="C236" t="str">
            <v>재무구조개선적립금</v>
          </cell>
        </row>
        <row r="237">
          <cell r="A237">
            <v>273</v>
          </cell>
          <cell r="C237" t="str">
            <v>배      당      금</v>
          </cell>
        </row>
        <row r="238">
          <cell r="A238">
            <v>274</v>
          </cell>
        </row>
        <row r="239">
          <cell r="A239">
            <v>275</v>
          </cell>
        </row>
        <row r="240">
          <cell r="A240">
            <v>276</v>
          </cell>
          <cell r="C240" t="str">
            <v>임  의  적  립  금</v>
          </cell>
        </row>
        <row r="241">
          <cell r="A241">
            <v>277</v>
          </cell>
          <cell r="C241" t="str">
            <v xml:space="preserve">  중소기업투자준비금</v>
          </cell>
        </row>
        <row r="242">
          <cell r="A242">
            <v>278</v>
          </cell>
          <cell r="C242" t="str">
            <v xml:space="preserve">  기술개발준비금</v>
          </cell>
        </row>
        <row r="243">
          <cell r="A243">
            <v>279</v>
          </cell>
          <cell r="C243" t="str">
            <v xml:space="preserve">  기술개발적립금</v>
          </cell>
        </row>
        <row r="244">
          <cell r="A244">
            <v>280</v>
          </cell>
          <cell r="C244" t="str">
            <v>차기이월이익잉여금</v>
          </cell>
        </row>
        <row r="245">
          <cell r="A245">
            <v>281</v>
          </cell>
          <cell r="C245" t="str">
            <v>차기이월  결 손 금</v>
          </cell>
        </row>
        <row r="246">
          <cell r="A246">
            <v>282</v>
          </cell>
          <cell r="C246" t="str">
            <v>당  기  순  이  익</v>
          </cell>
        </row>
        <row r="247">
          <cell r="A247">
            <v>283</v>
          </cell>
          <cell r="C247" t="str">
            <v>당  기  순  손  실</v>
          </cell>
        </row>
        <row r="250">
          <cell r="A250">
            <v>300</v>
          </cell>
          <cell r="C250" t="str">
            <v xml:space="preserve">  &lt; 매  출  액 &gt;</v>
          </cell>
        </row>
        <row r="251">
          <cell r="A251">
            <v>301</v>
          </cell>
          <cell r="C251" t="str">
            <v>상   품    매   출</v>
          </cell>
        </row>
        <row r="252">
          <cell r="A252">
            <v>302</v>
          </cell>
          <cell r="C252" t="str">
            <v>제   품    매   출</v>
          </cell>
        </row>
        <row r="253">
          <cell r="A253">
            <v>303</v>
          </cell>
          <cell r="C253" t="str">
            <v>임  가  공  수  입</v>
          </cell>
        </row>
        <row r="254">
          <cell r="A254">
            <v>304</v>
          </cell>
          <cell r="C254" t="str">
            <v>용   역    수   입</v>
          </cell>
        </row>
        <row r="255">
          <cell r="A255">
            <v>305</v>
          </cell>
          <cell r="C255" t="str">
            <v>임  대  료  수  입</v>
          </cell>
        </row>
        <row r="256">
          <cell r="A256">
            <v>306</v>
          </cell>
          <cell r="C256" t="str">
            <v>수   출    매   출</v>
          </cell>
        </row>
        <row r="257">
          <cell r="A257">
            <v>307</v>
          </cell>
          <cell r="C257" t="str">
            <v xml:space="preserve">  공  사  수  입</v>
          </cell>
        </row>
        <row r="258">
          <cell r="A258">
            <v>308</v>
          </cell>
          <cell r="C258" t="str">
            <v xml:space="preserve">  제  품  수  출</v>
          </cell>
        </row>
        <row r="259">
          <cell r="A259">
            <v>310</v>
          </cell>
          <cell r="C259" t="str">
            <v>주 택  분 양 수 입</v>
          </cell>
        </row>
        <row r="260">
          <cell r="A260">
            <v>311</v>
          </cell>
          <cell r="C260" t="str">
            <v>관   리    수   입</v>
          </cell>
        </row>
        <row r="261">
          <cell r="A261">
            <v>312</v>
          </cell>
          <cell r="C261" t="str">
            <v>기 타  사 업 수 입</v>
          </cell>
        </row>
        <row r="263">
          <cell r="A263">
            <v>320</v>
          </cell>
          <cell r="C263" t="str">
            <v xml:space="preserve">  &lt; 매 출 원 가 &gt;</v>
          </cell>
        </row>
        <row r="264">
          <cell r="A264">
            <v>321</v>
          </cell>
          <cell r="C264" t="str">
            <v>상 품 매 출 원 가</v>
          </cell>
        </row>
        <row r="265">
          <cell r="A265">
            <v>322</v>
          </cell>
          <cell r="C265" t="str">
            <v>기초 상품 재고액</v>
          </cell>
        </row>
        <row r="266">
          <cell r="A266">
            <v>323</v>
          </cell>
          <cell r="C266" t="str">
            <v xml:space="preserve">  당기상품매입액</v>
          </cell>
        </row>
        <row r="267">
          <cell r="A267">
            <v>324</v>
          </cell>
          <cell r="C267" t="str">
            <v xml:space="preserve">  기말상품재고액</v>
          </cell>
        </row>
        <row r="268">
          <cell r="A268">
            <v>325</v>
          </cell>
          <cell r="C268" t="str">
            <v>제 품 매 출 원 가</v>
          </cell>
        </row>
        <row r="269">
          <cell r="A269">
            <v>326</v>
          </cell>
          <cell r="C269" t="str">
            <v xml:space="preserve">  기초제품재고액</v>
          </cell>
        </row>
        <row r="270">
          <cell r="A270">
            <v>327</v>
          </cell>
          <cell r="C270" t="str">
            <v xml:space="preserve">  당기제품제조원가</v>
          </cell>
        </row>
        <row r="271">
          <cell r="A271">
            <v>328</v>
          </cell>
          <cell r="C271" t="str">
            <v xml:space="preserve">  기말제품재고액</v>
          </cell>
        </row>
        <row r="272">
          <cell r="A272">
            <v>330</v>
          </cell>
          <cell r="C272" t="str">
            <v xml:space="preserve">  매 출 원 가</v>
          </cell>
        </row>
        <row r="273">
          <cell r="C273" t="str">
            <v xml:space="preserve">  공사시공원가</v>
          </cell>
        </row>
        <row r="274">
          <cell r="C274" t="str">
            <v xml:space="preserve">  제         조</v>
          </cell>
        </row>
        <row r="276">
          <cell r="A276">
            <v>331</v>
          </cell>
          <cell r="C276" t="str">
            <v>주 택  분 양 원 가</v>
          </cell>
        </row>
        <row r="277">
          <cell r="A277">
            <v>332</v>
          </cell>
          <cell r="C277" t="str">
            <v>기초 미분양 주 택</v>
          </cell>
        </row>
        <row r="278">
          <cell r="A278">
            <v>333</v>
          </cell>
          <cell r="C278" t="str">
            <v>당기 주택완성원가</v>
          </cell>
        </row>
        <row r="279">
          <cell r="A279">
            <v>334</v>
          </cell>
          <cell r="C279" t="str">
            <v>기말 미분양 주 택</v>
          </cell>
        </row>
        <row r="280">
          <cell r="A280">
            <v>335</v>
          </cell>
          <cell r="C280" t="str">
            <v>관   리    원   가</v>
          </cell>
        </row>
        <row r="281">
          <cell r="A281">
            <v>336</v>
          </cell>
          <cell r="C281" t="str">
            <v>기 타  사 업 원 가</v>
          </cell>
        </row>
        <row r="282">
          <cell r="A282">
            <v>337</v>
          </cell>
          <cell r="C282" t="str">
            <v>당기 주택공사원가</v>
          </cell>
        </row>
        <row r="287">
          <cell r="A287">
            <v>420</v>
          </cell>
          <cell r="C287" t="str">
            <v xml:space="preserve">  &lt; 판매관리비 &gt;</v>
          </cell>
        </row>
        <row r="288">
          <cell r="A288">
            <v>421</v>
          </cell>
          <cell r="C288" t="str">
            <v>임   원    급   여</v>
          </cell>
        </row>
        <row r="289">
          <cell r="A289">
            <v>422</v>
          </cell>
          <cell r="C289" t="str">
            <v>급              여</v>
          </cell>
        </row>
        <row r="290">
          <cell r="A290">
            <v>423</v>
          </cell>
          <cell r="C290" t="str">
            <v>제      수      당</v>
          </cell>
        </row>
        <row r="291">
          <cell r="A291">
            <v>424</v>
          </cell>
          <cell r="C291" t="str">
            <v>상      여      금</v>
          </cell>
        </row>
        <row r="292">
          <cell r="A292">
            <v>425</v>
          </cell>
          <cell r="C292" t="str">
            <v>잡              급</v>
          </cell>
        </row>
        <row r="293">
          <cell r="A293">
            <v>426</v>
          </cell>
          <cell r="C293" t="str">
            <v>퇴직급여충당금전입</v>
          </cell>
        </row>
        <row r="294">
          <cell r="A294">
            <v>427</v>
          </cell>
          <cell r="C294" t="str">
            <v>단퇴급여충당금전입</v>
          </cell>
        </row>
        <row r="295">
          <cell r="A295">
            <v>428</v>
          </cell>
          <cell r="C295" t="str">
            <v>퇴   직    급   여</v>
          </cell>
        </row>
        <row r="297">
          <cell r="A297">
            <v>441</v>
          </cell>
          <cell r="C297" t="str">
            <v>복  리  후  생  비</v>
          </cell>
        </row>
        <row r="298">
          <cell r="A298">
            <v>442</v>
          </cell>
          <cell r="C298" t="str">
            <v>여  비  교  통  비</v>
          </cell>
        </row>
        <row r="299">
          <cell r="A299">
            <v>443</v>
          </cell>
          <cell r="C299" t="str">
            <v>통      신      비</v>
          </cell>
        </row>
        <row r="300">
          <cell r="A300">
            <v>444</v>
          </cell>
          <cell r="C300" t="str">
            <v>수  도  광  열  비</v>
          </cell>
        </row>
        <row r="301">
          <cell r="A301">
            <v>445</v>
          </cell>
          <cell r="C301" t="str">
            <v>전      력      비</v>
          </cell>
        </row>
        <row r="302">
          <cell r="A302">
            <v>446</v>
          </cell>
          <cell r="C302" t="str">
            <v>세  금  과  공  과</v>
          </cell>
        </row>
        <row r="303">
          <cell r="A303">
            <v>447</v>
          </cell>
          <cell r="C303" t="str">
            <v>지  급  임  차  료</v>
          </cell>
        </row>
        <row r="304">
          <cell r="A304">
            <v>448</v>
          </cell>
          <cell r="C304" t="str">
            <v>관      리      비</v>
          </cell>
        </row>
        <row r="305">
          <cell r="A305">
            <v>449</v>
          </cell>
          <cell r="C305" t="str">
            <v>수      선      비</v>
          </cell>
        </row>
        <row r="306">
          <cell r="A306">
            <v>450</v>
          </cell>
          <cell r="C306" t="str">
            <v>보      험      료</v>
          </cell>
        </row>
        <row r="307">
          <cell r="A307">
            <v>451</v>
          </cell>
          <cell r="C307" t="str">
            <v>접      대      비</v>
          </cell>
        </row>
        <row r="308">
          <cell r="A308">
            <v>452</v>
          </cell>
          <cell r="C308" t="str">
            <v>기      밀      비</v>
          </cell>
        </row>
        <row r="309">
          <cell r="A309">
            <v>453</v>
          </cell>
          <cell r="C309" t="str">
            <v>광  고  선  전  비</v>
          </cell>
        </row>
        <row r="310">
          <cell r="A310">
            <v>454</v>
          </cell>
          <cell r="C310" t="str">
            <v>보      관      료</v>
          </cell>
        </row>
        <row r="311">
          <cell r="A311">
            <v>455</v>
          </cell>
          <cell r="C311" t="str">
            <v>차  량  유  지  비</v>
          </cell>
        </row>
        <row r="312">
          <cell r="A312">
            <v>456</v>
          </cell>
          <cell r="C312" t="str">
            <v>지  급  수  수  료</v>
          </cell>
        </row>
        <row r="313">
          <cell r="A313">
            <v>457</v>
          </cell>
          <cell r="C313" t="str">
            <v>소   모    품   비</v>
          </cell>
        </row>
        <row r="314">
          <cell r="A314">
            <v>458</v>
          </cell>
          <cell r="C314" t="str">
            <v>사  무  용  품  비</v>
          </cell>
        </row>
        <row r="315">
          <cell r="A315">
            <v>459</v>
          </cell>
          <cell r="C315" t="str">
            <v>도  서  인  쇄  비</v>
          </cell>
        </row>
        <row r="316">
          <cell r="A316">
            <v>460</v>
          </cell>
          <cell r="C316" t="str">
            <v>교  육  훈  련  비</v>
          </cell>
        </row>
        <row r="317">
          <cell r="A317">
            <v>461</v>
          </cell>
          <cell r="C317" t="str">
            <v>회      의      비</v>
          </cell>
        </row>
        <row r="318">
          <cell r="A318">
            <v>462</v>
          </cell>
          <cell r="C318" t="str">
            <v>운      반      비</v>
          </cell>
        </row>
        <row r="319">
          <cell r="A319">
            <v>463</v>
          </cell>
          <cell r="C319" t="str">
            <v>포      장      비</v>
          </cell>
        </row>
        <row r="320">
          <cell r="A320">
            <v>464</v>
          </cell>
          <cell r="C320" t="str">
            <v>보      상      비</v>
          </cell>
        </row>
        <row r="321">
          <cell r="A321">
            <v>465</v>
          </cell>
          <cell r="C321" t="str">
            <v>하  자  보  수  비</v>
          </cell>
        </row>
        <row r="322">
          <cell r="A322">
            <v>466</v>
          </cell>
          <cell r="C322" t="str">
            <v>판  매  수  수  료</v>
          </cell>
        </row>
        <row r="323">
          <cell r="A323">
            <v>467</v>
          </cell>
          <cell r="C323" t="str">
            <v>판  매  촉  진  비</v>
          </cell>
        </row>
        <row r="324">
          <cell r="A324">
            <v>468</v>
          </cell>
          <cell r="C324" t="str">
            <v>견      본      비</v>
          </cell>
        </row>
        <row r="325">
          <cell r="A325">
            <v>469</v>
          </cell>
          <cell r="C325" t="str">
            <v>숙      식      비</v>
          </cell>
        </row>
        <row r="326">
          <cell r="A326">
            <v>470</v>
          </cell>
          <cell r="C326" t="str">
            <v>창  고  유  지  비</v>
          </cell>
        </row>
        <row r="327">
          <cell r="A327">
            <v>471</v>
          </cell>
          <cell r="C327" t="str">
            <v>감  가  상  각  비</v>
          </cell>
        </row>
        <row r="328">
          <cell r="A328">
            <v>472</v>
          </cell>
          <cell r="C328" t="str">
            <v xml:space="preserve">대  손  상  각  비 </v>
          </cell>
        </row>
        <row r="329">
          <cell r="A329">
            <v>473</v>
          </cell>
          <cell r="C329" t="str">
            <v>대 손 충 당 금전입</v>
          </cell>
        </row>
        <row r="330">
          <cell r="A330">
            <v>474</v>
          </cell>
          <cell r="C330" t="str">
            <v>무 형  자 산 상 각</v>
          </cell>
        </row>
        <row r="331">
          <cell r="A331">
            <v>475</v>
          </cell>
          <cell r="C331" t="str">
            <v>영  업  권  상  각</v>
          </cell>
        </row>
        <row r="332">
          <cell r="A332">
            <v>476</v>
          </cell>
          <cell r="C332" t="str">
            <v xml:space="preserve">  안 전 관 리 비</v>
          </cell>
        </row>
        <row r="333">
          <cell r="A333">
            <v>477</v>
          </cell>
          <cell r="C333" t="str">
            <v>미분양 주택 관리비</v>
          </cell>
        </row>
        <row r="334">
          <cell r="A334">
            <v>478</v>
          </cell>
          <cell r="C334" t="str">
            <v xml:space="preserve">  선급리스부대비상각</v>
          </cell>
        </row>
        <row r="335">
          <cell r="A335">
            <v>479</v>
          </cell>
          <cell r="C335" t="str">
            <v>잡              비</v>
          </cell>
        </row>
        <row r="337">
          <cell r="A337">
            <v>500</v>
          </cell>
          <cell r="C337" t="str">
            <v xml:space="preserve">  &lt; 영업외수익 &gt;</v>
          </cell>
        </row>
        <row r="338">
          <cell r="A338">
            <v>501</v>
          </cell>
          <cell r="C338" t="str">
            <v>이   자    수   익</v>
          </cell>
        </row>
        <row r="339">
          <cell r="A339">
            <v>502</v>
          </cell>
          <cell r="C339" t="str">
            <v>배  당  금  수  익</v>
          </cell>
        </row>
        <row r="340">
          <cell r="A340">
            <v>503</v>
          </cell>
          <cell r="C340" t="str">
            <v>임      대      료</v>
          </cell>
        </row>
        <row r="341">
          <cell r="A341">
            <v>504</v>
          </cell>
          <cell r="C341" t="str">
            <v>유가증권 처분 이익</v>
          </cell>
        </row>
        <row r="342">
          <cell r="A342">
            <v>505</v>
          </cell>
          <cell r="C342" t="str">
            <v>유가증권 평가 이익</v>
          </cell>
        </row>
        <row r="343">
          <cell r="A343">
            <v>506</v>
          </cell>
          <cell r="C343" t="str">
            <v>매   입    할   인</v>
          </cell>
        </row>
        <row r="344">
          <cell r="A344">
            <v>507</v>
          </cell>
          <cell r="C344" t="str">
            <v>외   환    차   익</v>
          </cell>
        </row>
        <row r="345">
          <cell r="A345">
            <v>508</v>
          </cell>
          <cell r="C345" t="str">
            <v>외 화  환 산 이 익</v>
          </cell>
        </row>
        <row r="346">
          <cell r="A346">
            <v>509</v>
          </cell>
          <cell r="C346" t="str">
            <v>투자자산 처분 이익</v>
          </cell>
        </row>
        <row r="347">
          <cell r="A347">
            <v>510</v>
          </cell>
          <cell r="C347" t="str">
            <v>유형자산 처분 이익</v>
          </cell>
        </row>
        <row r="348">
          <cell r="A348">
            <v>511</v>
          </cell>
          <cell r="C348" t="str">
            <v>상각채권 추심 이익</v>
          </cell>
        </row>
        <row r="349">
          <cell r="A349">
            <v>512</v>
          </cell>
          <cell r="C349" t="str">
            <v>사 채  상 환 이 익</v>
          </cell>
        </row>
        <row r="350">
          <cell r="A350">
            <v>513</v>
          </cell>
          <cell r="C350" t="str">
            <v>환율 조정대  환 입</v>
          </cell>
        </row>
        <row r="351">
          <cell r="A351">
            <v>514</v>
          </cell>
          <cell r="C351" t="str">
            <v xml:space="preserve">  수 입 수 수 료</v>
          </cell>
        </row>
        <row r="352">
          <cell r="A352">
            <v>515</v>
          </cell>
          <cell r="C352" t="str">
            <v>연   체    이   자</v>
          </cell>
        </row>
        <row r="353">
          <cell r="A353">
            <v>516</v>
          </cell>
          <cell r="C353" t="str">
            <v>유 가 증 권  이 자</v>
          </cell>
        </row>
        <row r="354">
          <cell r="A354">
            <v>517</v>
          </cell>
          <cell r="C354" t="str">
            <v xml:space="preserve">  대손충당금환입</v>
          </cell>
        </row>
        <row r="355">
          <cell r="A355">
            <v>519</v>
          </cell>
          <cell r="C355" t="str">
            <v>잡      이      익</v>
          </cell>
        </row>
        <row r="357">
          <cell r="A357">
            <v>520</v>
          </cell>
          <cell r="C357" t="str">
            <v xml:space="preserve">  &lt; 영업외비용 &gt;</v>
          </cell>
        </row>
        <row r="358">
          <cell r="A358">
            <v>521</v>
          </cell>
          <cell r="C358" t="str">
            <v>이   자    비   용</v>
          </cell>
        </row>
        <row r="359">
          <cell r="A359">
            <v>522</v>
          </cell>
          <cell r="C359" t="str">
            <v>이 연 자 산 상각비</v>
          </cell>
        </row>
        <row r="360">
          <cell r="A360">
            <v>523</v>
          </cell>
          <cell r="C360" t="str">
            <v>기타의 대손 상각비</v>
          </cell>
        </row>
        <row r="361">
          <cell r="A361">
            <v>524</v>
          </cell>
          <cell r="C361" t="str">
            <v>유가증권 처분 손실</v>
          </cell>
        </row>
        <row r="362">
          <cell r="A362">
            <v>525</v>
          </cell>
          <cell r="C362" t="str">
            <v>유가증권 평가 손실</v>
          </cell>
        </row>
        <row r="363">
          <cell r="A363">
            <v>526</v>
          </cell>
          <cell r="C363" t="str">
            <v>재고자산 평가 손실</v>
          </cell>
        </row>
        <row r="364">
          <cell r="A364">
            <v>527</v>
          </cell>
          <cell r="C364" t="str">
            <v>매   출    할   인</v>
          </cell>
        </row>
        <row r="365">
          <cell r="A365">
            <v>528</v>
          </cell>
          <cell r="C365" t="str">
            <v>외   환    차   손</v>
          </cell>
        </row>
        <row r="366">
          <cell r="A366">
            <v>529</v>
          </cell>
          <cell r="C366" t="str">
            <v>외 화  환 산 손 실</v>
          </cell>
        </row>
        <row r="367">
          <cell r="A367">
            <v>530</v>
          </cell>
          <cell r="C367" t="str">
            <v>기      부      금</v>
          </cell>
        </row>
        <row r="368">
          <cell r="A368">
            <v>531</v>
          </cell>
          <cell r="C368" t="str">
            <v>투자자산 처분 손실</v>
          </cell>
        </row>
        <row r="369">
          <cell r="A369">
            <v>532</v>
          </cell>
          <cell r="C369" t="str">
            <v>유형자산 처분 손실</v>
          </cell>
        </row>
        <row r="370">
          <cell r="A370">
            <v>533</v>
          </cell>
          <cell r="C370" t="str">
            <v>사 채  상 환 손 실</v>
          </cell>
        </row>
        <row r="371">
          <cell r="A371">
            <v>534</v>
          </cell>
          <cell r="C371" t="str">
            <v>환율 조정차  상 각</v>
          </cell>
        </row>
        <row r="372">
          <cell r="A372">
            <v>535</v>
          </cell>
          <cell r="C372" t="str">
            <v>창  업  비  상  각</v>
          </cell>
        </row>
        <row r="373">
          <cell r="A373">
            <v>536</v>
          </cell>
          <cell r="C373" t="str">
            <v>연 구 개발비 상 각</v>
          </cell>
        </row>
        <row r="374">
          <cell r="A374">
            <v>537</v>
          </cell>
          <cell r="C374" t="str">
            <v>법 인 세  추 납 액</v>
          </cell>
        </row>
        <row r="375">
          <cell r="A375">
            <v>539</v>
          </cell>
          <cell r="C375" t="str">
            <v>잡      손      실</v>
          </cell>
        </row>
        <row r="377">
          <cell r="A377">
            <v>550</v>
          </cell>
          <cell r="C377" t="str">
            <v xml:space="preserve">  &lt;특 별 이 익&gt;</v>
          </cell>
        </row>
        <row r="378">
          <cell r="A378">
            <v>551</v>
          </cell>
          <cell r="C378" t="str">
            <v>자 산  수 증 이 익</v>
          </cell>
        </row>
        <row r="379">
          <cell r="A379">
            <v>552</v>
          </cell>
          <cell r="C379" t="str">
            <v>채 무  면 제 이 익</v>
          </cell>
        </row>
        <row r="380">
          <cell r="A380">
            <v>553</v>
          </cell>
          <cell r="C380" t="str">
            <v>보   험    차   익</v>
          </cell>
        </row>
        <row r="381">
          <cell r="A381">
            <v>554</v>
          </cell>
          <cell r="C381" t="str">
            <v>전기 오류 수정이익</v>
          </cell>
        </row>
        <row r="382">
          <cell r="A382">
            <v>555</v>
          </cell>
          <cell r="C382" t="str">
            <v xml:space="preserve">   중소투자준비금환입</v>
          </cell>
        </row>
        <row r="383">
          <cell r="A383">
            <v>556</v>
          </cell>
          <cell r="C383" t="str">
            <v xml:space="preserve">   기술개발준비금환입</v>
          </cell>
        </row>
        <row r="384">
          <cell r="A384">
            <v>557</v>
          </cell>
          <cell r="C384" t="str">
            <v xml:space="preserve">   해외시장개척준비금환입</v>
          </cell>
        </row>
        <row r="385">
          <cell r="A385">
            <v>558</v>
          </cell>
          <cell r="C385" t="str">
            <v xml:space="preserve">   지방이전준비금환입</v>
          </cell>
        </row>
        <row r="386">
          <cell r="A386">
            <v>559</v>
          </cell>
          <cell r="C386" t="str">
            <v xml:space="preserve">   수출손실준비금환입</v>
          </cell>
        </row>
        <row r="387">
          <cell r="A387">
            <v>560</v>
          </cell>
          <cell r="C387" t="str">
            <v xml:space="preserve">  퇴직급여충당금환입</v>
          </cell>
        </row>
        <row r="388">
          <cell r="A388">
            <v>561</v>
          </cell>
          <cell r="C388" t="str">
            <v>고정 자산 처분이익</v>
          </cell>
        </row>
        <row r="390">
          <cell r="A390">
            <v>570</v>
          </cell>
          <cell r="C390" t="str">
            <v xml:space="preserve">  &lt;특 별 손 실&gt;</v>
          </cell>
        </row>
        <row r="391">
          <cell r="A391">
            <v>571</v>
          </cell>
          <cell r="C391" t="str">
            <v>재   해    손   실</v>
          </cell>
        </row>
        <row r="392">
          <cell r="A392">
            <v>572</v>
          </cell>
          <cell r="C392" t="str">
            <v>전기 오류 수정손실</v>
          </cell>
        </row>
        <row r="393">
          <cell r="A393">
            <v>573</v>
          </cell>
          <cell r="C393" t="str">
            <v xml:space="preserve">   중소투자준비금전입액</v>
          </cell>
        </row>
        <row r="394">
          <cell r="A394">
            <v>574</v>
          </cell>
          <cell r="C394" t="str">
            <v xml:space="preserve">   기술개발준비금전입액</v>
          </cell>
        </row>
        <row r="395">
          <cell r="A395">
            <v>575</v>
          </cell>
          <cell r="C395" t="str">
            <v xml:space="preserve">   해외개척준비금전입액</v>
          </cell>
        </row>
        <row r="396">
          <cell r="A396">
            <v>576</v>
          </cell>
          <cell r="C396" t="str">
            <v xml:space="preserve">   지방이전준비금전입액</v>
          </cell>
        </row>
        <row r="397">
          <cell r="A397">
            <v>577</v>
          </cell>
          <cell r="C397" t="str">
            <v xml:space="preserve">   수출손실준비금전입액</v>
          </cell>
        </row>
        <row r="398">
          <cell r="A398">
            <v>578</v>
          </cell>
          <cell r="C398" t="str">
            <v xml:space="preserve">  특  별  상  각</v>
          </cell>
        </row>
        <row r="399">
          <cell r="A399">
            <v>579</v>
          </cell>
          <cell r="C399" t="str">
            <v>고정 자산 처분손실</v>
          </cell>
        </row>
        <row r="401">
          <cell r="A401">
            <v>590</v>
          </cell>
          <cell r="C401" t="str">
            <v>법  인  세  비  용</v>
          </cell>
        </row>
        <row r="404">
          <cell r="A404">
            <v>599</v>
          </cell>
          <cell r="C404" t="str">
            <v xml:space="preserve">  &lt;재   료  비&gt;</v>
          </cell>
        </row>
        <row r="405">
          <cell r="A405">
            <v>600</v>
          </cell>
          <cell r="C405" t="str">
            <v xml:space="preserve">  &lt;원 재 료 비 &gt;</v>
          </cell>
        </row>
        <row r="406">
          <cell r="A406">
            <v>601</v>
          </cell>
          <cell r="C406" t="str">
            <v>원    재   료   비</v>
          </cell>
        </row>
        <row r="407">
          <cell r="A407">
            <v>602</v>
          </cell>
          <cell r="C407" t="str">
            <v>기초 원 재 료 재고</v>
          </cell>
        </row>
        <row r="408">
          <cell r="A408">
            <v>603</v>
          </cell>
          <cell r="C408" t="str">
            <v>당기 원 재 료 매입</v>
          </cell>
        </row>
        <row r="409">
          <cell r="A409">
            <v>604</v>
          </cell>
          <cell r="C409" t="str">
            <v>기말 원 재 료 재고</v>
          </cell>
        </row>
        <row r="410">
          <cell r="A410">
            <v>605</v>
          </cell>
          <cell r="C410" t="str">
            <v>타  계  정  대  체</v>
          </cell>
        </row>
        <row r="412">
          <cell r="A412">
            <v>610</v>
          </cell>
          <cell r="C412" t="str">
            <v xml:space="preserve">  &lt;부 재 료 비 &gt;</v>
          </cell>
        </row>
        <row r="413">
          <cell r="A413">
            <v>611</v>
          </cell>
          <cell r="C413" t="str">
            <v>부    재   료   비</v>
          </cell>
        </row>
        <row r="414">
          <cell r="A414">
            <v>612</v>
          </cell>
          <cell r="C414" t="str">
            <v>기초 부 재 료 재고</v>
          </cell>
        </row>
        <row r="415">
          <cell r="A415">
            <v>613</v>
          </cell>
          <cell r="C415" t="str">
            <v>당기 부 재 료 매입</v>
          </cell>
        </row>
        <row r="416">
          <cell r="A416">
            <v>614</v>
          </cell>
          <cell r="C416" t="str">
            <v>기말 부 재 료 재고</v>
          </cell>
        </row>
        <row r="417">
          <cell r="A417">
            <v>615</v>
          </cell>
          <cell r="C417" t="str">
            <v>타  계  정  대  체</v>
          </cell>
        </row>
        <row r="420">
          <cell r="A420">
            <v>620</v>
          </cell>
          <cell r="C420" t="str">
            <v xml:space="preserve">  &lt; 노  무  비 &gt;</v>
          </cell>
        </row>
        <row r="421">
          <cell r="A421">
            <v>621</v>
          </cell>
          <cell r="C421" t="str">
            <v>급              여</v>
          </cell>
        </row>
        <row r="422">
          <cell r="A422">
            <v>622</v>
          </cell>
          <cell r="C422" t="str">
            <v>임              금</v>
          </cell>
        </row>
        <row r="423">
          <cell r="A423">
            <v>623</v>
          </cell>
          <cell r="C423" t="str">
            <v>제      수      당</v>
          </cell>
        </row>
        <row r="424">
          <cell r="A424">
            <v>624</v>
          </cell>
          <cell r="C424" t="str">
            <v>상      여      금</v>
          </cell>
        </row>
        <row r="425">
          <cell r="A425">
            <v>625</v>
          </cell>
          <cell r="C425" t="str">
            <v>잡              급</v>
          </cell>
        </row>
        <row r="426">
          <cell r="A426">
            <v>626</v>
          </cell>
          <cell r="C426" t="str">
            <v>퇴직급여충당금전입</v>
          </cell>
        </row>
        <row r="427">
          <cell r="A427">
            <v>627</v>
          </cell>
          <cell r="C427" t="str">
            <v>단퇴급여충당금전입</v>
          </cell>
        </row>
        <row r="428">
          <cell r="A428">
            <v>628</v>
          </cell>
          <cell r="C428" t="str">
            <v>퇴   직   급    여</v>
          </cell>
        </row>
        <row r="431">
          <cell r="A431">
            <v>629</v>
          </cell>
          <cell r="C431" t="str">
            <v xml:space="preserve">  &lt; 외  주   비 &gt;</v>
          </cell>
        </row>
        <row r="434">
          <cell r="A434">
            <v>630</v>
          </cell>
          <cell r="C434" t="str">
            <v xml:space="preserve">  &lt; 경       비 &gt;</v>
          </cell>
        </row>
        <row r="435">
          <cell r="A435">
            <v>631</v>
          </cell>
          <cell r="C435" t="str">
            <v>외  주  가  공  비</v>
          </cell>
        </row>
        <row r="436">
          <cell r="A436">
            <v>632</v>
          </cell>
          <cell r="C436" t="str">
            <v>전      력      비</v>
          </cell>
        </row>
        <row r="437">
          <cell r="A437">
            <v>633</v>
          </cell>
          <cell r="C437" t="str">
            <v>가  스  수  도  비</v>
          </cell>
        </row>
        <row r="438">
          <cell r="A438">
            <v>634</v>
          </cell>
          <cell r="C438" t="str">
            <v>연      료      비</v>
          </cell>
        </row>
        <row r="439">
          <cell r="A439">
            <v>635</v>
          </cell>
          <cell r="C439" t="str">
            <v xml:space="preserve">부    자   재   비 </v>
          </cell>
        </row>
        <row r="440">
          <cell r="A440">
            <v>636</v>
          </cell>
          <cell r="C440" t="str">
            <v>소  모  공  구  비</v>
          </cell>
        </row>
        <row r="442">
          <cell r="A442">
            <v>641</v>
          </cell>
          <cell r="C442" t="str">
            <v>복  리  후  생  비</v>
          </cell>
        </row>
        <row r="443">
          <cell r="A443">
            <v>642</v>
          </cell>
          <cell r="C443" t="str">
            <v>여  비  교  통  비</v>
          </cell>
        </row>
        <row r="444">
          <cell r="A444">
            <v>643</v>
          </cell>
          <cell r="C444" t="str">
            <v>통      신      비</v>
          </cell>
        </row>
        <row r="445">
          <cell r="A445">
            <v>644</v>
          </cell>
          <cell r="C445" t="str">
            <v>수  도  광  열  비</v>
          </cell>
        </row>
        <row r="446">
          <cell r="A446">
            <v>645</v>
          </cell>
          <cell r="C446" t="str">
            <v>전      력      비</v>
          </cell>
        </row>
        <row r="447">
          <cell r="A447">
            <v>646</v>
          </cell>
          <cell r="C447" t="str">
            <v>세  금  과  공  과</v>
          </cell>
        </row>
        <row r="448">
          <cell r="A448">
            <v>647</v>
          </cell>
          <cell r="C448" t="str">
            <v>지  급  임  차  료</v>
          </cell>
        </row>
        <row r="449">
          <cell r="A449">
            <v>648</v>
          </cell>
          <cell r="C449" t="str">
            <v>관      리      비</v>
          </cell>
        </row>
        <row r="450">
          <cell r="A450">
            <v>649</v>
          </cell>
          <cell r="C450" t="str">
            <v>수      선      비</v>
          </cell>
        </row>
        <row r="451">
          <cell r="A451">
            <v>650</v>
          </cell>
          <cell r="C451" t="str">
            <v>보      험      료</v>
          </cell>
        </row>
        <row r="452">
          <cell r="A452">
            <v>651</v>
          </cell>
          <cell r="C452" t="str">
            <v>접      대      비</v>
          </cell>
        </row>
        <row r="453">
          <cell r="A453">
            <v>652</v>
          </cell>
          <cell r="C453" t="str">
            <v>기      밀      비</v>
          </cell>
        </row>
        <row r="454">
          <cell r="A454">
            <v>653</v>
          </cell>
          <cell r="C454" t="str">
            <v>광  고  선  전  비</v>
          </cell>
        </row>
        <row r="455">
          <cell r="A455">
            <v>654</v>
          </cell>
          <cell r="C455" t="str">
            <v>보      관      료</v>
          </cell>
        </row>
        <row r="456">
          <cell r="A456">
            <v>655</v>
          </cell>
          <cell r="C456" t="str">
            <v>차  량  유  지  비</v>
          </cell>
        </row>
        <row r="457">
          <cell r="A457">
            <v>656</v>
          </cell>
          <cell r="C457" t="str">
            <v>지  급  수  수  료</v>
          </cell>
        </row>
        <row r="458">
          <cell r="A458">
            <v>657</v>
          </cell>
          <cell r="C458" t="str">
            <v>소   모    품   비</v>
          </cell>
        </row>
        <row r="459">
          <cell r="A459">
            <v>658</v>
          </cell>
          <cell r="C459" t="str">
            <v>사  무  용  품  비</v>
          </cell>
        </row>
        <row r="460">
          <cell r="A460">
            <v>659</v>
          </cell>
          <cell r="C460" t="str">
            <v>도  서  인  쇄  비</v>
          </cell>
        </row>
        <row r="461">
          <cell r="A461">
            <v>660</v>
          </cell>
          <cell r="C461" t="str">
            <v>교  육  훈  련  비</v>
          </cell>
        </row>
        <row r="462">
          <cell r="A462">
            <v>661</v>
          </cell>
          <cell r="C462" t="str">
            <v>회      의      비</v>
          </cell>
        </row>
        <row r="463">
          <cell r="A463">
            <v>662</v>
          </cell>
          <cell r="C463" t="str">
            <v>운      반      비</v>
          </cell>
        </row>
        <row r="464">
          <cell r="A464">
            <v>663</v>
          </cell>
          <cell r="C464" t="str">
            <v>포      장      비</v>
          </cell>
        </row>
        <row r="465">
          <cell r="A465">
            <v>664</v>
          </cell>
          <cell r="C465" t="str">
            <v>보      상      비</v>
          </cell>
        </row>
        <row r="466">
          <cell r="A466">
            <v>665</v>
          </cell>
          <cell r="C466" t="str">
            <v>하  자  보  수  비</v>
          </cell>
        </row>
        <row r="467">
          <cell r="A467">
            <v>666</v>
          </cell>
          <cell r="C467" t="str">
            <v>판  매  수  수  료</v>
          </cell>
        </row>
        <row r="468">
          <cell r="A468">
            <v>667</v>
          </cell>
          <cell r="C468" t="str">
            <v>판  매  촉  진  비</v>
          </cell>
        </row>
        <row r="469">
          <cell r="A469">
            <v>668</v>
          </cell>
          <cell r="C469" t="str">
            <v>견  본  주  택  비</v>
          </cell>
        </row>
        <row r="470">
          <cell r="A470">
            <v>669</v>
          </cell>
          <cell r="C470" t="str">
            <v>숙      식      비</v>
          </cell>
        </row>
        <row r="471">
          <cell r="A471">
            <v>670</v>
          </cell>
          <cell r="C471" t="str">
            <v>창  고  유  지  비</v>
          </cell>
        </row>
        <row r="472">
          <cell r="A472">
            <v>671</v>
          </cell>
          <cell r="C472" t="str">
            <v>감  가  상  각  비</v>
          </cell>
        </row>
        <row r="473">
          <cell r="A473">
            <v>672</v>
          </cell>
          <cell r="C473" t="str">
            <v xml:space="preserve">대  손  상  각  비 </v>
          </cell>
        </row>
        <row r="474">
          <cell r="A474">
            <v>673</v>
          </cell>
          <cell r="C474" t="str">
            <v>대 손 충 당 금전입</v>
          </cell>
        </row>
        <row r="475">
          <cell r="A475">
            <v>674</v>
          </cell>
          <cell r="C475" t="str">
            <v>무 형  자 산 상 각</v>
          </cell>
        </row>
        <row r="476">
          <cell r="A476">
            <v>675</v>
          </cell>
          <cell r="C476" t="str">
            <v>견      본      비</v>
          </cell>
        </row>
        <row r="477">
          <cell r="A477">
            <v>676</v>
          </cell>
          <cell r="C477" t="str">
            <v>안  전  관  리  비</v>
          </cell>
        </row>
        <row r="478">
          <cell r="A478">
            <v>677</v>
          </cell>
          <cell r="C478" t="str">
            <v>중  기  유  지  비</v>
          </cell>
        </row>
        <row r="479">
          <cell r="A479">
            <v>678</v>
          </cell>
          <cell r="C479" t="str">
            <v>중 장 비  임 차 료</v>
          </cell>
        </row>
        <row r="480">
          <cell r="A480">
            <v>679</v>
          </cell>
          <cell r="C480" t="str">
            <v>잡              비</v>
          </cell>
        </row>
        <row r="481">
          <cell r="A481">
            <v>680</v>
          </cell>
          <cell r="C481" t="str">
            <v>가   설    손   료</v>
          </cell>
        </row>
        <row r="482">
          <cell r="C482" t="str">
            <v> </v>
          </cell>
        </row>
        <row r="483">
          <cell r="C483" t="str">
            <v>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분석 요약"/>
      <sheetName val="Sheet2"/>
      <sheetName val="1. 제품별 영업이익"/>
      <sheetName val="2. 매출액 기준"/>
      <sheetName val="3. 영업이익률 기준"/>
      <sheetName val="제품별 분석 DATA"/>
      <sheetName val="Sheet1"/>
      <sheetName val="수입"/>
      <sheetName val="Revised PEGS98"/>
      <sheetName val="기초자료"/>
      <sheetName val="대차대조표"/>
      <sheetName val="손익계산서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I24">
            <v>5371680</v>
          </cell>
          <cell r="Q24">
            <v>0</v>
          </cell>
          <cell r="Z24">
            <v>6822893</v>
          </cell>
        </row>
        <row r="25">
          <cell r="I25">
            <v>216969</v>
          </cell>
          <cell r="Q25">
            <v>0</v>
          </cell>
          <cell r="Z25">
            <v>347297748</v>
          </cell>
        </row>
        <row r="26">
          <cell r="I26">
            <v>362580</v>
          </cell>
          <cell r="Q26">
            <v>0</v>
          </cell>
          <cell r="Z26">
            <v>389215246</v>
          </cell>
        </row>
        <row r="27">
          <cell r="I27">
            <v>10838552</v>
          </cell>
          <cell r="Q27">
            <v>520869</v>
          </cell>
          <cell r="Z27">
            <v>7834524</v>
          </cell>
        </row>
        <row r="28">
          <cell r="I28">
            <v>0</v>
          </cell>
          <cell r="Q28">
            <v>0</v>
          </cell>
          <cell r="Z28">
            <v>5517420139</v>
          </cell>
        </row>
        <row r="29">
          <cell r="I29">
            <v>10838552</v>
          </cell>
          <cell r="Q29">
            <v>520869</v>
          </cell>
          <cell r="Z29">
            <v>5525254663</v>
          </cell>
        </row>
        <row r="30">
          <cell r="I30">
            <v>3439707</v>
          </cell>
          <cell r="Q30">
            <v>175650</v>
          </cell>
          <cell r="Z30">
            <v>1072543096</v>
          </cell>
        </row>
        <row r="31">
          <cell r="I31">
            <v>0</v>
          </cell>
          <cell r="Q31">
            <v>0</v>
          </cell>
          <cell r="Z31">
            <v>894417</v>
          </cell>
        </row>
        <row r="32">
          <cell r="I32">
            <v>0</v>
          </cell>
          <cell r="Q32">
            <v>6188965</v>
          </cell>
          <cell r="Z32">
            <v>27886870</v>
          </cell>
        </row>
        <row r="33">
          <cell r="I33">
            <v>5645143</v>
          </cell>
          <cell r="Q33">
            <v>337726402</v>
          </cell>
          <cell r="Z33">
            <v>6885253224</v>
          </cell>
        </row>
        <row r="34">
          <cell r="I34">
            <v>0</v>
          </cell>
          <cell r="Q34">
            <v>0</v>
          </cell>
          <cell r="Z34">
            <v>111992856</v>
          </cell>
        </row>
        <row r="35">
          <cell r="I35">
            <v>5735246</v>
          </cell>
          <cell r="Q35">
            <v>703043435</v>
          </cell>
          <cell r="Z35">
            <v>8829925380</v>
          </cell>
        </row>
        <row r="36">
          <cell r="I36">
            <v>6483618</v>
          </cell>
          <cell r="Q36">
            <v>30422000</v>
          </cell>
          <cell r="Z36">
            <v>5064604694</v>
          </cell>
        </row>
        <row r="37">
          <cell r="I37">
            <v>388738</v>
          </cell>
          <cell r="Q37">
            <v>19500</v>
          </cell>
          <cell r="Z37">
            <v>302255300</v>
          </cell>
        </row>
        <row r="38">
          <cell r="I38">
            <v>0</v>
          </cell>
          <cell r="Q38">
            <v>68207360</v>
          </cell>
          <cell r="Z38">
            <v>1310108800</v>
          </cell>
        </row>
        <row r="39">
          <cell r="I39">
            <v>18557014</v>
          </cell>
          <cell r="Q39">
            <v>0</v>
          </cell>
          <cell r="Z39">
            <v>612861551</v>
          </cell>
        </row>
        <row r="40">
          <cell r="I40">
            <v>0</v>
          </cell>
          <cell r="Q40">
            <v>0</v>
          </cell>
          <cell r="Z40">
            <v>128150692</v>
          </cell>
        </row>
        <row r="41">
          <cell r="I41">
            <v>2833805</v>
          </cell>
          <cell r="Q41">
            <v>28061600</v>
          </cell>
          <cell r="Z41">
            <v>321017120</v>
          </cell>
        </row>
        <row r="42">
          <cell r="I42">
            <v>0</v>
          </cell>
          <cell r="Q42">
            <v>756391000</v>
          </cell>
          <cell r="Z42">
            <v>10484764800</v>
          </cell>
        </row>
        <row r="43">
          <cell r="I43">
            <v>1445993</v>
          </cell>
          <cell r="Q43">
            <v>153218</v>
          </cell>
          <cell r="Z43">
            <v>451130304</v>
          </cell>
        </row>
        <row r="44">
          <cell r="I44">
            <v>35320272</v>
          </cell>
          <cell r="Q44">
            <v>2580000</v>
          </cell>
          <cell r="Z44">
            <v>71545017356</v>
          </cell>
        </row>
        <row r="45">
          <cell r="I45">
            <v>0</v>
          </cell>
          <cell r="Q45">
            <v>0</v>
          </cell>
          <cell r="Z45">
            <v>197958089</v>
          </cell>
        </row>
        <row r="46">
          <cell r="I46">
            <v>0</v>
          </cell>
          <cell r="Q46">
            <v>0</v>
          </cell>
          <cell r="Z46">
            <v>-37795709</v>
          </cell>
        </row>
        <row r="47">
          <cell r="I47">
            <v>0</v>
          </cell>
          <cell r="Q47">
            <v>0</v>
          </cell>
          <cell r="Z47">
            <v>-19752965</v>
          </cell>
        </row>
        <row r="48">
          <cell r="I48">
            <v>0</v>
          </cell>
          <cell r="Q48">
            <v>0</v>
          </cell>
          <cell r="Z48">
            <v>-3591285</v>
          </cell>
        </row>
        <row r="49">
          <cell r="I49">
            <v>0</v>
          </cell>
          <cell r="Q49">
            <v>0</v>
          </cell>
          <cell r="Z49">
            <v>1728240114</v>
          </cell>
        </row>
        <row r="50">
          <cell r="I50">
            <v>0</v>
          </cell>
          <cell r="Q50">
            <v>0</v>
          </cell>
          <cell r="Z50">
            <v>37566267</v>
          </cell>
        </row>
        <row r="51">
          <cell r="I51">
            <v>0</v>
          </cell>
          <cell r="Q51">
            <v>0</v>
          </cell>
          <cell r="Z51">
            <v>456037340</v>
          </cell>
        </row>
        <row r="52">
          <cell r="I52">
            <v>147524</v>
          </cell>
          <cell r="Q52">
            <v>672980</v>
          </cell>
          <cell r="Z52">
            <v>1750356239</v>
          </cell>
        </row>
        <row r="53">
          <cell r="I53">
            <v>1398339</v>
          </cell>
          <cell r="Q53">
            <v>38100</v>
          </cell>
          <cell r="Z53">
            <v>676990337</v>
          </cell>
        </row>
        <row r="54">
          <cell r="I54">
            <v>2318958</v>
          </cell>
          <cell r="Q54">
            <v>815100</v>
          </cell>
          <cell r="Z54">
            <v>1554940512</v>
          </cell>
        </row>
        <row r="55">
          <cell r="I55">
            <v>1006761</v>
          </cell>
          <cell r="Q55">
            <v>26670</v>
          </cell>
          <cell r="Z55">
            <v>614345</v>
          </cell>
        </row>
        <row r="56">
          <cell r="I56">
            <v>40787</v>
          </cell>
          <cell r="Q56">
            <v>2850</v>
          </cell>
          <cell r="Z56">
            <v>37990</v>
          </cell>
        </row>
        <row r="58">
          <cell r="I58">
            <v>1143944</v>
          </cell>
          <cell r="Q58">
            <v>0</v>
          </cell>
          <cell r="Z58">
            <v>465582960</v>
          </cell>
        </row>
        <row r="59">
          <cell r="I59">
            <v>119416</v>
          </cell>
          <cell r="Q59">
            <v>0</v>
          </cell>
          <cell r="Z59">
            <v>107544391</v>
          </cell>
        </row>
        <row r="60">
          <cell r="I60">
            <v>1100169</v>
          </cell>
          <cell r="Q60">
            <v>0</v>
          </cell>
          <cell r="Z60">
            <v>495589337</v>
          </cell>
        </row>
        <row r="61">
          <cell r="I61">
            <v>2270045</v>
          </cell>
          <cell r="Q61">
            <v>0</v>
          </cell>
          <cell r="Z61">
            <v>35338116</v>
          </cell>
        </row>
        <row r="62">
          <cell r="I62">
            <v>11597919</v>
          </cell>
          <cell r="Q62">
            <v>126643680</v>
          </cell>
          <cell r="Z62">
            <v>1475960080</v>
          </cell>
        </row>
        <row r="63">
          <cell r="I63">
            <v>0</v>
          </cell>
          <cell r="Q63">
            <v>0</v>
          </cell>
          <cell r="Z63">
            <v>174121836</v>
          </cell>
        </row>
        <row r="64">
          <cell r="I64">
            <v>0</v>
          </cell>
          <cell r="Q64">
            <v>120389330</v>
          </cell>
          <cell r="Z64">
            <v>1728621620</v>
          </cell>
        </row>
        <row r="65">
          <cell r="I65">
            <v>22557756</v>
          </cell>
          <cell r="Q65">
            <v>0</v>
          </cell>
          <cell r="Z65">
            <v>4706247450</v>
          </cell>
        </row>
        <row r="66">
          <cell r="I66">
            <v>0</v>
          </cell>
          <cell r="Q66">
            <v>0</v>
          </cell>
          <cell r="Z66">
            <v>27132509</v>
          </cell>
        </row>
        <row r="68">
          <cell r="I68">
            <v>0</v>
          </cell>
          <cell r="Q68">
            <v>0</v>
          </cell>
          <cell r="Z68">
            <v>-170187</v>
          </cell>
        </row>
        <row r="69">
          <cell r="I69">
            <v>662998</v>
          </cell>
          <cell r="Q69">
            <v>12000</v>
          </cell>
          <cell r="Z69">
            <v>398004371</v>
          </cell>
        </row>
        <row r="70">
          <cell r="I70">
            <v>661584</v>
          </cell>
          <cell r="Q70">
            <v>0</v>
          </cell>
          <cell r="Z70">
            <v>43106486</v>
          </cell>
        </row>
        <row r="71">
          <cell r="I71">
            <v>1316127</v>
          </cell>
          <cell r="Q71">
            <v>8937000</v>
          </cell>
          <cell r="Z71">
            <v>124846450</v>
          </cell>
        </row>
        <row r="72">
          <cell r="I72">
            <v>14952916</v>
          </cell>
          <cell r="Q72">
            <v>0</v>
          </cell>
          <cell r="Z72">
            <v>790063928</v>
          </cell>
        </row>
        <row r="73">
          <cell r="I73">
            <v>269586</v>
          </cell>
          <cell r="Q73">
            <v>0</v>
          </cell>
          <cell r="Z73">
            <v>748586202</v>
          </cell>
        </row>
        <row r="74">
          <cell r="I74">
            <v>11345143</v>
          </cell>
          <cell r="Q74">
            <v>51040540</v>
          </cell>
          <cell r="Z74">
            <v>692316810</v>
          </cell>
        </row>
        <row r="75">
          <cell r="I75">
            <v>15045892</v>
          </cell>
          <cell r="Q75">
            <v>0</v>
          </cell>
          <cell r="Z75">
            <v>42923927</v>
          </cell>
        </row>
        <row r="76">
          <cell r="I76">
            <v>1480810</v>
          </cell>
          <cell r="Q76">
            <v>8459450</v>
          </cell>
          <cell r="Z76">
            <v>124032646</v>
          </cell>
        </row>
        <row r="77">
          <cell r="I77">
            <v>13844507</v>
          </cell>
          <cell r="Q77">
            <v>0</v>
          </cell>
          <cell r="Z77">
            <v>704686101</v>
          </cell>
        </row>
        <row r="78">
          <cell r="I78">
            <v>1884039</v>
          </cell>
          <cell r="Q78">
            <v>0</v>
          </cell>
          <cell r="Z78">
            <v>73649968</v>
          </cell>
        </row>
        <row r="79">
          <cell r="I79">
            <v>18467649</v>
          </cell>
          <cell r="Q79">
            <v>0</v>
          </cell>
          <cell r="Z79">
            <v>1052266519</v>
          </cell>
        </row>
        <row r="80">
          <cell r="I80">
            <v>230997</v>
          </cell>
          <cell r="Q80">
            <v>0</v>
          </cell>
          <cell r="Z80">
            <v>117541512</v>
          </cell>
        </row>
        <row r="82">
          <cell r="I82">
            <v>5349012</v>
          </cell>
          <cell r="Q82">
            <v>41000</v>
          </cell>
          <cell r="Z82">
            <v>519728425</v>
          </cell>
        </row>
        <row r="83">
          <cell r="I83">
            <v>32397564</v>
          </cell>
          <cell r="Q83">
            <v>0</v>
          </cell>
          <cell r="Z83">
            <v>1015430720</v>
          </cell>
        </row>
        <row r="84">
          <cell r="I84">
            <v>0</v>
          </cell>
          <cell r="Q84">
            <v>234548</v>
          </cell>
          <cell r="Z84">
            <v>474543</v>
          </cell>
        </row>
        <row r="86">
          <cell r="I86">
            <v>1192277</v>
          </cell>
          <cell r="Q86">
            <v>0</v>
          </cell>
          <cell r="Z86">
            <v>1645041</v>
          </cell>
        </row>
        <row r="87">
          <cell r="I87">
            <v>0</v>
          </cell>
          <cell r="Q87">
            <v>0</v>
          </cell>
          <cell r="Z87">
            <v>178909378</v>
          </cell>
        </row>
        <row r="88">
          <cell r="I88">
            <v>0</v>
          </cell>
          <cell r="Q88">
            <v>0</v>
          </cell>
          <cell r="Z88">
            <v>17294</v>
          </cell>
        </row>
        <row r="89">
          <cell r="I89">
            <v>168394564</v>
          </cell>
          <cell r="Q89">
            <v>3415977</v>
          </cell>
          <cell r="Z89">
            <v>10532260084</v>
          </cell>
        </row>
        <row r="90">
          <cell r="I90">
            <v>0</v>
          </cell>
          <cell r="Q90">
            <v>0</v>
          </cell>
          <cell r="Z90">
            <v>0</v>
          </cell>
        </row>
        <row r="91">
          <cell r="I91">
            <v>0</v>
          </cell>
          <cell r="Q91">
            <v>0</v>
          </cell>
          <cell r="Z91">
            <v>0</v>
          </cell>
        </row>
        <row r="96">
          <cell r="I96">
            <v>6369605</v>
          </cell>
          <cell r="Q96">
            <v>18094</v>
          </cell>
          <cell r="Z96">
            <v>861540886</v>
          </cell>
        </row>
        <row r="97">
          <cell r="I97">
            <v>-8399</v>
          </cell>
          <cell r="Q97">
            <v>0</v>
          </cell>
          <cell r="Z97">
            <v>-359208</v>
          </cell>
        </row>
        <row r="98">
          <cell r="Q98">
            <v>18094</v>
          </cell>
        </row>
        <row r="99">
          <cell r="I99">
            <v>4238320</v>
          </cell>
          <cell r="Q99">
            <v>0</v>
          </cell>
          <cell r="Z99">
            <v>15529738</v>
          </cell>
        </row>
        <row r="100">
          <cell r="I100">
            <v>0</v>
          </cell>
          <cell r="Q100">
            <v>0</v>
          </cell>
          <cell r="Z100">
            <v>0</v>
          </cell>
        </row>
        <row r="101">
          <cell r="I101">
            <v>50536</v>
          </cell>
          <cell r="Q101">
            <v>0</v>
          </cell>
          <cell r="Z101">
            <v>11986624</v>
          </cell>
        </row>
        <row r="105">
          <cell r="I105">
            <v>1637202</v>
          </cell>
          <cell r="Q105">
            <v>0</v>
          </cell>
          <cell r="Z105">
            <v>605297913</v>
          </cell>
        </row>
        <row r="106">
          <cell r="I106">
            <v>0</v>
          </cell>
          <cell r="Q106">
            <v>0</v>
          </cell>
          <cell r="Z106">
            <v>0</v>
          </cell>
        </row>
        <row r="107">
          <cell r="I107">
            <v>0</v>
          </cell>
          <cell r="Q107">
            <v>0</v>
          </cell>
          <cell r="Z107">
            <v>221959</v>
          </cell>
        </row>
        <row r="111">
          <cell r="I111">
            <v>0</v>
          </cell>
          <cell r="Q111">
            <v>0</v>
          </cell>
          <cell r="Z111">
            <v>1965232</v>
          </cell>
        </row>
        <row r="112">
          <cell r="I112">
            <v>0</v>
          </cell>
          <cell r="Q112">
            <v>0</v>
          </cell>
          <cell r="Z112">
            <v>511034487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월별입출금액"/>
      <sheetName val="통장출금액"/>
      <sheetName val="Sheet1"/>
      <sheetName val="대여금회수"/>
      <sheetName val="수금황"/>
      <sheetName val="사업개요"/>
      <sheetName val="당조 손익"/>
      <sheetName val="실제손익"/>
      <sheetName val="CF"/>
      <sheetName val="첨부1"/>
      <sheetName val="계정code"/>
      <sheetName val="외화채권"/>
      <sheetName val="대차대조표"/>
      <sheetName val="손익계산서"/>
      <sheetName val="이익잉여금"/>
      <sheetName val="기초데이타"/>
      <sheetName val="WPL"/>
      <sheetName val="3.손익"/>
      <sheetName val="단기차입금(200006)"/>
      <sheetName val="상반기손익차2총괄"/>
      <sheetName val="내역서2안"/>
      <sheetName val="제조원가"/>
      <sheetName val="8월"/>
      <sheetName val="admin"/>
      <sheetName val="감가상각"/>
      <sheetName val="김수천"/>
      <sheetName val="김관중"/>
      <sheetName val="신용집중DB(1)"/>
      <sheetName val="목표세부명세"/>
      <sheetName val="창신보고1"/>
      <sheetName val="dom freq"/>
      <sheetName val="intl freq"/>
      <sheetName val="intl cgo"/>
      <sheetName val="RE9604"/>
      <sheetName val="투입량"/>
      <sheetName val="Sheet4"/>
      <sheetName val="8월--12월"/>
      <sheetName val="1월--7월"/>
      <sheetName val="시황"/>
      <sheetName val="표지"/>
      <sheetName val="인건비"/>
      <sheetName val="#REF"/>
      <sheetName val="XREF"/>
      <sheetName val="유형자산LS"/>
      <sheetName val="CODE"/>
      <sheetName val="gwar01p"/>
      <sheetName val="10월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감독1130"/>
      <sheetName val="부대공Ⅱ"/>
      <sheetName val="당좌"/>
      <sheetName val="당년실적"/>
      <sheetName val="전년실적"/>
      <sheetName val="한세A4PL"/>
      <sheetName val="일보.확정"/>
      <sheetName val="월보.확정"/>
      <sheetName val="노임9월"/>
      <sheetName val="1. MH "/>
      <sheetName val="R&amp;D"/>
      <sheetName val="토건"/>
      <sheetName val="신공항A-9(원가수정)"/>
      <sheetName val="단가"/>
      <sheetName val="맨홀_공사비"/>
      <sheetName val="97입고현황(사내)"/>
      <sheetName val="97출고현황(매출분)"/>
      <sheetName val="97출고현황(SEC)"/>
      <sheetName val="당조_손익"/>
      <sheetName val="3_손익"/>
      <sheetName val="dom_freq"/>
      <sheetName val="intl_freq"/>
      <sheetName val="intl_cgo"/>
      <sheetName val="일보_확정"/>
      <sheetName val="월보_확정"/>
      <sheetName val="절대지우지말것"/>
      <sheetName val="Sheet2"/>
      <sheetName val="업무연락"/>
      <sheetName val="일위대가표"/>
      <sheetName val="당연"/>
      <sheetName val="배서어음명세서"/>
      <sheetName val="시실누(모) "/>
      <sheetName val="정산표"/>
      <sheetName val="기성내역1"/>
      <sheetName val="기대회수율산정"/>
      <sheetName val="기대회수Schedule"/>
      <sheetName val="협조전"/>
      <sheetName val="산출기준(파견전산실)"/>
      <sheetName val="9509"/>
      <sheetName val="직접비원가"/>
      <sheetName val="SV SPEC."/>
      <sheetName val="작업추진 계획(일정)"/>
      <sheetName val="변동인원"/>
      <sheetName val="구list"/>
      <sheetName val="Main"/>
      <sheetName val="KUNGDEVI"/>
      <sheetName val="부문인원3"/>
      <sheetName val="환율"/>
      <sheetName val="보온 항목 목록"/>
      <sheetName val="기초자료2"/>
      <sheetName val="기초자료"/>
      <sheetName val="9902"/>
      <sheetName val="참고6.단위"/>
      <sheetName val="참고2.용도분류표"/>
      <sheetName val="참고1.제품구분"/>
      <sheetName val="참고4.제품구성"/>
      <sheetName val="참고5.제품형태"/>
      <sheetName val="일위대가(건축)"/>
      <sheetName val="RECIMAKE"/>
      <sheetName val="수목표준대가"/>
      <sheetName val="database"/>
      <sheetName val="포장재료비 품목"/>
      <sheetName val="B767"/>
      <sheetName val="효율계획(당월)"/>
      <sheetName val="전체실적"/>
      <sheetName val="현용"/>
      <sheetName val="제조원가 원단위 분석"/>
      <sheetName val="콤(10)"/>
      <sheetName val="CashFlow(중간집계)"/>
      <sheetName val="정리계획CF평가"/>
      <sheetName val="현관"/>
      <sheetName val="기준"/>
      <sheetName val="신Table"/>
      <sheetName val="총액"/>
      <sheetName val="대우수당표"/>
      <sheetName val="민감도분석"/>
      <sheetName val="연간데이터"/>
      <sheetName val="불변현금흐름표"/>
      <sheetName val="설계표지"/>
      <sheetName val="Fan(Finishing)"/>
      <sheetName val="회사정보"/>
      <sheetName val="환율 및 참고"/>
      <sheetName val="HG"/>
      <sheetName val="일반관리비"/>
      <sheetName val="조회서통제표"/>
      <sheetName val="TEMP"/>
      <sheetName val="JA"/>
      <sheetName val="수익증권포지션위험"/>
      <sheetName val="채권포지션위험"/>
      <sheetName val="4월계획"/>
      <sheetName val="Mc1"/>
      <sheetName val="기준 데이터"/>
      <sheetName val="보할공정"/>
      <sheetName val="년차계산분"/>
      <sheetName val="4.원가"/>
      <sheetName val="2.요약"/>
      <sheetName val="월계"/>
      <sheetName val="단가산출"/>
      <sheetName val="기본입력"/>
      <sheetName val="국산화"/>
      <sheetName val="노임단가"/>
      <sheetName val="cable"/>
      <sheetName val="일위대가표(DEEP)"/>
      <sheetName val="특별유가증권"/>
      <sheetName val="동해title"/>
      <sheetName val="미수수익정리"/>
      <sheetName val="단조"/>
      <sheetName val="대형압연"/>
      <sheetName val="대형정정"/>
      <sheetName val="소형압연"/>
      <sheetName val="당기DATA"/>
      <sheetName val="매각DATA"/>
      <sheetName val="내용연수"/>
      <sheetName val="전기이월DAT"/>
      <sheetName val="MAIN자산내용"/>
      <sheetName val="평가제외"/>
      <sheetName val="년판01"/>
      <sheetName val="공사개요"/>
      <sheetName val="Table"/>
      <sheetName val="기준일자"/>
      <sheetName val="제조원가계산서 (2)"/>
      <sheetName val="제품(수출)매출"/>
      <sheetName val="단가조사"/>
      <sheetName val="비교1"/>
      <sheetName val="변경집계표"/>
      <sheetName val="조정내역"/>
      <sheetName val=" 견적서"/>
      <sheetName val="OE율(참고)"/>
      <sheetName val="급여입력"/>
      <sheetName val="하수급견적대비"/>
      <sheetName val="그룹기안"/>
      <sheetName val="대외공문"/>
      <sheetName val="지역-가마감"/>
      <sheetName val="첨부2"/>
      <sheetName val="CON'C"/>
      <sheetName val="당조_손익1"/>
      <sheetName val="시실누(모)_"/>
      <sheetName val="SV_SPEC_"/>
      <sheetName val="작업추진_계획(일정)"/>
      <sheetName val="보온_항목_목록"/>
      <sheetName val="참고6_단위"/>
      <sheetName val="참고2_용도분류표"/>
      <sheetName val="참고1_제품구분"/>
      <sheetName val="참고4_제품구성"/>
      <sheetName val="참고5_제품형태"/>
      <sheetName val="포장재료비_품목"/>
      <sheetName val="제조원가_원단위_분석"/>
      <sheetName val="환율_및_참고"/>
      <sheetName val="4_원가"/>
      <sheetName val="2_요약"/>
      <sheetName val="제조원가계산서_(2)"/>
      <sheetName val="_견적서"/>
      <sheetName val="名册"/>
      <sheetName val="분1"/>
      <sheetName val="FRQ"/>
      <sheetName val="DATA1"/>
      <sheetName val="COST"/>
      <sheetName val="A4공장"/>
      <sheetName val="생산본부별"/>
      <sheetName val="Steam Table"/>
      <sheetName val="건물"/>
      <sheetName val="특외대"/>
      <sheetName val="정비손익"/>
      <sheetName val="ins"/>
      <sheetName val="4담보주식"/>
      <sheetName val="영업용순자본가산항목"/>
      <sheetName val="주식포지션위험"/>
      <sheetName val="옵션위험"/>
      <sheetName val="집중위험"/>
      <sheetName val="2산정내역"/>
      <sheetName val="기초위험"/>
      <sheetName val="3총위험산정"/>
      <sheetName val="인수위험"/>
      <sheetName val="외환위험"/>
      <sheetName val="목록"/>
      <sheetName val="월별원가(USD)"/>
      <sheetName val="정부노임단가"/>
      <sheetName val="내역서 "/>
      <sheetName val="개포"/>
      <sheetName val="대비"/>
      <sheetName val="일위대가(출입)"/>
      <sheetName val="기별명세"/>
      <sheetName val="기준_데이터"/>
      <sheetName val="48일위(기존)"/>
      <sheetName val="회수내역"/>
      <sheetName val="기간"/>
      <sheetName val="참고"/>
      <sheetName val="당조_손익4"/>
      <sheetName val="3_손익3"/>
      <sheetName val="dom_freq3"/>
      <sheetName val="intl_freq3"/>
      <sheetName val="intl_cgo3"/>
      <sheetName val="일보_확정2"/>
      <sheetName val="월보_확정2"/>
      <sheetName val="시실누(모)_3"/>
      <sheetName val="기준_데이터2"/>
      <sheetName val="SV_SPEC_3"/>
      <sheetName val="작업추진_계획(일정)3"/>
      <sheetName val="보온_항목_목록3"/>
      <sheetName val="참고6_단위3"/>
      <sheetName val="참고2_용도분류표3"/>
      <sheetName val="참고1_제품구분3"/>
      <sheetName val="참고4_제품구성3"/>
      <sheetName val="참고5_제품형태3"/>
      <sheetName val="포장재료비_품목3"/>
      <sheetName val="제조원가_원단위_분석3"/>
      <sheetName val="환율_및_참고3"/>
      <sheetName val="제조원가계산서_(2)3"/>
      <sheetName val="4_원가3"/>
      <sheetName val="2_요약3"/>
      <sheetName val="_견적서3"/>
      <sheetName val="당조_손익3"/>
      <sheetName val="3_손익2"/>
      <sheetName val="dom_freq2"/>
      <sheetName val="intl_freq2"/>
      <sheetName val="intl_cgo2"/>
      <sheetName val="일보_확정1"/>
      <sheetName val="월보_확정1"/>
      <sheetName val="시실누(모)_2"/>
      <sheetName val="기준_데이터1"/>
      <sheetName val="SV_SPEC_2"/>
      <sheetName val="작업추진_계획(일정)2"/>
      <sheetName val="보온_항목_목록2"/>
      <sheetName val="참고6_단위2"/>
      <sheetName val="참고2_용도분류표2"/>
      <sheetName val="참고1_제품구분2"/>
      <sheetName val="참고4_제품구성2"/>
      <sheetName val="참고5_제품형태2"/>
      <sheetName val="포장재료비_품목2"/>
      <sheetName val="제조원가_원단위_분석2"/>
      <sheetName val="환율_및_참고2"/>
      <sheetName val="제조원가계산서_(2)2"/>
      <sheetName val="4_원가2"/>
      <sheetName val="2_요약2"/>
      <sheetName val="_견적서2"/>
      <sheetName val="당조_손익2"/>
      <sheetName val="3_손익1"/>
      <sheetName val="dom_freq1"/>
      <sheetName val="intl_freq1"/>
      <sheetName val="intl_cgo1"/>
      <sheetName val="시실누(모)_1"/>
      <sheetName val="SV_SPEC_1"/>
      <sheetName val="작업추진_계획(일정)1"/>
      <sheetName val="보온_항목_목록1"/>
      <sheetName val="참고6_단위1"/>
      <sheetName val="참고2_용도분류표1"/>
      <sheetName val="참고1_제품구분1"/>
      <sheetName val="참고4_제품구성1"/>
      <sheetName val="참고5_제품형태1"/>
      <sheetName val="포장재료비_품목1"/>
      <sheetName val="제조원가_원단위_분석1"/>
      <sheetName val="환율_및_참고1"/>
      <sheetName val="제조원가계산서_(2)1"/>
      <sheetName val="4_원가1"/>
      <sheetName val="2_요약1"/>
      <sheetName val="_견적서1"/>
      <sheetName val="당조_손익6"/>
      <sheetName val="3_손익5"/>
      <sheetName val="dom_freq5"/>
      <sheetName val="intl_freq5"/>
      <sheetName val="intl_cgo5"/>
      <sheetName val="일보_확정4"/>
      <sheetName val="월보_확정4"/>
      <sheetName val="시실누(모)_5"/>
      <sheetName val="기준_데이터4"/>
      <sheetName val="SV_SPEC_5"/>
      <sheetName val="작업추진_계획(일정)5"/>
      <sheetName val="보온_항목_목록5"/>
      <sheetName val="참고6_단위5"/>
      <sheetName val="참고2_용도분류표5"/>
      <sheetName val="참고1_제품구분5"/>
      <sheetName val="참고4_제품구성5"/>
      <sheetName val="참고5_제품형태5"/>
      <sheetName val="포장재료비_품목5"/>
      <sheetName val="제조원가_원단위_분석5"/>
      <sheetName val="환율_및_참고5"/>
      <sheetName val="제조원가계산서_(2)5"/>
      <sheetName val="4_원가5"/>
      <sheetName val="2_요약5"/>
      <sheetName val="_견적서5"/>
      <sheetName val="당조_손익5"/>
      <sheetName val="3_손익4"/>
      <sheetName val="dom_freq4"/>
      <sheetName val="intl_freq4"/>
      <sheetName val="intl_cgo4"/>
      <sheetName val="일보_확정3"/>
      <sheetName val="월보_확정3"/>
      <sheetName val="시실누(모)_4"/>
      <sheetName val="기준_데이터3"/>
      <sheetName val="SV_SPEC_4"/>
      <sheetName val="작업추진_계획(일정)4"/>
      <sheetName val="보온_항목_목록4"/>
      <sheetName val="참고6_단위4"/>
      <sheetName val="참고2_용도분류표4"/>
      <sheetName val="참고1_제품구분4"/>
      <sheetName val="참고4_제품구성4"/>
      <sheetName val="참고5_제품형태4"/>
      <sheetName val="포장재료비_품목4"/>
      <sheetName val="제조원가_원단위_분석4"/>
      <sheetName val="환율_및_참고4"/>
      <sheetName val="제조원가계산서_(2)4"/>
      <sheetName val="4_원가4"/>
      <sheetName val="2_요약4"/>
      <sheetName val="_견적서4"/>
      <sheetName val="총괄"/>
      <sheetName val="97년 신설"/>
      <sheetName val="보일러"/>
      <sheetName val="MH_생산"/>
      <sheetName val="UNIT"/>
      <sheetName val="사원명단"/>
      <sheetName val="검사표"/>
      <sheetName val="0.1keyAssumption"/>
      <sheetName val="0.0ControlSheet"/>
      <sheetName val="연불채권"/>
      <sheetName val="2-1"/>
      <sheetName val="엑셀공부"/>
      <sheetName val="연습습"/>
      <sheetName val="CAUDIT"/>
      <sheetName val="연습1"/>
      <sheetName val="전산활용"/>
      <sheetName val="포화수증기표"/>
      <sheetName val="합손"/>
      <sheetName val="노임이"/>
      <sheetName val="데이타"/>
      <sheetName val="단기(임종업원)"/>
      <sheetName val="서식시트"/>
      <sheetName val="다운자료"/>
      <sheetName val="손익"/>
      <sheetName val="Stock Div Accural"/>
      <sheetName val="월간인력"/>
      <sheetName val="별제권_정리담보권"/>
      <sheetName val="유효담보가액"/>
      <sheetName val="금융소득종합과세"/>
      <sheetName val="근로소득세2001"/>
      <sheetName val="투자유가증권"/>
      <sheetName val="48PCI96"/>
      <sheetName val="980731"/>
      <sheetName val="설계내역서"/>
      <sheetName val="rate"/>
      <sheetName val="03"/>
      <sheetName val="RE7월누계"/>
      <sheetName val="7월"/>
      <sheetName val="기안"/>
      <sheetName val="마케팅"/>
      <sheetName val="추정손익"/>
      <sheetName val="할당"/>
      <sheetName val="실적"/>
      <sheetName val="원가"/>
      <sheetName val="제목"/>
      <sheetName val="원가,목표"/>
      <sheetName val="판촉"/>
      <sheetName val="협조"/>
      <sheetName val="전부인쇄"/>
      <sheetName val="CC Down load 0716"/>
      <sheetName val="제안서입력"/>
      <sheetName val="견적서"/>
      <sheetName val="2002년 교육출장비"/>
      <sheetName val="을지"/>
      <sheetName val="1월"/>
      <sheetName val="공통"/>
      <sheetName val="사업성"/>
      <sheetName val="반포2차"/>
      <sheetName val="WELDING"/>
      <sheetName val="Steam_Table"/>
      <sheetName val="내역서_"/>
      <sheetName val="97년_신설"/>
      <sheetName val="1__MH_"/>
      <sheetName val="0_1keyAssumption"/>
      <sheetName val="0_0ControlSheet"/>
      <sheetName val="충당금"/>
      <sheetName val="LoanList"/>
      <sheetName val="가능목표"/>
      <sheetName val="기초자산유형 참조표(시트보호, 수정, 삭제금지)"/>
    </sheetNames>
    <sheetDataSet>
      <sheetData sheetId="0">
        <row r="192">
          <cell r="A192" t="str">
            <v>'95.10.06</v>
          </cell>
        </row>
      </sheetData>
      <sheetData sheetId="1" refreshError="1">
        <row r="192">
          <cell r="A192" t="str">
            <v>'95.10.06</v>
          </cell>
          <cell r="B192">
            <v>5000000</v>
          </cell>
          <cell r="C192">
            <v>0</v>
          </cell>
          <cell r="D192">
            <v>0</v>
          </cell>
          <cell r="E192">
            <v>5000000</v>
          </cell>
          <cell r="F192">
            <v>0</v>
          </cell>
          <cell r="G192" t="str">
            <v>#기간('95.10.4 - '95.11.10)</v>
          </cell>
          <cell r="H192">
            <v>0</v>
          </cell>
          <cell r="I192">
            <v>0</v>
          </cell>
          <cell r="J192">
            <v>0</v>
          </cell>
          <cell r="K192" t="str">
            <v>이경희</v>
          </cell>
        </row>
        <row r="193">
          <cell r="A193" t="str">
            <v>'95.10.04</v>
          </cell>
          <cell r="B193">
            <v>110000000</v>
          </cell>
          <cell r="C193">
            <v>100000000</v>
          </cell>
          <cell r="D193">
            <v>0</v>
          </cell>
          <cell r="E193">
            <v>10000000</v>
          </cell>
          <cell r="F193">
            <v>0</v>
          </cell>
          <cell r="G193" t="str">
            <v>- 5.7억 상환, 두산대여0.3억,원천세1.5억납부</v>
          </cell>
          <cell r="H193">
            <v>0</v>
          </cell>
          <cell r="I193">
            <v>0</v>
          </cell>
          <cell r="J193">
            <v>0</v>
          </cell>
          <cell r="K193" t="str">
            <v>대여금상환,임종헌,황호연</v>
          </cell>
        </row>
        <row r="194">
          <cell r="A194" t="str">
            <v>'95.09.30</v>
          </cell>
          <cell r="B194">
            <v>303000000</v>
          </cell>
          <cell r="C194">
            <v>200000000</v>
          </cell>
          <cell r="D194">
            <v>0</v>
          </cell>
          <cell r="E194">
            <v>103000000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대여금상환,김학경,안대환,김이철28,000천원,권윤오10,000천원</v>
          </cell>
        </row>
        <row r="195">
          <cell r="A195" t="str">
            <v>'95.09.29</v>
          </cell>
          <cell r="B195">
            <v>7000000</v>
          </cell>
          <cell r="C195">
            <v>0</v>
          </cell>
          <cell r="D195">
            <v>0</v>
          </cell>
          <cell r="E195">
            <v>7000000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안귀만</v>
          </cell>
        </row>
        <row r="196">
          <cell r="A196" t="str">
            <v>'95.09.25</v>
          </cell>
          <cell r="B196">
            <v>45000000</v>
          </cell>
          <cell r="C196">
            <v>0</v>
          </cell>
          <cell r="D196">
            <v>0</v>
          </cell>
          <cell r="E196">
            <v>45000000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안해준</v>
          </cell>
        </row>
        <row r="197">
          <cell r="A197" t="str">
            <v>'95.09.22</v>
          </cell>
          <cell r="B197">
            <v>62000000</v>
          </cell>
          <cell r="C197">
            <v>0</v>
          </cell>
          <cell r="D197">
            <v>0</v>
          </cell>
          <cell r="E197">
            <v>62000000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 t="str">
            <v> </v>
          </cell>
          <cell r="K197" t="str">
            <v>제일은행통장 입금,김이철(농협)</v>
          </cell>
        </row>
        <row r="198">
          <cell r="A198" t="str">
            <v>'95.09.14</v>
          </cell>
          <cell r="B198">
            <v>5000000</v>
          </cell>
          <cell r="C198">
            <v>0</v>
          </cell>
          <cell r="D198">
            <v>0</v>
          </cell>
          <cell r="E198">
            <v>5000000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임광수</v>
          </cell>
        </row>
        <row r="199">
          <cell r="A199" t="str">
            <v>'95.09.11</v>
          </cell>
          <cell r="B199">
            <v>5000000</v>
          </cell>
          <cell r="C199">
            <v>0</v>
          </cell>
          <cell r="D199">
            <v>0</v>
          </cell>
          <cell r="E199">
            <v>5000000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차국현</v>
          </cell>
        </row>
        <row r="200">
          <cell r="A200" t="str">
            <v>'95.09.04</v>
          </cell>
          <cell r="B200">
            <v>5000000</v>
          </cell>
          <cell r="C200">
            <v>0</v>
          </cell>
          <cell r="D200">
            <v>0</v>
          </cell>
          <cell r="E200">
            <v>5000000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김세은</v>
          </cell>
        </row>
        <row r="201">
          <cell r="A201" t="str">
            <v>'95.09.01</v>
          </cell>
          <cell r="B201">
            <v>60000000</v>
          </cell>
          <cell r="C201">
            <v>0</v>
          </cell>
          <cell r="D201">
            <v>0</v>
          </cell>
          <cell r="E201">
            <v>60000000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황광보</v>
          </cell>
        </row>
        <row r="202">
          <cell r="A202" t="str">
            <v>'95.08.26</v>
          </cell>
          <cell r="B202">
            <v>5000000</v>
          </cell>
          <cell r="C202">
            <v>0</v>
          </cell>
          <cell r="D202">
            <v>0</v>
          </cell>
          <cell r="E202">
            <v>5000000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 t="str">
            <v>이성근</v>
          </cell>
        </row>
        <row r="203">
          <cell r="A203" t="str">
            <v>'95.08.24</v>
          </cell>
          <cell r="B203">
            <v>20000000</v>
          </cell>
          <cell r="C203">
            <v>0</v>
          </cell>
          <cell r="D203">
            <v>0</v>
          </cell>
          <cell r="E203">
            <v>20000000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 t="str">
            <v>김이철</v>
          </cell>
        </row>
        <row r="204">
          <cell r="A204" t="str">
            <v>'95.08.18</v>
          </cell>
          <cell r="B204">
            <v>60000000</v>
          </cell>
          <cell r="C204">
            <v>0</v>
          </cell>
          <cell r="D204">
            <v>0</v>
          </cell>
          <cell r="E204">
            <v>60000000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 t="str">
            <v>김용윤(농협)</v>
          </cell>
        </row>
        <row r="205">
          <cell r="A205" t="str">
            <v>'95.08.10</v>
          </cell>
          <cell r="B205">
            <v>10000000</v>
          </cell>
          <cell r="C205">
            <v>0</v>
          </cell>
          <cell r="D205">
            <v>0</v>
          </cell>
          <cell r="E205">
            <v>10000000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 t="str">
            <v>유동호</v>
          </cell>
        </row>
        <row r="206">
          <cell r="A206" t="str">
            <v>'95.08.01</v>
          </cell>
          <cell r="B206">
            <v>45000000</v>
          </cell>
          <cell r="C206">
            <v>0</v>
          </cell>
          <cell r="D206">
            <v>0</v>
          </cell>
          <cell r="E206">
            <v>45000000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조명선(제일25,신한20)</v>
          </cell>
        </row>
        <row r="207">
          <cell r="A207" t="str">
            <v>'95.07.28</v>
          </cell>
          <cell r="B207">
            <v>50000000</v>
          </cell>
          <cell r="C207">
            <v>0</v>
          </cell>
          <cell r="D207">
            <v>0</v>
          </cell>
          <cell r="E207">
            <v>50000000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이상화10,000천원,강만재40,000천원</v>
          </cell>
        </row>
        <row r="208">
          <cell r="A208" t="str">
            <v>'95.07.14</v>
          </cell>
          <cell r="B208">
            <v>30000000</v>
          </cell>
          <cell r="C208">
            <v>0</v>
          </cell>
          <cell r="D208">
            <v>0</v>
          </cell>
          <cell r="E208">
            <v>30000000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 t="str">
            <v>박대용</v>
          </cell>
        </row>
        <row r="209">
          <cell r="A209" t="str">
            <v>'95.07.03</v>
          </cell>
          <cell r="B209">
            <v>60000000</v>
          </cell>
          <cell r="C209">
            <v>0</v>
          </cell>
          <cell r="D209">
            <v>0</v>
          </cell>
          <cell r="E209">
            <v>60000000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 t="str">
            <v>박호용</v>
          </cell>
        </row>
        <row r="210">
          <cell r="A210" t="str">
            <v>'95.06.30</v>
          </cell>
          <cell r="B210">
            <v>40000000</v>
          </cell>
          <cell r="C210">
            <v>0</v>
          </cell>
          <cell r="D210">
            <v>0</v>
          </cell>
          <cell r="E210">
            <v>40000000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하근철</v>
          </cell>
        </row>
        <row r="211">
          <cell r="A211" t="str">
            <v>'95.06.23</v>
          </cell>
          <cell r="B211">
            <v>10000000</v>
          </cell>
          <cell r="C211">
            <v>0</v>
          </cell>
          <cell r="D211">
            <v>0</v>
          </cell>
          <cell r="E211">
            <v>10000000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김창민</v>
          </cell>
        </row>
        <row r="212">
          <cell r="A212" t="str">
            <v>'95.06.22</v>
          </cell>
          <cell r="B212">
            <v>10000000</v>
          </cell>
          <cell r="C212">
            <v>0</v>
          </cell>
          <cell r="D212">
            <v>0</v>
          </cell>
          <cell r="E212">
            <v>10000000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 t="str">
            <v>김병석</v>
          </cell>
        </row>
        <row r="213">
          <cell r="A213" t="str">
            <v>'95.06.16</v>
          </cell>
          <cell r="B213">
            <v>13485000</v>
          </cell>
          <cell r="C213">
            <v>0</v>
          </cell>
          <cell r="D213">
            <v>0</v>
          </cell>
          <cell r="E213">
            <v>0</v>
          </cell>
          <cell r="F213">
            <v>46985</v>
          </cell>
          <cell r="G213">
            <v>0</v>
          </cell>
          <cell r="H213">
            <v>13485000</v>
          </cell>
          <cell r="I213">
            <v>0</v>
          </cell>
          <cell r="J213">
            <v>0</v>
          </cell>
          <cell r="K213" t="str">
            <v>컴아트참고(카다로그제작)</v>
          </cell>
        </row>
        <row r="214">
          <cell r="A214" t="str">
            <v>'95.06.08</v>
          </cell>
          <cell r="B214">
            <v>100000000</v>
          </cell>
          <cell r="C214">
            <v>100000000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대여금상환</v>
          </cell>
        </row>
        <row r="215">
          <cell r="A215" t="str">
            <v>'95.06.07</v>
          </cell>
          <cell r="B215">
            <v>33500000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33500000</v>
          </cell>
          <cell r="H215">
            <v>0</v>
          </cell>
          <cell r="I215">
            <v>0</v>
          </cell>
          <cell r="J215">
            <v>0</v>
          </cell>
          <cell r="K215" t="str">
            <v>진입도로(곽신지,세입자)</v>
          </cell>
        </row>
        <row r="216">
          <cell r="A216" t="str">
            <v>'95.05.17</v>
          </cell>
          <cell r="B216">
            <v>45000000</v>
          </cell>
          <cell r="C216">
            <v>0</v>
          </cell>
          <cell r="D216">
            <v>0</v>
          </cell>
          <cell r="E216">
            <v>45000000</v>
          </cell>
          <cell r="F216">
            <v>26500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 t="str">
            <v>유태일</v>
          </cell>
        </row>
        <row r="217">
          <cell r="A217" t="str">
            <v>'95.05.13</v>
          </cell>
          <cell r="B217">
            <v>21500000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21500000</v>
          </cell>
          <cell r="H217">
            <v>0</v>
          </cell>
          <cell r="I217">
            <v>0</v>
          </cell>
          <cell r="J217">
            <v>0</v>
          </cell>
          <cell r="K217" t="str">
            <v>진입도로(곽신지)</v>
          </cell>
        </row>
        <row r="218">
          <cell r="A218" t="str">
            <v>'95.05.10</v>
          </cell>
          <cell r="B218">
            <v>65000000</v>
          </cell>
          <cell r="C218">
            <v>0</v>
          </cell>
          <cell r="D218">
            <v>0</v>
          </cell>
          <cell r="E218">
            <v>60000000</v>
          </cell>
          <cell r="F218">
            <v>0</v>
          </cell>
          <cell r="G218">
            <v>5000000</v>
          </cell>
          <cell r="H218">
            <v>0</v>
          </cell>
          <cell r="I218">
            <v>0</v>
          </cell>
          <cell r="J218">
            <v>0</v>
          </cell>
          <cell r="K218" t="str">
            <v>진입도로(곽신지),나재환환불</v>
          </cell>
        </row>
        <row r="219">
          <cell r="A219" t="str">
            <v>'95.05.03</v>
          </cell>
          <cell r="B219">
            <v>30000000</v>
          </cell>
          <cell r="C219">
            <v>0</v>
          </cell>
          <cell r="D219">
            <v>0</v>
          </cell>
          <cell r="E219">
            <v>30000000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 t="str">
            <v>김영환</v>
          </cell>
        </row>
        <row r="220">
          <cell r="A220" t="str">
            <v>'95.04.27</v>
          </cell>
          <cell r="B220">
            <v>10000000</v>
          </cell>
          <cell r="C220">
            <v>0</v>
          </cell>
          <cell r="D220">
            <v>0</v>
          </cell>
          <cell r="E220">
            <v>0</v>
          </cell>
          <cell r="F220">
            <v>130885.731</v>
          </cell>
          <cell r="G220">
            <v>10000000</v>
          </cell>
          <cell r="H220">
            <v>0</v>
          </cell>
          <cell r="I220">
            <v>0</v>
          </cell>
          <cell r="J220">
            <v>0</v>
          </cell>
          <cell r="K220" t="str">
            <v>진입도로(김용매)</v>
          </cell>
        </row>
        <row r="221">
          <cell r="A221" t="str">
            <v>'95.04.24</v>
          </cell>
          <cell r="B221">
            <v>60000000</v>
          </cell>
          <cell r="C221">
            <v>0</v>
          </cell>
          <cell r="D221">
            <v>0</v>
          </cell>
          <cell r="E221">
            <v>60000000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 t="str">
            <v>김재혁45,000천원,임형순15,000천원</v>
          </cell>
        </row>
        <row r="222">
          <cell r="A222" t="str">
            <v>'95.04.21</v>
          </cell>
          <cell r="B222">
            <v>50000000</v>
          </cell>
          <cell r="C222">
            <v>50000000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 t="str">
            <v>대여금상환</v>
          </cell>
        </row>
        <row r="223">
          <cell r="A223" t="str">
            <v>'95.04.20</v>
          </cell>
          <cell r="B223">
            <v>10000000</v>
          </cell>
          <cell r="C223">
            <v>0</v>
          </cell>
          <cell r="D223">
            <v>0</v>
          </cell>
          <cell r="E223">
            <v>10000000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 t="str">
            <v>박재우</v>
          </cell>
        </row>
        <row r="224">
          <cell r="A224" t="str">
            <v>'95.04.17</v>
          </cell>
          <cell r="B224">
            <v>45000000</v>
          </cell>
          <cell r="C224">
            <v>0</v>
          </cell>
          <cell r="D224">
            <v>0</v>
          </cell>
          <cell r="E224">
            <v>45000000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 t="str">
            <v>신민평</v>
          </cell>
        </row>
        <row r="225">
          <cell r="A225" t="str">
            <v>'95.04.13</v>
          </cell>
          <cell r="B225">
            <v>400000000</v>
          </cell>
          <cell r="C225">
            <v>400000000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대여금상환</v>
          </cell>
        </row>
        <row r="226">
          <cell r="A226" t="str">
            <v>'95.04.07</v>
          </cell>
          <cell r="B226">
            <v>315825</v>
          </cell>
          <cell r="C226">
            <v>0</v>
          </cell>
          <cell r="D226">
            <v>0</v>
          </cell>
          <cell r="E226">
            <v>315825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안영익      (아래내용)국맹수40,000김재철32,500천원(제일)</v>
          </cell>
        </row>
        <row r="227">
          <cell r="A227" t="str">
            <v>'95.04.06</v>
          </cell>
          <cell r="B227">
            <v>319000000</v>
          </cell>
          <cell r="C227">
            <v>100000000</v>
          </cell>
          <cell r="D227">
            <v>0</v>
          </cell>
          <cell r="E227">
            <v>219000000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196,500천중50,000천상환.나머지대출초과자상환/대여상환50,000천</v>
          </cell>
        </row>
        <row r="228">
          <cell r="A228" t="str">
            <v>'95.04.04</v>
          </cell>
          <cell r="B228">
            <v>1670885731</v>
          </cell>
          <cell r="C228">
            <v>1550000000</v>
          </cell>
          <cell r="D228" t="str">
            <v>신한</v>
          </cell>
          <cell r="E228">
            <v>0</v>
          </cell>
          <cell r="F228">
            <v>0</v>
          </cell>
          <cell r="G228">
            <v>120885731</v>
          </cell>
          <cell r="H228" t="str">
            <v>사학</v>
          </cell>
          <cell r="I228">
            <v>0</v>
          </cell>
          <cell r="J228">
            <v>0</v>
          </cell>
          <cell r="K228" t="str">
            <v>1,650,000천원중 100,000천사학토지대금/토지대금이자(사학)20,885,731원</v>
          </cell>
        </row>
        <row r="229">
          <cell r="A229" t="str">
            <v>'95.03.29</v>
          </cell>
          <cell r="B229">
            <v>40000000</v>
          </cell>
          <cell r="C229">
            <v>0</v>
          </cell>
          <cell r="D229">
            <v>0</v>
          </cell>
          <cell r="E229">
            <v>40000000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 t="str">
            <v>이홍구</v>
          </cell>
        </row>
        <row r="230">
          <cell r="A230" t="str">
            <v>'95.03.15</v>
          </cell>
          <cell r="B230">
            <v>72500000</v>
          </cell>
          <cell r="C230">
            <v>0</v>
          </cell>
          <cell r="D230">
            <v>0</v>
          </cell>
          <cell r="E230">
            <v>72500000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조병선40,000천원,박항석32,500천원</v>
          </cell>
        </row>
        <row r="231">
          <cell r="A231" t="str">
            <v>'95.03.14</v>
          </cell>
          <cell r="B231">
            <v>45000000</v>
          </cell>
          <cell r="C231">
            <v>0</v>
          </cell>
          <cell r="D231">
            <v>0</v>
          </cell>
          <cell r="E231">
            <v>45000000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송종일</v>
          </cell>
        </row>
        <row r="232">
          <cell r="A232" t="str">
            <v>'95.03.03</v>
          </cell>
          <cell r="B232">
            <v>45000000</v>
          </cell>
          <cell r="C232">
            <v>0</v>
          </cell>
          <cell r="D232">
            <v>0</v>
          </cell>
          <cell r="E232">
            <v>45000000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 t="str">
            <v>김종식</v>
          </cell>
        </row>
        <row r="233">
          <cell r="A233" t="str">
            <v>'95.02.27</v>
          </cell>
          <cell r="B233">
            <v>200000000</v>
          </cell>
          <cell r="C233">
            <v>200000000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 t="str">
            <v>대여금상환</v>
          </cell>
        </row>
        <row r="234">
          <cell r="A234" t="str">
            <v>'95.02.25</v>
          </cell>
          <cell r="B234">
            <v>44800000</v>
          </cell>
          <cell r="C234">
            <v>0</v>
          </cell>
          <cell r="D234">
            <v>0</v>
          </cell>
          <cell r="E234">
            <v>0</v>
          </cell>
          <cell r="F234">
            <v>44800</v>
          </cell>
          <cell r="G234">
            <v>44800000</v>
          </cell>
          <cell r="H234">
            <v>0</v>
          </cell>
          <cell r="I234">
            <v>0</v>
          </cell>
          <cell r="J234">
            <v>0</v>
          </cell>
          <cell r="K234" t="str">
            <v>진입도로(107-3)</v>
          </cell>
        </row>
        <row r="235">
          <cell r="A235" t="str">
            <v>'95.02.24</v>
          </cell>
          <cell r="B235">
            <v>45000000</v>
          </cell>
          <cell r="C235">
            <v>0</v>
          </cell>
          <cell r="D235">
            <v>0</v>
          </cell>
          <cell r="E235">
            <v>45000000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장광호</v>
          </cell>
        </row>
        <row r="236">
          <cell r="A236" t="str">
            <v>'95.02.21</v>
          </cell>
          <cell r="B236">
            <v>3700000</v>
          </cell>
          <cell r="C236">
            <v>0</v>
          </cell>
          <cell r="D236">
            <v>0</v>
          </cell>
          <cell r="E236">
            <v>3700000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심병채</v>
          </cell>
        </row>
        <row r="237">
          <cell r="A237" t="str">
            <v>'95.02.16</v>
          </cell>
          <cell r="B237">
            <v>2800000</v>
          </cell>
          <cell r="C237">
            <v>0</v>
          </cell>
          <cell r="D237">
            <v>0</v>
          </cell>
          <cell r="E237">
            <v>2800000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곽명영</v>
          </cell>
        </row>
        <row r="238">
          <cell r="A238" t="str">
            <v>'95.02.10</v>
          </cell>
          <cell r="B238">
            <v>30000000</v>
          </cell>
          <cell r="C238">
            <v>0</v>
          </cell>
          <cell r="D238">
            <v>0</v>
          </cell>
          <cell r="E238">
            <v>30000000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정근호</v>
          </cell>
        </row>
        <row r="239">
          <cell r="A239" t="str">
            <v>'95.01.27</v>
          </cell>
          <cell r="B239">
            <v>26806650</v>
          </cell>
          <cell r="C239">
            <v>0</v>
          </cell>
          <cell r="D239">
            <v>0</v>
          </cell>
          <cell r="E239">
            <v>0</v>
          </cell>
          <cell r="F239">
            <v>50693.85</v>
          </cell>
          <cell r="G239">
            <v>26806650</v>
          </cell>
          <cell r="H239">
            <v>0</v>
          </cell>
          <cell r="I239">
            <v>0</v>
          </cell>
          <cell r="J239">
            <v>0</v>
          </cell>
          <cell r="K239" t="str">
            <v>토지대잔금(사학),윤승로1.3</v>
          </cell>
        </row>
        <row r="240">
          <cell r="A240" t="str">
            <v>'95.01.25</v>
          </cell>
          <cell r="B240">
            <v>48887200</v>
          </cell>
          <cell r="C240">
            <v>0</v>
          </cell>
          <cell r="D240">
            <v>0</v>
          </cell>
          <cell r="E240">
            <v>45000000</v>
          </cell>
          <cell r="F240">
            <v>0</v>
          </cell>
          <cell r="G240">
            <v>3887200</v>
          </cell>
          <cell r="H240">
            <v>0</v>
          </cell>
          <cell r="I240">
            <v>0</v>
          </cell>
          <cell r="J240">
            <v>0</v>
          </cell>
          <cell r="K240" t="str">
            <v>이훈환불, 진입로소유권이전비용</v>
          </cell>
        </row>
        <row r="241">
          <cell r="A241" t="str">
            <v>'95.01.18</v>
          </cell>
          <cell r="B241">
            <v>3700000</v>
          </cell>
          <cell r="C241">
            <v>0</v>
          </cell>
          <cell r="D241">
            <v>0</v>
          </cell>
          <cell r="E241">
            <v>3700000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 t="str">
            <v>고광찬</v>
          </cell>
        </row>
        <row r="242">
          <cell r="A242" t="str">
            <v>'95.01.14</v>
          </cell>
          <cell r="B242">
            <v>20000000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20000000</v>
          </cell>
          <cell r="H242">
            <v>0</v>
          </cell>
          <cell r="I242">
            <v>0</v>
          </cell>
          <cell r="J242">
            <v>0</v>
          </cell>
          <cell r="K242" t="str">
            <v>진입로비용(김용매)</v>
          </cell>
        </row>
        <row r="243">
          <cell r="A243" t="str">
            <v>'95.01.12</v>
          </cell>
          <cell r="B243">
            <v>10000000</v>
          </cell>
          <cell r="C243">
            <v>0</v>
          </cell>
          <cell r="D243">
            <v>0</v>
          </cell>
          <cell r="E243">
            <v>10000000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 t="str">
            <v>유호윤</v>
          </cell>
        </row>
        <row r="244">
          <cell r="A244" t="str">
            <v>'95.01.11</v>
          </cell>
          <cell r="B244">
            <v>340000000</v>
          </cell>
          <cell r="C244">
            <v>300000000</v>
          </cell>
          <cell r="D244">
            <v>0</v>
          </cell>
          <cell r="E244">
            <v>40000000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 t="str">
            <v>대여금상환,김찬옥</v>
          </cell>
        </row>
        <row r="245">
          <cell r="A245" t="str">
            <v>'95.01.10</v>
          </cell>
          <cell r="B245">
            <v>6500000</v>
          </cell>
          <cell r="C245">
            <v>0</v>
          </cell>
          <cell r="D245">
            <v>0</v>
          </cell>
          <cell r="E245">
            <v>6500000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 t="str">
            <v>박형석, 송대용</v>
          </cell>
        </row>
        <row r="246">
          <cell r="A246" t="str">
            <v>'94.12.30</v>
          </cell>
          <cell r="B246">
            <v>122859806</v>
          </cell>
          <cell r="C246">
            <v>0</v>
          </cell>
          <cell r="D246">
            <v>0</v>
          </cell>
          <cell r="E246">
            <v>6200000</v>
          </cell>
          <cell r="F246">
            <v>2152859.8059999999</v>
          </cell>
          <cell r="G246">
            <v>116659806</v>
          </cell>
          <cell r="H246">
            <v>0</v>
          </cell>
          <cell r="I246">
            <v>0</v>
          </cell>
          <cell r="J246">
            <v>0</v>
          </cell>
          <cell r="K246" t="str">
            <v>박형석,윤덕호,토지대잔금(사학)</v>
          </cell>
        </row>
        <row r="247">
          <cell r="A247" t="str">
            <v>'94.12.28</v>
          </cell>
          <cell r="B247">
            <v>27200000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27200000</v>
          </cell>
          <cell r="H247">
            <v>0</v>
          </cell>
          <cell r="I247">
            <v>0</v>
          </cell>
          <cell r="J247">
            <v>0</v>
          </cell>
          <cell r="K247" t="str">
            <v>토지대잔금(불하)</v>
          </cell>
        </row>
        <row r="248">
          <cell r="A248" t="str">
            <v>'94.12.27</v>
          </cell>
          <cell r="B248">
            <v>210000000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210000000</v>
          </cell>
          <cell r="H248">
            <v>0</v>
          </cell>
          <cell r="I248">
            <v>0</v>
          </cell>
          <cell r="J248">
            <v>0</v>
          </cell>
          <cell r="K248" t="str">
            <v>진입로 부지</v>
          </cell>
        </row>
        <row r="249">
          <cell r="A249" t="str">
            <v>'94.12.26</v>
          </cell>
          <cell r="B249">
            <v>619000000</v>
          </cell>
          <cell r="C249">
            <v>0</v>
          </cell>
          <cell r="D249">
            <v>0</v>
          </cell>
          <cell r="E249">
            <v>20000000</v>
          </cell>
          <cell r="F249">
            <v>0</v>
          </cell>
          <cell r="G249">
            <v>599000000</v>
          </cell>
          <cell r="H249">
            <v>0</v>
          </cell>
          <cell r="I249">
            <v>0</v>
          </cell>
          <cell r="J249">
            <v>0</v>
          </cell>
          <cell r="K249" t="str">
            <v>진입로 부지, 공삼용환불</v>
          </cell>
        </row>
        <row r="250">
          <cell r="A250" t="str">
            <v>'94.12.20</v>
          </cell>
          <cell r="B250">
            <v>40000000</v>
          </cell>
          <cell r="C250">
            <v>0</v>
          </cell>
          <cell r="D250">
            <v>0</v>
          </cell>
          <cell r="E250">
            <v>40000000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 t="str">
            <v>이기훈</v>
          </cell>
        </row>
        <row r="251">
          <cell r="A251" t="str">
            <v>'94.12.19</v>
          </cell>
          <cell r="B251">
            <v>62500000</v>
          </cell>
          <cell r="C251">
            <v>0</v>
          </cell>
          <cell r="D251">
            <v>0</v>
          </cell>
          <cell r="E251">
            <v>62500000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 t="str">
            <v>최기자, 김원동</v>
          </cell>
        </row>
        <row r="252">
          <cell r="A252" t="str">
            <v>'94.12.15</v>
          </cell>
          <cell r="B252">
            <v>1200000000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1200000000</v>
          </cell>
          <cell r="H252">
            <v>0</v>
          </cell>
          <cell r="I252">
            <v>0</v>
          </cell>
          <cell r="J252">
            <v>0</v>
          </cell>
          <cell r="K252" t="str">
            <v>토지대(사학)</v>
          </cell>
        </row>
        <row r="253">
          <cell r="A253" t="str">
            <v>'94.12.08</v>
          </cell>
          <cell r="B253">
            <v>25000000</v>
          </cell>
          <cell r="C253">
            <v>0</v>
          </cell>
          <cell r="D253">
            <v>0</v>
          </cell>
          <cell r="E253">
            <v>25000000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 t="str">
            <v>최정식</v>
          </cell>
        </row>
        <row r="254">
          <cell r="A254" t="str">
            <v>'94.11.30</v>
          </cell>
          <cell r="B254">
            <v>320000000</v>
          </cell>
          <cell r="C254">
            <v>0</v>
          </cell>
          <cell r="D254">
            <v>0</v>
          </cell>
          <cell r="E254">
            <v>56000000</v>
          </cell>
          <cell r="F254">
            <v>579000</v>
          </cell>
          <cell r="G254">
            <v>264000000</v>
          </cell>
          <cell r="H254">
            <v>0</v>
          </cell>
          <cell r="I254">
            <v>0</v>
          </cell>
          <cell r="J254">
            <v>0</v>
          </cell>
          <cell r="K254" t="str">
            <v>진입도로,이승수,윤광준,김효순,변한숙</v>
          </cell>
        </row>
        <row r="255">
          <cell r="A255" t="str">
            <v>'94.11.29</v>
          </cell>
          <cell r="B255">
            <v>70000000</v>
          </cell>
          <cell r="C255">
            <v>40000000</v>
          </cell>
          <cell r="D255">
            <v>0</v>
          </cell>
          <cell r="E255">
            <v>30000000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본사40,000천원, 이재천30,000천원</v>
          </cell>
        </row>
        <row r="256">
          <cell r="A256" t="str">
            <v>'94.11.25</v>
          </cell>
          <cell r="B256">
            <v>315000000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315000000</v>
          </cell>
          <cell r="H256">
            <v>0</v>
          </cell>
          <cell r="I256">
            <v>0</v>
          </cell>
          <cell r="J256">
            <v>0</v>
          </cell>
          <cell r="K256" t="str">
            <v>진입도로부지</v>
          </cell>
        </row>
        <row r="257">
          <cell r="A257" t="str">
            <v>'94.11.21</v>
          </cell>
          <cell r="B257">
            <v>47500000</v>
          </cell>
          <cell r="C257">
            <v>0</v>
          </cell>
          <cell r="D257">
            <v>0</v>
          </cell>
          <cell r="E257">
            <v>47500000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 t="str">
            <v>이각순30,000천원,강정애17,500천원</v>
          </cell>
        </row>
        <row r="258">
          <cell r="A258" t="str">
            <v>'94.11.09</v>
          </cell>
          <cell r="B258">
            <v>10000000</v>
          </cell>
          <cell r="C258">
            <v>0</v>
          </cell>
          <cell r="D258">
            <v>0</v>
          </cell>
          <cell r="E258">
            <v>10000000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 t="str">
            <v>이학률</v>
          </cell>
        </row>
        <row r="259">
          <cell r="A259" t="str">
            <v>'94.11.04</v>
          </cell>
          <cell r="B259">
            <v>2500000</v>
          </cell>
          <cell r="C259">
            <v>0</v>
          </cell>
          <cell r="D259">
            <v>0</v>
          </cell>
          <cell r="E259">
            <v>2500000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우찬제</v>
          </cell>
        </row>
        <row r="260">
          <cell r="A260" t="str">
            <v>'94.10.25</v>
          </cell>
          <cell r="B260">
            <v>120000000</v>
          </cell>
          <cell r="C260">
            <v>0</v>
          </cell>
          <cell r="D260">
            <v>0</v>
          </cell>
          <cell r="E260">
            <v>30000000</v>
          </cell>
          <cell r="F260">
            <v>90000</v>
          </cell>
          <cell r="G260">
            <v>90000000</v>
          </cell>
          <cell r="H260">
            <v>0</v>
          </cell>
          <cell r="I260">
            <v>0</v>
          </cell>
          <cell r="J260">
            <v>0</v>
          </cell>
          <cell r="K260" t="str">
            <v>우찬제30,000천원,진입로부지</v>
          </cell>
        </row>
        <row r="261">
          <cell r="A261" t="str">
            <v>'94.10.07</v>
          </cell>
          <cell r="B261">
            <v>30000000</v>
          </cell>
          <cell r="C261">
            <v>0</v>
          </cell>
          <cell r="D261">
            <v>0</v>
          </cell>
          <cell r="E261">
            <v>30000000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최무용</v>
          </cell>
        </row>
        <row r="262">
          <cell r="A262" t="str">
            <v>'94.09.26</v>
          </cell>
          <cell r="B262">
            <v>30000000</v>
          </cell>
          <cell r="C262">
            <v>0</v>
          </cell>
          <cell r="D262">
            <v>0</v>
          </cell>
          <cell r="E262">
            <v>30000000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최승훈</v>
          </cell>
        </row>
        <row r="263">
          <cell r="A263" t="str">
            <v>'94.09.10</v>
          </cell>
          <cell r="B263">
            <v>40000000</v>
          </cell>
          <cell r="C263">
            <v>0</v>
          </cell>
          <cell r="D263">
            <v>0</v>
          </cell>
          <cell r="E263">
            <v>40000000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 t="str">
            <v>정귀연</v>
          </cell>
        </row>
        <row r="264">
          <cell r="A264" t="str">
            <v>'94.09.08</v>
          </cell>
          <cell r="B264">
            <v>20000000</v>
          </cell>
          <cell r="C264">
            <v>0</v>
          </cell>
          <cell r="D264">
            <v>0</v>
          </cell>
          <cell r="E264">
            <v>20000000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 t="str">
            <v>김창균</v>
          </cell>
        </row>
        <row r="265">
          <cell r="A265" t="str">
            <v>'94.09.07</v>
          </cell>
          <cell r="B265">
            <v>10000000</v>
          </cell>
          <cell r="C265">
            <v>0</v>
          </cell>
          <cell r="D265">
            <v>0</v>
          </cell>
          <cell r="E265">
            <v>10000000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 t="str">
            <v>정명수</v>
          </cell>
        </row>
        <row r="266">
          <cell r="A266" t="str">
            <v>'94.09.06</v>
          </cell>
          <cell r="B266">
            <v>30000000</v>
          </cell>
          <cell r="C266">
            <v>0</v>
          </cell>
          <cell r="D266">
            <v>0</v>
          </cell>
          <cell r="E266">
            <v>30000000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 t="str">
            <v>최병영</v>
          </cell>
        </row>
        <row r="267">
          <cell r="A267" t="str">
            <v>'94.08.25</v>
          </cell>
          <cell r="B267">
            <v>60000000</v>
          </cell>
          <cell r="C267">
            <v>0</v>
          </cell>
          <cell r="D267">
            <v>0</v>
          </cell>
          <cell r="E267">
            <v>0</v>
          </cell>
          <cell r="F267">
            <v>60000</v>
          </cell>
          <cell r="G267">
            <v>60000000</v>
          </cell>
          <cell r="H267">
            <v>0</v>
          </cell>
          <cell r="I267">
            <v>0</v>
          </cell>
          <cell r="J267">
            <v>0</v>
          </cell>
          <cell r="K267" t="str">
            <v>진입도로</v>
          </cell>
        </row>
        <row r="268">
          <cell r="A268" t="str">
            <v>'94.08.22</v>
          </cell>
          <cell r="B268">
            <v>65000000</v>
          </cell>
          <cell r="C268">
            <v>0</v>
          </cell>
          <cell r="D268">
            <v>0</v>
          </cell>
          <cell r="E268">
            <v>65000000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 t="str">
            <v>오병진32,500천원,이수범32,500천원</v>
          </cell>
        </row>
        <row r="269">
          <cell r="A269" t="str">
            <v>'94.08.03</v>
          </cell>
          <cell r="B269">
            <v>330000000</v>
          </cell>
          <cell r="C269">
            <v>300000000</v>
          </cell>
          <cell r="D269">
            <v>0</v>
          </cell>
          <cell r="E269">
            <v>30000000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 t="str">
            <v>대여금상환,윤영복 환불</v>
          </cell>
        </row>
        <row r="270">
          <cell r="A270" t="str">
            <v>'94.08.02</v>
          </cell>
          <cell r="B270">
            <v>30000000</v>
          </cell>
          <cell r="C270">
            <v>0</v>
          </cell>
          <cell r="D270">
            <v>0</v>
          </cell>
          <cell r="E270">
            <v>30000000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 t="str">
            <v>박우찬</v>
          </cell>
        </row>
        <row r="271">
          <cell r="A271" t="str">
            <v>'94.07.27</v>
          </cell>
          <cell r="B271">
            <v>3000000</v>
          </cell>
          <cell r="C271">
            <v>0</v>
          </cell>
          <cell r="D271">
            <v>0</v>
          </cell>
          <cell r="E271">
            <v>3000000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 t="str">
            <v>구정회</v>
          </cell>
        </row>
        <row r="272">
          <cell r="A272" t="str">
            <v>'94.07.25</v>
          </cell>
          <cell r="B272">
            <v>10000000</v>
          </cell>
          <cell r="C272">
            <v>0</v>
          </cell>
          <cell r="D272">
            <v>0</v>
          </cell>
          <cell r="E272">
            <v>10000000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 t="str">
            <v>안영태</v>
          </cell>
        </row>
        <row r="273">
          <cell r="A273" t="str">
            <v>'94.07.21</v>
          </cell>
          <cell r="B273">
            <v>12700000</v>
          </cell>
          <cell r="C273">
            <v>0</v>
          </cell>
          <cell r="D273">
            <v>0</v>
          </cell>
          <cell r="E273">
            <v>12700000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 t="str">
            <v>김찬식</v>
          </cell>
        </row>
        <row r="274">
          <cell r="A274" t="str">
            <v>'94.07.11</v>
          </cell>
          <cell r="B274">
            <v>31688000</v>
          </cell>
          <cell r="C274">
            <v>0</v>
          </cell>
          <cell r="D274">
            <v>0</v>
          </cell>
          <cell r="E274">
            <v>0</v>
          </cell>
          <cell r="F274">
            <v>31688</v>
          </cell>
          <cell r="G274">
            <v>0</v>
          </cell>
          <cell r="H274">
            <v>0</v>
          </cell>
          <cell r="I274">
            <v>0</v>
          </cell>
          <cell r="J274">
            <v>31688000</v>
          </cell>
          <cell r="K274" t="str">
            <v>감정평가수수료</v>
          </cell>
        </row>
        <row r="275">
          <cell r="A275" t="str">
            <v>'94.07.04</v>
          </cell>
          <cell r="B275">
            <v>28000000</v>
          </cell>
          <cell r="C275" t="str">
            <v> </v>
          </cell>
          <cell r="D275">
            <v>0</v>
          </cell>
          <cell r="E275">
            <v>28000000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 t="str">
            <v>황기서</v>
          </cell>
        </row>
        <row r="276">
          <cell r="A276" t="str">
            <v>'94.06.28</v>
          </cell>
          <cell r="B276">
            <v>20000000</v>
          </cell>
          <cell r="C276">
            <v>0</v>
          </cell>
          <cell r="D276">
            <v>0</v>
          </cell>
          <cell r="E276">
            <v>20000000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 t="str">
            <v>김이철</v>
          </cell>
        </row>
        <row r="277">
          <cell r="A277" t="str">
            <v>'94.06.23</v>
          </cell>
          <cell r="B277">
            <v>120000000</v>
          </cell>
          <cell r="C277">
            <v>100000000</v>
          </cell>
          <cell r="D277">
            <v>0</v>
          </cell>
          <cell r="E277">
            <v>20000000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 t="str">
            <v>대여금 상환,김이철</v>
          </cell>
        </row>
        <row r="278">
          <cell r="A278" t="str">
            <v>'94.06.20</v>
          </cell>
          <cell r="B278">
            <v>32500000</v>
          </cell>
          <cell r="C278">
            <v>0</v>
          </cell>
          <cell r="D278">
            <v>0</v>
          </cell>
          <cell r="E278">
            <v>32500000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 t="str">
            <v>반재봉15,000천원,최영길17,500천원</v>
          </cell>
        </row>
        <row r="279">
          <cell r="A279" t="str">
            <v>'94.06.13</v>
          </cell>
          <cell r="B279">
            <v>17500000</v>
          </cell>
          <cell r="C279">
            <v>0</v>
          </cell>
          <cell r="D279">
            <v>0</v>
          </cell>
          <cell r="E279">
            <v>17500000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 t="str">
            <v>서계문</v>
          </cell>
        </row>
        <row r="280">
          <cell r="A280" t="str">
            <v>'94.06.08</v>
          </cell>
          <cell r="B280">
            <v>20000000</v>
          </cell>
          <cell r="C280">
            <v>0</v>
          </cell>
          <cell r="D280">
            <v>0</v>
          </cell>
          <cell r="E280">
            <v>20000000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 t="str">
            <v>최명식</v>
          </cell>
        </row>
        <row r="281">
          <cell r="A281" t="str">
            <v>'94.06.03</v>
          </cell>
          <cell r="B281">
            <v>100000000</v>
          </cell>
          <cell r="C281">
            <v>100000000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 t="str">
            <v>대여금상환</v>
          </cell>
        </row>
        <row r="282">
          <cell r="A282" t="str">
            <v>'94.06.02</v>
          </cell>
          <cell r="B282">
            <v>0</v>
          </cell>
          <cell r="C282">
            <v>0</v>
          </cell>
          <cell r="D282">
            <v>0</v>
          </cell>
          <cell r="E282" t="str">
            <v> 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 t="str">
            <v> </v>
          </cell>
        </row>
        <row r="283">
          <cell r="A283" t="str">
            <v>'94.05.30</v>
          </cell>
          <cell r="B283">
            <v>30000000</v>
          </cell>
          <cell r="C283">
            <v>0</v>
          </cell>
          <cell r="D283">
            <v>0</v>
          </cell>
          <cell r="E283">
            <v>30000000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 t="str">
            <v>나재환</v>
          </cell>
        </row>
        <row r="284">
          <cell r="A284" t="str">
            <v>'94.05.26</v>
          </cell>
          <cell r="B284">
            <v>2500000</v>
          </cell>
          <cell r="C284">
            <v>0</v>
          </cell>
          <cell r="D284">
            <v>0</v>
          </cell>
          <cell r="E284">
            <v>2500000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 t="str">
            <v>이영주</v>
          </cell>
        </row>
        <row r="285">
          <cell r="A285" t="str">
            <v>'94.05.17</v>
          </cell>
          <cell r="B285">
            <v>30000000</v>
          </cell>
          <cell r="C285">
            <v>0</v>
          </cell>
          <cell r="D285">
            <v>0</v>
          </cell>
          <cell r="E285">
            <v>30000000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 t="str">
            <v>양순봉</v>
          </cell>
        </row>
        <row r="286">
          <cell r="A286" t="str">
            <v>'94.05.11</v>
          </cell>
          <cell r="B286">
            <v>20000000</v>
          </cell>
          <cell r="C286">
            <v>0</v>
          </cell>
          <cell r="D286">
            <v>0</v>
          </cell>
          <cell r="E286">
            <v>20000000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 t="str">
            <v>유향옥(농협)</v>
          </cell>
        </row>
        <row r="287">
          <cell r="A287" t="str">
            <v>'94.05.10</v>
          </cell>
          <cell r="B287">
            <v>100000000</v>
          </cell>
          <cell r="C287">
            <v>100000000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 t="str">
            <v>대여금상환</v>
          </cell>
        </row>
        <row r="288">
          <cell r="A288" t="str">
            <v>'94.05.09</v>
          </cell>
          <cell r="B288">
            <v>2500000</v>
          </cell>
          <cell r="C288">
            <v>0</v>
          </cell>
          <cell r="D288">
            <v>0</v>
          </cell>
          <cell r="E288">
            <v>2500000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 t="str">
            <v>차종우</v>
          </cell>
        </row>
        <row r="289">
          <cell r="A289" t="str">
            <v>'94.05.06</v>
          </cell>
          <cell r="B289">
            <v>100000000</v>
          </cell>
          <cell r="C289">
            <v>100000000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 t="str">
            <v>대여금상환</v>
          </cell>
        </row>
        <row r="290">
          <cell r="A290" t="str">
            <v>'94.05.04</v>
          </cell>
          <cell r="B290">
            <v>15000000</v>
          </cell>
          <cell r="C290">
            <v>0</v>
          </cell>
          <cell r="D290">
            <v>0</v>
          </cell>
          <cell r="E290">
            <v>15000000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 t="str">
            <v>송영준</v>
          </cell>
        </row>
        <row r="291">
          <cell r="A291" t="str">
            <v>'94.05.02</v>
          </cell>
          <cell r="B291">
            <v>147500000</v>
          </cell>
          <cell r="C291">
            <v>100000000</v>
          </cell>
          <cell r="D291">
            <v>0</v>
          </cell>
          <cell r="E291">
            <v>47500000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 t="str">
            <v>대여금상환,유용삼,유근숙,김종호,라금욱</v>
          </cell>
        </row>
        <row r="292">
          <cell r="A292" t="str">
            <v>'94.04.30</v>
          </cell>
          <cell r="B292">
            <v>100000000</v>
          </cell>
          <cell r="C292">
            <v>100000000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 t="str">
            <v>대여금상환</v>
          </cell>
        </row>
        <row r="293">
          <cell r="A293" t="str">
            <v>'94.04.29</v>
          </cell>
          <cell r="B293">
            <v>152500000</v>
          </cell>
          <cell r="C293">
            <v>100000000</v>
          </cell>
          <cell r="D293">
            <v>0</v>
          </cell>
          <cell r="E293">
            <v>52500000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 t="str">
            <v>대여금상환,강성훈20,000.심영석32,500천원</v>
          </cell>
        </row>
        <row r="294">
          <cell r="A294" t="str">
            <v>'94.04.27</v>
          </cell>
          <cell r="B294">
            <v>300000000</v>
          </cell>
          <cell r="C294">
            <v>300000000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 t="str">
            <v>대여금상환</v>
          </cell>
        </row>
        <row r="295">
          <cell r="A295" t="str">
            <v>'94.04.25</v>
          </cell>
          <cell r="B295">
            <v>102500000</v>
          </cell>
          <cell r="C295">
            <v>100000000</v>
          </cell>
          <cell r="D295">
            <v>0</v>
          </cell>
          <cell r="E295">
            <v>2500000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 t="str">
            <v>대여금상환, 곽성호</v>
          </cell>
        </row>
        <row r="296">
          <cell r="A296" t="str">
            <v>'94.04.21</v>
          </cell>
          <cell r="B296">
            <v>100000000</v>
          </cell>
          <cell r="C296">
            <v>100000000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 t="str">
            <v>대여금상환</v>
          </cell>
        </row>
        <row r="297">
          <cell r="A297" t="str">
            <v>'94.04.20</v>
          </cell>
          <cell r="B297">
            <v>300000000</v>
          </cell>
          <cell r="C297">
            <v>300000000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 t="str">
            <v>대여금상환</v>
          </cell>
        </row>
        <row r="298">
          <cell r="A298" t="str">
            <v>'94.04.18</v>
          </cell>
          <cell r="B298">
            <v>180500000</v>
          </cell>
          <cell r="C298">
            <v>100000000</v>
          </cell>
          <cell r="D298">
            <v>0</v>
          </cell>
          <cell r="E298">
            <v>80500000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 t="str">
            <v>대여금상환,어유선,김석수,김기훈,이동희</v>
          </cell>
        </row>
        <row r="299">
          <cell r="A299" t="str">
            <v>'94.04.11</v>
          </cell>
          <cell r="B299">
            <v>59510000</v>
          </cell>
          <cell r="C299">
            <v>0</v>
          </cell>
          <cell r="D299">
            <v>0</v>
          </cell>
          <cell r="E299">
            <v>59510000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 t="str">
            <v>홍석식,전영주</v>
          </cell>
        </row>
        <row r="300">
          <cell r="A300" t="str">
            <v>'94.04.07</v>
          </cell>
          <cell r="B300">
            <v>117500000</v>
          </cell>
          <cell r="C300">
            <v>100000000</v>
          </cell>
          <cell r="D300">
            <v>0</v>
          </cell>
          <cell r="E300">
            <v>17500000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 t="str">
            <v>대여금상환,이태종15,000,유성문2,500천원</v>
          </cell>
        </row>
        <row r="301">
          <cell r="A301" t="str">
            <v>'94.04.06</v>
          </cell>
          <cell r="B301">
            <v>265000000</v>
          </cell>
          <cell r="C301">
            <v>250000000</v>
          </cell>
          <cell r="D301">
            <v>0</v>
          </cell>
          <cell r="E301">
            <v>15000000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 t="str">
            <v>대여금상환,김광호15,000천원</v>
          </cell>
        </row>
        <row r="302">
          <cell r="A302" t="str">
            <v>'94.04.01</v>
          </cell>
          <cell r="B302">
            <v>200000000</v>
          </cell>
          <cell r="C302">
            <v>200000000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 t="str">
            <v>대여금상환</v>
          </cell>
        </row>
        <row r="303">
          <cell r="A303" t="str">
            <v>'94.03.31</v>
          </cell>
          <cell r="B303">
            <v>646428464</v>
          </cell>
          <cell r="C303">
            <v>0</v>
          </cell>
          <cell r="D303">
            <v>0</v>
          </cell>
          <cell r="E303">
            <v>0</v>
          </cell>
          <cell r="F303">
            <v>4246428.4639999997</v>
          </cell>
          <cell r="G303">
            <v>646428464</v>
          </cell>
          <cell r="H303">
            <v>0</v>
          </cell>
          <cell r="I303">
            <v>0</v>
          </cell>
          <cell r="J303">
            <v>0</v>
          </cell>
          <cell r="K303" t="str">
            <v>사학</v>
          </cell>
        </row>
        <row r="304">
          <cell r="A304" t="str">
            <v>'94.03.30</v>
          </cell>
          <cell r="B304">
            <v>1400000000</v>
          </cell>
          <cell r="C304" t="str">
            <v> </v>
          </cell>
          <cell r="D304">
            <v>0</v>
          </cell>
          <cell r="E304">
            <v>0</v>
          </cell>
          <cell r="F304">
            <v>0</v>
          </cell>
          <cell r="G304">
            <v>1400000000</v>
          </cell>
          <cell r="H304">
            <v>0</v>
          </cell>
          <cell r="I304">
            <v>0</v>
          </cell>
          <cell r="J304">
            <v>0</v>
          </cell>
          <cell r="K304" t="str">
            <v>사학</v>
          </cell>
        </row>
        <row r="305">
          <cell r="A305" t="str">
            <v>'94.03.29</v>
          </cell>
          <cell r="B305">
            <v>500000000</v>
          </cell>
          <cell r="C305" t="str">
            <v> </v>
          </cell>
          <cell r="D305">
            <v>0</v>
          </cell>
          <cell r="E305">
            <v>0</v>
          </cell>
          <cell r="F305">
            <v>0</v>
          </cell>
          <cell r="G305">
            <v>500000000</v>
          </cell>
          <cell r="H305">
            <v>0</v>
          </cell>
          <cell r="I305">
            <v>0</v>
          </cell>
          <cell r="J305">
            <v>0</v>
          </cell>
          <cell r="K305" t="str">
            <v>사학</v>
          </cell>
        </row>
        <row r="306">
          <cell r="A306" t="str">
            <v>'94.03.28</v>
          </cell>
          <cell r="B306">
            <v>417500000</v>
          </cell>
          <cell r="C306" t="str">
            <v> </v>
          </cell>
          <cell r="D306">
            <v>0</v>
          </cell>
          <cell r="E306">
            <v>17500000</v>
          </cell>
          <cell r="F306">
            <v>0</v>
          </cell>
          <cell r="G306">
            <v>400000000</v>
          </cell>
          <cell r="H306">
            <v>0</v>
          </cell>
          <cell r="I306">
            <v>0</v>
          </cell>
          <cell r="J306">
            <v>0</v>
          </cell>
          <cell r="K306" t="str">
            <v>사학,김정권17,500천원</v>
          </cell>
        </row>
        <row r="307">
          <cell r="A307" t="str">
            <v>'94.03.22</v>
          </cell>
          <cell r="B307">
            <v>722500000</v>
          </cell>
          <cell r="C307" t="str">
            <v> </v>
          </cell>
          <cell r="D307">
            <v>0</v>
          </cell>
          <cell r="E307">
            <v>22500000</v>
          </cell>
          <cell r="F307">
            <v>0</v>
          </cell>
          <cell r="G307">
            <v>700000000</v>
          </cell>
          <cell r="H307">
            <v>0</v>
          </cell>
          <cell r="I307">
            <v>0</v>
          </cell>
          <cell r="J307">
            <v>0</v>
          </cell>
          <cell r="K307" t="str">
            <v>사학,박성심.우정희5,000천원,김혜영15,000천원,이필재2,500천원</v>
          </cell>
        </row>
        <row r="308">
          <cell r="A308" t="str">
            <v>'94.03.21</v>
          </cell>
          <cell r="B308">
            <v>25000000</v>
          </cell>
          <cell r="C308">
            <v>0</v>
          </cell>
          <cell r="D308">
            <v>0</v>
          </cell>
          <cell r="E308">
            <v>25000000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 t="str">
            <v>김정욱.유현철5,000천원,유연상20,000천원</v>
          </cell>
        </row>
        <row r="309">
          <cell r="A309" t="str">
            <v>'94.03.16</v>
          </cell>
          <cell r="B309">
            <v>600000000</v>
          </cell>
          <cell r="C309" t="str">
            <v> </v>
          </cell>
          <cell r="D309">
            <v>0</v>
          </cell>
          <cell r="E309">
            <v>0</v>
          </cell>
          <cell r="F309">
            <v>0</v>
          </cell>
          <cell r="G309">
            <v>600000000</v>
          </cell>
          <cell r="H309">
            <v>0</v>
          </cell>
          <cell r="I309">
            <v>0</v>
          </cell>
          <cell r="J309">
            <v>0</v>
          </cell>
          <cell r="K309" t="str">
            <v>사학</v>
          </cell>
        </row>
        <row r="310">
          <cell r="A310" t="str">
            <v>'94.03.14</v>
          </cell>
          <cell r="B310">
            <v>40000000</v>
          </cell>
          <cell r="C310">
            <v>0</v>
          </cell>
          <cell r="D310">
            <v>0</v>
          </cell>
          <cell r="E310">
            <v>40000000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 t="str">
            <v>박복순.김재구20,000천원,구경모17,500천원,이은용2,500천원</v>
          </cell>
        </row>
        <row r="311">
          <cell r="A311" t="str">
            <v>'94.03.08</v>
          </cell>
          <cell r="B311">
            <v>5500000</v>
          </cell>
          <cell r="C311">
            <v>0</v>
          </cell>
          <cell r="D311">
            <v>0</v>
          </cell>
          <cell r="E311">
            <v>5500000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 t="str">
            <v>한상만2,500.정재열3,000천원</v>
          </cell>
        </row>
        <row r="312">
          <cell r="A312" t="str">
            <v>'94.03.07</v>
          </cell>
          <cell r="B312">
            <v>7500000</v>
          </cell>
          <cell r="C312">
            <v>0</v>
          </cell>
          <cell r="D312">
            <v>0</v>
          </cell>
          <cell r="E312">
            <v>7500000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 t="str">
            <v>김유근.김평수5,000천원,홍경모2,500천원</v>
          </cell>
        </row>
        <row r="313">
          <cell r="A313" t="str">
            <v>'94.03.03</v>
          </cell>
          <cell r="B313">
            <v>24000000</v>
          </cell>
          <cell r="C313">
            <v>0</v>
          </cell>
          <cell r="D313">
            <v>0</v>
          </cell>
          <cell r="E313">
            <v>24000000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 t="str">
            <v>박명균,이철재,김동현,조감연</v>
          </cell>
        </row>
        <row r="314">
          <cell r="A314" t="str">
            <v>'94.03.02</v>
          </cell>
          <cell r="B314">
            <v>205500000</v>
          </cell>
          <cell r="C314">
            <v>200000000</v>
          </cell>
          <cell r="D314">
            <v>0</v>
          </cell>
          <cell r="E314">
            <v>5500000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 t="str">
            <v>대여금상환,이재완,송돈헌</v>
          </cell>
        </row>
        <row r="315">
          <cell r="A315" t="str">
            <v>'94.02.04</v>
          </cell>
          <cell r="B315">
            <v>500000000</v>
          </cell>
          <cell r="C315">
            <v>500000000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 t="str">
            <v>대여금상환</v>
          </cell>
        </row>
        <row r="316">
          <cell r="A316" t="str">
            <v>'94.02.02</v>
          </cell>
          <cell r="B316">
            <v>2500000</v>
          </cell>
          <cell r="C316">
            <v>0</v>
          </cell>
          <cell r="D316">
            <v>0</v>
          </cell>
          <cell r="E316">
            <v>2500000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 t="str">
            <v>이효득</v>
          </cell>
        </row>
        <row r="317">
          <cell r="A317" t="str">
            <v>'94.01.31</v>
          </cell>
          <cell r="B317">
            <v>5500000</v>
          </cell>
          <cell r="C317">
            <v>0</v>
          </cell>
          <cell r="D317">
            <v>0</v>
          </cell>
          <cell r="E317">
            <v>5500000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 t="str">
            <v>박은선,이웅수</v>
          </cell>
        </row>
        <row r="318">
          <cell r="A318" t="str">
            <v>'94.01.25</v>
          </cell>
          <cell r="B318">
            <v>10500000</v>
          </cell>
          <cell r="C318">
            <v>5000000</v>
          </cell>
          <cell r="D318">
            <v>0</v>
          </cell>
          <cell r="E318">
            <v>5500000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 t="str">
            <v>대여금상환,김의호,서인순</v>
          </cell>
        </row>
        <row r="319">
          <cell r="A319" t="str">
            <v>'94.01.24</v>
          </cell>
          <cell r="B319">
            <v>711000000</v>
          </cell>
          <cell r="C319" t="str">
            <v> </v>
          </cell>
          <cell r="D319">
            <v>0</v>
          </cell>
          <cell r="E319">
            <v>11000000</v>
          </cell>
          <cell r="F319">
            <v>772079.25</v>
          </cell>
          <cell r="G319">
            <v>700000000</v>
          </cell>
          <cell r="H319">
            <v>0</v>
          </cell>
          <cell r="I319">
            <v>0</v>
          </cell>
          <cell r="J319">
            <v>0</v>
          </cell>
          <cell r="K319" t="str">
            <v>사학,이명우,정종희,황한규,서순예</v>
          </cell>
        </row>
        <row r="320">
          <cell r="A320" t="str">
            <v>'94.01.13</v>
          </cell>
          <cell r="B320">
            <v>3000000</v>
          </cell>
          <cell r="C320">
            <v>0</v>
          </cell>
          <cell r="D320">
            <v>0</v>
          </cell>
          <cell r="E320">
            <v>3000000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 t="str">
            <v>정헌선</v>
          </cell>
        </row>
        <row r="321">
          <cell r="A321" t="str">
            <v>'94.01.12</v>
          </cell>
          <cell r="B321">
            <v>2500000</v>
          </cell>
          <cell r="C321">
            <v>0</v>
          </cell>
          <cell r="D321">
            <v>0</v>
          </cell>
          <cell r="E321">
            <v>2500000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 t="str">
            <v>김정남</v>
          </cell>
        </row>
        <row r="322">
          <cell r="A322" t="str">
            <v>'94.01.11</v>
          </cell>
          <cell r="B322">
            <v>2500000</v>
          </cell>
          <cell r="C322">
            <v>0</v>
          </cell>
          <cell r="D322">
            <v>0</v>
          </cell>
          <cell r="E322">
            <v>2500000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 t="str">
            <v>김정현</v>
          </cell>
        </row>
        <row r="323">
          <cell r="A323" t="str">
            <v>'94.01.07</v>
          </cell>
          <cell r="B323">
            <v>3000000</v>
          </cell>
          <cell r="C323">
            <v>0</v>
          </cell>
          <cell r="D323">
            <v>0</v>
          </cell>
          <cell r="E323">
            <v>3000000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 t="str">
            <v>김봉환</v>
          </cell>
        </row>
        <row r="324">
          <cell r="A324" t="str">
            <v>'94.01.06</v>
          </cell>
          <cell r="B324">
            <v>79579250</v>
          </cell>
          <cell r="C324" t="str">
            <v> </v>
          </cell>
          <cell r="D324">
            <v>0</v>
          </cell>
          <cell r="E324">
            <v>7500000</v>
          </cell>
          <cell r="F324">
            <v>0</v>
          </cell>
          <cell r="G324">
            <v>72079250</v>
          </cell>
          <cell r="H324">
            <v>0</v>
          </cell>
          <cell r="I324">
            <v>0</v>
          </cell>
          <cell r="J324">
            <v>0</v>
          </cell>
          <cell r="K324" t="str">
            <v>사학(제일47,000천원,동화25,079.250천원),김수일2,500천원,윤덕호2,500천원,허영금2.50천원</v>
          </cell>
        </row>
        <row r="325">
          <cell r="A325" t="str">
            <v>'93.12.30</v>
          </cell>
          <cell r="B325">
            <v>178500000</v>
          </cell>
          <cell r="C325">
            <v>0</v>
          </cell>
          <cell r="D325">
            <v>0</v>
          </cell>
          <cell r="E325">
            <v>8500000</v>
          </cell>
          <cell r="F325">
            <v>170000</v>
          </cell>
          <cell r="G325">
            <v>170000000</v>
          </cell>
          <cell r="H325">
            <v>0</v>
          </cell>
          <cell r="I325">
            <v>0</v>
          </cell>
          <cell r="J325">
            <v>0</v>
          </cell>
          <cell r="K325" t="str">
            <v>사학,김종철,김일식,허영근</v>
          </cell>
        </row>
        <row r="326">
          <cell r="A326" t="str">
            <v>'93.12.29</v>
          </cell>
          <cell r="B326">
            <v>2500000</v>
          </cell>
          <cell r="C326">
            <v>0</v>
          </cell>
          <cell r="D326">
            <v>0</v>
          </cell>
          <cell r="E326">
            <v>2500000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 t="str">
            <v>이승호</v>
          </cell>
        </row>
        <row r="327">
          <cell r="A327" t="str">
            <v>'93.12.13</v>
          </cell>
          <cell r="B327">
            <v>22000000</v>
          </cell>
          <cell r="C327">
            <v>22000000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 t="str">
            <v>공삼영,백건균</v>
          </cell>
        </row>
        <row r="328">
          <cell r="A328" t="str">
            <v>'93.12.08</v>
          </cell>
          <cell r="B328">
            <v>13000000</v>
          </cell>
          <cell r="C328">
            <v>13000000</v>
          </cell>
          <cell r="D328">
            <v>0</v>
          </cell>
          <cell r="E328" t="str">
            <v> 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 t="str">
            <v>대여금상환</v>
          </cell>
        </row>
        <row r="329">
          <cell r="A329" t="str">
            <v>'93.11.23</v>
          </cell>
          <cell r="B329">
            <v>20000000</v>
          </cell>
          <cell r="C329">
            <v>0</v>
          </cell>
          <cell r="D329">
            <v>0</v>
          </cell>
          <cell r="E329">
            <v>20000000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 t="str">
            <v>이기남</v>
          </cell>
        </row>
        <row r="330">
          <cell r="A330" t="str">
            <v>'93.11.18</v>
          </cell>
          <cell r="B330">
            <v>30000000</v>
          </cell>
          <cell r="C330">
            <v>0</v>
          </cell>
          <cell r="D330">
            <v>0</v>
          </cell>
          <cell r="E330">
            <v>30000000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 t="str">
            <v>은연수,이덕우</v>
          </cell>
        </row>
        <row r="331">
          <cell r="A331" t="str">
            <v>'93.11.10</v>
          </cell>
          <cell r="B331">
            <v>15000000</v>
          </cell>
          <cell r="C331">
            <v>0</v>
          </cell>
          <cell r="D331">
            <v>0</v>
          </cell>
          <cell r="E331">
            <v>15000000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 t="str">
            <v>김재호</v>
          </cell>
        </row>
        <row r="332">
          <cell r="A332" t="str">
            <v>'93.10.14</v>
          </cell>
          <cell r="B332">
            <v>39000000</v>
          </cell>
          <cell r="C332">
            <v>39000000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 t="str">
            <v>대여금상환(제일15,000,동아24,000천원)</v>
          </cell>
        </row>
        <row r="333">
          <cell r="A333" t="str">
            <v>'93.10.06</v>
          </cell>
          <cell r="B333">
            <v>56500000</v>
          </cell>
          <cell r="C333">
            <v>26500000</v>
          </cell>
          <cell r="D333">
            <v>0</v>
          </cell>
          <cell r="E333">
            <v>30000000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 t="str">
            <v>대여금상환,정병찬,송종면</v>
          </cell>
        </row>
        <row r="334">
          <cell r="A334" t="str">
            <v>'93.10.04</v>
          </cell>
          <cell r="B334">
            <v>15000000</v>
          </cell>
          <cell r="C334">
            <v>0</v>
          </cell>
          <cell r="D334">
            <v>0</v>
          </cell>
          <cell r="E334">
            <v>15000000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 t="str">
            <v>민형기</v>
          </cell>
        </row>
        <row r="335">
          <cell r="A335" t="str">
            <v>'93.09.27</v>
          </cell>
          <cell r="B335">
            <v>65000000</v>
          </cell>
          <cell r="C335">
            <v>65000000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 t="str">
            <v>대여금상환</v>
          </cell>
        </row>
        <row r="336">
          <cell r="A336" t="str">
            <v>'93.09.16</v>
          </cell>
          <cell r="B336">
            <v>38000000</v>
          </cell>
          <cell r="C336">
            <v>38000000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 t="str">
            <v>대여금상환</v>
          </cell>
        </row>
        <row r="337">
          <cell r="A337" t="str">
            <v>'93.09.13</v>
          </cell>
          <cell r="B337">
            <v>50000000</v>
          </cell>
          <cell r="C337">
            <v>50000000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 t="str">
            <v>대여금상환</v>
          </cell>
        </row>
        <row r="338">
          <cell r="A338" t="str">
            <v>'93.09.08</v>
          </cell>
          <cell r="B338">
            <v>15000000</v>
          </cell>
          <cell r="C338">
            <v>15000000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 t="str">
            <v>대여금상환</v>
          </cell>
        </row>
        <row r="339">
          <cell r="A339" t="str">
            <v>'93.09.03</v>
          </cell>
          <cell r="B339">
            <v>48000000</v>
          </cell>
          <cell r="C339">
            <v>48000000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 t="str">
            <v>대여금상환</v>
          </cell>
        </row>
        <row r="340">
          <cell r="A340" t="str">
            <v>'93.09.02</v>
          </cell>
          <cell r="B340">
            <v>47600000</v>
          </cell>
          <cell r="C340">
            <v>42600000</v>
          </cell>
          <cell r="D340">
            <v>0</v>
          </cell>
          <cell r="E340">
            <v>5000000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 t="str">
            <v>대여금상환(제일34,000천원,축협8,600천원),최금자</v>
          </cell>
        </row>
        <row r="341">
          <cell r="A341" t="str">
            <v>'93.09.01</v>
          </cell>
          <cell r="B341">
            <v>866900000</v>
          </cell>
          <cell r="C341">
            <v>866900000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 t="str">
            <v>대여금상환(제일685,000천원,축협181,400천원)</v>
          </cell>
        </row>
        <row r="342">
          <cell r="A342" t="str">
            <v>'93.08.31</v>
          </cell>
          <cell r="B342">
            <v>1248000000</v>
          </cell>
          <cell r="C342">
            <v>1248000000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 t="str">
            <v>대여금상환</v>
          </cell>
        </row>
        <row r="343">
          <cell r="A343" t="str">
            <v>'93.08.02</v>
          </cell>
          <cell r="B343">
            <v>20000000</v>
          </cell>
          <cell r="C343">
            <v>20000000</v>
          </cell>
        </row>
        <row r="344">
          <cell r="A344" t="str">
            <v>'93.07.06</v>
          </cell>
          <cell r="B344">
            <v>10000000</v>
          </cell>
          <cell r="C344">
            <v>10000000</v>
          </cell>
        </row>
        <row r="345">
          <cell r="A345" t="str">
            <v>'93.05.14</v>
          </cell>
          <cell r="B345">
            <v>35000000</v>
          </cell>
          <cell r="C345">
            <v>0</v>
          </cell>
          <cell r="D345">
            <v>0</v>
          </cell>
          <cell r="E345">
            <v>35000000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 t="str">
            <v>최금환15,000천원,최성환20,000천원</v>
          </cell>
        </row>
        <row r="346">
          <cell r="A346" t="str">
            <v>'93.04.30</v>
          </cell>
          <cell r="B346">
            <v>15000000</v>
          </cell>
          <cell r="C346">
            <v>15000000</v>
          </cell>
        </row>
        <row r="347">
          <cell r="A347" t="str">
            <v>'93.04.28</v>
          </cell>
          <cell r="B347">
            <v>10000000</v>
          </cell>
          <cell r="C347">
            <v>10000000</v>
          </cell>
        </row>
        <row r="348">
          <cell r="A348" t="str">
            <v>'93.04.22</v>
          </cell>
          <cell r="B348">
            <v>5000000</v>
          </cell>
          <cell r="C348">
            <v>5000000</v>
          </cell>
        </row>
        <row r="349">
          <cell r="A349" t="str">
            <v> </v>
          </cell>
          <cell r="B349">
            <v>0</v>
          </cell>
          <cell r="C349">
            <v>26240000000</v>
          </cell>
          <cell r="D349">
            <v>0</v>
          </cell>
          <cell r="E349">
            <v>4636877985</v>
          </cell>
          <cell r="F349">
            <v>9757689.7659999989</v>
          </cell>
          <cell r="G349">
            <v>8478100121</v>
          </cell>
          <cell r="H349">
            <v>118861606</v>
          </cell>
          <cell r="I349">
            <v>1064549330</v>
          </cell>
          <cell r="J349">
            <v>96178709</v>
          </cell>
        </row>
        <row r="350">
          <cell r="C350">
            <v>31360811781</v>
          </cell>
          <cell r="D350">
            <v>0</v>
          </cell>
          <cell r="E350">
            <v>0</v>
          </cell>
          <cell r="F350">
            <v>0</v>
          </cell>
          <cell r="G350">
            <v>9757689766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기안지 (3)"/>
      <sheetName val="자구계획총괄보고"/>
      <sheetName val="재무제표(현재상황)"/>
      <sheetName val="자구이행시(자산매각시)"/>
      <sheetName val="자구이행시 (계열사주식매각)"/>
      <sheetName val="신차입금"/>
      <sheetName val="차입금"/>
      <sheetName val="2.PL"/>
      <sheetName val="13.CF"/>
      <sheetName val="4.BS"/>
      <sheetName val="10.영업외손익"/>
      <sheetName val="16.Downsizing"/>
      <sheetName val="14.차입"/>
      <sheetName val="감가상각"/>
      <sheetName val="감가상각비"/>
      <sheetName val="평가익"/>
      <sheetName val="평가익 (2)"/>
      <sheetName val="cfchark"/>
      <sheetName val="macro"/>
      <sheetName val="060930"/>
      <sheetName val="Sheet1"/>
      <sheetName val="기본사항"/>
      <sheetName val="Vari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68">
          <cell r="B68" t="str">
            <v>'98.12.9.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4. 영업이익액 기준"/>
      <sheetName val="분석 요약"/>
      <sheetName val="1. 제품별 수익성"/>
      <sheetName val="2. 매출액 기준"/>
      <sheetName val="3. 영업이익률 기준"/>
      <sheetName val="수정시산표"/>
      <sheetName val="LIST"/>
      <sheetName val="뒤차축소"/>
    </sheetNames>
    <sheetDataSet>
      <sheetData sheetId="0"/>
      <sheetData sheetId="1"/>
      <sheetData sheetId="2">
        <row r="16">
          <cell r="L16">
            <v>13338554385</v>
          </cell>
        </row>
      </sheetData>
      <sheetData sheetId="3">
        <row r="3">
          <cell r="L3">
            <v>150272589337</v>
          </cell>
        </row>
      </sheetData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재평가"/>
      <sheetName val="3.RISK"/>
      <sheetName val="재무제표"/>
      <sheetName val="상반기누계"/>
      <sheetName val="차입금"/>
      <sheetName val="2.PL"/>
      <sheetName val="13.CF"/>
      <sheetName val="4.BS"/>
      <sheetName val="기안지 (3)"/>
      <sheetName val="10.영업외손익"/>
      <sheetName val="16.Downsizing"/>
      <sheetName val="14.차입"/>
      <sheetName val="감가상각"/>
      <sheetName val="감가상각비"/>
      <sheetName val="평가익"/>
      <sheetName val="평가익 (2)"/>
      <sheetName val="cfchark"/>
      <sheetName val="macro"/>
      <sheetName val="환율"/>
      <sheetName val="정산표"/>
      <sheetName val="95WBS"/>
      <sheetName val="가공본"/>
      <sheetName val="수정시산표"/>
      <sheetName val="생산 &amp; 매출추이 분석"/>
      <sheetName val="7.3 DY팀"/>
      <sheetName val="기타코드"/>
      <sheetName val="생산계획 (2)"/>
      <sheetName val="INVENTORY"/>
      <sheetName val="대차대조"/>
      <sheetName val="중계기200404"/>
      <sheetName val="조정내역"/>
      <sheetName val="수주현황2월"/>
      <sheetName val="4갑"/>
      <sheetName val="99년추정"/>
      <sheetName val="생산현황"/>
      <sheetName val="순수통장"/>
      <sheetName val="적립수신"/>
      <sheetName val="1. 제품별 수익성"/>
      <sheetName val="급식예산"/>
      <sheetName val="내역서"/>
      <sheetName val="목록"/>
      <sheetName val="중기"/>
      <sheetName val="과제전체"/>
      <sheetName val="9-1차이내역"/>
      <sheetName val="JIG"/>
      <sheetName val="#REF"/>
      <sheetName val="Sheet1"/>
      <sheetName val="항목"/>
      <sheetName val="원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8">
          <cell r="B58" t="str">
            <v>c:\99\bscf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목차"/>
      <sheetName val="1"/>
      <sheetName val="2"/>
      <sheetName val="3~4"/>
      <sheetName val="5"/>
      <sheetName val="6"/>
      <sheetName val="7"/>
      <sheetName val="8"/>
      <sheetName val="9"/>
      <sheetName val="10"/>
      <sheetName val="11"/>
      <sheetName val="12~16"/>
      <sheetName val="17"/>
      <sheetName val="18"/>
      <sheetName val="19"/>
      <sheetName val="20"/>
      <sheetName val="21"/>
      <sheetName val="22"/>
      <sheetName val="23"/>
      <sheetName val="24"/>
      <sheetName val="25-26"/>
      <sheetName val="27"/>
      <sheetName val="28"/>
      <sheetName val="29"/>
      <sheetName val="38"/>
      <sheetName val="39"/>
      <sheetName val="40"/>
      <sheetName val="41"/>
      <sheetName val="42"/>
      <sheetName val="43-49"/>
    </sheetNames>
    <sheetDataSet>
      <sheetData sheetId="0" refreshError="1"/>
      <sheetData sheetId="1" refreshError="1"/>
      <sheetData sheetId="2">
        <row r="4">
          <cell r="J4" t="str">
            <v>예산대비</v>
          </cell>
          <cell r="O4" t="str">
            <v>예산</v>
          </cell>
          <cell r="P4" t="str">
            <v>실적</v>
          </cell>
          <cell r="R4" t="str">
            <v>예산대비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첨부1"/>
      <sheetName val="커버"/>
      <sheetName val="교육예산"/>
      <sheetName val="양식#1"/>
      <sheetName val="첨부2"/>
      <sheetName val="1. 제품별 수익성"/>
      <sheetName val="SUB (N)"/>
      <sheetName val="정산표"/>
      <sheetName val="특외대"/>
    </sheetNames>
    <sheetDataSet>
      <sheetData sheetId="0">
        <row r="1">
          <cell r="B1" t="str">
            <v>첨부1. 년도별 교육훈련비 추이</v>
          </cell>
          <cell r="E1" t="str">
            <v>단위:백만원</v>
          </cell>
        </row>
        <row r="2">
          <cell r="B2" t="str">
            <v>구분</v>
          </cell>
          <cell r="C2" t="str">
            <v>매출액</v>
          </cell>
          <cell r="D2" t="str">
            <v>교육비</v>
          </cell>
          <cell r="E2" t="str">
            <v>(매출대비)</v>
          </cell>
        </row>
        <row r="3">
          <cell r="B3" t="str">
            <v>96년실적</v>
          </cell>
          <cell r="C3">
            <v>4791630</v>
          </cell>
          <cell r="D3">
            <v>14677</v>
          </cell>
          <cell r="E3">
            <v>3.0630495259441983E-3</v>
          </cell>
        </row>
        <row r="4">
          <cell r="B4" t="str">
            <v>97년실적</v>
          </cell>
          <cell r="C4">
            <v>4934541</v>
          </cell>
          <cell r="D4">
            <v>14427</v>
          </cell>
          <cell r="E4">
            <v>2.9236761838639094E-3</v>
          </cell>
        </row>
        <row r="5">
          <cell r="B5" t="str">
            <v>98년실적</v>
          </cell>
          <cell r="C5">
            <v>5782448</v>
          </cell>
          <cell r="D5">
            <v>8655</v>
          </cell>
          <cell r="E5">
            <v>1.4967709177843018E-3</v>
          </cell>
        </row>
        <row r="6">
          <cell r="B6" t="str">
            <v>99년(上) 실적</v>
          </cell>
          <cell r="C6">
            <v>2919294</v>
          </cell>
          <cell r="D6">
            <v>3785</v>
          </cell>
          <cell r="E6">
            <v>1.2965463567561199E-3</v>
          </cell>
        </row>
        <row r="7">
          <cell r="B7" t="str">
            <v xml:space="preserve">        ( 99년 계획</v>
          </cell>
          <cell r="C7">
            <v>5965630</v>
          </cell>
          <cell r="D7">
            <v>12238</v>
          </cell>
          <cell r="E7" t="str">
            <v xml:space="preserve">          0.21%)</v>
          </cell>
        </row>
        <row r="8">
          <cell r="B8" t="str">
            <v>2000년 계획</v>
          </cell>
          <cell r="C8">
            <v>6200000</v>
          </cell>
          <cell r="D8">
            <v>15500</v>
          </cell>
          <cell r="E8">
            <v>2.5000000000000001E-3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커버"/>
      <sheetName val="교육예산"/>
      <sheetName val="양식#1"/>
      <sheetName val="첨부1"/>
      <sheetName val="첨부2"/>
      <sheetName val="감가상각"/>
      <sheetName val="감독1130"/>
      <sheetName val="명세"/>
      <sheetName val="운항율"/>
      <sheetName val="NC8376C5"/>
      <sheetName val="SHL"/>
      <sheetName val="2001년 예산"/>
      <sheetName val="Raw Input"/>
      <sheetName val="하수급견적대비"/>
      <sheetName val="CM 1"/>
      <sheetName val="인원계획"/>
      <sheetName val="한계이익(연습) "/>
      <sheetName val="IT-BAT"/>
      <sheetName val="갑(전기)"/>
      <sheetName val="갑(계장)"/>
      <sheetName val="회사정보"/>
      <sheetName val="YKSFRT_1"/>
      <sheetName val="Sheet1"/>
      <sheetName val="손익"/>
      <sheetName val="신공항A-9(원가수정)"/>
      <sheetName val="#REF"/>
      <sheetName val="OE율(참고)"/>
      <sheetName val="KUNGDEVI"/>
      <sheetName val="특외대"/>
      <sheetName val="intro"/>
      <sheetName val="예산"/>
      <sheetName val="포장재"/>
      <sheetName val="수액원료4"/>
      <sheetName val="Sheet3"/>
      <sheetName val="當期시산표(결재)"/>
      <sheetName val="생산직"/>
      <sheetName val="관계주식명세"/>
      <sheetName val="RECIMAKE"/>
      <sheetName val="WPL"/>
      <sheetName val="ITINERARY"/>
      <sheetName val="건설어음발행내역"/>
      <sheetName val="산출기준(파견전산실)"/>
      <sheetName val="연간점유"/>
      <sheetName val="공사개요"/>
      <sheetName val="계정code"/>
      <sheetName val="2001인원계획"/>
      <sheetName val="※ 자산 처분 계획"/>
      <sheetName val="9 투자계획"/>
      <sheetName val="VXXXXXXX"/>
      <sheetName val="기성내역"/>
      <sheetName val="설계명세서"/>
      <sheetName val="CAUDIT"/>
      <sheetName val="간접비계산"/>
      <sheetName val="B747"/>
      <sheetName val="B767"/>
      <sheetName val="Calendar"/>
      <sheetName val="인원"/>
      <sheetName val="Assumption"/>
      <sheetName val="여과지동"/>
      <sheetName val="기초자료"/>
      <sheetName val="isbg"/>
      <sheetName val="2.대외공문"/>
      <sheetName val="Data&amp;Result"/>
      <sheetName val="기준일자"/>
      <sheetName val="2공구산출내역"/>
      <sheetName val="4.PL"/>
      <sheetName val="시황"/>
      <sheetName val="표지"/>
      <sheetName val="MH_생산"/>
      <sheetName val="조정내역"/>
      <sheetName val="정비손익"/>
      <sheetName val="Lookup tables"/>
      <sheetName val="3-3. 제조원가 분석"/>
      <sheetName val=" 견적서"/>
      <sheetName val="ins"/>
      <sheetName val="#2_일위대가목록"/>
      <sheetName val="일위대가"/>
      <sheetName val="연체 ()"/>
      <sheetName val="CC Down load 0716"/>
      <sheetName val="노협(업무분장)"/>
      <sheetName val="자체양식"/>
      <sheetName val="계열실적_참고"/>
      <sheetName val="현장"/>
      <sheetName val="호봉피치"/>
      <sheetName val="97년 신설"/>
      <sheetName val="6호기"/>
      <sheetName val="대차대조표"/>
      <sheetName val="평가제외"/>
      <sheetName val="설계내역서"/>
      <sheetName val="원형1호맨홀토공수량"/>
      <sheetName val="2001년_예산"/>
      <sheetName val="※_자산_처분_계획"/>
      <sheetName val="9_투자계획"/>
      <sheetName val="연체_()"/>
      <sheetName val="2_대외공문"/>
      <sheetName val="Raw_Input"/>
      <sheetName val="4_PL"/>
      <sheetName val="Lookup_tables"/>
      <sheetName val="3-3__제조원가_분석"/>
      <sheetName val="_견적서"/>
      <sheetName val="CC_Down_load_0716"/>
      <sheetName val="CM_1"/>
      <sheetName val="한계이익(연습)_"/>
      <sheetName val="임의 매출-수정전"/>
      <sheetName val="첨"/>
      <sheetName val="년판01"/>
      <sheetName val="김관중"/>
      <sheetName val="DATE"/>
      <sheetName val="변동인원"/>
      <sheetName val="3월 매출표"/>
      <sheetName val="세금자료"/>
      <sheetName val="9509"/>
      <sheetName val="현장관리비"/>
      <sheetName val="8월--12월"/>
      <sheetName val="1월--7월"/>
      <sheetName val="토목"/>
      <sheetName val="출입자명단"/>
      <sheetName val="투입량"/>
      <sheetName val="원가계산서(남측)"/>
      <sheetName val="BOJUNGGM"/>
      <sheetName val="김수천"/>
      <sheetName val="1호맨홀가감수량"/>
      <sheetName val="FRQ"/>
      <sheetName val="기준"/>
      <sheetName val="LCDQ별"/>
      <sheetName val="Sheet4"/>
      <sheetName val="인건비"/>
      <sheetName val="XREF"/>
      <sheetName val="유형자산LS"/>
      <sheetName val="CODE"/>
      <sheetName val="gwar01p"/>
      <sheetName val="외화금융(97-03)"/>
      <sheetName val="자료"/>
      <sheetName val="일반관리비"/>
      <sheetName val="설계서"/>
      <sheetName val="#REF!"/>
      <sheetName val="투자예상실적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첨부1. 년도별 교육훈련비 추이</v>
          </cell>
          <cell r="C1">
            <v>0</v>
          </cell>
          <cell r="D1">
            <v>0</v>
          </cell>
          <cell r="E1" t="str">
            <v>단위:백만원</v>
          </cell>
        </row>
        <row r="2">
          <cell r="B2" t="str">
            <v>구분</v>
          </cell>
          <cell r="C2" t="str">
            <v>매출액</v>
          </cell>
          <cell r="D2" t="str">
            <v>교육비</v>
          </cell>
          <cell r="E2" t="str">
            <v>(매출대비)</v>
          </cell>
        </row>
        <row r="3">
          <cell r="B3" t="str">
            <v>96년실적</v>
          </cell>
          <cell r="C3">
            <v>4791630</v>
          </cell>
          <cell r="D3">
            <v>14677</v>
          </cell>
          <cell r="E3">
            <v>3.0630495259441983E-3</v>
          </cell>
        </row>
        <row r="4">
          <cell r="B4" t="str">
            <v>97년실적</v>
          </cell>
          <cell r="C4">
            <v>4934541</v>
          </cell>
          <cell r="D4">
            <v>14427</v>
          </cell>
          <cell r="E4">
            <v>2.9236761838639094E-3</v>
          </cell>
        </row>
        <row r="5">
          <cell r="B5" t="str">
            <v>98년실적</v>
          </cell>
          <cell r="C5">
            <v>5782448</v>
          </cell>
          <cell r="D5">
            <v>8655</v>
          </cell>
          <cell r="E5">
            <v>1.4967709177843018E-3</v>
          </cell>
        </row>
        <row r="6">
          <cell r="B6" t="str">
            <v>99년(上) 실적</v>
          </cell>
          <cell r="C6">
            <v>2919294</v>
          </cell>
          <cell r="D6">
            <v>3785</v>
          </cell>
          <cell r="E6">
            <v>1.2965463567561199E-3</v>
          </cell>
        </row>
        <row r="7">
          <cell r="B7" t="str">
            <v xml:space="preserve">        ( 99년 계획</v>
          </cell>
          <cell r="C7">
            <v>5965630</v>
          </cell>
          <cell r="D7">
            <v>12238</v>
          </cell>
          <cell r="E7" t="str">
            <v xml:space="preserve">          0.21%)</v>
          </cell>
        </row>
        <row r="8">
          <cell r="B8" t="str">
            <v>2000년 계획</v>
          </cell>
          <cell r="C8">
            <v>6200000</v>
          </cell>
          <cell r="D8">
            <v>15500</v>
          </cell>
          <cell r="E8">
            <v>2.5000000000000001E-3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합계"/>
      <sheetName val="국내리스1"/>
      <sheetName val="특외대"/>
      <sheetName val="연불,리스"/>
      <sheetName val="원화00"/>
      <sheetName val="원화01"/>
      <sheetName val="원화02"/>
      <sheetName val="원화03"/>
      <sheetName val="현지00"/>
      <sheetName val="현지01"/>
      <sheetName val="현지02"/>
      <sheetName val="현지03"/>
      <sheetName val="회사채00"/>
      <sheetName val="회사채01"/>
      <sheetName val="회사채02"/>
      <sheetName val="회사채03"/>
      <sheetName val="국내리스2"/>
      <sheetName val="대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입찰참가보고"/>
      <sheetName val="실행갑지"/>
      <sheetName val="내역갑지"/>
      <sheetName val="내역"/>
      <sheetName val="하수급견적대비"/>
      <sheetName val="KUNGDEVI"/>
      <sheetName val="980731"/>
      <sheetName val="특외대"/>
      <sheetName val="기본정보"/>
      <sheetName val="산업은행 경영지표"/>
      <sheetName val="보험금"/>
      <sheetName val="2호"/>
      <sheetName val="회사정보"/>
      <sheetName val="통장출금액"/>
      <sheetName val="시산표"/>
      <sheetName val="실행내역"/>
      <sheetName val="코드"/>
      <sheetName val="경비공통"/>
      <sheetName val="프로젝트목록"/>
      <sheetName val="95년실적"/>
      <sheetName val="부대공Ⅱ"/>
      <sheetName val="BS(5월-경리과)"/>
      <sheetName val="창업비(B.H.C)"/>
      <sheetName val="입출고관리표"/>
      <sheetName val="설계내역서"/>
      <sheetName val="출자한도"/>
      <sheetName val="Sheet1"/>
      <sheetName val="Sheet2"/>
      <sheetName val="Sheet3"/>
      <sheetName val="년판01"/>
      <sheetName val="매출채권"/>
      <sheetName val="준검 내역서"/>
      <sheetName val="CJE집계"/>
      <sheetName val="#REF"/>
      <sheetName val="투찰가"/>
      <sheetName val="재개발"/>
      <sheetName val="공사개요"/>
      <sheetName val="현장"/>
      <sheetName val="제출내역 (2)"/>
      <sheetName val="SG"/>
      <sheetName val="첨부1"/>
      <sheetName val="호봉피치"/>
      <sheetName val="FILE1"/>
      <sheetName val="직접비원가"/>
      <sheetName val="감독1130"/>
      <sheetName val="CAUDIT"/>
      <sheetName val="감가상각"/>
      <sheetName val="채권 현황"/>
      <sheetName val="총괄원가계산서"/>
      <sheetName val="수h"/>
      <sheetName val="호남2"/>
      <sheetName val="견적"/>
      <sheetName val="가열로SW"/>
      <sheetName val="220 (2)"/>
      <sheetName val="채권채무조회서CS"/>
      <sheetName val="적격심사표"/>
      <sheetName val="Sheet2 (2)"/>
      <sheetName val="도면번호"/>
      <sheetName val="개요"/>
      <sheetName val="96"/>
      <sheetName val="CF"/>
      <sheetName val="가격표"/>
      <sheetName val="97출고현황(SEC)"/>
      <sheetName val="상품입고집계"/>
      <sheetName val="참고(3)고정비"/>
      <sheetName val="sum"/>
      <sheetName val="손익분석"/>
      <sheetName val="매매손실준비금"/>
      <sheetName val="입찰보고"/>
      <sheetName val="자료입력"/>
      <sheetName val="정렬"/>
      <sheetName val="운항율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9 투자계획"/>
      <sheetName val="서울판관-공통부문"/>
      <sheetName val="당기추가완료"/>
      <sheetName val="입사시직위"/>
      <sheetName val="2000년1차"/>
      <sheetName val="2000전체분"/>
      <sheetName val="200"/>
      <sheetName val="Data"/>
      <sheetName val="태안9)3-2)원내역"/>
      <sheetName val="OE율(참고)"/>
      <sheetName val="증발(비등액체)"/>
      <sheetName val="V(Liquid)"/>
      <sheetName val="P(Gas)"/>
      <sheetName val="V(2p)"/>
      <sheetName val="증발(비비등액체)"/>
      <sheetName val="P(2p)"/>
      <sheetName val="FireBall"/>
      <sheetName val="물리적폭발"/>
      <sheetName val="평가제외"/>
      <sheetName val="X-3 ENG"/>
      <sheetName val="주민번호"/>
      <sheetName val="현황dbase"/>
      <sheetName val="01 공사개요"/>
      <sheetName val="2-2.매출분석"/>
      <sheetName val="GRACE"/>
      <sheetName val="신공항A-9(원가수정)"/>
      <sheetName val="조정내역"/>
      <sheetName val="MH_생산"/>
      <sheetName val="INV"/>
      <sheetName val="하조서"/>
      <sheetName val="단가"/>
      <sheetName val="일위대가표"/>
      <sheetName val="오억미만"/>
      <sheetName val="대차대조표-공시형"/>
      <sheetName val="종합그래프_당월"/>
      <sheetName val="종합그래프_전체"/>
      <sheetName val="타계정에서 명세서(PL상)"/>
      <sheetName val="상품수불"/>
      <sheetName val="수익성 분석"/>
      <sheetName val="발행구조 요약"/>
      <sheetName val="편성안2"/>
      <sheetName val="2.비교표"/>
      <sheetName val="입찰"/>
      <sheetName val="현경"/>
      <sheetName val="토목"/>
      <sheetName val="화재 탐지 설비"/>
      <sheetName val="충주"/>
      <sheetName val="전체도급"/>
      <sheetName val="3.바닥판설계"/>
      <sheetName val="집계표"/>
      <sheetName val="98지급계획"/>
      <sheetName val="매입"/>
      <sheetName val="반포2차"/>
      <sheetName val="대차대조표"/>
      <sheetName val="YKSFRT_1"/>
      <sheetName val="현장관리비"/>
      <sheetName val="교각"/>
      <sheetName val="ELECTRIC"/>
      <sheetName val="점수계산1-2"/>
      <sheetName val="RECIMAKE"/>
      <sheetName val="3월"/>
      <sheetName val="정산변경"/>
      <sheetName val="종합표"/>
      <sheetName val="임의 매출-수정전"/>
      <sheetName val="2-2.원재료"/>
      <sheetName val="투입량"/>
      <sheetName val="SV SPEC."/>
      <sheetName val="제출내역_(2)"/>
      <sheetName val="채권_현황"/>
      <sheetName val="9_투자계획"/>
      <sheetName val="X-3_ENG"/>
      <sheetName val="01_공사개요"/>
      <sheetName val="2-2_매출분석"/>
      <sheetName val="2_비교표"/>
      <sheetName val="화재_탐지_설비"/>
      <sheetName val="3_바닥판설계"/>
      <sheetName val="준검_내역서"/>
      <sheetName val="임의_매출-수정전"/>
      <sheetName val="2-2_원재료"/>
      <sheetName val="설계명세서"/>
      <sheetName val="고정항목표"/>
      <sheetName val="갑지"/>
      <sheetName val="노협(업무분장)"/>
      <sheetName val="2001년 예산"/>
      <sheetName val="총괄표"/>
      <sheetName val="合成単価作成表-BLDG"/>
      <sheetName val="DailyReportTemplate"/>
      <sheetName val="Menu"/>
      <sheetName val="7. 유형자산"/>
      <sheetName val="CODE"/>
      <sheetName val="97년 신설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database"/>
      <sheetName val="포장재료비 품목"/>
      <sheetName val="계정code"/>
      <sheetName val="8월--12월"/>
      <sheetName val="1월--7월"/>
      <sheetName val="시황"/>
      <sheetName val="표지"/>
      <sheetName val="인건비"/>
      <sheetName val="개인성과급_확정"/>
      <sheetName val="계약직"/>
      <sheetName val="平台"/>
      <sheetName val="진행률"/>
      <sheetName val="생산-판매"/>
      <sheetName val="Macro1"/>
      <sheetName val="매입현황"/>
      <sheetName val="직재"/>
      <sheetName val="재집"/>
      <sheetName val="을-ATYPE"/>
      <sheetName val="계림(함평)"/>
      <sheetName val="계림(장성)"/>
      <sheetName val="현금흐름Ⅰ"/>
      <sheetName val="노임"/>
      <sheetName val="XREF"/>
      <sheetName val="투자자산명세서"/>
      <sheetName val="대표경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 </v>
          </cell>
          <cell r="B2" t="str">
            <v> </v>
          </cell>
          <cell r="C2" t="str">
            <v> </v>
          </cell>
          <cell r="D2" t="str">
            <v> </v>
          </cell>
          <cell r="E2" t="str">
            <v>단  가</v>
          </cell>
          <cell r="F2" t="str">
            <v>금  액</v>
          </cell>
          <cell r="G2" t="str">
            <v>단   가</v>
          </cell>
          <cell r="H2">
            <v>0</v>
          </cell>
          <cell r="I2" t="str">
            <v>단   가</v>
          </cell>
          <cell r="J2" t="str">
            <v>금    액</v>
          </cell>
          <cell r="K2" t="str">
            <v>설계대비</v>
          </cell>
          <cell r="L2" t="str">
            <v>단  가</v>
          </cell>
          <cell r="M2" t="str">
            <v>금  액</v>
          </cell>
        </row>
        <row r="3">
          <cell r="J3" t="str">
            <v> </v>
          </cell>
        </row>
        <row r="4">
          <cell r="A4">
            <v>1</v>
          </cell>
          <cell r="B4" t="str">
            <v>토  공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 t="str">
            <v> </v>
          </cell>
        </row>
        <row r="6">
          <cell r="A6">
            <v>1.01</v>
          </cell>
          <cell r="B6" t="str">
            <v>기존구조물철거공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 t="str">
            <v> </v>
          </cell>
        </row>
        <row r="7">
          <cell r="A7" t="str">
            <v>a</v>
          </cell>
          <cell r="B7" t="str">
            <v>무근 콘크리트 깨기</v>
          </cell>
          <cell r="C7" t="str">
            <v>m3</v>
          </cell>
          <cell r="D7">
            <v>259</v>
          </cell>
          <cell r="E7">
            <v>23000</v>
          </cell>
          <cell r="F7">
            <v>5957000</v>
          </cell>
          <cell r="G7">
            <v>15700</v>
          </cell>
          <cell r="H7">
            <v>0</v>
          </cell>
          <cell r="I7">
            <v>15700</v>
          </cell>
          <cell r="J7">
            <v>4066300</v>
          </cell>
          <cell r="K7">
            <v>0.68260869565217386</v>
          </cell>
          <cell r="L7">
            <v>12000</v>
          </cell>
          <cell r="M7">
            <v>3108000</v>
          </cell>
        </row>
        <row r="8">
          <cell r="A8" t="str">
            <v>b</v>
          </cell>
          <cell r="B8" t="str">
            <v>철근 콘크리트 깨기</v>
          </cell>
          <cell r="C8" t="str">
            <v>m3</v>
          </cell>
          <cell r="D8">
            <v>748</v>
          </cell>
          <cell r="E8">
            <v>33074</v>
          </cell>
          <cell r="F8">
            <v>24739352</v>
          </cell>
          <cell r="G8">
            <v>26580</v>
          </cell>
          <cell r="H8">
            <v>0</v>
          </cell>
          <cell r="I8">
            <v>26580</v>
          </cell>
          <cell r="J8">
            <v>19881840</v>
          </cell>
          <cell r="K8">
            <v>0.80365241579488422</v>
          </cell>
          <cell r="L8">
            <v>15000</v>
          </cell>
          <cell r="M8">
            <v>11220000</v>
          </cell>
        </row>
        <row r="9">
          <cell r="A9" t="str">
            <v>c</v>
          </cell>
          <cell r="B9" t="str">
            <v>석축헐기</v>
          </cell>
          <cell r="C9" t="str">
            <v>m2</v>
          </cell>
          <cell r="D9">
            <v>240</v>
          </cell>
          <cell r="E9">
            <v>14531</v>
          </cell>
          <cell r="F9">
            <v>3487440</v>
          </cell>
          <cell r="G9">
            <v>10920</v>
          </cell>
          <cell r="H9">
            <v>0</v>
          </cell>
          <cell r="I9">
            <v>10920</v>
          </cell>
          <cell r="J9">
            <v>2620800</v>
          </cell>
          <cell r="K9">
            <v>0.75149679994494534</v>
          </cell>
          <cell r="L9">
            <v>8000</v>
          </cell>
          <cell r="M9">
            <v>1920000</v>
          </cell>
        </row>
        <row r="10">
          <cell r="A10" t="str">
            <v>d</v>
          </cell>
          <cell r="B10" t="str">
            <v>기존포장끼기</v>
          </cell>
          <cell r="C10" t="str">
            <v> </v>
          </cell>
          <cell r="D10" t="str">
            <v> 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d-1</v>
          </cell>
          <cell r="B11" t="str">
            <v>콘크리트 포장</v>
          </cell>
          <cell r="C11" t="str">
            <v>m3</v>
          </cell>
          <cell r="D11">
            <v>250</v>
          </cell>
          <cell r="E11">
            <v>18001</v>
          </cell>
          <cell r="F11">
            <v>4500250</v>
          </cell>
          <cell r="G11">
            <v>16800</v>
          </cell>
          <cell r="H11">
            <v>0</v>
          </cell>
          <cell r="I11">
            <v>16800</v>
          </cell>
          <cell r="J11">
            <v>4200000</v>
          </cell>
          <cell r="K11">
            <v>0.93328148436197989</v>
          </cell>
          <cell r="L11">
            <v>8000</v>
          </cell>
          <cell r="M11">
            <v>2000000</v>
          </cell>
        </row>
        <row r="12">
          <cell r="A12" t="str">
            <v>d-2</v>
          </cell>
          <cell r="B12" t="str">
            <v>아스팔트 포장</v>
          </cell>
          <cell r="C12" t="str">
            <v>m3</v>
          </cell>
          <cell r="D12">
            <v>29</v>
          </cell>
          <cell r="E12">
            <v>14814</v>
          </cell>
          <cell r="F12">
            <v>429606</v>
          </cell>
          <cell r="G12">
            <v>14260</v>
          </cell>
          <cell r="H12">
            <v>0</v>
          </cell>
          <cell r="I12">
            <v>14260</v>
          </cell>
          <cell r="J12">
            <v>413540</v>
          </cell>
          <cell r="K12">
            <v>0.96260294316187389</v>
          </cell>
          <cell r="L12">
            <v>8000</v>
          </cell>
          <cell r="M12">
            <v>232000</v>
          </cell>
        </row>
        <row r="13">
          <cell r="A13" t="str">
            <v>e</v>
          </cell>
          <cell r="B13" t="str">
            <v>기계절단공</v>
          </cell>
          <cell r="C13" t="str">
            <v> </v>
          </cell>
          <cell r="D13" t="str">
            <v> </v>
          </cell>
          <cell r="E13">
            <v>0</v>
          </cell>
          <cell r="F13">
            <v>0</v>
          </cell>
          <cell r="G13" t="str">
            <v> </v>
          </cell>
          <cell r="H13">
            <v>0</v>
          </cell>
          <cell r="I13" t="str">
            <v> 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e-1</v>
          </cell>
          <cell r="B14" t="str">
            <v>콘크리트</v>
          </cell>
          <cell r="C14" t="str">
            <v>m</v>
          </cell>
          <cell r="D14">
            <v>10</v>
          </cell>
          <cell r="E14">
            <v>1290</v>
          </cell>
          <cell r="F14">
            <v>12900</v>
          </cell>
          <cell r="G14">
            <v>1660</v>
          </cell>
          <cell r="H14">
            <v>0</v>
          </cell>
          <cell r="I14">
            <v>1660</v>
          </cell>
          <cell r="J14">
            <v>16600</v>
          </cell>
          <cell r="K14">
            <v>1.2868217054263567</v>
          </cell>
          <cell r="L14">
            <v>1500</v>
          </cell>
          <cell r="M14">
            <v>15000</v>
          </cell>
        </row>
        <row r="15">
          <cell r="A15" t="str">
            <v>e-2</v>
          </cell>
          <cell r="B15" t="str">
            <v>아스콘</v>
          </cell>
          <cell r="C15" t="str">
            <v>m</v>
          </cell>
          <cell r="D15">
            <v>1480</v>
          </cell>
          <cell r="E15">
            <v>1149</v>
          </cell>
          <cell r="F15">
            <v>1700520</v>
          </cell>
          <cell r="G15">
            <v>1300</v>
          </cell>
          <cell r="H15">
            <v>0</v>
          </cell>
          <cell r="I15">
            <v>1300</v>
          </cell>
          <cell r="J15">
            <v>1924000</v>
          </cell>
          <cell r="K15">
            <v>1.1314186248912097</v>
          </cell>
          <cell r="L15">
            <v>1500</v>
          </cell>
          <cell r="M15">
            <v>2220000</v>
          </cell>
        </row>
        <row r="16">
          <cell r="A16">
            <v>1.02</v>
          </cell>
          <cell r="B16" t="str">
            <v>토사다이크 축조공</v>
          </cell>
          <cell r="C16" t="str">
            <v>m3</v>
          </cell>
          <cell r="D16">
            <v>4027</v>
          </cell>
          <cell r="E16">
            <v>2231</v>
          </cell>
          <cell r="F16">
            <v>8984237</v>
          </cell>
          <cell r="G16">
            <v>2800</v>
          </cell>
          <cell r="H16">
            <v>0</v>
          </cell>
          <cell r="I16">
            <v>2800</v>
          </cell>
          <cell r="J16">
            <v>11275600</v>
          </cell>
          <cell r="K16">
            <v>1.2550425818018827</v>
          </cell>
          <cell r="L16">
            <v>500</v>
          </cell>
          <cell r="M16">
            <v>2013500</v>
          </cell>
        </row>
        <row r="17">
          <cell r="A17">
            <v>1.03</v>
          </cell>
          <cell r="B17" t="str">
            <v>탑구간 표토 제거공</v>
          </cell>
          <cell r="C17" t="str">
            <v>m2</v>
          </cell>
          <cell r="D17">
            <v>23468</v>
          </cell>
          <cell r="E17">
            <v>146</v>
          </cell>
          <cell r="F17">
            <v>3426328</v>
          </cell>
          <cell r="G17">
            <v>150</v>
          </cell>
          <cell r="H17">
            <v>0</v>
          </cell>
          <cell r="I17">
            <v>150</v>
          </cell>
          <cell r="J17">
            <v>3520200</v>
          </cell>
          <cell r="K17">
            <v>1.0273972602739727</v>
          </cell>
          <cell r="L17">
            <v>150</v>
          </cell>
          <cell r="M17">
            <v>3520200</v>
          </cell>
        </row>
        <row r="18">
          <cell r="A18">
            <v>1.04</v>
          </cell>
          <cell r="B18" t="str">
            <v>벌개 제근공</v>
          </cell>
          <cell r="C18" t="str">
            <v>m3</v>
          </cell>
          <cell r="D18">
            <v>660881</v>
          </cell>
          <cell r="E18">
            <v>171</v>
          </cell>
          <cell r="F18">
            <v>113010651</v>
          </cell>
          <cell r="G18">
            <v>370</v>
          </cell>
          <cell r="H18">
            <v>0</v>
          </cell>
          <cell r="I18">
            <v>370</v>
          </cell>
          <cell r="J18">
            <v>244525970</v>
          </cell>
          <cell r="K18">
            <v>2.1637426900584797</v>
          </cell>
          <cell r="L18">
            <v>150</v>
          </cell>
          <cell r="M18">
            <v>99132150</v>
          </cell>
        </row>
        <row r="19">
          <cell r="A19">
            <v>1.05</v>
          </cell>
          <cell r="B19" t="str">
            <v>깍기공</v>
          </cell>
          <cell r="C19" t="str">
            <v> </v>
          </cell>
          <cell r="D19" t="str">
            <v> </v>
          </cell>
          <cell r="E19">
            <v>0</v>
          </cell>
          <cell r="F19">
            <v>0</v>
          </cell>
          <cell r="G19" t="str">
            <v> </v>
          </cell>
          <cell r="H19">
            <v>0</v>
          </cell>
          <cell r="I19" t="str">
            <v> 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a</v>
          </cell>
          <cell r="B20" t="str">
            <v>토 사</v>
          </cell>
          <cell r="C20" t="str">
            <v>m3</v>
          </cell>
          <cell r="D20">
            <v>1530106</v>
          </cell>
          <cell r="E20">
            <v>483</v>
          </cell>
          <cell r="F20">
            <v>739041198</v>
          </cell>
          <cell r="G20">
            <v>400</v>
          </cell>
          <cell r="H20">
            <v>0</v>
          </cell>
          <cell r="I20">
            <v>400</v>
          </cell>
          <cell r="J20">
            <v>612042400</v>
          </cell>
          <cell r="K20">
            <v>0.82815734989648038</v>
          </cell>
          <cell r="L20">
            <v>400</v>
          </cell>
          <cell r="M20">
            <v>612042400</v>
          </cell>
        </row>
        <row r="21">
          <cell r="A21" t="str">
            <v>b</v>
          </cell>
          <cell r="B21" t="str">
            <v>리핑암</v>
          </cell>
          <cell r="C21" t="str">
            <v>m3</v>
          </cell>
          <cell r="D21">
            <v>1539857</v>
          </cell>
          <cell r="E21">
            <v>894</v>
          </cell>
          <cell r="F21">
            <v>1376632158</v>
          </cell>
          <cell r="G21">
            <v>680</v>
          </cell>
          <cell r="H21">
            <v>0</v>
          </cell>
          <cell r="I21">
            <v>680</v>
          </cell>
          <cell r="J21">
            <v>1047102760</v>
          </cell>
          <cell r="K21">
            <v>0.76062639821029088</v>
          </cell>
          <cell r="L21">
            <v>700</v>
          </cell>
          <cell r="M21">
            <v>1077899900</v>
          </cell>
        </row>
        <row r="22">
          <cell r="A22" t="str">
            <v>c</v>
          </cell>
          <cell r="B22" t="str">
            <v>발파암</v>
          </cell>
          <cell r="C22" t="str">
            <v>m3</v>
          </cell>
          <cell r="D22" t="str">
            <v> </v>
          </cell>
          <cell r="E22">
            <v>0</v>
          </cell>
          <cell r="F22">
            <v>0</v>
          </cell>
          <cell r="G22" t="str">
            <v> </v>
          </cell>
          <cell r="H22">
            <v>0</v>
          </cell>
          <cell r="I22" t="str">
            <v> 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c-1</v>
          </cell>
          <cell r="B23" t="str">
            <v>신 설 (발파 100%)</v>
          </cell>
          <cell r="C23" t="str">
            <v>m3</v>
          </cell>
          <cell r="D23">
            <v>759008</v>
          </cell>
          <cell r="E23">
            <v>8543</v>
          </cell>
          <cell r="F23">
            <v>6484205344</v>
          </cell>
          <cell r="G23">
            <v>5200</v>
          </cell>
          <cell r="H23">
            <v>0</v>
          </cell>
          <cell r="I23">
            <v>5200</v>
          </cell>
          <cell r="J23">
            <v>3946841600</v>
          </cell>
          <cell r="K23">
            <v>0.60868547348706548</v>
          </cell>
          <cell r="L23">
            <v>3700</v>
          </cell>
          <cell r="M23">
            <v>2808329600</v>
          </cell>
        </row>
        <row r="24">
          <cell r="A24" t="str">
            <v>c-3</v>
          </cell>
          <cell r="B24" t="str">
            <v>미진동 발파</v>
          </cell>
          <cell r="C24" t="str">
            <v>m3</v>
          </cell>
          <cell r="D24">
            <v>48264</v>
          </cell>
          <cell r="E24">
            <v>18641</v>
          </cell>
          <cell r="F24">
            <v>899689224</v>
          </cell>
          <cell r="G24">
            <v>15000</v>
          </cell>
          <cell r="H24">
            <v>0</v>
          </cell>
          <cell r="I24">
            <v>15000</v>
          </cell>
          <cell r="J24">
            <v>723960000</v>
          </cell>
          <cell r="K24">
            <v>0.80467786062979452</v>
          </cell>
          <cell r="L24">
            <v>13000</v>
          </cell>
          <cell r="M24">
            <v>627432000</v>
          </cell>
        </row>
        <row r="25">
          <cell r="A25">
            <v>1.06</v>
          </cell>
          <cell r="B25" t="str">
            <v>운 반 공</v>
          </cell>
          <cell r="C25" t="str">
            <v> </v>
          </cell>
          <cell r="D25" t="str">
            <v> </v>
          </cell>
          <cell r="E25">
            <v>0</v>
          </cell>
          <cell r="F25">
            <v>0</v>
          </cell>
          <cell r="G25" t="str">
            <v> </v>
          </cell>
          <cell r="H25">
            <v>0</v>
          </cell>
          <cell r="I25" t="str">
            <v> 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a</v>
          </cell>
          <cell r="B26" t="str">
            <v>토 사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str">
            <v> </v>
          </cell>
          <cell r="H26">
            <v>0</v>
          </cell>
          <cell r="I26" t="str">
            <v> 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a-1</v>
          </cell>
          <cell r="B27" t="str">
            <v>무 대</v>
          </cell>
          <cell r="C27" t="str">
            <v>m3</v>
          </cell>
          <cell r="D27">
            <v>210249</v>
          </cell>
          <cell r="E27">
            <v>0</v>
          </cell>
          <cell r="F27">
            <v>0</v>
          </cell>
          <cell r="G27" t="str">
            <v> </v>
          </cell>
          <cell r="H27">
            <v>0</v>
          </cell>
          <cell r="I27" t="str">
            <v> 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a-2</v>
          </cell>
          <cell r="B28" t="str">
            <v>도우져</v>
          </cell>
          <cell r="C28" t="str">
            <v>m3</v>
          </cell>
          <cell r="D28">
            <v>78377</v>
          </cell>
          <cell r="E28">
            <v>404</v>
          </cell>
          <cell r="F28">
            <v>31664308</v>
          </cell>
          <cell r="G28">
            <v>350</v>
          </cell>
          <cell r="H28">
            <v>0</v>
          </cell>
          <cell r="I28">
            <v>350</v>
          </cell>
          <cell r="J28">
            <v>27431950</v>
          </cell>
          <cell r="K28">
            <v>0.86633663366336633</v>
          </cell>
          <cell r="L28">
            <v>500</v>
          </cell>
          <cell r="M28">
            <v>39188500</v>
          </cell>
        </row>
        <row r="29">
          <cell r="A29" t="str">
            <v>a-3</v>
          </cell>
          <cell r="B29" t="str">
            <v>덤프트럭</v>
          </cell>
          <cell r="C29" t="str">
            <v>m3</v>
          </cell>
          <cell r="D29">
            <v>1305448</v>
          </cell>
          <cell r="E29">
            <v>1557</v>
          </cell>
          <cell r="F29">
            <v>2032582536</v>
          </cell>
          <cell r="G29">
            <v>1220</v>
          </cell>
          <cell r="H29">
            <v>0</v>
          </cell>
          <cell r="I29">
            <v>1220</v>
          </cell>
          <cell r="J29">
            <v>1592646560</v>
          </cell>
          <cell r="K29">
            <v>0.78355812459858698</v>
          </cell>
          <cell r="L29">
            <v>1100</v>
          </cell>
          <cell r="M29">
            <v>1435992800</v>
          </cell>
        </row>
        <row r="30">
          <cell r="A30" t="str">
            <v>b</v>
          </cell>
          <cell r="B30" t="str">
            <v>리핑암</v>
          </cell>
          <cell r="C30" t="str">
            <v> </v>
          </cell>
          <cell r="D30" t="str">
            <v> </v>
          </cell>
          <cell r="E30">
            <v>0</v>
          </cell>
          <cell r="F30">
            <v>0</v>
          </cell>
          <cell r="G30" t="str">
            <v> </v>
          </cell>
          <cell r="H30">
            <v>0</v>
          </cell>
          <cell r="I30" t="str">
            <v> 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b-1</v>
          </cell>
          <cell r="B31" t="str">
            <v>무 대</v>
          </cell>
          <cell r="C31" t="str">
            <v>m3</v>
          </cell>
          <cell r="D31">
            <v>81606</v>
          </cell>
          <cell r="E31">
            <v>0</v>
          </cell>
          <cell r="F31">
            <v>0</v>
          </cell>
          <cell r="G31" t="str">
            <v> </v>
          </cell>
          <cell r="H31">
            <v>0</v>
          </cell>
          <cell r="I31" t="str">
            <v> 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b-2</v>
          </cell>
          <cell r="B32" t="str">
            <v>도우져</v>
          </cell>
          <cell r="C32" t="str">
            <v>m3</v>
          </cell>
          <cell r="D32">
            <v>37744</v>
          </cell>
          <cell r="E32">
            <v>680</v>
          </cell>
          <cell r="F32">
            <v>25665920</v>
          </cell>
          <cell r="G32">
            <v>440</v>
          </cell>
          <cell r="H32">
            <v>0</v>
          </cell>
          <cell r="I32">
            <v>440</v>
          </cell>
          <cell r="J32">
            <v>16607360</v>
          </cell>
          <cell r="K32">
            <v>0.6470588235294118</v>
          </cell>
          <cell r="L32">
            <v>700</v>
          </cell>
          <cell r="M32">
            <v>26420800</v>
          </cell>
        </row>
        <row r="33">
          <cell r="A33" t="str">
            <v>b-3</v>
          </cell>
          <cell r="B33" t="str">
            <v>덤프트럭</v>
          </cell>
          <cell r="C33" t="str">
            <v>m3</v>
          </cell>
          <cell r="D33">
            <v>1430919</v>
          </cell>
          <cell r="E33">
            <v>2650</v>
          </cell>
          <cell r="F33">
            <v>3791935350</v>
          </cell>
          <cell r="G33">
            <v>1460</v>
          </cell>
          <cell r="H33">
            <v>0</v>
          </cell>
          <cell r="I33">
            <v>1460</v>
          </cell>
          <cell r="J33">
            <v>2089141740</v>
          </cell>
          <cell r="K33">
            <v>0.55094339622641508</v>
          </cell>
          <cell r="L33">
            <v>1400</v>
          </cell>
          <cell r="M33">
            <v>2003286600</v>
          </cell>
        </row>
        <row r="34">
          <cell r="A34" t="str">
            <v>c</v>
          </cell>
          <cell r="B34" t="str">
            <v>발파암</v>
          </cell>
          <cell r="C34" t="str">
            <v> </v>
          </cell>
          <cell r="D34">
            <v>0</v>
          </cell>
          <cell r="E34">
            <v>0</v>
          </cell>
          <cell r="F34">
            <v>0</v>
          </cell>
          <cell r="G34" t="str">
            <v> </v>
          </cell>
          <cell r="H34">
            <v>0</v>
          </cell>
          <cell r="I34" t="str">
            <v> 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c-1</v>
          </cell>
          <cell r="B35" t="str">
            <v>무 대</v>
          </cell>
          <cell r="C35" t="str">
            <v>m3</v>
          </cell>
          <cell r="D35">
            <v>15205</v>
          </cell>
          <cell r="E35">
            <v>0</v>
          </cell>
          <cell r="F35">
            <v>0</v>
          </cell>
          <cell r="G35" t="str">
            <v> </v>
          </cell>
          <cell r="H35">
            <v>0</v>
          </cell>
          <cell r="I35" t="str">
            <v> </v>
          </cell>
          <cell r="J35">
            <v>0</v>
          </cell>
          <cell r="K35">
            <v>0</v>
          </cell>
          <cell r="L35">
            <v>900</v>
          </cell>
          <cell r="M35">
            <v>13684500</v>
          </cell>
        </row>
        <row r="36">
          <cell r="A36" t="str">
            <v>c-2</v>
          </cell>
          <cell r="B36" t="str">
            <v>도우져</v>
          </cell>
          <cell r="C36" t="str">
            <v>m3</v>
          </cell>
          <cell r="D36">
            <v>16660</v>
          </cell>
          <cell r="E36">
            <v>1160</v>
          </cell>
          <cell r="F36">
            <v>19325600</v>
          </cell>
          <cell r="G36">
            <v>980</v>
          </cell>
          <cell r="H36">
            <v>0</v>
          </cell>
          <cell r="I36">
            <v>980</v>
          </cell>
          <cell r="J36">
            <v>16326800</v>
          </cell>
          <cell r="K36">
            <v>0.84482758620689657</v>
          </cell>
          <cell r="L36">
            <v>1800</v>
          </cell>
          <cell r="M36">
            <v>29988000</v>
          </cell>
        </row>
        <row r="37">
          <cell r="A37" t="str">
            <v>c-3</v>
          </cell>
          <cell r="B37" t="str">
            <v>덤프트럭</v>
          </cell>
          <cell r="C37" t="str">
            <v>m3</v>
          </cell>
          <cell r="D37">
            <v>459412</v>
          </cell>
          <cell r="E37">
            <v>4534</v>
          </cell>
          <cell r="F37">
            <v>2082974008</v>
          </cell>
          <cell r="G37">
            <v>2450</v>
          </cell>
          <cell r="H37">
            <v>0</v>
          </cell>
          <cell r="I37">
            <v>2450</v>
          </cell>
          <cell r="J37">
            <v>1125559400</v>
          </cell>
          <cell r="K37">
            <v>0.54036171151301282</v>
          </cell>
          <cell r="L37">
            <v>2500</v>
          </cell>
          <cell r="M37">
            <v>1148530000</v>
          </cell>
        </row>
        <row r="38">
          <cell r="A38" t="str">
            <v>e</v>
          </cell>
          <cell r="B38" t="str">
            <v>사 토</v>
          </cell>
          <cell r="C38" t="str">
            <v> </v>
          </cell>
          <cell r="D38">
            <v>0</v>
          </cell>
          <cell r="E38">
            <v>0</v>
          </cell>
          <cell r="F38">
            <v>0</v>
          </cell>
          <cell r="G38" t="str">
            <v> </v>
          </cell>
          <cell r="H38">
            <v>0</v>
          </cell>
          <cell r="I38" t="str">
            <v> 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e-1</v>
          </cell>
          <cell r="B39" t="str">
            <v>토 사</v>
          </cell>
          <cell r="C39" t="str">
            <v>m3</v>
          </cell>
          <cell r="D39">
            <v>38927</v>
          </cell>
          <cell r="E39">
            <v>1871</v>
          </cell>
          <cell r="F39">
            <v>72832417</v>
          </cell>
          <cell r="G39">
            <v>1700</v>
          </cell>
          <cell r="H39">
            <v>0</v>
          </cell>
          <cell r="I39">
            <v>1700</v>
          </cell>
          <cell r="J39">
            <v>66175900</v>
          </cell>
          <cell r="K39">
            <v>0.9086050240513095</v>
          </cell>
          <cell r="L39">
            <v>1500</v>
          </cell>
          <cell r="M39">
            <v>58390500</v>
          </cell>
        </row>
        <row r="40">
          <cell r="A40">
            <v>1.07</v>
          </cell>
          <cell r="B40" t="str">
            <v xml:space="preserve"> 성토 및 다짐공 </v>
          </cell>
          <cell r="C40" t="str">
            <v> </v>
          </cell>
          <cell r="D40">
            <v>0</v>
          </cell>
          <cell r="E40">
            <v>0</v>
          </cell>
          <cell r="F40">
            <v>0</v>
          </cell>
          <cell r="G40" t="str">
            <v> </v>
          </cell>
          <cell r="H40">
            <v>0</v>
          </cell>
          <cell r="I40" t="str">
            <v> 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a</v>
          </cell>
          <cell r="B41" t="str">
            <v>노 체</v>
          </cell>
          <cell r="C41" t="str">
            <v>m3</v>
          </cell>
          <cell r="D41">
            <v>3277310</v>
          </cell>
          <cell r="E41">
            <v>687</v>
          </cell>
          <cell r="F41">
            <v>2251511970</v>
          </cell>
          <cell r="G41">
            <v>600</v>
          </cell>
          <cell r="H41">
            <v>0</v>
          </cell>
          <cell r="I41">
            <v>600</v>
          </cell>
          <cell r="J41">
            <v>1966386000</v>
          </cell>
          <cell r="K41">
            <v>0.8733624454148472</v>
          </cell>
          <cell r="L41">
            <v>580</v>
          </cell>
          <cell r="M41">
            <v>1900839800</v>
          </cell>
        </row>
        <row r="42">
          <cell r="A42" t="str">
            <v>b</v>
          </cell>
          <cell r="B42" t="str">
            <v>노 상</v>
          </cell>
          <cell r="C42" t="str">
            <v>m3</v>
          </cell>
          <cell r="D42">
            <v>259605</v>
          </cell>
          <cell r="E42">
            <v>823</v>
          </cell>
          <cell r="F42">
            <v>213654915</v>
          </cell>
          <cell r="G42">
            <v>790</v>
          </cell>
          <cell r="H42">
            <v>0</v>
          </cell>
          <cell r="I42">
            <v>790</v>
          </cell>
          <cell r="J42">
            <v>205087950</v>
          </cell>
          <cell r="K42">
            <v>0.95990279465370598</v>
          </cell>
          <cell r="L42">
            <v>800</v>
          </cell>
          <cell r="M42">
            <v>207684000</v>
          </cell>
        </row>
        <row r="43">
          <cell r="A43" t="str">
            <v>c</v>
          </cell>
          <cell r="B43" t="str">
            <v>녹지대</v>
          </cell>
          <cell r="C43" t="str">
            <v>m3</v>
          </cell>
          <cell r="D43">
            <v>139579</v>
          </cell>
          <cell r="E43">
            <v>136</v>
          </cell>
          <cell r="F43">
            <v>18982744</v>
          </cell>
          <cell r="G43">
            <v>270</v>
          </cell>
          <cell r="H43">
            <v>0</v>
          </cell>
          <cell r="I43">
            <v>270</v>
          </cell>
          <cell r="J43">
            <v>37686330</v>
          </cell>
          <cell r="K43">
            <v>1.9852941176470589</v>
          </cell>
          <cell r="L43">
            <v>200</v>
          </cell>
          <cell r="M43">
            <v>27915800</v>
          </cell>
        </row>
        <row r="44">
          <cell r="A44">
            <v>1.08</v>
          </cell>
          <cell r="B44" t="str">
            <v>뒷채움 및 다짐공</v>
          </cell>
          <cell r="C44" t="str">
            <v>m3</v>
          </cell>
          <cell r="D44">
            <v>85063</v>
          </cell>
          <cell r="E44">
            <v>5061</v>
          </cell>
          <cell r="F44">
            <v>430503843</v>
          </cell>
          <cell r="G44">
            <v>5460</v>
          </cell>
          <cell r="H44">
            <v>0</v>
          </cell>
          <cell r="I44">
            <v>5460</v>
          </cell>
          <cell r="J44">
            <v>464443980</v>
          </cell>
          <cell r="K44">
            <v>1.0788381742738589</v>
          </cell>
          <cell r="L44">
            <v>3000</v>
          </cell>
          <cell r="M44">
            <v>255189000</v>
          </cell>
        </row>
        <row r="45">
          <cell r="A45">
            <v>1.0900000000000001</v>
          </cell>
          <cell r="B45" t="str">
            <v>노상 준비공</v>
          </cell>
          <cell r="C45" t="str">
            <v>m2</v>
          </cell>
          <cell r="D45">
            <v>132433</v>
          </cell>
          <cell r="E45">
            <v>33</v>
          </cell>
          <cell r="F45">
            <v>4370289</v>
          </cell>
          <cell r="G45">
            <v>60</v>
          </cell>
          <cell r="H45">
            <v>0</v>
          </cell>
          <cell r="I45">
            <v>60</v>
          </cell>
          <cell r="J45">
            <v>7945980</v>
          </cell>
          <cell r="K45">
            <v>1.8181818181818181</v>
          </cell>
          <cell r="L45">
            <v>200</v>
          </cell>
          <cell r="M45">
            <v>26486600</v>
          </cell>
        </row>
        <row r="46">
          <cell r="A46" t="str">
            <v>1.10</v>
          </cell>
          <cell r="B46" t="str">
            <v>범면 보호공</v>
          </cell>
          <cell r="C46" t="str">
            <v> </v>
          </cell>
          <cell r="D46">
            <v>0</v>
          </cell>
          <cell r="E46">
            <v>0</v>
          </cell>
          <cell r="F46">
            <v>0</v>
          </cell>
          <cell r="G46" t="str">
            <v> </v>
          </cell>
          <cell r="H46">
            <v>0</v>
          </cell>
          <cell r="I46" t="str">
            <v> 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a</v>
          </cell>
          <cell r="B47" t="str">
            <v xml:space="preserve"> 절토부</v>
          </cell>
          <cell r="C47" t="str">
            <v> </v>
          </cell>
          <cell r="D47">
            <v>0</v>
          </cell>
          <cell r="E47">
            <v>0</v>
          </cell>
          <cell r="F47">
            <v>0</v>
          </cell>
          <cell r="G47" t="str">
            <v> </v>
          </cell>
          <cell r="H47">
            <v>0</v>
          </cell>
          <cell r="I47" t="str">
            <v> 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a-2</v>
          </cell>
          <cell r="B48" t="str">
            <v>리핑암 면고르기</v>
          </cell>
          <cell r="C48" t="str">
            <v>m2</v>
          </cell>
          <cell r="D48">
            <v>117215</v>
          </cell>
          <cell r="E48">
            <v>2282</v>
          </cell>
          <cell r="F48">
            <v>267484630</v>
          </cell>
          <cell r="G48">
            <v>1160</v>
          </cell>
          <cell r="H48">
            <v>0</v>
          </cell>
          <cell r="I48">
            <v>1160</v>
          </cell>
          <cell r="J48">
            <v>135969400</v>
          </cell>
          <cell r="K48">
            <v>0.50832602979842245</v>
          </cell>
          <cell r="L48">
            <v>1200</v>
          </cell>
          <cell r="M48">
            <v>140658000</v>
          </cell>
        </row>
        <row r="49">
          <cell r="A49" t="str">
            <v>a-3</v>
          </cell>
          <cell r="B49" t="str">
            <v>발파암 면고르기</v>
          </cell>
          <cell r="C49" t="str">
            <v>m2</v>
          </cell>
          <cell r="D49">
            <v>57609</v>
          </cell>
          <cell r="E49">
            <v>5781</v>
          </cell>
          <cell r="F49">
            <v>333037629</v>
          </cell>
          <cell r="G49">
            <v>2710</v>
          </cell>
          <cell r="H49">
            <v>0</v>
          </cell>
          <cell r="I49">
            <v>2710</v>
          </cell>
          <cell r="J49">
            <v>156120390</v>
          </cell>
          <cell r="K49">
            <v>0.46877702819581385</v>
          </cell>
          <cell r="L49">
            <v>2000</v>
          </cell>
          <cell r="M49">
            <v>115218000</v>
          </cell>
        </row>
        <row r="50">
          <cell r="A50" t="str">
            <v>e</v>
          </cell>
          <cell r="B50" t="str">
            <v>공사중 범면 보호공</v>
          </cell>
          <cell r="C50" t="str">
            <v> </v>
          </cell>
          <cell r="D50" t="str">
            <v> 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A51" t="str">
            <v>e-1</v>
          </cell>
          <cell r="B51" t="str">
            <v>범면 가보호망</v>
          </cell>
          <cell r="C51" t="str">
            <v>식</v>
          </cell>
          <cell r="D51">
            <v>1</v>
          </cell>
          <cell r="E51">
            <v>0</v>
          </cell>
          <cell r="F51">
            <v>31009201</v>
          </cell>
          <cell r="G51">
            <v>48704880</v>
          </cell>
          <cell r="H51">
            <v>0</v>
          </cell>
          <cell r="I51">
            <v>48704880</v>
          </cell>
          <cell r="J51">
            <v>48704880</v>
          </cell>
          <cell r="K51">
            <v>1.5706589795719019</v>
          </cell>
          <cell r="L51">
            <v>0</v>
          </cell>
          <cell r="M51">
            <v>50000000</v>
          </cell>
        </row>
        <row r="52">
          <cell r="A52" t="str">
            <v>e-2</v>
          </cell>
          <cell r="B52" t="str">
            <v>가도수로</v>
          </cell>
          <cell r="C52" t="str">
            <v>식</v>
          </cell>
          <cell r="D52">
            <v>1</v>
          </cell>
          <cell r="E52">
            <v>0</v>
          </cell>
          <cell r="F52">
            <v>1441244</v>
          </cell>
          <cell r="G52">
            <v>0</v>
          </cell>
          <cell r="H52">
            <v>0</v>
          </cell>
          <cell r="I52">
            <v>0</v>
          </cell>
          <cell r="J52">
            <v>5000000</v>
          </cell>
          <cell r="K52">
            <v>3.4692251971213759</v>
          </cell>
          <cell r="L52">
            <v>0</v>
          </cell>
          <cell r="M52">
            <v>50000000</v>
          </cell>
        </row>
        <row r="53">
          <cell r="A53">
            <v>1.1100000000000001</v>
          </cell>
          <cell r="B53" t="str">
            <v>되메우기 및 다짐공</v>
          </cell>
          <cell r="C53" t="str">
            <v>m3</v>
          </cell>
          <cell r="D53">
            <v>12363</v>
          </cell>
          <cell r="E53">
            <v>3631</v>
          </cell>
          <cell r="F53">
            <v>44890053</v>
          </cell>
          <cell r="G53">
            <v>2640</v>
          </cell>
          <cell r="H53">
            <v>0</v>
          </cell>
          <cell r="I53">
            <v>2640</v>
          </cell>
          <cell r="J53">
            <v>32638320</v>
          </cell>
          <cell r="K53">
            <v>0.72707243183695947</v>
          </cell>
          <cell r="L53">
            <v>2500</v>
          </cell>
          <cell r="M53">
            <v>30907500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 t="str">
            <v>소  계  (토  공)</v>
          </cell>
          <cell r="C55">
            <v>0</v>
          </cell>
          <cell r="D55">
            <v>0</v>
          </cell>
          <cell r="E55">
            <v>0</v>
          </cell>
          <cell r="F55">
            <v>21319682865</v>
          </cell>
          <cell r="G55">
            <v>0</v>
          </cell>
          <cell r="H55">
            <v>0</v>
          </cell>
          <cell r="I55">
            <v>0</v>
          </cell>
          <cell r="J55">
            <v>14616264550</v>
          </cell>
          <cell r="K55">
            <v>0.68557607740006132</v>
          </cell>
          <cell r="L55">
            <v>0</v>
          </cell>
          <cell r="M55">
            <v>12811465150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7">
          <cell r="A57">
            <v>2</v>
          </cell>
          <cell r="B57" t="str">
            <v>배   수   공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A59" t="str">
            <v>A</v>
          </cell>
          <cell r="B59" t="str">
            <v>터파기공</v>
          </cell>
          <cell r="C59">
            <v>0</v>
          </cell>
          <cell r="D59">
            <v>0</v>
          </cell>
          <cell r="E59">
            <v>0</v>
          </cell>
          <cell r="F59" t="str">
            <v> 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 </v>
          </cell>
        </row>
        <row r="60">
          <cell r="A60">
            <v>1</v>
          </cell>
          <cell r="B60" t="str">
            <v>측구 터파기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a</v>
          </cell>
          <cell r="B61" t="str">
            <v>토    사</v>
          </cell>
          <cell r="C61" t="str">
            <v>m3</v>
          </cell>
          <cell r="D61">
            <v>44159</v>
          </cell>
          <cell r="E61">
            <v>3632</v>
          </cell>
          <cell r="F61">
            <v>160385488</v>
          </cell>
          <cell r="G61">
            <v>2430</v>
          </cell>
          <cell r="H61">
            <v>0</v>
          </cell>
          <cell r="I61">
            <v>2430</v>
          </cell>
          <cell r="J61">
            <v>107306370</v>
          </cell>
          <cell r="K61">
            <v>0.66905286343612336</v>
          </cell>
          <cell r="L61">
            <v>1200</v>
          </cell>
          <cell r="M61">
            <v>52990800</v>
          </cell>
        </row>
        <row r="62">
          <cell r="A62" t="str">
            <v>b</v>
          </cell>
          <cell r="B62" t="str">
            <v>리    핑</v>
          </cell>
          <cell r="C62" t="str">
            <v>m3</v>
          </cell>
          <cell r="D62">
            <v>2491</v>
          </cell>
          <cell r="E62">
            <v>74619</v>
          </cell>
          <cell r="F62">
            <v>185875929</v>
          </cell>
          <cell r="G62">
            <v>18870</v>
          </cell>
          <cell r="H62">
            <v>0</v>
          </cell>
          <cell r="I62">
            <v>18870</v>
          </cell>
          <cell r="J62">
            <v>47005170</v>
          </cell>
          <cell r="K62">
            <v>0.25288465404253607</v>
          </cell>
          <cell r="L62">
            <v>10000</v>
          </cell>
          <cell r="M62">
            <v>24910000</v>
          </cell>
        </row>
        <row r="63">
          <cell r="A63" t="str">
            <v>c</v>
          </cell>
          <cell r="B63" t="str">
            <v>발    파</v>
          </cell>
          <cell r="C63" t="str">
            <v>m3</v>
          </cell>
          <cell r="D63">
            <v>1803</v>
          </cell>
          <cell r="E63">
            <v>128155</v>
          </cell>
          <cell r="F63">
            <v>231063465</v>
          </cell>
          <cell r="G63">
            <v>35745</v>
          </cell>
          <cell r="H63">
            <v>0</v>
          </cell>
          <cell r="I63">
            <v>35745</v>
          </cell>
          <cell r="J63">
            <v>64448235</v>
          </cell>
          <cell r="K63">
            <v>0.27892005774257733</v>
          </cell>
          <cell r="L63">
            <v>25000</v>
          </cell>
          <cell r="M63">
            <v>45075000</v>
          </cell>
        </row>
        <row r="64">
          <cell r="A64">
            <v>2.02</v>
          </cell>
          <cell r="B64" t="str">
            <v>구조물터파기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 t="str">
            <v> </v>
          </cell>
          <cell r="H64">
            <v>0</v>
          </cell>
          <cell r="I64" t="str">
            <v> 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a</v>
          </cell>
          <cell r="B65" t="str">
            <v>토   사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 t="str">
            <v> </v>
          </cell>
          <cell r="H65">
            <v>0</v>
          </cell>
          <cell r="I65" t="str">
            <v> 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a-1</v>
          </cell>
          <cell r="B66" t="str">
            <v>육   상</v>
          </cell>
          <cell r="C66" t="str">
            <v>m3</v>
          </cell>
          <cell r="D66">
            <v>69974</v>
          </cell>
          <cell r="E66">
            <v>2374</v>
          </cell>
          <cell r="F66">
            <v>166118276</v>
          </cell>
          <cell r="G66">
            <v>1720</v>
          </cell>
          <cell r="H66">
            <v>0</v>
          </cell>
          <cell r="I66">
            <v>1720</v>
          </cell>
          <cell r="J66">
            <v>120355280</v>
          </cell>
          <cell r="K66">
            <v>0.72451558550968831</v>
          </cell>
          <cell r="L66">
            <v>800</v>
          </cell>
          <cell r="M66">
            <v>55979200</v>
          </cell>
        </row>
        <row r="67">
          <cell r="A67" t="str">
            <v>a-2</v>
          </cell>
          <cell r="B67" t="str">
            <v>수   중</v>
          </cell>
          <cell r="C67" t="str">
            <v>m3</v>
          </cell>
          <cell r="D67">
            <v>685</v>
          </cell>
          <cell r="E67">
            <v>3560</v>
          </cell>
          <cell r="F67">
            <v>2438600</v>
          </cell>
          <cell r="G67">
            <v>2580</v>
          </cell>
          <cell r="H67">
            <v>0</v>
          </cell>
          <cell r="I67">
            <v>2580</v>
          </cell>
          <cell r="J67">
            <v>1767300</v>
          </cell>
          <cell r="K67">
            <v>0.7247191011235955</v>
          </cell>
          <cell r="L67">
            <v>1500</v>
          </cell>
          <cell r="M67">
            <v>1027500</v>
          </cell>
        </row>
        <row r="68">
          <cell r="A68" t="str">
            <v>b</v>
          </cell>
          <cell r="B68" t="str">
            <v>리 핑 암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 t="str">
            <v>  </v>
          </cell>
          <cell r="H68">
            <v>0</v>
          </cell>
          <cell r="I68" t="str">
            <v>  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A69" t="str">
            <v>b-1</v>
          </cell>
          <cell r="B69" t="str">
            <v>육   상</v>
          </cell>
          <cell r="C69" t="str">
            <v>m3</v>
          </cell>
          <cell r="D69">
            <v>5275</v>
          </cell>
          <cell r="E69">
            <v>50471</v>
          </cell>
          <cell r="F69">
            <v>266234525</v>
          </cell>
          <cell r="G69">
            <v>12580</v>
          </cell>
          <cell r="H69">
            <v>0</v>
          </cell>
          <cell r="I69">
            <v>12580</v>
          </cell>
          <cell r="J69">
            <v>66359500</v>
          </cell>
          <cell r="K69">
            <v>0.24925204572923065</v>
          </cell>
          <cell r="L69">
            <v>10000</v>
          </cell>
          <cell r="M69">
            <v>52750000</v>
          </cell>
        </row>
        <row r="70">
          <cell r="A70" t="str">
            <v>b-2</v>
          </cell>
          <cell r="B70" t="str">
            <v>수   중</v>
          </cell>
          <cell r="C70" t="str">
            <v>m3</v>
          </cell>
          <cell r="D70">
            <v>0</v>
          </cell>
          <cell r="E70">
            <v>0</v>
          </cell>
          <cell r="F70">
            <v>0</v>
          </cell>
          <cell r="G70" t="str">
            <v> </v>
          </cell>
          <cell r="H70">
            <v>0</v>
          </cell>
          <cell r="I70" t="str">
            <v> 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A71" t="str">
            <v>c</v>
          </cell>
          <cell r="B71" t="str">
            <v>발   파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A72" t="str">
            <v>c-1</v>
          </cell>
          <cell r="B72" t="str">
            <v>육   상</v>
          </cell>
          <cell r="C72" t="str">
            <v>m3</v>
          </cell>
          <cell r="D72">
            <v>2078</v>
          </cell>
          <cell r="E72">
            <v>86595</v>
          </cell>
          <cell r="F72">
            <v>179944410</v>
          </cell>
          <cell r="G72">
            <v>23830</v>
          </cell>
          <cell r="H72">
            <v>0</v>
          </cell>
          <cell r="I72">
            <v>23830</v>
          </cell>
          <cell r="J72">
            <v>49518740</v>
          </cell>
          <cell r="K72">
            <v>0.27518909867775276</v>
          </cell>
          <cell r="L72">
            <v>25000</v>
          </cell>
          <cell r="M72">
            <v>51950000</v>
          </cell>
        </row>
        <row r="73">
          <cell r="A73" t="str">
            <v>c-2</v>
          </cell>
          <cell r="B73" t="str">
            <v>수   중</v>
          </cell>
          <cell r="C73" t="str">
            <v>m3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A74">
            <v>2.0299999999999998</v>
          </cell>
          <cell r="B74" t="str">
            <v>되메우기및 다짐</v>
          </cell>
          <cell r="C74" t="str">
            <v>m3</v>
          </cell>
          <cell r="D74">
            <v>52223</v>
          </cell>
          <cell r="E74">
            <v>3631</v>
          </cell>
          <cell r="F74">
            <v>189621713</v>
          </cell>
          <cell r="G74">
            <v>2640</v>
          </cell>
          <cell r="H74">
            <v>0</v>
          </cell>
          <cell r="I74">
            <v>2640</v>
          </cell>
          <cell r="J74">
            <v>137868720</v>
          </cell>
          <cell r="K74">
            <v>0.72707243183695947</v>
          </cell>
          <cell r="L74">
            <v>2500</v>
          </cell>
          <cell r="M74">
            <v>130557500</v>
          </cell>
        </row>
        <row r="75">
          <cell r="A75" t="str">
            <v>B</v>
          </cell>
          <cell r="B75" t="str">
            <v>측   구   공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 t="str">
            <v> </v>
          </cell>
          <cell r="H75">
            <v>0</v>
          </cell>
          <cell r="I75" t="str">
            <v> 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A76">
            <v>2.04</v>
          </cell>
          <cell r="B76" t="str">
            <v>V형 측구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 t="str">
            <v> </v>
          </cell>
          <cell r="H76">
            <v>0</v>
          </cell>
          <cell r="I76" t="str">
            <v> 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A77" t="str">
            <v>b</v>
          </cell>
          <cell r="B77" t="str">
            <v>형식-2(H=0.60M)</v>
          </cell>
          <cell r="C77" t="str">
            <v>m</v>
          </cell>
          <cell r="D77">
            <v>7595</v>
          </cell>
          <cell r="E77">
            <v>64704</v>
          </cell>
          <cell r="F77">
            <v>491426880</v>
          </cell>
          <cell r="G77">
            <v>60000</v>
          </cell>
          <cell r="H77" t="str">
            <v>ERR</v>
          </cell>
          <cell r="I77">
            <v>63870</v>
          </cell>
          <cell r="J77">
            <v>455700000</v>
          </cell>
          <cell r="K77">
            <v>0.92729970326409494</v>
          </cell>
          <cell r="L77">
            <v>50000</v>
          </cell>
          <cell r="M77">
            <v>379750000</v>
          </cell>
        </row>
        <row r="78">
          <cell r="A78" t="str">
            <v>c</v>
          </cell>
          <cell r="B78" t="str">
            <v>형식-3(H=1.00M)</v>
          </cell>
          <cell r="C78" t="str">
            <v>m</v>
          </cell>
          <cell r="D78">
            <v>11475</v>
          </cell>
          <cell r="E78">
            <v>104751</v>
          </cell>
          <cell r="F78">
            <v>1202017725</v>
          </cell>
          <cell r="G78">
            <v>95680</v>
          </cell>
          <cell r="H78" t="str">
            <v>ERR</v>
          </cell>
          <cell r="I78">
            <v>102350</v>
          </cell>
          <cell r="J78">
            <v>1097928000</v>
          </cell>
          <cell r="K78">
            <v>0.91340416797930335</v>
          </cell>
          <cell r="L78">
            <v>70000</v>
          </cell>
          <cell r="M78">
            <v>803250000</v>
          </cell>
        </row>
        <row r="79">
          <cell r="A79">
            <v>2.0499999999999998</v>
          </cell>
          <cell r="B79" t="str">
            <v>산마루 측구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 t="str">
            <v> </v>
          </cell>
          <cell r="H79">
            <v>0</v>
          </cell>
          <cell r="I79" t="str">
            <v> 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A80" t="str">
            <v>b</v>
          </cell>
          <cell r="B80" t="str">
            <v>형식-2(990X650X500X1000M/M)</v>
          </cell>
          <cell r="C80" t="str">
            <v>m</v>
          </cell>
          <cell r="D80">
            <v>5136</v>
          </cell>
          <cell r="E80">
            <v>7723</v>
          </cell>
          <cell r="F80">
            <v>39665328</v>
          </cell>
          <cell r="G80">
            <v>66680</v>
          </cell>
          <cell r="H80">
            <v>0</v>
          </cell>
          <cell r="I80">
            <v>66680</v>
          </cell>
          <cell r="J80">
            <v>342468480</v>
          </cell>
          <cell r="K80">
            <v>8.6339505373559504</v>
          </cell>
          <cell r="L80">
            <v>80000</v>
          </cell>
          <cell r="M80">
            <v>410880000</v>
          </cell>
        </row>
        <row r="81">
          <cell r="A81">
            <v>2.06</v>
          </cell>
          <cell r="B81" t="str">
            <v>L형 측구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 t="str">
            <v> </v>
          </cell>
          <cell r="H81">
            <v>0</v>
          </cell>
          <cell r="I81" t="str">
            <v> 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A82" t="str">
            <v>a</v>
          </cell>
          <cell r="B82" t="str">
            <v>형식-1(H=0.45M)</v>
          </cell>
          <cell r="C82" t="str">
            <v>m</v>
          </cell>
          <cell r="D82">
            <v>8181</v>
          </cell>
          <cell r="E82">
            <v>3089</v>
          </cell>
          <cell r="F82">
            <v>25271109</v>
          </cell>
          <cell r="G82">
            <v>6160</v>
          </cell>
          <cell r="H82" t="str">
            <v>ERR</v>
          </cell>
          <cell r="I82">
            <v>8210</v>
          </cell>
          <cell r="J82">
            <v>50394960</v>
          </cell>
          <cell r="K82">
            <v>1.9941728714794431</v>
          </cell>
          <cell r="L82">
            <v>25000</v>
          </cell>
          <cell r="M82">
            <v>204525000</v>
          </cell>
        </row>
        <row r="83">
          <cell r="A83" t="str">
            <v>b</v>
          </cell>
          <cell r="B83" t="str">
            <v>형식-2(H=1.20M)</v>
          </cell>
          <cell r="C83" t="str">
            <v>m</v>
          </cell>
          <cell r="D83">
            <v>6166</v>
          </cell>
          <cell r="E83">
            <v>67034</v>
          </cell>
          <cell r="F83">
            <v>413331644</v>
          </cell>
          <cell r="G83">
            <v>56920</v>
          </cell>
          <cell r="H83" t="str">
            <v>ERR</v>
          </cell>
          <cell r="I83">
            <v>64890</v>
          </cell>
          <cell r="J83">
            <v>350968720</v>
          </cell>
          <cell r="K83">
            <v>0.84912134140883733</v>
          </cell>
          <cell r="L83">
            <v>65000</v>
          </cell>
          <cell r="M83">
            <v>400790000</v>
          </cell>
        </row>
        <row r="84">
          <cell r="A84" t="str">
            <v>d</v>
          </cell>
          <cell r="B84" t="str">
            <v>형식-4(부채용도로)</v>
          </cell>
          <cell r="C84" t="str">
            <v>m</v>
          </cell>
          <cell r="D84">
            <v>4851</v>
          </cell>
          <cell r="E84">
            <v>5600</v>
          </cell>
          <cell r="F84">
            <v>27165600</v>
          </cell>
          <cell r="G84">
            <v>14160</v>
          </cell>
          <cell r="H84" t="str">
            <v>ERR</v>
          </cell>
          <cell r="I84">
            <v>15380</v>
          </cell>
          <cell r="J84">
            <v>68690160</v>
          </cell>
          <cell r="K84">
            <v>2.5285714285714285</v>
          </cell>
          <cell r="L84">
            <v>20000</v>
          </cell>
          <cell r="M84">
            <v>97020000</v>
          </cell>
        </row>
        <row r="85">
          <cell r="A85">
            <v>2.0699999999999998</v>
          </cell>
          <cell r="B85" t="str">
            <v>U형 측구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 t="str">
            <v> </v>
          </cell>
          <cell r="H85">
            <v>0</v>
          </cell>
          <cell r="I85" t="str">
            <v> 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A86" t="str">
            <v>a</v>
          </cell>
          <cell r="B86" t="str">
            <v>형식-1(H=0.15M)</v>
          </cell>
          <cell r="C86" t="str">
            <v>m</v>
          </cell>
          <cell r="D86">
            <v>890</v>
          </cell>
          <cell r="E86">
            <v>38090</v>
          </cell>
          <cell r="F86">
            <v>33900100</v>
          </cell>
          <cell r="G86">
            <v>46490</v>
          </cell>
          <cell r="H86" t="str">
            <v>ERR</v>
          </cell>
          <cell r="I86">
            <v>53500</v>
          </cell>
          <cell r="J86">
            <v>41376100</v>
          </cell>
          <cell r="K86">
            <v>1.2205303229194013</v>
          </cell>
          <cell r="L86">
            <v>45000</v>
          </cell>
          <cell r="M86">
            <v>40050000</v>
          </cell>
        </row>
        <row r="87">
          <cell r="A87" t="str">
            <v>f</v>
          </cell>
          <cell r="B87" t="str">
            <v>형식-6(H=0.5M,녹지대용)</v>
          </cell>
          <cell r="C87" t="str">
            <v>m</v>
          </cell>
          <cell r="D87">
            <v>2513</v>
          </cell>
          <cell r="E87">
            <v>55642</v>
          </cell>
          <cell r="F87">
            <v>139828346</v>
          </cell>
          <cell r="G87">
            <v>50680</v>
          </cell>
          <cell r="H87" t="str">
            <v>ERR</v>
          </cell>
          <cell r="I87">
            <v>54220</v>
          </cell>
          <cell r="J87">
            <v>127358840</v>
          </cell>
          <cell r="K87">
            <v>0.91082275978577332</v>
          </cell>
          <cell r="L87">
            <v>50000</v>
          </cell>
          <cell r="M87">
            <v>125650000</v>
          </cell>
        </row>
        <row r="88">
          <cell r="A88">
            <v>2.08</v>
          </cell>
          <cell r="B88" t="str">
            <v>맹 암 거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 t="str">
            <v> </v>
          </cell>
          <cell r="H88">
            <v>0</v>
          </cell>
          <cell r="I88" t="str">
            <v> 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a</v>
          </cell>
          <cell r="B89" t="str">
            <v>형식-1(유공관+부직포)</v>
          </cell>
          <cell r="C89" t="str">
            <v>m</v>
          </cell>
          <cell r="D89">
            <v>3517</v>
          </cell>
          <cell r="E89">
            <v>9988</v>
          </cell>
          <cell r="F89">
            <v>35127796</v>
          </cell>
          <cell r="G89">
            <v>7640</v>
          </cell>
          <cell r="H89" t="str">
            <v>ERR</v>
          </cell>
          <cell r="I89">
            <v>8680</v>
          </cell>
          <cell r="J89">
            <v>26869880</v>
          </cell>
          <cell r="K89">
            <v>0.76491790148177818</v>
          </cell>
          <cell r="L89">
            <v>16000</v>
          </cell>
          <cell r="M89">
            <v>56272000</v>
          </cell>
        </row>
        <row r="90">
          <cell r="A90" t="str">
            <v>b</v>
          </cell>
          <cell r="B90" t="str">
            <v>형식-2(유공관)</v>
          </cell>
          <cell r="C90" t="str">
            <v>m</v>
          </cell>
          <cell r="D90">
            <v>10137</v>
          </cell>
          <cell r="E90">
            <v>6265</v>
          </cell>
          <cell r="F90">
            <v>63508305</v>
          </cell>
          <cell r="G90">
            <v>4610</v>
          </cell>
          <cell r="H90" t="str">
            <v>ERR</v>
          </cell>
          <cell r="I90">
            <v>5660</v>
          </cell>
          <cell r="J90">
            <v>46731570</v>
          </cell>
          <cell r="K90">
            <v>0.73583399840383079</v>
          </cell>
          <cell r="L90">
            <v>14000</v>
          </cell>
          <cell r="M90">
            <v>141918000</v>
          </cell>
        </row>
        <row r="91">
          <cell r="A91" t="str">
            <v>c</v>
          </cell>
          <cell r="B91" t="str">
            <v>형식-3(부직포)</v>
          </cell>
          <cell r="C91" t="str">
            <v>m</v>
          </cell>
          <cell r="D91">
            <v>3926</v>
          </cell>
          <cell r="E91">
            <v>7214</v>
          </cell>
          <cell r="F91">
            <v>28322164</v>
          </cell>
          <cell r="G91">
            <v>4610</v>
          </cell>
          <cell r="H91" t="str">
            <v>ERR</v>
          </cell>
          <cell r="I91">
            <v>5660</v>
          </cell>
          <cell r="J91">
            <v>18098860</v>
          </cell>
          <cell r="K91">
            <v>0.6390352093152204</v>
          </cell>
          <cell r="L91">
            <v>9000</v>
          </cell>
          <cell r="M91">
            <v>35334000</v>
          </cell>
        </row>
        <row r="92">
          <cell r="A92" t="str">
            <v>d</v>
          </cell>
          <cell r="B92" t="str">
            <v>형식-4(선택재료층재)</v>
          </cell>
          <cell r="C92" t="str">
            <v>m</v>
          </cell>
          <cell r="D92">
            <v>186</v>
          </cell>
          <cell r="E92">
            <v>4532</v>
          </cell>
          <cell r="F92">
            <v>842952</v>
          </cell>
          <cell r="G92">
            <v>4610</v>
          </cell>
          <cell r="H92" t="str">
            <v>ERR</v>
          </cell>
          <cell r="I92">
            <v>5660</v>
          </cell>
          <cell r="J92">
            <v>857460</v>
          </cell>
          <cell r="K92">
            <v>1.0172109443954105</v>
          </cell>
          <cell r="L92">
            <v>6000</v>
          </cell>
          <cell r="M92">
            <v>1116000</v>
          </cell>
        </row>
        <row r="93">
          <cell r="A93" t="str">
            <v>C</v>
          </cell>
          <cell r="B93" t="str">
            <v>배수관공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 t="str">
            <v> </v>
          </cell>
          <cell r="H93">
            <v>0</v>
          </cell>
          <cell r="I93" t="str">
            <v> 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 t="str">
            <v>b</v>
          </cell>
          <cell r="B94" t="str">
            <v>원심력 철근콘크리트관</v>
          </cell>
          <cell r="C94" t="str">
            <v> </v>
          </cell>
          <cell r="D94">
            <v>0</v>
          </cell>
          <cell r="E94">
            <v>0</v>
          </cell>
          <cell r="F94">
            <v>0</v>
          </cell>
          <cell r="G94" t="str">
            <v> </v>
          </cell>
          <cell r="H94">
            <v>0</v>
          </cell>
          <cell r="I94" t="str">
            <v> 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 t="str">
            <v>b-3</v>
          </cell>
          <cell r="B95" t="str">
            <v>D =  600M/M</v>
          </cell>
          <cell r="C95" t="str">
            <v>m</v>
          </cell>
          <cell r="D95">
            <v>654</v>
          </cell>
          <cell r="E95">
            <v>64990</v>
          </cell>
          <cell r="F95">
            <v>42503460</v>
          </cell>
          <cell r="G95">
            <v>30300</v>
          </cell>
          <cell r="H95" t="str">
            <v>ERR</v>
          </cell>
          <cell r="I95">
            <v>64600</v>
          </cell>
          <cell r="J95">
            <v>19816200</v>
          </cell>
          <cell r="K95">
            <v>0.46622557316510232</v>
          </cell>
          <cell r="L95">
            <v>20000</v>
          </cell>
          <cell r="M95">
            <v>13080000</v>
          </cell>
        </row>
        <row r="96">
          <cell r="A96" t="str">
            <v>b-5</v>
          </cell>
          <cell r="B96" t="str">
            <v>D = 1000M/M</v>
          </cell>
          <cell r="C96" t="str">
            <v>m</v>
          </cell>
          <cell r="D96">
            <v>27</v>
          </cell>
          <cell r="E96">
            <v>128755</v>
          </cell>
          <cell r="F96">
            <v>3476385</v>
          </cell>
          <cell r="G96">
            <v>62600</v>
          </cell>
          <cell r="H96" t="str">
            <v>ERR</v>
          </cell>
          <cell r="I96">
            <v>150100</v>
          </cell>
          <cell r="J96">
            <v>1690200</v>
          </cell>
          <cell r="K96">
            <v>0.48619471088501415</v>
          </cell>
          <cell r="L96">
            <v>60000</v>
          </cell>
          <cell r="M96">
            <v>1620000</v>
          </cell>
        </row>
        <row r="97">
          <cell r="A97" t="str">
            <v>b-6</v>
          </cell>
          <cell r="B97" t="str">
            <v>D = 1200M/M</v>
          </cell>
          <cell r="C97" t="str">
            <v>m</v>
          </cell>
          <cell r="D97">
            <v>11</v>
          </cell>
          <cell r="E97">
            <v>181417</v>
          </cell>
          <cell r="F97">
            <v>1995587</v>
          </cell>
          <cell r="G97">
            <v>87110</v>
          </cell>
          <cell r="H97" t="str">
            <v>ERR</v>
          </cell>
          <cell r="I97">
            <v>210400</v>
          </cell>
          <cell r="J97">
            <v>958210</v>
          </cell>
          <cell r="K97">
            <v>0.48016448293158853</v>
          </cell>
          <cell r="L97">
            <v>80000</v>
          </cell>
          <cell r="M97">
            <v>880000</v>
          </cell>
        </row>
        <row r="98">
          <cell r="A98" t="str">
            <v>2.10</v>
          </cell>
          <cell r="B98" t="str">
            <v>횡배수관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 t="str">
            <v> </v>
          </cell>
          <cell r="H98">
            <v>0</v>
          </cell>
          <cell r="I98" t="str">
            <v> 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 t="str">
            <v>c</v>
          </cell>
          <cell r="B99" t="str">
            <v>보강원심력 철근콘크리트관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 t="str">
            <v> </v>
          </cell>
          <cell r="H99">
            <v>0</v>
          </cell>
          <cell r="I99" t="str">
            <v> 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 t="str">
            <v>c-1</v>
          </cell>
          <cell r="B100" t="str">
            <v>형식-A (H &lt;  5M)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c-1-a</v>
          </cell>
          <cell r="B101" t="str">
            <v>D =  800M/M</v>
          </cell>
          <cell r="C101" t="str">
            <v>m</v>
          </cell>
          <cell r="D101">
            <v>128</v>
          </cell>
          <cell r="E101">
            <v>116200</v>
          </cell>
          <cell r="F101">
            <v>14873600</v>
          </cell>
          <cell r="G101">
            <v>70090</v>
          </cell>
          <cell r="H101" t="str">
            <v>ERR</v>
          </cell>
          <cell r="I101">
            <v>147320</v>
          </cell>
          <cell r="J101">
            <v>8971520</v>
          </cell>
          <cell r="K101">
            <v>0.60318416523235796</v>
          </cell>
          <cell r="L101">
            <v>75000</v>
          </cell>
          <cell r="M101">
            <v>9600000</v>
          </cell>
        </row>
        <row r="102">
          <cell r="A102" t="str">
            <v>c-1-b</v>
          </cell>
          <cell r="B102" t="str">
            <v>D = 1000M/M</v>
          </cell>
          <cell r="C102" t="str">
            <v>m</v>
          </cell>
          <cell r="D102">
            <v>601</v>
          </cell>
          <cell r="E102">
            <v>149042</v>
          </cell>
          <cell r="F102">
            <v>89574242</v>
          </cell>
          <cell r="G102">
            <v>92610</v>
          </cell>
          <cell r="H102" t="str">
            <v>ERR</v>
          </cell>
          <cell r="I102">
            <v>210400</v>
          </cell>
          <cell r="J102">
            <v>55658610</v>
          </cell>
          <cell r="K102">
            <v>0.62136847331624645</v>
          </cell>
          <cell r="L102">
            <v>130000</v>
          </cell>
          <cell r="M102">
            <v>78130000</v>
          </cell>
        </row>
        <row r="103">
          <cell r="A103" t="str">
            <v>c-1-c</v>
          </cell>
          <cell r="B103" t="str">
            <v>D = 1200M/M</v>
          </cell>
          <cell r="C103" t="str">
            <v>m</v>
          </cell>
          <cell r="D103">
            <v>135</v>
          </cell>
          <cell r="E103">
            <v>211672</v>
          </cell>
          <cell r="F103">
            <v>28575720</v>
          </cell>
          <cell r="G103">
            <v>146880</v>
          </cell>
          <cell r="H103" t="str">
            <v>ERR</v>
          </cell>
          <cell r="I103">
            <v>302960</v>
          </cell>
          <cell r="J103">
            <v>19828800</v>
          </cell>
          <cell r="K103">
            <v>0.69390377565289696</v>
          </cell>
          <cell r="L103">
            <v>170000</v>
          </cell>
          <cell r="M103">
            <v>22950000</v>
          </cell>
        </row>
        <row r="104">
          <cell r="A104" t="str">
            <v>c-2</v>
          </cell>
          <cell r="B104" t="str">
            <v>형식-B( 5M&lt;=H&lt;10M)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 t="str">
            <v> </v>
          </cell>
          <cell r="H104">
            <v>0</v>
          </cell>
          <cell r="I104" t="str">
            <v> 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 t="str">
            <v>c-2-a</v>
          </cell>
          <cell r="B105" t="str">
            <v>D =  800M/M</v>
          </cell>
          <cell r="C105" t="str">
            <v>m</v>
          </cell>
          <cell r="D105">
            <v>46</v>
          </cell>
          <cell r="E105">
            <v>116200</v>
          </cell>
          <cell r="F105">
            <v>5345200</v>
          </cell>
          <cell r="G105">
            <v>70090</v>
          </cell>
          <cell r="H105" t="str">
            <v>ERR</v>
          </cell>
          <cell r="I105">
            <v>147320</v>
          </cell>
          <cell r="J105">
            <v>3224140</v>
          </cell>
          <cell r="K105">
            <v>0.60318416523235796</v>
          </cell>
          <cell r="L105">
            <v>80000</v>
          </cell>
          <cell r="M105">
            <v>3680000</v>
          </cell>
        </row>
        <row r="106">
          <cell r="A106" t="str">
            <v>c-2-b</v>
          </cell>
          <cell r="B106" t="str">
            <v>D = 1000M/M</v>
          </cell>
          <cell r="C106" t="str">
            <v>m</v>
          </cell>
          <cell r="D106">
            <v>575</v>
          </cell>
          <cell r="E106">
            <v>149042</v>
          </cell>
          <cell r="F106">
            <v>85699150</v>
          </cell>
          <cell r="G106">
            <v>92610</v>
          </cell>
          <cell r="H106" t="str">
            <v>ERR</v>
          </cell>
          <cell r="I106">
            <v>210400</v>
          </cell>
          <cell r="J106">
            <v>53250750</v>
          </cell>
          <cell r="K106">
            <v>0.62136847331624645</v>
          </cell>
          <cell r="L106">
            <v>140000</v>
          </cell>
          <cell r="M106">
            <v>80500000</v>
          </cell>
        </row>
        <row r="107">
          <cell r="A107" t="str">
            <v>c-2-c</v>
          </cell>
          <cell r="B107" t="str">
            <v>D = 1200M/M</v>
          </cell>
          <cell r="C107" t="str">
            <v>m</v>
          </cell>
          <cell r="D107">
            <v>345</v>
          </cell>
          <cell r="E107">
            <v>211672</v>
          </cell>
          <cell r="F107">
            <v>73026840</v>
          </cell>
          <cell r="G107">
            <v>146880</v>
          </cell>
          <cell r="H107" t="str">
            <v>ERR</v>
          </cell>
          <cell r="I107">
            <v>302960</v>
          </cell>
          <cell r="J107">
            <v>50673600</v>
          </cell>
          <cell r="K107">
            <v>0.69390377565289696</v>
          </cell>
          <cell r="L107">
            <v>190000</v>
          </cell>
          <cell r="M107">
            <v>65550000</v>
          </cell>
        </row>
        <row r="108">
          <cell r="A108" t="str">
            <v>c-3</v>
          </cell>
          <cell r="B108" t="str">
            <v>형식-C(10M&lt;=H&lt;15M)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 t="str">
            <v> </v>
          </cell>
          <cell r="H108">
            <v>0</v>
          </cell>
          <cell r="I108" t="str">
            <v> 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 t="str">
            <v>c-3-a</v>
          </cell>
          <cell r="B109" t="str">
            <v>D =  800M/M</v>
          </cell>
          <cell r="C109" t="str">
            <v>m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 t="str">
            <v>c-3-b</v>
          </cell>
          <cell r="B110" t="str">
            <v>D = 1000M/M</v>
          </cell>
          <cell r="C110" t="str">
            <v>m</v>
          </cell>
          <cell r="D110">
            <v>207</v>
          </cell>
          <cell r="E110">
            <v>143278</v>
          </cell>
          <cell r="F110">
            <v>29658546</v>
          </cell>
          <cell r="G110">
            <v>96870</v>
          </cell>
          <cell r="H110" t="str">
            <v>ERR</v>
          </cell>
          <cell r="I110">
            <v>224940</v>
          </cell>
          <cell r="J110">
            <v>20052090</v>
          </cell>
          <cell r="K110">
            <v>0.67609821465961273</v>
          </cell>
          <cell r="L110">
            <v>150000</v>
          </cell>
          <cell r="M110">
            <v>31050000</v>
          </cell>
        </row>
        <row r="111">
          <cell r="A111" t="str">
            <v>c-3-c</v>
          </cell>
          <cell r="B111" t="str">
            <v>D = 1200M/M</v>
          </cell>
          <cell r="C111" t="str">
            <v>m</v>
          </cell>
          <cell r="D111">
            <v>148</v>
          </cell>
          <cell r="E111">
            <v>210321</v>
          </cell>
          <cell r="F111">
            <v>31127508</v>
          </cell>
          <cell r="G111">
            <v>149380</v>
          </cell>
          <cell r="H111" t="str">
            <v>ERR</v>
          </cell>
          <cell r="I111">
            <v>317240</v>
          </cell>
          <cell r="J111">
            <v>22108240</v>
          </cell>
          <cell r="K111">
            <v>0.71024766903923053</v>
          </cell>
          <cell r="L111">
            <v>210000</v>
          </cell>
          <cell r="M111">
            <v>31080000</v>
          </cell>
        </row>
        <row r="112">
          <cell r="A112" t="str">
            <v>c-4</v>
          </cell>
          <cell r="B112" t="str">
            <v>형식-D(15M&lt;=H&lt;20M)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 t="str">
            <v> </v>
          </cell>
          <cell r="H112">
            <v>0</v>
          </cell>
          <cell r="I112" t="str">
            <v> 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 t="str">
            <v>c-4-b</v>
          </cell>
          <cell r="B113" t="str">
            <v>D = 1000M/M</v>
          </cell>
          <cell r="C113" t="str">
            <v>m</v>
          </cell>
          <cell r="D113">
            <v>86</v>
          </cell>
          <cell r="E113">
            <v>138234</v>
          </cell>
          <cell r="F113">
            <v>11888124</v>
          </cell>
          <cell r="G113">
            <v>105730</v>
          </cell>
          <cell r="H113" t="str">
            <v>ERR</v>
          </cell>
          <cell r="I113">
            <v>255610</v>
          </cell>
          <cell r="J113">
            <v>9092780</v>
          </cell>
          <cell r="K113">
            <v>0.76486247956363851</v>
          </cell>
          <cell r="L113">
            <v>170000</v>
          </cell>
          <cell r="M113">
            <v>14620000</v>
          </cell>
        </row>
        <row r="114">
          <cell r="A114">
            <v>2.11</v>
          </cell>
          <cell r="B114" t="str">
            <v>종 배 수 관</v>
          </cell>
          <cell r="C114" t="str">
            <v> </v>
          </cell>
          <cell r="D114">
            <v>0</v>
          </cell>
          <cell r="E114">
            <v>0</v>
          </cell>
          <cell r="F114">
            <v>0</v>
          </cell>
          <cell r="G114" t="str">
            <v> </v>
          </cell>
          <cell r="H114">
            <v>0</v>
          </cell>
          <cell r="I114" t="str">
            <v> 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 t="str">
            <v>a</v>
          </cell>
          <cell r="B115" t="str">
            <v>D =  600M/M</v>
          </cell>
          <cell r="C115" t="str">
            <v> </v>
          </cell>
          <cell r="D115">
            <v>169</v>
          </cell>
          <cell r="E115">
            <v>43385</v>
          </cell>
          <cell r="F115">
            <v>7332065</v>
          </cell>
          <cell r="G115">
            <v>17810</v>
          </cell>
          <cell r="H115" t="str">
            <v>ERR</v>
          </cell>
          <cell r="I115">
            <v>39230</v>
          </cell>
          <cell r="J115">
            <v>3009890</v>
          </cell>
          <cell r="K115">
            <v>0.41051054511928087</v>
          </cell>
          <cell r="L115">
            <v>20000</v>
          </cell>
          <cell r="M115">
            <v>3380000</v>
          </cell>
        </row>
        <row r="116">
          <cell r="A116" t="str">
            <v>b</v>
          </cell>
          <cell r="B116" t="str">
            <v>D =  800M/M</v>
          </cell>
          <cell r="C116">
            <v>0</v>
          </cell>
          <cell r="D116">
            <v>60</v>
          </cell>
          <cell r="E116">
            <v>67457</v>
          </cell>
          <cell r="F116">
            <v>4047420</v>
          </cell>
          <cell r="G116">
            <v>24520</v>
          </cell>
          <cell r="H116" t="str">
            <v>ERR</v>
          </cell>
          <cell r="I116">
            <v>62430</v>
          </cell>
          <cell r="J116">
            <v>1471200</v>
          </cell>
          <cell r="K116">
            <v>0.363490816371911</v>
          </cell>
          <cell r="L116">
            <v>40000</v>
          </cell>
          <cell r="M116">
            <v>2400000</v>
          </cell>
        </row>
        <row r="117">
          <cell r="A117" t="str">
            <v>c</v>
          </cell>
          <cell r="B117" t="str">
            <v>D = 1000M/M</v>
          </cell>
          <cell r="C117">
            <v>0</v>
          </cell>
          <cell r="D117">
            <v>108</v>
          </cell>
          <cell r="E117">
            <v>96785</v>
          </cell>
          <cell r="F117">
            <v>10452780</v>
          </cell>
          <cell r="G117">
            <v>32670</v>
          </cell>
          <cell r="H117" t="str">
            <v>ERR</v>
          </cell>
          <cell r="I117">
            <v>93230</v>
          </cell>
          <cell r="J117">
            <v>3528360</v>
          </cell>
          <cell r="K117">
            <v>0.33755230665908975</v>
          </cell>
          <cell r="L117">
            <v>60000</v>
          </cell>
          <cell r="M117">
            <v>6480000</v>
          </cell>
        </row>
        <row r="118">
          <cell r="A118" t="str">
            <v>d</v>
          </cell>
          <cell r="B118" t="str">
            <v>D = 1200M/M</v>
          </cell>
          <cell r="C118">
            <v>0</v>
          </cell>
          <cell r="D118">
            <v>5</v>
          </cell>
          <cell r="E118">
            <v>139900</v>
          </cell>
          <cell r="F118">
            <v>699500</v>
          </cell>
          <cell r="G118">
            <v>48970</v>
          </cell>
          <cell r="H118" t="str">
            <v>ERR</v>
          </cell>
          <cell r="I118">
            <v>133840</v>
          </cell>
          <cell r="J118">
            <v>244850</v>
          </cell>
          <cell r="K118">
            <v>0.35003573981415298</v>
          </cell>
          <cell r="L118">
            <v>80000</v>
          </cell>
          <cell r="M118">
            <v>400000</v>
          </cell>
        </row>
        <row r="119">
          <cell r="A119">
            <v>2.12</v>
          </cell>
          <cell r="B119" t="str">
            <v>기존배수관 접합부세척</v>
          </cell>
          <cell r="C119" t="str">
            <v>개소</v>
          </cell>
          <cell r="D119">
            <v>9</v>
          </cell>
          <cell r="E119">
            <v>3187</v>
          </cell>
          <cell r="F119">
            <v>28683</v>
          </cell>
          <cell r="G119">
            <v>43260</v>
          </cell>
          <cell r="H119">
            <v>0</v>
          </cell>
          <cell r="I119">
            <v>43260</v>
          </cell>
          <cell r="J119">
            <v>389340</v>
          </cell>
          <cell r="K119">
            <v>13.573893944148102</v>
          </cell>
          <cell r="L119">
            <v>60000</v>
          </cell>
          <cell r="M119">
            <v>540000</v>
          </cell>
        </row>
        <row r="120">
          <cell r="A120">
            <v>2.13</v>
          </cell>
          <cell r="B120" t="str">
            <v>배수관 날개벽및 면벽</v>
          </cell>
          <cell r="C120" t="str">
            <v> </v>
          </cell>
          <cell r="D120">
            <v>0</v>
          </cell>
          <cell r="E120">
            <v>0</v>
          </cell>
          <cell r="F120">
            <v>0</v>
          </cell>
          <cell r="G120" t="str">
            <v> </v>
          </cell>
          <cell r="H120">
            <v>0</v>
          </cell>
          <cell r="I120" t="str">
            <v> 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 t="str">
            <v>a</v>
          </cell>
          <cell r="B121" t="str">
            <v>거푸집(합판3회)</v>
          </cell>
          <cell r="C121" t="str">
            <v>m2</v>
          </cell>
          <cell r="D121">
            <v>1224</v>
          </cell>
          <cell r="E121">
            <v>16812</v>
          </cell>
          <cell r="F121">
            <v>20577888</v>
          </cell>
          <cell r="G121">
            <v>19000</v>
          </cell>
          <cell r="H121">
            <v>0</v>
          </cell>
          <cell r="I121">
            <v>19000</v>
          </cell>
          <cell r="J121">
            <v>23256000</v>
          </cell>
          <cell r="K121">
            <v>1.1301451344277897</v>
          </cell>
          <cell r="L121">
            <v>18000</v>
          </cell>
          <cell r="M121">
            <v>22032000</v>
          </cell>
        </row>
        <row r="122">
          <cell r="A122" t="str">
            <v>b</v>
          </cell>
          <cell r="B122" t="str">
            <v>거푸집(합판4회)</v>
          </cell>
          <cell r="C122" t="str">
            <v>m2</v>
          </cell>
          <cell r="D122">
            <v>488</v>
          </cell>
          <cell r="E122">
            <v>14344</v>
          </cell>
          <cell r="F122">
            <v>6999872</v>
          </cell>
          <cell r="G122">
            <v>18000</v>
          </cell>
          <cell r="H122">
            <v>0</v>
          </cell>
          <cell r="I122">
            <v>18000</v>
          </cell>
          <cell r="J122">
            <v>8784000</v>
          </cell>
          <cell r="K122">
            <v>1.2548800892359175</v>
          </cell>
          <cell r="L122">
            <v>17000</v>
          </cell>
          <cell r="M122">
            <v>8296000</v>
          </cell>
        </row>
        <row r="123">
          <cell r="A123" t="str">
            <v>c</v>
          </cell>
          <cell r="B123" t="str">
            <v>콘크리트(3종40)구입및타설</v>
          </cell>
          <cell r="C123" t="str">
            <v>m3</v>
          </cell>
          <cell r="D123">
            <v>294</v>
          </cell>
          <cell r="E123">
            <v>17726</v>
          </cell>
          <cell r="F123">
            <v>5211444</v>
          </cell>
          <cell r="G123">
            <v>16000</v>
          </cell>
          <cell r="H123" t="str">
            <v>ERR</v>
          </cell>
          <cell r="I123">
            <v>57000</v>
          </cell>
          <cell r="J123">
            <v>4704000</v>
          </cell>
          <cell r="K123">
            <v>0.90262890669073681</v>
          </cell>
          <cell r="L123">
            <v>18000</v>
          </cell>
          <cell r="M123">
            <v>5292000</v>
          </cell>
        </row>
        <row r="124">
          <cell r="A124">
            <v>2.14</v>
          </cell>
          <cell r="B124" t="str">
            <v xml:space="preserve"> 콘크리트 집수정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 t="str">
            <v> </v>
          </cell>
          <cell r="H124">
            <v>0</v>
          </cell>
          <cell r="I124" t="str">
            <v> 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 t="str">
            <v>a</v>
          </cell>
          <cell r="B125" t="str">
            <v>거푸집(합판4회)</v>
          </cell>
          <cell r="C125" t="str">
            <v>m2</v>
          </cell>
          <cell r="D125">
            <v>3256</v>
          </cell>
          <cell r="E125">
            <v>14344</v>
          </cell>
          <cell r="F125">
            <v>46704064</v>
          </cell>
          <cell r="G125">
            <v>18000</v>
          </cell>
          <cell r="H125">
            <v>0</v>
          </cell>
          <cell r="I125">
            <v>18000</v>
          </cell>
          <cell r="J125">
            <v>58608000</v>
          </cell>
          <cell r="K125">
            <v>1.2548800892359175</v>
          </cell>
          <cell r="L125">
            <v>17000</v>
          </cell>
          <cell r="M125">
            <v>55352000</v>
          </cell>
        </row>
        <row r="126">
          <cell r="A126" t="str">
            <v>b</v>
          </cell>
          <cell r="B126" t="str">
            <v>콘크리트구입및 타설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 t="str">
            <v> </v>
          </cell>
          <cell r="H126">
            <v>0</v>
          </cell>
          <cell r="I126" t="str">
            <v> 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 t="str">
            <v>b-1</v>
          </cell>
          <cell r="B127" t="str">
            <v>CON'C(3종40:무근)</v>
          </cell>
          <cell r="C127" t="str">
            <v>m3</v>
          </cell>
          <cell r="D127">
            <v>166</v>
          </cell>
          <cell r="E127">
            <v>17726</v>
          </cell>
          <cell r="F127">
            <v>2942516</v>
          </cell>
          <cell r="G127">
            <v>16000</v>
          </cell>
          <cell r="H127" t="str">
            <v>ERR</v>
          </cell>
          <cell r="I127">
            <v>57000</v>
          </cell>
          <cell r="J127">
            <v>2656000</v>
          </cell>
          <cell r="K127">
            <v>0.90262890669073681</v>
          </cell>
          <cell r="L127">
            <v>18000</v>
          </cell>
          <cell r="M127">
            <v>2988000</v>
          </cell>
        </row>
        <row r="128">
          <cell r="A128" t="str">
            <v>b-2</v>
          </cell>
          <cell r="B128" t="str">
            <v>CON'C(3종40:철근)</v>
          </cell>
          <cell r="C128" t="str">
            <v>m3</v>
          </cell>
          <cell r="D128">
            <v>162</v>
          </cell>
          <cell r="E128">
            <v>17726</v>
          </cell>
          <cell r="F128">
            <v>2871612</v>
          </cell>
          <cell r="G128">
            <v>17000</v>
          </cell>
          <cell r="H128" t="str">
            <v>ERR</v>
          </cell>
          <cell r="I128">
            <v>58000</v>
          </cell>
          <cell r="J128">
            <v>2754000</v>
          </cell>
          <cell r="K128">
            <v>0.95904321335890785</v>
          </cell>
          <cell r="L128">
            <v>18000</v>
          </cell>
          <cell r="M128">
            <v>2916000</v>
          </cell>
        </row>
        <row r="129">
          <cell r="A129" t="str">
            <v>c</v>
          </cell>
          <cell r="B129" t="str">
            <v>철근가공조립(간단)</v>
          </cell>
          <cell r="C129" t="str">
            <v>TON</v>
          </cell>
          <cell r="D129">
            <v>7.5830000000000002</v>
          </cell>
          <cell r="E129">
            <v>243567</v>
          </cell>
          <cell r="F129">
            <v>1846968</v>
          </cell>
          <cell r="G129">
            <v>220000</v>
          </cell>
          <cell r="H129">
            <v>0</v>
          </cell>
          <cell r="I129">
            <v>220000</v>
          </cell>
          <cell r="J129">
            <v>1668260</v>
          </cell>
          <cell r="K129">
            <v>0.90324250338933865</v>
          </cell>
          <cell r="L129">
            <v>230000</v>
          </cell>
          <cell r="M129">
            <v>1744090</v>
          </cell>
        </row>
        <row r="130">
          <cell r="A130" t="str">
            <v>d-1</v>
          </cell>
          <cell r="B130" t="str">
            <v>땅깍기부용 집수정용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 t="str">
            <v> </v>
          </cell>
          <cell r="H130">
            <v>0</v>
          </cell>
          <cell r="I130" t="str">
            <v> 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 t="str">
            <v>d-1-a</v>
          </cell>
          <cell r="B131" t="str">
            <v>1330x830x100m/m,(D=800m/m)</v>
          </cell>
          <cell r="C131" t="str">
            <v>개</v>
          </cell>
          <cell r="D131">
            <v>94</v>
          </cell>
          <cell r="E131">
            <v>181537</v>
          </cell>
          <cell r="F131">
            <v>17064478</v>
          </cell>
          <cell r="G131" t="str">
            <v> </v>
          </cell>
          <cell r="H131">
            <v>0</v>
          </cell>
          <cell r="I131" t="str">
            <v> </v>
          </cell>
          <cell r="J131">
            <v>0</v>
          </cell>
          <cell r="K131">
            <v>0</v>
          </cell>
          <cell r="L131">
            <v>160000</v>
          </cell>
          <cell r="M131">
            <v>15040000</v>
          </cell>
        </row>
        <row r="132">
          <cell r="A132" t="str">
            <v>d-1-b</v>
          </cell>
          <cell r="B132" t="str">
            <v>1530x830x100m/m,(D=1000m/m)</v>
          </cell>
          <cell r="C132" t="str">
            <v>개</v>
          </cell>
          <cell r="D132">
            <v>7</v>
          </cell>
          <cell r="E132">
            <v>207637</v>
          </cell>
          <cell r="F132">
            <v>1453459</v>
          </cell>
          <cell r="G132">
            <v>165600</v>
          </cell>
          <cell r="H132">
            <v>0</v>
          </cell>
          <cell r="I132">
            <v>165600</v>
          </cell>
          <cell r="J132">
            <v>1159200</v>
          </cell>
          <cell r="K132">
            <v>0.79754571680384512</v>
          </cell>
          <cell r="L132">
            <v>180000</v>
          </cell>
          <cell r="M132">
            <v>1260000</v>
          </cell>
        </row>
        <row r="133">
          <cell r="A133" t="str">
            <v>d-1-c</v>
          </cell>
          <cell r="B133" t="str">
            <v>1730x830x100m/m,(D=800m/m)</v>
          </cell>
          <cell r="C133" t="str">
            <v>개</v>
          </cell>
          <cell r="D133">
            <v>5</v>
          </cell>
          <cell r="E133">
            <v>232137</v>
          </cell>
          <cell r="F133">
            <v>1160685</v>
          </cell>
          <cell r="G133">
            <v>190500</v>
          </cell>
          <cell r="H133">
            <v>0</v>
          </cell>
          <cell r="I133">
            <v>190500</v>
          </cell>
          <cell r="J133">
            <v>952500</v>
          </cell>
          <cell r="K133">
            <v>0.82063608989519121</v>
          </cell>
          <cell r="L133">
            <v>200000</v>
          </cell>
          <cell r="M133">
            <v>1000000</v>
          </cell>
        </row>
        <row r="134">
          <cell r="A134" t="str">
            <v>d-1-d</v>
          </cell>
          <cell r="B134" t="str">
            <v>콘크리트(부채도로용)뚜껑</v>
          </cell>
          <cell r="C134">
            <v>0</v>
          </cell>
          <cell r="D134">
            <v>51</v>
          </cell>
          <cell r="E134">
            <v>6424</v>
          </cell>
          <cell r="F134">
            <v>327624</v>
          </cell>
          <cell r="G134">
            <v>215400</v>
          </cell>
          <cell r="H134">
            <v>0</v>
          </cell>
          <cell r="I134">
            <v>215400</v>
          </cell>
          <cell r="J134">
            <v>10985400</v>
          </cell>
          <cell r="K134">
            <v>33.530510585305109</v>
          </cell>
          <cell r="L134">
            <v>80000</v>
          </cell>
          <cell r="M134">
            <v>4080000</v>
          </cell>
        </row>
        <row r="135">
          <cell r="A135" t="str">
            <v>e</v>
          </cell>
          <cell r="B135" t="str">
            <v>집수정 연결관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9820</v>
          </cell>
          <cell r="H135" t="str">
            <v>ERR</v>
          </cell>
          <cell r="I135">
            <v>12810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 t="str">
            <v>e-1</v>
          </cell>
          <cell r="B136" t="str">
            <v>D = 300m/m</v>
          </cell>
          <cell r="C136" t="str">
            <v>m</v>
          </cell>
          <cell r="D136">
            <v>9</v>
          </cell>
          <cell r="E136">
            <v>20256</v>
          </cell>
          <cell r="F136">
            <v>182304</v>
          </cell>
          <cell r="G136">
            <v>26580</v>
          </cell>
          <cell r="H136">
            <v>0</v>
          </cell>
          <cell r="I136">
            <v>26580</v>
          </cell>
          <cell r="J136">
            <v>239220</v>
          </cell>
          <cell r="K136">
            <v>1.3122037914691944</v>
          </cell>
          <cell r="L136">
            <v>10000</v>
          </cell>
          <cell r="M136">
            <v>90000</v>
          </cell>
        </row>
        <row r="137">
          <cell r="A137" t="str">
            <v>D</v>
          </cell>
          <cell r="B137" t="str">
            <v>암 거 공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 t="str">
            <v> </v>
          </cell>
          <cell r="H137">
            <v>0</v>
          </cell>
          <cell r="I137" t="str">
            <v> 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2.15</v>
          </cell>
          <cell r="B138" t="str">
            <v>암거및날개벽공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 t="str">
            <v> </v>
          </cell>
          <cell r="H138">
            <v>0</v>
          </cell>
          <cell r="I138" t="str">
            <v> 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 t="str">
            <v>a</v>
          </cell>
          <cell r="B139" t="str">
            <v>거푸집</v>
          </cell>
          <cell r="C139" t="str">
            <v> </v>
          </cell>
          <cell r="D139">
            <v>0</v>
          </cell>
          <cell r="E139">
            <v>0</v>
          </cell>
          <cell r="F139">
            <v>0</v>
          </cell>
          <cell r="G139" t="str">
            <v> </v>
          </cell>
          <cell r="H139">
            <v>0</v>
          </cell>
          <cell r="I139" t="str">
            <v> 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 t="str">
            <v>a-1</v>
          </cell>
          <cell r="B140" t="str">
            <v>합판3회</v>
          </cell>
          <cell r="C140" t="str">
            <v>m2</v>
          </cell>
          <cell r="D140">
            <v>33220</v>
          </cell>
          <cell r="E140">
            <v>16812</v>
          </cell>
          <cell r="F140">
            <v>558494640</v>
          </cell>
          <cell r="G140">
            <v>17000</v>
          </cell>
          <cell r="H140">
            <v>0</v>
          </cell>
          <cell r="I140">
            <v>17000</v>
          </cell>
          <cell r="J140">
            <v>564740000</v>
          </cell>
          <cell r="K140">
            <v>1.0111824886985488</v>
          </cell>
          <cell r="L140">
            <v>18000</v>
          </cell>
          <cell r="M140">
            <v>597960000</v>
          </cell>
        </row>
        <row r="141">
          <cell r="A141" t="str">
            <v>a-2</v>
          </cell>
          <cell r="B141" t="str">
            <v>합판4회</v>
          </cell>
          <cell r="C141" t="str">
            <v>m2</v>
          </cell>
          <cell r="D141">
            <v>1606</v>
          </cell>
          <cell r="E141">
            <v>14344</v>
          </cell>
          <cell r="F141">
            <v>23036464</v>
          </cell>
          <cell r="G141">
            <v>16000</v>
          </cell>
          <cell r="H141">
            <v>0</v>
          </cell>
          <cell r="I141">
            <v>16000</v>
          </cell>
          <cell r="J141">
            <v>25696000</v>
          </cell>
          <cell r="K141">
            <v>1.1154489682097044</v>
          </cell>
          <cell r="L141">
            <v>17000</v>
          </cell>
          <cell r="M141">
            <v>27302000</v>
          </cell>
        </row>
        <row r="142">
          <cell r="A142" t="str">
            <v>a-3</v>
          </cell>
          <cell r="B142" t="str">
            <v>코팅거푸집3회</v>
          </cell>
          <cell r="C142" t="str">
            <v>m2</v>
          </cell>
          <cell r="D142">
            <v>13963</v>
          </cell>
          <cell r="E142">
            <v>17393</v>
          </cell>
          <cell r="F142">
            <v>242858459</v>
          </cell>
          <cell r="G142">
            <v>18000</v>
          </cell>
          <cell r="H142">
            <v>0</v>
          </cell>
          <cell r="I142">
            <v>18000</v>
          </cell>
          <cell r="J142">
            <v>251334000</v>
          </cell>
          <cell r="K142">
            <v>1.0348990973380094</v>
          </cell>
          <cell r="L142">
            <v>20000</v>
          </cell>
          <cell r="M142">
            <v>279260000</v>
          </cell>
        </row>
        <row r="143">
          <cell r="A143" t="str">
            <v>b</v>
          </cell>
          <cell r="B143" t="str">
            <v>콘크리트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 t="str">
            <v> </v>
          </cell>
          <cell r="H143">
            <v>0</v>
          </cell>
          <cell r="I143" t="str">
            <v> 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 t="str">
            <v>b-2</v>
          </cell>
          <cell r="B144" t="str">
            <v>2종 32m/m (생산및타설)</v>
          </cell>
          <cell r="C144" t="str">
            <v>m3</v>
          </cell>
          <cell r="D144">
            <v>20283</v>
          </cell>
          <cell r="E144">
            <v>13614</v>
          </cell>
          <cell r="F144">
            <v>276132762</v>
          </cell>
          <cell r="G144">
            <v>13000</v>
          </cell>
          <cell r="H144" t="str">
            <v>ERR</v>
          </cell>
          <cell r="I144">
            <v>22050</v>
          </cell>
          <cell r="J144">
            <v>263679000</v>
          </cell>
          <cell r="K144">
            <v>0.95489936829734101</v>
          </cell>
          <cell r="L144">
            <v>12000</v>
          </cell>
          <cell r="M144">
            <v>243396000</v>
          </cell>
        </row>
        <row r="145">
          <cell r="A145" t="str">
            <v>b-3</v>
          </cell>
          <cell r="B145" t="str">
            <v>3종 40m/m (구입및타설)</v>
          </cell>
          <cell r="C145" t="str">
            <v>m3</v>
          </cell>
          <cell r="D145">
            <v>113</v>
          </cell>
          <cell r="E145">
            <v>17726</v>
          </cell>
          <cell r="F145">
            <v>2003038</v>
          </cell>
          <cell r="G145">
            <v>13000</v>
          </cell>
          <cell r="H145" t="str">
            <v>ERR</v>
          </cell>
          <cell r="I145">
            <v>54000</v>
          </cell>
          <cell r="J145">
            <v>1469000</v>
          </cell>
          <cell r="K145">
            <v>0.73338598668622368</v>
          </cell>
          <cell r="L145">
            <v>12000</v>
          </cell>
          <cell r="M145">
            <v>1356000</v>
          </cell>
        </row>
        <row r="146">
          <cell r="A146" t="str">
            <v>b-4</v>
          </cell>
          <cell r="B146" t="str">
            <v>5종 50m/m (구입및타설)</v>
          </cell>
          <cell r="C146" t="str">
            <v>m3</v>
          </cell>
          <cell r="D146">
            <v>1250</v>
          </cell>
          <cell r="E146">
            <v>17088</v>
          </cell>
          <cell r="F146">
            <v>21360000</v>
          </cell>
          <cell r="G146">
            <v>12000</v>
          </cell>
          <cell r="H146" t="str">
            <v>ERR</v>
          </cell>
          <cell r="I146">
            <v>48000</v>
          </cell>
          <cell r="J146">
            <v>15000000</v>
          </cell>
          <cell r="K146">
            <v>0.702247191011236</v>
          </cell>
          <cell r="L146">
            <v>12000</v>
          </cell>
          <cell r="M146">
            <v>15000000</v>
          </cell>
        </row>
        <row r="147">
          <cell r="A147" t="str">
            <v>c</v>
          </cell>
          <cell r="B147" t="str">
            <v>철근가공조립(복잡)</v>
          </cell>
          <cell r="C147" t="str">
            <v>TON</v>
          </cell>
          <cell r="D147">
            <v>2197.7289999999998</v>
          </cell>
          <cell r="E147">
            <v>422311</v>
          </cell>
          <cell r="F147">
            <v>928125131</v>
          </cell>
          <cell r="G147">
            <v>240000</v>
          </cell>
          <cell r="H147">
            <v>0</v>
          </cell>
          <cell r="I147">
            <v>240000</v>
          </cell>
          <cell r="J147">
            <v>527454960</v>
          </cell>
          <cell r="K147">
            <v>0.56830156019124112</v>
          </cell>
          <cell r="L147">
            <v>240000</v>
          </cell>
          <cell r="M147">
            <v>527454960</v>
          </cell>
        </row>
        <row r="148">
          <cell r="A148" t="str">
            <v>d</v>
          </cell>
          <cell r="B148" t="str">
            <v>PVC PIPE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 t="str">
            <v> </v>
          </cell>
          <cell r="H148">
            <v>0</v>
          </cell>
          <cell r="I148" t="str">
            <v> 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 t="str">
            <v>d-1</v>
          </cell>
          <cell r="B149" t="str">
            <v>D= 100m/m(L=300 - 500m/m)</v>
          </cell>
          <cell r="C149" t="str">
            <v>개</v>
          </cell>
          <cell r="D149">
            <v>1070</v>
          </cell>
          <cell r="E149">
            <v>1009</v>
          </cell>
          <cell r="F149">
            <v>1079630</v>
          </cell>
          <cell r="G149">
            <v>2500</v>
          </cell>
          <cell r="H149">
            <v>0</v>
          </cell>
          <cell r="I149">
            <v>2500</v>
          </cell>
          <cell r="J149">
            <v>2675000</v>
          </cell>
          <cell r="K149">
            <v>2.4777006937561943</v>
          </cell>
          <cell r="L149">
            <v>3000</v>
          </cell>
          <cell r="M149">
            <v>3210000</v>
          </cell>
        </row>
        <row r="150">
          <cell r="A150" t="str">
            <v>d-2</v>
          </cell>
          <cell r="B150" t="str">
            <v>D= 16m/m(통로암거내 전선관)</v>
          </cell>
          <cell r="C150" t="str">
            <v>개</v>
          </cell>
          <cell r="D150">
            <v>429</v>
          </cell>
          <cell r="E150">
            <v>375</v>
          </cell>
          <cell r="F150">
            <v>160875</v>
          </cell>
          <cell r="G150">
            <v>450</v>
          </cell>
          <cell r="H150">
            <v>0</v>
          </cell>
          <cell r="I150">
            <v>450</v>
          </cell>
          <cell r="J150">
            <v>193050</v>
          </cell>
          <cell r="K150">
            <v>1.2</v>
          </cell>
          <cell r="L150">
            <v>400</v>
          </cell>
          <cell r="M150">
            <v>171600</v>
          </cell>
        </row>
        <row r="151">
          <cell r="A151" t="str">
            <v>e</v>
          </cell>
          <cell r="B151" t="str">
            <v>지수판</v>
          </cell>
          <cell r="C151" t="str">
            <v>m</v>
          </cell>
          <cell r="D151">
            <v>907</v>
          </cell>
          <cell r="E151">
            <v>8727</v>
          </cell>
          <cell r="F151">
            <v>7915389</v>
          </cell>
          <cell r="G151">
            <v>8500</v>
          </cell>
          <cell r="H151">
            <v>0</v>
          </cell>
          <cell r="I151">
            <v>8500</v>
          </cell>
          <cell r="J151">
            <v>7709500</v>
          </cell>
          <cell r="K151">
            <v>0.97398877048241095</v>
          </cell>
          <cell r="L151">
            <v>10000</v>
          </cell>
          <cell r="M151">
            <v>9070000</v>
          </cell>
        </row>
        <row r="152">
          <cell r="A152" t="str">
            <v>f</v>
          </cell>
          <cell r="B152" t="str">
            <v>기초잡석깔기(T=300m/m)</v>
          </cell>
          <cell r="C152" t="str">
            <v>m3</v>
          </cell>
          <cell r="D152">
            <v>998</v>
          </cell>
          <cell r="E152">
            <v>19131</v>
          </cell>
          <cell r="F152">
            <v>19092738</v>
          </cell>
          <cell r="G152">
            <v>16100</v>
          </cell>
          <cell r="H152">
            <v>0</v>
          </cell>
          <cell r="I152">
            <v>16100</v>
          </cell>
          <cell r="J152">
            <v>16067800</v>
          </cell>
          <cell r="K152">
            <v>0.84156604463959017</v>
          </cell>
          <cell r="L152">
            <v>10000</v>
          </cell>
          <cell r="M152">
            <v>9980000</v>
          </cell>
        </row>
        <row r="153">
          <cell r="A153" t="str">
            <v>g</v>
          </cell>
          <cell r="B153" t="str">
            <v>아스팔트코팅</v>
          </cell>
          <cell r="C153" t="str">
            <v>m2</v>
          </cell>
          <cell r="D153">
            <v>15307</v>
          </cell>
          <cell r="E153">
            <v>4353</v>
          </cell>
          <cell r="F153">
            <v>66631371</v>
          </cell>
          <cell r="G153">
            <v>2800</v>
          </cell>
          <cell r="H153">
            <v>0</v>
          </cell>
          <cell r="I153">
            <v>2800</v>
          </cell>
          <cell r="J153">
            <v>42859600</v>
          </cell>
          <cell r="K153">
            <v>0.64323455088444748</v>
          </cell>
          <cell r="L153">
            <v>4000</v>
          </cell>
          <cell r="M153">
            <v>61228000</v>
          </cell>
        </row>
        <row r="154">
          <cell r="A154" t="str">
            <v>j</v>
          </cell>
          <cell r="B154" t="str">
            <v>폴리에틸렌발포단열재(T=300m/m)</v>
          </cell>
          <cell r="C154" t="str">
            <v>m2</v>
          </cell>
          <cell r="D154">
            <v>1451</v>
          </cell>
          <cell r="E154">
            <v>3923</v>
          </cell>
          <cell r="F154">
            <v>5692273</v>
          </cell>
          <cell r="G154">
            <v>3500</v>
          </cell>
          <cell r="H154">
            <v>0</v>
          </cell>
          <cell r="I154">
            <v>3500</v>
          </cell>
          <cell r="J154">
            <v>5078500</v>
          </cell>
          <cell r="K154">
            <v>0.89217435635992859</v>
          </cell>
          <cell r="L154">
            <v>2000</v>
          </cell>
          <cell r="M154">
            <v>2902000</v>
          </cell>
        </row>
        <row r="155">
          <cell r="A155" t="str">
            <v>k</v>
          </cell>
          <cell r="B155" t="str">
            <v>sheet 방수(T=2m/m)</v>
          </cell>
          <cell r="C155" t="str">
            <v>m2</v>
          </cell>
          <cell r="D155">
            <v>2906</v>
          </cell>
          <cell r="E155">
            <v>11633</v>
          </cell>
          <cell r="F155">
            <v>33805498</v>
          </cell>
          <cell r="G155">
            <v>6000</v>
          </cell>
          <cell r="H155">
            <v>0</v>
          </cell>
          <cell r="I155">
            <v>6000</v>
          </cell>
          <cell r="J155">
            <v>17436000</v>
          </cell>
          <cell r="K155">
            <v>0.51577409094816473</v>
          </cell>
          <cell r="L155">
            <v>12000</v>
          </cell>
          <cell r="M155">
            <v>34872000</v>
          </cell>
        </row>
        <row r="156">
          <cell r="A156" t="str">
            <v>i</v>
          </cell>
          <cell r="B156" t="str">
            <v>보호몰탈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 t="str">
            <v> </v>
          </cell>
          <cell r="H156">
            <v>0</v>
          </cell>
          <cell r="I156" t="str">
            <v> 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A157" t="str">
            <v>i-2</v>
          </cell>
          <cell r="B157" t="str">
            <v>T= 10m/m</v>
          </cell>
          <cell r="C157" t="str">
            <v>m2</v>
          </cell>
          <cell r="D157">
            <v>711</v>
          </cell>
          <cell r="E157">
            <v>4893</v>
          </cell>
          <cell r="F157">
            <v>3478923</v>
          </cell>
          <cell r="G157">
            <v>4000</v>
          </cell>
          <cell r="H157">
            <v>0</v>
          </cell>
          <cell r="I157">
            <v>4000</v>
          </cell>
          <cell r="J157">
            <v>2844000</v>
          </cell>
          <cell r="K157">
            <v>0.81749437972613936</v>
          </cell>
          <cell r="L157">
            <v>4000</v>
          </cell>
          <cell r="M157">
            <v>2844000</v>
          </cell>
        </row>
        <row r="158">
          <cell r="A158" t="str">
            <v>i-3</v>
          </cell>
          <cell r="B158" t="str">
            <v>T= 30m/m</v>
          </cell>
          <cell r="C158" t="str">
            <v>m2</v>
          </cell>
          <cell r="D158">
            <v>711</v>
          </cell>
          <cell r="E158">
            <v>8863</v>
          </cell>
          <cell r="F158">
            <v>6301593</v>
          </cell>
          <cell r="G158">
            <v>6000</v>
          </cell>
          <cell r="H158">
            <v>0</v>
          </cell>
          <cell r="I158">
            <v>6000</v>
          </cell>
          <cell r="J158">
            <v>4266000</v>
          </cell>
          <cell r="K158">
            <v>0.67697168001805252</v>
          </cell>
          <cell r="L158">
            <v>6000</v>
          </cell>
          <cell r="M158">
            <v>4266000</v>
          </cell>
        </row>
        <row r="159">
          <cell r="A159" t="str">
            <v>i-4</v>
          </cell>
          <cell r="B159" t="str">
            <v>T= 50m/m</v>
          </cell>
          <cell r="C159" t="str">
            <v>m2</v>
          </cell>
          <cell r="D159">
            <v>616</v>
          </cell>
          <cell r="E159">
            <v>8955</v>
          </cell>
          <cell r="F159">
            <v>5516280</v>
          </cell>
          <cell r="G159">
            <v>8000</v>
          </cell>
          <cell r="H159">
            <v>0</v>
          </cell>
          <cell r="I159">
            <v>8000</v>
          </cell>
          <cell r="J159">
            <v>4928000</v>
          </cell>
          <cell r="K159">
            <v>0.89335566722501392</v>
          </cell>
          <cell r="L159">
            <v>8000</v>
          </cell>
          <cell r="M159">
            <v>4928000</v>
          </cell>
        </row>
        <row r="160">
          <cell r="A160" t="str">
            <v>m</v>
          </cell>
          <cell r="B160" t="str">
            <v>칼라하드너(T= 3m/m)</v>
          </cell>
          <cell r="C160" t="str">
            <v>m2</v>
          </cell>
          <cell r="D160">
            <v>565</v>
          </cell>
          <cell r="E160">
            <v>12303</v>
          </cell>
          <cell r="F160">
            <v>6951195</v>
          </cell>
          <cell r="G160">
            <v>14250</v>
          </cell>
          <cell r="H160">
            <v>0</v>
          </cell>
          <cell r="I160">
            <v>14250</v>
          </cell>
          <cell r="J160">
            <v>8051250</v>
          </cell>
          <cell r="K160">
            <v>1.158254084369666</v>
          </cell>
          <cell r="L160">
            <v>20000</v>
          </cell>
          <cell r="M160">
            <v>11300000</v>
          </cell>
        </row>
        <row r="161">
          <cell r="A161" t="str">
            <v>n</v>
          </cell>
          <cell r="B161" t="str">
            <v>스틸그레이팅(995x700x50m/m)</v>
          </cell>
          <cell r="C161" t="str">
            <v>개</v>
          </cell>
          <cell r="D161">
            <v>3</v>
          </cell>
          <cell r="E161">
            <v>26837</v>
          </cell>
          <cell r="F161">
            <v>80511</v>
          </cell>
          <cell r="G161">
            <v>70000</v>
          </cell>
          <cell r="H161">
            <v>0</v>
          </cell>
          <cell r="I161">
            <v>70000</v>
          </cell>
          <cell r="J161">
            <v>210000</v>
          </cell>
          <cell r="K161">
            <v>2.6083392331482655</v>
          </cell>
          <cell r="L161">
            <v>70000</v>
          </cell>
          <cell r="M161">
            <v>210000</v>
          </cell>
        </row>
        <row r="162">
          <cell r="A162" t="str">
            <v>o</v>
          </cell>
          <cell r="B162" t="str">
            <v>페인트도색(수성3회)</v>
          </cell>
          <cell r="C162" t="str">
            <v>m2</v>
          </cell>
          <cell r="D162">
            <v>1660</v>
          </cell>
          <cell r="E162">
            <v>5304</v>
          </cell>
          <cell r="F162">
            <v>8804640</v>
          </cell>
          <cell r="G162">
            <v>4200</v>
          </cell>
          <cell r="H162">
            <v>0</v>
          </cell>
          <cell r="I162">
            <v>4200</v>
          </cell>
          <cell r="J162">
            <v>6972000</v>
          </cell>
          <cell r="K162">
            <v>0.79185520361990946</v>
          </cell>
          <cell r="L162">
            <v>2500</v>
          </cell>
          <cell r="M162">
            <v>4150000</v>
          </cell>
        </row>
        <row r="163">
          <cell r="A163" t="str">
            <v>p</v>
          </cell>
          <cell r="B163" t="str">
            <v>부직포(0.6x0.6)</v>
          </cell>
          <cell r="C163" t="str">
            <v>m2</v>
          </cell>
          <cell r="D163">
            <v>385</v>
          </cell>
          <cell r="E163">
            <v>1274</v>
          </cell>
          <cell r="F163">
            <v>490490</v>
          </cell>
          <cell r="G163">
            <v>2100</v>
          </cell>
          <cell r="H163">
            <v>0</v>
          </cell>
          <cell r="I163">
            <v>2100</v>
          </cell>
          <cell r="J163">
            <v>808500</v>
          </cell>
          <cell r="K163">
            <v>1.6483516483516483</v>
          </cell>
          <cell r="L163">
            <v>3000</v>
          </cell>
          <cell r="M163">
            <v>1155000</v>
          </cell>
        </row>
        <row r="164">
          <cell r="A164">
            <v>2.16</v>
          </cell>
          <cell r="B164" t="str">
            <v>물푸기</v>
          </cell>
          <cell r="C164" t="str">
            <v>시간</v>
          </cell>
          <cell r="D164">
            <v>112</v>
          </cell>
          <cell r="E164">
            <v>2654</v>
          </cell>
          <cell r="F164">
            <v>297248</v>
          </cell>
          <cell r="G164">
            <v>3000</v>
          </cell>
          <cell r="H164">
            <v>0</v>
          </cell>
          <cell r="I164">
            <v>3000</v>
          </cell>
          <cell r="J164">
            <v>336000</v>
          </cell>
          <cell r="K164">
            <v>1.1303692539562924</v>
          </cell>
          <cell r="L164">
            <v>10000</v>
          </cell>
          <cell r="M164">
            <v>1120000</v>
          </cell>
        </row>
        <row r="165">
          <cell r="A165">
            <v>2.17</v>
          </cell>
          <cell r="B165" t="str">
            <v>비계공(강관)</v>
          </cell>
          <cell r="C165" t="str">
            <v>m2</v>
          </cell>
          <cell r="D165">
            <v>19982</v>
          </cell>
          <cell r="E165">
            <v>7615</v>
          </cell>
          <cell r="F165">
            <v>152162930</v>
          </cell>
          <cell r="G165">
            <v>7000</v>
          </cell>
          <cell r="H165">
            <v>0</v>
          </cell>
          <cell r="I165">
            <v>7000</v>
          </cell>
          <cell r="J165">
            <v>139874000</v>
          </cell>
          <cell r="K165">
            <v>0.91923834537097837</v>
          </cell>
          <cell r="L165">
            <v>7000</v>
          </cell>
          <cell r="M165">
            <v>139874000</v>
          </cell>
        </row>
        <row r="166">
          <cell r="A166">
            <v>2.1800000000000002</v>
          </cell>
          <cell r="B166" t="str">
            <v>동바리공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 t="str">
            <v> </v>
          </cell>
          <cell r="H166">
            <v>0</v>
          </cell>
          <cell r="I166" t="str">
            <v> 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A167" t="str">
            <v>b</v>
          </cell>
          <cell r="B167" t="str">
            <v>강관동바리</v>
          </cell>
          <cell r="C167" t="str">
            <v>공/m3</v>
          </cell>
          <cell r="D167">
            <v>25109</v>
          </cell>
          <cell r="E167">
            <v>6473</v>
          </cell>
          <cell r="F167">
            <v>162530557</v>
          </cell>
          <cell r="G167">
            <v>7000</v>
          </cell>
          <cell r="H167">
            <v>0</v>
          </cell>
          <cell r="I167">
            <v>7000</v>
          </cell>
          <cell r="J167">
            <v>175763000</v>
          </cell>
          <cell r="K167">
            <v>1.0814151089139503</v>
          </cell>
          <cell r="L167">
            <v>7000</v>
          </cell>
          <cell r="M167">
            <v>175763000</v>
          </cell>
        </row>
        <row r="168">
          <cell r="A168" t="str">
            <v>d</v>
          </cell>
          <cell r="B168" t="str">
            <v>강재동바리(4.5mx4.5m)</v>
          </cell>
          <cell r="C168" t="str">
            <v>m</v>
          </cell>
          <cell r="D168">
            <v>36</v>
          </cell>
          <cell r="E168">
            <v>1680017</v>
          </cell>
          <cell r="F168">
            <v>60480612</v>
          </cell>
          <cell r="G168">
            <v>1500000</v>
          </cell>
          <cell r="H168">
            <v>0</v>
          </cell>
          <cell r="I168">
            <v>1500000</v>
          </cell>
          <cell r="J168">
            <v>54000000</v>
          </cell>
          <cell r="K168">
            <v>0.89284810808462056</v>
          </cell>
          <cell r="L168">
            <v>900000</v>
          </cell>
          <cell r="M168">
            <v>32400000</v>
          </cell>
        </row>
        <row r="169">
          <cell r="A169" t="str">
            <v>E</v>
          </cell>
          <cell r="B169" t="str">
            <v>기 타 공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 t="str">
            <v> </v>
          </cell>
          <cell r="H169">
            <v>0</v>
          </cell>
          <cell r="I169" t="str">
            <v> 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A170" t="str">
            <v>2.20</v>
          </cell>
          <cell r="B170" t="str">
            <v>수로보호공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 t="str">
            <v> </v>
          </cell>
          <cell r="H170">
            <v>0</v>
          </cell>
          <cell r="I170" t="str">
            <v> 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A171" t="str">
            <v>a</v>
          </cell>
          <cell r="B171" t="str">
            <v>거푸집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 t="str">
            <v> </v>
          </cell>
          <cell r="H171">
            <v>0</v>
          </cell>
          <cell r="I171" t="str">
            <v> 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A172" t="str">
            <v>a-2</v>
          </cell>
          <cell r="B172" t="str">
            <v>합판4회</v>
          </cell>
          <cell r="C172" t="str">
            <v>m2</v>
          </cell>
          <cell r="D172">
            <v>261</v>
          </cell>
          <cell r="E172">
            <v>14344</v>
          </cell>
          <cell r="F172">
            <v>3743784</v>
          </cell>
          <cell r="G172">
            <v>18000</v>
          </cell>
          <cell r="H172">
            <v>0</v>
          </cell>
          <cell r="I172">
            <v>18000</v>
          </cell>
          <cell r="J172">
            <v>4698000</v>
          </cell>
          <cell r="K172">
            <v>1.2548800892359175</v>
          </cell>
          <cell r="L172">
            <v>17000</v>
          </cell>
          <cell r="M172">
            <v>4437000</v>
          </cell>
        </row>
        <row r="173">
          <cell r="A173" t="str">
            <v>a-3</v>
          </cell>
          <cell r="B173" t="str">
            <v>합판6회</v>
          </cell>
          <cell r="C173" t="str">
            <v>m2</v>
          </cell>
          <cell r="D173">
            <v>166</v>
          </cell>
          <cell r="E173">
            <v>11730</v>
          </cell>
          <cell r="F173">
            <v>1947180</v>
          </cell>
          <cell r="G173">
            <v>15000</v>
          </cell>
          <cell r="H173">
            <v>0</v>
          </cell>
          <cell r="I173">
            <v>15000</v>
          </cell>
          <cell r="J173">
            <v>2490000</v>
          </cell>
          <cell r="K173">
            <v>1.2787723785166241</v>
          </cell>
          <cell r="L173">
            <v>16000</v>
          </cell>
          <cell r="M173">
            <v>2656000</v>
          </cell>
        </row>
        <row r="174">
          <cell r="A174" t="str">
            <v>b</v>
          </cell>
          <cell r="B174" t="str">
            <v>콘크리트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 t="str">
            <v> </v>
          </cell>
          <cell r="H174">
            <v>0</v>
          </cell>
          <cell r="I174" t="str">
            <v> 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A175" t="str">
            <v>b-2</v>
          </cell>
          <cell r="B175" t="str">
            <v>3종 40m/m(무근)구입및타설</v>
          </cell>
          <cell r="C175" t="str">
            <v>m3</v>
          </cell>
          <cell r="D175">
            <v>1146</v>
          </cell>
          <cell r="E175">
            <v>17726</v>
          </cell>
          <cell r="F175">
            <v>20313996</v>
          </cell>
          <cell r="G175">
            <v>22000</v>
          </cell>
          <cell r="H175" t="str">
            <v>ERR</v>
          </cell>
          <cell r="I175">
            <v>63000</v>
          </cell>
          <cell r="J175">
            <v>25212000</v>
          </cell>
          <cell r="K175">
            <v>1.241114746699763</v>
          </cell>
          <cell r="L175">
            <v>15000</v>
          </cell>
          <cell r="M175">
            <v>17190000</v>
          </cell>
        </row>
        <row r="176">
          <cell r="A176" t="str">
            <v>b-3</v>
          </cell>
          <cell r="B176" t="str">
            <v>3종 40m/m(철근)구입및타설</v>
          </cell>
          <cell r="C176" t="str">
            <v>m3</v>
          </cell>
          <cell r="D176">
            <v>87</v>
          </cell>
          <cell r="E176">
            <v>19288</v>
          </cell>
          <cell r="F176">
            <v>1678056</v>
          </cell>
          <cell r="G176">
            <v>22000</v>
          </cell>
          <cell r="H176" t="str">
            <v>ERR</v>
          </cell>
          <cell r="I176">
            <v>63000</v>
          </cell>
          <cell r="J176">
            <v>1914000</v>
          </cell>
          <cell r="K176">
            <v>1.1406055578598091</v>
          </cell>
          <cell r="L176">
            <v>15000</v>
          </cell>
          <cell r="M176">
            <v>1305000</v>
          </cell>
        </row>
        <row r="177">
          <cell r="A177" t="str">
            <v>b-4</v>
          </cell>
          <cell r="B177" t="str">
            <v>5종 50m/m(무근)구입및타설</v>
          </cell>
          <cell r="C177" t="str">
            <v>m3</v>
          </cell>
          <cell r="D177">
            <v>121</v>
          </cell>
          <cell r="E177">
            <v>17088</v>
          </cell>
          <cell r="F177">
            <v>2067648</v>
          </cell>
          <cell r="G177">
            <v>22000</v>
          </cell>
          <cell r="H177" t="str">
            <v>ERR</v>
          </cell>
          <cell r="I177">
            <v>58000</v>
          </cell>
          <cell r="J177">
            <v>2662000</v>
          </cell>
          <cell r="K177">
            <v>1.2874531835205993</v>
          </cell>
          <cell r="L177">
            <v>15000</v>
          </cell>
          <cell r="M177">
            <v>1815000</v>
          </cell>
        </row>
        <row r="178">
          <cell r="A178" t="str">
            <v>c</v>
          </cell>
          <cell r="B178" t="str">
            <v>채움재</v>
          </cell>
          <cell r="C178" t="str">
            <v>m3</v>
          </cell>
          <cell r="D178">
            <v>470</v>
          </cell>
          <cell r="E178">
            <v>20724</v>
          </cell>
          <cell r="F178">
            <v>9740280</v>
          </cell>
          <cell r="G178">
            <v>16100</v>
          </cell>
          <cell r="H178">
            <v>0</v>
          </cell>
          <cell r="I178">
            <v>16100</v>
          </cell>
          <cell r="J178">
            <v>7567000</v>
          </cell>
          <cell r="K178">
            <v>0.7768770507624011</v>
          </cell>
          <cell r="L178">
            <v>4000</v>
          </cell>
          <cell r="M178">
            <v>1880000</v>
          </cell>
        </row>
        <row r="179">
          <cell r="A179" t="str">
            <v>d</v>
          </cell>
          <cell r="B179" t="str">
            <v>P.V.C 파이프(D= 50m/m)</v>
          </cell>
          <cell r="C179" t="str">
            <v>m</v>
          </cell>
          <cell r="D179">
            <v>235</v>
          </cell>
          <cell r="E179">
            <v>921</v>
          </cell>
          <cell r="F179">
            <v>216435</v>
          </cell>
          <cell r="G179">
            <v>1570</v>
          </cell>
          <cell r="H179">
            <v>0</v>
          </cell>
          <cell r="I179">
            <v>1570</v>
          </cell>
          <cell r="J179">
            <v>368950</v>
          </cell>
          <cell r="K179">
            <v>1.7046688382193269</v>
          </cell>
          <cell r="L179">
            <v>2000</v>
          </cell>
          <cell r="M179">
            <v>470000</v>
          </cell>
        </row>
        <row r="180">
          <cell r="A180" t="str">
            <v>f-1</v>
          </cell>
          <cell r="B180" t="str">
            <v>찰쌓기(0 - 3m)</v>
          </cell>
          <cell r="C180" t="str">
            <v>m2</v>
          </cell>
          <cell r="D180">
            <v>339</v>
          </cell>
          <cell r="E180">
            <v>14439</v>
          </cell>
          <cell r="F180">
            <v>4894821</v>
          </cell>
          <cell r="G180">
            <v>31180</v>
          </cell>
          <cell r="H180">
            <v>0</v>
          </cell>
          <cell r="I180">
            <v>31180</v>
          </cell>
          <cell r="J180">
            <v>10570020</v>
          </cell>
          <cell r="K180">
            <v>2.1594293233603437</v>
          </cell>
          <cell r="L180">
            <v>35000</v>
          </cell>
          <cell r="M180">
            <v>11865000</v>
          </cell>
        </row>
        <row r="181">
          <cell r="A181" t="str">
            <v>f-2</v>
          </cell>
          <cell r="B181" t="str">
            <v>찰쌓기(3 - 6m)</v>
          </cell>
          <cell r="C181" t="str">
            <v>m2</v>
          </cell>
          <cell r="D181">
            <v>334</v>
          </cell>
          <cell r="E181">
            <v>20396</v>
          </cell>
          <cell r="F181">
            <v>6812264</v>
          </cell>
          <cell r="G181">
            <v>36880</v>
          </cell>
          <cell r="H181">
            <v>0</v>
          </cell>
          <cell r="I181">
            <v>36880</v>
          </cell>
          <cell r="J181">
            <v>12317920</v>
          </cell>
          <cell r="K181">
            <v>1.8081976858207491</v>
          </cell>
          <cell r="L181">
            <v>45000</v>
          </cell>
          <cell r="M181">
            <v>15030000</v>
          </cell>
        </row>
        <row r="182">
          <cell r="A182" t="str">
            <v>h</v>
          </cell>
          <cell r="B182" t="str">
            <v>철근가공조립(간단)</v>
          </cell>
          <cell r="C182" t="str">
            <v>TON</v>
          </cell>
          <cell r="D182">
            <v>2.0910000000000002</v>
          </cell>
          <cell r="E182">
            <v>243567</v>
          </cell>
          <cell r="F182">
            <v>509298</v>
          </cell>
          <cell r="G182">
            <v>220000</v>
          </cell>
          <cell r="H182">
            <v>0</v>
          </cell>
          <cell r="I182">
            <v>220000</v>
          </cell>
          <cell r="J182">
            <v>460020</v>
          </cell>
          <cell r="K182">
            <v>0.90324328781970475</v>
          </cell>
          <cell r="L182">
            <v>230000</v>
          </cell>
          <cell r="M182">
            <v>480930</v>
          </cell>
        </row>
        <row r="183">
          <cell r="A183">
            <v>2.21</v>
          </cell>
          <cell r="B183" t="str">
            <v>콘크리트다이크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 t="str">
            <v> </v>
          </cell>
          <cell r="H183">
            <v>0</v>
          </cell>
          <cell r="I183" t="str">
            <v> 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A184" t="str">
            <v>a</v>
          </cell>
          <cell r="B184" t="str">
            <v>기계타설</v>
          </cell>
          <cell r="C184" t="str">
            <v>m</v>
          </cell>
          <cell r="D184">
            <v>20799</v>
          </cell>
          <cell r="E184">
            <v>1048</v>
          </cell>
          <cell r="F184">
            <v>21797352</v>
          </cell>
          <cell r="G184">
            <v>4680</v>
          </cell>
          <cell r="H184" t="str">
            <v>ERR</v>
          </cell>
          <cell r="I184">
            <v>5040</v>
          </cell>
          <cell r="J184">
            <v>97339320</v>
          </cell>
          <cell r="K184">
            <v>4.4656488549618318</v>
          </cell>
          <cell r="L184">
            <v>6500</v>
          </cell>
          <cell r="M184">
            <v>135193500</v>
          </cell>
        </row>
        <row r="185">
          <cell r="A185" t="str">
            <v>b</v>
          </cell>
          <cell r="B185" t="str">
            <v>프리케스트</v>
          </cell>
          <cell r="C185" t="str">
            <v>m</v>
          </cell>
          <cell r="D185">
            <v>1346</v>
          </cell>
          <cell r="E185">
            <v>10827</v>
          </cell>
          <cell r="F185">
            <v>14573142</v>
          </cell>
          <cell r="G185">
            <v>12080</v>
          </cell>
          <cell r="H185" t="str">
            <v>ERR</v>
          </cell>
          <cell r="I185">
            <v>13420</v>
          </cell>
          <cell r="J185">
            <v>16259680</v>
          </cell>
          <cell r="K185">
            <v>1.1157291955296942</v>
          </cell>
          <cell r="L185">
            <v>12000</v>
          </cell>
          <cell r="M185">
            <v>16152000</v>
          </cell>
        </row>
        <row r="186">
          <cell r="A186">
            <v>2.2200000000000002</v>
          </cell>
          <cell r="B186" t="str">
            <v>소단배수로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 t="str">
            <v> </v>
          </cell>
          <cell r="H186">
            <v>0</v>
          </cell>
          <cell r="I186" t="str">
            <v> 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A187" t="str">
            <v>a</v>
          </cell>
          <cell r="B187" t="str">
            <v>형식-1(암구간;L형 측구)</v>
          </cell>
          <cell r="C187" t="str">
            <v>m</v>
          </cell>
          <cell r="D187">
            <v>2391</v>
          </cell>
          <cell r="E187">
            <v>11906</v>
          </cell>
          <cell r="F187">
            <v>28467246</v>
          </cell>
          <cell r="G187">
            <v>11580</v>
          </cell>
          <cell r="H187" t="str">
            <v>ERR</v>
          </cell>
          <cell r="I187">
            <v>12710</v>
          </cell>
          <cell r="J187">
            <v>27687780</v>
          </cell>
          <cell r="K187">
            <v>0.97261884763984541</v>
          </cell>
          <cell r="L187">
            <v>40000</v>
          </cell>
          <cell r="M187">
            <v>95640000</v>
          </cell>
        </row>
        <row r="188">
          <cell r="A188" t="str">
            <v>b</v>
          </cell>
          <cell r="B188" t="str">
            <v>형식-1(토사구간;PE반원형)</v>
          </cell>
          <cell r="C188" t="str">
            <v>m</v>
          </cell>
          <cell r="D188">
            <v>203</v>
          </cell>
          <cell r="E188">
            <v>11406</v>
          </cell>
          <cell r="F188">
            <v>2315418</v>
          </cell>
          <cell r="G188">
            <v>8380</v>
          </cell>
          <cell r="H188" t="str">
            <v>ERR</v>
          </cell>
          <cell r="I188">
            <v>13530</v>
          </cell>
          <cell r="J188">
            <v>1701140</v>
          </cell>
          <cell r="K188">
            <v>0.73470103454322289</v>
          </cell>
          <cell r="L188">
            <v>70000</v>
          </cell>
          <cell r="M188">
            <v>14210000</v>
          </cell>
        </row>
        <row r="189">
          <cell r="A189">
            <v>2.23</v>
          </cell>
          <cell r="B189" t="str">
            <v>길어깨다이크집수거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 t="str">
            <v> </v>
          </cell>
          <cell r="H189">
            <v>0</v>
          </cell>
          <cell r="I189" t="str">
            <v> 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A190" t="str">
            <v>a</v>
          </cell>
          <cell r="B190" t="str">
            <v>형식-1(L형)</v>
          </cell>
          <cell r="C190" t="str">
            <v>개</v>
          </cell>
          <cell r="D190">
            <v>226</v>
          </cell>
          <cell r="E190">
            <v>93439</v>
          </cell>
          <cell r="F190">
            <v>21117214</v>
          </cell>
          <cell r="G190">
            <v>91480</v>
          </cell>
          <cell r="H190" t="str">
            <v>ERR</v>
          </cell>
          <cell r="I190">
            <v>95230</v>
          </cell>
          <cell r="J190">
            <v>20674480</v>
          </cell>
          <cell r="K190">
            <v>0.97903445028307234</v>
          </cell>
          <cell r="L190">
            <v>120000</v>
          </cell>
          <cell r="M190">
            <v>27120000</v>
          </cell>
        </row>
        <row r="191">
          <cell r="A191" t="str">
            <v>b</v>
          </cell>
          <cell r="B191" t="str">
            <v>형식-2(T형)</v>
          </cell>
          <cell r="C191" t="str">
            <v>개</v>
          </cell>
          <cell r="D191">
            <v>16</v>
          </cell>
          <cell r="E191">
            <v>149323</v>
          </cell>
          <cell r="F191">
            <v>2389168</v>
          </cell>
          <cell r="G191">
            <v>171900</v>
          </cell>
          <cell r="H191" t="str">
            <v>ERR</v>
          </cell>
          <cell r="I191">
            <v>178900</v>
          </cell>
          <cell r="J191">
            <v>2750400</v>
          </cell>
          <cell r="K191">
            <v>1.1511957300616784</v>
          </cell>
          <cell r="L191">
            <v>150000</v>
          </cell>
          <cell r="M191">
            <v>2400000</v>
          </cell>
        </row>
        <row r="192">
          <cell r="A192">
            <v>2.2400000000000002</v>
          </cell>
          <cell r="B192" t="str">
            <v>도수로설치공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 t="str">
            <v> </v>
          </cell>
          <cell r="H192">
            <v>0</v>
          </cell>
          <cell r="I192" t="str">
            <v> 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A193" t="str">
            <v>a</v>
          </cell>
          <cell r="B193" t="str">
            <v>거푸집</v>
          </cell>
          <cell r="C193" t="str">
            <v> </v>
          </cell>
          <cell r="D193">
            <v>0</v>
          </cell>
          <cell r="E193">
            <v>0</v>
          </cell>
          <cell r="F193">
            <v>0</v>
          </cell>
          <cell r="G193" t="str">
            <v> </v>
          </cell>
          <cell r="H193">
            <v>0</v>
          </cell>
          <cell r="I193" t="str">
            <v> 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A194" t="str">
            <v>a-1</v>
          </cell>
          <cell r="B194" t="str">
            <v>합판3회</v>
          </cell>
          <cell r="C194" t="str">
            <v>m2</v>
          </cell>
          <cell r="D194">
            <v>81</v>
          </cell>
          <cell r="E194">
            <v>16812</v>
          </cell>
          <cell r="F194">
            <v>1361772</v>
          </cell>
          <cell r="G194">
            <v>19000</v>
          </cell>
          <cell r="H194">
            <v>0</v>
          </cell>
          <cell r="I194">
            <v>19000</v>
          </cell>
          <cell r="J194">
            <v>1539000</v>
          </cell>
          <cell r="K194">
            <v>1.1301451344277897</v>
          </cell>
          <cell r="L194">
            <v>18000</v>
          </cell>
          <cell r="M194">
            <v>1458000</v>
          </cell>
        </row>
        <row r="195">
          <cell r="A195" t="str">
            <v>a-2</v>
          </cell>
          <cell r="B195" t="str">
            <v>합판4회</v>
          </cell>
          <cell r="C195" t="str">
            <v>m2</v>
          </cell>
          <cell r="D195">
            <v>5956</v>
          </cell>
          <cell r="E195">
            <v>14344</v>
          </cell>
          <cell r="F195">
            <v>85432864</v>
          </cell>
          <cell r="G195">
            <v>18000</v>
          </cell>
          <cell r="H195">
            <v>0</v>
          </cell>
          <cell r="I195">
            <v>18000</v>
          </cell>
          <cell r="J195">
            <v>107208000</v>
          </cell>
          <cell r="K195">
            <v>1.2548800892359175</v>
          </cell>
          <cell r="L195">
            <v>17000</v>
          </cell>
          <cell r="M195">
            <v>101252000</v>
          </cell>
        </row>
        <row r="196">
          <cell r="A196" t="str">
            <v>b</v>
          </cell>
          <cell r="B196" t="str">
            <v>철근가공조립(간단)</v>
          </cell>
          <cell r="C196" t="str">
            <v>TON</v>
          </cell>
          <cell r="D196">
            <v>44.098999999999997</v>
          </cell>
          <cell r="E196">
            <v>243567</v>
          </cell>
          <cell r="F196">
            <v>10741061</v>
          </cell>
          <cell r="G196">
            <v>220000</v>
          </cell>
          <cell r="H196">
            <v>0</v>
          </cell>
          <cell r="I196">
            <v>220000</v>
          </cell>
          <cell r="J196">
            <v>9701780</v>
          </cell>
          <cell r="K196">
            <v>0.90324224022189237</v>
          </cell>
          <cell r="L196">
            <v>230000</v>
          </cell>
          <cell r="M196">
            <v>10142770</v>
          </cell>
        </row>
        <row r="197">
          <cell r="A197" t="str">
            <v>c-1</v>
          </cell>
          <cell r="B197" t="str">
            <v>철근(VIB제외):con'c3종</v>
          </cell>
          <cell r="C197" t="str">
            <v>m3</v>
          </cell>
          <cell r="D197">
            <v>253</v>
          </cell>
          <cell r="E197">
            <v>17774</v>
          </cell>
          <cell r="F197">
            <v>4496822</v>
          </cell>
          <cell r="G197">
            <v>22000</v>
          </cell>
          <cell r="H197" t="str">
            <v>ERR</v>
          </cell>
          <cell r="I197">
            <v>64000</v>
          </cell>
          <cell r="J197">
            <v>5566000</v>
          </cell>
          <cell r="K197">
            <v>1.2377630246427367</v>
          </cell>
          <cell r="L197">
            <v>20000</v>
          </cell>
          <cell r="M197">
            <v>5060000</v>
          </cell>
        </row>
        <row r="198">
          <cell r="A198" t="str">
            <v>c-2</v>
          </cell>
          <cell r="B198" t="str">
            <v>소형(VIB제외);con'c3종</v>
          </cell>
          <cell r="C198" t="str">
            <v>m3</v>
          </cell>
          <cell r="D198">
            <v>508</v>
          </cell>
          <cell r="E198">
            <v>26516</v>
          </cell>
          <cell r="F198">
            <v>13470128</v>
          </cell>
          <cell r="G198">
            <v>22000</v>
          </cell>
          <cell r="H198" t="str">
            <v>ERR</v>
          </cell>
          <cell r="I198">
            <v>64000</v>
          </cell>
          <cell r="J198">
            <v>11176000</v>
          </cell>
          <cell r="K198">
            <v>0.82968773570674315</v>
          </cell>
          <cell r="L198">
            <v>20000</v>
          </cell>
          <cell r="M198">
            <v>10160000</v>
          </cell>
        </row>
        <row r="199">
          <cell r="A199" t="str">
            <v>d-1</v>
          </cell>
          <cell r="B199" t="str">
            <v>철근(VIB제외):con'c3종</v>
          </cell>
          <cell r="C199" t="str">
            <v>m3</v>
          </cell>
          <cell r="D199">
            <v>11</v>
          </cell>
          <cell r="E199">
            <v>19164</v>
          </cell>
          <cell r="F199">
            <v>210804</v>
          </cell>
          <cell r="G199">
            <v>22000</v>
          </cell>
          <cell r="H199" t="str">
            <v>ERR</v>
          </cell>
          <cell r="I199">
            <v>63000</v>
          </cell>
          <cell r="J199">
            <v>242000</v>
          </cell>
          <cell r="K199">
            <v>1.147985806720935</v>
          </cell>
          <cell r="L199">
            <v>20000</v>
          </cell>
          <cell r="M199">
            <v>220000</v>
          </cell>
        </row>
        <row r="200">
          <cell r="A200" t="str">
            <v>d-2</v>
          </cell>
          <cell r="B200" t="str">
            <v>소형(VIB제외);con'c3종</v>
          </cell>
          <cell r="C200" t="str">
            <v>m3</v>
          </cell>
          <cell r="D200">
            <v>119</v>
          </cell>
          <cell r="E200">
            <v>27905</v>
          </cell>
          <cell r="F200">
            <v>3320695</v>
          </cell>
          <cell r="G200">
            <v>22000</v>
          </cell>
          <cell r="H200" t="str">
            <v>ERR</v>
          </cell>
          <cell r="I200">
            <v>63000</v>
          </cell>
          <cell r="J200">
            <v>2618000</v>
          </cell>
          <cell r="K200">
            <v>0.78838917756674431</v>
          </cell>
          <cell r="L200">
            <v>20000</v>
          </cell>
          <cell r="M200">
            <v>2380000</v>
          </cell>
        </row>
        <row r="201">
          <cell r="A201">
            <v>2.25</v>
          </cell>
          <cell r="B201" t="str">
            <v>노면배수공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 t="str">
            <v> </v>
          </cell>
          <cell r="H201">
            <v>0</v>
          </cell>
          <cell r="I201" t="str">
            <v> 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A202" t="str">
            <v>a</v>
          </cell>
          <cell r="B202" t="str">
            <v>중분대 횡배수관(D=300m/m)</v>
          </cell>
          <cell r="C202" t="str">
            <v>m</v>
          </cell>
          <cell r="D202">
            <v>367</v>
          </cell>
          <cell r="E202">
            <v>38844</v>
          </cell>
          <cell r="F202">
            <v>14255748</v>
          </cell>
          <cell r="G202">
            <v>35110</v>
          </cell>
          <cell r="H202">
            <v>0</v>
          </cell>
          <cell r="I202">
            <v>35110</v>
          </cell>
          <cell r="J202">
            <v>12885370</v>
          </cell>
          <cell r="K202">
            <v>0.90387189784780142</v>
          </cell>
          <cell r="L202">
            <v>18000</v>
          </cell>
          <cell r="M202">
            <v>6606000</v>
          </cell>
        </row>
        <row r="203">
          <cell r="A203" t="str">
            <v>2-25-B</v>
          </cell>
          <cell r="B203" t="str">
            <v>종배수관-중분대,L형측구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 t="str">
            <v> </v>
          </cell>
          <cell r="H203">
            <v>0</v>
          </cell>
          <cell r="I203" t="str">
            <v> 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A204" t="str">
            <v>b-1</v>
          </cell>
          <cell r="B204" t="str">
            <v>D =  300m/m</v>
          </cell>
          <cell r="C204" t="str">
            <v>m</v>
          </cell>
          <cell r="D204">
            <v>5224</v>
          </cell>
          <cell r="E204">
            <v>20663</v>
          </cell>
          <cell r="F204">
            <v>107943512</v>
          </cell>
          <cell r="G204">
            <v>8050</v>
          </cell>
          <cell r="H204" t="str">
            <v>ERR</v>
          </cell>
          <cell r="I204">
            <v>18760</v>
          </cell>
          <cell r="J204">
            <v>42053200</v>
          </cell>
          <cell r="K204">
            <v>0.38958524899578956</v>
          </cell>
          <cell r="L204">
            <v>12000</v>
          </cell>
          <cell r="M204">
            <v>62688000</v>
          </cell>
        </row>
        <row r="205">
          <cell r="A205" t="str">
            <v>b-2</v>
          </cell>
          <cell r="B205" t="str">
            <v>D =  450m/m</v>
          </cell>
          <cell r="C205" t="str">
            <v>m</v>
          </cell>
          <cell r="D205">
            <v>1124</v>
          </cell>
          <cell r="E205">
            <v>25618</v>
          </cell>
          <cell r="F205">
            <v>28794632</v>
          </cell>
          <cell r="G205">
            <v>10980</v>
          </cell>
          <cell r="H205" t="str">
            <v>ERR</v>
          </cell>
          <cell r="I205">
            <v>23760</v>
          </cell>
          <cell r="J205">
            <v>12341520</v>
          </cell>
          <cell r="K205">
            <v>0.42860488718869544</v>
          </cell>
          <cell r="L205">
            <v>16000</v>
          </cell>
          <cell r="M205">
            <v>17984000</v>
          </cell>
        </row>
        <row r="206">
          <cell r="A206" t="str">
            <v>b-3</v>
          </cell>
          <cell r="B206" t="str">
            <v>D =  600m/m</v>
          </cell>
          <cell r="C206" t="str">
            <v>m</v>
          </cell>
          <cell r="D206">
            <v>4044</v>
          </cell>
          <cell r="E206">
            <v>43554</v>
          </cell>
          <cell r="F206">
            <v>176132376</v>
          </cell>
          <cell r="G206">
            <v>17820</v>
          </cell>
          <cell r="H206" t="str">
            <v>ERR</v>
          </cell>
          <cell r="I206">
            <v>39240</v>
          </cell>
          <cell r="J206">
            <v>72064080</v>
          </cell>
          <cell r="K206">
            <v>0.40914726546356245</v>
          </cell>
          <cell r="L206">
            <v>20000</v>
          </cell>
          <cell r="M206">
            <v>80880000</v>
          </cell>
        </row>
        <row r="207">
          <cell r="A207" t="str">
            <v>b-5</v>
          </cell>
          <cell r="B207" t="str">
            <v>D =  1000m/m</v>
          </cell>
          <cell r="C207" t="str">
            <v>m</v>
          </cell>
          <cell r="D207">
            <v>426</v>
          </cell>
          <cell r="E207">
            <v>97034</v>
          </cell>
          <cell r="F207">
            <v>41336484</v>
          </cell>
          <cell r="G207">
            <v>32680</v>
          </cell>
          <cell r="H207" t="str">
            <v>ERR</v>
          </cell>
          <cell r="I207">
            <v>93240</v>
          </cell>
          <cell r="J207">
            <v>13921680</v>
          </cell>
          <cell r="K207">
            <v>0.33678916668384279</v>
          </cell>
          <cell r="L207">
            <v>60000</v>
          </cell>
          <cell r="M207">
            <v>25560000</v>
          </cell>
        </row>
        <row r="208">
          <cell r="A208" t="str">
            <v>b-6</v>
          </cell>
          <cell r="B208" t="str">
            <v>D =  1200m/m</v>
          </cell>
          <cell r="C208" t="str">
            <v>m</v>
          </cell>
          <cell r="D208">
            <v>10</v>
          </cell>
          <cell r="E208">
            <v>140363</v>
          </cell>
          <cell r="F208">
            <v>1403630</v>
          </cell>
          <cell r="G208">
            <v>48970</v>
          </cell>
          <cell r="H208" t="str">
            <v>ERR</v>
          </cell>
          <cell r="I208">
            <v>133840</v>
          </cell>
          <cell r="J208">
            <v>489700</v>
          </cell>
          <cell r="K208">
            <v>0.34888111539365785</v>
          </cell>
          <cell r="L208">
            <v>80000</v>
          </cell>
          <cell r="M208">
            <v>800000</v>
          </cell>
        </row>
        <row r="209">
          <cell r="A209" t="str">
            <v>c</v>
          </cell>
          <cell r="B209" t="str">
            <v>중분대 집수정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 t="str">
            <v> </v>
          </cell>
          <cell r="H209">
            <v>0</v>
          </cell>
          <cell r="I209" t="str">
            <v> 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 t="str">
            <v>c-1</v>
          </cell>
          <cell r="B210" t="str">
            <v>형식 - 1 (양종방향)</v>
          </cell>
          <cell r="C210" t="str">
            <v>개</v>
          </cell>
          <cell r="D210">
            <v>272</v>
          </cell>
          <cell r="E210">
            <v>205291</v>
          </cell>
          <cell r="F210">
            <v>55839152</v>
          </cell>
          <cell r="G210">
            <v>224070</v>
          </cell>
          <cell r="H210" t="str">
            <v>ERR</v>
          </cell>
          <cell r="I210">
            <v>252280</v>
          </cell>
          <cell r="J210">
            <v>60947040</v>
          </cell>
          <cell r="K210">
            <v>1.0914750281307997</v>
          </cell>
          <cell r="L210">
            <v>220000</v>
          </cell>
          <cell r="M210">
            <v>59840000</v>
          </cell>
        </row>
        <row r="211">
          <cell r="A211" t="str">
            <v>c-2</v>
          </cell>
          <cell r="B211" t="str">
            <v>형식 - 1 (양종방향)</v>
          </cell>
          <cell r="C211" t="str">
            <v>개</v>
          </cell>
          <cell r="D211">
            <v>25</v>
          </cell>
          <cell r="E211">
            <v>200681</v>
          </cell>
          <cell r="F211">
            <v>5017025</v>
          </cell>
          <cell r="G211">
            <v>220120</v>
          </cell>
          <cell r="H211" t="str">
            <v>ERR</v>
          </cell>
          <cell r="I211">
            <v>247640</v>
          </cell>
          <cell r="J211">
            <v>5503000</v>
          </cell>
          <cell r="K211">
            <v>1.0968651740822499</v>
          </cell>
          <cell r="L211">
            <v>220000</v>
          </cell>
          <cell r="M211">
            <v>5500000</v>
          </cell>
        </row>
        <row r="212">
          <cell r="A212" t="str">
            <v>c-3</v>
          </cell>
          <cell r="B212" t="str">
            <v>형식 - 1 (양종방향)</v>
          </cell>
          <cell r="C212" t="str">
            <v>개</v>
          </cell>
          <cell r="D212">
            <v>1</v>
          </cell>
          <cell r="E212">
            <v>196060</v>
          </cell>
          <cell r="F212">
            <v>196060</v>
          </cell>
          <cell r="G212">
            <v>216160</v>
          </cell>
          <cell r="H212" t="str">
            <v>ERR</v>
          </cell>
          <cell r="I212">
            <v>243280</v>
          </cell>
          <cell r="J212">
            <v>216160</v>
          </cell>
          <cell r="K212">
            <v>1.1025196368458634</v>
          </cell>
          <cell r="L212">
            <v>220000</v>
          </cell>
          <cell r="M212">
            <v>220000</v>
          </cell>
        </row>
        <row r="213">
          <cell r="A213">
            <v>2.2599999999999998</v>
          </cell>
          <cell r="B213" t="str">
            <v>용배수로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 t="str">
            <v> </v>
          </cell>
          <cell r="H213">
            <v>0</v>
          </cell>
          <cell r="I213" t="str">
            <v> 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A214" t="str">
            <v>b</v>
          </cell>
          <cell r="B214" t="str">
            <v>거푸집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 t="str">
            <v> </v>
          </cell>
          <cell r="H214">
            <v>0</v>
          </cell>
          <cell r="I214" t="str">
            <v> 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A215" t="str">
            <v>b-1</v>
          </cell>
          <cell r="B215" t="str">
            <v>합판 3회</v>
          </cell>
          <cell r="C215" t="str">
            <v>m2</v>
          </cell>
          <cell r="D215">
            <v>674</v>
          </cell>
          <cell r="E215">
            <v>16812</v>
          </cell>
          <cell r="F215">
            <v>11331288</v>
          </cell>
          <cell r="G215">
            <v>19000</v>
          </cell>
          <cell r="H215">
            <v>0</v>
          </cell>
          <cell r="I215">
            <v>19000</v>
          </cell>
          <cell r="J215">
            <v>12806000</v>
          </cell>
          <cell r="K215">
            <v>1.1301451344277897</v>
          </cell>
          <cell r="L215">
            <v>18000</v>
          </cell>
          <cell r="M215">
            <v>12132000</v>
          </cell>
        </row>
        <row r="216">
          <cell r="A216" t="str">
            <v>b-2</v>
          </cell>
          <cell r="B216" t="str">
            <v>합판 4회</v>
          </cell>
          <cell r="C216" t="str">
            <v>m2</v>
          </cell>
          <cell r="D216">
            <v>736</v>
          </cell>
          <cell r="E216">
            <v>14344</v>
          </cell>
          <cell r="F216">
            <v>10557184</v>
          </cell>
          <cell r="G216">
            <v>18000</v>
          </cell>
          <cell r="H216">
            <v>0</v>
          </cell>
          <cell r="I216">
            <v>18000</v>
          </cell>
          <cell r="J216">
            <v>13248000</v>
          </cell>
          <cell r="K216">
            <v>1.2548800892359175</v>
          </cell>
          <cell r="L216">
            <v>17000</v>
          </cell>
          <cell r="M216">
            <v>12512000</v>
          </cell>
        </row>
        <row r="217">
          <cell r="A217" t="str">
            <v>c</v>
          </cell>
          <cell r="B217" t="str">
            <v>철근가공조립(보통)</v>
          </cell>
          <cell r="C217" t="str">
            <v>TON</v>
          </cell>
          <cell r="D217">
            <v>24.202000000000002</v>
          </cell>
          <cell r="E217">
            <v>336241</v>
          </cell>
          <cell r="F217">
            <v>8137704</v>
          </cell>
          <cell r="G217">
            <v>240000</v>
          </cell>
          <cell r="H217">
            <v>0</v>
          </cell>
          <cell r="I217">
            <v>240000</v>
          </cell>
          <cell r="J217">
            <v>5808480</v>
          </cell>
          <cell r="K217">
            <v>0.71377381138463625</v>
          </cell>
          <cell r="L217">
            <v>230000</v>
          </cell>
          <cell r="M217">
            <v>5566460</v>
          </cell>
        </row>
        <row r="218">
          <cell r="A218" t="str">
            <v>f</v>
          </cell>
          <cell r="B218" t="str">
            <v>콘크리트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 t="str">
            <v> </v>
          </cell>
          <cell r="H218">
            <v>0</v>
          </cell>
          <cell r="I218" t="str">
            <v> 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</row>
        <row r="219">
          <cell r="A219" t="str">
            <v>f-1</v>
          </cell>
          <cell r="B219" t="str">
            <v>2종 32m/m (생산 및 타설)</v>
          </cell>
          <cell r="C219" t="str">
            <v>m3</v>
          </cell>
          <cell r="D219">
            <v>263</v>
          </cell>
          <cell r="E219">
            <v>28836</v>
          </cell>
          <cell r="F219">
            <v>7583868</v>
          </cell>
          <cell r="G219">
            <v>22000</v>
          </cell>
          <cell r="H219" t="str">
            <v>ERR</v>
          </cell>
          <cell r="I219">
            <v>31050</v>
          </cell>
          <cell r="J219">
            <v>5786000</v>
          </cell>
          <cell r="K219">
            <v>0.76293521986405877</v>
          </cell>
          <cell r="L219">
            <v>15000</v>
          </cell>
          <cell r="M219">
            <v>3945000</v>
          </cell>
        </row>
        <row r="220">
          <cell r="A220" t="str">
            <v>f-4</v>
          </cell>
          <cell r="B220" t="str">
            <v>5종 50m/m (구입 및 타설)</v>
          </cell>
          <cell r="C220" t="str">
            <v>m3</v>
          </cell>
          <cell r="D220">
            <v>31</v>
          </cell>
          <cell r="E220">
            <v>17088</v>
          </cell>
          <cell r="F220">
            <v>529728</v>
          </cell>
          <cell r="G220">
            <v>22000</v>
          </cell>
          <cell r="H220" t="str">
            <v>ERR</v>
          </cell>
          <cell r="I220">
            <v>58000</v>
          </cell>
          <cell r="J220">
            <v>682000</v>
          </cell>
          <cell r="K220">
            <v>1.2874531835205993</v>
          </cell>
          <cell r="L220">
            <v>15000</v>
          </cell>
          <cell r="M220">
            <v>465000</v>
          </cell>
        </row>
        <row r="221">
          <cell r="B221" t="str">
            <v>소   계 (배수공구조물)</v>
          </cell>
          <cell r="C221">
            <v>0</v>
          </cell>
          <cell r="D221">
            <v>0</v>
          </cell>
          <cell r="E221">
            <v>0</v>
          </cell>
          <cell r="F221">
            <v>7753897165</v>
          </cell>
          <cell r="G221">
            <v>0</v>
          </cell>
          <cell r="H221">
            <v>0</v>
          </cell>
          <cell r="I221">
            <v>0</v>
          </cell>
          <cell r="J221">
            <v>6382728585</v>
          </cell>
          <cell r="K221">
            <v>0.8231639457137423</v>
          </cell>
          <cell r="L221">
            <v>0</v>
          </cell>
          <cell r="M221">
            <v>6562213310</v>
          </cell>
        </row>
        <row r="222">
          <cell r="B222" t="str">
            <v>직접공사비 계</v>
          </cell>
          <cell r="C222">
            <v>0</v>
          </cell>
          <cell r="D222">
            <v>0</v>
          </cell>
          <cell r="E222">
            <v>0</v>
          </cell>
          <cell r="F222">
            <v>29073580030</v>
          </cell>
          <cell r="G222">
            <v>0</v>
          </cell>
          <cell r="H222">
            <v>0</v>
          </cell>
          <cell r="I222">
            <v>0</v>
          </cell>
          <cell r="J222">
            <v>20998993135</v>
          </cell>
          <cell r="K222">
            <v>0.72227063586018236</v>
          </cell>
          <cell r="L222">
            <v>0</v>
          </cell>
          <cell r="M222">
            <v>19373678460</v>
          </cell>
        </row>
        <row r="223">
          <cell r="F223" t="str">
            <v> 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 t="str">
            <v> </v>
          </cell>
        </row>
        <row r="224">
          <cell r="B224" t="str">
            <v>안전관리비</v>
          </cell>
          <cell r="C224">
            <v>0</v>
          </cell>
          <cell r="D224">
            <v>0</v>
          </cell>
          <cell r="E224">
            <v>1.5199999999999998E-2</v>
          </cell>
          <cell r="F224">
            <v>441918416.45599997</v>
          </cell>
          <cell r="G224">
            <v>0.01</v>
          </cell>
          <cell r="H224">
            <v>0</v>
          </cell>
          <cell r="I224">
            <v>5.0000000000000001E-3</v>
          </cell>
          <cell r="J224">
            <v>209989931</v>
          </cell>
          <cell r="K224">
            <v>0.47517804911601336</v>
          </cell>
          <cell r="L224">
            <v>0</v>
          </cell>
          <cell r="M224">
            <v>356321540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갑지"/>
      <sheetName val="총괄"/>
      <sheetName val="지하철6-1"/>
      <sheetName val="지하철6-2"/>
      <sheetName val="고철1-1"/>
      <sheetName val="고속철도1-2"/>
      <sheetName val="부산지하철"/>
      <sheetName val="부산통신구"/>
      <sheetName val="광주도시철도1-1"/>
      <sheetName val="소태역사"/>
      <sheetName val="신공항고속도로"/>
      <sheetName val="신공항A-3"/>
      <sheetName val="신공항A-4"/>
      <sheetName val="양양국제공항(원가수정)"/>
      <sheetName val="신공항A-9(원가수정)"/>
      <sheetName val="신공항A-10"/>
      <sheetName val="신공항철도노반(원가수정)"/>
      <sheetName val="중수처리시설"/>
      <sheetName val="대진7공구"/>
      <sheetName val="대진8공구"/>
      <sheetName val="평동산단"/>
      <sheetName val="천안논산"/>
      <sheetName val="지도사옥"/>
      <sheetName val="대구4차순환도로"/>
      <sheetName val="삼덕시지간도로"/>
      <sheetName val="대구팔달로"/>
      <sheetName val="태전구마지선"/>
      <sheetName val="전주대교"/>
      <sheetName val="여수하수처리장"/>
      <sheetName val="송대하수2단계"/>
      <sheetName val="대청댐"/>
      <sheetName val="탐진댐"/>
      <sheetName val="장수축산"/>
      <sheetName val="광동리하수처리장"/>
      <sheetName val="해도배수펌프장"/>
      <sheetName val="풍암시설물관리"/>
      <sheetName val="시화부대시설"/>
      <sheetName val="부산신항만"/>
      <sheetName val="양산ICD"/>
      <sheetName val="양산유수지"/>
      <sheetName val="평동공단"/>
      <sheetName val="양산TR"/>
      <sheetName val="서창선차집관로"/>
      <sheetName val="가양화곡"/>
      <sheetName val="안암성동"/>
      <sheetName val="신공항A18"/>
      <sheetName val="하남장성"/>
      <sheetName val="광로7호선"/>
      <sheetName val="아산만"/>
      <sheetName val="기타(준공)"/>
      <sheetName val="광주하수탈취"/>
      <sheetName val="수입"/>
      <sheetName val="산출기준(파견전산실)"/>
      <sheetName val="감가상각"/>
      <sheetName val="감독1130"/>
      <sheetName val="통장출금액"/>
      <sheetName val="매출원가기성3차"/>
      <sheetName val="하조서"/>
      <sheetName val="MIJIBI"/>
      <sheetName val="특외대"/>
      <sheetName val="하수급견적대비"/>
      <sheetName val="경비"/>
      <sheetName val="99.7월 당월회수 실적"/>
      <sheetName val="손익계산서(管理)"/>
      <sheetName val="손익계산절차"/>
      <sheetName val="손익"/>
      <sheetName val="한강운반비"/>
      <sheetName val="#REF"/>
      <sheetName val="980731"/>
      <sheetName val="￬_xffff__xffff__xffff_쳿리장"/>
      <sheetName val="P.M 별"/>
      <sheetName val="심의위원명단"/>
      <sheetName val="입찰안"/>
      <sheetName val="소야공정계획표"/>
      <sheetName val="BID"/>
      <sheetName val="원가매출(단단위)"/>
      <sheetName val="단위수량"/>
      <sheetName val="조정내역"/>
      <sheetName val="초기화면"/>
      <sheetName val="직공→간접비포함"/>
      <sheetName val="내역"/>
      <sheetName val="추정pl"/>
      <sheetName val="계정code"/>
      <sheetName val="97출고현황(SEC)"/>
      <sheetName val="97입고현황(사내)"/>
      <sheetName val="97출고현황(매출분)"/>
      <sheetName val="유가증권현황"/>
      <sheetName val="통합건전성별분류(0201)"/>
      <sheetName val="RECIMAKE"/>
      <sheetName val="ROUTES"/>
      <sheetName val="첨부1"/>
      <sheetName val="Total"/>
      <sheetName val="98NS-N"/>
      <sheetName val="실행철강하도"/>
      <sheetName val="C2"/>
      <sheetName val="GG"/>
      <sheetName val="생산-판매"/>
      <sheetName val="CashFlow(중간집계)"/>
      <sheetName val="LoanList"/>
      <sheetName val="집계표"/>
      <sheetName val="평가제외"/>
      <sheetName val="년판01"/>
      <sheetName val="설계내역서"/>
      <sheetName val="호봉피치"/>
      <sheetName val="단기차입금"/>
      <sheetName val="APT"/>
      <sheetName val="판관비 Lead"/>
      <sheetName val="A-100전제"/>
      <sheetName val="계열실적_참고"/>
      <sheetName val="FG"/>
      <sheetName val="기본정보"/>
      <sheetName val="DISTANCE"/>
      <sheetName val="천안"/>
      <sheetName val="대환취급"/>
      <sheetName val="누PL"/>
      <sheetName val="누TB"/>
      <sheetName val="아침햇쌀"/>
      <sheetName val="99성력화(우선순위)"/>
      <sheetName val="BS"/>
      <sheetName val="f_BS"/>
      <sheetName val="지점분석00"/>
      <sheetName val="Ctrl"/>
      <sheetName val="신공항A_9_원가수정_"/>
      <sheetName val="과장"/>
      <sheetName val="범한여행"/>
      <sheetName val="Config"/>
      <sheetName val="data"/>
      <sheetName val="투자예산"/>
      <sheetName val="차체부품 INS REPORT(갑)"/>
      <sheetName val="단조-노임"/>
      <sheetName val="내역서"/>
      <sheetName val="현금흐름"/>
      <sheetName val="부대공"/>
      <sheetName val="포장공"/>
      <sheetName val="토공"/>
      <sheetName val="일위대가표"/>
      <sheetName val="외화채권"/>
      <sheetName val="준검 내역서"/>
      <sheetName val="구의33고"/>
      <sheetName val="외화금융(97-03)"/>
      <sheetName val="95하U$가격"/>
      <sheetName val="상불"/>
      <sheetName val="공제"/>
      <sheetName val="생산현황"/>
      <sheetName val="APR "/>
      <sheetName val="MAR "/>
      <sheetName val="수정시산표"/>
      <sheetName val="환율 및 참고"/>
      <sheetName val="간접비"/>
      <sheetName val="SG"/>
      <sheetName val="rawdata"/>
      <sheetName val="isbg"/>
      <sheetName val="A.현금"/>
      <sheetName val="현황dbase"/>
      <sheetName val="화물기"/>
      <sheetName val="BT"/>
      <sheetName val="정비손익"/>
      <sheetName val="111"/>
      <sheetName val="OE율(참고)"/>
      <sheetName val="국내OE"/>
      <sheetName val="임의 매출-수정전"/>
      <sheetName val="회사정보"/>
      <sheetName val="￬_x005f_xffff__x005f_xffff__x005f_xffff_쳿리장"/>
      <sheetName val="WPL"/>
      <sheetName val="민감도"/>
      <sheetName val="P_M_별"/>
      <sheetName val="99_7월_당월회수_실적"/>
      <sheetName val="차체부품_INS_REPORT(갑)"/>
      <sheetName val="OS"/>
      <sheetName val="2006년 5월 TTL"/>
      <sheetName val="code"/>
      <sheetName val=" 사업계획(121012)-매출.xlsx"/>
      <sheetName val="수주"/>
      <sheetName val="월별수입"/>
      <sheetName val="13년 사업계획 기타채권 및 손실.xlsx"/>
      <sheetName val="YOEMAGUM"/>
      <sheetName val="채권 현황"/>
      <sheetName val="표지"/>
      <sheetName val="조직"/>
      <sheetName val="평가대상자"/>
      <sheetName val="8월현금흐름표"/>
      <sheetName val="자재비"/>
      <sheetName val="내역1"/>
      <sheetName val="HG"/>
      <sheetName val="영업외손"/>
      <sheetName val="일반관리"/>
      <sheetName val="특별손익"/>
      <sheetName val="계속가치"/>
      <sheetName val=" 견적서"/>
      <sheetName val="요약표"/>
      <sheetName val="4월"/>
      <sheetName val="3월"/>
      <sheetName val="기초코드"/>
      <sheetName val="부정형평가"/>
      <sheetName val="재공품평가"/>
      <sheetName val="99판매"/>
      <sheetName val="매출원가_회사제시"/>
      <sheetName val="타사비교(13년)"/>
      <sheetName val="SM1-09"/>
      <sheetName val="SM2-09"/>
      <sheetName val="BD-09"/>
      <sheetName val="노임"/>
      <sheetName val="MIBK원단위"/>
      <sheetName val="Table"/>
      <sheetName val="기초"/>
      <sheetName val="C-18"/>
      <sheetName val="COA-17"/>
      <sheetName val="4갑"/>
      <sheetName val="PI"/>
      <sheetName val="목표세부명세"/>
      <sheetName val="손익계산서(시산표기준)"/>
      <sheetName val="외환익"/>
      <sheetName val="8)중점관리장비현황"/>
      <sheetName val="산출내역서집계표"/>
      <sheetName val="ML"/>
      <sheetName val="종합"/>
      <sheetName val="요약손익"/>
      <sheetName val="F12"/>
      <sheetName val="F3"/>
      <sheetName val="XREF"/>
      <sheetName val="￬_x005f_x005f_x005f_xffff__x005f_x005f_x005f_xffff__x00"/>
      <sheetName val="주요재무비율"/>
      <sheetName val="현금흐름표"/>
      <sheetName val="이익잉여금처분계산서"/>
      <sheetName val="MH_생산"/>
      <sheetName val="97년 신설"/>
      <sheetName val="KUNGDEVI"/>
      <sheetName val="운영"/>
      <sheetName val="CC Down load 0716"/>
      <sheetName val="수량집계표"/>
      <sheetName val="입출재고현황 (2)"/>
      <sheetName val="전국현황"/>
      <sheetName val="할인코드_0403"/>
      <sheetName val="201"/>
      <sheetName val="B767"/>
      <sheetName val="當期시산표(결재)"/>
      <sheetName val="00상노임"/>
      <sheetName val="상사역량"/>
      <sheetName val="상향역량"/>
      <sheetName val="업적서열"/>
      <sheetName val="업적"/>
      <sheetName val="조직평가"/>
      <sheetName val="2.대외공문"/>
      <sheetName val="보일러"/>
      <sheetName val="임시전원(을)"/>
      <sheetName val="노협(업무분장)"/>
      <sheetName val="원가계산서"/>
      <sheetName val="장기생산계획"/>
      <sheetName val="9 투자계획"/>
      <sheetName val="현장일반사항"/>
      <sheetName val="그룹기안"/>
      <sheetName val="현황"/>
      <sheetName val="db"/>
      <sheetName val="운항율"/>
      <sheetName val="분1"/>
      <sheetName val="결재란"/>
      <sheetName val="45,46"/>
      <sheetName val="현장"/>
      <sheetName val="공사"/>
      <sheetName val="기안"/>
      <sheetName val="9GNG운반"/>
      <sheetName val="FILE1"/>
      <sheetName val="1203"/>
      <sheetName val="대외공문"/>
      <sheetName val="재정"/>
      <sheetName val="￬_x005f_x005f_x005f_x005f_x005f_x005f_x005f_xffff__x005"/>
      <sheetName val="￬_x005f_x005f_x005f_x005f_x005f_x005f_x005f_x005f_x005f"/>
      <sheetName val="2-2.원재료"/>
      <sheetName val="제조원가"/>
      <sheetName val="V.Piping"/>
      <sheetName val="업무연락"/>
      <sheetName val="2001년05월누계"/>
      <sheetName val="관계주식"/>
      <sheetName val="0.0ControlSheet"/>
      <sheetName val="손익계산서"/>
      <sheetName val="견적조건"/>
      <sheetName val="1.변경범위"/>
      <sheetName val="조회총괄"/>
      <sheetName val="수익분배율"/>
      <sheetName val="견검"/>
      <sheetName val="서식시트"/>
      <sheetName val="재공품"/>
      <sheetName val="전체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지급이자"/>
      <sheetName val="프로젝트목록"/>
      <sheetName val="월별예산"/>
      <sheetName val="Assumptions"/>
      <sheetName val="Profit&amp;Loss"/>
      <sheetName val="현금및현금등가물1"/>
      <sheetName val="WED1"/>
      <sheetName val="모델,설비"/>
      <sheetName val="Cover"/>
      <sheetName val="F라인"/>
      <sheetName val="1.외주공사"/>
      <sheetName val="2.직영공사"/>
      <sheetName val="계획"/>
      <sheetName val="회차별합계"/>
      <sheetName val="금액중량"/>
      <sheetName val="단가"/>
      <sheetName val="T6-6(2)"/>
      <sheetName val="2호"/>
      <sheetName val="표준대차대조표(갑)"/>
      <sheetName val="COND"/>
      <sheetName val="1"/>
      <sheetName val="Asset98-CAK"/>
      <sheetName val="항목"/>
      <sheetName val="B"/>
      <sheetName val="간접"/>
      <sheetName val="97년추정손익계산서"/>
      <sheetName val="부문손익"/>
      <sheetName val="input"/>
      <sheetName val="일위대가(가설)"/>
      <sheetName val="10월시간수당"/>
      <sheetName val="11월시간수당"/>
      <sheetName val="12월시간수당"/>
      <sheetName val="주민번호"/>
      <sheetName val="12월급여"/>
      <sheetName val="정산표"/>
      <sheetName val="시산표"/>
      <sheetName val="가격표"/>
      <sheetName val="COVER-P"/>
      <sheetName val="기간환율변동 1 "/>
      <sheetName val="￬_x005f_xffff__x005f_xffff__x00"/>
      <sheetName val="￬_x005f_x005f_x005f_xffff__x005"/>
      <sheetName val="results"/>
      <sheetName val="L급"/>
      <sheetName val="S급"/>
      <sheetName val="지급어음"/>
      <sheetName val="피엘"/>
      <sheetName val="TG9504"/>
      <sheetName val="PIPE(UG)내역"/>
      <sheetName val="산출데이타(a)"/>
      <sheetName val="SONIC"/>
      <sheetName val="지급융통"/>
      <sheetName val="산출근거1"/>
      <sheetName val="설계서"/>
      <sheetName val="검색"/>
      <sheetName val="낙찰표"/>
      <sheetName val="3F"/>
      <sheetName val="P_M_별1"/>
      <sheetName val="99_7월_당월회수_실적1"/>
      <sheetName val="차체부품_INS_REPORT(갑)1"/>
      <sheetName val="준검_내역서"/>
      <sheetName val="APR_"/>
      <sheetName val="MAR_"/>
      <sheetName val="판관비_Lead"/>
      <sheetName val="환율_및_참고"/>
      <sheetName val="A_현금"/>
      <sheetName val="임의_매출-수정전"/>
      <sheetName val="2006년_5월_TTL"/>
      <sheetName val="_사업계획(121012)-매출_xlsx"/>
      <sheetName val="13년_사업계획_기타채권_및_손실_xlsx"/>
      <sheetName val="채권_현황"/>
      <sheetName val="_견적서"/>
      <sheetName val="97년_신설"/>
      <sheetName val="CC_Down_load_0716"/>
      <sheetName val="입출재고현황_(2)"/>
      <sheetName val="2_대외공문"/>
      <sheetName val="9_투자계획"/>
      <sheetName val="0_0ControlSheet"/>
      <sheetName val="2-2_원재료"/>
      <sheetName val="V_Piping"/>
      <sheetName val="1_변경범위"/>
      <sheetName val="자체양식"/>
      <sheetName val="직접비원가"/>
      <sheetName val="대표자"/>
      <sheetName val="거래내역서"/>
      <sheetName val="투입량"/>
      <sheetName val="database"/>
      <sheetName val="포장재료비 품목"/>
      <sheetName val="수량산출근거(본선)"/>
      <sheetName val="3100"/>
      <sheetName val="대차대조표"/>
      <sheetName val="원Data"/>
      <sheetName val="S1.1총괄"/>
      <sheetName val="전신환매도율"/>
      <sheetName val="산출내역서"/>
      <sheetName val="BREAKDOWN(철거설치)"/>
      <sheetName val="choose"/>
      <sheetName val="종합집계"/>
      <sheetName val="상품입고집계"/>
      <sheetName val="NYS"/>
      <sheetName val="ABUT수량-A1"/>
      <sheetName val="수자재단위당"/>
      <sheetName val="Summary"/>
      <sheetName val="￬_x005f_x005f_x005f_x005f_x005f"/>
      <sheetName val="GRACE"/>
      <sheetName val="중국(RE)"/>
      <sheetName val="Sheet5"/>
      <sheetName val="P_M_별2"/>
      <sheetName val="99_7월_당월회수_실적2"/>
      <sheetName val="차체부품_INS_REPORT(갑)2"/>
      <sheetName val="준검_내역서1"/>
      <sheetName val="APR_1"/>
      <sheetName val="MAR_1"/>
      <sheetName val="환율_및_참고1"/>
      <sheetName val="판관비_Lead1"/>
      <sheetName val="A_현금1"/>
      <sheetName val="임의_매출-수정전1"/>
      <sheetName val="2006년_5월_TTL1"/>
      <sheetName val="채권_현황1"/>
      <sheetName val="_사업계획(121012)-매출_xlsx1"/>
      <sheetName val="13년_사업계획_기타채권_및_손실_xlsx1"/>
      <sheetName val="97년_신설1"/>
      <sheetName val="CC_Down_load_07161"/>
      <sheetName val="_견적서1"/>
      <sheetName val="2_대외공문1"/>
      <sheetName val="입출재고현황_(2)1"/>
      <sheetName val="9_투자계획1"/>
      <sheetName val="2-2_원재료1"/>
      <sheetName val="V_Piping1"/>
      <sheetName val="0_0ControlSheet1"/>
      <sheetName val="1_변경범위1"/>
      <sheetName val="기간환율변동_1_"/>
      <sheetName val="포장재료비_품목"/>
      <sheetName val="유동자산"/>
      <sheetName val="실행내역서"/>
      <sheetName val="기성및원가"/>
      <sheetName val="RE9604"/>
      <sheetName val="TS"/>
      <sheetName val="보정사항"/>
      <sheetName val="관일"/>
      <sheetName val="설계서을"/>
      <sheetName val="96갑지"/>
      <sheetName val="CAUDIT"/>
      <sheetName val="원가적산(bb6습식)"/>
      <sheetName val="품셈TABLE"/>
      <sheetName val="공사개요"/>
      <sheetName val="이자율"/>
      <sheetName val="인사자료총집계"/>
      <sheetName val="가. 노임단가"/>
      <sheetName val="￬_xffff__xffff__x00"/>
      <sheetName val="￬_x005f_xffff__x005"/>
      <sheetName val="2"/>
      <sheetName val="3"/>
      <sheetName val="4"/>
      <sheetName val="5"/>
      <sheetName val="6"/>
      <sheetName val="TB-D"/>
      <sheetName val="98지급계획"/>
      <sheetName val="Std Cost"/>
      <sheetName val="기성고내역"/>
      <sheetName val="프레임"/>
      <sheetName val="5.SPEC"/>
      <sheetName val="Todo "/>
      <sheetName val="공통가설"/>
      <sheetName val="환율시트"/>
      <sheetName val="97자동발주 F-7"/>
      <sheetName val="KD율"/>
      <sheetName val="참조"/>
      <sheetName val="휴무계획"/>
      <sheetName val="월급제"/>
      <sheetName val="기타"/>
      <sheetName val="수입2"/>
      <sheetName val="A&amp;G"/>
      <sheetName val="총괄-1"/>
      <sheetName val="단가(반정1교-원주)"/>
      <sheetName val="97년 추정"/>
      <sheetName val="기계"/>
      <sheetName val="99_7월_당월회수_실적4"/>
      <sheetName val="P_M_별4"/>
      <sheetName val="판관비_Lead3"/>
      <sheetName val="차체부품_INS_REPORT(갑)4"/>
      <sheetName val="V_Piping3"/>
      <sheetName val="준검_내역서3"/>
      <sheetName val="APR_3"/>
      <sheetName val="MAR_3"/>
      <sheetName val="환율_및_참고3"/>
      <sheetName val="A_현금3"/>
      <sheetName val="임의_매출-수정전3"/>
      <sheetName val="2006년_5월_TTL3"/>
      <sheetName val="_사업계획(121012)-매출_xlsx3"/>
      <sheetName val="13년_사업계획_기타채권_및_손실_xlsx3"/>
      <sheetName val="채권_현황3"/>
      <sheetName val="_견적서3"/>
      <sheetName val="97년_신설3"/>
      <sheetName val="CC_Down_load_07163"/>
      <sheetName val="입출재고현황_(2)3"/>
      <sheetName val="2_대외공문3"/>
      <sheetName val="기간환율변동_1_2"/>
      <sheetName val="9_투자계획3"/>
      <sheetName val="2-2_원재료3"/>
      <sheetName val="1_변경범위3"/>
      <sheetName val="0_0ControlSheet3"/>
      <sheetName val="99_7월_당월회수_실적3"/>
      <sheetName val="P_M_별3"/>
      <sheetName val="판관비_Lead2"/>
      <sheetName val="차체부품_INS_REPORT(갑)3"/>
      <sheetName val="V_Piping2"/>
      <sheetName val="준검_내역서2"/>
      <sheetName val="APR_2"/>
      <sheetName val="MAR_2"/>
      <sheetName val="환율_및_참고2"/>
      <sheetName val="A_현금2"/>
      <sheetName val="임의_매출-수정전2"/>
      <sheetName val="2006년_5월_TTL2"/>
      <sheetName val="_사업계획(121012)-매출_xlsx2"/>
      <sheetName val="13년_사업계획_기타채권_및_손실_xlsx2"/>
      <sheetName val="채권_현황2"/>
      <sheetName val="_견적서2"/>
      <sheetName val="97년_신설2"/>
      <sheetName val="CC_Down_load_07162"/>
      <sheetName val="입출재고현황_(2)2"/>
      <sheetName val="2_대외공문2"/>
      <sheetName val="기간환율변동_1_1"/>
      <sheetName val="9_투자계획2"/>
      <sheetName val="2-2_원재료2"/>
      <sheetName val="1_변경범위2"/>
      <sheetName val="0_0ControlSheet2"/>
      <sheetName val="99_7월_당월회수_실적6"/>
      <sheetName val="P_M_별6"/>
      <sheetName val="판관비_Lead5"/>
      <sheetName val="차체부품_INS_REPORT(갑)6"/>
      <sheetName val="V_Piping5"/>
      <sheetName val="준검_내역서5"/>
      <sheetName val="APR_5"/>
      <sheetName val="MAR_5"/>
      <sheetName val="환율_및_참고5"/>
      <sheetName val="A_현금5"/>
      <sheetName val="임의_매출-수정전5"/>
      <sheetName val="2006년_5월_TTL5"/>
      <sheetName val="_사업계획(121012)-매출_xlsx5"/>
      <sheetName val="13년_사업계획_기타채권_및_손실_xlsx5"/>
      <sheetName val="채권_현황5"/>
      <sheetName val="_견적서5"/>
      <sheetName val="97년_신설5"/>
      <sheetName val="CC_Down_load_07165"/>
      <sheetName val="입출재고현황_(2)5"/>
      <sheetName val="2_대외공문5"/>
      <sheetName val="기간환율변동_1_4"/>
      <sheetName val="9_투자계획5"/>
      <sheetName val="2-2_원재료5"/>
      <sheetName val="1_변경범위5"/>
      <sheetName val="0_0ControlSheet5"/>
      <sheetName val="99_7월_당월회수_실적5"/>
      <sheetName val="P_M_별5"/>
      <sheetName val="판관비_Lead4"/>
      <sheetName val="차체부품_INS_REPORT(갑)5"/>
      <sheetName val="V_Piping4"/>
      <sheetName val="준검_내역서4"/>
      <sheetName val="APR_4"/>
      <sheetName val="MAR_4"/>
      <sheetName val="환율_및_참고4"/>
      <sheetName val="A_현금4"/>
      <sheetName val="임의_매출-수정전4"/>
      <sheetName val="2006년_5월_TTL4"/>
      <sheetName val="_사업계획(121012)-매출_xlsx4"/>
      <sheetName val="13년_사업계획_기타채권_및_손실_xlsx4"/>
      <sheetName val="채권_현황4"/>
      <sheetName val="_견적서4"/>
      <sheetName val="97년_신설4"/>
      <sheetName val="CC_Down_load_07164"/>
      <sheetName val="입출재고현황_(2)4"/>
      <sheetName val="2_대외공문4"/>
      <sheetName val="기간환율변동_1_3"/>
      <sheetName val="9_투자계획4"/>
      <sheetName val="2-2_원재료4"/>
      <sheetName val="1_변경범위4"/>
      <sheetName val="0_0ControlSheet4"/>
      <sheetName val="계정별실적"/>
      <sheetName val="DEFECTOS"/>
      <sheetName val="매출"/>
      <sheetName val="96월별PL"/>
      <sheetName val="2.손익계산서"/>
      <sheetName val="2018.04.24"/>
      <sheetName val="2018.04.26"/>
      <sheetName val="2018.08.22"/>
      <sheetName val="2018.08.23 "/>
      <sheetName val="2018.08.24"/>
      <sheetName val="2018.08.25"/>
      <sheetName val="2018.08.26"/>
      <sheetName val="2018.08.27"/>
      <sheetName val="2019.11.23"/>
      <sheetName val="2019.11.24"/>
      <sheetName val="2020.11.20"/>
      <sheetName val="2020.11.21"/>
      <sheetName val="2020.11.22"/>
      <sheetName val="2020.11.23"/>
      <sheetName val="2020.11.24"/>
      <sheetName val="5.2코핑"/>
      <sheetName val="임대계획"/>
      <sheetName val="수지"/>
      <sheetName val="횡배수관토공수량"/>
      <sheetName val="#2 BSPL"/>
      <sheetName val="포장재료비_품목1"/>
      <sheetName val="S1_1총괄"/>
      <sheetName val="97년_추정"/>
      <sheetName val="가__노임단가"/>
      <sheetName val="1_외주공사"/>
      <sheetName val="2_직영공사"/>
      <sheetName val="5_SPEC"/>
      <sheetName val="5_2코핑"/>
      <sheetName val="#2_BSPL"/>
      <sheetName val="생산매출 (4)"/>
      <sheetName val="2월"/>
      <sheetName val="월미수수익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7">
          <cell r="AB7">
            <v>9589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67"/>
  <sheetViews>
    <sheetView showGridLines="0" tabSelected="1" zoomScaleNormal="100" workbookViewId="0">
      <pane xSplit="3" ySplit="4" topLeftCell="J5" activePane="bottomRight" state="frozen"/>
      <selection pane="topRight" activeCell="A1" sqref="A1"/>
      <selection pane="bottomLeft" activeCell="A1" sqref="A1"/>
      <selection pane="bottomRight" activeCell="J5" sqref="J5"/>
    </sheetView>
  </sheetViews>
  <sheetFormatPr baseColWidth="8" defaultRowHeight="16.5" outlineLevelRow="1"/>
  <cols>
    <col width="9.375" customWidth="1" style="150" min="1" max="1"/>
    <col width="8.625" customWidth="1" style="150" min="2" max="2"/>
    <col width="17.25" customWidth="1" style="150" min="3" max="3"/>
    <col hidden="1" outlineLevel="1" width="10" customWidth="1" style="150" min="4" max="5"/>
    <col hidden="1" collapsed="1" width="10" customWidth="1" style="150" min="6" max="6"/>
    <col hidden="1" outlineLevel="1" width="10" customWidth="1" style="150" min="7" max="8"/>
    <col hidden="1" collapsed="1" width="10" customWidth="1" style="150" min="9" max="9"/>
    <col width="10" customWidth="1" style="150" min="10" max="10"/>
    <col hidden="1" width="7" customWidth="1" style="150" min="11" max="11"/>
    <col width="52.625" customWidth="1" style="150" min="12" max="12"/>
    <col hidden="1" outlineLevel="1" width="10" customWidth="1" style="150" min="13" max="14"/>
    <col hidden="1" collapsed="1" width="10" customWidth="1" style="150" min="15" max="15"/>
    <col hidden="1" outlineLevel="1" width="10" customWidth="1" style="150" min="16" max="17"/>
    <col hidden="1" collapsed="1" width="3.375" customWidth="1" style="150" min="18" max="18"/>
    <col hidden="1" width="10" customWidth="1" style="150" min="19" max="19"/>
    <col hidden="1" width="7" customWidth="1" style="150" min="20" max="20"/>
    <col hidden="1" width="16.375" customWidth="1" style="150" min="21" max="21"/>
    <col hidden="1" outlineLevel="1" width="10" customWidth="1" style="150" min="22" max="23"/>
    <col hidden="1" collapsed="1" width="10" customWidth="1" style="150" min="24" max="24"/>
    <col hidden="1" outlineLevel="1" width="10" customWidth="1" style="150" min="25" max="26"/>
    <col hidden="1" collapsed="1" width="10" customWidth="1" style="150" min="27" max="27"/>
    <col width="10" customWidth="1" style="150" min="28" max="28"/>
    <col hidden="1" width="7" customWidth="1" style="150" min="29" max="29"/>
    <col width="56.375" customWidth="1" style="150" min="30" max="30"/>
    <col hidden="1" outlineLevel="1" width="10" customWidth="1" style="150" min="31" max="32"/>
    <col hidden="1" collapsed="1" width="10" customWidth="1" style="150" min="33" max="33"/>
    <col hidden="1" outlineLevel="1" width="10" customWidth="1" style="150" min="34" max="35"/>
    <col hidden="1" collapsed="1" width="10" customWidth="1" style="150" min="36" max="36"/>
    <col hidden="1" width="10" customWidth="1" style="150" min="37" max="37"/>
    <col hidden="1" width="7" customWidth="1" style="150" min="38" max="38"/>
    <col hidden="1" width="12.75" customWidth="1" style="150" min="39" max="39"/>
    <col hidden="1" outlineLevel="1" width="10" customWidth="1" style="150" min="40" max="41"/>
    <col hidden="1" collapsed="1" width="10" customWidth="1" style="150" min="42" max="42"/>
    <col hidden="1" outlineLevel="1" width="10" customWidth="1" style="150" min="43" max="44"/>
    <col hidden="1" collapsed="1" width="10" customWidth="1" style="150" min="45" max="45"/>
    <col width="10" customWidth="1" style="150" min="46" max="46"/>
    <col hidden="1" width="7" customWidth="1" style="150" min="47" max="47"/>
    <col width="59.375" customWidth="1" style="150" min="48" max="48"/>
    <col hidden="1" outlineLevel="1" width="10" customWidth="1" style="150" min="49" max="50"/>
    <col collapsed="1" width="10" customWidth="1" style="150" min="51" max="51"/>
    <col hidden="1" outlineLevel="1" width="10" customWidth="1" style="150" min="52" max="53"/>
    <col collapsed="1" width="10" customWidth="1" style="150" min="54" max="54"/>
    <col width="10" customWidth="1" style="150" min="55" max="55"/>
    <col width="7" customWidth="1" style="150" min="56" max="56"/>
    <col width="10" customWidth="1" style="150" min="57" max="57"/>
    <col hidden="1" outlineLevel="1" width="10" customWidth="1" style="150" min="58" max="59"/>
    <col collapsed="1" width="10" customWidth="1" style="150" min="60" max="60"/>
    <col hidden="1" outlineLevel="1" width="10" customWidth="1" style="150" min="61" max="62"/>
    <col collapsed="1" width="10" customWidth="1" style="150" min="63" max="63"/>
    <col width="10" customWidth="1" style="150" min="64" max="64"/>
    <col width="7" customWidth="1" style="150" min="65" max="65"/>
    <col width="10" customWidth="1" style="150" min="66" max="66"/>
    <col hidden="1" outlineLevel="1" width="10" customWidth="1" style="150" min="67" max="68"/>
    <col collapsed="1" width="10" customWidth="1" style="150" min="69" max="69"/>
    <col hidden="1" outlineLevel="1" width="10" customWidth="1" style="150" min="70" max="71"/>
    <col collapsed="1" width="10" customWidth="1" style="150" min="72" max="72"/>
    <col width="10" customWidth="1" style="150" min="73" max="73"/>
    <col width="7" customWidth="1" style="150" min="74" max="74"/>
    <col width="10" customWidth="1" style="150" min="75" max="75"/>
    <col hidden="1" outlineLevel="1" width="10" customWidth="1" style="150" min="76" max="77"/>
    <col collapsed="1" width="10" customWidth="1" style="150" min="78" max="78"/>
    <col hidden="1" outlineLevel="1" width="10" customWidth="1" style="150" min="79" max="80"/>
    <col collapsed="1" width="10" customWidth="1" style="150" min="81" max="81"/>
    <col width="10" customWidth="1" style="150" min="82" max="82"/>
    <col width="7" customWidth="1" style="150" min="83" max="83"/>
    <col width="10" customWidth="1" style="150" min="84" max="84"/>
    <col hidden="1" outlineLevel="1" width="10" customWidth="1" style="150" min="85" max="86"/>
    <col collapsed="1" width="10" customWidth="1" style="150" min="87" max="87"/>
    <col hidden="1" outlineLevel="1" width="10" customWidth="1" style="150" min="88" max="89"/>
    <col collapsed="1" width="10" customWidth="1" style="150" min="90" max="90"/>
    <col width="10" customWidth="1" style="150" min="91" max="91"/>
    <col width="7" customWidth="1" style="150" min="92" max="92"/>
    <col width="10" customWidth="1" style="150" min="93" max="93"/>
    <col hidden="1" outlineLevel="1" width="10" customWidth="1" style="150" min="94" max="95"/>
    <col collapsed="1" width="10" customWidth="1" style="150" min="96" max="96"/>
    <col hidden="1" outlineLevel="1" width="10" customWidth="1" style="150" min="97" max="98"/>
    <col collapsed="1" width="10" customWidth="1" style="150" min="99" max="99"/>
    <col width="10" customWidth="1" style="150" min="100" max="100"/>
    <col width="7" customWidth="1" style="150" min="101" max="101"/>
    <col width="10" customWidth="1" style="150" min="102" max="102"/>
    <col hidden="1" outlineLevel="1" width="10" customWidth="1" style="150" min="103" max="104"/>
    <col collapsed="1" width="10" customWidth="1" style="150" min="105" max="105"/>
    <col hidden="1" outlineLevel="1" width="10" customWidth="1" style="150" min="106" max="107"/>
    <col collapsed="1" width="10" customWidth="1" style="150" min="108" max="108"/>
    <col width="10" customWidth="1" style="150" min="109" max="109"/>
    <col width="7" customWidth="1" style="150" min="110" max="110"/>
    <col width="10" customWidth="1" style="150" min="111" max="111"/>
    <col hidden="1" outlineLevel="1" width="10" customWidth="1" style="150" min="112" max="113"/>
    <col collapsed="1" width="10" customWidth="1" style="150" min="114" max="114"/>
    <col hidden="1" outlineLevel="1" width="10" customWidth="1" style="150" min="115" max="116"/>
    <col collapsed="1" width="10" customWidth="1" style="150" min="117" max="117"/>
    <col width="10" customWidth="1" style="150" min="118" max="118"/>
    <col width="7" customWidth="1" style="150" min="119" max="119"/>
    <col width="10" customWidth="1" style="150" min="120" max="120"/>
    <col hidden="1" outlineLevel="1" width="10" customWidth="1" style="150" min="121" max="122"/>
    <col collapsed="1" width="10" customWidth="1" style="150" min="123" max="123"/>
    <col hidden="1" outlineLevel="1" width="10" customWidth="1" style="150" min="124" max="125"/>
    <col collapsed="1" width="10" customWidth="1" style="150" min="126" max="126"/>
    <col width="10" customWidth="1" style="150" min="127" max="127"/>
    <col width="7" customWidth="1" style="150" min="128" max="128"/>
    <col width="10" customWidth="1" style="150" min="129" max="129"/>
    <col hidden="1" outlineLevel="1" width="10" customWidth="1" style="150" min="130" max="131"/>
    <col collapsed="1" width="10" customWidth="1" style="150" min="132" max="132"/>
    <col hidden="1" outlineLevel="1" width="10" customWidth="1" style="150" min="133" max="134"/>
    <col collapsed="1" width="10" customWidth="1" style="150" min="135" max="135"/>
    <col width="10" customWidth="1" style="150" min="136" max="136"/>
    <col width="7" customWidth="1" style="150" min="137" max="137"/>
    <col width="10" customWidth="1" style="150" min="138" max="138"/>
    <col hidden="1" outlineLevel="1" width="10" customWidth="1" style="150" min="139" max="140"/>
    <col collapsed="1" width="10" customWidth="1" style="150" min="141" max="141"/>
    <col hidden="1" outlineLevel="1" width="10" customWidth="1" style="150" min="142" max="143"/>
    <col collapsed="1" width="10" customWidth="1" style="150" min="144" max="144"/>
    <col width="10" customWidth="1" style="150" min="145" max="145"/>
    <col width="7" customWidth="1" style="150" min="146" max="146"/>
    <col width="10" customWidth="1" style="150" min="147" max="147"/>
    <col hidden="1" outlineLevel="1" width="10" customWidth="1" style="150" min="148" max="149"/>
    <col collapsed="1" width="10" customWidth="1" style="150" min="150" max="150"/>
    <col hidden="1" outlineLevel="1" width="10" customWidth="1" style="150" min="151" max="152"/>
    <col collapsed="1" width="10" customWidth="1" style="150" min="153" max="153"/>
    <col width="10" customWidth="1" style="150" min="154" max="154"/>
    <col width="7" customWidth="1" style="150" min="155" max="155"/>
    <col width="10" customWidth="1" style="150" min="156" max="156"/>
    <col hidden="1" outlineLevel="1" width="10" customWidth="1" style="150" min="157" max="158"/>
    <col collapsed="1" width="10" customWidth="1" style="150" min="159" max="159"/>
    <col hidden="1" outlineLevel="1" width="10" customWidth="1" style="150" min="160" max="161"/>
    <col collapsed="1" width="10" customWidth="1" style="150" min="162" max="162"/>
    <col width="10" customWidth="1" style="150" min="163" max="163"/>
    <col width="7" customWidth="1" style="150" min="164" max="164"/>
    <col width="10" customWidth="1" style="150" min="165" max="165"/>
    <col hidden="1" outlineLevel="1" width="10" customWidth="1" style="150" min="166" max="167"/>
    <col collapsed="1" width="10" customWidth="1" style="150" min="168" max="168"/>
    <col hidden="1" outlineLevel="1" width="10" customWidth="1" style="150" min="169" max="170"/>
    <col collapsed="1" width="10" customWidth="1" style="150" min="171" max="171"/>
    <col width="10" customWidth="1" style="150" min="172" max="172"/>
    <col width="7" customWidth="1" style="150" min="173" max="173"/>
    <col width="10" customWidth="1" style="150" min="174" max="174"/>
    <col hidden="1" outlineLevel="1" width="10" customWidth="1" style="150" min="175" max="176"/>
    <col collapsed="1" width="10" customWidth="1" style="150" min="177" max="177"/>
    <col hidden="1" outlineLevel="1" width="10" customWidth="1" style="150" min="178" max="179"/>
    <col collapsed="1" width="10" customWidth="1" style="150" min="180" max="180"/>
    <col width="10" customWidth="1" style="150" min="181" max="181"/>
    <col width="7" customWidth="1" style="150" min="182" max="182"/>
    <col width="10" customWidth="1" style="150" min="183" max="183"/>
    <col hidden="1" outlineLevel="1" width="10" customWidth="1" style="150" min="184" max="185"/>
    <col collapsed="1" width="10" customWidth="1" style="150" min="186" max="186"/>
    <col hidden="1" outlineLevel="1" width="10" customWidth="1" style="150" min="187" max="188"/>
    <col collapsed="1" width="10" customWidth="1" style="150" min="189" max="189"/>
    <col width="10" customWidth="1" style="150" min="190" max="190"/>
    <col width="7" customWidth="1" style="150" min="191" max="191"/>
    <col width="10" customWidth="1" style="150" min="192" max="192"/>
    <col hidden="1" outlineLevel="1" width="10" customWidth="1" style="150" min="193" max="194"/>
    <col collapsed="1" width="10" customWidth="1" style="150" min="195" max="195"/>
    <col hidden="1" outlineLevel="1" width="10" customWidth="1" style="150" min="196" max="197"/>
    <col collapsed="1" width="10" customWidth="1" style="150" min="198" max="198"/>
    <col width="10" customWidth="1" style="150" min="199" max="199"/>
    <col width="7" customWidth="1" style="150" min="200" max="200"/>
    <col width="10" customWidth="1" style="150" min="201" max="201"/>
    <col hidden="1" outlineLevel="1" width="10" customWidth="1" style="150" min="202" max="203"/>
    <col collapsed="1" width="10" customWidth="1" style="150" min="204" max="204"/>
    <col hidden="1" outlineLevel="1" width="10" customWidth="1" style="150" min="205" max="206"/>
    <col collapsed="1" width="10" customWidth="1" style="150" min="207" max="207"/>
    <col width="10" customWidth="1" style="150" min="208" max="208"/>
    <col width="7" customWidth="1" style="150" min="209" max="209"/>
    <col width="10" customWidth="1" style="150" min="210" max="210"/>
    <col hidden="1" outlineLevel="1" width="10" customWidth="1" style="150" min="211" max="212"/>
    <col collapsed="1" width="10" customWidth="1" style="150" min="213" max="213"/>
  </cols>
  <sheetData>
    <row r="1" ht="24" customHeight="1" s="150">
      <c r="A1" s="151" t="n"/>
    </row>
    <row r="2" ht="14.1" customHeight="1" s="150">
      <c r="A2" s="1" t="n"/>
    </row>
    <row r="3" ht="20.1" customHeight="1" s="150">
      <c r="A3" s="147" t="n"/>
      <c r="B3" s="147" t="n"/>
      <c r="C3" s="147" t="n"/>
      <c r="D3" s="147" t="n"/>
      <c r="E3" s="220" t="n"/>
      <c r="F3" s="220" t="n"/>
      <c r="G3" s="220" t="n"/>
      <c r="H3" s="220" t="n"/>
      <c r="I3" s="220" t="n"/>
      <c r="J3" s="220" t="n"/>
      <c r="K3" s="220" t="n"/>
      <c r="L3" s="221" t="n"/>
      <c r="M3" s="147" t="n"/>
      <c r="N3" s="220" t="n"/>
      <c r="O3" s="220" t="n"/>
      <c r="P3" s="220" t="n"/>
      <c r="Q3" s="220" t="n"/>
      <c r="R3" s="220" t="n"/>
      <c r="S3" s="220" t="n"/>
      <c r="T3" s="220" t="n"/>
      <c r="U3" s="221" t="n"/>
      <c r="V3" s="149" t="n"/>
      <c r="W3" s="220" t="n"/>
      <c r="X3" s="220" t="n"/>
      <c r="Y3" s="220" t="n"/>
      <c r="Z3" s="220" t="n"/>
      <c r="AA3" s="220" t="n"/>
      <c r="AB3" s="220" t="n"/>
      <c r="AC3" s="220" t="n"/>
      <c r="AD3" s="221" t="n"/>
      <c r="AE3" s="147" t="n"/>
      <c r="AF3" s="220" t="n"/>
      <c r="AG3" s="220" t="n"/>
      <c r="AH3" s="220" t="n"/>
      <c r="AI3" s="220" t="n"/>
      <c r="AJ3" s="220" t="n"/>
      <c r="AK3" s="220" t="n"/>
      <c r="AL3" s="220" t="n"/>
      <c r="AM3" s="221" t="n"/>
      <c r="AN3" s="149" t="n"/>
      <c r="AO3" s="220" t="n"/>
      <c r="AP3" s="220" t="n"/>
      <c r="AQ3" s="220" t="n"/>
      <c r="AR3" s="220" t="n"/>
      <c r="AS3" s="220" t="n"/>
      <c r="AT3" s="220" t="n"/>
      <c r="AU3" s="220" t="n"/>
      <c r="AV3" s="221" t="n"/>
      <c r="AW3" s="147" t="n"/>
      <c r="AX3" s="220" t="n"/>
      <c r="AY3" s="220" t="n"/>
      <c r="AZ3" s="220" t="n"/>
      <c r="BA3" s="220" t="n"/>
      <c r="BB3" s="220" t="n"/>
      <c r="BC3" s="220" t="n"/>
      <c r="BD3" s="220" t="n"/>
      <c r="BE3" s="221" t="n"/>
      <c r="BF3" s="149" t="n"/>
      <c r="BG3" s="220" t="n"/>
      <c r="BH3" s="220" t="n"/>
      <c r="BI3" s="220" t="n"/>
      <c r="BJ3" s="220" t="n"/>
      <c r="BK3" s="220" t="n"/>
      <c r="BL3" s="220" t="n"/>
      <c r="BM3" s="220" t="n"/>
      <c r="BN3" s="221" t="n"/>
      <c r="BO3" s="147" t="n"/>
      <c r="BP3" s="220" t="n"/>
      <c r="BQ3" s="220" t="n"/>
      <c r="BR3" s="220" t="n"/>
      <c r="BS3" s="220" t="n"/>
      <c r="BT3" s="220" t="n"/>
      <c r="BU3" s="220" t="n"/>
      <c r="BV3" s="220" t="n"/>
      <c r="BW3" s="221" t="n"/>
      <c r="BX3" s="149" t="n"/>
      <c r="BY3" s="220" t="n"/>
      <c r="BZ3" s="220" t="n"/>
      <c r="CA3" s="220" t="n"/>
      <c r="CB3" s="220" t="n"/>
      <c r="CC3" s="220" t="n"/>
      <c r="CD3" s="220" t="n"/>
      <c r="CE3" s="220" t="n"/>
      <c r="CF3" s="221" t="n"/>
      <c r="CG3" s="147" t="n"/>
      <c r="CH3" s="220" t="n"/>
      <c r="CI3" s="220" t="n"/>
      <c r="CJ3" s="220" t="n"/>
      <c r="CK3" s="220" t="n"/>
      <c r="CL3" s="220" t="n"/>
      <c r="CM3" s="220" t="n"/>
      <c r="CN3" s="220" t="n"/>
      <c r="CO3" s="221" t="n"/>
      <c r="CP3" s="149" t="n"/>
      <c r="CQ3" s="220" t="n"/>
      <c r="CR3" s="220" t="n"/>
      <c r="CS3" s="220" t="n"/>
      <c r="CT3" s="220" t="n"/>
      <c r="CU3" s="220" t="n"/>
      <c r="CV3" s="220" t="n"/>
      <c r="CW3" s="220" t="n"/>
      <c r="CX3" s="221" t="n"/>
      <c r="CY3" s="147" t="n"/>
      <c r="CZ3" s="220" t="n"/>
      <c r="DA3" s="220" t="n"/>
      <c r="DB3" s="220" t="n"/>
      <c r="DC3" s="220" t="n"/>
      <c r="DD3" s="220" t="n"/>
      <c r="DE3" s="220" t="n"/>
      <c r="DF3" s="220" t="n"/>
      <c r="DG3" s="221" t="n"/>
      <c r="DH3" s="149" t="n"/>
      <c r="DI3" s="220" t="n"/>
      <c r="DJ3" s="220" t="n"/>
      <c r="DK3" s="220" t="n"/>
      <c r="DL3" s="220" t="n"/>
      <c r="DM3" s="220" t="n"/>
      <c r="DN3" s="220" t="n"/>
      <c r="DO3" s="220" t="n"/>
      <c r="DP3" s="221" t="n"/>
      <c r="DQ3" s="147" t="n"/>
      <c r="DR3" s="220" t="n"/>
      <c r="DS3" s="220" t="n"/>
      <c r="DT3" s="220" t="n"/>
      <c r="DU3" s="220" t="n"/>
      <c r="DV3" s="220" t="n"/>
      <c r="DW3" s="220" t="n"/>
      <c r="DX3" s="220" t="n"/>
      <c r="DY3" s="221" t="n"/>
      <c r="DZ3" s="149" t="n"/>
      <c r="EA3" s="220" t="n"/>
      <c r="EB3" s="220" t="n"/>
      <c r="EC3" s="220" t="n"/>
      <c r="ED3" s="220" t="n"/>
      <c r="EE3" s="220" t="n"/>
      <c r="EF3" s="220" t="n"/>
      <c r="EG3" s="220" t="n"/>
      <c r="EH3" s="221" t="n"/>
      <c r="EI3" s="147" t="n"/>
      <c r="EJ3" s="220" t="n"/>
      <c r="EK3" s="220" t="n"/>
      <c r="EL3" s="220" t="n"/>
      <c r="EM3" s="220" t="n"/>
      <c r="EN3" s="220" t="n"/>
      <c r="EO3" s="220" t="n"/>
      <c r="EP3" s="220" t="n"/>
      <c r="EQ3" s="221" t="n"/>
      <c r="ER3" s="149" t="n"/>
      <c r="ES3" s="220" t="n"/>
      <c r="ET3" s="220" t="n"/>
      <c r="EU3" s="220" t="n"/>
      <c r="EV3" s="220" t="n"/>
      <c r="EW3" s="220" t="n"/>
      <c r="EX3" s="220" t="n"/>
      <c r="EY3" s="220" t="n"/>
      <c r="EZ3" s="221" t="n"/>
      <c r="FA3" s="147" t="n"/>
      <c r="FB3" s="220" t="n"/>
      <c r="FC3" s="220" t="n"/>
      <c r="FD3" s="220" t="n"/>
      <c r="FE3" s="220" t="n"/>
      <c r="FF3" s="220" t="n"/>
      <c r="FG3" s="220" t="n"/>
      <c r="FH3" s="220" t="n"/>
      <c r="FI3" s="221" t="n"/>
      <c r="FJ3" s="149" t="n"/>
      <c r="FK3" s="220" t="n"/>
      <c r="FL3" s="220" t="n"/>
      <c r="FM3" s="220" t="n"/>
      <c r="FN3" s="220" t="n"/>
      <c r="FO3" s="220" t="n"/>
      <c r="FP3" s="220" t="n"/>
      <c r="FQ3" s="220" t="n"/>
      <c r="FR3" s="221" t="n"/>
      <c r="FS3" s="147" t="n"/>
      <c r="FT3" s="220" t="n"/>
      <c r="FU3" s="220" t="n"/>
      <c r="FV3" s="220" t="n"/>
      <c r="FW3" s="220" t="n"/>
      <c r="FX3" s="220" t="n"/>
      <c r="FY3" s="220" t="n"/>
      <c r="FZ3" s="220" t="n"/>
      <c r="GA3" s="221" t="n"/>
      <c r="GB3" s="149" t="n"/>
      <c r="GC3" s="220" t="n"/>
      <c r="GD3" s="220" t="n"/>
      <c r="GE3" s="220" t="n"/>
      <c r="GF3" s="220" t="n"/>
      <c r="GG3" s="220" t="n"/>
      <c r="GH3" s="220" t="n"/>
      <c r="GI3" s="220" t="n"/>
      <c r="GJ3" s="221" t="n"/>
      <c r="GK3" s="147" t="n"/>
      <c r="GL3" s="220" t="n"/>
      <c r="GM3" s="220" t="n"/>
      <c r="GN3" s="220" t="n"/>
      <c r="GO3" s="220" t="n"/>
      <c r="GP3" s="220" t="n"/>
      <c r="GQ3" s="220" t="n"/>
      <c r="GR3" s="220" t="n"/>
      <c r="GS3" s="221" t="n"/>
      <c r="GT3" s="149" t="n"/>
      <c r="GU3" s="220" t="n"/>
      <c r="GV3" s="220" t="n"/>
      <c r="GW3" s="220" t="n"/>
      <c r="GX3" s="220" t="n"/>
      <c r="GY3" s="220" t="n"/>
      <c r="GZ3" s="220" t="n"/>
      <c r="HA3" s="220" t="n"/>
      <c r="HB3" s="221" t="n"/>
      <c r="HC3" s="147" t="n"/>
      <c r="HD3" s="220" t="n"/>
      <c r="HE3" s="221" t="n"/>
    </row>
    <row r="4" ht="33.95" customHeight="1" s="150">
      <c r="A4" s="222" t="n"/>
      <c r="B4" s="222" t="n"/>
      <c r="C4" s="222" t="n"/>
      <c r="D4" s="2" t="n"/>
      <c r="E4" s="2" t="n"/>
      <c r="F4" s="3" t="n"/>
      <c r="G4" s="2" t="n"/>
      <c r="H4" s="2" t="n"/>
      <c r="I4" s="3" t="n"/>
      <c r="J4" s="3" t="n"/>
      <c r="K4" s="3" t="n"/>
      <c r="L4" s="3" t="n"/>
      <c r="M4" s="2" t="n"/>
      <c r="N4" s="2" t="n"/>
      <c r="O4" s="3" t="n"/>
      <c r="P4" s="2" t="n"/>
      <c r="Q4" s="2" t="n"/>
      <c r="R4" s="3" t="n"/>
      <c r="S4" s="3" t="n"/>
      <c r="T4" s="3" t="n"/>
      <c r="U4" s="3" t="n"/>
      <c r="V4" s="4" t="n"/>
      <c r="W4" s="4" t="n"/>
      <c r="X4" s="5" t="n"/>
      <c r="Y4" s="4" t="n"/>
      <c r="Z4" s="4" t="n"/>
      <c r="AA4" s="5" t="n"/>
      <c r="AB4" s="5" t="n"/>
      <c r="AC4" s="5" t="n"/>
      <c r="AD4" s="5" t="n"/>
      <c r="AE4" s="2" t="n"/>
      <c r="AF4" s="2" t="n"/>
      <c r="AG4" s="3" t="n"/>
      <c r="AH4" s="2" t="n"/>
      <c r="AI4" s="2" t="n"/>
      <c r="AJ4" s="3" t="n"/>
      <c r="AK4" s="3" t="n"/>
      <c r="AL4" s="3" t="n"/>
      <c r="AM4" s="3" t="n"/>
      <c r="AN4" s="4" t="n"/>
      <c r="AO4" s="4" t="n"/>
      <c r="AP4" s="5" t="n"/>
      <c r="AQ4" s="4" t="n"/>
      <c r="AR4" s="4" t="n"/>
      <c r="AS4" s="5" t="n"/>
      <c r="AT4" s="5" t="n"/>
      <c r="AU4" s="5" t="n"/>
      <c r="AV4" s="5" t="n"/>
      <c r="AW4" s="2" t="n"/>
      <c r="AX4" s="2" t="n"/>
      <c r="AY4" s="3" t="n"/>
      <c r="AZ4" s="2" t="n"/>
      <c r="BA4" s="2" t="n"/>
      <c r="BB4" s="3" t="n"/>
      <c r="BC4" s="3" t="n"/>
      <c r="BD4" s="3" t="n"/>
      <c r="BE4" s="3" t="n"/>
      <c r="BF4" s="4" t="n"/>
      <c r="BG4" s="4" t="n"/>
      <c r="BH4" s="5" t="n"/>
      <c r="BI4" s="4" t="n"/>
      <c r="BJ4" s="4" t="n"/>
      <c r="BK4" s="5" t="n"/>
      <c r="BL4" s="5" t="n"/>
      <c r="BM4" s="5" t="n"/>
      <c r="BN4" s="5" t="n"/>
      <c r="BO4" s="2" t="n"/>
      <c r="BP4" s="2" t="n"/>
      <c r="BQ4" s="3" t="n"/>
      <c r="BR4" s="2" t="n"/>
      <c r="BS4" s="2" t="n"/>
      <c r="BT4" s="3" t="n"/>
      <c r="BU4" s="3" t="n"/>
      <c r="BV4" s="3" t="n"/>
      <c r="BW4" s="3" t="n"/>
      <c r="BX4" s="4" t="n"/>
      <c r="BY4" s="4" t="n"/>
      <c r="BZ4" s="5" t="n"/>
      <c r="CA4" s="4" t="n"/>
      <c r="CB4" s="4" t="n"/>
      <c r="CC4" s="5" t="n"/>
      <c r="CD4" s="5" t="n"/>
      <c r="CE4" s="5" t="n"/>
      <c r="CF4" s="5" t="n"/>
      <c r="CG4" s="2" t="n"/>
      <c r="CH4" s="2" t="n"/>
      <c r="CI4" s="3" t="n"/>
      <c r="CJ4" s="2" t="n"/>
      <c r="CK4" s="2" t="n"/>
      <c r="CL4" s="3" t="n"/>
      <c r="CM4" s="3" t="n"/>
      <c r="CN4" s="3" t="n"/>
      <c r="CO4" s="3" t="n"/>
      <c r="CP4" s="4" t="n"/>
      <c r="CQ4" s="4" t="n"/>
      <c r="CR4" s="5" t="n"/>
      <c r="CS4" s="4" t="n"/>
      <c r="CT4" s="4" t="n"/>
      <c r="CU4" s="5" t="n"/>
      <c r="CV4" s="5" t="n"/>
      <c r="CW4" s="5" t="n"/>
      <c r="CX4" s="5" t="n"/>
      <c r="CY4" s="2" t="n"/>
      <c r="CZ4" s="2" t="n"/>
      <c r="DA4" s="3" t="n"/>
      <c r="DB4" s="2" t="n"/>
      <c r="DC4" s="2" t="n"/>
      <c r="DD4" s="3" t="n"/>
      <c r="DE4" s="3" t="n"/>
      <c r="DF4" s="3" t="n"/>
      <c r="DG4" s="3" t="n"/>
      <c r="DH4" s="4" t="n"/>
      <c r="DI4" s="4" t="n"/>
      <c r="DJ4" s="5" t="n"/>
      <c r="DK4" s="4" t="n"/>
      <c r="DL4" s="4" t="n"/>
      <c r="DM4" s="5" t="n"/>
      <c r="DN4" s="5" t="n"/>
      <c r="DO4" s="5" t="n"/>
      <c r="DP4" s="5" t="n"/>
      <c r="DQ4" s="2" t="n"/>
      <c r="DR4" s="2" t="n"/>
      <c r="DS4" s="3" t="n"/>
      <c r="DT4" s="2" t="n"/>
      <c r="DU4" s="2" t="n"/>
      <c r="DV4" s="3" t="n"/>
      <c r="DW4" s="3" t="n"/>
      <c r="DX4" s="3" t="n"/>
      <c r="DY4" s="3" t="n"/>
      <c r="DZ4" s="4" t="n"/>
      <c r="EA4" s="4" t="n"/>
      <c r="EB4" s="5" t="n"/>
      <c r="EC4" s="4" t="n"/>
      <c r="ED4" s="4" t="n"/>
      <c r="EE4" s="5" t="n"/>
      <c r="EF4" s="5" t="n"/>
      <c r="EG4" s="5" t="n"/>
      <c r="EH4" s="5" t="n"/>
      <c r="EI4" s="2" t="n"/>
      <c r="EJ4" s="2" t="n"/>
      <c r="EK4" s="3" t="n"/>
      <c r="EL4" s="2" t="n"/>
      <c r="EM4" s="2" t="n"/>
      <c r="EN4" s="3" t="n"/>
      <c r="EO4" s="3" t="n"/>
      <c r="EP4" s="3" t="n"/>
      <c r="EQ4" s="3" t="n"/>
      <c r="ER4" s="4" t="n"/>
      <c r="ES4" s="4" t="n"/>
      <c r="ET4" s="5" t="n"/>
      <c r="EU4" s="4" t="n"/>
      <c r="EV4" s="4" t="n"/>
      <c r="EW4" s="5" t="n"/>
      <c r="EX4" s="5" t="n"/>
      <c r="EY4" s="5" t="n"/>
      <c r="EZ4" s="5" t="n"/>
      <c r="FA4" s="2" t="n"/>
      <c r="FB4" s="2" t="n"/>
      <c r="FC4" s="3" t="n"/>
      <c r="FD4" s="2" t="n"/>
      <c r="FE4" s="2" t="n"/>
      <c r="FF4" s="3" t="n"/>
      <c r="FG4" s="3" t="n"/>
      <c r="FH4" s="3" t="n"/>
      <c r="FI4" s="3" t="n"/>
      <c r="FJ4" s="4" t="n"/>
      <c r="FK4" s="4" t="n"/>
      <c r="FL4" s="5" t="n"/>
      <c r="FM4" s="4" t="n"/>
      <c r="FN4" s="4" t="n"/>
      <c r="FO4" s="5" t="n"/>
      <c r="FP4" s="5" t="n"/>
      <c r="FQ4" s="5" t="n"/>
      <c r="FR4" s="5" t="n"/>
      <c r="FS4" s="2" t="n"/>
      <c r="FT4" s="2" t="n"/>
      <c r="FU4" s="3" t="n"/>
      <c r="FV4" s="2" t="n"/>
      <c r="FW4" s="2" t="n"/>
      <c r="FX4" s="3" t="n"/>
      <c r="FY4" s="3" t="n"/>
      <c r="FZ4" s="3" t="n"/>
      <c r="GA4" s="3" t="n"/>
      <c r="GB4" s="4" t="n"/>
      <c r="GC4" s="4" t="n"/>
      <c r="GD4" s="5" t="n"/>
      <c r="GE4" s="4" t="n"/>
      <c r="GF4" s="4" t="n"/>
      <c r="GG4" s="5" t="n"/>
      <c r="GH4" s="5" t="n"/>
      <c r="GI4" s="5" t="n"/>
      <c r="GJ4" s="5" t="n"/>
      <c r="GK4" s="2" t="n"/>
      <c r="GL4" s="2" t="n"/>
      <c r="GM4" s="3" t="n"/>
      <c r="GN4" s="2" t="n"/>
      <c r="GO4" s="2" t="n"/>
      <c r="GP4" s="3" t="n"/>
      <c r="GQ4" s="3" t="n"/>
      <c r="GR4" s="3" t="n"/>
      <c r="GS4" s="3" t="n"/>
      <c r="GT4" s="4" t="n"/>
      <c r="GU4" s="4" t="n"/>
      <c r="GV4" s="5" t="n"/>
      <c r="GW4" s="4" t="n"/>
      <c r="GX4" s="4" t="n"/>
      <c r="GY4" s="5" t="n"/>
      <c r="GZ4" s="5" t="n"/>
      <c r="HA4" s="5" t="n"/>
      <c r="HB4" s="5" t="n"/>
      <c r="HC4" s="3" t="n"/>
      <c r="HD4" s="3" t="n"/>
      <c r="HE4" s="3" t="n"/>
    </row>
    <row r="5" ht="15" customHeight="1" s="150">
      <c r="A5" s="6" t="n"/>
      <c r="B5" s="6" t="n"/>
      <c r="C5" s="6" t="n"/>
      <c r="D5" s="223">
        <f>SUM(D6,D10,D12,D16,D18,D20)</f>
        <v/>
      </c>
      <c r="E5" s="223">
        <f>SUM(E6,E10,E12,E16,E18,E20)</f>
        <v/>
      </c>
      <c r="F5" s="223">
        <f>D5+E5</f>
        <v/>
      </c>
      <c r="G5" s="223">
        <f>SUM(G6,G10,G12,G16,G18,G20)</f>
        <v/>
      </c>
      <c r="H5" s="223">
        <f>SUM(H6,H10,H12,H16,H18,H20)</f>
        <v/>
      </c>
      <c r="I5" s="223">
        <f>G5+H5</f>
        <v/>
      </c>
      <c r="J5" s="223">
        <f>I5-F5</f>
        <v/>
      </c>
      <c r="K5" s="224">
        <f>IF(F5=0,"",I5/F5)</f>
        <v/>
      </c>
      <c r="L5" s="6" t="n"/>
      <c r="M5" s="223">
        <f>SUM(M6,M10,M12,M16,M18,M20)</f>
        <v/>
      </c>
      <c r="N5" s="223">
        <f>SUM(N6,N10,N12,N16,N18,N20)</f>
        <v/>
      </c>
      <c r="O5" s="223">
        <f>M5+N5</f>
        <v/>
      </c>
      <c r="P5" s="223">
        <f>SUM(P6,P10,P12,P16,P18,P20)</f>
        <v/>
      </c>
      <c r="Q5" s="223">
        <f>SUM(Q6,Q10,Q12,Q16,Q18,Q20)</f>
        <v/>
      </c>
      <c r="R5" s="223">
        <f>P5+Q5</f>
        <v/>
      </c>
      <c r="S5" s="223">
        <f>R5-O5</f>
        <v/>
      </c>
      <c r="T5" s="224">
        <f>IF(O5=0,"",R5/O5)</f>
        <v/>
      </c>
      <c r="U5" s="6" t="n"/>
      <c r="V5" s="225">
        <f>SUM(V6,V10,V12,V16,V18,V20)</f>
        <v/>
      </c>
      <c r="W5" s="225">
        <f>SUM(W6,W10,W12,W16,W18,W20)</f>
        <v/>
      </c>
      <c r="X5" s="225">
        <f>V5+W5</f>
        <v/>
      </c>
      <c r="Y5" s="225">
        <f>SUM(Y6,Y10,Y12,Y16,Y18,Y20)</f>
        <v/>
      </c>
      <c r="Z5" s="225">
        <f>SUM(Z6,Z10,Z12,Z16,Z18,Z20)</f>
        <v/>
      </c>
      <c r="AA5" s="225">
        <f>Y5+Z5</f>
        <v/>
      </c>
      <c r="AB5" s="225">
        <f>AA5-X5</f>
        <v/>
      </c>
      <c r="AC5" s="226">
        <f>IF(X5=0,"",AA5/X5)</f>
        <v/>
      </c>
      <c r="AD5" s="11" t="n"/>
      <c r="AE5" s="223">
        <f>SUM(AE6,AE10,AE12,AE16,AE18,AE20)</f>
        <v/>
      </c>
      <c r="AF5" s="223">
        <f>SUM(AF6,AF10,AF12,AF16,AF18,AF20)</f>
        <v/>
      </c>
      <c r="AG5" s="223">
        <f>AE5+AF5</f>
        <v/>
      </c>
      <c r="AH5" s="223">
        <f>SUM(AH6,AH10,AH12,AH16,AH18,AH20)</f>
        <v/>
      </c>
      <c r="AI5" s="223">
        <f>SUM(AI6,AI10,AI12,AI16,AI18,AI20)</f>
        <v/>
      </c>
      <c r="AJ5" s="223">
        <f>AH5+AI5</f>
        <v/>
      </c>
      <c r="AK5" s="223">
        <f>AJ5-AG5</f>
        <v/>
      </c>
      <c r="AL5" s="224">
        <f>IF(AG5=0,"",AJ5/AG5)</f>
        <v/>
      </c>
      <c r="AM5" s="6" t="n"/>
      <c r="AN5" s="225">
        <f>SUM(AN6,AN10,AN12,AN16,AN18,AN20)</f>
        <v/>
      </c>
      <c r="AO5" s="225">
        <f>SUM(AO6,AO10,AO12,AO16,AO18,AO20)</f>
        <v/>
      </c>
      <c r="AP5" s="225">
        <f>AN5+AO5</f>
        <v/>
      </c>
      <c r="AQ5" s="225">
        <f>SUM(AQ6,AQ10,AQ12,AQ16,AQ18,AQ20)</f>
        <v/>
      </c>
      <c r="AR5" s="225">
        <f>SUM(AR6,AR10,AR12,AR16,AR18,AR20)</f>
        <v/>
      </c>
      <c r="AS5" s="225">
        <f>AQ5+AR5</f>
        <v/>
      </c>
      <c r="AT5" s="225">
        <f>AS5-AP5</f>
        <v/>
      </c>
      <c r="AU5" s="226">
        <f>IF(AP5=0,"",AS5/AP5)</f>
        <v/>
      </c>
      <c r="AV5" s="11" t="n"/>
      <c r="AW5" s="223">
        <f>SUM(AW6,AW10,AW12,AW16,AW18,AW20)</f>
        <v/>
      </c>
      <c r="AX5" s="223">
        <f>SUM(AX6,AX10,AX12,AX16,AX18,AX20)</f>
        <v/>
      </c>
      <c r="AY5" s="223">
        <f>AW5+AX5</f>
        <v/>
      </c>
      <c r="AZ5" s="223">
        <f>SUM(AZ6,AZ10,AZ12,AZ16,AZ18,AZ20)</f>
        <v/>
      </c>
      <c r="BA5" s="223">
        <f>SUM(BA6,BA10,BA12,BA16,BA18,BA20)</f>
        <v/>
      </c>
      <c r="BB5" s="223">
        <f>AZ5+BA5</f>
        <v/>
      </c>
      <c r="BC5" s="223">
        <f>BB5-AY5</f>
        <v/>
      </c>
      <c r="BD5" s="224">
        <f>IF(AY5=0,"",BB5/AY5)</f>
        <v/>
      </c>
      <c r="BE5" s="6" t="n"/>
      <c r="BF5" s="225">
        <f>SUM(BF6,BF10,BF12,BF16,BF18,BF20)</f>
        <v/>
      </c>
      <c r="BG5" s="225">
        <f>SUM(BG6,BG10,BG12,BG16,BG18,BG20)</f>
        <v/>
      </c>
      <c r="BH5" s="225">
        <f>BF5+BG5</f>
        <v/>
      </c>
      <c r="BI5" s="225">
        <f>SUM(BI6,BI10,BI12,BI16,BI18,BI20)</f>
        <v/>
      </c>
      <c r="BJ5" s="225">
        <f>SUM(BJ6,BJ10,BJ12,BJ16,BJ18,BJ20)</f>
        <v/>
      </c>
      <c r="BK5" s="225">
        <f>BI5+BJ5</f>
        <v/>
      </c>
      <c r="BL5" s="225">
        <f>BK5-BH5</f>
        <v/>
      </c>
      <c r="BM5" s="226">
        <f>IF(BH5=0,"",BK5/BH5)</f>
        <v/>
      </c>
      <c r="BN5" s="11" t="n"/>
      <c r="BO5" s="223">
        <f>SUM(BO6,BO10,BO12,BO16,BO18,BO20)</f>
        <v/>
      </c>
      <c r="BP5" s="223">
        <f>SUM(BP6,BP10,BP12,BP16,BP18,BP20)</f>
        <v/>
      </c>
      <c r="BQ5" s="223">
        <f>BO5+BP5</f>
        <v/>
      </c>
      <c r="BR5" s="223">
        <f>SUM(BR6,BR10,BR12,BR16,BR18,BR20)</f>
        <v/>
      </c>
      <c r="BS5" s="223">
        <f>SUM(BS6,BS10,BS12,BS16,BS18,BS20)</f>
        <v/>
      </c>
      <c r="BT5" s="223">
        <f>BR5+BS5</f>
        <v/>
      </c>
      <c r="BU5" s="223">
        <f>BT5-BQ5</f>
        <v/>
      </c>
      <c r="BV5" s="224">
        <f>IF(BQ5=0,"",BT5/BQ5)</f>
        <v/>
      </c>
      <c r="BW5" s="6" t="n"/>
      <c r="BX5" s="225">
        <f>SUM(BX6,BX10,BX12,BX16,BX18,BX20)</f>
        <v/>
      </c>
      <c r="BY5" s="225">
        <f>SUM(BY6,BY10,BY12,BY16,BY18,BY20)</f>
        <v/>
      </c>
      <c r="BZ5" s="225">
        <f>BX5+BY5</f>
        <v/>
      </c>
      <c r="CA5" s="225">
        <f>SUM(CA6,CA10,CA12,CA16,CA18,CA20)</f>
        <v/>
      </c>
      <c r="CB5" s="225">
        <f>SUM(CB6,CB10,CB12,CB16,CB18,CB20)</f>
        <v/>
      </c>
      <c r="CC5" s="225">
        <f>CA5+CB5</f>
        <v/>
      </c>
      <c r="CD5" s="225">
        <f>CC5-BZ5</f>
        <v/>
      </c>
      <c r="CE5" s="226">
        <f>IF(BZ5=0,"",CC5/BZ5)</f>
        <v/>
      </c>
      <c r="CF5" s="11" t="n"/>
      <c r="CG5" s="223">
        <f>SUM(CG6,CG10,CG12,CG16,CG18,CG20)</f>
        <v/>
      </c>
      <c r="CH5" s="223">
        <f>SUM(CH6,CH10,CH12,CH16,CH18,CH20)</f>
        <v/>
      </c>
      <c r="CI5" s="223">
        <f>CG5+CH5</f>
        <v/>
      </c>
      <c r="CJ5" s="223">
        <f>SUM(CJ6,CJ10,CJ12,CJ16,CJ18,CJ20)</f>
        <v/>
      </c>
      <c r="CK5" s="223">
        <f>SUM(CK6,CK10,CK12,CK16,CK18,CK20)</f>
        <v/>
      </c>
      <c r="CL5" s="223">
        <f>CJ5+CK5</f>
        <v/>
      </c>
      <c r="CM5" s="223">
        <f>CL5-CI5</f>
        <v/>
      </c>
      <c r="CN5" s="224">
        <f>IF(CI5=0,"",CL5/CI5)</f>
        <v/>
      </c>
      <c r="CO5" s="6" t="n"/>
      <c r="CP5" s="225">
        <f>SUM(CP6,CP10,CP12,CP16,CP18,CP20)</f>
        <v/>
      </c>
      <c r="CQ5" s="225">
        <f>SUM(CQ6,CQ10,CQ12,CQ16,CQ18,CQ20)</f>
        <v/>
      </c>
      <c r="CR5" s="225">
        <f>CP5+CQ5</f>
        <v/>
      </c>
      <c r="CS5" s="225">
        <f>SUM(CS6,CS10,CS12,CS16,CS18,CS20)</f>
        <v/>
      </c>
      <c r="CT5" s="225">
        <f>SUM(CT6,CT10,CT12,CT16,CT18,CT20)</f>
        <v/>
      </c>
      <c r="CU5" s="225">
        <f>CS5+CT5</f>
        <v/>
      </c>
      <c r="CV5" s="225">
        <f>CU5-CR5</f>
        <v/>
      </c>
      <c r="CW5" s="226">
        <f>IF(CR5=0,"",CU5/CR5)</f>
        <v/>
      </c>
      <c r="CX5" s="11" t="n"/>
      <c r="CY5" s="223">
        <f>SUM(CY6,CY10,CY12,CY16,CY18,CY20)</f>
        <v/>
      </c>
      <c r="CZ5" s="223">
        <f>SUM(CZ6,CZ10,CZ12,CZ16,CZ18,CZ20)</f>
        <v/>
      </c>
      <c r="DA5" s="223">
        <f>CY5+CZ5</f>
        <v/>
      </c>
      <c r="DB5" s="223">
        <f>SUM(DB6,DB10,DB12,DB16,DB18,DB20)</f>
        <v/>
      </c>
      <c r="DC5" s="223">
        <f>SUM(DC6,DC10,DC12,DC16,DC18,DC20)</f>
        <v/>
      </c>
      <c r="DD5" s="223">
        <f>DB5+DC5</f>
        <v/>
      </c>
      <c r="DE5" s="223">
        <f>DD5-DA5</f>
        <v/>
      </c>
      <c r="DF5" s="224">
        <f>IF(DA5=0,"",DD5/DA5)</f>
        <v/>
      </c>
      <c r="DG5" s="6" t="n"/>
      <c r="DH5" s="225">
        <f>SUM(DH6,DH10,DH12,DH16,DH18,DH20)</f>
        <v/>
      </c>
      <c r="DI5" s="225">
        <f>SUM(DI6,DI10,DI12,DI16,DI18,DI20)</f>
        <v/>
      </c>
      <c r="DJ5" s="225">
        <f>DH5+DI5</f>
        <v/>
      </c>
      <c r="DK5" s="225">
        <f>SUM(DK6,DK10,DK12,DK16,DK18,DK20)</f>
        <v/>
      </c>
      <c r="DL5" s="225">
        <f>SUM(DL6,DL10,DL12,DL16,DL18,DL20)</f>
        <v/>
      </c>
      <c r="DM5" s="225">
        <f>DK5+DL5</f>
        <v/>
      </c>
      <c r="DN5" s="225">
        <f>DM5-DJ5</f>
        <v/>
      </c>
      <c r="DO5" s="226">
        <f>IF(DJ5=0,"",DM5/DJ5)</f>
        <v/>
      </c>
      <c r="DP5" s="11" t="n"/>
      <c r="DQ5" s="223">
        <f>SUM(DQ6,DQ10,DQ12,DQ16,DQ18,DQ20)</f>
        <v/>
      </c>
      <c r="DR5" s="223">
        <f>SUM(DR6,DR10,DR12,DR16,DR18,DR20)</f>
        <v/>
      </c>
      <c r="DS5" s="223">
        <f>DQ5+DR5</f>
        <v/>
      </c>
      <c r="DT5" s="223">
        <f>SUM(DT6,DT10,DT12,DT16,DT18,DT20)</f>
        <v/>
      </c>
      <c r="DU5" s="223">
        <f>SUM(DU6,DU10,DU12,DU16,DU18,DU20)</f>
        <v/>
      </c>
      <c r="DV5" s="223">
        <f>DT5+DU5</f>
        <v/>
      </c>
      <c r="DW5" s="223">
        <f>DV5-DS5</f>
        <v/>
      </c>
      <c r="DX5" s="224">
        <f>IF(DS5=0,"",DV5/DS5)</f>
        <v/>
      </c>
      <c r="DY5" s="6" t="n"/>
      <c r="DZ5" s="225">
        <f>SUM(DZ6,DZ10,DZ12,DZ16,DZ18,DZ20)</f>
        <v/>
      </c>
      <c r="EA5" s="225">
        <f>SUM(EA6,EA10,EA12,EA16,EA18,EA20)</f>
        <v/>
      </c>
      <c r="EB5" s="225">
        <f>DZ5+EA5</f>
        <v/>
      </c>
      <c r="EC5" s="225">
        <f>SUM(EC6,EC10,EC12,EC16,EC18,EC20)</f>
        <v/>
      </c>
      <c r="ED5" s="225">
        <f>SUM(ED6,ED10,ED12,ED16,ED18,ED20)</f>
        <v/>
      </c>
      <c r="EE5" s="225">
        <f>EC5+ED5</f>
        <v/>
      </c>
      <c r="EF5" s="225">
        <f>EE5-EB5</f>
        <v/>
      </c>
      <c r="EG5" s="226">
        <f>IF(EB5=0,"",EE5/EB5)</f>
        <v/>
      </c>
      <c r="EH5" s="11" t="n"/>
      <c r="EI5" s="223">
        <f>SUM(EI6,EI10,EI12,EI16,EI18,EI20)</f>
        <v/>
      </c>
      <c r="EJ5" s="223">
        <f>SUM(EJ6,EJ10,EJ12,EJ16,EJ18,EJ20)</f>
        <v/>
      </c>
      <c r="EK5" s="223">
        <f>EI5+EJ5</f>
        <v/>
      </c>
      <c r="EL5" s="223">
        <f>SUM(EL6,EL10,EL12,EL16,EL18,EL20)</f>
        <v/>
      </c>
      <c r="EM5" s="223">
        <f>SUM(EM6,EM10,EM12,EM16,EM18,EM20)</f>
        <v/>
      </c>
      <c r="EN5" s="223">
        <f>EL5+EM5</f>
        <v/>
      </c>
      <c r="EO5" s="223">
        <f>EN5-EK5</f>
        <v/>
      </c>
      <c r="EP5" s="224">
        <f>IF(EK5=0,"",EN5/EK5)</f>
        <v/>
      </c>
      <c r="EQ5" s="6" t="n"/>
      <c r="ER5" s="225">
        <f>SUM(ER6,ER10,ER12,ER16,ER18,ER20)</f>
        <v/>
      </c>
      <c r="ES5" s="225">
        <f>SUM(ES6,ES10,ES12,ES16,ES18,ES20)</f>
        <v/>
      </c>
      <c r="ET5" s="225">
        <f>ER5+ES5</f>
        <v/>
      </c>
      <c r="EU5" s="225">
        <f>SUM(EU6,EU10,EU12,EU16,EU18,EU20)</f>
        <v/>
      </c>
      <c r="EV5" s="225">
        <f>SUM(EV6,EV10,EV12,EV16,EV18,EV20)</f>
        <v/>
      </c>
      <c r="EW5" s="225">
        <f>EU5+EV5</f>
        <v/>
      </c>
      <c r="EX5" s="225">
        <f>EW5-ET5</f>
        <v/>
      </c>
      <c r="EY5" s="226">
        <f>IF(ET5=0,"",EW5/ET5)</f>
        <v/>
      </c>
      <c r="EZ5" s="11" t="n"/>
      <c r="FA5" s="223">
        <f>SUM(FA6,FA10,FA12,FA16,FA18,FA20)</f>
        <v/>
      </c>
      <c r="FB5" s="223">
        <f>SUM(FB6,FB10,FB12,FB16,FB18,FB20)</f>
        <v/>
      </c>
      <c r="FC5" s="223">
        <f>FA5+FB5</f>
        <v/>
      </c>
      <c r="FD5" s="223">
        <f>SUM(FD6,FD10,FD12,FD16,FD18,FD20)</f>
        <v/>
      </c>
      <c r="FE5" s="223">
        <f>SUM(FE6,FE10,FE12,FE16,FE18,FE20)</f>
        <v/>
      </c>
      <c r="FF5" s="223">
        <f>FD5+FE5</f>
        <v/>
      </c>
      <c r="FG5" s="223">
        <f>FF5-FC5</f>
        <v/>
      </c>
      <c r="FH5" s="224">
        <f>IF(FC5=0,"",FF5/FC5)</f>
        <v/>
      </c>
      <c r="FI5" s="6" t="n"/>
      <c r="FJ5" s="225">
        <f>SUM(FJ6,FJ10,FJ12,FJ16,FJ18,FJ20)</f>
        <v/>
      </c>
      <c r="FK5" s="225">
        <f>SUM(FK6,FK10,FK12,FK16,FK18,FK20)</f>
        <v/>
      </c>
      <c r="FL5" s="225">
        <f>FJ5+FK5</f>
        <v/>
      </c>
      <c r="FM5" s="225">
        <f>SUM(FM6,FM10,FM12,FM16,FM18,FM20)</f>
        <v/>
      </c>
      <c r="FN5" s="225">
        <f>SUM(FN6,FN10,FN12,FN16,FN18,FN20)</f>
        <v/>
      </c>
      <c r="FO5" s="225">
        <f>FM5+FN5</f>
        <v/>
      </c>
      <c r="FP5" s="225">
        <f>FO5-FL5</f>
        <v/>
      </c>
      <c r="FQ5" s="226">
        <f>IF(FL5=0,"",FO5/FL5)</f>
        <v/>
      </c>
      <c r="FR5" s="11" t="n"/>
      <c r="FS5" s="223">
        <f>SUM(FS6,FS10,FS12,FS16,FS18,FS20)</f>
        <v/>
      </c>
      <c r="FT5" s="223">
        <f>SUM(FT6,FT10,FT12,FT16,FT18,FT20)</f>
        <v/>
      </c>
      <c r="FU5" s="223">
        <f>FS5+FT5</f>
        <v/>
      </c>
      <c r="FV5" s="223">
        <f>SUM(FV6,FV10,FV12,FV16,FV18,FV20)</f>
        <v/>
      </c>
      <c r="FW5" s="223">
        <f>SUM(FW6,FW10,FW12,FW16,FW18,FW20)</f>
        <v/>
      </c>
      <c r="FX5" s="223">
        <f>FV5+FW5</f>
        <v/>
      </c>
      <c r="FY5" s="223">
        <f>FX5-FU5</f>
        <v/>
      </c>
      <c r="FZ5" s="224">
        <f>IF(FU5=0,"",FX5/FU5)</f>
        <v/>
      </c>
      <c r="GA5" s="6" t="n"/>
      <c r="GB5" s="225">
        <f>SUM(GB6,GB10,GB12,GB16,GB18,GB20)</f>
        <v/>
      </c>
      <c r="GC5" s="225">
        <f>SUM(GC6,GC10,GC12,GC16,GC18,GC20)</f>
        <v/>
      </c>
      <c r="GD5" s="225">
        <f>GB5+GC5</f>
        <v/>
      </c>
      <c r="GE5" s="225">
        <f>SUM(GE6,GE10,GE12,GE16,GE18,GE20)</f>
        <v/>
      </c>
      <c r="GF5" s="225">
        <f>SUM(GF6,GF10,GF12,GF16,GF18,GF20)</f>
        <v/>
      </c>
      <c r="GG5" s="225">
        <f>GE5+GF5</f>
        <v/>
      </c>
      <c r="GH5" s="225">
        <f>GG5-GD5</f>
        <v/>
      </c>
      <c r="GI5" s="226">
        <f>IF(GD5=0,"",GG5/GD5)</f>
        <v/>
      </c>
      <c r="GJ5" s="11" t="n"/>
      <c r="GK5" s="223">
        <f>SUM(GK6,GK10,GK12,GK16,GK18,GK20)</f>
        <v/>
      </c>
      <c r="GL5" s="223">
        <f>SUM(GL6,GL10,GL12,GL16,GL18,GL20)</f>
        <v/>
      </c>
      <c r="GM5" s="223">
        <f>GK5+GL5</f>
        <v/>
      </c>
      <c r="GN5" s="223">
        <f>SUM(GN6,GN10,GN12,GN16,GN18,GN20)</f>
        <v/>
      </c>
      <c r="GO5" s="223">
        <f>SUM(GO6,GO10,GO12,GO16,GO18,GO20)</f>
        <v/>
      </c>
      <c r="GP5" s="223">
        <f>GN5+GO5</f>
        <v/>
      </c>
      <c r="GQ5" s="223">
        <f>GP5-GM5</f>
        <v/>
      </c>
      <c r="GR5" s="224">
        <f>IF(GM5=0,"",GP5/GM5)</f>
        <v/>
      </c>
      <c r="GS5" s="6" t="n"/>
      <c r="GT5" s="225">
        <f>SUM(GT6,GT10,GT12,GT16,GT18,GT20)</f>
        <v/>
      </c>
      <c r="GU5" s="225">
        <f>SUM(GU6,GU10,GU12,GU16,GU18,GU20)</f>
        <v/>
      </c>
      <c r="GV5" s="225">
        <f>GT5+GU5</f>
        <v/>
      </c>
      <c r="GW5" s="225">
        <f>SUM(GW6,GW10,GW12,GW16,GW18,GW20)</f>
        <v/>
      </c>
      <c r="GX5" s="225">
        <f>SUM(GX6,GX10,GX12,GX16,GX18,GX20)</f>
        <v/>
      </c>
      <c r="GY5" s="225">
        <f>GW5+GX5</f>
        <v/>
      </c>
      <c r="GZ5" s="225">
        <f>GY5-GV5</f>
        <v/>
      </c>
      <c r="HA5" s="226">
        <f>IF(GV5=0,"",GY5/GV5)</f>
        <v/>
      </c>
      <c r="HB5" s="11" t="n"/>
      <c r="HC5" s="223">
        <f>GT5</f>
        <v/>
      </c>
      <c r="HD5" s="223">
        <f>GU5</f>
        <v/>
      </c>
      <c r="HE5" s="223">
        <f>HC5+HD5</f>
        <v/>
      </c>
    </row>
    <row r="6" ht="15" customHeight="1" s="150">
      <c r="A6" s="18" t="n"/>
      <c r="B6" s="18" t="n"/>
      <c r="C6" s="18" t="n"/>
      <c r="D6" s="227">
        <f>SUM(D7:D9)</f>
        <v/>
      </c>
      <c r="E6" s="227">
        <f>SUM(E7:E9)</f>
        <v/>
      </c>
      <c r="F6" s="227">
        <f>D6+E6</f>
        <v/>
      </c>
      <c r="G6" s="227">
        <f>SUM(G7:G9)</f>
        <v/>
      </c>
      <c r="H6" s="227">
        <f>SUM(H7:H9)</f>
        <v/>
      </c>
      <c r="I6" s="227">
        <f>G6+H6</f>
        <v/>
      </c>
      <c r="J6" s="228">
        <f>I6-F6</f>
        <v/>
      </c>
      <c r="K6" s="229">
        <f>IF(F6=0,"",I6/F6)</f>
        <v/>
      </c>
      <c r="L6" s="18" t="n"/>
      <c r="M6" s="227">
        <f>SUM(M7:M9)</f>
        <v/>
      </c>
      <c r="N6" s="227">
        <f>SUM(N7:N9)</f>
        <v/>
      </c>
      <c r="O6" s="227">
        <f>M6+N6</f>
        <v/>
      </c>
      <c r="P6" s="227">
        <f>SUM(P7:P9)</f>
        <v/>
      </c>
      <c r="Q6" s="227">
        <f>SUM(Q7:Q9)</f>
        <v/>
      </c>
      <c r="R6" s="227">
        <f>P6+Q6</f>
        <v/>
      </c>
      <c r="S6" s="228">
        <f>R6-O6</f>
        <v/>
      </c>
      <c r="T6" s="229">
        <f>IF(O6=0,"",R6/O6)</f>
        <v/>
      </c>
      <c r="U6" s="18" t="n"/>
      <c r="V6" s="230">
        <f>SUM(V7:V9)</f>
        <v/>
      </c>
      <c r="W6" s="230">
        <f>SUM(W7:W9)</f>
        <v/>
      </c>
      <c r="X6" s="230">
        <f>V6+W6</f>
        <v/>
      </c>
      <c r="Y6" s="230">
        <f>SUM(Y7:Y9)</f>
        <v/>
      </c>
      <c r="Z6" s="230">
        <f>SUM(Z7:Z9)</f>
        <v/>
      </c>
      <c r="AA6" s="230">
        <f>Y6+Z6</f>
        <v/>
      </c>
      <c r="AB6" s="231">
        <f>AA6-X6</f>
        <v/>
      </c>
      <c r="AC6" s="232">
        <f>IF(X6=0,"",AA6/X6)</f>
        <v/>
      </c>
      <c r="AD6" s="25" t="n"/>
      <c r="AE6" s="227">
        <f>SUM(AE7:AE9)</f>
        <v/>
      </c>
      <c r="AF6" s="227">
        <f>SUM(AF7:AF9)</f>
        <v/>
      </c>
      <c r="AG6" s="227">
        <f>AE6+AF6</f>
        <v/>
      </c>
      <c r="AH6" s="227">
        <f>SUM(AH7:AH9)</f>
        <v/>
      </c>
      <c r="AI6" s="227">
        <f>SUM(AI7:AI9)</f>
        <v/>
      </c>
      <c r="AJ6" s="227">
        <f>AH6+AI6</f>
        <v/>
      </c>
      <c r="AK6" s="228">
        <f>AJ6-AG6</f>
        <v/>
      </c>
      <c r="AL6" s="229">
        <f>IF(AG6=0,"",AJ6/AG6)</f>
        <v/>
      </c>
      <c r="AM6" s="18" t="n"/>
      <c r="AN6" s="230">
        <f>SUM(AN7:AN9)</f>
        <v/>
      </c>
      <c r="AO6" s="230">
        <f>SUM(AO7:AO9)</f>
        <v/>
      </c>
      <c r="AP6" s="230">
        <f>AN6+AO6</f>
        <v/>
      </c>
      <c r="AQ6" s="230">
        <f>SUM(AQ7:AQ9)</f>
        <v/>
      </c>
      <c r="AR6" s="230">
        <f>SUM(AR7:AR9)</f>
        <v/>
      </c>
      <c r="AS6" s="230">
        <f>AQ6+AR6</f>
        <v/>
      </c>
      <c r="AT6" s="231">
        <f>AS6-AP6</f>
        <v/>
      </c>
      <c r="AU6" s="232">
        <f>IF(AP6=0,"",AS6/AP6)</f>
        <v/>
      </c>
      <c r="AV6" s="25" t="n"/>
      <c r="AW6" s="227">
        <f>SUM(AW7:AW9)</f>
        <v/>
      </c>
      <c r="AX6" s="227">
        <f>SUM(AX7:AX9)</f>
        <v/>
      </c>
      <c r="AY6" s="227">
        <f>AW6+AX6</f>
        <v/>
      </c>
      <c r="AZ6" s="227">
        <f>SUM(AZ7:AZ9)</f>
        <v/>
      </c>
      <c r="BA6" s="227">
        <f>SUM(BA7:BA9)</f>
        <v/>
      </c>
      <c r="BB6" s="227">
        <f>AZ6+BA6</f>
        <v/>
      </c>
      <c r="BC6" s="228">
        <f>BB6-AY6</f>
        <v/>
      </c>
      <c r="BD6" s="229">
        <f>IF(AY6=0,"",BB6/AY6)</f>
        <v/>
      </c>
      <c r="BE6" s="18" t="n"/>
      <c r="BF6" s="230">
        <f>SUM(BF7:BF9)</f>
        <v/>
      </c>
      <c r="BG6" s="230">
        <f>SUM(BG7:BG9)</f>
        <v/>
      </c>
      <c r="BH6" s="230">
        <f>BF6+BG6</f>
        <v/>
      </c>
      <c r="BI6" s="230">
        <f>SUM(BI7:BI9)</f>
        <v/>
      </c>
      <c r="BJ6" s="230">
        <f>SUM(BJ7:BJ9)</f>
        <v/>
      </c>
      <c r="BK6" s="230">
        <f>BI6+BJ6</f>
        <v/>
      </c>
      <c r="BL6" s="231">
        <f>BK6-BH6</f>
        <v/>
      </c>
      <c r="BM6" s="232">
        <f>IF(BH6=0,"",BK6/BH6)</f>
        <v/>
      </c>
      <c r="BN6" s="25" t="n"/>
      <c r="BO6" s="227">
        <f>SUM(BO7:BO9)</f>
        <v/>
      </c>
      <c r="BP6" s="227">
        <f>SUM(BP7:BP9)</f>
        <v/>
      </c>
      <c r="BQ6" s="227">
        <f>BO6+BP6</f>
        <v/>
      </c>
      <c r="BR6" s="227">
        <f>SUM(BR7:BR9)</f>
        <v/>
      </c>
      <c r="BS6" s="227">
        <f>SUM(BS7:BS9)</f>
        <v/>
      </c>
      <c r="BT6" s="227">
        <f>BR6+BS6</f>
        <v/>
      </c>
      <c r="BU6" s="228">
        <f>BT6-BQ6</f>
        <v/>
      </c>
      <c r="BV6" s="229">
        <f>IF(BQ6=0,"",BT6/BQ6)</f>
        <v/>
      </c>
      <c r="BW6" s="18" t="n"/>
      <c r="BX6" s="230">
        <f>SUM(BX7:BX9)</f>
        <v/>
      </c>
      <c r="BY6" s="230">
        <f>SUM(BY7:BY9)</f>
        <v/>
      </c>
      <c r="BZ6" s="230">
        <f>BX6+BY6</f>
        <v/>
      </c>
      <c r="CA6" s="230">
        <f>SUM(CA7:CA9)</f>
        <v/>
      </c>
      <c r="CB6" s="230">
        <f>SUM(CB7:CB9)</f>
        <v/>
      </c>
      <c r="CC6" s="230">
        <f>CA6+CB6</f>
        <v/>
      </c>
      <c r="CD6" s="231">
        <f>CC6-BZ6</f>
        <v/>
      </c>
      <c r="CE6" s="232">
        <f>IF(BZ6=0,"",CC6/BZ6)</f>
        <v/>
      </c>
      <c r="CF6" s="25" t="n"/>
      <c r="CG6" s="227">
        <f>SUM(CG7:CG9)</f>
        <v/>
      </c>
      <c r="CH6" s="227">
        <f>SUM(CH7:CH9)</f>
        <v/>
      </c>
      <c r="CI6" s="227">
        <f>CG6+CH6</f>
        <v/>
      </c>
      <c r="CJ6" s="227">
        <f>SUM(CJ7:CJ9)</f>
        <v/>
      </c>
      <c r="CK6" s="227">
        <f>SUM(CK7:CK9)</f>
        <v/>
      </c>
      <c r="CL6" s="227">
        <f>CJ6+CK6</f>
        <v/>
      </c>
      <c r="CM6" s="228">
        <f>CL6-CI6</f>
        <v/>
      </c>
      <c r="CN6" s="229">
        <f>IF(CI6=0,"",CL6/CI6)</f>
        <v/>
      </c>
      <c r="CO6" s="18" t="n"/>
      <c r="CP6" s="230">
        <f>SUM(CP7:CP9)</f>
        <v/>
      </c>
      <c r="CQ6" s="230">
        <f>SUM(CQ7:CQ9)</f>
        <v/>
      </c>
      <c r="CR6" s="230">
        <f>CP6+CQ6</f>
        <v/>
      </c>
      <c r="CS6" s="230">
        <f>SUM(CS7:CS9)</f>
        <v/>
      </c>
      <c r="CT6" s="230">
        <f>SUM(CT7:CT9)</f>
        <v/>
      </c>
      <c r="CU6" s="230">
        <f>CS6+CT6</f>
        <v/>
      </c>
      <c r="CV6" s="231">
        <f>CU6-CR6</f>
        <v/>
      </c>
      <c r="CW6" s="232">
        <f>IF(CR6=0,"",CU6/CR6)</f>
        <v/>
      </c>
      <c r="CX6" s="25" t="n"/>
      <c r="CY6" s="227">
        <f>SUM(CY7:CY9)</f>
        <v/>
      </c>
      <c r="CZ6" s="227">
        <f>SUM(CZ7:CZ9)</f>
        <v/>
      </c>
      <c r="DA6" s="227">
        <f>CY6+CZ6</f>
        <v/>
      </c>
      <c r="DB6" s="227">
        <f>SUM(DB7:DB9)</f>
        <v/>
      </c>
      <c r="DC6" s="227">
        <f>SUM(DC7:DC9)</f>
        <v/>
      </c>
      <c r="DD6" s="227">
        <f>DB6+DC6</f>
        <v/>
      </c>
      <c r="DE6" s="228">
        <f>DD6-DA6</f>
        <v/>
      </c>
      <c r="DF6" s="229">
        <f>IF(DA6=0,"",DD6/DA6)</f>
        <v/>
      </c>
      <c r="DG6" s="18" t="n"/>
      <c r="DH6" s="230">
        <f>SUM(DH7:DH9)</f>
        <v/>
      </c>
      <c r="DI6" s="230">
        <f>SUM(DI7:DI9)</f>
        <v/>
      </c>
      <c r="DJ6" s="230">
        <f>DH6+DI6</f>
        <v/>
      </c>
      <c r="DK6" s="230">
        <f>SUM(DK7:DK9)</f>
        <v/>
      </c>
      <c r="DL6" s="230">
        <f>SUM(DL7:DL9)</f>
        <v/>
      </c>
      <c r="DM6" s="230">
        <f>DK6+DL6</f>
        <v/>
      </c>
      <c r="DN6" s="231">
        <f>DM6-DJ6</f>
        <v/>
      </c>
      <c r="DO6" s="232">
        <f>IF(DJ6=0,"",DM6/DJ6)</f>
        <v/>
      </c>
      <c r="DP6" s="25" t="n"/>
      <c r="DQ6" s="227">
        <f>SUM(DQ7:DQ9)</f>
        <v/>
      </c>
      <c r="DR6" s="227">
        <f>SUM(DR7:DR9)</f>
        <v/>
      </c>
      <c r="DS6" s="227">
        <f>DQ6+DR6</f>
        <v/>
      </c>
      <c r="DT6" s="227">
        <f>SUM(DT7:DT9)</f>
        <v/>
      </c>
      <c r="DU6" s="227">
        <f>SUM(DU7:DU9)</f>
        <v/>
      </c>
      <c r="DV6" s="227">
        <f>DT6+DU6</f>
        <v/>
      </c>
      <c r="DW6" s="228">
        <f>DV6-DS6</f>
        <v/>
      </c>
      <c r="DX6" s="229">
        <f>IF(DS6=0,"",DV6/DS6)</f>
        <v/>
      </c>
      <c r="DY6" s="18" t="n"/>
      <c r="DZ6" s="230">
        <f>SUM(DZ7:DZ9)</f>
        <v/>
      </c>
      <c r="EA6" s="230">
        <f>SUM(EA7:EA9)</f>
        <v/>
      </c>
      <c r="EB6" s="230">
        <f>DZ6+EA6</f>
        <v/>
      </c>
      <c r="EC6" s="230">
        <f>SUM(EC7:EC9)</f>
        <v/>
      </c>
      <c r="ED6" s="230">
        <f>SUM(ED7:ED9)</f>
        <v/>
      </c>
      <c r="EE6" s="230">
        <f>EC6+ED6</f>
        <v/>
      </c>
      <c r="EF6" s="231">
        <f>EE6-EB6</f>
        <v/>
      </c>
      <c r="EG6" s="232">
        <f>IF(EB6=0,"",EE6/EB6)</f>
        <v/>
      </c>
      <c r="EH6" s="25" t="n"/>
      <c r="EI6" s="227">
        <f>SUM(EI7:EI9)</f>
        <v/>
      </c>
      <c r="EJ6" s="227">
        <f>SUM(EJ7:EJ9)</f>
        <v/>
      </c>
      <c r="EK6" s="227">
        <f>EI6+EJ6</f>
        <v/>
      </c>
      <c r="EL6" s="227">
        <f>SUM(EL7:EL9)</f>
        <v/>
      </c>
      <c r="EM6" s="227">
        <f>SUM(EM7:EM9)</f>
        <v/>
      </c>
      <c r="EN6" s="227">
        <f>EL6+EM6</f>
        <v/>
      </c>
      <c r="EO6" s="228">
        <f>EN6-EK6</f>
        <v/>
      </c>
      <c r="EP6" s="229">
        <f>IF(EK6=0,"",EN6/EK6)</f>
        <v/>
      </c>
      <c r="EQ6" s="18" t="n"/>
      <c r="ER6" s="230">
        <f>SUM(ER7:ER9)</f>
        <v/>
      </c>
      <c r="ES6" s="230">
        <f>SUM(ES7:ES9)</f>
        <v/>
      </c>
      <c r="ET6" s="230">
        <f>ER6+ES6</f>
        <v/>
      </c>
      <c r="EU6" s="230">
        <f>SUM(EU7:EU9)</f>
        <v/>
      </c>
      <c r="EV6" s="230">
        <f>SUM(EV7:EV9)</f>
        <v/>
      </c>
      <c r="EW6" s="230">
        <f>EU6+EV6</f>
        <v/>
      </c>
      <c r="EX6" s="231">
        <f>EW6-ET6</f>
        <v/>
      </c>
      <c r="EY6" s="232">
        <f>IF(ET6=0,"",EW6/ET6)</f>
        <v/>
      </c>
      <c r="EZ6" s="25" t="n"/>
      <c r="FA6" s="227">
        <f>SUM(FA7:FA9)</f>
        <v/>
      </c>
      <c r="FB6" s="227">
        <f>SUM(FB7:FB9)</f>
        <v/>
      </c>
      <c r="FC6" s="227">
        <f>FA6+FB6</f>
        <v/>
      </c>
      <c r="FD6" s="227">
        <f>SUM(FD7:FD9)</f>
        <v/>
      </c>
      <c r="FE6" s="227">
        <f>SUM(FE7:FE9)</f>
        <v/>
      </c>
      <c r="FF6" s="227">
        <f>FD6+FE6</f>
        <v/>
      </c>
      <c r="FG6" s="228">
        <f>FF6-FC6</f>
        <v/>
      </c>
      <c r="FH6" s="229">
        <f>IF(FC6=0,"",FF6/FC6)</f>
        <v/>
      </c>
      <c r="FI6" s="18" t="n"/>
      <c r="FJ6" s="230">
        <f>SUM(FJ7:FJ9)</f>
        <v/>
      </c>
      <c r="FK6" s="230">
        <f>SUM(FK7:FK9)</f>
        <v/>
      </c>
      <c r="FL6" s="230">
        <f>FJ6+FK6</f>
        <v/>
      </c>
      <c r="FM6" s="230">
        <f>SUM(FM7:FM9)</f>
        <v/>
      </c>
      <c r="FN6" s="230">
        <f>SUM(FN7:FN9)</f>
        <v/>
      </c>
      <c r="FO6" s="230">
        <f>FM6+FN6</f>
        <v/>
      </c>
      <c r="FP6" s="231">
        <f>FO6-FL6</f>
        <v/>
      </c>
      <c r="FQ6" s="232">
        <f>IF(FL6=0,"",FO6/FL6)</f>
        <v/>
      </c>
      <c r="FR6" s="25" t="n"/>
      <c r="FS6" s="227">
        <f>SUM(FS7:FS9)</f>
        <v/>
      </c>
      <c r="FT6" s="227">
        <f>SUM(FT7:FT9)</f>
        <v/>
      </c>
      <c r="FU6" s="227">
        <f>FS6+FT6</f>
        <v/>
      </c>
      <c r="FV6" s="227">
        <f>SUM(FV7:FV9)</f>
        <v/>
      </c>
      <c r="FW6" s="227">
        <f>SUM(FW7:FW9)</f>
        <v/>
      </c>
      <c r="FX6" s="227">
        <f>FV6+FW6</f>
        <v/>
      </c>
      <c r="FY6" s="228">
        <f>FX6-FU6</f>
        <v/>
      </c>
      <c r="FZ6" s="229">
        <f>IF(FU6=0,"",FX6/FU6)</f>
        <v/>
      </c>
      <c r="GA6" s="18" t="n"/>
      <c r="GB6" s="230">
        <f>SUM(GB7:GB9)</f>
        <v/>
      </c>
      <c r="GC6" s="230">
        <f>SUM(GC7:GC9)</f>
        <v/>
      </c>
      <c r="GD6" s="230">
        <f>GB6+GC6</f>
        <v/>
      </c>
      <c r="GE6" s="230">
        <f>SUM(GE7:GE9)</f>
        <v/>
      </c>
      <c r="GF6" s="230">
        <f>SUM(GF7:GF9)</f>
        <v/>
      </c>
      <c r="GG6" s="230">
        <f>GE6+GF6</f>
        <v/>
      </c>
      <c r="GH6" s="231">
        <f>GG6-GD6</f>
        <v/>
      </c>
      <c r="GI6" s="232">
        <f>IF(GD6=0,"",GG6/GD6)</f>
        <v/>
      </c>
      <c r="GJ6" s="25" t="n"/>
      <c r="GK6" s="227">
        <f>SUM(GK7:GK9)</f>
        <v/>
      </c>
      <c r="GL6" s="227">
        <f>SUM(GL7:GL9)</f>
        <v/>
      </c>
      <c r="GM6" s="227">
        <f>GK6+GL6</f>
        <v/>
      </c>
      <c r="GN6" s="227">
        <f>SUM(GN7:GN9)</f>
        <v/>
      </c>
      <c r="GO6" s="227">
        <f>SUM(GO7:GO9)</f>
        <v/>
      </c>
      <c r="GP6" s="227">
        <f>GN6+GO6</f>
        <v/>
      </c>
      <c r="GQ6" s="228">
        <f>GP6-GM6</f>
        <v/>
      </c>
      <c r="GR6" s="229">
        <f>IF(GM6=0,"",GP6/GM6)</f>
        <v/>
      </c>
      <c r="GS6" s="18" t="n"/>
      <c r="GT6" s="230">
        <f>SUM(GT7:GT9)</f>
        <v/>
      </c>
      <c r="GU6" s="230">
        <f>SUM(GU7:GU9)</f>
        <v/>
      </c>
      <c r="GV6" s="230">
        <f>GT6+GU6</f>
        <v/>
      </c>
      <c r="GW6" s="230">
        <f>SUM(GW7:GW9)</f>
        <v/>
      </c>
      <c r="GX6" s="230">
        <f>SUM(GX7:GX9)</f>
        <v/>
      </c>
      <c r="GY6" s="230">
        <f>GW6+GX6</f>
        <v/>
      </c>
      <c r="GZ6" s="231">
        <f>GY6-GV6</f>
        <v/>
      </c>
      <c r="HA6" s="232">
        <f>IF(GV6=0,"",GY6/GV6)</f>
        <v/>
      </c>
      <c r="HB6" s="25" t="n"/>
      <c r="HC6" s="227">
        <f>GT6</f>
        <v/>
      </c>
      <c r="HD6" s="227">
        <f>GU6</f>
        <v/>
      </c>
      <c r="HE6" s="227">
        <f>HC6+HD6</f>
        <v/>
      </c>
    </row>
    <row r="7" outlineLevel="1" ht="36" customHeight="1" s="150">
      <c r="A7" s="26" t="n"/>
      <c r="B7" s="26" t="n"/>
      <c r="C7" s="26" t="n"/>
      <c r="D7" s="233" t="n"/>
      <c r="E7" s="233" t="n"/>
      <c r="F7" s="233">
        <f>D7+E7</f>
        <v/>
      </c>
      <c r="G7" s="233" t="n"/>
      <c r="H7" s="233" t="n"/>
      <c r="I7" s="233">
        <f>G7+H7</f>
        <v/>
      </c>
      <c r="J7" s="234">
        <f>I7-F7</f>
        <v/>
      </c>
      <c r="K7" s="235">
        <f>IF(F7=0,"",I7/F7)</f>
        <v/>
      </c>
      <c r="L7" s="42" t="n"/>
      <c r="M7" s="233" t="n"/>
      <c r="N7" s="233" t="n"/>
      <c r="O7" s="233">
        <f>M7+N7</f>
        <v/>
      </c>
      <c r="P7" s="233" t="n"/>
      <c r="Q7" s="233" t="n"/>
      <c r="R7" s="233">
        <f>P7+Q7</f>
        <v/>
      </c>
      <c r="S7" s="234">
        <f>R7-O7</f>
        <v/>
      </c>
      <c r="T7" s="235">
        <f>IF(O7=0,"",R7/O7)</f>
        <v/>
      </c>
      <c r="U7" s="26" t="n"/>
      <c r="V7" s="236">
        <f>D7+M7</f>
        <v/>
      </c>
      <c r="W7" s="236">
        <f>E7+N7</f>
        <v/>
      </c>
      <c r="X7" s="236">
        <f>V7+W7</f>
        <v/>
      </c>
      <c r="Y7" s="236">
        <f>G7+P7</f>
        <v/>
      </c>
      <c r="Z7" s="236">
        <f>H7+Q7</f>
        <v/>
      </c>
      <c r="AA7" s="236">
        <f>Y7+Z7</f>
        <v/>
      </c>
      <c r="AB7" s="234">
        <f>AA7-X7</f>
        <v/>
      </c>
      <c r="AC7" s="237">
        <f>IF(X7=0,"",AA7/X7)</f>
        <v/>
      </c>
      <c r="AD7" s="44" t="n"/>
      <c r="AE7" s="233" t="n"/>
      <c r="AF7" s="233" t="n"/>
      <c r="AG7" s="233">
        <f>AE7+AF7</f>
        <v/>
      </c>
      <c r="AH7" s="233" t="n"/>
      <c r="AI7" s="233" t="n"/>
      <c r="AJ7" s="233">
        <f>AH7+AI7</f>
        <v/>
      </c>
      <c r="AK7" s="234">
        <f>AJ7-AG7</f>
        <v/>
      </c>
      <c r="AL7" s="235">
        <f>IF(AG7=0,"",AJ7/AG7)</f>
        <v/>
      </c>
      <c r="AM7" s="26" t="n"/>
      <c r="AN7" s="236">
        <f>V7+AE7</f>
        <v/>
      </c>
      <c r="AO7" s="236">
        <f>W7+AF7</f>
        <v/>
      </c>
      <c r="AP7" s="236">
        <f>AN7+AO7</f>
        <v/>
      </c>
      <c r="AQ7" s="236">
        <f>Y7+AH7</f>
        <v/>
      </c>
      <c r="AR7" s="236">
        <f>Z7+AI7</f>
        <v/>
      </c>
      <c r="AS7" s="236">
        <f>AQ7+AR7</f>
        <v/>
      </c>
      <c r="AT7" s="234">
        <f>AS7-AP7</f>
        <v/>
      </c>
      <c r="AU7" s="237">
        <f>IF(AP7=0,"",AS7/AP7)</f>
        <v/>
      </c>
      <c r="AV7" s="44" t="n"/>
      <c r="AW7" s="233" t="n"/>
      <c r="AX7" s="233" t="n"/>
      <c r="AY7" s="233">
        <f>AW7+AX7</f>
        <v/>
      </c>
      <c r="AZ7" s="233" t="n"/>
      <c r="BA7" s="233" t="n"/>
      <c r="BB7" s="233">
        <f>AZ7+BA7</f>
        <v/>
      </c>
      <c r="BC7" s="238">
        <f>BB7-AY7</f>
        <v/>
      </c>
      <c r="BD7" s="235">
        <f>IF(AY7=0,"",BB7/AY7)</f>
        <v/>
      </c>
      <c r="BE7" s="26" t="n"/>
      <c r="BF7" s="236">
        <f>AN7+AW7</f>
        <v/>
      </c>
      <c r="BG7" s="236">
        <f>AO7+AX7</f>
        <v/>
      </c>
      <c r="BH7" s="236">
        <f>BF7+BG7</f>
        <v/>
      </c>
      <c r="BI7" s="236">
        <f>AQ7+AZ7</f>
        <v/>
      </c>
      <c r="BJ7" s="236">
        <f>AR7+BA7</f>
        <v/>
      </c>
      <c r="BK7" s="236">
        <f>BI7+BJ7</f>
        <v/>
      </c>
      <c r="BL7" s="239">
        <f>BK7-BH7</f>
        <v/>
      </c>
      <c r="BM7" s="237">
        <f>IF(BH7=0,"",BK7/BH7)</f>
        <v/>
      </c>
      <c r="BN7" s="33" t="n"/>
      <c r="BO7" s="233" t="n"/>
      <c r="BP7" s="233" t="n"/>
      <c r="BQ7" s="233">
        <f>BO7+BP7</f>
        <v/>
      </c>
      <c r="BR7" s="233" t="n"/>
      <c r="BS7" s="233" t="n"/>
      <c r="BT7" s="233">
        <f>BR7+BS7</f>
        <v/>
      </c>
      <c r="BU7" s="238">
        <f>BT7-BQ7</f>
        <v/>
      </c>
      <c r="BV7" s="235">
        <f>IF(BQ7=0,"",BT7/BQ7)</f>
        <v/>
      </c>
      <c r="BW7" s="26" t="n"/>
      <c r="BX7" s="236">
        <f>BF7+BO7</f>
        <v/>
      </c>
      <c r="BY7" s="236">
        <f>BG7+BP7</f>
        <v/>
      </c>
      <c r="BZ7" s="236">
        <f>BX7+BY7</f>
        <v/>
      </c>
      <c r="CA7" s="236">
        <f>BI7+BR7</f>
        <v/>
      </c>
      <c r="CB7" s="236">
        <f>BJ7+BS7</f>
        <v/>
      </c>
      <c r="CC7" s="236">
        <f>CA7+CB7</f>
        <v/>
      </c>
      <c r="CD7" s="239">
        <f>CC7-BZ7</f>
        <v/>
      </c>
      <c r="CE7" s="237">
        <f>IF(BZ7=0,"",CC7/BZ7)</f>
        <v/>
      </c>
      <c r="CF7" s="33" t="n"/>
      <c r="CG7" s="233" t="n"/>
      <c r="CH7" s="233" t="n"/>
      <c r="CI7" s="233">
        <f>CG7+CH7</f>
        <v/>
      </c>
      <c r="CJ7" s="233" t="n"/>
      <c r="CK7" s="233" t="n"/>
      <c r="CL7" s="233">
        <f>CJ7+CK7</f>
        <v/>
      </c>
      <c r="CM7" s="238">
        <f>CL7-CI7</f>
        <v/>
      </c>
      <c r="CN7" s="235">
        <f>IF(CI7=0,"",CL7/CI7)</f>
        <v/>
      </c>
      <c r="CO7" s="26" t="n"/>
      <c r="CP7" s="236">
        <f>BX7+CG7</f>
        <v/>
      </c>
      <c r="CQ7" s="236">
        <f>BY7+CH7</f>
        <v/>
      </c>
      <c r="CR7" s="236">
        <f>CP7+CQ7</f>
        <v/>
      </c>
      <c r="CS7" s="236">
        <f>CA7+CJ7</f>
        <v/>
      </c>
      <c r="CT7" s="236">
        <f>CB7+CK7</f>
        <v/>
      </c>
      <c r="CU7" s="236">
        <f>CS7+CT7</f>
        <v/>
      </c>
      <c r="CV7" s="239">
        <f>CU7-CR7</f>
        <v/>
      </c>
      <c r="CW7" s="237">
        <f>IF(CR7=0,"",CU7/CR7)</f>
        <v/>
      </c>
      <c r="CX7" s="33" t="n"/>
      <c r="CY7" s="233" t="n"/>
      <c r="CZ7" s="233" t="n"/>
      <c r="DA7" s="233">
        <f>CY7+CZ7</f>
        <v/>
      </c>
      <c r="DB7" s="233" t="n"/>
      <c r="DC7" s="233" t="n"/>
      <c r="DD7" s="233">
        <f>DB7+DC7</f>
        <v/>
      </c>
      <c r="DE7" s="238">
        <f>DD7-DA7</f>
        <v/>
      </c>
      <c r="DF7" s="235">
        <f>IF(DA7=0,"",DD7/DA7)</f>
        <v/>
      </c>
      <c r="DG7" s="26" t="n"/>
      <c r="DH7" s="236">
        <f>CP7+CY7</f>
        <v/>
      </c>
      <c r="DI7" s="236">
        <f>CQ7+CZ7</f>
        <v/>
      </c>
      <c r="DJ7" s="236">
        <f>DH7+DI7</f>
        <v/>
      </c>
      <c r="DK7" s="236">
        <f>CS7+DB7</f>
        <v/>
      </c>
      <c r="DL7" s="236">
        <f>CT7+DC7</f>
        <v/>
      </c>
      <c r="DM7" s="236">
        <f>DK7+DL7</f>
        <v/>
      </c>
      <c r="DN7" s="239">
        <f>DM7-DJ7</f>
        <v/>
      </c>
      <c r="DO7" s="237">
        <f>IF(DJ7=0,"",DM7/DJ7)</f>
        <v/>
      </c>
      <c r="DP7" s="33" t="n"/>
      <c r="DQ7" s="233" t="n"/>
      <c r="DR7" s="233" t="n"/>
      <c r="DS7" s="233">
        <f>DQ7+DR7</f>
        <v/>
      </c>
      <c r="DT7" s="233" t="n"/>
      <c r="DU7" s="233" t="n"/>
      <c r="DV7" s="233">
        <f>DT7+DU7</f>
        <v/>
      </c>
      <c r="DW7" s="238">
        <f>DV7-DS7</f>
        <v/>
      </c>
      <c r="DX7" s="235">
        <f>IF(DS7=0,"",DV7/DS7)</f>
        <v/>
      </c>
      <c r="DY7" s="26" t="n"/>
      <c r="DZ7" s="236">
        <f>DH7+DQ7</f>
        <v/>
      </c>
      <c r="EA7" s="236">
        <f>DI7+DR7</f>
        <v/>
      </c>
      <c r="EB7" s="236">
        <f>DZ7+EA7</f>
        <v/>
      </c>
      <c r="EC7" s="236">
        <f>DK7+DT7</f>
        <v/>
      </c>
      <c r="ED7" s="236">
        <f>DL7+DU7</f>
        <v/>
      </c>
      <c r="EE7" s="236">
        <f>EC7+ED7</f>
        <v/>
      </c>
      <c r="EF7" s="239">
        <f>EE7-EB7</f>
        <v/>
      </c>
      <c r="EG7" s="237">
        <f>IF(EB7=0,"",EE7/EB7)</f>
        <v/>
      </c>
      <c r="EH7" s="33" t="n"/>
      <c r="EI7" s="233" t="n"/>
      <c r="EJ7" s="233" t="n"/>
      <c r="EK7" s="233">
        <f>EI7+EJ7</f>
        <v/>
      </c>
      <c r="EL7" s="233" t="n"/>
      <c r="EM7" s="233" t="n"/>
      <c r="EN7" s="233">
        <f>EL7+EM7</f>
        <v/>
      </c>
      <c r="EO7" s="238">
        <f>EN7-EK7</f>
        <v/>
      </c>
      <c r="EP7" s="235">
        <f>IF(EK7=0,"",EN7/EK7)</f>
        <v/>
      </c>
      <c r="EQ7" s="26" t="n"/>
      <c r="ER7" s="236">
        <f>DZ7+EI7</f>
        <v/>
      </c>
      <c r="ES7" s="236">
        <f>EA7+EJ7</f>
        <v/>
      </c>
      <c r="ET7" s="236">
        <f>ER7+ES7</f>
        <v/>
      </c>
      <c r="EU7" s="236">
        <f>EC7+EL7</f>
        <v/>
      </c>
      <c r="EV7" s="236">
        <f>ED7+EM7</f>
        <v/>
      </c>
      <c r="EW7" s="236">
        <f>EU7+EV7</f>
        <v/>
      </c>
      <c r="EX7" s="239">
        <f>EW7-ET7</f>
        <v/>
      </c>
      <c r="EY7" s="237">
        <f>IF(ET7=0,"",EW7/ET7)</f>
        <v/>
      </c>
      <c r="EZ7" s="33" t="n"/>
      <c r="FA7" s="233" t="n"/>
      <c r="FB7" s="233" t="n"/>
      <c r="FC7" s="233">
        <f>FA7+FB7</f>
        <v/>
      </c>
      <c r="FD7" s="233" t="n"/>
      <c r="FE7" s="233" t="n"/>
      <c r="FF7" s="233">
        <f>FD7+FE7</f>
        <v/>
      </c>
      <c r="FG7" s="238">
        <f>FF7-FC7</f>
        <v/>
      </c>
      <c r="FH7" s="235">
        <f>IF(FC7=0,"",FF7/FC7)</f>
        <v/>
      </c>
      <c r="FI7" s="26" t="n"/>
      <c r="FJ7" s="236">
        <f>ER7+FA7</f>
        <v/>
      </c>
      <c r="FK7" s="236">
        <f>ES7+FB7</f>
        <v/>
      </c>
      <c r="FL7" s="236">
        <f>FJ7+FK7</f>
        <v/>
      </c>
      <c r="FM7" s="236">
        <f>EU7+FD7</f>
        <v/>
      </c>
      <c r="FN7" s="236">
        <f>EV7+FE7</f>
        <v/>
      </c>
      <c r="FO7" s="236">
        <f>FM7+FN7</f>
        <v/>
      </c>
      <c r="FP7" s="239">
        <f>FO7-FL7</f>
        <v/>
      </c>
      <c r="FQ7" s="237">
        <f>IF(FL7=0,"",FO7/FL7)</f>
        <v/>
      </c>
      <c r="FR7" s="33" t="n"/>
      <c r="FS7" s="233" t="n"/>
      <c r="FT7" s="233" t="n"/>
      <c r="FU7" s="233">
        <f>FS7+FT7</f>
        <v/>
      </c>
      <c r="FV7" s="233" t="n"/>
      <c r="FW7" s="233" t="n"/>
      <c r="FX7" s="233">
        <f>FV7+FW7</f>
        <v/>
      </c>
      <c r="FY7" s="238">
        <f>FX7-FU7</f>
        <v/>
      </c>
      <c r="FZ7" s="235">
        <f>IF(FU7=0,"",FX7/FU7)</f>
        <v/>
      </c>
      <c r="GA7" s="26" t="n"/>
      <c r="GB7" s="236">
        <f>FJ7+FS7</f>
        <v/>
      </c>
      <c r="GC7" s="236">
        <f>FK7+FT7</f>
        <v/>
      </c>
      <c r="GD7" s="236">
        <f>GB7+GC7</f>
        <v/>
      </c>
      <c r="GE7" s="236">
        <f>FM7+FV7</f>
        <v/>
      </c>
      <c r="GF7" s="236">
        <f>FN7+FW7</f>
        <v/>
      </c>
      <c r="GG7" s="236">
        <f>GE7+GF7</f>
        <v/>
      </c>
      <c r="GH7" s="239">
        <f>GG7-GD7</f>
        <v/>
      </c>
      <c r="GI7" s="237">
        <f>IF(GD7=0,"",GG7/GD7)</f>
        <v/>
      </c>
      <c r="GJ7" s="33" t="n"/>
      <c r="GK7" s="233" t="n"/>
      <c r="GL7" s="233" t="n"/>
      <c r="GM7" s="233">
        <f>GK7+GL7</f>
        <v/>
      </c>
      <c r="GN7" s="233" t="n"/>
      <c r="GO7" s="233" t="n"/>
      <c r="GP7" s="233">
        <f>GN7+GO7</f>
        <v/>
      </c>
      <c r="GQ7" s="238">
        <f>GP7-GM7</f>
        <v/>
      </c>
      <c r="GR7" s="235">
        <f>IF(GM7=0,"",GP7/GM7)</f>
        <v/>
      </c>
      <c r="GS7" s="26" t="n"/>
      <c r="GT7" s="236">
        <f>GB7+GK7</f>
        <v/>
      </c>
      <c r="GU7" s="236">
        <f>GC7+GL7</f>
        <v/>
      </c>
      <c r="GV7" s="236">
        <f>GT7+GU7</f>
        <v/>
      </c>
      <c r="GW7" s="236">
        <f>GE7+GN7</f>
        <v/>
      </c>
      <c r="GX7" s="236">
        <f>GF7+GO7</f>
        <v/>
      </c>
      <c r="GY7" s="236">
        <f>GW7+GX7</f>
        <v/>
      </c>
      <c r="GZ7" s="239">
        <f>GY7-GV7</f>
        <v/>
      </c>
      <c r="HA7" s="237">
        <f>IF(GV7=0,"",GY7/GV7)</f>
        <v/>
      </c>
      <c r="HB7" s="33" t="n"/>
      <c r="HC7" s="233">
        <f>GT7</f>
        <v/>
      </c>
      <c r="HD7" s="233">
        <f>GU7</f>
        <v/>
      </c>
      <c r="HE7" s="233">
        <f>HC7+HD7</f>
        <v/>
      </c>
    </row>
    <row r="8" outlineLevel="1" ht="15" customHeight="1" s="150">
      <c r="A8" s="26" t="n"/>
      <c r="B8" s="26" t="n"/>
      <c r="C8" s="26" t="n"/>
      <c r="D8" s="233" t="n"/>
      <c r="E8" s="233" t="n"/>
      <c r="F8" s="233">
        <f>D8+E8</f>
        <v/>
      </c>
      <c r="G8" s="233" t="n"/>
      <c r="H8" s="233" t="n"/>
      <c r="I8" s="233">
        <f>G8+H8</f>
        <v/>
      </c>
      <c r="J8" s="238">
        <f>I8-F8</f>
        <v/>
      </c>
      <c r="K8" s="235">
        <f>IF(F8=0,"",I8/F8)</f>
        <v/>
      </c>
      <c r="L8" s="26" t="n"/>
      <c r="M8" s="233" t="n"/>
      <c r="N8" s="233" t="n"/>
      <c r="O8" s="233">
        <f>M8+N8</f>
        <v/>
      </c>
      <c r="P8" s="233" t="n"/>
      <c r="Q8" s="233" t="n"/>
      <c r="R8" s="233">
        <f>P8+Q8</f>
        <v/>
      </c>
      <c r="S8" s="238">
        <f>R8-O8</f>
        <v/>
      </c>
      <c r="T8" s="235">
        <f>IF(O8=0,"",R8/O8)</f>
        <v/>
      </c>
      <c r="U8" s="26" t="n"/>
      <c r="V8" s="236">
        <f>D8+M8</f>
        <v/>
      </c>
      <c r="W8" s="236">
        <f>E8+N8</f>
        <v/>
      </c>
      <c r="X8" s="236">
        <f>V8+W8</f>
        <v/>
      </c>
      <c r="Y8" s="236">
        <f>G8+P8</f>
        <v/>
      </c>
      <c r="Z8" s="236">
        <f>H8+Q8</f>
        <v/>
      </c>
      <c r="AA8" s="236">
        <f>Y8+Z8</f>
        <v/>
      </c>
      <c r="AB8" s="239">
        <f>AA8-X8</f>
        <v/>
      </c>
      <c r="AC8" s="237">
        <f>IF(X8=0,"",AA8/X8)</f>
        <v/>
      </c>
      <c r="AD8" s="33" t="n"/>
      <c r="AE8" s="233" t="n"/>
      <c r="AF8" s="233" t="n"/>
      <c r="AG8" s="233">
        <f>AE8+AF8</f>
        <v/>
      </c>
      <c r="AH8" s="233" t="n"/>
      <c r="AI8" s="233" t="n"/>
      <c r="AJ8" s="233">
        <f>AH8+AI8</f>
        <v/>
      </c>
      <c r="AK8" s="238">
        <f>AJ8-AG8</f>
        <v/>
      </c>
      <c r="AL8" s="235">
        <f>IF(AG8=0,"",AJ8/AG8)</f>
        <v/>
      </c>
      <c r="AM8" s="26" t="n"/>
      <c r="AN8" s="236">
        <f>V8+AE8</f>
        <v/>
      </c>
      <c r="AO8" s="236">
        <f>W8+AF8</f>
        <v/>
      </c>
      <c r="AP8" s="236">
        <f>AN8+AO8</f>
        <v/>
      </c>
      <c r="AQ8" s="236">
        <f>Y8+AH8</f>
        <v/>
      </c>
      <c r="AR8" s="236">
        <f>Z8+AI8</f>
        <v/>
      </c>
      <c r="AS8" s="236">
        <f>AQ8+AR8</f>
        <v/>
      </c>
      <c r="AT8" s="239">
        <f>AS8-AP8</f>
        <v/>
      </c>
      <c r="AU8" s="237">
        <f>IF(AP8=0,"",AS8/AP8)</f>
        <v/>
      </c>
      <c r="AV8" s="33" t="n"/>
      <c r="AW8" s="233" t="n"/>
      <c r="AX8" s="233" t="n"/>
      <c r="AY8" s="233">
        <f>AW8+AX8</f>
        <v/>
      </c>
      <c r="AZ8" s="233" t="n"/>
      <c r="BA8" s="233" t="n"/>
      <c r="BB8" s="233">
        <f>AZ8+BA8</f>
        <v/>
      </c>
      <c r="BC8" s="238">
        <f>BB8-AY8</f>
        <v/>
      </c>
      <c r="BD8" s="235">
        <f>IF(AY8=0,"",BB8/AY8)</f>
        <v/>
      </c>
      <c r="BE8" s="26" t="n"/>
      <c r="BF8" s="236">
        <f>AN8+AW8</f>
        <v/>
      </c>
      <c r="BG8" s="236">
        <f>AO8+AX8</f>
        <v/>
      </c>
      <c r="BH8" s="236">
        <f>BF8+BG8</f>
        <v/>
      </c>
      <c r="BI8" s="236">
        <f>AQ8+AZ8</f>
        <v/>
      </c>
      <c r="BJ8" s="236">
        <f>AR8+BA8</f>
        <v/>
      </c>
      <c r="BK8" s="236">
        <f>BI8+BJ8</f>
        <v/>
      </c>
      <c r="BL8" s="239">
        <f>BK8-BH8</f>
        <v/>
      </c>
      <c r="BM8" s="237">
        <f>IF(BH8=0,"",BK8/BH8)</f>
        <v/>
      </c>
      <c r="BN8" s="33" t="n"/>
      <c r="BO8" s="233" t="n"/>
      <c r="BP8" s="233" t="n"/>
      <c r="BQ8" s="233">
        <f>BO8+BP8</f>
        <v/>
      </c>
      <c r="BR8" s="233" t="n"/>
      <c r="BS8" s="233" t="n"/>
      <c r="BT8" s="233">
        <f>BR8+BS8</f>
        <v/>
      </c>
      <c r="BU8" s="238">
        <f>BT8-BQ8</f>
        <v/>
      </c>
      <c r="BV8" s="235">
        <f>IF(BQ8=0,"",BT8/BQ8)</f>
        <v/>
      </c>
      <c r="BW8" s="26" t="n"/>
      <c r="BX8" s="236">
        <f>BF8+BO8</f>
        <v/>
      </c>
      <c r="BY8" s="236">
        <f>BG8+BP8</f>
        <v/>
      </c>
      <c r="BZ8" s="236">
        <f>BX8+BY8</f>
        <v/>
      </c>
      <c r="CA8" s="236">
        <f>BI8+BR8</f>
        <v/>
      </c>
      <c r="CB8" s="236">
        <f>BJ8+BS8</f>
        <v/>
      </c>
      <c r="CC8" s="236">
        <f>CA8+CB8</f>
        <v/>
      </c>
      <c r="CD8" s="239">
        <f>CC8-BZ8</f>
        <v/>
      </c>
      <c r="CE8" s="237">
        <f>IF(BZ8=0,"",CC8/BZ8)</f>
        <v/>
      </c>
      <c r="CF8" s="33" t="n"/>
      <c r="CG8" s="233" t="n"/>
      <c r="CH8" s="233" t="n"/>
      <c r="CI8" s="233">
        <f>CG8+CH8</f>
        <v/>
      </c>
      <c r="CJ8" s="233" t="n"/>
      <c r="CK8" s="233" t="n"/>
      <c r="CL8" s="233">
        <f>CJ8+CK8</f>
        <v/>
      </c>
      <c r="CM8" s="238">
        <f>CL8-CI8</f>
        <v/>
      </c>
      <c r="CN8" s="235">
        <f>IF(CI8=0,"",CL8/CI8)</f>
        <v/>
      </c>
      <c r="CO8" s="26" t="n"/>
      <c r="CP8" s="236">
        <f>BX8+CG8</f>
        <v/>
      </c>
      <c r="CQ8" s="236">
        <f>BY8+CH8</f>
        <v/>
      </c>
      <c r="CR8" s="236">
        <f>CP8+CQ8</f>
        <v/>
      </c>
      <c r="CS8" s="236">
        <f>CA8+CJ8</f>
        <v/>
      </c>
      <c r="CT8" s="236">
        <f>CB8+CK8</f>
        <v/>
      </c>
      <c r="CU8" s="236">
        <f>CS8+CT8</f>
        <v/>
      </c>
      <c r="CV8" s="239">
        <f>CU8-CR8</f>
        <v/>
      </c>
      <c r="CW8" s="237">
        <f>IF(CR8=0,"",CU8/CR8)</f>
        <v/>
      </c>
      <c r="CX8" s="33" t="n"/>
      <c r="CY8" s="233" t="n"/>
      <c r="CZ8" s="233" t="n"/>
      <c r="DA8" s="233">
        <f>CY8+CZ8</f>
        <v/>
      </c>
      <c r="DB8" s="233" t="n"/>
      <c r="DC8" s="233" t="n"/>
      <c r="DD8" s="233">
        <f>DB8+DC8</f>
        <v/>
      </c>
      <c r="DE8" s="238">
        <f>DD8-DA8</f>
        <v/>
      </c>
      <c r="DF8" s="235">
        <f>IF(DA8=0,"",DD8/DA8)</f>
        <v/>
      </c>
      <c r="DG8" s="26" t="n"/>
      <c r="DH8" s="236">
        <f>CP8+CY8</f>
        <v/>
      </c>
      <c r="DI8" s="236">
        <f>CQ8+CZ8</f>
        <v/>
      </c>
      <c r="DJ8" s="236">
        <f>DH8+DI8</f>
        <v/>
      </c>
      <c r="DK8" s="236">
        <f>CS8+DB8</f>
        <v/>
      </c>
      <c r="DL8" s="236">
        <f>CT8+DC8</f>
        <v/>
      </c>
      <c r="DM8" s="236">
        <f>DK8+DL8</f>
        <v/>
      </c>
      <c r="DN8" s="239">
        <f>DM8-DJ8</f>
        <v/>
      </c>
      <c r="DO8" s="237">
        <f>IF(DJ8=0,"",DM8/DJ8)</f>
        <v/>
      </c>
      <c r="DP8" s="33" t="n"/>
      <c r="DQ8" s="233" t="n"/>
      <c r="DR8" s="233" t="n"/>
      <c r="DS8" s="233">
        <f>DQ8+DR8</f>
        <v/>
      </c>
      <c r="DT8" s="233" t="n"/>
      <c r="DU8" s="233" t="n"/>
      <c r="DV8" s="233">
        <f>DT8+DU8</f>
        <v/>
      </c>
      <c r="DW8" s="238">
        <f>DV8-DS8</f>
        <v/>
      </c>
      <c r="DX8" s="235">
        <f>IF(DS8=0,"",DV8/DS8)</f>
        <v/>
      </c>
      <c r="DY8" s="26" t="n"/>
      <c r="DZ8" s="236">
        <f>DH8+DQ8</f>
        <v/>
      </c>
      <c r="EA8" s="236">
        <f>DI8+DR8</f>
        <v/>
      </c>
      <c r="EB8" s="236">
        <f>DZ8+EA8</f>
        <v/>
      </c>
      <c r="EC8" s="236">
        <f>DK8+DT8</f>
        <v/>
      </c>
      <c r="ED8" s="236">
        <f>DL8+DU8</f>
        <v/>
      </c>
      <c r="EE8" s="236">
        <f>EC8+ED8</f>
        <v/>
      </c>
      <c r="EF8" s="239">
        <f>EE8-EB8</f>
        <v/>
      </c>
      <c r="EG8" s="237">
        <f>IF(EB8=0,"",EE8/EB8)</f>
        <v/>
      </c>
      <c r="EH8" s="33" t="n"/>
      <c r="EI8" s="233" t="n"/>
      <c r="EJ8" s="233" t="n"/>
      <c r="EK8" s="233">
        <f>EI8+EJ8</f>
        <v/>
      </c>
      <c r="EL8" s="233" t="n"/>
      <c r="EM8" s="233" t="n"/>
      <c r="EN8" s="233">
        <f>EL8+EM8</f>
        <v/>
      </c>
      <c r="EO8" s="238">
        <f>EN8-EK8</f>
        <v/>
      </c>
      <c r="EP8" s="235">
        <f>IF(EK8=0,"",EN8/EK8)</f>
        <v/>
      </c>
      <c r="EQ8" s="26" t="n"/>
      <c r="ER8" s="236">
        <f>DZ8+EI8</f>
        <v/>
      </c>
      <c r="ES8" s="236">
        <f>EA8+EJ8</f>
        <v/>
      </c>
      <c r="ET8" s="236">
        <f>ER8+ES8</f>
        <v/>
      </c>
      <c r="EU8" s="236">
        <f>EC8+EL8</f>
        <v/>
      </c>
      <c r="EV8" s="236">
        <f>ED8+EM8</f>
        <v/>
      </c>
      <c r="EW8" s="236">
        <f>EU8+EV8</f>
        <v/>
      </c>
      <c r="EX8" s="239">
        <f>EW8-ET8</f>
        <v/>
      </c>
      <c r="EY8" s="237">
        <f>IF(ET8=0,"",EW8/ET8)</f>
        <v/>
      </c>
      <c r="EZ8" s="33" t="n"/>
      <c r="FA8" s="233" t="n"/>
      <c r="FB8" s="233" t="n"/>
      <c r="FC8" s="233">
        <f>FA8+FB8</f>
        <v/>
      </c>
      <c r="FD8" s="233" t="n"/>
      <c r="FE8" s="233" t="n"/>
      <c r="FF8" s="233">
        <f>FD8+FE8</f>
        <v/>
      </c>
      <c r="FG8" s="238">
        <f>FF8-FC8</f>
        <v/>
      </c>
      <c r="FH8" s="235">
        <f>IF(FC8=0,"",FF8/FC8)</f>
        <v/>
      </c>
      <c r="FI8" s="26" t="n"/>
      <c r="FJ8" s="236">
        <f>ER8+FA8</f>
        <v/>
      </c>
      <c r="FK8" s="236">
        <f>ES8+FB8</f>
        <v/>
      </c>
      <c r="FL8" s="236">
        <f>FJ8+FK8</f>
        <v/>
      </c>
      <c r="FM8" s="236">
        <f>EU8+FD8</f>
        <v/>
      </c>
      <c r="FN8" s="236">
        <f>EV8+FE8</f>
        <v/>
      </c>
      <c r="FO8" s="236">
        <f>FM8+FN8</f>
        <v/>
      </c>
      <c r="FP8" s="239">
        <f>FO8-FL8</f>
        <v/>
      </c>
      <c r="FQ8" s="237">
        <f>IF(FL8=0,"",FO8/FL8)</f>
        <v/>
      </c>
      <c r="FR8" s="33" t="n"/>
      <c r="FS8" s="233" t="n"/>
      <c r="FT8" s="233" t="n"/>
      <c r="FU8" s="233">
        <f>FS8+FT8</f>
        <v/>
      </c>
      <c r="FV8" s="233" t="n"/>
      <c r="FW8" s="233" t="n"/>
      <c r="FX8" s="233">
        <f>FV8+FW8</f>
        <v/>
      </c>
      <c r="FY8" s="238">
        <f>FX8-FU8</f>
        <v/>
      </c>
      <c r="FZ8" s="235">
        <f>IF(FU8=0,"",FX8/FU8)</f>
        <v/>
      </c>
      <c r="GA8" s="26" t="n"/>
      <c r="GB8" s="236">
        <f>FJ8+FS8</f>
        <v/>
      </c>
      <c r="GC8" s="236">
        <f>FK8+FT8</f>
        <v/>
      </c>
      <c r="GD8" s="236">
        <f>GB8+GC8</f>
        <v/>
      </c>
      <c r="GE8" s="236">
        <f>FM8+FV8</f>
        <v/>
      </c>
      <c r="GF8" s="236">
        <f>FN8+FW8</f>
        <v/>
      </c>
      <c r="GG8" s="236">
        <f>GE8+GF8</f>
        <v/>
      </c>
      <c r="GH8" s="239">
        <f>GG8-GD8</f>
        <v/>
      </c>
      <c r="GI8" s="237">
        <f>IF(GD8=0,"",GG8/GD8)</f>
        <v/>
      </c>
      <c r="GJ8" s="33" t="n"/>
      <c r="GK8" s="233" t="n"/>
      <c r="GL8" s="233" t="n"/>
      <c r="GM8" s="233">
        <f>GK8+GL8</f>
        <v/>
      </c>
      <c r="GN8" s="233" t="n"/>
      <c r="GO8" s="233" t="n"/>
      <c r="GP8" s="233">
        <f>GN8+GO8</f>
        <v/>
      </c>
      <c r="GQ8" s="238">
        <f>GP8-GM8</f>
        <v/>
      </c>
      <c r="GR8" s="235">
        <f>IF(GM8=0,"",GP8/GM8)</f>
        <v/>
      </c>
      <c r="GS8" s="26" t="n"/>
      <c r="GT8" s="236">
        <f>GB8+GK8</f>
        <v/>
      </c>
      <c r="GU8" s="236">
        <f>GC8+GL8</f>
        <v/>
      </c>
      <c r="GV8" s="236">
        <f>GT8+GU8</f>
        <v/>
      </c>
      <c r="GW8" s="236">
        <f>GE8+GN8</f>
        <v/>
      </c>
      <c r="GX8" s="236">
        <f>GF8+GO8</f>
        <v/>
      </c>
      <c r="GY8" s="236">
        <f>GW8+GX8</f>
        <v/>
      </c>
      <c r="GZ8" s="239">
        <f>GY8-GV8</f>
        <v/>
      </c>
      <c r="HA8" s="237">
        <f>IF(GV8=0,"",GY8/GV8)</f>
        <v/>
      </c>
      <c r="HB8" s="33" t="n"/>
      <c r="HC8" s="233">
        <f>GT8</f>
        <v/>
      </c>
      <c r="HD8" s="233">
        <f>GU8</f>
        <v/>
      </c>
      <c r="HE8" s="233">
        <f>HC8+HD8</f>
        <v/>
      </c>
    </row>
    <row r="9" outlineLevel="1" ht="24" customHeight="1" s="150">
      <c r="A9" s="26" t="n"/>
      <c r="B9" s="26" t="n"/>
      <c r="C9" s="26" t="n"/>
      <c r="D9" s="233" t="n"/>
      <c r="E9" s="233" t="n"/>
      <c r="F9" s="233">
        <f>D9+E9</f>
        <v/>
      </c>
      <c r="G9" s="233" t="n"/>
      <c r="H9" s="233" t="n"/>
      <c r="I9" s="233">
        <f>G9+H9</f>
        <v/>
      </c>
      <c r="J9" s="238">
        <f>I9-F9</f>
        <v/>
      </c>
      <c r="K9" s="235">
        <f>IF(F9=0,"",I9/F9)</f>
        <v/>
      </c>
      <c r="L9" s="42" t="n"/>
      <c r="M9" s="233" t="n"/>
      <c r="N9" s="233" t="n"/>
      <c r="O9" s="233">
        <f>M9+N9</f>
        <v/>
      </c>
      <c r="P9" s="233" t="n"/>
      <c r="Q9" s="233" t="n"/>
      <c r="R9" s="233">
        <f>P9+Q9</f>
        <v/>
      </c>
      <c r="S9" s="238">
        <f>R9-O9</f>
        <v/>
      </c>
      <c r="T9" s="235">
        <f>IF(O9=0,"",R9/O9)</f>
        <v/>
      </c>
      <c r="U9" s="26" t="n"/>
      <c r="V9" s="236">
        <f>D9+M9</f>
        <v/>
      </c>
      <c r="W9" s="236">
        <f>E9+N9</f>
        <v/>
      </c>
      <c r="X9" s="236">
        <f>V9+W9</f>
        <v/>
      </c>
      <c r="Y9" s="236">
        <f>G9+P9</f>
        <v/>
      </c>
      <c r="Z9" s="236">
        <f>H9+Q9</f>
        <v/>
      </c>
      <c r="AA9" s="236">
        <f>Y9+Z9</f>
        <v/>
      </c>
      <c r="AB9" s="234">
        <f>AA9-X9</f>
        <v/>
      </c>
      <c r="AC9" s="237">
        <f>IF(X9=0,"",AA9/X9)</f>
        <v/>
      </c>
      <c r="AD9" s="44" t="n"/>
      <c r="AE9" s="233" t="n"/>
      <c r="AF9" s="233" t="n"/>
      <c r="AG9" s="233">
        <f>AE9+AF9</f>
        <v/>
      </c>
      <c r="AH9" s="233" t="n"/>
      <c r="AI9" s="233" t="n"/>
      <c r="AJ9" s="233">
        <f>AH9+AI9</f>
        <v/>
      </c>
      <c r="AK9" s="238">
        <f>AJ9-AG9</f>
        <v/>
      </c>
      <c r="AL9" s="235">
        <f>IF(AG9=0,"",AJ9/AG9)</f>
        <v/>
      </c>
      <c r="AM9" s="26" t="n"/>
      <c r="AN9" s="236">
        <f>V9+AE9</f>
        <v/>
      </c>
      <c r="AO9" s="236">
        <f>W9+AF9</f>
        <v/>
      </c>
      <c r="AP9" s="236">
        <f>AN9+AO9</f>
        <v/>
      </c>
      <c r="AQ9" s="236">
        <f>Y9+AH9</f>
        <v/>
      </c>
      <c r="AR9" s="236">
        <f>Z9+AI9</f>
        <v/>
      </c>
      <c r="AS9" s="236">
        <f>AQ9+AR9</f>
        <v/>
      </c>
      <c r="AT9" s="234">
        <f>AS9-AP9</f>
        <v/>
      </c>
      <c r="AU9" s="237">
        <f>IF(AP9=0,"",AS9/AP9)</f>
        <v/>
      </c>
      <c r="AV9" s="44" t="n"/>
      <c r="AW9" s="233" t="n"/>
      <c r="AX9" s="233" t="n"/>
      <c r="AY9" s="233">
        <f>AW9+AX9</f>
        <v/>
      </c>
      <c r="AZ9" s="233" t="n"/>
      <c r="BA9" s="233" t="n"/>
      <c r="BB9" s="233">
        <f>AZ9+BA9</f>
        <v/>
      </c>
      <c r="BC9" s="238">
        <f>BB9-AY9</f>
        <v/>
      </c>
      <c r="BD9" s="235">
        <f>IF(AY9=0,"",BB9/AY9)</f>
        <v/>
      </c>
      <c r="BE9" s="26" t="n"/>
      <c r="BF9" s="236">
        <f>AN9+AW9</f>
        <v/>
      </c>
      <c r="BG9" s="236">
        <f>AO9+AX9</f>
        <v/>
      </c>
      <c r="BH9" s="236">
        <f>BF9+BG9</f>
        <v/>
      </c>
      <c r="BI9" s="236">
        <f>AQ9+AZ9</f>
        <v/>
      </c>
      <c r="BJ9" s="236">
        <f>AR9+BA9</f>
        <v/>
      </c>
      <c r="BK9" s="236">
        <f>BI9+BJ9</f>
        <v/>
      </c>
      <c r="BL9" s="239">
        <f>BK9-BH9</f>
        <v/>
      </c>
      <c r="BM9" s="237">
        <f>IF(BH9=0,"",BK9/BH9)</f>
        <v/>
      </c>
      <c r="BN9" s="33" t="n"/>
      <c r="BO9" s="233" t="n"/>
      <c r="BP9" s="233" t="n"/>
      <c r="BQ9" s="233">
        <f>BO9+BP9</f>
        <v/>
      </c>
      <c r="BR9" s="233" t="n"/>
      <c r="BS9" s="233" t="n"/>
      <c r="BT9" s="233">
        <f>BR9+BS9</f>
        <v/>
      </c>
      <c r="BU9" s="238">
        <f>BT9-BQ9</f>
        <v/>
      </c>
      <c r="BV9" s="235">
        <f>IF(BQ9=0,"",BT9/BQ9)</f>
        <v/>
      </c>
      <c r="BW9" s="26" t="n"/>
      <c r="BX9" s="236">
        <f>BF9+BO9</f>
        <v/>
      </c>
      <c r="BY9" s="236">
        <f>BG9+BP9</f>
        <v/>
      </c>
      <c r="BZ9" s="236">
        <f>BX9+BY9</f>
        <v/>
      </c>
      <c r="CA9" s="236">
        <f>BI9+BR9</f>
        <v/>
      </c>
      <c r="CB9" s="236">
        <f>BJ9+BS9</f>
        <v/>
      </c>
      <c r="CC9" s="236">
        <f>CA9+CB9</f>
        <v/>
      </c>
      <c r="CD9" s="239">
        <f>CC9-BZ9</f>
        <v/>
      </c>
      <c r="CE9" s="237">
        <f>IF(BZ9=0,"",CC9/BZ9)</f>
        <v/>
      </c>
      <c r="CF9" s="33" t="n"/>
      <c r="CG9" s="233" t="n"/>
      <c r="CH9" s="233" t="n"/>
      <c r="CI9" s="233">
        <f>CG9+CH9</f>
        <v/>
      </c>
      <c r="CJ9" s="233" t="n"/>
      <c r="CK9" s="233" t="n"/>
      <c r="CL9" s="233">
        <f>CJ9+CK9</f>
        <v/>
      </c>
      <c r="CM9" s="238">
        <f>CL9-CI9</f>
        <v/>
      </c>
      <c r="CN9" s="235">
        <f>IF(CI9=0,"",CL9/CI9)</f>
        <v/>
      </c>
      <c r="CO9" s="26" t="n"/>
      <c r="CP9" s="236">
        <f>BX9+CG9</f>
        <v/>
      </c>
      <c r="CQ9" s="236">
        <f>BY9+CH9</f>
        <v/>
      </c>
      <c r="CR9" s="236">
        <f>CP9+CQ9</f>
        <v/>
      </c>
      <c r="CS9" s="236">
        <f>CA9+CJ9</f>
        <v/>
      </c>
      <c r="CT9" s="236">
        <f>CB9+CK9</f>
        <v/>
      </c>
      <c r="CU9" s="236">
        <f>CS9+CT9</f>
        <v/>
      </c>
      <c r="CV9" s="239">
        <f>CU9-CR9</f>
        <v/>
      </c>
      <c r="CW9" s="237">
        <f>IF(CR9=0,"",CU9/CR9)</f>
        <v/>
      </c>
      <c r="CX9" s="33" t="n"/>
      <c r="CY9" s="233" t="n"/>
      <c r="CZ9" s="233" t="n"/>
      <c r="DA9" s="233">
        <f>CY9+CZ9</f>
        <v/>
      </c>
      <c r="DB9" s="233" t="n"/>
      <c r="DC9" s="233" t="n"/>
      <c r="DD9" s="233">
        <f>DB9+DC9</f>
        <v/>
      </c>
      <c r="DE9" s="238">
        <f>DD9-DA9</f>
        <v/>
      </c>
      <c r="DF9" s="235">
        <f>IF(DA9=0,"",DD9/DA9)</f>
        <v/>
      </c>
      <c r="DG9" s="26" t="n"/>
      <c r="DH9" s="236">
        <f>CP9+CY9</f>
        <v/>
      </c>
      <c r="DI9" s="236">
        <f>CQ9+CZ9</f>
        <v/>
      </c>
      <c r="DJ9" s="236">
        <f>DH9+DI9</f>
        <v/>
      </c>
      <c r="DK9" s="236">
        <f>CS9+DB9</f>
        <v/>
      </c>
      <c r="DL9" s="236">
        <f>CT9+DC9</f>
        <v/>
      </c>
      <c r="DM9" s="236">
        <f>DK9+DL9</f>
        <v/>
      </c>
      <c r="DN9" s="239">
        <f>DM9-DJ9</f>
        <v/>
      </c>
      <c r="DO9" s="237">
        <f>IF(DJ9=0,"",DM9/DJ9)</f>
        <v/>
      </c>
      <c r="DP9" s="33" t="n"/>
      <c r="DQ9" s="233" t="n"/>
      <c r="DR9" s="233" t="n"/>
      <c r="DS9" s="233">
        <f>DQ9+DR9</f>
        <v/>
      </c>
      <c r="DT9" s="233" t="n"/>
      <c r="DU9" s="233" t="n"/>
      <c r="DV9" s="233">
        <f>DT9+DU9</f>
        <v/>
      </c>
      <c r="DW9" s="238">
        <f>DV9-DS9</f>
        <v/>
      </c>
      <c r="DX9" s="235">
        <f>IF(DS9=0,"",DV9/DS9)</f>
        <v/>
      </c>
      <c r="DY9" s="26" t="n"/>
      <c r="DZ9" s="236">
        <f>DH9+DQ9</f>
        <v/>
      </c>
      <c r="EA9" s="236">
        <f>DI9+DR9</f>
        <v/>
      </c>
      <c r="EB9" s="236">
        <f>DZ9+EA9</f>
        <v/>
      </c>
      <c r="EC9" s="236">
        <f>DK9+DT9</f>
        <v/>
      </c>
      <c r="ED9" s="236">
        <f>DL9+DU9</f>
        <v/>
      </c>
      <c r="EE9" s="236">
        <f>EC9+ED9</f>
        <v/>
      </c>
      <c r="EF9" s="239">
        <f>EE9-EB9</f>
        <v/>
      </c>
      <c r="EG9" s="237">
        <f>IF(EB9=0,"",EE9/EB9)</f>
        <v/>
      </c>
      <c r="EH9" s="33" t="n"/>
      <c r="EI9" s="233" t="n"/>
      <c r="EJ9" s="233" t="n"/>
      <c r="EK9" s="233">
        <f>EI9+EJ9</f>
        <v/>
      </c>
      <c r="EL9" s="233" t="n"/>
      <c r="EM9" s="233" t="n"/>
      <c r="EN9" s="233">
        <f>EL9+EM9</f>
        <v/>
      </c>
      <c r="EO9" s="238">
        <f>EN9-EK9</f>
        <v/>
      </c>
      <c r="EP9" s="235">
        <f>IF(EK9=0,"",EN9/EK9)</f>
        <v/>
      </c>
      <c r="EQ9" s="26" t="n"/>
      <c r="ER9" s="236">
        <f>DZ9+EI9</f>
        <v/>
      </c>
      <c r="ES9" s="236">
        <f>EA9+EJ9</f>
        <v/>
      </c>
      <c r="ET9" s="236">
        <f>ER9+ES9</f>
        <v/>
      </c>
      <c r="EU9" s="236">
        <f>EC9+EL9</f>
        <v/>
      </c>
      <c r="EV9" s="236">
        <f>ED9+EM9</f>
        <v/>
      </c>
      <c r="EW9" s="236">
        <f>EU9+EV9</f>
        <v/>
      </c>
      <c r="EX9" s="239">
        <f>EW9-ET9</f>
        <v/>
      </c>
      <c r="EY9" s="237">
        <f>IF(ET9=0,"",EW9/ET9)</f>
        <v/>
      </c>
      <c r="EZ9" s="33" t="n"/>
      <c r="FA9" s="233" t="n"/>
      <c r="FB9" s="233" t="n"/>
      <c r="FC9" s="233">
        <f>FA9+FB9</f>
        <v/>
      </c>
      <c r="FD9" s="233" t="n"/>
      <c r="FE9" s="233" t="n"/>
      <c r="FF9" s="233">
        <f>FD9+FE9</f>
        <v/>
      </c>
      <c r="FG9" s="238">
        <f>FF9-FC9</f>
        <v/>
      </c>
      <c r="FH9" s="235">
        <f>IF(FC9=0,"",FF9/FC9)</f>
        <v/>
      </c>
      <c r="FI9" s="26" t="n"/>
      <c r="FJ9" s="236">
        <f>ER9+FA9</f>
        <v/>
      </c>
      <c r="FK9" s="236">
        <f>ES9+FB9</f>
        <v/>
      </c>
      <c r="FL9" s="236">
        <f>FJ9+FK9</f>
        <v/>
      </c>
      <c r="FM9" s="236">
        <f>EU9+FD9</f>
        <v/>
      </c>
      <c r="FN9" s="236">
        <f>EV9+FE9</f>
        <v/>
      </c>
      <c r="FO9" s="236">
        <f>FM9+FN9</f>
        <v/>
      </c>
      <c r="FP9" s="239">
        <f>FO9-FL9</f>
        <v/>
      </c>
      <c r="FQ9" s="237">
        <f>IF(FL9=0,"",FO9/FL9)</f>
        <v/>
      </c>
      <c r="FR9" s="33" t="n"/>
      <c r="FS9" s="233" t="n"/>
      <c r="FT9" s="233" t="n"/>
      <c r="FU9" s="233">
        <f>FS9+FT9</f>
        <v/>
      </c>
      <c r="FV9" s="233" t="n"/>
      <c r="FW9" s="233" t="n"/>
      <c r="FX9" s="233">
        <f>FV9+FW9</f>
        <v/>
      </c>
      <c r="FY9" s="238">
        <f>FX9-FU9</f>
        <v/>
      </c>
      <c r="FZ9" s="235">
        <f>IF(FU9=0,"",FX9/FU9)</f>
        <v/>
      </c>
      <c r="GA9" s="26" t="n"/>
      <c r="GB9" s="236">
        <f>FJ9+FS9</f>
        <v/>
      </c>
      <c r="GC9" s="236">
        <f>FK9+FT9</f>
        <v/>
      </c>
      <c r="GD9" s="236">
        <f>GB9+GC9</f>
        <v/>
      </c>
      <c r="GE9" s="236">
        <f>FM9+FV9</f>
        <v/>
      </c>
      <c r="GF9" s="236">
        <f>FN9+FW9</f>
        <v/>
      </c>
      <c r="GG9" s="236">
        <f>GE9+GF9</f>
        <v/>
      </c>
      <c r="GH9" s="239">
        <f>GG9-GD9</f>
        <v/>
      </c>
      <c r="GI9" s="237">
        <f>IF(GD9=0,"",GG9/GD9)</f>
        <v/>
      </c>
      <c r="GJ9" s="33" t="n"/>
      <c r="GK9" s="233" t="n"/>
      <c r="GL9" s="233" t="n"/>
      <c r="GM9" s="233">
        <f>GK9+GL9</f>
        <v/>
      </c>
      <c r="GN9" s="233" t="n"/>
      <c r="GO9" s="233" t="n"/>
      <c r="GP9" s="233">
        <f>GN9+GO9</f>
        <v/>
      </c>
      <c r="GQ9" s="238">
        <f>GP9-GM9</f>
        <v/>
      </c>
      <c r="GR9" s="235">
        <f>IF(GM9=0,"",GP9/GM9)</f>
        <v/>
      </c>
      <c r="GS9" s="26" t="n"/>
      <c r="GT9" s="236">
        <f>GB9+GK9</f>
        <v/>
      </c>
      <c r="GU9" s="236">
        <f>GC9+GL9</f>
        <v/>
      </c>
      <c r="GV9" s="236">
        <f>GT9+GU9</f>
        <v/>
      </c>
      <c r="GW9" s="236">
        <f>GE9+GN9</f>
        <v/>
      </c>
      <c r="GX9" s="236">
        <f>GF9+GO9</f>
        <v/>
      </c>
      <c r="GY9" s="236">
        <f>GW9+GX9</f>
        <v/>
      </c>
      <c r="GZ9" s="239">
        <f>GY9-GV9</f>
        <v/>
      </c>
      <c r="HA9" s="237">
        <f>IF(GV9=0,"",GY9/GV9)</f>
        <v/>
      </c>
      <c r="HB9" s="33" t="n"/>
      <c r="HC9" s="233">
        <f>GT9</f>
        <v/>
      </c>
      <c r="HD9" s="233">
        <f>GU9</f>
        <v/>
      </c>
      <c r="HE9" s="233">
        <f>HC9+HD9</f>
        <v/>
      </c>
    </row>
    <row r="10" ht="15" customHeight="1" s="150">
      <c r="A10" s="18" t="n"/>
      <c r="B10" s="18" t="n"/>
      <c r="C10" s="18" t="n"/>
      <c r="D10" s="227">
        <f>D11</f>
        <v/>
      </c>
      <c r="E10" s="227">
        <f>E11</f>
        <v/>
      </c>
      <c r="F10" s="227">
        <f>D10+E10</f>
        <v/>
      </c>
      <c r="G10" s="227">
        <f>G11</f>
        <v/>
      </c>
      <c r="H10" s="227">
        <f>H11</f>
        <v/>
      </c>
      <c r="I10" s="227">
        <f>G10+H10</f>
        <v/>
      </c>
      <c r="J10" s="228">
        <f>I10-F10</f>
        <v/>
      </c>
      <c r="K10" s="229">
        <f>IF(F10=0,"",I10/F10)</f>
        <v/>
      </c>
      <c r="L10" s="18" t="n"/>
      <c r="M10" s="227">
        <f>M11</f>
        <v/>
      </c>
      <c r="N10" s="227">
        <f>N11</f>
        <v/>
      </c>
      <c r="O10" s="227">
        <f>M10+N10</f>
        <v/>
      </c>
      <c r="P10" s="227">
        <f>P11</f>
        <v/>
      </c>
      <c r="Q10" s="227">
        <f>Q11</f>
        <v/>
      </c>
      <c r="R10" s="227">
        <f>P10+Q10</f>
        <v/>
      </c>
      <c r="S10" s="228">
        <f>R10-O10</f>
        <v/>
      </c>
      <c r="T10" s="229">
        <f>IF(O10=0,"",R10/O10)</f>
        <v/>
      </c>
      <c r="U10" s="18" t="n"/>
      <c r="V10" s="230">
        <f>V11</f>
        <v/>
      </c>
      <c r="W10" s="230">
        <f>W11</f>
        <v/>
      </c>
      <c r="X10" s="230">
        <f>V10+W10</f>
        <v/>
      </c>
      <c r="Y10" s="230">
        <f>Y11</f>
        <v/>
      </c>
      <c r="Z10" s="230">
        <f>Z11</f>
        <v/>
      </c>
      <c r="AA10" s="230">
        <f>Y10+Z10</f>
        <v/>
      </c>
      <c r="AB10" s="231">
        <f>AA10-X10</f>
        <v/>
      </c>
      <c r="AC10" s="232">
        <f>IF(X10=0,"",AA10/X10)</f>
        <v/>
      </c>
      <c r="AD10" s="25" t="n"/>
      <c r="AE10" s="227">
        <f>AE11</f>
        <v/>
      </c>
      <c r="AF10" s="227">
        <f>AF11</f>
        <v/>
      </c>
      <c r="AG10" s="227">
        <f>AE10+AF10</f>
        <v/>
      </c>
      <c r="AH10" s="227">
        <f>AH11</f>
        <v/>
      </c>
      <c r="AI10" s="227">
        <f>AI11</f>
        <v/>
      </c>
      <c r="AJ10" s="227">
        <f>AH10+AI10</f>
        <v/>
      </c>
      <c r="AK10" s="228">
        <f>AJ10-AG10</f>
        <v/>
      </c>
      <c r="AL10" s="229">
        <f>IF(AG10=0,"",AJ10/AG10)</f>
        <v/>
      </c>
      <c r="AM10" s="18" t="n"/>
      <c r="AN10" s="230">
        <f>AN11</f>
        <v/>
      </c>
      <c r="AO10" s="230">
        <f>AO11</f>
        <v/>
      </c>
      <c r="AP10" s="230">
        <f>AN10+AO10</f>
        <v/>
      </c>
      <c r="AQ10" s="230">
        <f>AQ11</f>
        <v/>
      </c>
      <c r="AR10" s="230">
        <f>AR11</f>
        <v/>
      </c>
      <c r="AS10" s="230">
        <f>AQ10+AR10</f>
        <v/>
      </c>
      <c r="AT10" s="231">
        <f>AS10-AP10</f>
        <v/>
      </c>
      <c r="AU10" s="232">
        <f>IF(AP10=0,"",AS10/AP10)</f>
        <v/>
      </c>
      <c r="AV10" s="25" t="n"/>
      <c r="AW10" s="227">
        <f>AW11</f>
        <v/>
      </c>
      <c r="AX10" s="227">
        <f>AX11</f>
        <v/>
      </c>
      <c r="AY10" s="227">
        <f>AW10+AX10</f>
        <v/>
      </c>
      <c r="AZ10" s="227">
        <f>AZ11</f>
        <v/>
      </c>
      <c r="BA10" s="227">
        <f>BA11</f>
        <v/>
      </c>
      <c r="BB10" s="227">
        <f>AZ10+BA10</f>
        <v/>
      </c>
      <c r="BC10" s="228">
        <f>BB10-AY10</f>
        <v/>
      </c>
      <c r="BD10" s="229">
        <f>IF(AY10=0,"",BB10/AY10)</f>
        <v/>
      </c>
      <c r="BE10" s="18" t="n"/>
      <c r="BF10" s="230">
        <f>BF11</f>
        <v/>
      </c>
      <c r="BG10" s="230">
        <f>BG11</f>
        <v/>
      </c>
      <c r="BH10" s="230">
        <f>BF10+BG10</f>
        <v/>
      </c>
      <c r="BI10" s="230">
        <f>BI11</f>
        <v/>
      </c>
      <c r="BJ10" s="230">
        <f>BJ11</f>
        <v/>
      </c>
      <c r="BK10" s="230">
        <f>BI10+BJ10</f>
        <v/>
      </c>
      <c r="BL10" s="231">
        <f>BK10-BH10</f>
        <v/>
      </c>
      <c r="BM10" s="232">
        <f>IF(BH10=0,"",BK10/BH10)</f>
        <v/>
      </c>
      <c r="BN10" s="25" t="n"/>
      <c r="BO10" s="227">
        <f>BO11</f>
        <v/>
      </c>
      <c r="BP10" s="227">
        <f>BP11</f>
        <v/>
      </c>
      <c r="BQ10" s="227">
        <f>BO10+BP10</f>
        <v/>
      </c>
      <c r="BR10" s="227">
        <f>BR11</f>
        <v/>
      </c>
      <c r="BS10" s="227">
        <f>BS11</f>
        <v/>
      </c>
      <c r="BT10" s="227">
        <f>BR10+BS10</f>
        <v/>
      </c>
      <c r="BU10" s="228">
        <f>BT10-BQ10</f>
        <v/>
      </c>
      <c r="BV10" s="229">
        <f>IF(BQ10=0,"",BT10/BQ10)</f>
        <v/>
      </c>
      <c r="BW10" s="18" t="n"/>
      <c r="BX10" s="230">
        <f>BX11</f>
        <v/>
      </c>
      <c r="BY10" s="230">
        <f>BY11</f>
        <v/>
      </c>
      <c r="BZ10" s="230">
        <f>BX10+BY10</f>
        <v/>
      </c>
      <c r="CA10" s="230">
        <f>CA11</f>
        <v/>
      </c>
      <c r="CB10" s="230">
        <f>CB11</f>
        <v/>
      </c>
      <c r="CC10" s="230">
        <f>CA10+CB10</f>
        <v/>
      </c>
      <c r="CD10" s="231">
        <f>CC10-BZ10</f>
        <v/>
      </c>
      <c r="CE10" s="232">
        <f>IF(BZ10=0,"",CC10/BZ10)</f>
        <v/>
      </c>
      <c r="CF10" s="25" t="n"/>
      <c r="CG10" s="227">
        <f>CG11</f>
        <v/>
      </c>
      <c r="CH10" s="227">
        <f>CH11</f>
        <v/>
      </c>
      <c r="CI10" s="227">
        <f>CG10+CH10</f>
        <v/>
      </c>
      <c r="CJ10" s="227">
        <f>CJ11</f>
        <v/>
      </c>
      <c r="CK10" s="227">
        <f>CK11</f>
        <v/>
      </c>
      <c r="CL10" s="227">
        <f>CJ10+CK10</f>
        <v/>
      </c>
      <c r="CM10" s="228">
        <f>CL10-CI10</f>
        <v/>
      </c>
      <c r="CN10" s="229">
        <f>IF(CI10=0,"",CL10/CI10)</f>
        <v/>
      </c>
      <c r="CO10" s="18" t="n"/>
      <c r="CP10" s="230">
        <f>CP11</f>
        <v/>
      </c>
      <c r="CQ10" s="230">
        <f>CQ11</f>
        <v/>
      </c>
      <c r="CR10" s="230">
        <f>CP10+CQ10</f>
        <v/>
      </c>
      <c r="CS10" s="230">
        <f>CS11</f>
        <v/>
      </c>
      <c r="CT10" s="230">
        <f>CT11</f>
        <v/>
      </c>
      <c r="CU10" s="230">
        <f>CS10+CT10</f>
        <v/>
      </c>
      <c r="CV10" s="231">
        <f>CU10-CR10</f>
        <v/>
      </c>
      <c r="CW10" s="232">
        <f>IF(CR10=0,"",CU10/CR10)</f>
        <v/>
      </c>
      <c r="CX10" s="25" t="n"/>
      <c r="CY10" s="227">
        <f>CY11</f>
        <v/>
      </c>
      <c r="CZ10" s="227">
        <f>CZ11</f>
        <v/>
      </c>
      <c r="DA10" s="227">
        <f>CY10+CZ10</f>
        <v/>
      </c>
      <c r="DB10" s="227">
        <f>DB11</f>
        <v/>
      </c>
      <c r="DC10" s="227">
        <f>DC11</f>
        <v/>
      </c>
      <c r="DD10" s="227">
        <f>DB10+DC10</f>
        <v/>
      </c>
      <c r="DE10" s="228">
        <f>DD10-DA10</f>
        <v/>
      </c>
      <c r="DF10" s="229">
        <f>IF(DA10=0,"",DD10/DA10)</f>
        <v/>
      </c>
      <c r="DG10" s="18" t="n"/>
      <c r="DH10" s="230">
        <f>DH11</f>
        <v/>
      </c>
      <c r="DI10" s="230">
        <f>DI11</f>
        <v/>
      </c>
      <c r="DJ10" s="230">
        <f>DH10+DI10</f>
        <v/>
      </c>
      <c r="DK10" s="230">
        <f>DK11</f>
        <v/>
      </c>
      <c r="DL10" s="230">
        <f>DL11</f>
        <v/>
      </c>
      <c r="DM10" s="230">
        <f>DK10+DL10</f>
        <v/>
      </c>
      <c r="DN10" s="231">
        <f>DM10-DJ10</f>
        <v/>
      </c>
      <c r="DO10" s="232">
        <f>IF(DJ10=0,"",DM10/DJ10)</f>
        <v/>
      </c>
      <c r="DP10" s="25" t="n"/>
      <c r="DQ10" s="227">
        <f>DQ11</f>
        <v/>
      </c>
      <c r="DR10" s="227">
        <f>DR11</f>
        <v/>
      </c>
      <c r="DS10" s="227">
        <f>DQ10+DR10</f>
        <v/>
      </c>
      <c r="DT10" s="227">
        <f>DT11</f>
        <v/>
      </c>
      <c r="DU10" s="227">
        <f>DU11</f>
        <v/>
      </c>
      <c r="DV10" s="227">
        <f>DT10+DU10</f>
        <v/>
      </c>
      <c r="DW10" s="228">
        <f>DV10-DS10</f>
        <v/>
      </c>
      <c r="DX10" s="229">
        <f>IF(DS10=0,"",DV10/DS10)</f>
        <v/>
      </c>
      <c r="DY10" s="18" t="n"/>
      <c r="DZ10" s="230">
        <f>DZ11</f>
        <v/>
      </c>
      <c r="EA10" s="230">
        <f>EA11</f>
        <v/>
      </c>
      <c r="EB10" s="230">
        <f>DZ10+EA10</f>
        <v/>
      </c>
      <c r="EC10" s="230">
        <f>EC11</f>
        <v/>
      </c>
      <c r="ED10" s="230">
        <f>ED11</f>
        <v/>
      </c>
      <c r="EE10" s="230">
        <f>EC10+ED10</f>
        <v/>
      </c>
      <c r="EF10" s="231">
        <f>EE10-EB10</f>
        <v/>
      </c>
      <c r="EG10" s="232">
        <f>IF(EB10=0,"",EE10/EB10)</f>
        <v/>
      </c>
      <c r="EH10" s="25" t="n"/>
      <c r="EI10" s="227">
        <f>EI11</f>
        <v/>
      </c>
      <c r="EJ10" s="227">
        <f>EJ11</f>
        <v/>
      </c>
      <c r="EK10" s="227">
        <f>EI10+EJ10</f>
        <v/>
      </c>
      <c r="EL10" s="227">
        <f>EL11</f>
        <v/>
      </c>
      <c r="EM10" s="227">
        <f>EM11</f>
        <v/>
      </c>
      <c r="EN10" s="227">
        <f>EL10+EM10</f>
        <v/>
      </c>
      <c r="EO10" s="228">
        <f>EN10-EK10</f>
        <v/>
      </c>
      <c r="EP10" s="229">
        <f>IF(EK10=0,"",EN10/EK10)</f>
        <v/>
      </c>
      <c r="EQ10" s="18" t="n"/>
      <c r="ER10" s="230">
        <f>ER11</f>
        <v/>
      </c>
      <c r="ES10" s="230">
        <f>ES11</f>
        <v/>
      </c>
      <c r="ET10" s="230">
        <f>ER10+ES10</f>
        <v/>
      </c>
      <c r="EU10" s="230">
        <f>EU11</f>
        <v/>
      </c>
      <c r="EV10" s="230">
        <f>EV11</f>
        <v/>
      </c>
      <c r="EW10" s="230">
        <f>EU10+EV10</f>
        <v/>
      </c>
      <c r="EX10" s="231">
        <f>EW10-ET10</f>
        <v/>
      </c>
      <c r="EY10" s="232">
        <f>IF(ET10=0,"",EW10/ET10)</f>
        <v/>
      </c>
      <c r="EZ10" s="25" t="n"/>
      <c r="FA10" s="227">
        <f>FA11</f>
        <v/>
      </c>
      <c r="FB10" s="227">
        <f>FB11</f>
        <v/>
      </c>
      <c r="FC10" s="227">
        <f>FA10+FB10</f>
        <v/>
      </c>
      <c r="FD10" s="227">
        <f>FD11</f>
        <v/>
      </c>
      <c r="FE10" s="227">
        <f>FE11</f>
        <v/>
      </c>
      <c r="FF10" s="227">
        <f>FD10+FE10</f>
        <v/>
      </c>
      <c r="FG10" s="228">
        <f>FF10-FC10</f>
        <v/>
      </c>
      <c r="FH10" s="229">
        <f>IF(FC10=0,"",FF10/FC10)</f>
        <v/>
      </c>
      <c r="FI10" s="18" t="n"/>
      <c r="FJ10" s="230">
        <f>FJ11</f>
        <v/>
      </c>
      <c r="FK10" s="230">
        <f>FK11</f>
        <v/>
      </c>
      <c r="FL10" s="230">
        <f>FJ10+FK10</f>
        <v/>
      </c>
      <c r="FM10" s="230">
        <f>FM11</f>
        <v/>
      </c>
      <c r="FN10" s="230">
        <f>FN11</f>
        <v/>
      </c>
      <c r="FO10" s="230">
        <f>FM10+FN10</f>
        <v/>
      </c>
      <c r="FP10" s="231">
        <f>FO10-FL10</f>
        <v/>
      </c>
      <c r="FQ10" s="232">
        <f>IF(FL10=0,"",FO10/FL10)</f>
        <v/>
      </c>
      <c r="FR10" s="25" t="n"/>
      <c r="FS10" s="227">
        <f>FS11</f>
        <v/>
      </c>
      <c r="FT10" s="227">
        <f>FT11</f>
        <v/>
      </c>
      <c r="FU10" s="227">
        <f>FS10+FT10</f>
        <v/>
      </c>
      <c r="FV10" s="227">
        <f>FV11</f>
        <v/>
      </c>
      <c r="FW10" s="227">
        <f>FW11</f>
        <v/>
      </c>
      <c r="FX10" s="227">
        <f>FV10+FW10</f>
        <v/>
      </c>
      <c r="FY10" s="228">
        <f>FX10-FU10</f>
        <v/>
      </c>
      <c r="FZ10" s="229">
        <f>IF(FU10=0,"",FX10/FU10)</f>
        <v/>
      </c>
      <c r="GA10" s="18" t="n"/>
      <c r="GB10" s="230">
        <f>GB11</f>
        <v/>
      </c>
      <c r="GC10" s="230">
        <f>GC11</f>
        <v/>
      </c>
      <c r="GD10" s="230">
        <f>GB10+GC10</f>
        <v/>
      </c>
      <c r="GE10" s="230">
        <f>GE11</f>
        <v/>
      </c>
      <c r="GF10" s="230">
        <f>GF11</f>
        <v/>
      </c>
      <c r="GG10" s="230">
        <f>GE10+GF10</f>
        <v/>
      </c>
      <c r="GH10" s="231">
        <f>GG10-GD10</f>
        <v/>
      </c>
      <c r="GI10" s="232">
        <f>IF(GD10=0,"",GG10/GD10)</f>
        <v/>
      </c>
      <c r="GJ10" s="25" t="n"/>
      <c r="GK10" s="227">
        <f>GK11</f>
        <v/>
      </c>
      <c r="GL10" s="227">
        <f>GL11</f>
        <v/>
      </c>
      <c r="GM10" s="227">
        <f>GK10+GL10</f>
        <v/>
      </c>
      <c r="GN10" s="227">
        <f>GN11</f>
        <v/>
      </c>
      <c r="GO10" s="227">
        <f>GO11</f>
        <v/>
      </c>
      <c r="GP10" s="227">
        <f>GN10+GO10</f>
        <v/>
      </c>
      <c r="GQ10" s="228">
        <f>GP10-GM10</f>
        <v/>
      </c>
      <c r="GR10" s="229">
        <f>IF(GM10=0,"",GP10/GM10)</f>
        <v/>
      </c>
      <c r="GS10" s="18" t="n"/>
      <c r="GT10" s="230">
        <f>GT11</f>
        <v/>
      </c>
      <c r="GU10" s="230">
        <f>GU11</f>
        <v/>
      </c>
      <c r="GV10" s="230">
        <f>GT10+GU10</f>
        <v/>
      </c>
      <c r="GW10" s="230">
        <f>GW11</f>
        <v/>
      </c>
      <c r="GX10" s="230">
        <f>GX11</f>
        <v/>
      </c>
      <c r="GY10" s="230">
        <f>GW10+GX10</f>
        <v/>
      </c>
      <c r="GZ10" s="231">
        <f>GY10-GV10</f>
        <v/>
      </c>
      <c r="HA10" s="232">
        <f>IF(GV10=0,"",GY10/GV10)</f>
        <v/>
      </c>
      <c r="HB10" s="25" t="n"/>
      <c r="HC10" s="227">
        <f>GT10</f>
        <v/>
      </c>
      <c r="HD10" s="227">
        <f>GU10</f>
        <v/>
      </c>
      <c r="HE10" s="227">
        <f>HC10+HD10</f>
        <v/>
      </c>
    </row>
    <row r="11" outlineLevel="1" ht="24" customHeight="1" s="150">
      <c r="A11" s="26" t="n"/>
      <c r="B11" s="26" t="n"/>
      <c r="C11" s="26" t="n"/>
      <c r="D11" s="233" t="n"/>
      <c r="E11" s="233" t="n"/>
      <c r="F11" s="233">
        <f>D11+E11</f>
        <v/>
      </c>
      <c r="G11" s="233" t="n"/>
      <c r="H11" s="233" t="n"/>
      <c r="I11" s="233">
        <f>G11+H11</f>
        <v/>
      </c>
      <c r="J11" s="234">
        <f>I11-F11</f>
        <v/>
      </c>
      <c r="K11" s="235">
        <f>IF(F11=0,"",I11/F11)</f>
        <v/>
      </c>
      <c r="L11" s="26" t="n"/>
      <c r="M11" s="233" t="n"/>
      <c r="N11" s="233" t="n"/>
      <c r="O11" s="233">
        <f>M11+N11</f>
        <v/>
      </c>
      <c r="P11" s="233" t="n"/>
      <c r="Q11" s="233" t="n"/>
      <c r="R11" s="233">
        <f>P11+Q11</f>
        <v/>
      </c>
      <c r="S11" s="234">
        <f>R11-O11</f>
        <v/>
      </c>
      <c r="T11" s="235">
        <f>IF(O11=0,"",R11/O11)</f>
        <v/>
      </c>
      <c r="U11" s="26" t="n"/>
      <c r="V11" s="236">
        <f>D11+M11</f>
        <v/>
      </c>
      <c r="W11" s="236">
        <f>E11+N11</f>
        <v/>
      </c>
      <c r="X11" s="236">
        <f>V11+W11</f>
        <v/>
      </c>
      <c r="Y11" s="236">
        <f>G11+P11</f>
        <v/>
      </c>
      <c r="Z11" s="236">
        <f>H11+Q11</f>
        <v/>
      </c>
      <c r="AA11" s="236">
        <f>Y11+Z11</f>
        <v/>
      </c>
      <c r="AB11" s="234">
        <f>AA11-X11</f>
        <v/>
      </c>
      <c r="AC11" s="237">
        <f>IF(X11=0,"",AA11/X11)</f>
        <v/>
      </c>
      <c r="AD11" s="33" t="n"/>
      <c r="AE11" s="233" t="n"/>
      <c r="AF11" s="233" t="n"/>
      <c r="AG11" s="233">
        <f>AE11+AF11</f>
        <v/>
      </c>
      <c r="AH11" s="233" t="n"/>
      <c r="AI11" s="233" t="n"/>
      <c r="AJ11" s="233">
        <f>AH11+AI11</f>
        <v/>
      </c>
      <c r="AK11" s="234">
        <f>AJ11-AG11</f>
        <v/>
      </c>
      <c r="AL11" s="235">
        <f>IF(AG11=0,"",AJ11/AG11)</f>
        <v/>
      </c>
      <c r="AM11" s="26" t="n"/>
      <c r="AN11" s="236">
        <f>V11+AE11</f>
        <v/>
      </c>
      <c r="AO11" s="236">
        <f>W11+AF11</f>
        <v/>
      </c>
      <c r="AP11" s="236">
        <f>AN11+AO11</f>
        <v/>
      </c>
      <c r="AQ11" s="236">
        <f>Y11+AH11</f>
        <v/>
      </c>
      <c r="AR11" s="236">
        <f>Z11+AI11</f>
        <v/>
      </c>
      <c r="AS11" s="236">
        <f>AQ11+AR11</f>
        <v/>
      </c>
      <c r="AT11" s="234">
        <f>AS11-AP11</f>
        <v/>
      </c>
      <c r="AU11" s="237">
        <f>IF(AP11=0,"",AS11/AP11)</f>
        <v/>
      </c>
      <c r="AV11" s="44" t="n"/>
      <c r="AW11" s="233" t="n"/>
      <c r="AX11" s="233" t="n"/>
      <c r="AY11" s="233">
        <f>AW11+AX11</f>
        <v/>
      </c>
      <c r="AZ11" s="233" t="n"/>
      <c r="BA11" s="233" t="n"/>
      <c r="BB11" s="233">
        <f>AZ11+BA11</f>
        <v/>
      </c>
      <c r="BC11" s="238">
        <f>BB11-AY11</f>
        <v/>
      </c>
      <c r="BD11" s="235">
        <f>IF(AY11=0,"",BB11/AY11)</f>
        <v/>
      </c>
      <c r="BE11" s="26" t="n"/>
      <c r="BF11" s="236">
        <f>AN11+AW11</f>
        <v/>
      </c>
      <c r="BG11" s="236">
        <f>AO11+AX11</f>
        <v/>
      </c>
      <c r="BH11" s="236">
        <f>BF11+BG11</f>
        <v/>
      </c>
      <c r="BI11" s="236">
        <f>AQ11+AZ11</f>
        <v/>
      </c>
      <c r="BJ11" s="236">
        <f>AR11+BA11</f>
        <v/>
      </c>
      <c r="BK11" s="236">
        <f>BI11+BJ11</f>
        <v/>
      </c>
      <c r="BL11" s="239">
        <f>BK11-BH11</f>
        <v/>
      </c>
      <c r="BM11" s="237">
        <f>IF(BH11=0,"",BK11/BH11)</f>
        <v/>
      </c>
      <c r="BN11" s="33" t="n"/>
      <c r="BO11" s="233" t="n"/>
      <c r="BP11" s="233" t="n"/>
      <c r="BQ11" s="233">
        <f>BO11+BP11</f>
        <v/>
      </c>
      <c r="BR11" s="233" t="n"/>
      <c r="BS11" s="233" t="n"/>
      <c r="BT11" s="233">
        <f>BR11+BS11</f>
        <v/>
      </c>
      <c r="BU11" s="238">
        <f>BT11-BQ11</f>
        <v/>
      </c>
      <c r="BV11" s="235">
        <f>IF(BQ11=0,"",BT11/BQ11)</f>
        <v/>
      </c>
      <c r="BW11" s="26" t="n"/>
      <c r="BX11" s="236">
        <f>BF11+BO11</f>
        <v/>
      </c>
      <c r="BY11" s="236">
        <f>BG11+BP11</f>
        <v/>
      </c>
      <c r="BZ11" s="236">
        <f>BX11+BY11</f>
        <v/>
      </c>
      <c r="CA11" s="236">
        <f>BI11+BR11</f>
        <v/>
      </c>
      <c r="CB11" s="236">
        <f>BJ11+BS11</f>
        <v/>
      </c>
      <c r="CC11" s="236">
        <f>CA11+CB11</f>
        <v/>
      </c>
      <c r="CD11" s="239">
        <f>CC11-BZ11</f>
        <v/>
      </c>
      <c r="CE11" s="237">
        <f>IF(BZ11=0,"",CC11/BZ11)</f>
        <v/>
      </c>
      <c r="CF11" s="33" t="n"/>
      <c r="CG11" s="233" t="n"/>
      <c r="CH11" s="233" t="n"/>
      <c r="CI11" s="233">
        <f>CG11+CH11</f>
        <v/>
      </c>
      <c r="CJ11" s="233" t="n"/>
      <c r="CK11" s="233" t="n"/>
      <c r="CL11" s="233">
        <f>CJ11+CK11</f>
        <v/>
      </c>
      <c r="CM11" s="238">
        <f>CL11-CI11</f>
        <v/>
      </c>
      <c r="CN11" s="235">
        <f>IF(CI11=0,"",CL11/CI11)</f>
        <v/>
      </c>
      <c r="CO11" s="26" t="n"/>
      <c r="CP11" s="236">
        <f>BX11+CG11</f>
        <v/>
      </c>
      <c r="CQ11" s="236">
        <f>BY11+CH11</f>
        <v/>
      </c>
      <c r="CR11" s="236">
        <f>CP11+CQ11</f>
        <v/>
      </c>
      <c r="CS11" s="236">
        <f>CA11+CJ11</f>
        <v/>
      </c>
      <c r="CT11" s="236">
        <f>CB11+CK11</f>
        <v/>
      </c>
      <c r="CU11" s="236">
        <f>CS11+CT11</f>
        <v/>
      </c>
      <c r="CV11" s="239">
        <f>CU11-CR11</f>
        <v/>
      </c>
      <c r="CW11" s="237">
        <f>IF(CR11=0,"",CU11/CR11)</f>
        <v/>
      </c>
      <c r="CX11" s="33" t="n"/>
      <c r="CY11" s="233" t="n"/>
      <c r="CZ11" s="233" t="n"/>
      <c r="DA11" s="233">
        <f>CY11+CZ11</f>
        <v/>
      </c>
      <c r="DB11" s="233" t="n"/>
      <c r="DC11" s="233" t="n"/>
      <c r="DD11" s="233">
        <f>DB11+DC11</f>
        <v/>
      </c>
      <c r="DE11" s="238">
        <f>DD11-DA11</f>
        <v/>
      </c>
      <c r="DF11" s="235">
        <f>IF(DA11=0,"",DD11/DA11)</f>
        <v/>
      </c>
      <c r="DG11" s="26" t="n"/>
      <c r="DH11" s="236">
        <f>CP11+CY11</f>
        <v/>
      </c>
      <c r="DI11" s="236">
        <f>CQ11+CZ11</f>
        <v/>
      </c>
      <c r="DJ11" s="236">
        <f>DH11+DI11</f>
        <v/>
      </c>
      <c r="DK11" s="236">
        <f>CS11+DB11</f>
        <v/>
      </c>
      <c r="DL11" s="236">
        <f>CT11+DC11</f>
        <v/>
      </c>
      <c r="DM11" s="236">
        <f>DK11+DL11</f>
        <v/>
      </c>
      <c r="DN11" s="239">
        <f>DM11-DJ11</f>
        <v/>
      </c>
      <c r="DO11" s="237">
        <f>IF(DJ11=0,"",DM11/DJ11)</f>
        <v/>
      </c>
      <c r="DP11" s="33" t="n"/>
      <c r="DQ11" s="233" t="n"/>
      <c r="DR11" s="233" t="n"/>
      <c r="DS11" s="233">
        <f>DQ11+DR11</f>
        <v/>
      </c>
      <c r="DT11" s="233" t="n"/>
      <c r="DU11" s="233" t="n"/>
      <c r="DV11" s="233">
        <f>DT11+DU11</f>
        <v/>
      </c>
      <c r="DW11" s="238">
        <f>DV11-DS11</f>
        <v/>
      </c>
      <c r="DX11" s="235">
        <f>IF(DS11=0,"",DV11/DS11)</f>
        <v/>
      </c>
      <c r="DY11" s="26" t="n"/>
      <c r="DZ11" s="236">
        <f>DH11+DQ11</f>
        <v/>
      </c>
      <c r="EA11" s="236">
        <f>DI11+DR11</f>
        <v/>
      </c>
      <c r="EB11" s="236">
        <f>DZ11+EA11</f>
        <v/>
      </c>
      <c r="EC11" s="236">
        <f>DK11+DT11</f>
        <v/>
      </c>
      <c r="ED11" s="236">
        <f>DL11+DU11</f>
        <v/>
      </c>
      <c r="EE11" s="236">
        <f>EC11+ED11</f>
        <v/>
      </c>
      <c r="EF11" s="239">
        <f>EE11-EB11</f>
        <v/>
      </c>
      <c r="EG11" s="237">
        <f>IF(EB11=0,"",EE11/EB11)</f>
        <v/>
      </c>
      <c r="EH11" s="33" t="n"/>
      <c r="EI11" s="233" t="n"/>
      <c r="EJ11" s="233" t="n"/>
      <c r="EK11" s="233">
        <f>EI11+EJ11</f>
        <v/>
      </c>
      <c r="EL11" s="233" t="n"/>
      <c r="EM11" s="233" t="n"/>
      <c r="EN11" s="233">
        <f>EL11+EM11</f>
        <v/>
      </c>
      <c r="EO11" s="238">
        <f>EN11-EK11</f>
        <v/>
      </c>
      <c r="EP11" s="235">
        <f>IF(EK11=0,"",EN11/EK11)</f>
        <v/>
      </c>
      <c r="EQ11" s="26" t="n"/>
      <c r="ER11" s="236">
        <f>DZ11+EI11</f>
        <v/>
      </c>
      <c r="ES11" s="236">
        <f>EA11+EJ11</f>
        <v/>
      </c>
      <c r="ET11" s="236">
        <f>ER11+ES11</f>
        <v/>
      </c>
      <c r="EU11" s="236">
        <f>EC11+EL11</f>
        <v/>
      </c>
      <c r="EV11" s="236">
        <f>ED11+EM11</f>
        <v/>
      </c>
      <c r="EW11" s="236">
        <f>EU11+EV11</f>
        <v/>
      </c>
      <c r="EX11" s="239">
        <f>EW11-ET11</f>
        <v/>
      </c>
      <c r="EY11" s="237">
        <f>IF(ET11=0,"",EW11/ET11)</f>
        <v/>
      </c>
      <c r="EZ11" s="33" t="n"/>
      <c r="FA11" s="233" t="n"/>
      <c r="FB11" s="233" t="n"/>
      <c r="FC11" s="233">
        <f>FA11+FB11</f>
        <v/>
      </c>
      <c r="FD11" s="233" t="n"/>
      <c r="FE11" s="233" t="n"/>
      <c r="FF11" s="233">
        <f>FD11+FE11</f>
        <v/>
      </c>
      <c r="FG11" s="238">
        <f>FF11-FC11</f>
        <v/>
      </c>
      <c r="FH11" s="235">
        <f>IF(FC11=0,"",FF11/FC11)</f>
        <v/>
      </c>
      <c r="FI11" s="26" t="n"/>
      <c r="FJ11" s="236">
        <f>ER11+FA11</f>
        <v/>
      </c>
      <c r="FK11" s="236">
        <f>ES11+FB11</f>
        <v/>
      </c>
      <c r="FL11" s="236">
        <f>FJ11+FK11</f>
        <v/>
      </c>
      <c r="FM11" s="236">
        <f>EU11+FD11</f>
        <v/>
      </c>
      <c r="FN11" s="236">
        <f>EV11+FE11</f>
        <v/>
      </c>
      <c r="FO11" s="236">
        <f>FM11+FN11</f>
        <v/>
      </c>
      <c r="FP11" s="239">
        <f>FO11-FL11</f>
        <v/>
      </c>
      <c r="FQ11" s="237">
        <f>IF(FL11=0,"",FO11/FL11)</f>
        <v/>
      </c>
      <c r="FR11" s="33" t="n"/>
      <c r="FS11" s="233" t="n"/>
      <c r="FT11" s="233" t="n"/>
      <c r="FU11" s="233">
        <f>FS11+FT11</f>
        <v/>
      </c>
      <c r="FV11" s="233" t="n"/>
      <c r="FW11" s="233" t="n"/>
      <c r="FX11" s="233">
        <f>FV11+FW11</f>
        <v/>
      </c>
      <c r="FY11" s="238">
        <f>FX11-FU11</f>
        <v/>
      </c>
      <c r="FZ11" s="235">
        <f>IF(FU11=0,"",FX11/FU11)</f>
        <v/>
      </c>
      <c r="GA11" s="26" t="n"/>
      <c r="GB11" s="236">
        <f>FJ11+FS11</f>
        <v/>
      </c>
      <c r="GC11" s="236">
        <f>FK11+FT11</f>
        <v/>
      </c>
      <c r="GD11" s="236">
        <f>GB11+GC11</f>
        <v/>
      </c>
      <c r="GE11" s="236">
        <f>FM11+FV11</f>
        <v/>
      </c>
      <c r="GF11" s="236">
        <f>FN11+FW11</f>
        <v/>
      </c>
      <c r="GG11" s="236">
        <f>GE11+GF11</f>
        <v/>
      </c>
      <c r="GH11" s="239">
        <f>GG11-GD11</f>
        <v/>
      </c>
      <c r="GI11" s="237">
        <f>IF(GD11=0,"",GG11/GD11)</f>
        <v/>
      </c>
      <c r="GJ11" s="33" t="n"/>
      <c r="GK11" s="233" t="n"/>
      <c r="GL11" s="233" t="n"/>
      <c r="GM11" s="233">
        <f>GK11+GL11</f>
        <v/>
      </c>
      <c r="GN11" s="233" t="n"/>
      <c r="GO11" s="233" t="n"/>
      <c r="GP11" s="233">
        <f>GN11+GO11</f>
        <v/>
      </c>
      <c r="GQ11" s="238">
        <f>GP11-GM11</f>
        <v/>
      </c>
      <c r="GR11" s="235">
        <f>IF(GM11=0,"",GP11/GM11)</f>
        <v/>
      </c>
      <c r="GS11" s="26" t="n"/>
      <c r="GT11" s="236">
        <f>GB11+GK11</f>
        <v/>
      </c>
      <c r="GU11" s="236">
        <f>GC11+GL11</f>
        <v/>
      </c>
      <c r="GV11" s="236">
        <f>GT11+GU11</f>
        <v/>
      </c>
      <c r="GW11" s="236">
        <f>GE11+GN11</f>
        <v/>
      </c>
      <c r="GX11" s="236">
        <f>GF11+GO11</f>
        <v/>
      </c>
      <c r="GY11" s="236">
        <f>GW11+GX11</f>
        <v/>
      </c>
      <c r="GZ11" s="239">
        <f>GY11-GV11</f>
        <v/>
      </c>
      <c r="HA11" s="237">
        <f>IF(GV11=0,"",GY11/GV11)</f>
        <v/>
      </c>
      <c r="HB11" s="33" t="n"/>
      <c r="HC11" s="233">
        <f>GT11</f>
        <v/>
      </c>
      <c r="HD11" s="233">
        <f>GU11</f>
        <v/>
      </c>
      <c r="HE11" s="233">
        <f>HC11+HD11</f>
        <v/>
      </c>
    </row>
    <row r="12" ht="15" customHeight="1" s="150">
      <c r="A12" s="18" t="n"/>
      <c r="B12" s="18" t="n"/>
      <c r="C12" s="18" t="n"/>
      <c r="D12" s="227">
        <f>SUM(D13:D15)</f>
        <v/>
      </c>
      <c r="E12" s="227">
        <f>SUM(E13:E15)</f>
        <v/>
      </c>
      <c r="F12" s="227">
        <f>D12+E12</f>
        <v/>
      </c>
      <c r="G12" s="227">
        <f>SUM(G13:G15)</f>
        <v/>
      </c>
      <c r="H12" s="227">
        <f>SUM(H13:H15)</f>
        <v/>
      </c>
      <c r="I12" s="227">
        <f>G12+H12</f>
        <v/>
      </c>
      <c r="J12" s="228">
        <f>I12-F12</f>
        <v/>
      </c>
      <c r="K12" s="229">
        <f>IF(F12=0,"",I12/F12)</f>
        <v/>
      </c>
      <c r="L12" s="18" t="n"/>
      <c r="M12" s="227">
        <f>SUM(M13:M15)</f>
        <v/>
      </c>
      <c r="N12" s="227">
        <f>SUM(N13:N15)</f>
        <v/>
      </c>
      <c r="O12" s="227">
        <f>M12+N12</f>
        <v/>
      </c>
      <c r="P12" s="227">
        <f>SUM(P13:P15)</f>
        <v/>
      </c>
      <c r="Q12" s="227">
        <f>SUM(Q13:Q15)</f>
        <v/>
      </c>
      <c r="R12" s="227">
        <f>P12+Q12</f>
        <v/>
      </c>
      <c r="S12" s="228">
        <f>R12-O12</f>
        <v/>
      </c>
      <c r="T12" s="229">
        <f>IF(O12=0,"",R12/O12)</f>
        <v/>
      </c>
      <c r="U12" s="18" t="n"/>
      <c r="V12" s="230">
        <f>SUM(V13:V15)</f>
        <v/>
      </c>
      <c r="W12" s="230">
        <f>SUM(W13:W15)</f>
        <v/>
      </c>
      <c r="X12" s="230">
        <f>V12+W12</f>
        <v/>
      </c>
      <c r="Y12" s="230">
        <f>SUM(Y13:Y15)</f>
        <v/>
      </c>
      <c r="Z12" s="230">
        <f>SUM(Z13:Z15)</f>
        <v/>
      </c>
      <c r="AA12" s="230">
        <f>Y12+Z12</f>
        <v/>
      </c>
      <c r="AB12" s="231">
        <f>AA12-X12</f>
        <v/>
      </c>
      <c r="AC12" s="232">
        <f>IF(X12=0,"",AA12/X12)</f>
        <v/>
      </c>
      <c r="AD12" s="25" t="n"/>
      <c r="AE12" s="227">
        <f>SUM(AE13:AE15)</f>
        <v/>
      </c>
      <c r="AF12" s="227">
        <f>SUM(AF13:AF15)</f>
        <v/>
      </c>
      <c r="AG12" s="227">
        <f>AE12+AF12</f>
        <v/>
      </c>
      <c r="AH12" s="227">
        <f>SUM(AH13:AH15)</f>
        <v/>
      </c>
      <c r="AI12" s="227">
        <f>SUM(AI13:AI15)</f>
        <v/>
      </c>
      <c r="AJ12" s="227">
        <f>AH12+AI12</f>
        <v/>
      </c>
      <c r="AK12" s="228">
        <f>AJ12-AG12</f>
        <v/>
      </c>
      <c r="AL12" s="229">
        <f>IF(AG12=0,"",AJ12/AG12)</f>
        <v/>
      </c>
      <c r="AM12" s="18" t="n"/>
      <c r="AN12" s="230">
        <f>SUM(AN13:AN15)</f>
        <v/>
      </c>
      <c r="AO12" s="230">
        <f>SUM(AO13:AO15)</f>
        <v/>
      </c>
      <c r="AP12" s="230">
        <f>AN12+AO12</f>
        <v/>
      </c>
      <c r="AQ12" s="230">
        <f>SUM(AQ13:AQ15)</f>
        <v/>
      </c>
      <c r="AR12" s="230">
        <f>SUM(AR13:AR15)</f>
        <v/>
      </c>
      <c r="AS12" s="230">
        <f>AQ12+AR12</f>
        <v/>
      </c>
      <c r="AT12" s="231">
        <f>AS12-AP12</f>
        <v/>
      </c>
      <c r="AU12" s="232">
        <f>IF(AP12=0,"",AS12/AP12)</f>
        <v/>
      </c>
      <c r="AV12" s="25" t="n"/>
      <c r="AW12" s="227">
        <f>SUM(AW13:AW15)</f>
        <v/>
      </c>
      <c r="AX12" s="227">
        <f>SUM(AX13:AX15)</f>
        <v/>
      </c>
      <c r="AY12" s="227">
        <f>AW12+AX12</f>
        <v/>
      </c>
      <c r="AZ12" s="227">
        <f>SUM(AZ13:AZ15)</f>
        <v/>
      </c>
      <c r="BA12" s="227">
        <f>SUM(BA13:BA15)</f>
        <v/>
      </c>
      <c r="BB12" s="227">
        <f>AZ12+BA12</f>
        <v/>
      </c>
      <c r="BC12" s="228">
        <f>BB12-AY12</f>
        <v/>
      </c>
      <c r="BD12" s="229">
        <f>IF(AY12=0,"",BB12/AY12)</f>
        <v/>
      </c>
      <c r="BE12" s="18" t="n"/>
      <c r="BF12" s="230">
        <f>SUM(BF13:BF15)</f>
        <v/>
      </c>
      <c r="BG12" s="230">
        <f>SUM(BG13:BG15)</f>
        <v/>
      </c>
      <c r="BH12" s="230">
        <f>BF12+BG12</f>
        <v/>
      </c>
      <c r="BI12" s="230">
        <f>SUM(BI13:BI15)</f>
        <v/>
      </c>
      <c r="BJ12" s="230">
        <f>SUM(BJ13:BJ15)</f>
        <v/>
      </c>
      <c r="BK12" s="230">
        <f>BI12+BJ12</f>
        <v/>
      </c>
      <c r="BL12" s="231">
        <f>BK12-BH12</f>
        <v/>
      </c>
      <c r="BM12" s="232">
        <f>IF(BH12=0,"",BK12/BH12)</f>
        <v/>
      </c>
      <c r="BN12" s="25" t="n"/>
      <c r="BO12" s="227">
        <f>SUM(BO13:BO15)</f>
        <v/>
      </c>
      <c r="BP12" s="227">
        <f>SUM(BP13:BP15)</f>
        <v/>
      </c>
      <c r="BQ12" s="227">
        <f>BO12+BP12</f>
        <v/>
      </c>
      <c r="BR12" s="227">
        <f>SUM(BR13:BR15)</f>
        <v/>
      </c>
      <c r="BS12" s="227">
        <f>SUM(BS13:BS15)</f>
        <v/>
      </c>
      <c r="BT12" s="227">
        <f>BR12+BS12</f>
        <v/>
      </c>
      <c r="BU12" s="228">
        <f>BT12-BQ12</f>
        <v/>
      </c>
      <c r="BV12" s="229">
        <f>IF(BQ12=0,"",BT12/BQ12)</f>
        <v/>
      </c>
      <c r="BW12" s="18" t="n"/>
      <c r="BX12" s="230">
        <f>SUM(BX13:BX15)</f>
        <v/>
      </c>
      <c r="BY12" s="230">
        <f>SUM(BY13:BY15)</f>
        <v/>
      </c>
      <c r="BZ12" s="230">
        <f>BX12+BY12</f>
        <v/>
      </c>
      <c r="CA12" s="230">
        <f>SUM(CA13:CA15)</f>
        <v/>
      </c>
      <c r="CB12" s="230">
        <f>SUM(CB13:CB15)</f>
        <v/>
      </c>
      <c r="CC12" s="230">
        <f>CA12+CB12</f>
        <v/>
      </c>
      <c r="CD12" s="231">
        <f>CC12-BZ12</f>
        <v/>
      </c>
      <c r="CE12" s="232">
        <f>IF(BZ12=0,"",CC12/BZ12)</f>
        <v/>
      </c>
      <c r="CF12" s="25" t="n"/>
      <c r="CG12" s="227">
        <f>SUM(CG13:CG15)</f>
        <v/>
      </c>
      <c r="CH12" s="227">
        <f>SUM(CH13:CH15)</f>
        <v/>
      </c>
      <c r="CI12" s="227">
        <f>CG12+CH12</f>
        <v/>
      </c>
      <c r="CJ12" s="227">
        <f>SUM(CJ13:CJ15)</f>
        <v/>
      </c>
      <c r="CK12" s="227">
        <f>SUM(CK13:CK15)</f>
        <v/>
      </c>
      <c r="CL12" s="227">
        <f>CJ12+CK12</f>
        <v/>
      </c>
      <c r="CM12" s="228">
        <f>CL12-CI12</f>
        <v/>
      </c>
      <c r="CN12" s="229">
        <f>IF(CI12=0,"",CL12/CI12)</f>
        <v/>
      </c>
      <c r="CO12" s="18" t="n"/>
      <c r="CP12" s="230">
        <f>SUM(CP13:CP15)</f>
        <v/>
      </c>
      <c r="CQ12" s="230">
        <f>SUM(CQ13:CQ15)</f>
        <v/>
      </c>
      <c r="CR12" s="230">
        <f>CP12+CQ12</f>
        <v/>
      </c>
      <c r="CS12" s="230">
        <f>SUM(CS13:CS15)</f>
        <v/>
      </c>
      <c r="CT12" s="230">
        <f>SUM(CT13:CT15)</f>
        <v/>
      </c>
      <c r="CU12" s="230">
        <f>CS12+CT12</f>
        <v/>
      </c>
      <c r="CV12" s="231">
        <f>CU12-CR12</f>
        <v/>
      </c>
      <c r="CW12" s="232">
        <f>IF(CR12=0,"",CU12/CR12)</f>
        <v/>
      </c>
      <c r="CX12" s="25" t="n"/>
      <c r="CY12" s="227">
        <f>SUM(CY13:CY15)</f>
        <v/>
      </c>
      <c r="CZ12" s="227">
        <f>SUM(CZ13:CZ15)</f>
        <v/>
      </c>
      <c r="DA12" s="227">
        <f>CY12+CZ12</f>
        <v/>
      </c>
      <c r="DB12" s="227">
        <f>SUM(DB13:DB15)</f>
        <v/>
      </c>
      <c r="DC12" s="227">
        <f>SUM(DC13:DC15)</f>
        <v/>
      </c>
      <c r="DD12" s="227">
        <f>DB12+DC12</f>
        <v/>
      </c>
      <c r="DE12" s="228">
        <f>DD12-DA12</f>
        <v/>
      </c>
      <c r="DF12" s="229">
        <f>IF(DA12=0,"",DD12/DA12)</f>
        <v/>
      </c>
      <c r="DG12" s="18" t="n"/>
      <c r="DH12" s="230">
        <f>SUM(DH13:DH15)</f>
        <v/>
      </c>
      <c r="DI12" s="230">
        <f>SUM(DI13:DI15)</f>
        <v/>
      </c>
      <c r="DJ12" s="230">
        <f>DH12+DI12</f>
        <v/>
      </c>
      <c r="DK12" s="230">
        <f>SUM(DK13:DK15)</f>
        <v/>
      </c>
      <c r="DL12" s="230">
        <f>SUM(DL13:DL15)</f>
        <v/>
      </c>
      <c r="DM12" s="230">
        <f>DK12+DL12</f>
        <v/>
      </c>
      <c r="DN12" s="231">
        <f>DM12-DJ12</f>
        <v/>
      </c>
      <c r="DO12" s="232">
        <f>IF(DJ12=0,"",DM12/DJ12)</f>
        <v/>
      </c>
      <c r="DP12" s="25" t="n"/>
      <c r="DQ12" s="227">
        <f>SUM(DQ13:DQ15)</f>
        <v/>
      </c>
      <c r="DR12" s="227">
        <f>SUM(DR13:DR15)</f>
        <v/>
      </c>
      <c r="DS12" s="227">
        <f>DQ12+DR12</f>
        <v/>
      </c>
      <c r="DT12" s="227">
        <f>SUM(DT13:DT15)</f>
        <v/>
      </c>
      <c r="DU12" s="227">
        <f>SUM(DU13:DU15)</f>
        <v/>
      </c>
      <c r="DV12" s="227">
        <f>DT12+DU12</f>
        <v/>
      </c>
      <c r="DW12" s="228">
        <f>DV12-DS12</f>
        <v/>
      </c>
      <c r="DX12" s="229">
        <f>IF(DS12=0,"",DV12/DS12)</f>
        <v/>
      </c>
      <c r="DY12" s="18" t="n"/>
      <c r="DZ12" s="230">
        <f>SUM(DZ13:DZ15)</f>
        <v/>
      </c>
      <c r="EA12" s="230">
        <f>SUM(EA13:EA15)</f>
        <v/>
      </c>
      <c r="EB12" s="230">
        <f>DZ12+EA12</f>
        <v/>
      </c>
      <c r="EC12" s="230">
        <f>SUM(EC13:EC15)</f>
        <v/>
      </c>
      <c r="ED12" s="230">
        <f>SUM(ED13:ED15)</f>
        <v/>
      </c>
      <c r="EE12" s="230">
        <f>EC12+ED12</f>
        <v/>
      </c>
      <c r="EF12" s="231">
        <f>EE12-EB12</f>
        <v/>
      </c>
      <c r="EG12" s="232">
        <f>IF(EB12=0,"",EE12/EB12)</f>
        <v/>
      </c>
      <c r="EH12" s="25" t="n"/>
      <c r="EI12" s="227">
        <f>SUM(EI13:EI15)</f>
        <v/>
      </c>
      <c r="EJ12" s="227">
        <f>SUM(EJ13:EJ15)</f>
        <v/>
      </c>
      <c r="EK12" s="227">
        <f>EI12+EJ12</f>
        <v/>
      </c>
      <c r="EL12" s="227">
        <f>SUM(EL13:EL15)</f>
        <v/>
      </c>
      <c r="EM12" s="227">
        <f>SUM(EM13:EM15)</f>
        <v/>
      </c>
      <c r="EN12" s="227">
        <f>EL12+EM12</f>
        <v/>
      </c>
      <c r="EO12" s="228">
        <f>EN12-EK12</f>
        <v/>
      </c>
      <c r="EP12" s="229">
        <f>IF(EK12=0,"",EN12/EK12)</f>
        <v/>
      </c>
      <c r="EQ12" s="18" t="n"/>
      <c r="ER12" s="230">
        <f>SUM(ER13:ER15)</f>
        <v/>
      </c>
      <c r="ES12" s="230">
        <f>SUM(ES13:ES15)</f>
        <v/>
      </c>
      <c r="ET12" s="230">
        <f>ER12+ES12</f>
        <v/>
      </c>
      <c r="EU12" s="230">
        <f>SUM(EU13:EU15)</f>
        <v/>
      </c>
      <c r="EV12" s="230">
        <f>SUM(EV13:EV15)</f>
        <v/>
      </c>
      <c r="EW12" s="230">
        <f>EU12+EV12</f>
        <v/>
      </c>
      <c r="EX12" s="231">
        <f>EW12-ET12</f>
        <v/>
      </c>
      <c r="EY12" s="232">
        <f>IF(ET12=0,"",EW12/ET12)</f>
        <v/>
      </c>
      <c r="EZ12" s="25" t="n"/>
      <c r="FA12" s="227">
        <f>SUM(FA13:FA15)</f>
        <v/>
      </c>
      <c r="FB12" s="227">
        <f>SUM(FB13:FB15)</f>
        <v/>
      </c>
      <c r="FC12" s="227">
        <f>FA12+FB12</f>
        <v/>
      </c>
      <c r="FD12" s="227">
        <f>SUM(FD13:FD15)</f>
        <v/>
      </c>
      <c r="FE12" s="227">
        <f>SUM(FE13:FE15)</f>
        <v/>
      </c>
      <c r="FF12" s="227">
        <f>FD12+FE12</f>
        <v/>
      </c>
      <c r="FG12" s="228">
        <f>FF12-FC12</f>
        <v/>
      </c>
      <c r="FH12" s="229">
        <f>IF(FC12=0,"",FF12/FC12)</f>
        <v/>
      </c>
      <c r="FI12" s="18" t="n"/>
      <c r="FJ12" s="230">
        <f>SUM(FJ13:FJ15)</f>
        <v/>
      </c>
      <c r="FK12" s="230">
        <f>SUM(FK13:FK15)</f>
        <v/>
      </c>
      <c r="FL12" s="230">
        <f>FJ12+FK12</f>
        <v/>
      </c>
      <c r="FM12" s="230">
        <f>SUM(FM13:FM15)</f>
        <v/>
      </c>
      <c r="FN12" s="230">
        <f>SUM(FN13:FN15)</f>
        <v/>
      </c>
      <c r="FO12" s="230">
        <f>FM12+FN12</f>
        <v/>
      </c>
      <c r="FP12" s="231">
        <f>FO12-FL12</f>
        <v/>
      </c>
      <c r="FQ12" s="232">
        <f>IF(FL12=0,"",FO12/FL12)</f>
        <v/>
      </c>
      <c r="FR12" s="25" t="n"/>
      <c r="FS12" s="227">
        <f>SUM(FS13:FS15)</f>
        <v/>
      </c>
      <c r="FT12" s="227">
        <f>SUM(FT13:FT15)</f>
        <v/>
      </c>
      <c r="FU12" s="227">
        <f>FS12+FT12</f>
        <v/>
      </c>
      <c r="FV12" s="227">
        <f>SUM(FV13:FV15)</f>
        <v/>
      </c>
      <c r="FW12" s="227">
        <f>SUM(FW13:FW15)</f>
        <v/>
      </c>
      <c r="FX12" s="227">
        <f>FV12+FW12</f>
        <v/>
      </c>
      <c r="FY12" s="228">
        <f>FX12-FU12</f>
        <v/>
      </c>
      <c r="FZ12" s="229">
        <f>IF(FU12=0,"",FX12/FU12)</f>
        <v/>
      </c>
      <c r="GA12" s="18" t="n"/>
      <c r="GB12" s="230">
        <f>SUM(GB13:GB15)</f>
        <v/>
      </c>
      <c r="GC12" s="230">
        <f>SUM(GC13:GC15)</f>
        <v/>
      </c>
      <c r="GD12" s="230">
        <f>GB12+GC12</f>
        <v/>
      </c>
      <c r="GE12" s="230">
        <f>SUM(GE13:GE15)</f>
        <v/>
      </c>
      <c r="GF12" s="230">
        <f>SUM(GF13:GF15)</f>
        <v/>
      </c>
      <c r="GG12" s="230">
        <f>GE12+GF12</f>
        <v/>
      </c>
      <c r="GH12" s="231">
        <f>GG12-GD12</f>
        <v/>
      </c>
      <c r="GI12" s="232">
        <f>IF(GD12=0,"",GG12/GD12)</f>
        <v/>
      </c>
      <c r="GJ12" s="25" t="n"/>
      <c r="GK12" s="227">
        <f>SUM(GK13:GK15)</f>
        <v/>
      </c>
      <c r="GL12" s="227">
        <f>SUM(GL13:GL15)</f>
        <v/>
      </c>
      <c r="GM12" s="227">
        <f>GK12+GL12</f>
        <v/>
      </c>
      <c r="GN12" s="227">
        <f>SUM(GN13:GN15)</f>
        <v/>
      </c>
      <c r="GO12" s="227">
        <f>SUM(GO13:GO15)</f>
        <v/>
      </c>
      <c r="GP12" s="227">
        <f>GN12+GO12</f>
        <v/>
      </c>
      <c r="GQ12" s="228">
        <f>GP12-GM12</f>
        <v/>
      </c>
      <c r="GR12" s="229">
        <f>IF(GM12=0,"",GP12/GM12)</f>
        <v/>
      </c>
      <c r="GS12" s="18" t="n"/>
      <c r="GT12" s="230">
        <f>SUM(GT13:GT15)</f>
        <v/>
      </c>
      <c r="GU12" s="230">
        <f>SUM(GU13:GU15)</f>
        <v/>
      </c>
      <c r="GV12" s="230">
        <f>GT12+GU12</f>
        <v/>
      </c>
      <c r="GW12" s="230">
        <f>SUM(GW13:GW15)</f>
        <v/>
      </c>
      <c r="GX12" s="230">
        <f>SUM(GX13:GX15)</f>
        <v/>
      </c>
      <c r="GY12" s="230">
        <f>GW12+GX12</f>
        <v/>
      </c>
      <c r="GZ12" s="231">
        <f>GY12-GV12</f>
        <v/>
      </c>
      <c r="HA12" s="232">
        <f>IF(GV12=0,"",GY12/GV12)</f>
        <v/>
      </c>
      <c r="HB12" s="25" t="n"/>
      <c r="HC12" s="227">
        <f>GT12</f>
        <v/>
      </c>
      <c r="HD12" s="227">
        <f>GU12</f>
        <v/>
      </c>
      <c r="HE12" s="227">
        <f>HC12+HD12</f>
        <v/>
      </c>
    </row>
    <row r="13" outlineLevel="1" ht="144" customHeight="1" s="150">
      <c r="A13" s="26" t="n"/>
      <c r="B13" s="26" t="n"/>
      <c r="C13" s="26" t="n"/>
      <c r="D13" s="233" t="n"/>
      <c r="E13" s="233" t="n"/>
      <c r="F13" s="233">
        <f>D13+E13</f>
        <v/>
      </c>
      <c r="G13" s="233" t="n"/>
      <c r="H13" s="233" t="n"/>
      <c r="I13" s="233">
        <f>G13+H13</f>
        <v/>
      </c>
      <c r="J13" s="234">
        <f>I13-F13</f>
        <v/>
      </c>
      <c r="K13" s="235">
        <f>IF(F13=0,"",I13/F13)</f>
        <v/>
      </c>
      <c r="L13" s="42" t="n"/>
      <c r="M13" s="233" t="n"/>
      <c r="N13" s="233" t="n"/>
      <c r="O13" s="233">
        <f>M13+N13</f>
        <v/>
      </c>
      <c r="P13" s="233" t="n"/>
      <c r="Q13" s="233" t="n"/>
      <c r="R13" s="233">
        <f>P13+Q13</f>
        <v/>
      </c>
      <c r="S13" s="234">
        <f>R13-O13</f>
        <v/>
      </c>
      <c r="T13" s="235">
        <f>IF(O13=0,"",R13/O13)</f>
        <v/>
      </c>
      <c r="U13" s="26" t="n"/>
      <c r="V13" s="236">
        <f>D13+M13</f>
        <v/>
      </c>
      <c r="W13" s="236">
        <f>E13+N13</f>
        <v/>
      </c>
      <c r="X13" s="236">
        <f>V13+W13</f>
        <v/>
      </c>
      <c r="Y13" s="236">
        <f>G13+P13</f>
        <v/>
      </c>
      <c r="Z13" s="236">
        <f>H13+Q13</f>
        <v/>
      </c>
      <c r="AA13" s="236">
        <f>Y13+Z13</f>
        <v/>
      </c>
      <c r="AB13" s="234">
        <f>AA13-X13</f>
        <v/>
      </c>
      <c r="AC13" s="237">
        <f>IF(X13=0,"",AA13/X13)</f>
        <v/>
      </c>
      <c r="AD13" s="44" t="n"/>
      <c r="AE13" s="233" t="n"/>
      <c r="AF13" s="233" t="n"/>
      <c r="AG13" s="233">
        <f>AE13+AF13</f>
        <v/>
      </c>
      <c r="AH13" s="233" t="n"/>
      <c r="AI13" s="233" t="n"/>
      <c r="AJ13" s="233">
        <f>AH13+AI13</f>
        <v/>
      </c>
      <c r="AK13" s="234">
        <f>AJ13-AG13</f>
        <v/>
      </c>
      <c r="AL13" s="235">
        <f>IF(AG13=0,"",AJ13/AG13)</f>
        <v/>
      </c>
      <c r="AM13" s="26" t="n"/>
      <c r="AN13" s="236">
        <f>V13+AE13</f>
        <v/>
      </c>
      <c r="AO13" s="236">
        <f>W13+AF13</f>
        <v/>
      </c>
      <c r="AP13" s="236">
        <f>AN13+AO13</f>
        <v/>
      </c>
      <c r="AQ13" s="236">
        <f>Y13+AH13</f>
        <v/>
      </c>
      <c r="AR13" s="236">
        <f>Z13+AI13</f>
        <v/>
      </c>
      <c r="AS13" s="236">
        <f>AQ13+AR13</f>
        <v/>
      </c>
      <c r="AT13" s="239">
        <f>AS13-AP13</f>
        <v/>
      </c>
      <c r="AU13" s="237">
        <f>IF(AP13=0,"",AS13/AP13)</f>
        <v/>
      </c>
      <c r="AV13" s="44" t="n"/>
      <c r="AW13" s="233" t="n"/>
      <c r="AX13" s="233" t="n"/>
      <c r="AY13" s="233">
        <f>AW13+AX13</f>
        <v/>
      </c>
      <c r="AZ13" s="233" t="n"/>
      <c r="BA13" s="233" t="n"/>
      <c r="BB13" s="233">
        <f>AZ13+BA13</f>
        <v/>
      </c>
      <c r="BC13" s="238">
        <f>BB13-AY13</f>
        <v/>
      </c>
      <c r="BD13" s="235">
        <f>IF(AY13=0,"",BB13/AY13)</f>
        <v/>
      </c>
      <c r="BE13" s="26" t="n"/>
      <c r="BF13" s="236">
        <f>AN13+AW13</f>
        <v/>
      </c>
      <c r="BG13" s="236">
        <f>AO13+AX13</f>
        <v/>
      </c>
      <c r="BH13" s="236">
        <f>BF13+BG13</f>
        <v/>
      </c>
      <c r="BI13" s="236">
        <f>AQ13+AZ13</f>
        <v/>
      </c>
      <c r="BJ13" s="236">
        <f>AR13+BA13</f>
        <v/>
      </c>
      <c r="BK13" s="236">
        <f>BI13+BJ13</f>
        <v/>
      </c>
      <c r="BL13" s="239">
        <f>BK13-BH13</f>
        <v/>
      </c>
      <c r="BM13" s="237">
        <f>IF(BH13=0,"",BK13/BH13)</f>
        <v/>
      </c>
      <c r="BN13" s="33" t="n"/>
      <c r="BO13" s="233" t="n"/>
      <c r="BP13" s="233" t="n"/>
      <c r="BQ13" s="233">
        <f>BO13+BP13</f>
        <v/>
      </c>
      <c r="BR13" s="233" t="n"/>
      <c r="BS13" s="233" t="n"/>
      <c r="BT13" s="233">
        <f>BR13+BS13</f>
        <v/>
      </c>
      <c r="BU13" s="238">
        <f>BT13-BQ13</f>
        <v/>
      </c>
      <c r="BV13" s="235">
        <f>IF(BQ13=0,"",BT13/BQ13)</f>
        <v/>
      </c>
      <c r="BW13" s="26" t="n"/>
      <c r="BX13" s="236">
        <f>BF13+BO13</f>
        <v/>
      </c>
      <c r="BY13" s="236">
        <f>BG13+BP13</f>
        <v/>
      </c>
      <c r="BZ13" s="236">
        <f>BX13+BY13</f>
        <v/>
      </c>
      <c r="CA13" s="236">
        <f>BI13+BR13</f>
        <v/>
      </c>
      <c r="CB13" s="236">
        <f>BJ13+BS13</f>
        <v/>
      </c>
      <c r="CC13" s="236">
        <f>CA13+CB13</f>
        <v/>
      </c>
      <c r="CD13" s="239">
        <f>CC13-BZ13</f>
        <v/>
      </c>
      <c r="CE13" s="237">
        <f>IF(BZ13=0,"",CC13/BZ13)</f>
        <v/>
      </c>
      <c r="CF13" s="33" t="n"/>
      <c r="CG13" s="233" t="n"/>
      <c r="CH13" s="233" t="n"/>
      <c r="CI13" s="233">
        <f>CG13+CH13</f>
        <v/>
      </c>
      <c r="CJ13" s="233" t="n"/>
      <c r="CK13" s="233" t="n"/>
      <c r="CL13" s="233">
        <f>CJ13+CK13</f>
        <v/>
      </c>
      <c r="CM13" s="238">
        <f>CL13-CI13</f>
        <v/>
      </c>
      <c r="CN13" s="235">
        <f>IF(CI13=0,"",CL13/CI13)</f>
        <v/>
      </c>
      <c r="CO13" s="26" t="n"/>
      <c r="CP13" s="236">
        <f>BX13+CG13</f>
        <v/>
      </c>
      <c r="CQ13" s="236">
        <f>BY13+CH13</f>
        <v/>
      </c>
      <c r="CR13" s="236">
        <f>CP13+CQ13</f>
        <v/>
      </c>
      <c r="CS13" s="236">
        <f>CA13+CJ13</f>
        <v/>
      </c>
      <c r="CT13" s="236">
        <f>CB13+CK13</f>
        <v/>
      </c>
      <c r="CU13" s="236">
        <f>CS13+CT13</f>
        <v/>
      </c>
      <c r="CV13" s="239">
        <f>CU13-CR13</f>
        <v/>
      </c>
      <c r="CW13" s="237">
        <f>IF(CR13=0,"",CU13/CR13)</f>
        <v/>
      </c>
      <c r="CX13" s="33" t="n"/>
      <c r="CY13" s="233" t="n"/>
      <c r="CZ13" s="233" t="n"/>
      <c r="DA13" s="233">
        <f>CY13+CZ13</f>
        <v/>
      </c>
      <c r="DB13" s="233" t="n"/>
      <c r="DC13" s="233" t="n"/>
      <c r="DD13" s="233">
        <f>DB13+DC13</f>
        <v/>
      </c>
      <c r="DE13" s="238">
        <f>DD13-DA13</f>
        <v/>
      </c>
      <c r="DF13" s="235">
        <f>IF(DA13=0,"",DD13/DA13)</f>
        <v/>
      </c>
      <c r="DG13" s="26" t="n"/>
      <c r="DH13" s="236">
        <f>CP13+CY13</f>
        <v/>
      </c>
      <c r="DI13" s="236">
        <f>CQ13+CZ13</f>
        <v/>
      </c>
      <c r="DJ13" s="236">
        <f>DH13+DI13</f>
        <v/>
      </c>
      <c r="DK13" s="236">
        <f>CS13+DB13</f>
        <v/>
      </c>
      <c r="DL13" s="236">
        <f>CT13+DC13</f>
        <v/>
      </c>
      <c r="DM13" s="236">
        <f>DK13+DL13</f>
        <v/>
      </c>
      <c r="DN13" s="239">
        <f>DM13-DJ13</f>
        <v/>
      </c>
      <c r="DO13" s="237">
        <f>IF(DJ13=0,"",DM13/DJ13)</f>
        <v/>
      </c>
      <c r="DP13" s="33" t="n"/>
      <c r="DQ13" s="233" t="n"/>
      <c r="DR13" s="233" t="n"/>
      <c r="DS13" s="233">
        <f>DQ13+DR13</f>
        <v/>
      </c>
      <c r="DT13" s="233" t="n"/>
      <c r="DU13" s="233" t="n"/>
      <c r="DV13" s="233">
        <f>DT13+DU13</f>
        <v/>
      </c>
      <c r="DW13" s="238">
        <f>DV13-DS13</f>
        <v/>
      </c>
      <c r="DX13" s="235">
        <f>IF(DS13=0,"",DV13/DS13)</f>
        <v/>
      </c>
      <c r="DY13" s="26" t="n"/>
      <c r="DZ13" s="236">
        <f>DH13+DQ13</f>
        <v/>
      </c>
      <c r="EA13" s="236">
        <f>DI13+DR13</f>
        <v/>
      </c>
      <c r="EB13" s="236">
        <f>DZ13+EA13</f>
        <v/>
      </c>
      <c r="EC13" s="236">
        <f>DK13+DT13</f>
        <v/>
      </c>
      <c r="ED13" s="236">
        <f>DL13+DU13</f>
        <v/>
      </c>
      <c r="EE13" s="236">
        <f>EC13+ED13</f>
        <v/>
      </c>
      <c r="EF13" s="239">
        <f>EE13-EB13</f>
        <v/>
      </c>
      <c r="EG13" s="237">
        <f>IF(EB13=0,"",EE13/EB13)</f>
        <v/>
      </c>
      <c r="EH13" s="33" t="n"/>
      <c r="EI13" s="233" t="n"/>
      <c r="EJ13" s="233" t="n"/>
      <c r="EK13" s="233">
        <f>EI13+EJ13</f>
        <v/>
      </c>
      <c r="EL13" s="233" t="n"/>
      <c r="EM13" s="233" t="n"/>
      <c r="EN13" s="233">
        <f>EL13+EM13</f>
        <v/>
      </c>
      <c r="EO13" s="238">
        <f>EN13-EK13</f>
        <v/>
      </c>
      <c r="EP13" s="235">
        <f>IF(EK13=0,"",EN13/EK13)</f>
        <v/>
      </c>
      <c r="EQ13" s="26" t="n"/>
      <c r="ER13" s="236">
        <f>DZ13+EI13</f>
        <v/>
      </c>
      <c r="ES13" s="236">
        <f>EA13+EJ13</f>
        <v/>
      </c>
      <c r="ET13" s="236">
        <f>ER13+ES13</f>
        <v/>
      </c>
      <c r="EU13" s="236">
        <f>EC13+EL13</f>
        <v/>
      </c>
      <c r="EV13" s="236">
        <f>ED13+EM13</f>
        <v/>
      </c>
      <c r="EW13" s="236">
        <f>EU13+EV13</f>
        <v/>
      </c>
      <c r="EX13" s="239">
        <f>EW13-ET13</f>
        <v/>
      </c>
      <c r="EY13" s="237">
        <f>IF(ET13=0,"",EW13/ET13)</f>
        <v/>
      </c>
      <c r="EZ13" s="33" t="n"/>
      <c r="FA13" s="233" t="n"/>
      <c r="FB13" s="233" t="n"/>
      <c r="FC13" s="233">
        <f>FA13+FB13</f>
        <v/>
      </c>
      <c r="FD13" s="233" t="n"/>
      <c r="FE13" s="233" t="n"/>
      <c r="FF13" s="233">
        <f>FD13+FE13</f>
        <v/>
      </c>
      <c r="FG13" s="238">
        <f>FF13-FC13</f>
        <v/>
      </c>
      <c r="FH13" s="235">
        <f>IF(FC13=0,"",FF13/FC13)</f>
        <v/>
      </c>
      <c r="FI13" s="26" t="n"/>
      <c r="FJ13" s="236">
        <f>ER13+FA13</f>
        <v/>
      </c>
      <c r="FK13" s="236">
        <f>ES13+FB13</f>
        <v/>
      </c>
      <c r="FL13" s="236">
        <f>FJ13+FK13</f>
        <v/>
      </c>
      <c r="FM13" s="236">
        <f>EU13+FD13</f>
        <v/>
      </c>
      <c r="FN13" s="236">
        <f>EV13+FE13</f>
        <v/>
      </c>
      <c r="FO13" s="236">
        <f>FM13+FN13</f>
        <v/>
      </c>
      <c r="FP13" s="239">
        <f>FO13-FL13</f>
        <v/>
      </c>
      <c r="FQ13" s="237">
        <f>IF(FL13=0,"",FO13/FL13)</f>
        <v/>
      </c>
      <c r="FR13" s="33" t="n"/>
      <c r="FS13" s="233" t="n"/>
      <c r="FT13" s="233" t="n"/>
      <c r="FU13" s="233">
        <f>FS13+FT13</f>
        <v/>
      </c>
      <c r="FV13" s="233" t="n"/>
      <c r="FW13" s="233" t="n"/>
      <c r="FX13" s="233">
        <f>FV13+FW13</f>
        <v/>
      </c>
      <c r="FY13" s="238">
        <f>FX13-FU13</f>
        <v/>
      </c>
      <c r="FZ13" s="235">
        <f>IF(FU13=0,"",FX13/FU13)</f>
        <v/>
      </c>
      <c r="GA13" s="26" t="n"/>
      <c r="GB13" s="236">
        <f>FJ13+FS13</f>
        <v/>
      </c>
      <c r="GC13" s="236">
        <f>FK13+FT13</f>
        <v/>
      </c>
      <c r="GD13" s="236">
        <f>GB13+GC13</f>
        <v/>
      </c>
      <c r="GE13" s="236">
        <f>FM13+FV13</f>
        <v/>
      </c>
      <c r="GF13" s="236">
        <f>FN13+FW13</f>
        <v/>
      </c>
      <c r="GG13" s="236">
        <f>GE13+GF13</f>
        <v/>
      </c>
      <c r="GH13" s="239">
        <f>GG13-GD13</f>
        <v/>
      </c>
      <c r="GI13" s="237">
        <f>IF(GD13=0,"",GG13/GD13)</f>
        <v/>
      </c>
      <c r="GJ13" s="33" t="n"/>
      <c r="GK13" s="233" t="n"/>
      <c r="GL13" s="233" t="n"/>
      <c r="GM13" s="233">
        <f>GK13+GL13</f>
        <v/>
      </c>
      <c r="GN13" s="233" t="n"/>
      <c r="GO13" s="233" t="n"/>
      <c r="GP13" s="233">
        <f>GN13+GO13</f>
        <v/>
      </c>
      <c r="GQ13" s="238">
        <f>GP13-GM13</f>
        <v/>
      </c>
      <c r="GR13" s="235">
        <f>IF(GM13=0,"",GP13/GM13)</f>
        <v/>
      </c>
      <c r="GS13" s="26" t="n"/>
      <c r="GT13" s="236">
        <f>GB13+GK13</f>
        <v/>
      </c>
      <c r="GU13" s="236">
        <f>GC13+GL13</f>
        <v/>
      </c>
      <c r="GV13" s="236">
        <f>GT13+GU13</f>
        <v/>
      </c>
      <c r="GW13" s="236">
        <f>GE13+GN13</f>
        <v/>
      </c>
      <c r="GX13" s="236">
        <f>GF13+GO13</f>
        <v/>
      </c>
      <c r="GY13" s="236">
        <f>GW13+GX13</f>
        <v/>
      </c>
      <c r="GZ13" s="239">
        <f>GY13-GV13</f>
        <v/>
      </c>
      <c r="HA13" s="237">
        <f>IF(GV13=0,"",GY13/GV13)</f>
        <v/>
      </c>
      <c r="HB13" s="33" t="n"/>
      <c r="HC13" s="233">
        <f>GT13</f>
        <v/>
      </c>
      <c r="HD13" s="233">
        <f>GU13</f>
        <v/>
      </c>
      <c r="HE13" s="233">
        <f>HC13+HD13</f>
        <v/>
      </c>
    </row>
    <row r="14" outlineLevel="1" ht="15" customHeight="1" s="150">
      <c r="A14" s="26" t="n"/>
      <c r="B14" s="26" t="n"/>
      <c r="C14" s="26" t="n"/>
      <c r="D14" s="233" t="n"/>
      <c r="E14" s="233" t="n"/>
      <c r="F14" s="233">
        <f>D14+E14</f>
        <v/>
      </c>
      <c r="G14" s="233" t="n"/>
      <c r="H14" s="233" t="n"/>
      <c r="I14" s="233">
        <f>G14+H14</f>
        <v/>
      </c>
      <c r="J14" s="234">
        <f>I14-F14</f>
        <v/>
      </c>
      <c r="K14" s="235">
        <f>IF(F14=0,"",I14/F14)</f>
        <v/>
      </c>
      <c r="L14" s="26" t="n"/>
      <c r="M14" s="233" t="n"/>
      <c r="N14" s="233" t="n"/>
      <c r="O14" s="233">
        <f>M14+N14</f>
        <v/>
      </c>
      <c r="P14" s="233" t="n"/>
      <c r="Q14" s="233" t="n"/>
      <c r="R14" s="233">
        <f>P14+Q14</f>
        <v/>
      </c>
      <c r="S14" s="238">
        <f>R14-O14</f>
        <v/>
      </c>
      <c r="T14" s="235">
        <f>IF(O14=0,"",R14/O14)</f>
        <v/>
      </c>
      <c r="U14" s="26" t="n"/>
      <c r="V14" s="236">
        <f>D14+M14</f>
        <v/>
      </c>
      <c r="W14" s="236">
        <f>E14+N14</f>
        <v/>
      </c>
      <c r="X14" s="236">
        <f>V14+W14</f>
        <v/>
      </c>
      <c r="Y14" s="236">
        <f>G14+P14</f>
        <v/>
      </c>
      <c r="Z14" s="236">
        <f>H14+Q14</f>
        <v/>
      </c>
      <c r="AA14" s="236">
        <f>Y14+Z14</f>
        <v/>
      </c>
      <c r="AB14" s="234">
        <f>AA14-X14</f>
        <v/>
      </c>
      <c r="AC14" s="237">
        <f>IF(X14=0,"",AA14/X14)</f>
        <v/>
      </c>
      <c r="AD14" s="33" t="n"/>
      <c r="AE14" s="233" t="n"/>
      <c r="AF14" s="233" t="n"/>
      <c r="AG14" s="233">
        <f>AE14+AF14</f>
        <v/>
      </c>
      <c r="AH14" s="233" t="n"/>
      <c r="AI14" s="233" t="n"/>
      <c r="AJ14" s="233">
        <f>AH14+AI14</f>
        <v/>
      </c>
      <c r="AK14" s="238">
        <f>AJ14-AG14</f>
        <v/>
      </c>
      <c r="AL14" s="235">
        <f>IF(AG14=0,"",AJ14/AG14)</f>
        <v/>
      </c>
      <c r="AM14" s="26" t="n"/>
      <c r="AN14" s="236">
        <f>V14+AE14</f>
        <v/>
      </c>
      <c r="AO14" s="236">
        <f>W14+AF14</f>
        <v/>
      </c>
      <c r="AP14" s="236">
        <f>AN14+AO14</f>
        <v/>
      </c>
      <c r="AQ14" s="236">
        <f>Y14+AH14</f>
        <v/>
      </c>
      <c r="AR14" s="236">
        <f>Z14+AI14</f>
        <v/>
      </c>
      <c r="AS14" s="236">
        <f>AQ14+AR14</f>
        <v/>
      </c>
      <c r="AT14" s="234">
        <f>AS14-AP14</f>
        <v/>
      </c>
      <c r="AU14" s="237">
        <f>IF(AP14=0,"",AS14/AP14)</f>
        <v/>
      </c>
      <c r="AV14" s="33" t="n"/>
      <c r="AW14" s="233" t="n"/>
      <c r="AX14" s="233" t="n"/>
      <c r="AY14" s="233">
        <f>AW14+AX14</f>
        <v/>
      </c>
      <c r="AZ14" s="233" t="n"/>
      <c r="BA14" s="233" t="n"/>
      <c r="BB14" s="233">
        <f>AZ14+BA14</f>
        <v/>
      </c>
      <c r="BC14" s="238">
        <f>BB14-AY14</f>
        <v/>
      </c>
      <c r="BD14" s="235">
        <f>IF(AY14=0,"",BB14/AY14)</f>
        <v/>
      </c>
      <c r="BE14" s="26" t="n"/>
      <c r="BF14" s="236">
        <f>AN14+AW14</f>
        <v/>
      </c>
      <c r="BG14" s="236">
        <f>AO14+AX14</f>
        <v/>
      </c>
      <c r="BH14" s="236">
        <f>BF14+BG14</f>
        <v/>
      </c>
      <c r="BI14" s="236">
        <f>AQ14+AZ14</f>
        <v/>
      </c>
      <c r="BJ14" s="236">
        <f>AR14+BA14</f>
        <v/>
      </c>
      <c r="BK14" s="236">
        <f>BI14+BJ14</f>
        <v/>
      </c>
      <c r="BL14" s="239">
        <f>BK14-BH14</f>
        <v/>
      </c>
      <c r="BM14" s="237">
        <f>IF(BH14=0,"",BK14/BH14)</f>
        <v/>
      </c>
      <c r="BN14" s="33" t="n"/>
      <c r="BO14" s="233" t="n"/>
      <c r="BP14" s="233" t="n"/>
      <c r="BQ14" s="233">
        <f>BO14+BP14</f>
        <v/>
      </c>
      <c r="BR14" s="233" t="n"/>
      <c r="BS14" s="233" t="n"/>
      <c r="BT14" s="233">
        <f>BR14+BS14</f>
        <v/>
      </c>
      <c r="BU14" s="238">
        <f>BT14-BQ14</f>
        <v/>
      </c>
      <c r="BV14" s="235">
        <f>IF(BQ14=0,"",BT14/BQ14)</f>
        <v/>
      </c>
      <c r="BW14" s="26" t="n"/>
      <c r="BX14" s="236">
        <f>BF14+BO14</f>
        <v/>
      </c>
      <c r="BY14" s="236">
        <f>BG14+BP14</f>
        <v/>
      </c>
      <c r="BZ14" s="236">
        <f>BX14+BY14</f>
        <v/>
      </c>
      <c r="CA14" s="236">
        <f>BI14+BR14</f>
        <v/>
      </c>
      <c r="CB14" s="236">
        <f>BJ14+BS14</f>
        <v/>
      </c>
      <c r="CC14" s="236">
        <f>CA14+CB14</f>
        <v/>
      </c>
      <c r="CD14" s="239">
        <f>CC14-BZ14</f>
        <v/>
      </c>
      <c r="CE14" s="237">
        <f>IF(BZ14=0,"",CC14/BZ14)</f>
        <v/>
      </c>
      <c r="CF14" s="33" t="n"/>
      <c r="CG14" s="233" t="n"/>
      <c r="CH14" s="233" t="n"/>
      <c r="CI14" s="233">
        <f>CG14+CH14</f>
        <v/>
      </c>
      <c r="CJ14" s="233" t="n"/>
      <c r="CK14" s="233" t="n"/>
      <c r="CL14" s="233">
        <f>CJ14+CK14</f>
        <v/>
      </c>
      <c r="CM14" s="238">
        <f>CL14-CI14</f>
        <v/>
      </c>
      <c r="CN14" s="235">
        <f>IF(CI14=0,"",CL14/CI14)</f>
        <v/>
      </c>
      <c r="CO14" s="26" t="n"/>
      <c r="CP14" s="236">
        <f>BX14+CG14</f>
        <v/>
      </c>
      <c r="CQ14" s="236">
        <f>BY14+CH14</f>
        <v/>
      </c>
      <c r="CR14" s="236">
        <f>CP14+CQ14</f>
        <v/>
      </c>
      <c r="CS14" s="236">
        <f>CA14+CJ14</f>
        <v/>
      </c>
      <c r="CT14" s="236">
        <f>CB14+CK14</f>
        <v/>
      </c>
      <c r="CU14" s="236">
        <f>CS14+CT14</f>
        <v/>
      </c>
      <c r="CV14" s="239">
        <f>CU14-CR14</f>
        <v/>
      </c>
      <c r="CW14" s="237">
        <f>IF(CR14=0,"",CU14/CR14)</f>
        <v/>
      </c>
      <c r="CX14" s="33" t="n"/>
      <c r="CY14" s="233" t="n"/>
      <c r="CZ14" s="233" t="n"/>
      <c r="DA14" s="233">
        <f>CY14+CZ14</f>
        <v/>
      </c>
      <c r="DB14" s="233" t="n"/>
      <c r="DC14" s="233" t="n"/>
      <c r="DD14" s="233">
        <f>DB14+DC14</f>
        <v/>
      </c>
      <c r="DE14" s="238">
        <f>DD14-DA14</f>
        <v/>
      </c>
      <c r="DF14" s="235">
        <f>IF(DA14=0,"",DD14/DA14)</f>
        <v/>
      </c>
      <c r="DG14" s="26" t="n"/>
      <c r="DH14" s="236">
        <f>CP14+CY14</f>
        <v/>
      </c>
      <c r="DI14" s="236">
        <f>CQ14+CZ14</f>
        <v/>
      </c>
      <c r="DJ14" s="236">
        <f>DH14+DI14</f>
        <v/>
      </c>
      <c r="DK14" s="236">
        <f>CS14+DB14</f>
        <v/>
      </c>
      <c r="DL14" s="236">
        <f>CT14+DC14</f>
        <v/>
      </c>
      <c r="DM14" s="236">
        <f>DK14+DL14</f>
        <v/>
      </c>
      <c r="DN14" s="239">
        <f>DM14-DJ14</f>
        <v/>
      </c>
      <c r="DO14" s="237">
        <f>IF(DJ14=0,"",DM14/DJ14)</f>
        <v/>
      </c>
      <c r="DP14" s="33" t="n"/>
      <c r="DQ14" s="233" t="n"/>
      <c r="DR14" s="233" t="n"/>
      <c r="DS14" s="233">
        <f>DQ14+DR14</f>
        <v/>
      </c>
      <c r="DT14" s="233" t="n"/>
      <c r="DU14" s="233" t="n"/>
      <c r="DV14" s="233">
        <f>DT14+DU14</f>
        <v/>
      </c>
      <c r="DW14" s="238">
        <f>DV14-DS14</f>
        <v/>
      </c>
      <c r="DX14" s="235">
        <f>IF(DS14=0,"",DV14/DS14)</f>
        <v/>
      </c>
      <c r="DY14" s="26" t="n"/>
      <c r="DZ14" s="236">
        <f>DH14+DQ14</f>
        <v/>
      </c>
      <c r="EA14" s="236">
        <f>DI14+DR14</f>
        <v/>
      </c>
      <c r="EB14" s="236">
        <f>DZ14+EA14</f>
        <v/>
      </c>
      <c r="EC14" s="236">
        <f>DK14+DT14</f>
        <v/>
      </c>
      <c r="ED14" s="236">
        <f>DL14+DU14</f>
        <v/>
      </c>
      <c r="EE14" s="236">
        <f>EC14+ED14</f>
        <v/>
      </c>
      <c r="EF14" s="239">
        <f>EE14-EB14</f>
        <v/>
      </c>
      <c r="EG14" s="237">
        <f>IF(EB14=0,"",EE14/EB14)</f>
        <v/>
      </c>
      <c r="EH14" s="33" t="n"/>
      <c r="EI14" s="233" t="n"/>
      <c r="EJ14" s="233" t="n"/>
      <c r="EK14" s="233">
        <f>EI14+EJ14</f>
        <v/>
      </c>
      <c r="EL14" s="233" t="n"/>
      <c r="EM14" s="233" t="n"/>
      <c r="EN14" s="233">
        <f>EL14+EM14</f>
        <v/>
      </c>
      <c r="EO14" s="238">
        <f>EN14-EK14</f>
        <v/>
      </c>
      <c r="EP14" s="235">
        <f>IF(EK14=0,"",EN14/EK14)</f>
        <v/>
      </c>
      <c r="EQ14" s="26" t="n"/>
      <c r="ER14" s="236">
        <f>DZ14+EI14</f>
        <v/>
      </c>
      <c r="ES14" s="236">
        <f>EA14+EJ14</f>
        <v/>
      </c>
      <c r="ET14" s="236">
        <f>ER14+ES14</f>
        <v/>
      </c>
      <c r="EU14" s="236">
        <f>EC14+EL14</f>
        <v/>
      </c>
      <c r="EV14" s="236">
        <f>ED14+EM14</f>
        <v/>
      </c>
      <c r="EW14" s="236">
        <f>EU14+EV14</f>
        <v/>
      </c>
      <c r="EX14" s="239">
        <f>EW14-ET14</f>
        <v/>
      </c>
      <c r="EY14" s="237">
        <f>IF(ET14=0,"",EW14/ET14)</f>
        <v/>
      </c>
      <c r="EZ14" s="33" t="n"/>
      <c r="FA14" s="233" t="n"/>
      <c r="FB14" s="233" t="n"/>
      <c r="FC14" s="233">
        <f>FA14+FB14</f>
        <v/>
      </c>
      <c r="FD14" s="233" t="n"/>
      <c r="FE14" s="233" t="n"/>
      <c r="FF14" s="233">
        <f>FD14+FE14</f>
        <v/>
      </c>
      <c r="FG14" s="238">
        <f>FF14-FC14</f>
        <v/>
      </c>
      <c r="FH14" s="235">
        <f>IF(FC14=0,"",FF14/FC14)</f>
        <v/>
      </c>
      <c r="FI14" s="26" t="n"/>
      <c r="FJ14" s="236">
        <f>ER14+FA14</f>
        <v/>
      </c>
      <c r="FK14" s="236">
        <f>ES14+FB14</f>
        <v/>
      </c>
      <c r="FL14" s="236">
        <f>FJ14+FK14</f>
        <v/>
      </c>
      <c r="FM14" s="236">
        <f>EU14+FD14</f>
        <v/>
      </c>
      <c r="FN14" s="236">
        <f>EV14+FE14</f>
        <v/>
      </c>
      <c r="FO14" s="236">
        <f>FM14+FN14</f>
        <v/>
      </c>
      <c r="FP14" s="239">
        <f>FO14-FL14</f>
        <v/>
      </c>
      <c r="FQ14" s="237">
        <f>IF(FL14=0,"",FO14/FL14)</f>
        <v/>
      </c>
      <c r="FR14" s="33" t="n"/>
      <c r="FS14" s="233" t="n"/>
      <c r="FT14" s="233" t="n"/>
      <c r="FU14" s="233">
        <f>FS14+FT14</f>
        <v/>
      </c>
      <c r="FV14" s="233" t="n"/>
      <c r="FW14" s="233" t="n"/>
      <c r="FX14" s="233">
        <f>FV14+FW14</f>
        <v/>
      </c>
      <c r="FY14" s="238">
        <f>FX14-FU14</f>
        <v/>
      </c>
      <c r="FZ14" s="235">
        <f>IF(FU14=0,"",FX14/FU14)</f>
        <v/>
      </c>
      <c r="GA14" s="26" t="n"/>
      <c r="GB14" s="236">
        <f>FJ14+FS14</f>
        <v/>
      </c>
      <c r="GC14" s="236">
        <f>FK14+FT14</f>
        <v/>
      </c>
      <c r="GD14" s="236">
        <f>GB14+GC14</f>
        <v/>
      </c>
      <c r="GE14" s="236">
        <f>FM14+FV14</f>
        <v/>
      </c>
      <c r="GF14" s="236">
        <f>FN14+FW14</f>
        <v/>
      </c>
      <c r="GG14" s="236">
        <f>GE14+GF14</f>
        <v/>
      </c>
      <c r="GH14" s="239">
        <f>GG14-GD14</f>
        <v/>
      </c>
      <c r="GI14" s="237">
        <f>IF(GD14=0,"",GG14/GD14)</f>
        <v/>
      </c>
      <c r="GJ14" s="33" t="n"/>
      <c r="GK14" s="233" t="n"/>
      <c r="GL14" s="233" t="n"/>
      <c r="GM14" s="233">
        <f>GK14+GL14</f>
        <v/>
      </c>
      <c r="GN14" s="233" t="n"/>
      <c r="GO14" s="233" t="n"/>
      <c r="GP14" s="233">
        <f>GN14+GO14</f>
        <v/>
      </c>
      <c r="GQ14" s="238">
        <f>GP14-GM14</f>
        <v/>
      </c>
      <c r="GR14" s="235">
        <f>IF(GM14=0,"",GP14/GM14)</f>
        <v/>
      </c>
      <c r="GS14" s="26" t="n"/>
      <c r="GT14" s="236">
        <f>GB14+GK14</f>
        <v/>
      </c>
      <c r="GU14" s="236">
        <f>GC14+GL14</f>
        <v/>
      </c>
      <c r="GV14" s="236">
        <f>GT14+GU14</f>
        <v/>
      </c>
      <c r="GW14" s="236">
        <f>GE14+GN14</f>
        <v/>
      </c>
      <c r="GX14" s="236">
        <f>GF14+GO14</f>
        <v/>
      </c>
      <c r="GY14" s="236">
        <f>GW14+GX14</f>
        <v/>
      </c>
      <c r="GZ14" s="239">
        <f>GY14-GV14</f>
        <v/>
      </c>
      <c r="HA14" s="237">
        <f>IF(GV14=0,"",GY14/GV14)</f>
        <v/>
      </c>
      <c r="HB14" s="33" t="n"/>
      <c r="HC14" s="233">
        <f>GT14</f>
        <v/>
      </c>
      <c r="HD14" s="233">
        <f>GU14</f>
        <v/>
      </c>
      <c r="HE14" s="233">
        <f>HC14+HD14</f>
        <v/>
      </c>
    </row>
    <row r="15" outlineLevel="1" ht="72" customHeight="1" s="150">
      <c r="A15" s="26" t="n"/>
      <c r="B15" s="26" t="n"/>
      <c r="C15" s="26" t="n"/>
      <c r="D15" s="233" t="n"/>
      <c r="E15" s="233" t="n"/>
      <c r="F15" s="233">
        <f>D15+E15</f>
        <v/>
      </c>
      <c r="G15" s="233" t="n"/>
      <c r="H15" s="233" t="n"/>
      <c r="I15" s="233">
        <f>G15+H15</f>
        <v/>
      </c>
      <c r="J15" s="234">
        <f>I15-F15</f>
        <v/>
      </c>
      <c r="K15" s="235">
        <f>IF(F15=0,"",I15/F15)</f>
        <v/>
      </c>
      <c r="L15" s="42" t="n"/>
      <c r="M15" s="233" t="n"/>
      <c r="N15" s="233" t="n"/>
      <c r="O15" s="233">
        <f>M15+N15</f>
        <v/>
      </c>
      <c r="P15" s="233" t="n"/>
      <c r="Q15" s="233" t="n"/>
      <c r="R15" s="233">
        <f>P15+Q15</f>
        <v/>
      </c>
      <c r="S15" s="234">
        <f>R15-O15</f>
        <v/>
      </c>
      <c r="T15" s="235">
        <f>IF(O15=0,"",R15/O15)</f>
        <v/>
      </c>
      <c r="U15" s="26" t="n"/>
      <c r="V15" s="236">
        <f>D15+M15</f>
        <v/>
      </c>
      <c r="W15" s="236">
        <f>E15+N15</f>
        <v/>
      </c>
      <c r="X15" s="236">
        <f>V15+W15</f>
        <v/>
      </c>
      <c r="Y15" s="236">
        <f>G15+P15</f>
        <v/>
      </c>
      <c r="Z15" s="236">
        <f>H15+Q15</f>
        <v/>
      </c>
      <c r="AA15" s="236">
        <f>Y15+Z15</f>
        <v/>
      </c>
      <c r="AB15" s="234">
        <f>AA15-X15</f>
        <v/>
      </c>
      <c r="AC15" s="237">
        <f>IF(X15=0,"",AA15/X15)</f>
        <v/>
      </c>
      <c r="AD15" s="44" t="n"/>
      <c r="AE15" s="233" t="n"/>
      <c r="AF15" s="233" t="n"/>
      <c r="AG15" s="233">
        <f>AE15+AF15</f>
        <v/>
      </c>
      <c r="AH15" s="233" t="n"/>
      <c r="AI15" s="233" t="n"/>
      <c r="AJ15" s="233">
        <f>AH15+AI15</f>
        <v/>
      </c>
      <c r="AK15" s="234">
        <f>AJ15-AG15</f>
        <v/>
      </c>
      <c r="AL15" s="235">
        <f>IF(AG15=0,"",AJ15/AG15)</f>
        <v/>
      </c>
      <c r="AM15" s="26" t="n"/>
      <c r="AN15" s="236">
        <f>V15+AE15</f>
        <v/>
      </c>
      <c r="AO15" s="236">
        <f>W15+AF15</f>
        <v/>
      </c>
      <c r="AP15" s="236">
        <f>AN15+AO15</f>
        <v/>
      </c>
      <c r="AQ15" s="236">
        <f>Y15+AH15</f>
        <v/>
      </c>
      <c r="AR15" s="236">
        <f>Z15+AI15</f>
        <v/>
      </c>
      <c r="AS15" s="236">
        <f>AQ15+AR15</f>
        <v/>
      </c>
      <c r="AT15" s="239">
        <f>AS15-AP15</f>
        <v/>
      </c>
      <c r="AU15" s="237">
        <f>IF(AP15=0,"",AS15/AP15)</f>
        <v/>
      </c>
      <c r="AV15" s="44" t="n"/>
      <c r="AW15" s="233" t="n"/>
      <c r="AX15" s="233" t="n"/>
      <c r="AY15" s="233">
        <f>AW15+AX15</f>
        <v/>
      </c>
      <c r="AZ15" s="233" t="n"/>
      <c r="BA15" s="233" t="n"/>
      <c r="BB15" s="233">
        <f>AZ15+BA15</f>
        <v/>
      </c>
      <c r="BC15" s="238">
        <f>BB15-AY15</f>
        <v/>
      </c>
      <c r="BD15" s="235">
        <f>IF(AY15=0,"",BB15/AY15)</f>
        <v/>
      </c>
      <c r="BE15" s="26" t="n"/>
      <c r="BF15" s="236">
        <f>AN15+AW15</f>
        <v/>
      </c>
      <c r="BG15" s="236">
        <f>AO15+AX15</f>
        <v/>
      </c>
      <c r="BH15" s="236">
        <f>BF15+BG15</f>
        <v/>
      </c>
      <c r="BI15" s="236">
        <f>AQ15+AZ15</f>
        <v/>
      </c>
      <c r="BJ15" s="236">
        <f>AR15+BA15</f>
        <v/>
      </c>
      <c r="BK15" s="236">
        <f>BI15+BJ15</f>
        <v/>
      </c>
      <c r="BL15" s="239">
        <f>BK15-BH15</f>
        <v/>
      </c>
      <c r="BM15" s="237">
        <f>IF(BH15=0,"",BK15/BH15)</f>
        <v/>
      </c>
      <c r="BN15" s="33" t="n"/>
      <c r="BO15" s="233" t="n"/>
      <c r="BP15" s="233" t="n"/>
      <c r="BQ15" s="233">
        <f>BO15+BP15</f>
        <v/>
      </c>
      <c r="BR15" s="233" t="n"/>
      <c r="BS15" s="233" t="n"/>
      <c r="BT15" s="233">
        <f>BR15+BS15</f>
        <v/>
      </c>
      <c r="BU15" s="238">
        <f>BT15-BQ15</f>
        <v/>
      </c>
      <c r="BV15" s="235">
        <f>IF(BQ15=0,"",BT15/BQ15)</f>
        <v/>
      </c>
      <c r="BW15" s="26" t="n"/>
      <c r="BX15" s="236">
        <f>BF15+BO15</f>
        <v/>
      </c>
      <c r="BY15" s="236">
        <f>BG15+BP15</f>
        <v/>
      </c>
      <c r="BZ15" s="236">
        <f>BX15+BY15</f>
        <v/>
      </c>
      <c r="CA15" s="236">
        <f>BI15+BR15</f>
        <v/>
      </c>
      <c r="CB15" s="236">
        <f>BJ15+BS15</f>
        <v/>
      </c>
      <c r="CC15" s="236">
        <f>CA15+CB15</f>
        <v/>
      </c>
      <c r="CD15" s="239">
        <f>CC15-BZ15</f>
        <v/>
      </c>
      <c r="CE15" s="237">
        <f>IF(BZ15=0,"",CC15/BZ15)</f>
        <v/>
      </c>
      <c r="CF15" s="33" t="n"/>
      <c r="CG15" s="233" t="n"/>
      <c r="CH15" s="233" t="n"/>
      <c r="CI15" s="233">
        <f>CG15+CH15</f>
        <v/>
      </c>
      <c r="CJ15" s="233" t="n"/>
      <c r="CK15" s="233" t="n"/>
      <c r="CL15" s="233">
        <f>CJ15+CK15</f>
        <v/>
      </c>
      <c r="CM15" s="238">
        <f>CL15-CI15</f>
        <v/>
      </c>
      <c r="CN15" s="235">
        <f>IF(CI15=0,"",CL15/CI15)</f>
        <v/>
      </c>
      <c r="CO15" s="26" t="n"/>
      <c r="CP15" s="236">
        <f>BX15+CG15</f>
        <v/>
      </c>
      <c r="CQ15" s="236">
        <f>BY15+CH15</f>
        <v/>
      </c>
      <c r="CR15" s="236">
        <f>CP15+CQ15</f>
        <v/>
      </c>
      <c r="CS15" s="236">
        <f>CA15+CJ15</f>
        <v/>
      </c>
      <c r="CT15" s="236">
        <f>CB15+CK15</f>
        <v/>
      </c>
      <c r="CU15" s="236">
        <f>CS15+CT15</f>
        <v/>
      </c>
      <c r="CV15" s="239">
        <f>CU15-CR15</f>
        <v/>
      </c>
      <c r="CW15" s="237">
        <f>IF(CR15=0,"",CU15/CR15)</f>
        <v/>
      </c>
      <c r="CX15" s="33" t="n"/>
      <c r="CY15" s="233" t="n"/>
      <c r="CZ15" s="233" t="n"/>
      <c r="DA15" s="233">
        <f>CY15+CZ15</f>
        <v/>
      </c>
      <c r="DB15" s="233" t="n"/>
      <c r="DC15" s="233" t="n"/>
      <c r="DD15" s="233">
        <f>DB15+DC15</f>
        <v/>
      </c>
      <c r="DE15" s="238">
        <f>DD15-DA15</f>
        <v/>
      </c>
      <c r="DF15" s="235">
        <f>IF(DA15=0,"",DD15/DA15)</f>
        <v/>
      </c>
      <c r="DG15" s="26" t="n"/>
      <c r="DH15" s="236">
        <f>CP15+CY15</f>
        <v/>
      </c>
      <c r="DI15" s="236">
        <f>CQ15+CZ15</f>
        <v/>
      </c>
      <c r="DJ15" s="236">
        <f>DH15+DI15</f>
        <v/>
      </c>
      <c r="DK15" s="236">
        <f>CS15+DB15</f>
        <v/>
      </c>
      <c r="DL15" s="236">
        <f>CT15+DC15</f>
        <v/>
      </c>
      <c r="DM15" s="236">
        <f>DK15+DL15</f>
        <v/>
      </c>
      <c r="DN15" s="239">
        <f>DM15-DJ15</f>
        <v/>
      </c>
      <c r="DO15" s="237">
        <f>IF(DJ15=0,"",DM15/DJ15)</f>
        <v/>
      </c>
      <c r="DP15" s="33" t="n"/>
      <c r="DQ15" s="233" t="n"/>
      <c r="DR15" s="233" t="n"/>
      <c r="DS15" s="233">
        <f>DQ15+DR15</f>
        <v/>
      </c>
      <c r="DT15" s="233" t="n"/>
      <c r="DU15" s="233" t="n"/>
      <c r="DV15" s="233">
        <f>DT15+DU15</f>
        <v/>
      </c>
      <c r="DW15" s="238">
        <f>DV15-DS15</f>
        <v/>
      </c>
      <c r="DX15" s="235">
        <f>IF(DS15=0,"",DV15/DS15)</f>
        <v/>
      </c>
      <c r="DY15" s="26" t="n"/>
      <c r="DZ15" s="236">
        <f>DH15+DQ15</f>
        <v/>
      </c>
      <c r="EA15" s="236">
        <f>DI15+DR15</f>
        <v/>
      </c>
      <c r="EB15" s="236">
        <f>DZ15+EA15</f>
        <v/>
      </c>
      <c r="EC15" s="236">
        <f>DK15+DT15</f>
        <v/>
      </c>
      <c r="ED15" s="236">
        <f>DL15+DU15</f>
        <v/>
      </c>
      <c r="EE15" s="236">
        <f>EC15+ED15</f>
        <v/>
      </c>
      <c r="EF15" s="239">
        <f>EE15-EB15</f>
        <v/>
      </c>
      <c r="EG15" s="237">
        <f>IF(EB15=0,"",EE15/EB15)</f>
        <v/>
      </c>
      <c r="EH15" s="33" t="n"/>
      <c r="EI15" s="233" t="n"/>
      <c r="EJ15" s="233" t="n"/>
      <c r="EK15" s="233">
        <f>EI15+EJ15</f>
        <v/>
      </c>
      <c r="EL15" s="233" t="n"/>
      <c r="EM15" s="233" t="n"/>
      <c r="EN15" s="233">
        <f>EL15+EM15</f>
        <v/>
      </c>
      <c r="EO15" s="238">
        <f>EN15-EK15</f>
        <v/>
      </c>
      <c r="EP15" s="235">
        <f>IF(EK15=0,"",EN15/EK15)</f>
        <v/>
      </c>
      <c r="EQ15" s="26" t="n"/>
      <c r="ER15" s="236">
        <f>DZ15+EI15</f>
        <v/>
      </c>
      <c r="ES15" s="236">
        <f>EA15+EJ15</f>
        <v/>
      </c>
      <c r="ET15" s="236">
        <f>ER15+ES15</f>
        <v/>
      </c>
      <c r="EU15" s="236">
        <f>EC15+EL15</f>
        <v/>
      </c>
      <c r="EV15" s="236">
        <f>ED15+EM15</f>
        <v/>
      </c>
      <c r="EW15" s="236">
        <f>EU15+EV15</f>
        <v/>
      </c>
      <c r="EX15" s="239">
        <f>EW15-ET15</f>
        <v/>
      </c>
      <c r="EY15" s="237">
        <f>IF(ET15=0,"",EW15/ET15)</f>
        <v/>
      </c>
      <c r="EZ15" s="33" t="n"/>
      <c r="FA15" s="233" t="n"/>
      <c r="FB15" s="233" t="n"/>
      <c r="FC15" s="233">
        <f>FA15+FB15</f>
        <v/>
      </c>
      <c r="FD15" s="233" t="n"/>
      <c r="FE15" s="233" t="n"/>
      <c r="FF15" s="233">
        <f>FD15+FE15</f>
        <v/>
      </c>
      <c r="FG15" s="238">
        <f>FF15-FC15</f>
        <v/>
      </c>
      <c r="FH15" s="235">
        <f>IF(FC15=0,"",FF15/FC15)</f>
        <v/>
      </c>
      <c r="FI15" s="26" t="n"/>
      <c r="FJ15" s="236">
        <f>ER15+FA15</f>
        <v/>
      </c>
      <c r="FK15" s="236">
        <f>ES15+FB15</f>
        <v/>
      </c>
      <c r="FL15" s="236">
        <f>FJ15+FK15</f>
        <v/>
      </c>
      <c r="FM15" s="236">
        <f>EU15+FD15</f>
        <v/>
      </c>
      <c r="FN15" s="236">
        <f>EV15+FE15</f>
        <v/>
      </c>
      <c r="FO15" s="236">
        <f>FM15+FN15</f>
        <v/>
      </c>
      <c r="FP15" s="239">
        <f>FO15-FL15</f>
        <v/>
      </c>
      <c r="FQ15" s="237">
        <f>IF(FL15=0,"",FO15/FL15)</f>
        <v/>
      </c>
      <c r="FR15" s="33" t="n"/>
      <c r="FS15" s="233" t="n"/>
      <c r="FT15" s="233" t="n"/>
      <c r="FU15" s="233">
        <f>FS15+FT15</f>
        <v/>
      </c>
      <c r="FV15" s="233" t="n"/>
      <c r="FW15" s="233" t="n"/>
      <c r="FX15" s="233">
        <f>FV15+FW15</f>
        <v/>
      </c>
      <c r="FY15" s="238">
        <f>FX15-FU15</f>
        <v/>
      </c>
      <c r="FZ15" s="235">
        <f>IF(FU15=0,"",FX15/FU15)</f>
        <v/>
      </c>
      <c r="GA15" s="26" t="n"/>
      <c r="GB15" s="236">
        <f>FJ15+FS15</f>
        <v/>
      </c>
      <c r="GC15" s="236">
        <f>FK15+FT15</f>
        <v/>
      </c>
      <c r="GD15" s="236">
        <f>GB15+GC15</f>
        <v/>
      </c>
      <c r="GE15" s="236">
        <f>FM15+FV15</f>
        <v/>
      </c>
      <c r="GF15" s="236">
        <f>FN15+FW15</f>
        <v/>
      </c>
      <c r="GG15" s="236">
        <f>GE15+GF15</f>
        <v/>
      </c>
      <c r="GH15" s="239">
        <f>GG15-GD15</f>
        <v/>
      </c>
      <c r="GI15" s="237">
        <f>IF(GD15=0,"",GG15/GD15)</f>
        <v/>
      </c>
      <c r="GJ15" s="33" t="n"/>
      <c r="GK15" s="233" t="n"/>
      <c r="GL15" s="233" t="n"/>
      <c r="GM15" s="233">
        <f>GK15+GL15</f>
        <v/>
      </c>
      <c r="GN15" s="233" t="n"/>
      <c r="GO15" s="233" t="n"/>
      <c r="GP15" s="233">
        <f>GN15+GO15</f>
        <v/>
      </c>
      <c r="GQ15" s="238">
        <f>GP15-GM15</f>
        <v/>
      </c>
      <c r="GR15" s="235">
        <f>IF(GM15=0,"",GP15/GM15)</f>
        <v/>
      </c>
      <c r="GS15" s="26" t="n"/>
      <c r="GT15" s="236">
        <f>GB15+GK15</f>
        <v/>
      </c>
      <c r="GU15" s="236">
        <f>GC15+GL15</f>
        <v/>
      </c>
      <c r="GV15" s="236">
        <f>GT15+GU15</f>
        <v/>
      </c>
      <c r="GW15" s="236">
        <f>GE15+GN15</f>
        <v/>
      </c>
      <c r="GX15" s="236">
        <f>GF15+GO15</f>
        <v/>
      </c>
      <c r="GY15" s="236">
        <f>GW15+GX15</f>
        <v/>
      </c>
      <c r="GZ15" s="239">
        <f>GY15-GV15</f>
        <v/>
      </c>
      <c r="HA15" s="237">
        <f>IF(GV15=0,"",GY15/GV15)</f>
        <v/>
      </c>
      <c r="HB15" s="33" t="n"/>
      <c r="HC15" s="233">
        <f>GT15</f>
        <v/>
      </c>
      <c r="HD15" s="233">
        <f>GU15</f>
        <v/>
      </c>
      <c r="HE15" s="233">
        <f>HC15+HD15</f>
        <v/>
      </c>
    </row>
    <row r="16" ht="15" customHeight="1" s="150">
      <c r="A16" s="18" t="n"/>
      <c r="B16" s="18" t="n"/>
      <c r="C16" s="18" t="n"/>
      <c r="D16" s="227">
        <f>D17</f>
        <v/>
      </c>
      <c r="E16" s="227">
        <f>E17</f>
        <v/>
      </c>
      <c r="F16" s="227">
        <f>D16+E16</f>
        <v/>
      </c>
      <c r="G16" s="227">
        <f>G17</f>
        <v/>
      </c>
      <c r="H16" s="227">
        <f>H17</f>
        <v/>
      </c>
      <c r="I16" s="227">
        <f>G16+H16</f>
        <v/>
      </c>
      <c r="J16" s="228">
        <f>I16-F16</f>
        <v/>
      </c>
      <c r="K16" s="229">
        <f>IF(F16=0,"",I16/F16)</f>
        <v/>
      </c>
      <c r="L16" s="18" t="n"/>
      <c r="M16" s="227">
        <f>M17</f>
        <v/>
      </c>
      <c r="N16" s="227">
        <f>N17</f>
        <v/>
      </c>
      <c r="O16" s="227">
        <f>M16+N16</f>
        <v/>
      </c>
      <c r="P16" s="227">
        <f>P17</f>
        <v/>
      </c>
      <c r="Q16" s="227">
        <f>Q17</f>
        <v/>
      </c>
      <c r="R16" s="227">
        <f>P16+Q16</f>
        <v/>
      </c>
      <c r="S16" s="228">
        <f>R16-O16</f>
        <v/>
      </c>
      <c r="T16" s="229">
        <f>IF(O16=0,"",R16/O16)</f>
        <v/>
      </c>
      <c r="U16" s="18" t="n"/>
      <c r="V16" s="230">
        <f>V17</f>
        <v/>
      </c>
      <c r="W16" s="230">
        <f>W17</f>
        <v/>
      </c>
      <c r="X16" s="230">
        <f>V16+W16</f>
        <v/>
      </c>
      <c r="Y16" s="230">
        <f>Y17</f>
        <v/>
      </c>
      <c r="Z16" s="230">
        <f>Z17</f>
        <v/>
      </c>
      <c r="AA16" s="230">
        <f>Y16+Z16</f>
        <v/>
      </c>
      <c r="AB16" s="231">
        <f>AA16-X16</f>
        <v/>
      </c>
      <c r="AC16" s="232">
        <f>IF(X16=0,"",AA16/X16)</f>
        <v/>
      </c>
      <c r="AD16" s="25" t="n"/>
      <c r="AE16" s="227">
        <f>AE17</f>
        <v/>
      </c>
      <c r="AF16" s="227">
        <f>AF17</f>
        <v/>
      </c>
      <c r="AG16" s="227">
        <f>AE16+AF16</f>
        <v/>
      </c>
      <c r="AH16" s="227">
        <f>AH17</f>
        <v/>
      </c>
      <c r="AI16" s="227">
        <f>AI17</f>
        <v/>
      </c>
      <c r="AJ16" s="227">
        <f>AH16+AI16</f>
        <v/>
      </c>
      <c r="AK16" s="228">
        <f>AJ16-AG16</f>
        <v/>
      </c>
      <c r="AL16" s="229">
        <f>IF(AG16=0,"",AJ16/AG16)</f>
        <v/>
      </c>
      <c r="AM16" s="18" t="n"/>
      <c r="AN16" s="230">
        <f>AN17</f>
        <v/>
      </c>
      <c r="AO16" s="230">
        <f>AO17</f>
        <v/>
      </c>
      <c r="AP16" s="230">
        <f>AN16+AO16</f>
        <v/>
      </c>
      <c r="AQ16" s="230">
        <f>AQ17</f>
        <v/>
      </c>
      <c r="AR16" s="230">
        <f>AR17</f>
        <v/>
      </c>
      <c r="AS16" s="230">
        <f>AQ16+AR16</f>
        <v/>
      </c>
      <c r="AT16" s="231">
        <f>AS16-AP16</f>
        <v/>
      </c>
      <c r="AU16" s="232">
        <f>IF(AP16=0,"",AS16/AP16)</f>
        <v/>
      </c>
      <c r="AV16" s="25" t="n"/>
      <c r="AW16" s="227">
        <f>AW17</f>
        <v/>
      </c>
      <c r="AX16" s="227">
        <f>AX17</f>
        <v/>
      </c>
      <c r="AY16" s="227">
        <f>AW16+AX16</f>
        <v/>
      </c>
      <c r="AZ16" s="227">
        <f>AZ17</f>
        <v/>
      </c>
      <c r="BA16" s="227">
        <f>BA17</f>
        <v/>
      </c>
      <c r="BB16" s="227">
        <f>AZ16+BA16</f>
        <v/>
      </c>
      <c r="BC16" s="228">
        <f>BB16-AY16</f>
        <v/>
      </c>
      <c r="BD16" s="229">
        <f>IF(AY16=0,"",BB16/AY16)</f>
        <v/>
      </c>
      <c r="BE16" s="18" t="n"/>
      <c r="BF16" s="230">
        <f>BF17</f>
        <v/>
      </c>
      <c r="BG16" s="230">
        <f>BG17</f>
        <v/>
      </c>
      <c r="BH16" s="230">
        <f>BF16+BG16</f>
        <v/>
      </c>
      <c r="BI16" s="230">
        <f>BI17</f>
        <v/>
      </c>
      <c r="BJ16" s="230">
        <f>BJ17</f>
        <v/>
      </c>
      <c r="BK16" s="230">
        <f>BI16+BJ16</f>
        <v/>
      </c>
      <c r="BL16" s="231">
        <f>BK16-BH16</f>
        <v/>
      </c>
      <c r="BM16" s="232">
        <f>IF(BH16=0,"",BK16/BH16)</f>
        <v/>
      </c>
      <c r="BN16" s="25" t="n"/>
      <c r="BO16" s="227">
        <f>BO17</f>
        <v/>
      </c>
      <c r="BP16" s="227">
        <f>BP17</f>
        <v/>
      </c>
      <c r="BQ16" s="227">
        <f>BO16+BP16</f>
        <v/>
      </c>
      <c r="BR16" s="227">
        <f>BR17</f>
        <v/>
      </c>
      <c r="BS16" s="227">
        <f>BS17</f>
        <v/>
      </c>
      <c r="BT16" s="227">
        <f>BR16+BS16</f>
        <v/>
      </c>
      <c r="BU16" s="228">
        <f>BT16-BQ16</f>
        <v/>
      </c>
      <c r="BV16" s="229">
        <f>IF(BQ16=0,"",BT16/BQ16)</f>
        <v/>
      </c>
      <c r="BW16" s="18" t="n"/>
      <c r="BX16" s="230">
        <f>BX17</f>
        <v/>
      </c>
      <c r="BY16" s="230">
        <f>BY17</f>
        <v/>
      </c>
      <c r="BZ16" s="230">
        <f>BX16+BY16</f>
        <v/>
      </c>
      <c r="CA16" s="230">
        <f>CA17</f>
        <v/>
      </c>
      <c r="CB16" s="230">
        <f>CB17</f>
        <v/>
      </c>
      <c r="CC16" s="230">
        <f>CA16+CB16</f>
        <v/>
      </c>
      <c r="CD16" s="231">
        <f>CC16-BZ16</f>
        <v/>
      </c>
      <c r="CE16" s="232">
        <f>IF(BZ16=0,"",CC16/BZ16)</f>
        <v/>
      </c>
      <c r="CF16" s="25" t="n"/>
      <c r="CG16" s="227">
        <f>CG17</f>
        <v/>
      </c>
      <c r="CH16" s="227">
        <f>CH17</f>
        <v/>
      </c>
      <c r="CI16" s="227">
        <f>CG16+CH16</f>
        <v/>
      </c>
      <c r="CJ16" s="227">
        <f>CJ17</f>
        <v/>
      </c>
      <c r="CK16" s="227">
        <f>CK17</f>
        <v/>
      </c>
      <c r="CL16" s="227">
        <f>CJ16+CK16</f>
        <v/>
      </c>
      <c r="CM16" s="228">
        <f>CL16-CI16</f>
        <v/>
      </c>
      <c r="CN16" s="229">
        <f>IF(CI16=0,"",CL16/CI16)</f>
        <v/>
      </c>
      <c r="CO16" s="18" t="n"/>
      <c r="CP16" s="230">
        <f>CP17</f>
        <v/>
      </c>
      <c r="CQ16" s="230">
        <f>CQ17</f>
        <v/>
      </c>
      <c r="CR16" s="230">
        <f>CP16+CQ16</f>
        <v/>
      </c>
      <c r="CS16" s="230">
        <f>CS17</f>
        <v/>
      </c>
      <c r="CT16" s="230">
        <f>CT17</f>
        <v/>
      </c>
      <c r="CU16" s="230">
        <f>CS16+CT16</f>
        <v/>
      </c>
      <c r="CV16" s="231">
        <f>CU16-CR16</f>
        <v/>
      </c>
      <c r="CW16" s="232">
        <f>IF(CR16=0,"",CU16/CR16)</f>
        <v/>
      </c>
      <c r="CX16" s="25" t="n"/>
      <c r="CY16" s="227">
        <f>CY17</f>
        <v/>
      </c>
      <c r="CZ16" s="227">
        <f>CZ17</f>
        <v/>
      </c>
      <c r="DA16" s="227">
        <f>CY16+CZ16</f>
        <v/>
      </c>
      <c r="DB16" s="227">
        <f>DB17</f>
        <v/>
      </c>
      <c r="DC16" s="227">
        <f>DC17</f>
        <v/>
      </c>
      <c r="DD16" s="227">
        <f>DB16+DC16</f>
        <v/>
      </c>
      <c r="DE16" s="228">
        <f>DD16-DA16</f>
        <v/>
      </c>
      <c r="DF16" s="229">
        <f>IF(DA16=0,"",DD16/DA16)</f>
        <v/>
      </c>
      <c r="DG16" s="18" t="n"/>
      <c r="DH16" s="230">
        <f>DH17</f>
        <v/>
      </c>
      <c r="DI16" s="230">
        <f>DI17</f>
        <v/>
      </c>
      <c r="DJ16" s="230">
        <f>DH16+DI16</f>
        <v/>
      </c>
      <c r="DK16" s="230">
        <f>DK17</f>
        <v/>
      </c>
      <c r="DL16" s="230">
        <f>DL17</f>
        <v/>
      </c>
      <c r="DM16" s="230">
        <f>DK16+DL16</f>
        <v/>
      </c>
      <c r="DN16" s="231">
        <f>DM16-DJ16</f>
        <v/>
      </c>
      <c r="DO16" s="232">
        <f>IF(DJ16=0,"",DM16/DJ16)</f>
        <v/>
      </c>
      <c r="DP16" s="25" t="n"/>
      <c r="DQ16" s="227">
        <f>DQ17</f>
        <v/>
      </c>
      <c r="DR16" s="227">
        <f>DR17</f>
        <v/>
      </c>
      <c r="DS16" s="227">
        <f>DQ16+DR16</f>
        <v/>
      </c>
      <c r="DT16" s="227">
        <f>DT17</f>
        <v/>
      </c>
      <c r="DU16" s="227">
        <f>DU17</f>
        <v/>
      </c>
      <c r="DV16" s="227">
        <f>DT16+DU16</f>
        <v/>
      </c>
      <c r="DW16" s="228">
        <f>DV16-DS16</f>
        <v/>
      </c>
      <c r="DX16" s="229">
        <f>IF(DS16=0,"",DV16/DS16)</f>
        <v/>
      </c>
      <c r="DY16" s="18" t="n"/>
      <c r="DZ16" s="230">
        <f>DZ17</f>
        <v/>
      </c>
      <c r="EA16" s="230">
        <f>EA17</f>
        <v/>
      </c>
      <c r="EB16" s="230">
        <f>DZ16+EA16</f>
        <v/>
      </c>
      <c r="EC16" s="230">
        <f>EC17</f>
        <v/>
      </c>
      <c r="ED16" s="230">
        <f>ED17</f>
        <v/>
      </c>
      <c r="EE16" s="230">
        <f>EC16+ED16</f>
        <v/>
      </c>
      <c r="EF16" s="231">
        <f>EE16-EB16</f>
        <v/>
      </c>
      <c r="EG16" s="232">
        <f>IF(EB16=0,"",EE16/EB16)</f>
        <v/>
      </c>
      <c r="EH16" s="25" t="n"/>
      <c r="EI16" s="227">
        <f>EI17</f>
        <v/>
      </c>
      <c r="EJ16" s="227">
        <f>EJ17</f>
        <v/>
      </c>
      <c r="EK16" s="227">
        <f>EI16+EJ16</f>
        <v/>
      </c>
      <c r="EL16" s="227">
        <f>EL17</f>
        <v/>
      </c>
      <c r="EM16" s="227">
        <f>EM17</f>
        <v/>
      </c>
      <c r="EN16" s="227">
        <f>EL16+EM16</f>
        <v/>
      </c>
      <c r="EO16" s="228">
        <f>EN16-EK16</f>
        <v/>
      </c>
      <c r="EP16" s="229">
        <f>IF(EK16=0,"",EN16/EK16)</f>
        <v/>
      </c>
      <c r="EQ16" s="18" t="n"/>
      <c r="ER16" s="230">
        <f>ER17</f>
        <v/>
      </c>
      <c r="ES16" s="230">
        <f>ES17</f>
        <v/>
      </c>
      <c r="ET16" s="230">
        <f>ER16+ES16</f>
        <v/>
      </c>
      <c r="EU16" s="230">
        <f>EU17</f>
        <v/>
      </c>
      <c r="EV16" s="230">
        <f>EV17</f>
        <v/>
      </c>
      <c r="EW16" s="230">
        <f>EU16+EV16</f>
        <v/>
      </c>
      <c r="EX16" s="231">
        <f>EW16-ET16</f>
        <v/>
      </c>
      <c r="EY16" s="232">
        <f>IF(ET16=0,"",EW16/ET16)</f>
        <v/>
      </c>
      <c r="EZ16" s="25" t="n"/>
      <c r="FA16" s="227">
        <f>FA17</f>
        <v/>
      </c>
      <c r="FB16" s="227">
        <f>FB17</f>
        <v/>
      </c>
      <c r="FC16" s="227">
        <f>FA16+FB16</f>
        <v/>
      </c>
      <c r="FD16" s="227">
        <f>FD17</f>
        <v/>
      </c>
      <c r="FE16" s="227">
        <f>FE17</f>
        <v/>
      </c>
      <c r="FF16" s="227">
        <f>FD16+FE16</f>
        <v/>
      </c>
      <c r="FG16" s="228">
        <f>FF16-FC16</f>
        <v/>
      </c>
      <c r="FH16" s="229">
        <f>IF(FC16=0,"",FF16/FC16)</f>
        <v/>
      </c>
      <c r="FI16" s="18" t="n"/>
      <c r="FJ16" s="230">
        <f>FJ17</f>
        <v/>
      </c>
      <c r="FK16" s="230">
        <f>FK17</f>
        <v/>
      </c>
      <c r="FL16" s="230">
        <f>FJ16+FK16</f>
        <v/>
      </c>
      <c r="FM16" s="230">
        <f>FM17</f>
        <v/>
      </c>
      <c r="FN16" s="230">
        <f>FN17</f>
        <v/>
      </c>
      <c r="FO16" s="230">
        <f>FM16+FN16</f>
        <v/>
      </c>
      <c r="FP16" s="231">
        <f>FO16-FL16</f>
        <v/>
      </c>
      <c r="FQ16" s="232">
        <f>IF(FL16=0,"",FO16/FL16)</f>
        <v/>
      </c>
      <c r="FR16" s="25" t="n"/>
      <c r="FS16" s="227">
        <f>FS17</f>
        <v/>
      </c>
      <c r="FT16" s="227">
        <f>FT17</f>
        <v/>
      </c>
      <c r="FU16" s="227">
        <f>FS16+FT16</f>
        <v/>
      </c>
      <c r="FV16" s="227">
        <f>FV17</f>
        <v/>
      </c>
      <c r="FW16" s="227">
        <f>FW17</f>
        <v/>
      </c>
      <c r="FX16" s="227">
        <f>FV16+FW16</f>
        <v/>
      </c>
      <c r="FY16" s="228">
        <f>FX16-FU16</f>
        <v/>
      </c>
      <c r="FZ16" s="229">
        <f>IF(FU16=0,"",FX16/FU16)</f>
        <v/>
      </c>
      <c r="GA16" s="18" t="n"/>
      <c r="GB16" s="230">
        <f>GB17</f>
        <v/>
      </c>
      <c r="GC16" s="230">
        <f>GC17</f>
        <v/>
      </c>
      <c r="GD16" s="230">
        <f>GB16+GC16</f>
        <v/>
      </c>
      <c r="GE16" s="230">
        <f>GE17</f>
        <v/>
      </c>
      <c r="GF16" s="230">
        <f>GF17</f>
        <v/>
      </c>
      <c r="GG16" s="230">
        <f>GE16+GF16</f>
        <v/>
      </c>
      <c r="GH16" s="231">
        <f>GG16-GD16</f>
        <v/>
      </c>
      <c r="GI16" s="232">
        <f>IF(GD16=0,"",GG16/GD16)</f>
        <v/>
      </c>
      <c r="GJ16" s="25" t="n"/>
      <c r="GK16" s="227">
        <f>GK17</f>
        <v/>
      </c>
      <c r="GL16" s="227">
        <f>GL17</f>
        <v/>
      </c>
      <c r="GM16" s="227">
        <f>GK16+GL16</f>
        <v/>
      </c>
      <c r="GN16" s="227">
        <f>GN17</f>
        <v/>
      </c>
      <c r="GO16" s="227">
        <f>GO17</f>
        <v/>
      </c>
      <c r="GP16" s="227">
        <f>GN16+GO16</f>
        <v/>
      </c>
      <c r="GQ16" s="228">
        <f>GP16-GM16</f>
        <v/>
      </c>
      <c r="GR16" s="229">
        <f>IF(GM16=0,"",GP16/GM16)</f>
        <v/>
      </c>
      <c r="GS16" s="18" t="n"/>
      <c r="GT16" s="230">
        <f>GT17</f>
        <v/>
      </c>
      <c r="GU16" s="230">
        <f>GU17</f>
        <v/>
      </c>
      <c r="GV16" s="230">
        <f>GT16+GU16</f>
        <v/>
      </c>
      <c r="GW16" s="230">
        <f>GW17</f>
        <v/>
      </c>
      <c r="GX16" s="230">
        <f>GX17</f>
        <v/>
      </c>
      <c r="GY16" s="230">
        <f>GW16+GX16</f>
        <v/>
      </c>
      <c r="GZ16" s="231">
        <f>GY16-GV16</f>
        <v/>
      </c>
      <c r="HA16" s="232">
        <f>IF(GV16=0,"",GY16/GV16)</f>
        <v/>
      </c>
      <c r="HB16" s="25" t="n"/>
      <c r="HC16" s="227">
        <f>GT16</f>
        <v/>
      </c>
      <c r="HD16" s="227">
        <f>GU16</f>
        <v/>
      </c>
      <c r="HE16" s="227">
        <f>HC16+HD16</f>
        <v/>
      </c>
    </row>
    <row r="17" outlineLevel="1" ht="15" customHeight="1" s="150">
      <c r="A17" s="26" t="n"/>
      <c r="B17" s="26" t="n"/>
      <c r="C17" s="26" t="n"/>
      <c r="D17" s="233" t="n"/>
      <c r="E17" s="233" t="n"/>
      <c r="F17" s="233">
        <f>D17+E17</f>
        <v/>
      </c>
      <c r="G17" s="233" t="n"/>
      <c r="H17" s="233" t="n"/>
      <c r="I17" s="233">
        <f>G17+H17</f>
        <v/>
      </c>
      <c r="J17" s="238">
        <f>I17-F17</f>
        <v/>
      </c>
      <c r="K17" s="235">
        <f>IF(F17=0,"",I17/F17)</f>
        <v/>
      </c>
      <c r="L17" s="26" t="n"/>
      <c r="M17" s="233" t="n"/>
      <c r="N17" s="233" t="n"/>
      <c r="O17" s="233">
        <f>M17+N17</f>
        <v/>
      </c>
      <c r="P17" s="233" t="n"/>
      <c r="Q17" s="233" t="n"/>
      <c r="R17" s="233">
        <f>P17+Q17</f>
        <v/>
      </c>
      <c r="S17" s="238">
        <f>R17-O17</f>
        <v/>
      </c>
      <c r="T17" s="235">
        <f>IF(O17=0,"",R17/O17)</f>
        <v/>
      </c>
      <c r="U17" s="26" t="n"/>
      <c r="V17" s="236">
        <f>D17+M17</f>
        <v/>
      </c>
      <c r="W17" s="236">
        <f>E17+N17</f>
        <v/>
      </c>
      <c r="X17" s="236">
        <f>V17+W17</f>
        <v/>
      </c>
      <c r="Y17" s="236">
        <f>G17+P17</f>
        <v/>
      </c>
      <c r="Z17" s="236">
        <f>H17+Q17</f>
        <v/>
      </c>
      <c r="AA17" s="236">
        <f>Y17+Z17</f>
        <v/>
      </c>
      <c r="AB17" s="239">
        <f>AA17-X17</f>
        <v/>
      </c>
      <c r="AC17" s="237">
        <f>IF(X17=0,"",AA17/X17)</f>
        <v/>
      </c>
      <c r="AD17" s="33" t="n"/>
      <c r="AE17" s="233" t="n"/>
      <c r="AF17" s="233" t="n"/>
      <c r="AG17" s="233">
        <f>AE17+AF17</f>
        <v/>
      </c>
      <c r="AH17" s="233" t="n"/>
      <c r="AI17" s="233" t="n"/>
      <c r="AJ17" s="233">
        <f>AH17+AI17</f>
        <v/>
      </c>
      <c r="AK17" s="238">
        <f>AJ17-AG17</f>
        <v/>
      </c>
      <c r="AL17" s="235">
        <f>IF(AG17=0,"",AJ17/AG17)</f>
        <v/>
      </c>
      <c r="AM17" s="26" t="n"/>
      <c r="AN17" s="236">
        <f>V17+AE17</f>
        <v/>
      </c>
      <c r="AO17" s="236">
        <f>W17+AF17</f>
        <v/>
      </c>
      <c r="AP17" s="236">
        <f>AN17+AO17</f>
        <v/>
      </c>
      <c r="AQ17" s="236">
        <f>Y17+AH17</f>
        <v/>
      </c>
      <c r="AR17" s="236">
        <f>Z17+AI17</f>
        <v/>
      </c>
      <c r="AS17" s="236">
        <f>AQ17+AR17</f>
        <v/>
      </c>
      <c r="AT17" s="234">
        <f>AS17-AP17</f>
        <v/>
      </c>
      <c r="AU17" s="237">
        <f>IF(AP17=0,"",AS17/AP17)</f>
        <v/>
      </c>
      <c r="AV17" s="33" t="n"/>
      <c r="AW17" s="233" t="n"/>
      <c r="AX17" s="233" t="n"/>
      <c r="AY17" s="233">
        <f>AW17+AX17</f>
        <v/>
      </c>
      <c r="AZ17" s="233" t="n"/>
      <c r="BA17" s="233" t="n"/>
      <c r="BB17" s="233">
        <f>AZ17+BA17</f>
        <v/>
      </c>
      <c r="BC17" s="238">
        <f>BB17-AY17</f>
        <v/>
      </c>
      <c r="BD17" s="235">
        <f>IF(AY17=0,"",BB17/AY17)</f>
        <v/>
      </c>
      <c r="BE17" s="26" t="n"/>
      <c r="BF17" s="236">
        <f>AN17+AW17</f>
        <v/>
      </c>
      <c r="BG17" s="236">
        <f>AO17+AX17</f>
        <v/>
      </c>
      <c r="BH17" s="236">
        <f>BF17+BG17</f>
        <v/>
      </c>
      <c r="BI17" s="236">
        <f>AQ17+AZ17</f>
        <v/>
      </c>
      <c r="BJ17" s="236">
        <f>AR17+BA17</f>
        <v/>
      </c>
      <c r="BK17" s="236">
        <f>BI17+BJ17</f>
        <v/>
      </c>
      <c r="BL17" s="239">
        <f>BK17-BH17</f>
        <v/>
      </c>
      <c r="BM17" s="237">
        <f>IF(BH17=0,"",BK17/BH17)</f>
        <v/>
      </c>
      <c r="BN17" s="33" t="n"/>
      <c r="BO17" s="233" t="n"/>
      <c r="BP17" s="233" t="n"/>
      <c r="BQ17" s="233">
        <f>BO17+BP17</f>
        <v/>
      </c>
      <c r="BR17" s="233" t="n"/>
      <c r="BS17" s="233" t="n"/>
      <c r="BT17" s="233">
        <f>BR17+BS17</f>
        <v/>
      </c>
      <c r="BU17" s="238">
        <f>BT17-BQ17</f>
        <v/>
      </c>
      <c r="BV17" s="235">
        <f>IF(BQ17=0,"",BT17/BQ17)</f>
        <v/>
      </c>
      <c r="BW17" s="26" t="n"/>
      <c r="BX17" s="236">
        <f>BF17+BO17</f>
        <v/>
      </c>
      <c r="BY17" s="236">
        <f>BG17+BP17</f>
        <v/>
      </c>
      <c r="BZ17" s="236">
        <f>BX17+BY17</f>
        <v/>
      </c>
      <c r="CA17" s="236">
        <f>BI17+BR17</f>
        <v/>
      </c>
      <c r="CB17" s="236">
        <f>BJ17+BS17</f>
        <v/>
      </c>
      <c r="CC17" s="236">
        <f>CA17+CB17</f>
        <v/>
      </c>
      <c r="CD17" s="239">
        <f>CC17-BZ17</f>
        <v/>
      </c>
      <c r="CE17" s="237">
        <f>IF(BZ17=0,"",CC17/BZ17)</f>
        <v/>
      </c>
      <c r="CF17" s="33" t="n"/>
      <c r="CG17" s="233" t="n"/>
      <c r="CH17" s="233" t="n"/>
      <c r="CI17" s="233">
        <f>CG17+CH17</f>
        <v/>
      </c>
      <c r="CJ17" s="233" t="n"/>
      <c r="CK17" s="233" t="n"/>
      <c r="CL17" s="233">
        <f>CJ17+CK17</f>
        <v/>
      </c>
      <c r="CM17" s="238">
        <f>CL17-CI17</f>
        <v/>
      </c>
      <c r="CN17" s="235">
        <f>IF(CI17=0,"",CL17/CI17)</f>
        <v/>
      </c>
      <c r="CO17" s="26" t="n"/>
      <c r="CP17" s="236">
        <f>BX17+CG17</f>
        <v/>
      </c>
      <c r="CQ17" s="236">
        <f>BY17+CH17</f>
        <v/>
      </c>
      <c r="CR17" s="236">
        <f>CP17+CQ17</f>
        <v/>
      </c>
      <c r="CS17" s="236">
        <f>CA17+CJ17</f>
        <v/>
      </c>
      <c r="CT17" s="236">
        <f>CB17+CK17</f>
        <v/>
      </c>
      <c r="CU17" s="236">
        <f>CS17+CT17</f>
        <v/>
      </c>
      <c r="CV17" s="239">
        <f>CU17-CR17</f>
        <v/>
      </c>
      <c r="CW17" s="237">
        <f>IF(CR17=0,"",CU17/CR17)</f>
        <v/>
      </c>
      <c r="CX17" s="33" t="n"/>
      <c r="CY17" s="233" t="n"/>
      <c r="CZ17" s="233" t="n"/>
      <c r="DA17" s="233">
        <f>CY17+CZ17</f>
        <v/>
      </c>
      <c r="DB17" s="233" t="n"/>
      <c r="DC17" s="233" t="n"/>
      <c r="DD17" s="233">
        <f>DB17+DC17</f>
        <v/>
      </c>
      <c r="DE17" s="238">
        <f>DD17-DA17</f>
        <v/>
      </c>
      <c r="DF17" s="235">
        <f>IF(DA17=0,"",DD17/DA17)</f>
        <v/>
      </c>
      <c r="DG17" s="26" t="n"/>
      <c r="DH17" s="236">
        <f>CP17+CY17</f>
        <v/>
      </c>
      <c r="DI17" s="236">
        <f>CQ17+CZ17</f>
        <v/>
      </c>
      <c r="DJ17" s="236">
        <f>DH17+DI17</f>
        <v/>
      </c>
      <c r="DK17" s="236">
        <f>CS17+DB17</f>
        <v/>
      </c>
      <c r="DL17" s="236">
        <f>CT17+DC17</f>
        <v/>
      </c>
      <c r="DM17" s="236">
        <f>DK17+DL17</f>
        <v/>
      </c>
      <c r="DN17" s="239">
        <f>DM17-DJ17</f>
        <v/>
      </c>
      <c r="DO17" s="237">
        <f>IF(DJ17=0,"",DM17/DJ17)</f>
        <v/>
      </c>
      <c r="DP17" s="33" t="n"/>
      <c r="DQ17" s="233" t="n"/>
      <c r="DR17" s="233" t="n"/>
      <c r="DS17" s="233">
        <f>DQ17+DR17</f>
        <v/>
      </c>
      <c r="DT17" s="233" t="n"/>
      <c r="DU17" s="233" t="n"/>
      <c r="DV17" s="233">
        <f>DT17+DU17</f>
        <v/>
      </c>
      <c r="DW17" s="238">
        <f>DV17-DS17</f>
        <v/>
      </c>
      <c r="DX17" s="235">
        <f>IF(DS17=0,"",DV17/DS17)</f>
        <v/>
      </c>
      <c r="DY17" s="26" t="n"/>
      <c r="DZ17" s="236">
        <f>DH17+DQ17</f>
        <v/>
      </c>
      <c r="EA17" s="236">
        <f>DI17+DR17</f>
        <v/>
      </c>
      <c r="EB17" s="236">
        <f>DZ17+EA17</f>
        <v/>
      </c>
      <c r="EC17" s="236">
        <f>DK17+DT17</f>
        <v/>
      </c>
      <c r="ED17" s="236">
        <f>DL17+DU17</f>
        <v/>
      </c>
      <c r="EE17" s="236">
        <f>EC17+ED17</f>
        <v/>
      </c>
      <c r="EF17" s="239">
        <f>EE17-EB17</f>
        <v/>
      </c>
      <c r="EG17" s="237">
        <f>IF(EB17=0,"",EE17/EB17)</f>
        <v/>
      </c>
      <c r="EH17" s="33" t="n"/>
      <c r="EI17" s="233" t="n"/>
      <c r="EJ17" s="233" t="n"/>
      <c r="EK17" s="233">
        <f>EI17+EJ17</f>
        <v/>
      </c>
      <c r="EL17" s="233" t="n"/>
      <c r="EM17" s="233" t="n"/>
      <c r="EN17" s="233">
        <f>EL17+EM17</f>
        <v/>
      </c>
      <c r="EO17" s="238">
        <f>EN17-EK17</f>
        <v/>
      </c>
      <c r="EP17" s="235">
        <f>IF(EK17=0,"",EN17/EK17)</f>
        <v/>
      </c>
      <c r="EQ17" s="26" t="n"/>
      <c r="ER17" s="236">
        <f>DZ17+EI17</f>
        <v/>
      </c>
      <c r="ES17" s="236">
        <f>EA17+EJ17</f>
        <v/>
      </c>
      <c r="ET17" s="236">
        <f>ER17+ES17</f>
        <v/>
      </c>
      <c r="EU17" s="236">
        <f>EC17+EL17</f>
        <v/>
      </c>
      <c r="EV17" s="236">
        <f>ED17+EM17</f>
        <v/>
      </c>
      <c r="EW17" s="236">
        <f>EU17+EV17</f>
        <v/>
      </c>
      <c r="EX17" s="239">
        <f>EW17-ET17</f>
        <v/>
      </c>
      <c r="EY17" s="237">
        <f>IF(ET17=0,"",EW17/ET17)</f>
        <v/>
      </c>
      <c r="EZ17" s="33" t="n"/>
      <c r="FA17" s="233" t="n"/>
      <c r="FB17" s="233" t="n"/>
      <c r="FC17" s="233">
        <f>FA17+FB17</f>
        <v/>
      </c>
      <c r="FD17" s="233" t="n"/>
      <c r="FE17" s="233" t="n"/>
      <c r="FF17" s="233">
        <f>FD17+FE17</f>
        <v/>
      </c>
      <c r="FG17" s="238">
        <f>FF17-FC17</f>
        <v/>
      </c>
      <c r="FH17" s="235">
        <f>IF(FC17=0,"",FF17/FC17)</f>
        <v/>
      </c>
      <c r="FI17" s="26" t="n"/>
      <c r="FJ17" s="236">
        <f>ER17+FA17</f>
        <v/>
      </c>
      <c r="FK17" s="236">
        <f>ES17+FB17</f>
        <v/>
      </c>
      <c r="FL17" s="236">
        <f>FJ17+FK17</f>
        <v/>
      </c>
      <c r="FM17" s="236">
        <f>EU17+FD17</f>
        <v/>
      </c>
      <c r="FN17" s="236">
        <f>EV17+FE17</f>
        <v/>
      </c>
      <c r="FO17" s="236">
        <f>FM17+FN17</f>
        <v/>
      </c>
      <c r="FP17" s="239">
        <f>FO17-FL17</f>
        <v/>
      </c>
      <c r="FQ17" s="237">
        <f>IF(FL17=0,"",FO17/FL17)</f>
        <v/>
      </c>
      <c r="FR17" s="33" t="n"/>
      <c r="FS17" s="233" t="n"/>
      <c r="FT17" s="233" t="n"/>
      <c r="FU17" s="233">
        <f>FS17+FT17</f>
        <v/>
      </c>
      <c r="FV17" s="233" t="n"/>
      <c r="FW17" s="233" t="n"/>
      <c r="FX17" s="233">
        <f>FV17+FW17</f>
        <v/>
      </c>
      <c r="FY17" s="238">
        <f>FX17-FU17</f>
        <v/>
      </c>
      <c r="FZ17" s="235">
        <f>IF(FU17=0,"",FX17/FU17)</f>
        <v/>
      </c>
      <c r="GA17" s="26" t="n"/>
      <c r="GB17" s="236">
        <f>FJ17+FS17</f>
        <v/>
      </c>
      <c r="GC17" s="236">
        <f>FK17+FT17</f>
        <v/>
      </c>
      <c r="GD17" s="236">
        <f>GB17+GC17</f>
        <v/>
      </c>
      <c r="GE17" s="236">
        <f>FM17+FV17</f>
        <v/>
      </c>
      <c r="GF17" s="236">
        <f>FN17+FW17</f>
        <v/>
      </c>
      <c r="GG17" s="236">
        <f>GE17+GF17</f>
        <v/>
      </c>
      <c r="GH17" s="239">
        <f>GG17-GD17</f>
        <v/>
      </c>
      <c r="GI17" s="237">
        <f>IF(GD17=0,"",GG17/GD17)</f>
        <v/>
      </c>
      <c r="GJ17" s="33" t="n"/>
      <c r="GK17" s="233" t="n"/>
      <c r="GL17" s="233" t="n"/>
      <c r="GM17" s="233">
        <f>GK17+GL17</f>
        <v/>
      </c>
      <c r="GN17" s="233" t="n"/>
      <c r="GO17" s="233" t="n"/>
      <c r="GP17" s="233">
        <f>GN17+GO17</f>
        <v/>
      </c>
      <c r="GQ17" s="238">
        <f>GP17-GM17</f>
        <v/>
      </c>
      <c r="GR17" s="235">
        <f>IF(GM17=0,"",GP17/GM17)</f>
        <v/>
      </c>
      <c r="GS17" s="26" t="n"/>
      <c r="GT17" s="236">
        <f>GB17+GK17</f>
        <v/>
      </c>
      <c r="GU17" s="236">
        <f>GC17+GL17</f>
        <v/>
      </c>
      <c r="GV17" s="236">
        <f>GT17+GU17</f>
        <v/>
      </c>
      <c r="GW17" s="236">
        <f>GE17+GN17</f>
        <v/>
      </c>
      <c r="GX17" s="236">
        <f>GF17+GO17</f>
        <v/>
      </c>
      <c r="GY17" s="236">
        <f>GW17+GX17</f>
        <v/>
      </c>
      <c r="GZ17" s="239">
        <f>GY17-GV17</f>
        <v/>
      </c>
      <c r="HA17" s="237">
        <f>IF(GV17=0,"",GY17/GV17)</f>
        <v/>
      </c>
      <c r="HB17" s="33" t="n"/>
      <c r="HC17" s="233">
        <f>GT17</f>
        <v/>
      </c>
      <c r="HD17" s="233">
        <f>GU17</f>
        <v/>
      </c>
      <c r="HE17" s="233">
        <f>HC17+HD17</f>
        <v/>
      </c>
    </row>
    <row r="18" ht="15" customHeight="1" s="150">
      <c r="A18" s="18" t="n"/>
      <c r="B18" s="18" t="n"/>
      <c r="C18" s="18" t="n"/>
      <c r="D18" s="227">
        <f>D19</f>
        <v/>
      </c>
      <c r="E18" s="227">
        <f>E19</f>
        <v/>
      </c>
      <c r="F18" s="227">
        <f>D18+E18</f>
        <v/>
      </c>
      <c r="G18" s="227">
        <f>G19</f>
        <v/>
      </c>
      <c r="H18" s="227">
        <f>H19</f>
        <v/>
      </c>
      <c r="I18" s="227">
        <f>G18+H18</f>
        <v/>
      </c>
      <c r="J18" s="228">
        <f>I18-F18</f>
        <v/>
      </c>
      <c r="K18" s="229">
        <f>IF(F18=0,"",I18/F18)</f>
        <v/>
      </c>
      <c r="L18" s="18" t="n"/>
      <c r="M18" s="227">
        <f>M19</f>
        <v/>
      </c>
      <c r="N18" s="227">
        <f>N19</f>
        <v/>
      </c>
      <c r="O18" s="227">
        <f>M18+N18</f>
        <v/>
      </c>
      <c r="P18" s="227">
        <f>P19</f>
        <v/>
      </c>
      <c r="Q18" s="227">
        <f>Q19</f>
        <v/>
      </c>
      <c r="R18" s="227">
        <f>P18+Q18</f>
        <v/>
      </c>
      <c r="S18" s="228">
        <f>R18-O18</f>
        <v/>
      </c>
      <c r="T18" s="229">
        <f>IF(O18=0,"",R18/O18)</f>
        <v/>
      </c>
      <c r="U18" s="18" t="n"/>
      <c r="V18" s="230">
        <f>V19</f>
        <v/>
      </c>
      <c r="W18" s="230">
        <f>W19</f>
        <v/>
      </c>
      <c r="X18" s="230">
        <f>V18+W18</f>
        <v/>
      </c>
      <c r="Y18" s="230">
        <f>Y19</f>
        <v/>
      </c>
      <c r="Z18" s="230">
        <f>Z19</f>
        <v/>
      </c>
      <c r="AA18" s="230">
        <f>Y18+Z18</f>
        <v/>
      </c>
      <c r="AB18" s="231">
        <f>AA18-X18</f>
        <v/>
      </c>
      <c r="AC18" s="232">
        <f>IF(X18=0,"",AA18/X18)</f>
        <v/>
      </c>
      <c r="AD18" s="25" t="n"/>
      <c r="AE18" s="227">
        <f>AE19</f>
        <v/>
      </c>
      <c r="AF18" s="227">
        <f>AF19</f>
        <v/>
      </c>
      <c r="AG18" s="227">
        <f>AE18+AF18</f>
        <v/>
      </c>
      <c r="AH18" s="227">
        <f>AH19</f>
        <v/>
      </c>
      <c r="AI18" s="227">
        <f>AI19</f>
        <v/>
      </c>
      <c r="AJ18" s="227">
        <f>AH18+AI18</f>
        <v/>
      </c>
      <c r="AK18" s="228">
        <f>AJ18-AG18</f>
        <v/>
      </c>
      <c r="AL18" s="229">
        <f>IF(AG18=0,"",AJ18/AG18)</f>
        <v/>
      </c>
      <c r="AM18" s="18" t="n"/>
      <c r="AN18" s="230">
        <f>AN19</f>
        <v/>
      </c>
      <c r="AO18" s="230">
        <f>AO19</f>
        <v/>
      </c>
      <c r="AP18" s="230">
        <f>AN18+AO18</f>
        <v/>
      </c>
      <c r="AQ18" s="230">
        <f>AQ19</f>
        <v/>
      </c>
      <c r="AR18" s="230">
        <f>AR19</f>
        <v/>
      </c>
      <c r="AS18" s="230">
        <f>AQ18+AR18</f>
        <v/>
      </c>
      <c r="AT18" s="231">
        <f>AS18-AP18</f>
        <v/>
      </c>
      <c r="AU18" s="232">
        <f>IF(AP18=0,"",AS18/AP18)</f>
        <v/>
      </c>
      <c r="AV18" s="25" t="n"/>
      <c r="AW18" s="227">
        <f>AW19</f>
        <v/>
      </c>
      <c r="AX18" s="227">
        <f>AX19</f>
        <v/>
      </c>
      <c r="AY18" s="227">
        <f>AW18+AX18</f>
        <v/>
      </c>
      <c r="AZ18" s="227">
        <f>AZ19</f>
        <v/>
      </c>
      <c r="BA18" s="227">
        <f>BA19</f>
        <v/>
      </c>
      <c r="BB18" s="227">
        <f>AZ18+BA18</f>
        <v/>
      </c>
      <c r="BC18" s="228">
        <f>BB18-AY18</f>
        <v/>
      </c>
      <c r="BD18" s="229">
        <f>IF(AY18=0,"",BB18/AY18)</f>
        <v/>
      </c>
      <c r="BE18" s="18" t="n"/>
      <c r="BF18" s="230">
        <f>BF19</f>
        <v/>
      </c>
      <c r="BG18" s="230">
        <f>BG19</f>
        <v/>
      </c>
      <c r="BH18" s="230">
        <f>BF18+BG18</f>
        <v/>
      </c>
      <c r="BI18" s="230">
        <f>BI19</f>
        <v/>
      </c>
      <c r="BJ18" s="230">
        <f>BJ19</f>
        <v/>
      </c>
      <c r="BK18" s="230">
        <f>BI18+BJ18</f>
        <v/>
      </c>
      <c r="BL18" s="231">
        <f>BK18-BH18</f>
        <v/>
      </c>
      <c r="BM18" s="232">
        <f>IF(BH18=0,"",BK18/BH18)</f>
        <v/>
      </c>
      <c r="BN18" s="25" t="n"/>
      <c r="BO18" s="227">
        <f>BO19</f>
        <v/>
      </c>
      <c r="BP18" s="227">
        <f>BP19</f>
        <v/>
      </c>
      <c r="BQ18" s="227">
        <f>BO18+BP18</f>
        <v/>
      </c>
      <c r="BR18" s="227">
        <f>BR19</f>
        <v/>
      </c>
      <c r="BS18" s="227">
        <f>BS19</f>
        <v/>
      </c>
      <c r="BT18" s="227">
        <f>BR18+BS18</f>
        <v/>
      </c>
      <c r="BU18" s="228">
        <f>BT18-BQ18</f>
        <v/>
      </c>
      <c r="BV18" s="229">
        <f>IF(BQ18=0,"",BT18/BQ18)</f>
        <v/>
      </c>
      <c r="BW18" s="18" t="n"/>
      <c r="BX18" s="230">
        <f>BX19</f>
        <v/>
      </c>
      <c r="BY18" s="230">
        <f>BY19</f>
        <v/>
      </c>
      <c r="BZ18" s="230">
        <f>BX18+BY18</f>
        <v/>
      </c>
      <c r="CA18" s="230">
        <f>CA19</f>
        <v/>
      </c>
      <c r="CB18" s="230">
        <f>CB19</f>
        <v/>
      </c>
      <c r="CC18" s="230">
        <f>CA18+CB18</f>
        <v/>
      </c>
      <c r="CD18" s="231">
        <f>CC18-BZ18</f>
        <v/>
      </c>
      <c r="CE18" s="232">
        <f>IF(BZ18=0,"",CC18/BZ18)</f>
        <v/>
      </c>
      <c r="CF18" s="25" t="n"/>
      <c r="CG18" s="227">
        <f>CG19</f>
        <v/>
      </c>
      <c r="CH18" s="227">
        <f>CH19</f>
        <v/>
      </c>
      <c r="CI18" s="227">
        <f>CG18+CH18</f>
        <v/>
      </c>
      <c r="CJ18" s="227">
        <f>CJ19</f>
        <v/>
      </c>
      <c r="CK18" s="227">
        <f>CK19</f>
        <v/>
      </c>
      <c r="CL18" s="227">
        <f>CJ18+CK18</f>
        <v/>
      </c>
      <c r="CM18" s="228">
        <f>CL18-CI18</f>
        <v/>
      </c>
      <c r="CN18" s="229">
        <f>IF(CI18=0,"",CL18/CI18)</f>
        <v/>
      </c>
      <c r="CO18" s="18" t="n"/>
      <c r="CP18" s="230">
        <f>CP19</f>
        <v/>
      </c>
      <c r="CQ18" s="230">
        <f>CQ19</f>
        <v/>
      </c>
      <c r="CR18" s="230">
        <f>CP18+CQ18</f>
        <v/>
      </c>
      <c r="CS18" s="230">
        <f>CS19</f>
        <v/>
      </c>
      <c r="CT18" s="230">
        <f>CT19</f>
        <v/>
      </c>
      <c r="CU18" s="230">
        <f>CS18+CT18</f>
        <v/>
      </c>
      <c r="CV18" s="231">
        <f>CU18-CR18</f>
        <v/>
      </c>
      <c r="CW18" s="232">
        <f>IF(CR18=0,"",CU18/CR18)</f>
        <v/>
      </c>
      <c r="CX18" s="25" t="n"/>
      <c r="CY18" s="227">
        <f>CY19</f>
        <v/>
      </c>
      <c r="CZ18" s="227">
        <f>CZ19</f>
        <v/>
      </c>
      <c r="DA18" s="227">
        <f>CY18+CZ18</f>
        <v/>
      </c>
      <c r="DB18" s="227">
        <f>DB19</f>
        <v/>
      </c>
      <c r="DC18" s="227">
        <f>DC19</f>
        <v/>
      </c>
      <c r="DD18" s="227">
        <f>DB18+DC18</f>
        <v/>
      </c>
      <c r="DE18" s="228">
        <f>DD18-DA18</f>
        <v/>
      </c>
      <c r="DF18" s="229">
        <f>IF(DA18=0,"",DD18/DA18)</f>
        <v/>
      </c>
      <c r="DG18" s="18" t="n"/>
      <c r="DH18" s="230">
        <f>DH19</f>
        <v/>
      </c>
      <c r="DI18" s="230">
        <f>DI19</f>
        <v/>
      </c>
      <c r="DJ18" s="230">
        <f>DH18+DI18</f>
        <v/>
      </c>
      <c r="DK18" s="230">
        <f>DK19</f>
        <v/>
      </c>
      <c r="DL18" s="230">
        <f>DL19</f>
        <v/>
      </c>
      <c r="DM18" s="230">
        <f>DK18+DL18</f>
        <v/>
      </c>
      <c r="DN18" s="231">
        <f>DM18-DJ18</f>
        <v/>
      </c>
      <c r="DO18" s="232">
        <f>IF(DJ18=0,"",DM18/DJ18)</f>
        <v/>
      </c>
      <c r="DP18" s="25" t="n"/>
      <c r="DQ18" s="227">
        <f>DQ19</f>
        <v/>
      </c>
      <c r="DR18" s="227">
        <f>DR19</f>
        <v/>
      </c>
      <c r="DS18" s="227">
        <f>DQ18+DR18</f>
        <v/>
      </c>
      <c r="DT18" s="227">
        <f>DT19</f>
        <v/>
      </c>
      <c r="DU18" s="227">
        <f>DU19</f>
        <v/>
      </c>
      <c r="DV18" s="227">
        <f>DT18+DU18</f>
        <v/>
      </c>
      <c r="DW18" s="228">
        <f>DV18-DS18</f>
        <v/>
      </c>
      <c r="DX18" s="229">
        <f>IF(DS18=0,"",DV18/DS18)</f>
        <v/>
      </c>
      <c r="DY18" s="18" t="n"/>
      <c r="DZ18" s="230">
        <f>DZ19</f>
        <v/>
      </c>
      <c r="EA18" s="230">
        <f>EA19</f>
        <v/>
      </c>
      <c r="EB18" s="230">
        <f>DZ18+EA18</f>
        <v/>
      </c>
      <c r="EC18" s="230">
        <f>EC19</f>
        <v/>
      </c>
      <c r="ED18" s="230">
        <f>ED19</f>
        <v/>
      </c>
      <c r="EE18" s="230">
        <f>EC18+ED18</f>
        <v/>
      </c>
      <c r="EF18" s="231">
        <f>EE18-EB18</f>
        <v/>
      </c>
      <c r="EG18" s="232">
        <f>IF(EB18=0,"",EE18/EB18)</f>
        <v/>
      </c>
      <c r="EH18" s="25" t="n"/>
      <c r="EI18" s="227">
        <f>EI19</f>
        <v/>
      </c>
      <c r="EJ18" s="227">
        <f>EJ19</f>
        <v/>
      </c>
      <c r="EK18" s="227">
        <f>EI18+EJ18</f>
        <v/>
      </c>
      <c r="EL18" s="227">
        <f>EL19</f>
        <v/>
      </c>
      <c r="EM18" s="227">
        <f>EM19</f>
        <v/>
      </c>
      <c r="EN18" s="227">
        <f>EL18+EM18</f>
        <v/>
      </c>
      <c r="EO18" s="228">
        <f>EN18-EK18</f>
        <v/>
      </c>
      <c r="EP18" s="229">
        <f>IF(EK18=0,"",EN18/EK18)</f>
        <v/>
      </c>
      <c r="EQ18" s="18" t="n"/>
      <c r="ER18" s="230">
        <f>ER19</f>
        <v/>
      </c>
      <c r="ES18" s="230">
        <f>ES19</f>
        <v/>
      </c>
      <c r="ET18" s="230">
        <f>ER18+ES18</f>
        <v/>
      </c>
      <c r="EU18" s="230">
        <f>EU19</f>
        <v/>
      </c>
      <c r="EV18" s="230">
        <f>EV19</f>
        <v/>
      </c>
      <c r="EW18" s="230">
        <f>EU18+EV18</f>
        <v/>
      </c>
      <c r="EX18" s="231">
        <f>EW18-ET18</f>
        <v/>
      </c>
      <c r="EY18" s="232">
        <f>IF(ET18=0,"",EW18/ET18)</f>
        <v/>
      </c>
      <c r="EZ18" s="25" t="n"/>
      <c r="FA18" s="227">
        <f>FA19</f>
        <v/>
      </c>
      <c r="FB18" s="227">
        <f>FB19</f>
        <v/>
      </c>
      <c r="FC18" s="227">
        <f>FA18+FB18</f>
        <v/>
      </c>
      <c r="FD18" s="227">
        <f>FD19</f>
        <v/>
      </c>
      <c r="FE18" s="227">
        <f>FE19</f>
        <v/>
      </c>
      <c r="FF18" s="227">
        <f>FD18+FE18</f>
        <v/>
      </c>
      <c r="FG18" s="228">
        <f>FF18-FC18</f>
        <v/>
      </c>
      <c r="FH18" s="229">
        <f>IF(FC18=0,"",FF18/FC18)</f>
        <v/>
      </c>
      <c r="FI18" s="18" t="n"/>
      <c r="FJ18" s="230">
        <f>FJ19</f>
        <v/>
      </c>
      <c r="FK18" s="230">
        <f>FK19</f>
        <v/>
      </c>
      <c r="FL18" s="230">
        <f>FJ18+FK18</f>
        <v/>
      </c>
      <c r="FM18" s="230">
        <f>FM19</f>
        <v/>
      </c>
      <c r="FN18" s="230">
        <f>FN19</f>
        <v/>
      </c>
      <c r="FO18" s="230">
        <f>FM18+FN18</f>
        <v/>
      </c>
      <c r="FP18" s="231">
        <f>FO18-FL18</f>
        <v/>
      </c>
      <c r="FQ18" s="232">
        <f>IF(FL18=0,"",FO18/FL18)</f>
        <v/>
      </c>
      <c r="FR18" s="25" t="n"/>
      <c r="FS18" s="227">
        <f>FS19</f>
        <v/>
      </c>
      <c r="FT18" s="227">
        <f>FT19</f>
        <v/>
      </c>
      <c r="FU18" s="227">
        <f>FS18+FT18</f>
        <v/>
      </c>
      <c r="FV18" s="227">
        <f>FV19</f>
        <v/>
      </c>
      <c r="FW18" s="227">
        <f>FW19</f>
        <v/>
      </c>
      <c r="FX18" s="227">
        <f>FV18+FW18</f>
        <v/>
      </c>
      <c r="FY18" s="228">
        <f>FX18-FU18</f>
        <v/>
      </c>
      <c r="FZ18" s="229">
        <f>IF(FU18=0,"",FX18/FU18)</f>
        <v/>
      </c>
      <c r="GA18" s="18" t="n"/>
      <c r="GB18" s="230">
        <f>GB19</f>
        <v/>
      </c>
      <c r="GC18" s="230">
        <f>GC19</f>
        <v/>
      </c>
      <c r="GD18" s="230">
        <f>GB18+GC18</f>
        <v/>
      </c>
      <c r="GE18" s="230">
        <f>GE19</f>
        <v/>
      </c>
      <c r="GF18" s="230">
        <f>GF19</f>
        <v/>
      </c>
      <c r="GG18" s="230">
        <f>GE18+GF18</f>
        <v/>
      </c>
      <c r="GH18" s="231">
        <f>GG18-GD18</f>
        <v/>
      </c>
      <c r="GI18" s="232">
        <f>IF(GD18=0,"",GG18/GD18)</f>
        <v/>
      </c>
      <c r="GJ18" s="25" t="n"/>
      <c r="GK18" s="227">
        <f>GK19</f>
        <v/>
      </c>
      <c r="GL18" s="227">
        <f>GL19</f>
        <v/>
      </c>
      <c r="GM18" s="227">
        <f>GK18+GL18</f>
        <v/>
      </c>
      <c r="GN18" s="227">
        <f>GN19</f>
        <v/>
      </c>
      <c r="GO18" s="227">
        <f>GO19</f>
        <v/>
      </c>
      <c r="GP18" s="227">
        <f>GN18+GO18</f>
        <v/>
      </c>
      <c r="GQ18" s="228">
        <f>GP18-GM18</f>
        <v/>
      </c>
      <c r="GR18" s="229">
        <f>IF(GM18=0,"",GP18/GM18)</f>
        <v/>
      </c>
      <c r="GS18" s="18" t="n"/>
      <c r="GT18" s="230">
        <f>GT19</f>
        <v/>
      </c>
      <c r="GU18" s="230">
        <f>GU19</f>
        <v/>
      </c>
      <c r="GV18" s="230">
        <f>GT18+GU18</f>
        <v/>
      </c>
      <c r="GW18" s="230">
        <f>GW19</f>
        <v/>
      </c>
      <c r="GX18" s="230">
        <f>GX19</f>
        <v/>
      </c>
      <c r="GY18" s="230">
        <f>GW18+GX18</f>
        <v/>
      </c>
      <c r="GZ18" s="231">
        <f>GY18-GV18</f>
        <v/>
      </c>
      <c r="HA18" s="232">
        <f>IF(GV18=0,"",GY18/GV18)</f>
        <v/>
      </c>
      <c r="HB18" s="25" t="n"/>
      <c r="HC18" s="227">
        <f>GT18</f>
        <v/>
      </c>
      <c r="HD18" s="227">
        <f>GU18</f>
        <v/>
      </c>
      <c r="HE18" s="227">
        <f>HC18+HD18</f>
        <v/>
      </c>
    </row>
    <row r="19" outlineLevel="1" ht="43.5" customHeight="1" s="150">
      <c r="A19" s="26" t="n"/>
      <c r="B19" s="26" t="n"/>
      <c r="C19" s="26" t="n"/>
      <c r="D19" s="233" t="n"/>
      <c r="E19" s="233" t="n"/>
      <c r="F19" s="233">
        <f>D19+E19</f>
        <v/>
      </c>
      <c r="G19" s="233" t="n"/>
      <c r="H19" s="233" t="n"/>
      <c r="I19" s="233">
        <f>G19+H19</f>
        <v/>
      </c>
      <c r="J19" s="234">
        <f>I19-F19</f>
        <v/>
      </c>
      <c r="K19" s="235">
        <f>IF(F19=0,"",I19/F19)</f>
        <v/>
      </c>
      <c r="L19" s="26" t="n"/>
      <c r="M19" s="233" t="n"/>
      <c r="N19" s="233" t="n"/>
      <c r="O19" s="233">
        <f>M19+N19</f>
        <v/>
      </c>
      <c r="P19" s="233" t="n"/>
      <c r="Q19" s="233" t="n"/>
      <c r="R19" s="233">
        <f>P19+Q19</f>
        <v/>
      </c>
      <c r="S19" s="234">
        <f>R19-O19</f>
        <v/>
      </c>
      <c r="T19" s="235">
        <f>IF(O19=0,"",R19/O19)</f>
        <v/>
      </c>
      <c r="U19" s="26" t="n"/>
      <c r="V19" s="236">
        <f>D19+M19</f>
        <v/>
      </c>
      <c r="W19" s="236">
        <f>E19+N19</f>
        <v/>
      </c>
      <c r="X19" s="236">
        <f>V19+W19</f>
        <v/>
      </c>
      <c r="Y19" s="236">
        <f>G19+P19</f>
        <v/>
      </c>
      <c r="Z19" s="236">
        <f>H19+Q19</f>
        <v/>
      </c>
      <c r="AA19" s="236">
        <f>Y19+Z19</f>
        <v/>
      </c>
      <c r="AB19" s="234">
        <f>AA19-X19</f>
        <v/>
      </c>
      <c r="AC19" s="237">
        <f>IF(X19=0,"",AA19/X19)</f>
        <v/>
      </c>
      <c r="AD19" s="44" t="n"/>
      <c r="AE19" s="233" t="n"/>
      <c r="AF19" s="233" t="n"/>
      <c r="AG19" s="233">
        <f>AE19+AF19</f>
        <v/>
      </c>
      <c r="AH19" s="233" t="n"/>
      <c r="AI19" s="233" t="n"/>
      <c r="AJ19" s="233">
        <f>AH19+AI19</f>
        <v/>
      </c>
      <c r="AK19" s="234">
        <f>AJ19-AG19</f>
        <v/>
      </c>
      <c r="AL19" s="235">
        <f>IF(AG19=0,"",AJ19/AG19)</f>
        <v/>
      </c>
      <c r="AM19" s="26" t="n"/>
      <c r="AN19" s="236">
        <f>V19+AE19</f>
        <v/>
      </c>
      <c r="AO19" s="236">
        <f>W19+AF19</f>
        <v/>
      </c>
      <c r="AP19" s="236">
        <f>AN19+AO19</f>
        <v/>
      </c>
      <c r="AQ19" s="236">
        <f>Y19+AH19</f>
        <v/>
      </c>
      <c r="AR19" s="236">
        <f>Z19+AI19</f>
        <v/>
      </c>
      <c r="AS19" s="236">
        <f>AQ19+AR19</f>
        <v/>
      </c>
      <c r="AT19" s="234">
        <f>AS19-AP19</f>
        <v/>
      </c>
      <c r="AU19" s="237">
        <f>IF(AP19=0,"",AS19/AP19)</f>
        <v/>
      </c>
      <c r="AV19" s="44" t="n"/>
      <c r="AW19" s="233" t="n"/>
      <c r="AX19" s="233" t="n"/>
      <c r="AY19" s="233">
        <f>AW19+AX19</f>
        <v/>
      </c>
      <c r="AZ19" s="233" t="n"/>
      <c r="BA19" s="233" t="n"/>
      <c r="BB19" s="233">
        <f>AZ19+BA19</f>
        <v/>
      </c>
      <c r="BC19" s="238">
        <f>BB19-AY19</f>
        <v/>
      </c>
      <c r="BD19" s="235">
        <f>IF(AY19=0,"",BB19/AY19)</f>
        <v/>
      </c>
      <c r="BE19" s="26" t="n"/>
      <c r="BF19" s="236">
        <f>AN19+AW19</f>
        <v/>
      </c>
      <c r="BG19" s="236">
        <f>AO19+AX19</f>
        <v/>
      </c>
      <c r="BH19" s="236">
        <f>BF19+BG19</f>
        <v/>
      </c>
      <c r="BI19" s="236">
        <f>AQ19+AZ19</f>
        <v/>
      </c>
      <c r="BJ19" s="236">
        <f>AR19+BA19</f>
        <v/>
      </c>
      <c r="BK19" s="236">
        <f>BI19+BJ19</f>
        <v/>
      </c>
      <c r="BL19" s="239">
        <f>BK19-BH19</f>
        <v/>
      </c>
      <c r="BM19" s="237">
        <f>IF(BH19=0,"",BK19/BH19)</f>
        <v/>
      </c>
      <c r="BN19" s="33" t="n"/>
      <c r="BO19" s="233" t="n"/>
      <c r="BP19" s="233" t="n"/>
      <c r="BQ19" s="233">
        <f>BO19+BP19</f>
        <v/>
      </c>
      <c r="BR19" s="233" t="n"/>
      <c r="BS19" s="233" t="n"/>
      <c r="BT19" s="233">
        <f>BR19+BS19</f>
        <v/>
      </c>
      <c r="BU19" s="238">
        <f>BT19-BQ19</f>
        <v/>
      </c>
      <c r="BV19" s="235">
        <f>IF(BQ19=0,"",BT19/BQ19)</f>
        <v/>
      </c>
      <c r="BW19" s="26" t="n"/>
      <c r="BX19" s="236">
        <f>BF19+BO19</f>
        <v/>
      </c>
      <c r="BY19" s="236">
        <f>BG19+BP19</f>
        <v/>
      </c>
      <c r="BZ19" s="236">
        <f>BX19+BY19</f>
        <v/>
      </c>
      <c r="CA19" s="236">
        <f>BI19+BR19</f>
        <v/>
      </c>
      <c r="CB19" s="236">
        <f>BJ19+BS19</f>
        <v/>
      </c>
      <c r="CC19" s="236">
        <f>CA19+CB19</f>
        <v/>
      </c>
      <c r="CD19" s="239">
        <f>CC19-BZ19</f>
        <v/>
      </c>
      <c r="CE19" s="237">
        <f>IF(BZ19=0,"",CC19/BZ19)</f>
        <v/>
      </c>
      <c r="CF19" s="33" t="n"/>
      <c r="CG19" s="233" t="n"/>
      <c r="CH19" s="233" t="n"/>
      <c r="CI19" s="233">
        <f>CG19+CH19</f>
        <v/>
      </c>
      <c r="CJ19" s="233" t="n"/>
      <c r="CK19" s="233" t="n"/>
      <c r="CL19" s="233">
        <f>CJ19+CK19</f>
        <v/>
      </c>
      <c r="CM19" s="238">
        <f>CL19-CI19</f>
        <v/>
      </c>
      <c r="CN19" s="235">
        <f>IF(CI19=0,"",CL19/CI19)</f>
        <v/>
      </c>
      <c r="CO19" s="26" t="n"/>
      <c r="CP19" s="236">
        <f>BX19+CG19</f>
        <v/>
      </c>
      <c r="CQ19" s="236">
        <f>BY19+CH19</f>
        <v/>
      </c>
      <c r="CR19" s="236">
        <f>CP19+CQ19</f>
        <v/>
      </c>
      <c r="CS19" s="236">
        <f>CA19+CJ19</f>
        <v/>
      </c>
      <c r="CT19" s="236">
        <f>CB19+CK19</f>
        <v/>
      </c>
      <c r="CU19" s="236">
        <f>CS19+CT19</f>
        <v/>
      </c>
      <c r="CV19" s="239">
        <f>CU19-CR19</f>
        <v/>
      </c>
      <c r="CW19" s="237">
        <f>IF(CR19=0,"",CU19/CR19)</f>
        <v/>
      </c>
      <c r="CX19" s="33" t="n"/>
      <c r="CY19" s="233" t="n"/>
      <c r="CZ19" s="233" t="n"/>
      <c r="DA19" s="233">
        <f>CY19+CZ19</f>
        <v/>
      </c>
      <c r="DB19" s="233" t="n"/>
      <c r="DC19" s="233" t="n"/>
      <c r="DD19" s="233">
        <f>DB19+DC19</f>
        <v/>
      </c>
      <c r="DE19" s="238">
        <f>DD19-DA19</f>
        <v/>
      </c>
      <c r="DF19" s="235">
        <f>IF(DA19=0,"",DD19/DA19)</f>
        <v/>
      </c>
      <c r="DG19" s="26" t="n"/>
      <c r="DH19" s="236">
        <f>CP19+CY19</f>
        <v/>
      </c>
      <c r="DI19" s="236">
        <f>CQ19+CZ19</f>
        <v/>
      </c>
      <c r="DJ19" s="236">
        <f>DH19+DI19</f>
        <v/>
      </c>
      <c r="DK19" s="236">
        <f>CS19+DB19</f>
        <v/>
      </c>
      <c r="DL19" s="236">
        <f>CT19+DC19</f>
        <v/>
      </c>
      <c r="DM19" s="236">
        <f>DK19+DL19</f>
        <v/>
      </c>
      <c r="DN19" s="239">
        <f>DM19-DJ19</f>
        <v/>
      </c>
      <c r="DO19" s="237">
        <f>IF(DJ19=0,"",DM19/DJ19)</f>
        <v/>
      </c>
      <c r="DP19" s="33" t="n"/>
      <c r="DQ19" s="233" t="n"/>
      <c r="DR19" s="233" t="n"/>
      <c r="DS19" s="233">
        <f>DQ19+DR19</f>
        <v/>
      </c>
      <c r="DT19" s="233" t="n"/>
      <c r="DU19" s="233" t="n"/>
      <c r="DV19" s="233">
        <f>DT19+DU19</f>
        <v/>
      </c>
      <c r="DW19" s="238">
        <f>DV19-DS19</f>
        <v/>
      </c>
      <c r="DX19" s="235">
        <f>IF(DS19=0,"",DV19/DS19)</f>
        <v/>
      </c>
      <c r="DY19" s="26" t="n"/>
      <c r="DZ19" s="236">
        <f>DH19+DQ19</f>
        <v/>
      </c>
      <c r="EA19" s="236">
        <f>DI19+DR19</f>
        <v/>
      </c>
      <c r="EB19" s="236">
        <f>DZ19+EA19</f>
        <v/>
      </c>
      <c r="EC19" s="236">
        <f>DK19+DT19</f>
        <v/>
      </c>
      <c r="ED19" s="236">
        <f>DL19+DU19</f>
        <v/>
      </c>
      <c r="EE19" s="236">
        <f>EC19+ED19</f>
        <v/>
      </c>
      <c r="EF19" s="239">
        <f>EE19-EB19</f>
        <v/>
      </c>
      <c r="EG19" s="237">
        <f>IF(EB19=0,"",EE19/EB19)</f>
        <v/>
      </c>
      <c r="EH19" s="33" t="n"/>
      <c r="EI19" s="233" t="n"/>
      <c r="EJ19" s="233" t="n"/>
      <c r="EK19" s="233">
        <f>EI19+EJ19</f>
        <v/>
      </c>
      <c r="EL19" s="233" t="n"/>
      <c r="EM19" s="233" t="n"/>
      <c r="EN19" s="233">
        <f>EL19+EM19</f>
        <v/>
      </c>
      <c r="EO19" s="238">
        <f>EN19-EK19</f>
        <v/>
      </c>
      <c r="EP19" s="235">
        <f>IF(EK19=0,"",EN19/EK19)</f>
        <v/>
      </c>
      <c r="EQ19" s="26" t="n"/>
      <c r="ER19" s="236">
        <f>DZ19+EI19</f>
        <v/>
      </c>
      <c r="ES19" s="236">
        <f>EA19+EJ19</f>
        <v/>
      </c>
      <c r="ET19" s="236">
        <f>ER19+ES19</f>
        <v/>
      </c>
      <c r="EU19" s="236">
        <f>EC19+EL19</f>
        <v/>
      </c>
      <c r="EV19" s="236">
        <f>ED19+EM19</f>
        <v/>
      </c>
      <c r="EW19" s="236">
        <f>EU19+EV19</f>
        <v/>
      </c>
      <c r="EX19" s="239">
        <f>EW19-ET19</f>
        <v/>
      </c>
      <c r="EY19" s="237">
        <f>IF(ET19=0,"",EW19/ET19)</f>
        <v/>
      </c>
      <c r="EZ19" s="33" t="n"/>
      <c r="FA19" s="233" t="n"/>
      <c r="FB19" s="233" t="n"/>
      <c r="FC19" s="233">
        <f>FA19+FB19</f>
        <v/>
      </c>
      <c r="FD19" s="233" t="n"/>
      <c r="FE19" s="233" t="n"/>
      <c r="FF19" s="233">
        <f>FD19+FE19</f>
        <v/>
      </c>
      <c r="FG19" s="238">
        <f>FF19-FC19</f>
        <v/>
      </c>
      <c r="FH19" s="235">
        <f>IF(FC19=0,"",FF19/FC19)</f>
        <v/>
      </c>
      <c r="FI19" s="26" t="n"/>
      <c r="FJ19" s="236">
        <f>ER19+FA19</f>
        <v/>
      </c>
      <c r="FK19" s="236">
        <f>ES19+FB19</f>
        <v/>
      </c>
      <c r="FL19" s="236">
        <f>FJ19+FK19</f>
        <v/>
      </c>
      <c r="FM19" s="236">
        <f>EU19+FD19</f>
        <v/>
      </c>
      <c r="FN19" s="236">
        <f>EV19+FE19</f>
        <v/>
      </c>
      <c r="FO19" s="236">
        <f>FM19+FN19</f>
        <v/>
      </c>
      <c r="FP19" s="239">
        <f>FO19-FL19</f>
        <v/>
      </c>
      <c r="FQ19" s="237">
        <f>IF(FL19=0,"",FO19/FL19)</f>
        <v/>
      </c>
      <c r="FR19" s="33" t="n"/>
      <c r="FS19" s="233" t="n"/>
      <c r="FT19" s="233" t="n"/>
      <c r="FU19" s="233">
        <f>FS19+FT19</f>
        <v/>
      </c>
      <c r="FV19" s="233" t="n"/>
      <c r="FW19" s="233" t="n"/>
      <c r="FX19" s="233">
        <f>FV19+FW19</f>
        <v/>
      </c>
      <c r="FY19" s="238">
        <f>FX19-FU19</f>
        <v/>
      </c>
      <c r="FZ19" s="235">
        <f>IF(FU19=0,"",FX19/FU19)</f>
        <v/>
      </c>
      <c r="GA19" s="26" t="n"/>
      <c r="GB19" s="236">
        <f>FJ19+FS19</f>
        <v/>
      </c>
      <c r="GC19" s="236">
        <f>FK19+FT19</f>
        <v/>
      </c>
      <c r="GD19" s="236">
        <f>GB19+GC19</f>
        <v/>
      </c>
      <c r="GE19" s="236">
        <f>FM19+FV19</f>
        <v/>
      </c>
      <c r="GF19" s="236">
        <f>FN19+FW19</f>
        <v/>
      </c>
      <c r="GG19" s="236">
        <f>GE19+GF19</f>
        <v/>
      </c>
      <c r="GH19" s="239">
        <f>GG19-GD19</f>
        <v/>
      </c>
      <c r="GI19" s="237">
        <f>IF(GD19=0,"",GG19/GD19)</f>
        <v/>
      </c>
      <c r="GJ19" s="33" t="n"/>
      <c r="GK19" s="233" t="n"/>
      <c r="GL19" s="233" t="n"/>
      <c r="GM19" s="233">
        <f>GK19+GL19</f>
        <v/>
      </c>
      <c r="GN19" s="233" t="n"/>
      <c r="GO19" s="233" t="n"/>
      <c r="GP19" s="233">
        <f>GN19+GO19</f>
        <v/>
      </c>
      <c r="GQ19" s="238">
        <f>GP19-GM19</f>
        <v/>
      </c>
      <c r="GR19" s="235">
        <f>IF(GM19=0,"",GP19/GM19)</f>
        <v/>
      </c>
      <c r="GS19" s="26" t="n"/>
      <c r="GT19" s="236">
        <f>GB19+GK19</f>
        <v/>
      </c>
      <c r="GU19" s="236">
        <f>GC19+GL19</f>
        <v/>
      </c>
      <c r="GV19" s="236">
        <f>GT19+GU19</f>
        <v/>
      </c>
      <c r="GW19" s="236">
        <f>GE19+GN19</f>
        <v/>
      </c>
      <c r="GX19" s="236">
        <f>GF19+GO19</f>
        <v/>
      </c>
      <c r="GY19" s="236">
        <f>GW19+GX19</f>
        <v/>
      </c>
      <c r="GZ19" s="239">
        <f>GY19-GV19</f>
        <v/>
      </c>
      <c r="HA19" s="237">
        <f>IF(GV19=0,"",GY19/GV19)</f>
        <v/>
      </c>
      <c r="HB19" s="33" t="n"/>
      <c r="HC19" s="233">
        <f>GT19</f>
        <v/>
      </c>
      <c r="HD19" s="233">
        <f>GU19</f>
        <v/>
      </c>
      <c r="HE19" s="233">
        <f>HC19+HD19</f>
        <v/>
      </c>
    </row>
    <row r="20" ht="15" customHeight="1" s="150">
      <c r="A20" s="18" t="n"/>
      <c r="B20" s="18" t="n"/>
      <c r="C20" s="18" t="n"/>
      <c r="D20" s="227">
        <f>SUM(D21:D41)</f>
        <v/>
      </c>
      <c r="E20" s="227">
        <f>SUM(E21:E41)</f>
        <v/>
      </c>
      <c r="F20" s="227">
        <f>D20+E20</f>
        <v/>
      </c>
      <c r="G20" s="227">
        <f>SUM(G21:G41)</f>
        <v/>
      </c>
      <c r="H20" s="227">
        <f>SUM(H21:H41)</f>
        <v/>
      </c>
      <c r="I20" s="227">
        <f>G20+H20</f>
        <v/>
      </c>
      <c r="J20" s="228">
        <f>I20-F20</f>
        <v/>
      </c>
      <c r="K20" s="229">
        <f>IF(F20=0,"",I20/F20)</f>
        <v/>
      </c>
      <c r="L20" s="18" t="n"/>
      <c r="M20" s="227">
        <f>SUM(M21:M41)</f>
        <v/>
      </c>
      <c r="N20" s="227">
        <f>SUM(N21:N41)</f>
        <v/>
      </c>
      <c r="O20" s="227">
        <f>M20+N20</f>
        <v/>
      </c>
      <c r="P20" s="227">
        <f>SUM(P21:P41)</f>
        <v/>
      </c>
      <c r="Q20" s="227">
        <f>SUM(Q21:Q41)</f>
        <v/>
      </c>
      <c r="R20" s="227">
        <f>P20+Q20</f>
        <v/>
      </c>
      <c r="S20" s="228">
        <f>R20-O20</f>
        <v/>
      </c>
      <c r="T20" s="229">
        <f>IF(O20=0,"",R20/O20)</f>
        <v/>
      </c>
      <c r="U20" s="18" t="n"/>
      <c r="V20" s="230">
        <f>SUM(V21:V41)</f>
        <v/>
      </c>
      <c r="W20" s="230">
        <f>SUM(W21:W41)</f>
        <v/>
      </c>
      <c r="X20" s="230">
        <f>V20+W20</f>
        <v/>
      </c>
      <c r="Y20" s="230">
        <f>SUM(Y21:Y41)</f>
        <v/>
      </c>
      <c r="Z20" s="230">
        <f>SUM(Z21:Z41)</f>
        <v/>
      </c>
      <c r="AA20" s="230">
        <f>Y20+Z20</f>
        <v/>
      </c>
      <c r="AB20" s="231">
        <f>AA20-X20</f>
        <v/>
      </c>
      <c r="AC20" s="232">
        <f>IF(X20=0,"",AA20/X20)</f>
        <v/>
      </c>
      <c r="AD20" s="25" t="n"/>
      <c r="AE20" s="227">
        <f>SUM(AE21:AE41)</f>
        <v/>
      </c>
      <c r="AF20" s="227">
        <f>SUM(AF21:AF41)</f>
        <v/>
      </c>
      <c r="AG20" s="227">
        <f>AE20+AF20</f>
        <v/>
      </c>
      <c r="AH20" s="227">
        <f>SUM(AH21:AH41)</f>
        <v/>
      </c>
      <c r="AI20" s="227">
        <f>SUM(AI21:AI41)</f>
        <v/>
      </c>
      <c r="AJ20" s="227">
        <f>AH20+AI20</f>
        <v/>
      </c>
      <c r="AK20" s="228">
        <f>AJ20-AG20</f>
        <v/>
      </c>
      <c r="AL20" s="229">
        <f>IF(AG20=0,"",AJ20/AG20)</f>
        <v/>
      </c>
      <c r="AM20" s="18" t="n"/>
      <c r="AN20" s="230">
        <f>SUM(AN21:AN41)</f>
        <v/>
      </c>
      <c r="AO20" s="230">
        <f>SUM(AO21:AO41)</f>
        <v/>
      </c>
      <c r="AP20" s="230">
        <f>AN20+AO20</f>
        <v/>
      </c>
      <c r="AQ20" s="230">
        <f>SUM(AQ21:AQ41)</f>
        <v/>
      </c>
      <c r="AR20" s="230">
        <f>SUM(AR21:AR41)</f>
        <v/>
      </c>
      <c r="AS20" s="230">
        <f>AQ20+AR20</f>
        <v/>
      </c>
      <c r="AT20" s="231">
        <f>AS20-AP20</f>
        <v/>
      </c>
      <c r="AU20" s="232">
        <f>IF(AP20=0,"",AS20/AP20)</f>
        <v/>
      </c>
      <c r="AV20" s="25" t="n"/>
      <c r="AW20" s="227">
        <f>SUM(AW21:AW41)</f>
        <v/>
      </c>
      <c r="AX20" s="227">
        <f>SUM(AX21:AX41)</f>
        <v/>
      </c>
      <c r="AY20" s="227">
        <f>AW20+AX20</f>
        <v/>
      </c>
      <c r="AZ20" s="227">
        <f>SUM(AZ21:AZ41)</f>
        <v/>
      </c>
      <c r="BA20" s="227">
        <f>SUM(BA21:BA41)</f>
        <v/>
      </c>
      <c r="BB20" s="227">
        <f>AZ20+BA20</f>
        <v/>
      </c>
      <c r="BC20" s="228">
        <f>BB20-AY20</f>
        <v/>
      </c>
      <c r="BD20" s="229">
        <f>IF(AY20=0,"",BB20/AY20)</f>
        <v/>
      </c>
      <c r="BE20" s="18" t="n"/>
      <c r="BF20" s="230">
        <f>SUM(BF21:BF41)</f>
        <v/>
      </c>
      <c r="BG20" s="230">
        <f>SUM(BG21:BG41)</f>
        <v/>
      </c>
      <c r="BH20" s="230">
        <f>BF20+BG20</f>
        <v/>
      </c>
      <c r="BI20" s="230">
        <f>SUM(BI21:BI41)</f>
        <v/>
      </c>
      <c r="BJ20" s="230">
        <f>SUM(BJ21:BJ41)</f>
        <v/>
      </c>
      <c r="BK20" s="230">
        <f>BI20+BJ20</f>
        <v/>
      </c>
      <c r="BL20" s="231">
        <f>BK20-BH20</f>
        <v/>
      </c>
      <c r="BM20" s="232">
        <f>IF(BH20=0,"",BK20/BH20)</f>
        <v/>
      </c>
      <c r="BN20" s="25" t="n"/>
      <c r="BO20" s="227">
        <f>SUM(BO21:BO41)</f>
        <v/>
      </c>
      <c r="BP20" s="227">
        <f>SUM(BP21:BP41)</f>
        <v/>
      </c>
      <c r="BQ20" s="227">
        <f>BO20+BP20</f>
        <v/>
      </c>
      <c r="BR20" s="227">
        <f>SUM(BR21:BR41)</f>
        <v/>
      </c>
      <c r="BS20" s="227">
        <f>SUM(BS21:BS41)</f>
        <v/>
      </c>
      <c r="BT20" s="227">
        <f>BR20+BS20</f>
        <v/>
      </c>
      <c r="BU20" s="228">
        <f>BT20-BQ20</f>
        <v/>
      </c>
      <c r="BV20" s="229">
        <f>IF(BQ20=0,"",BT20/BQ20)</f>
        <v/>
      </c>
      <c r="BW20" s="18" t="n"/>
      <c r="BX20" s="230">
        <f>SUM(BX21:BX41)</f>
        <v/>
      </c>
      <c r="BY20" s="230">
        <f>SUM(BY21:BY41)</f>
        <v/>
      </c>
      <c r="BZ20" s="230">
        <f>BX20+BY20</f>
        <v/>
      </c>
      <c r="CA20" s="230">
        <f>SUM(CA21:CA41)</f>
        <v/>
      </c>
      <c r="CB20" s="230">
        <f>SUM(CB21:CB41)</f>
        <v/>
      </c>
      <c r="CC20" s="230">
        <f>CA20+CB20</f>
        <v/>
      </c>
      <c r="CD20" s="231">
        <f>CC20-BZ20</f>
        <v/>
      </c>
      <c r="CE20" s="232">
        <f>IF(BZ20=0,"",CC20/BZ20)</f>
        <v/>
      </c>
      <c r="CF20" s="25" t="n"/>
      <c r="CG20" s="227">
        <f>SUM(CG21:CG41)</f>
        <v/>
      </c>
      <c r="CH20" s="227">
        <f>SUM(CH21:CH41)</f>
        <v/>
      </c>
      <c r="CI20" s="227">
        <f>CG20+CH20</f>
        <v/>
      </c>
      <c r="CJ20" s="227">
        <f>SUM(CJ21:CJ41)</f>
        <v/>
      </c>
      <c r="CK20" s="227">
        <f>SUM(CK21:CK41)</f>
        <v/>
      </c>
      <c r="CL20" s="227">
        <f>CJ20+CK20</f>
        <v/>
      </c>
      <c r="CM20" s="228">
        <f>CL20-CI20</f>
        <v/>
      </c>
      <c r="CN20" s="229">
        <f>IF(CI20=0,"",CL20/CI20)</f>
        <v/>
      </c>
      <c r="CO20" s="18" t="n"/>
      <c r="CP20" s="230">
        <f>SUM(CP21:CP41)</f>
        <v/>
      </c>
      <c r="CQ20" s="230">
        <f>SUM(CQ21:CQ41)</f>
        <v/>
      </c>
      <c r="CR20" s="230">
        <f>CP20+CQ20</f>
        <v/>
      </c>
      <c r="CS20" s="230">
        <f>SUM(CS21:CS41)</f>
        <v/>
      </c>
      <c r="CT20" s="230">
        <f>SUM(CT21:CT41)</f>
        <v/>
      </c>
      <c r="CU20" s="230">
        <f>CS20+CT20</f>
        <v/>
      </c>
      <c r="CV20" s="231">
        <f>CU20-CR20</f>
        <v/>
      </c>
      <c r="CW20" s="232">
        <f>IF(CR20=0,"",CU20/CR20)</f>
        <v/>
      </c>
      <c r="CX20" s="25" t="n"/>
      <c r="CY20" s="227">
        <f>SUM(CY21:CY41)</f>
        <v/>
      </c>
      <c r="CZ20" s="227">
        <f>SUM(CZ21:CZ41)</f>
        <v/>
      </c>
      <c r="DA20" s="227">
        <f>CY20+CZ20</f>
        <v/>
      </c>
      <c r="DB20" s="227">
        <f>SUM(DB21:DB41)</f>
        <v/>
      </c>
      <c r="DC20" s="227">
        <f>SUM(DC21:DC41)</f>
        <v/>
      </c>
      <c r="DD20" s="227">
        <f>DB20+DC20</f>
        <v/>
      </c>
      <c r="DE20" s="228">
        <f>DD20-DA20</f>
        <v/>
      </c>
      <c r="DF20" s="229">
        <f>IF(DA20=0,"",DD20/DA20)</f>
        <v/>
      </c>
      <c r="DG20" s="18" t="n"/>
      <c r="DH20" s="230">
        <f>SUM(DH21:DH41)</f>
        <v/>
      </c>
      <c r="DI20" s="230">
        <f>SUM(DI21:DI41)</f>
        <v/>
      </c>
      <c r="DJ20" s="230">
        <f>DH20+DI20</f>
        <v/>
      </c>
      <c r="DK20" s="230">
        <f>SUM(DK21:DK41)</f>
        <v/>
      </c>
      <c r="DL20" s="230">
        <f>SUM(DL21:DL41)</f>
        <v/>
      </c>
      <c r="DM20" s="230">
        <f>DK20+DL20</f>
        <v/>
      </c>
      <c r="DN20" s="231">
        <f>DM20-DJ20</f>
        <v/>
      </c>
      <c r="DO20" s="232">
        <f>IF(DJ20=0,"",DM20/DJ20)</f>
        <v/>
      </c>
      <c r="DP20" s="25" t="n"/>
      <c r="DQ20" s="227">
        <f>SUM(DQ21:DQ41)</f>
        <v/>
      </c>
      <c r="DR20" s="227">
        <f>SUM(DR21:DR41)</f>
        <v/>
      </c>
      <c r="DS20" s="227">
        <f>DQ20+DR20</f>
        <v/>
      </c>
      <c r="DT20" s="227">
        <f>SUM(DT21:DT41)</f>
        <v/>
      </c>
      <c r="DU20" s="227">
        <f>SUM(DU21:DU41)</f>
        <v/>
      </c>
      <c r="DV20" s="227">
        <f>DT20+DU20</f>
        <v/>
      </c>
      <c r="DW20" s="228">
        <f>DV20-DS20</f>
        <v/>
      </c>
      <c r="DX20" s="229">
        <f>IF(DS20=0,"",DV20/DS20)</f>
        <v/>
      </c>
      <c r="DY20" s="18" t="n"/>
      <c r="DZ20" s="230">
        <f>SUM(DZ21:DZ41)</f>
        <v/>
      </c>
      <c r="EA20" s="230">
        <f>SUM(EA21:EA41)</f>
        <v/>
      </c>
      <c r="EB20" s="230">
        <f>DZ20+EA20</f>
        <v/>
      </c>
      <c r="EC20" s="230">
        <f>SUM(EC21:EC41)</f>
        <v/>
      </c>
      <c r="ED20" s="230">
        <f>SUM(ED21:ED41)</f>
        <v/>
      </c>
      <c r="EE20" s="230">
        <f>EC20+ED20</f>
        <v/>
      </c>
      <c r="EF20" s="231">
        <f>EE20-EB20</f>
        <v/>
      </c>
      <c r="EG20" s="232">
        <f>IF(EB20=0,"",EE20/EB20)</f>
        <v/>
      </c>
      <c r="EH20" s="25" t="n"/>
      <c r="EI20" s="227">
        <f>SUM(EI21:EI41)</f>
        <v/>
      </c>
      <c r="EJ20" s="227">
        <f>SUM(EJ21:EJ41)</f>
        <v/>
      </c>
      <c r="EK20" s="227">
        <f>EI20+EJ20</f>
        <v/>
      </c>
      <c r="EL20" s="227">
        <f>SUM(EL21:EL41)</f>
        <v/>
      </c>
      <c r="EM20" s="227">
        <f>SUM(EM21:EM41)</f>
        <v/>
      </c>
      <c r="EN20" s="227">
        <f>EL20+EM20</f>
        <v/>
      </c>
      <c r="EO20" s="228">
        <f>EN20-EK20</f>
        <v/>
      </c>
      <c r="EP20" s="229">
        <f>IF(EK20=0,"",EN20/EK20)</f>
        <v/>
      </c>
      <c r="EQ20" s="18" t="n"/>
      <c r="ER20" s="230">
        <f>SUM(ER21:ER41)</f>
        <v/>
      </c>
      <c r="ES20" s="230">
        <f>SUM(ES21:ES41)</f>
        <v/>
      </c>
      <c r="ET20" s="230">
        <f>ER20+ES20</f>
        <v/>
      </c>
      <c r="EU20" s="230">
        <f>SUM(EU21:EU41)</f>
        <v/>
      </c>
      <c r="EV20" s="230">
        <f>SUM(EV21:EV41)</f>
        <v/>
      </c>
      <c r="EW20" s="230">
        <f>EU20+EV20</f>
        <v/>
      </c>
      <c r="EX20" s="231">
        <f>EW20-ET20</f>
        <v/>
      </c>
      <c r="EY20" s="232">
        <f>IF(ET20=0,"",EW20/ET20)</f>
        <v/>
      </c>
      <c r="EZ20" s="25" t="n"/>
      <c r="FA20" s="227">
        <f>SUM(FA21:FA41)</f>
        <v/>
      </c>
      <c r="FB20" s="227">
        <f>SUM(FB21:FB41)</f>
        <v/>
      </c>
      <c r="FC20" s="227">
        <f>FA20+FB20</f>
        <v/>
      </c>
      <c r="FD20" s="227">
        <f>SUM(FD21:FD41)</f>
        <v/>
      </c>
      <c r="FE20" s="227">
        <f>SUM(FE21:FE41)</f>
        <v/>
      </c>
      <c r="FF20" s="227">
        <f>FD20+FE20</f>
        <v/>
      </c>
      <c r="FG20" s="228">
        <f>FF20-FC20</f>
        <v/>
      </c>
      <c r="FH20" s="229">
        <f>IF(FC20=0,"",FF20/FC20)</f>
        <v/>
      </c>
      <c r="FI20" s="18" t="n"/>
      <c r="FJ20" s="230">
        <f>SUM(FJ21:FJ41)</f>
        <v/>
      </c>
      <c r="FK20" s="230">
        <f>SUM(FK21:FK41)</f>
        <v/>
      </c>
      <c r="FL20" s="230">
        <f>FJ20+FK20</f>
        <v/>
      </c>
      <c r="FM20" s="230">
        <f>SUM(FM21:FM41)</f>
        <v/>
      </c>
      <c r="FN20" s="230">
        <f>SUM(FN21:FN41)</f>
        <v/>
      </c>
      <c r="FO20" s="230">
        <f>FM20+FN20</f>
        <v/>
      </c>
      <c r="FP20" s="231">
        <f>FO20-FL20</f>
        <v/>
      </c>
      <c r="FQ20" s="232">
        <f>IF(FL20=0,"",FO20/FL20)</f>
        <v/>
      </c>
      <c r="FR20" s="25" t="n"/>
      <c r="FS20" s="227">
        <f>SUM(FS21:FS41)</f>
        <v/>
      </c>
      <c r="FT20" s="227">
        <f>SUM(FT21:FT41)</f>
        <v/>
      </c>
      <c r="FU20" s="227">
        <f>FS20+FT20</f>
        <v/>
      </c>
      <c r="FV20" s="227">
        <f>SUM(FV21:FV41)</f>
        <v/>
      </c>
      <c r="FW20" s="227">
        <f>SUM(FW21:FW41)</f>
        <v/>
      </c>
      <c r="FX20" s="227">
        <f>FV20+FW20</f>
        <v/>
      </c>
      <c r="FY20" s="228">
        <f>FX20-FU20</f>
        <v/>
      </c>
      <c r="FZ20" s="229">
        <f>IF(FU20=0,"",FX20/FU20)</f>
        <v/>
      </c>
      <c r="GA20" s="18" t="n"/>
      <c r="GB20" s="230">
        <f>SUM(GB21:GB41)</f>
        <v/>
      </c>
      <c r="GC20" s="230">
        <f>SUM(GC21:GC41)</f>
        <v/>
      </c>
      <c r="GD20" s="230">
        <f>GB20+GC20</f>
        <v/>
      </c>
      <c r="GE20" s="230">
        <f>SUM(GE21:GE41)</f>
        <v/>
      </c>
      <c r="GF20" s="230">
        <f>SUM(GF21:GF41)</f>
        <v/>
      </c>
      <c r="GG20" s="230">
        <f>GE20+GF20</f>
        <v/>
      </c>
      <c r="GH20" s="231">
        <f>GG20-GD20</f>
        <v/>
      </c>
      <c r="GI20" s="232">
        <f>IF(GD20=0,"",GG20/GD20)</f>
        <v/>
      </c>
      <c r="GJ20" s="25" t="n"/>
      <c r="GK20" s="227">
        <f>SUM(GK21:GK41)</f>
        <v/>
      </c>
      <c r="GL20" s="227">
        <f>SUM(GL21:GL41)</f>
        <v/>
      </c>
      <c r="GM20" s="227">
        <f>GK20+GL20</f>
        <v/>
      </c>
      <c r="GN20" s="227">
        <f>SUM(GN21:GN41)</f>
        <v/>
      </c>
      <c r="GO20" s="227">
        <f>SUM(GO21:GO41)</f>
        <v/>
      </c>
      <c r="GP20" s="227">
        <f>GN20+GO20</f>
        <v/>
      </c>
      <c r="GQ20" s="228">
        <f>GP20-GM20</f>
        <v/>
      </c>
      <c r="GR20" s="229">
        <f>IF(GM20=0,"",GP20/GM20)</f>
        <v/>
      </c>
      <c r="GS20" s="18" t="n"/>
      <c r="GT20" s="230">
        <f>SUM(GT21:GT41)</f>
        <v/>
      </c>
      <c r="GU20" s="230">
        <f>SUM(GU21:GU41)</f>
        <v/>
      </c>
      <c r="GV20" s="230">
        <f>GT20+GU20</f>
        <v/>
      </c>
      <c r="GW20" s="230">
        <f>SUM(GW21:GW41)</f>
        <v/>
      </c>
      <c r="GX20" s="230">
        <f>SUM(GX21:GX41)</f>
        <v/>
      </c>
      <c r="GY20" s="230">
        <f>GW20+GX20</f>
        <v/>
      </c>
      <c r="GZ20" s="231">
        <f>GY20-GV20</f>
        <v/>
      </c>
      <c r="HA20" s="232">
        <f>IF(GV20=0,"",GY20/GV20)</f>
        <v/>
      </c>
      <c r="HB20" s="25" t="n"/>
      <c r="HC20" s="227">
        <f>GT20</f>
        <v/>
      </c>
      <c r="HD20" s="227">
        <f>GU20</f>
        <v/>
      </c>
      <c r="HE20" s="227">
        <f>HC20+HD20</f>
        <v/>
      </c>
    </row>
    <row r="21" outlineLevel="1" ht="15" customHeight="1" s="150">
      <c r="A21" s="26" t="n"/>
      <c r="B21" s="26" t="n"/>
      <c r="C21" s="26" t="n"/>
      <c r="D21" s="233" t="n"/>
      <c r="E21" s="233" t="n"/>
      <c r="F21" s="233">
        <f>D21+E21</f>
        <v/>
      </c>
      <c r="G21" s="233" t="n"/>
      <c r="H21" s="233" t="n"/>
      <c r="I21" s="233">
        <f>G21+H21</f>
        <v/>
      </c>
      <c r="J21" s="238">
        <f>I21-F21</f>
        <v/>
      </c>
      <c r="K21" s="235">
        <f>IF(F21=0,"",I21/F21)</f>
        <v/>
      </c>
      <c r="L21" s="26" t="n"/>
      <c r="M21" s="233" t="n"/>
      <c r="N21" s="233" t="n"/>
      <c r="O21" s="233">
        <f>M21+N21</f>
        <v/>
      </c>
      <c r="P21" s="233" t="n"/>
      <c r="Q21" s="233" t="n"/>
      <c r="R21" s="233">
        <f>P21+Q21</f>
        <v/>
      </c>
      <c r="S21" s="238">
        <f>R21-O21</f>
        <v/>
      </c>
      <c r="T21" s="235">
        <f>IF(O21=0,"",R21/O21)</f>
        <v/>
      </c>
      <c r="U21" s="26" t="n"/>
      <c r="V21" s="236">
        <f>D21+M21</f>
        <v/>
      </c>
      <c r="W21" s="236">
        <f>E21+N21</f>
        <v/>
      </c>
      <c r="X21" s="236">
        <f>V21+W21</f>
        <v/>
      </c>
      <c r="Y21" s="236">
        <f>G21+P21</f>
        <v/>
      </c>
      <c r="Z21" s="236">
        <f>H21+Q21</f>
        <v/>
      </c>
      <c r="AA21" s="236">
        <f>Y21+Z21</f>
        <v/>
      </c>
      <c r="AB21" s="239">
        <f>AA21-X21</f>
        <v/>
      </c>
      <c r="AC21" s="237">
        <f>IF(X21=0,"",AA21/X21)</f>
        <v/>
      </c>
      <c r="AD21" s="33" t="n"/>
      <c r="AE21" s="233" t="n"/>
      <c r="AF21" s="233" t="n"/>
      <c r="AG21" s="233">
        <f>AE21+AF21</f>
        <v/>
      </c>
      <c r="AH21" s="233" t="n"/>
      <c r="AI21" s="233" t="n"/>
      <c r="AJ21" s="233">
        <f>AH21+AI21</f>
        <v/>
      </c>
      <c r="AK21" s="238">
        <f>AJ21-AG21</f>
        <v/>
      </c>
      <c r="AL21" s="235">
        <f>IF(AG21=0,"",AJ21/AG21)</f>
        <v/>
      </c>
      <c r="AM21" s="26" t="n"/>
      <c r="AN21" s="236">
        <f>V21+AE21</f>
        <v/>
      </c>
      <c r="AO21" s="236">
        <f>W21+AF21</f>
        <v/>
      </c>
      <c r="AP21" s="236">
        <f>AN21+AO21</f>
        <v/>
      </c>
      <c r="AQ21" s="236">
        <f>Y21+AH21</f>
        <v/>
      </c>
      <c r="AR21" s="236">
        <f>Z21+AI21</f>
        <v/>
      </c>
      <c r="AS21" s="236">
        <f>AQ21+AR21</f>
        <v/>
      </c>
      <c r="AT21" s="239">
        <f>AS21-AP21</f>
        <v/>
      </c>
      <c r="AU21" s="237">
        <f>IF(AP21=0,"",AS21/AP21)</f>
        <v/>
      </c>
      <c r="AV21" s="33" t="n"/>
      <c r="AW21" s="233" t="n"/>
      <c r="AX21" s="233" t="n"/>
      <c r="AY21" s="233">
        <f>AW21+AX21</f>
        <v/>
      </c>
      <c r="AZ21" s="233" t="n"/>
      <c r="BA21" s="233" t="n"/>
      <c r="BB21" s="233">
        <f>AZ21+BA21</f>
        <v/>
      </c>
      <c r="BC21" s="238">
        <f>BB21-AY21</f>
        <v/>
      </c>
      <c r="BD21" s="235">
        <f>IF(AY21=0,"",BB21/AY21)</f>
        <v/>
      </c>
      <c r="BE21" s="26" t="n"/>
      <c r="BF21" s="236">
        <f>AN21+AW21</f>
        <v/>
      </c>
      <c r="BG21" s="236">
        <f>AO21+AX21</f>
        <v/>
      </c>
      <c r="BH21" s="236">
        <f>BF21+BG21</f>
        <v/>
      </c>
      <c r="BI21" s="236">
        <f>AQ21+AZ21</f>
        <v/>
      </c>
      <c r="BJ21" s="236">
        <f>AR21+BA21</f>
        <v/>
      </c>
      <c r="BK21" s="236">
        <f>BI21+BJ21</f>
        <v/>
      </c>
      <c r="BL21" s="239">
        <f>BK21-BH21</f>
        <v/>
      </c>
      <c r="BM21" s="237">
        <f>IF(BH21=0,"",BK21/BH21)</f>
        <v/>
      </c>
      <c r="BN21" s="33" t="n"/>
      <c r="BO21" s="233" t="n"/>
      <c r="BP21" s="233" t="n"/>
      <c r="BQ21" s="233">
        <f>BO21+BP21</f>
        <v/>
      </c>
      <c r="BR21" s="233" t="n"/>
      <c r="BS21" s="233" t="n"/>
      <c r="BT21" s="233">
        <f>BR21+BS21</f>
        <v/>
      </c>
      <c r="BU21" s="238">
        <f>BT21-BQ21</f>
        <v/>
      </c>
      <c r="BV21" s="235">
        <f>IF(BQ21=0,"",BT21/BQ21)</f>
        <v/>
      </c>
      <c r="BW21" s="26" t="n"/>
      <c r="BX21" s="236">
        <f>BF21+BO21</f>
        <v/>
      </c>
      <c r="BY21" s="236">
        <f>BG21+BP21</f>
        <v/>
      </c>
      <c r="BZ21" s="236">
        <f>BX21+BY21</f>
        <v/>
      </c>
      <c r="CA21" s="236">
        <f>BI21+BR21</f>
        <v/>
      </c>
      <c r="CB21" s="236">
        <f>BJ21+BS21</f>
        <v/>
      </c>
      <c r="CC21" s="236">
        <f>CA21+CB21</f>
        <v/>
      </c>
      <c r="CD21" s="239">
        <f>CC21-BZ21</f>
        <v/>
      </c>
      <c r="CE21" s="237">
        <f>IF(BZ21=0,"",CC21/BZ21)</f>
        <v/>
      </c>
      <c r="CF21" s="33" t="n"/>
      <c r="CG21" s="233" t="n"/>
      <c r="CH21" s="233" t="n"/>
      <c r="CI21" s="233">
        <f>CG21+CH21</f>
        <v/>
      </c>
      <c r="CJ21" s="233" t="n"/>
      <c r="CK21" s="233" t="n"/>
      <c r="CL21" s="233">
        <f>CJ21+CK21</f>
        <v/>
      </c>
      <c r="CM21" s="238">
        <f>CL21-CI21</f>
        <v/>
      </c>
      <c r="CN21" s="235">
        <f>IF(CI21=0,"",CL21/CI21)</f>
        <v/>
      </c>
      <c r="CO21" s="26" t="n"/>
      <c r="CP21" s="236">
        <f>BX21+CG21</f>
        <v/>
      </c>
      <c r="CQ21" s="236">
        <f>BY21+CH21</f>
        <v/>
      </c>
      <c r="CR21" s="236">
        <f>CP21+CQ21</f>
        <v/>
      </c>
      <c r="CS21" s="236">
        <f>CA21+CJ21</f>
        <v/>
      </c>
      <c r="CT21" s="236">
        <f>CB21+CK21</f>
        <v/>
      </c>
      <c r="CU21" s="236">
        <f>CS21+CT21</f>
        <v/>
      </c>
      <c r="CV21" s="239">
        <f>CU21-CR21</f>
        <v/>
      </c>
      <c r="CW21" s="237">
        <f>IF(CR21=0,"",CU21/CR21)</f>
        <v/>
      </c>
      <c r="CX21" s="33" t="n"/>
      <c r="CY21" s="233" t="n"/>
      <c r="CZ21" s="233" t="n"/>
      <c r="DA21" s="233">
        <f>CY21+CZ21</f>
        <v/>
      </c>
      <c r="DB21" s="233" t="n"/>
      <c r="DC21" s="233" t="n"/>
      <c r="DD21" s="233">
        <f>DB21+DC21</f>
        <v/>
      </c>
      <c r="DE21" s="238">
        <f>DD21-DA21</f>
        <v/>
      </c>
      <c r="DF21" s="235">
        <f>IF(DA21=0,"",DD21/DA21)</f>
        <v/>
      </c>
      <c r="DG21" s="26" t="n"/>
      <c r="DH21" s="236">
        <f>CP21+CY21</f>
        <v/>
      </c>
      <c r="DI21" s="236">
        <f>CQ21+CZ21</f>
        <v/>
      </c>
      <c r="DJ21" s="236">
        <f>DH21+DI21</f>
        <v/>
      </c>
      <c r="DK21" s="236">
        <f>CS21+DB21</f>
        <v/>
      </c>
      <c r="DL21" s="236">
        <f>CT21+DC21</f>
        <v/>
      </c>
      <c r="DM21" s="236">
        <f>DK21+DL21</f>
        <v/>
      </c>
      <c r="DN21" s="239">
        <f>DM21-DJ21</f>
        <v/>
      </c>
      <c r="DO21" s="237">
        <f>IF(DJ21=0,"",DM21/DJ21)</f>
        <v/>
      </c>
      <c r="DP21" s="33" t="n"/>
      <c r="DQ21" s="233" t="n"/>
      <c r="DR21" s="233" t="n"/>
      <c r="DS21" s="233">
        <f>DQ21+DR21</f>
        <v/>
      </c>
      <c r="DT21" s="233" t="n"/>
      <c r="DU21" s="233" t="n"/>
      <c r="DV21" s="233">
        <f>DT21+DU21</f>
        <v/>
      </c>
      <c r="DW21" s="238">
        <f>DV21-DS21</f>
        <v/>
      </c>
      <c r="DX21" s="235">
        <f>IF(DS21=0,"",DV21/DS21)</f>
        <v/>
      </c>
      <c r="DY21" s="26" t="n"/>
      <c r="DZ21" s="236">
        <f>DH21+DQ21</f>
        <v/>
      </c>
      <c r="EA21" s="236">
        <f>DI21+DR21</f>
        <v/>
      </c>
      <c r="EB21" s="236">
        <f>DZ21+EA21</f>
        <v/>
      </c>
      <c r="EC21" s="236">
        <f>DK21+DT21</f>
        <v/>
      </c>
      <c r="ED21" s="236">
        <f>DL21+DU21</f>
        <v/>
      </c>
      <c r="EE21" s="236">
        <f>EC21+ED21</f>
        <v/>
      </c>
      <c r="EF21" s="239">
        <f>EE21-EB21</f>
        <v/>
      </c>
      <c r="EG21" s="237">
        <f>IF(EB21=0,"",EE21/EB21)</f>
        <v/>
      </c>
      <c r="EH21" s="33" t="n"/>
      <c r="EI21" s="233" t="n"/>
      <c r="EJ21" s="233" t="n"/>
      <c r="EK21" s="233">
        <f>EI21+EJ21</f>
        <v/>
      </c>
      <c r="EL21" s="233" t="n"/>
      <c r="EM21" s="233" t="n"/>
      <c r="EN21" s="233">
        <f>EL21+EM21</f>
        <v/>
      </c>
      <c r="EO21" s="238">
        <f>EN21-EK21</f>
        <v/>
      </c>
      <c r="EP21" s="235">
        <f>IF(EK21=0,"",EN21/EK21)</f>
        <v/>
      </c>
      <c r="EQ21" s="26" t="n"/>
      <c r="ER21" s="236">
        <f>DZ21+EI21</f>
        <v/>
      </c>
      <c r="ES21" s="236">
        <f>EA21+EJ21</f>
        <v/>
      </c>
      <c r="ET21" s="236">
        <f>ER21+ES21</f>
        <v/>
      </c>
      <c r="EU21" s="236">
        <f>EC21+EL21</f>
        <v/>
      </c>
      <c r="EV21" s="236">
        <f>ED21+EM21</f>
        <v/>
      </c>
      <c r="EW21" s="236">
        <f>EU21+EV21</f>
        <v/>
      </c>
      <c r="EX21" s="239">
        <f>EW21-ET21</f>
        <v/>
      </c>
      <c r="EY21" s="237">
        <f>IF(ET21=0,"",EW21/ET21)</f>
        <v/>
      </c>
      <c r="EZ21" s="33" t="n"/>
      <c r="FA21" s="233" t="n"/>
      <c r="FB21" s="233" t="n"/>
      <c r="FC21" s="233">
        <f>FA21+FB21</f>
        <v/>
      </c>
      <c r="FD21" s="233" t="n"/>
      <c r="FE21" s="233" t="n"/>
      <c r="FF21" s="233">
        <f>FD21+FE21</f>
        <v/>
      </c>
      <c r="FG21" s="238">
        <f>FF21-FC21</f>
        <v/>
      </c>
      <c r="FH21" s="235">
        <f>IF(FC21=0,"",FF21/FC21)</f>
        <v/>
      </c>
      <c r="FI21" s="26" t="n"/>
      <c r="FJ21" s="236">
        <f>ER21+FA21</f>
        <v/>
      </c>
      <c r="FK21" s="236">
        <f>ES21+FB21</f>
        <v/>
      </c>
      <c r="FL21" s="236">
        <f>FJ21+FK21</f>
        <v/>
      </c>
      <c r="FM21" s="236">
        <f>EU21+FD21</f>
        <v/>
      </c>
      <c r="FN21" s="236">
        <f>EV21+FE21</f>
        <v/>
      </c>
      <c r="FO21" s="236">
        <f>FM21+FN21</f>
        <v/>
      </c>
      <c r="FP21" s="239">
        <f>FO21-FL21</f>
        <v/>
      </c>
      <c r="FQ21" s="237">
        <f>IF(FL21=0,"",FO21/FL21)</f>
        <v/>
      </c>
      <c r="FR21" s="33" t="n"/>
      <c r="FS21" s="233" t="n"/>
      <c r="FT21" s="233" t="n"/>
      <c r="FU21" s="233">
        <f>FS21+FT21</f>
        <v/>
      </c>
      <c r="FV21" s="233" t="n"/>
      <c r="FW21" s="233" t="n"/>
      <c r="FX21" s="233">
        <f>FV21+FW21</f>
        <v/>
      </c>
      <c r="FY21" s="238">
        <f>FX21-FU21</f>
        <v/>
      </c>
      <c r="FZ21" s="235">
        <f>IF(FU21=0,"",FX21/FU21)</f>
        <v/>
      </c>
      <c r="GA21" s="26" t="n"/>
      <c r="GB21" s="236">
        <f>FJ21+FS21</f>
        <v/>
      </c>
      <c r="GC21" s="236">
        <f>FK21+FT21</f>
        <v/>
      </c>
      <c r="GD21" s="236">
        <f>GB21+GC21</f>
        <v/>
      </c>
      <c r="GE21" s="236">
        <f>FM21+FV21</f>
        <v/>
      </c>
      <c r="GF21" s="236">
        <f>FN21+FW21</f>
        <v/>
      </c>
      <c r="GG21" s="236">
        <f>GE21+GF21</f>
        <v/>
      </c>
      <c r="GH21" s="239">
        <f>GG21-GD21</f>
        <v/>
      </c>
      <c r="GI21" s="237">
        <f>IF(GD21=0,"",GG21/GD21)</f>
        <v/>
      </c>
      <c r="GJ21" s="33" t="n"/>
      <c r="GK21" s="233" t="n"/>
      <c r="GL21" s="233" t="n"/>
      <c r="GM21" s="233">
        <f>GK21+GL21</f>
        <v/>
      </c>
      <c r="GN21" s="233" t="n"/>
      <c r="GO21" s="233" t="n"/>
      <c r="GP21" s="233">
        <f>GN21+GO21</f>
        <v/>
      </c>
      <c r="GQ21" s="238">
        <f>GP21-GM21</f>
        <v/>
      </c>
      <c r="GR21" s="235">
        <f>IF(GM21=0,"",GP21/GM21)</f>
        <v/>
      </c>
      <c r="GS21" s="26" t="n"/>
      <c r="GT21" s="236">
        <f>GB21+GK21</f>
        <v/>
      </c>
      <c r="GU21" s="236">
        <f>GC21+GL21</f>
        <v/>
      </c>
      <c r="GV21" s="236">
        <f>GT21+GU21</f>
        <v/>
      </c>
      <c r="GW21" s="236">
        <f>GE21+GN21</f>
        <v/>
      </c>
      <c r="GX21" s="236">
        <f>GF21+GO21</f>
        <v/>
      </c>
      <c r="GY21" s="236">
        <f>GW21+GX21</f>
        <v/>
      </c>
      <c r="GZ21" s="239">
        <f>GY21-GV21</f>
        <v/>
      </c>
      <c r="HA21" s="237">
        <f>IF(GV21=0,"",GY21/GV21)</f>
        <v/>
      </c>
      <c r="HB21" s="33" t="n"/>
      <c r="HC21" s="233">
        <f>GT21</f>
        <v/>
      </c>
      <c r="HD21" s="233">
        <f>GU21</f>
        <v/>
      </c>
      <c r="HE21" s="233">
        <f>HC21+HD21</f>
        <v/>
      </c>
    </row>
    <row r="22" outlineLevel="1" ht="15" customHeight="1" s="150">
      <c r="A22" s="26" t="n"/>
      <c r="B22" s="26" t="n"/>
      <c r="C22" s="26" t="n"/>
      <c r="D22" s="233" t="n"/>
      <c r="E22" s="233" t="n"/>
      <c r="F22" s="233">
        <f>D22+E22</f>
        <v/>
      </c>
      <c r="G22" s="233" t="n"/>
      <c r="H22" s="233" t="n"/>
      <c r="I22" s="233">
        <f>G22+H22</f>
        <v/>
      </c>
      <c r="J22" s="238">
        <f>I22-F22</f>
        <v/>
      </c>
      <c r="K22" s="235">
        <f>IF(F22=0,"",I22/F22)</f>
        <v/>
      </c>
      <c r="L22" s="26" t="n"/>
      <c r="M22" s="233" t="n"/>
      <c r="N22" s="233" t="n"/>
      <c r="O22" s="233">
        <f>M22+N22</f>
        <v/>
      </c>
      <c r="P22" s="233" t="n"/>
      <c r="Q22" s="233" t="n"/>
      <c r="R22" s="233">
        <f>P22+Q22</f>
        <v/>
      </c>
      <c r="S22" s="238">
        <f>R22-O22</f>
        <v/>
      </c>
      <c r="T22" s="235">
        <f>IF(O22=0,"",R22/O22)</f>
        <v/>
      </c>
      <c r="U22" s="26" t="n"/>
      <c r="V22" s="236">
        <f>D22+M22</f>
        <v/>
      </c>
      <c r="W22" s="236">
        <f>E22+N22</f>
        <v/>
      </c>
      <c r="X22" s="236">
        <f>V22+W22</f>
        <v/>
      </c>
      <c r="Y22" s="236">
        <f>G22+P22</f>
        <v/>
      </c>
      <c r="Z22" s="236">
        <f>H22+Q22</f>
        <v/>
      </c>
      <c r="AA22" s="236">
        <f>Y22+Z22</f>
        <v/>
      </c>
      <c r="AB22" s="239">
        <f>AA22-X22</f>
        <v/>
      </c>
      <c r="AC22" s="237">
        <f>IF(X22=0,"",AA22/X22)</f>
        <v/>
      </c>
      <c r="AD22" s="33" t="n"/>
      <c r="AE22" s="233" t="n"/>
      <c r="AF22" s="233" t="n"/>
      <c r="AG22" s="233">
        <f>AE22+AF22</f>
        <v/>
      </c>
      <c r="AH22" s="233" t="n"/>
      <c r="AI22" s="233" t="n"/>
      <c r="AJ22" s="233">
        <f>AH22+AI22</f>
        <v/>
      </c>
      <c r="AK22" s="234">
        <f>AJ22-AG22</f>
        <v/>
      </c>
      <c r="AL22" s="235">
        <f>IF(AG22=0,"",AJ22/AG22)</f>
        <v/>
      </c>
      <c r="AM22" s="26" t="n"/>
      <c r="AN22" s="236">
        <f>V22+AE22</f>
        <v/>
      </c>
      <c r="AO22" s="236">
        <f>W22+AF22</f>
        <v/>
      </c>
      <c r="AP22" s="236">
        <f>AN22+AO22</f>
        <v/>
      </c>
      <c r="AQ22" s="236">
        <f>Y22+AH22</f>
        <v/>
      </c>
      <c r="AR22" s="236">
        <f>Z22+AI22</f>
        <v/>
      </c>
      <c r="AS22" s="236">
        <f>AQ22+AR22</f>
        <v/>
      </c>
      <c r="AT22" s="234">
        <f>AS22-AP22</f>
        <v/>
      </c>
      <c r="AU22" s="237">
        <f>IF(AP22=0,"",AS22/AP22)</f>
        <v/>
      </c>
      <c r="AV22" s="33" t="n"/>
      <c r="AW22" s="233" t="n"/>
      <c r="AX22" s="233" t="n"/>
      <c r="AY22" s="233">
        <f>AW22+AX22</f>
        <v/>
      </c>
      <c r="AZ22" s="233" t="n"/>
      <c r="BA22" s="233" t="n"/>
      <c r="BB22" s="233">
        <f>AZ22+BA22</f>
        <v/>
      </c>
      <c r="BC22" s="238">
        <f>BB22-AY22</f>
        <v/>
      </c>
      <c r="BD22" s="235">
        <f>IF(AY22=0,"",BB22/AY22)</f>
        <v/>
      </c>
      <c r="BE22" s="26" t="n"/>
      <c r="BF22" s="236">
        <f>AN22+AW22</f>
        <v/>
      </c>
      <c r="BG22" s="236">
        <f>AO22+AX22</f>
        <v/>
      </c>
      <c r="BH22" s="236">
        <f>BF22+BG22</f>
        <v/>
      </c>
      <c r="BI22" s="236">
        <f>AQ22+AZ22</f>
        <v/>
      </c>
      <c r="BJ22" s="236">
        <f>AR22+BA22</f>
        <v/>
      </c>
      <c r="BK22" s="236">
        <f>BI22+BJ22</f>
        <v/>
      </c>
      <c r="BL22" s="239">
        <f>BK22-BH22</f>
        <v/>
      </c>
      <c r="BM22" s="237">
        <f>IF(BH22=0,"",BK22/BH22)</f>
        <v/>
      </c>
      <c r="BN22" s="33" t="n"/>
      <c r="BO22" s="233" t="n"/>
      <c r="BP22" s="233" t="n"/>
      <c r="BQ22" s="233">
        <f>BO22+BP22</f>
        <v/>
      </c>
      <c r="BR22" s="233" t="n"/>
      <c r="BS22" s="233" t="n"/>
      <c r="BT22" s="233">
        <f>BR22+BS22</f>
        <v/>
      </c>
      <c r="BU22" s="238">
        <f>BT22-BQ22</f>
        <v/>
      </c>
      <c r="BV22" s="235">
        <f>IF(BQ22=0,"",BT22/BQ22)</f>
        <v/>
      </c>
      <c r="BW22" s="26" t="n"/>
      <c r="BX22" s="236">
        <f>BF22+BO22</f>
        <v/>
      </c>
      <c r="BY22" s="236">
        <f>BG22+BP22</f>
        <v/>
      </c>
      <c r="BZ22" s="236">
        <f>BX22+BY22</f>
        <v/>
      </c>
      <c r="CA22" s="236">
        <f>BI22+BR22</f>
        <v/>
      </c>
      <c r="CB22" s="236">
        <f>BJ22+BS22</f>
        <v/>
      </c>
      <c r="CC22" s="236">
        <f>CA22+CB22</f>
        <v/>
      </c>
      <c r="CD22" s="239">
        <f>CC22-BZ22</f>
        <v/>
      </c>
      <c r="CE22" s="237">
        <f>IF(BZ22=0,"",CC22/BZ22)</f>
        <v/>
      </c>
      <c r="CF22" s="33" t="n"/>
      <c r="CG22" s="233" t="n"/>
      <c r="CH22" s="233" t="n"/>
      <c r="CI22" s="233">
        <f>CG22+CH22</f>
        <v/>
      </c>
      <c r="CJ22" s="233" t="n"/>
      <c r="CK22" s="233" t="n"/>
      <c r="CL22" s="233">
        <f>CJ22+CK22</f>
        <v/>
      </c>
      <c r="CM22" s="238">
        <f>CL22-CI22</f>
        <v/>
      </c>
      <c r="CN22" s="235">
        <f>IF(CI22=0,"",CL22/CI22)</f>
        <v/>
      </c>
      <c r="CO22" s="26" t="n"/>
      <c r="CP22" s="236">
        <f>BX22+CG22</f>
        <v/>
      </c>
      <c r="CQ22" s="236">
        <f>BY22+CH22</f>
        <v/>
      </c>
      <c r="CR22" s="236">
        <f>CP22+CQ22</f>
        <v/>
      </c>
      <c r="CS22" s="236">
        <f>CA22+CJ22</f>
        <v/>
      </c>
      <c r="CT22" s="236">
        <f>CB22+CK22</f>
        <v/>
      </c>
      <c r="CU22" s="236">
        <f>CS22+CT22</f>
        <v/>
      </c>
      <c r="CV22" s="239">
        <f>CU22-CR22</f>
        <v/>
      </c>
      <c r="CW22" s="237">
        <f>IF(CR22=0,"",CU22/CR22)</f>
        <v/>
      </c>
      <c r="CX22" s="33" t="n"/>
      <c r="CY22" s="233" t="n"/>
      <c r="CZ22" s="233" t="n"/>
      <c r="DA22" s="233">
        <f>CY22+CZ22</f>
        <v/>
      </c>
      <c r="DB22" s="233" t="n"/>
      <c r="DC22" s="233" t="n"/>
      <c r="DD22" s="233">
        <f>DB22+DC22</f>
        <v/>
      </c>
      <c r="DE22" s="238">
        <f>DD22-DA22</f>
        <v/>
      </c>
      <c r="DF22" s="235">
        <f>IF(DA22=0,"",DD22/DA22)</f>
        <v/>
      </c>
      <c r="DG22" s="26" t="n"/>
      <c r="DH22" s="236">
        <f>CP22+CY22</f>
        <v/>
      </c>
      <c r="DI22" s="236">
        <f>CQ22+CZ22</f>
        <v/>
      </c>
      <c r="DJ22" s="236">
        <f>DH22+DI22</f>
        <v/>
      </c>
      <c r="DK22" s="236">
        <f>CS22+DB22</f>
        <v/>
      </c>
      <c r="DL22" s="236">
        <f>CT22+DC22</f>
        <v/>
      </c>
      <c r="DM22" s="236">
        <f>DK22+DL22</f>
        <v/>
      </c>
      <c r="DN22" s="239">
        <f>DM22-DJ22</f>
        <v/>
      </c>
      <c r="DO22" s="237">
        <f>IF(DJ22=0,"",DM22/DJ22)</f>
        <v/>
      </c>
      <c r="DP22" s="33" t="n"/>
      <c r="DQ22" s="233" t="n"/>
      <c r="DR22" s="233" t="n"/>
      <c r="DS22" s="233">
        <f>DQ22+DR22</f>
        <v/>
      </c>
      <c r="DT22" s="233" t="n"/>
      <c r="DU22" s="233" t="n"/>
      <c r="DV22" s="233">
        <f>DT22+DU22</f>
        <v/>
      </c>
      <c r="DW22" s="238">
        <f>DV22-DS22</f>
        <v/>
      </c>
      <c r="DX22" s="235">
        <f>IF(DS22=0,"",DV22/DS22)</f>
        <v/>
      </c>
      <c r="DY22" s="26" t="n"/>
      <c r="DZ22" s="236">
        <f>DH22+DQ22</f>
        <v/>
      </c>
      <c r="EA22" s="236">
        <f>DI22+DR22</f>
        <v/>
      </c>
      <c r="EB22" s="236">
        <f>DZ22+EA22</f>
        <v/>
      </c>
      <c r="EC22" s="236">
        <f>DK22+DT22</f>
        <v/>
      </c>
      <c r="ED22" s="236">
        <f>DL22+DU22</f>
        <v/>
      </c>
      <c r="EE22" s="236">
        <f>EC22+ED22</f>
        <v/>
      </c>
      <c r="EF22" s="239">
        <f>EE22-EB22</f>
        <v/>
      </c>
      <c r="EG22" s="237">
        <f>IF(EB22=0,"",EE22/EB22)</f>
        <v/>
      </c>
      <c r="EH22" s="33" t="n"/>
      <c r="EI22" s="233" t="n"/>
      <c r="EJ22" s="233" t="n"/>
      <c r="EK22" s="233">
        <f>EI22+EJ22</f>
        <v/>
      </c>
      <c r="EL22" s="233" t="n"/>
      <c r="EM22" s="233" t="n"/>
      <c r="EN22" s="233">
        <f>EL22+EM22</f>
        <v/>
      </c>
      <c r="EO22" s="238">
        <f>EN22-EK22</f>
        <v/>
      </c>
      <c r="EP22" s="235">
        <f>IF(EK22=0,"",EN22/EK22)</f>
        <v/>
      </c>
      <c r="EQ22" s="26" t="n"/>
      <c r="ER22" s="236">
        <f>DZ22+EI22</f>
        <v/>
      </c>
      <c r="ES22" s="236">
        <f>EA22+EJ22</f>
        <v/>
      </c>
      <c r="ET22" s="236">
        <f>ER22+ES22</f>
        <v/>
      </c>
      <c r="EU22" s="236">
        <f>EC22+EL22</f>
        <v/>
      </c>
      <c r="EV22" s="236">
        <f>ED22+EM22</f>
        <v/>
      </c>
      <c r="EW22" s="236">
        <f>EU22+EV22</f>
        <v/>
      </c>
      <c r="EX22" s="239">
        <f>EW22-ET22</f>
        <v/>
      </c>
      <c r="EY22" s="237">
        <f>IF(ET22=0,"",EW22/ET22)</f>
        <v/>
      </c>
      <c r="EZ22" s="33" t="n"/>
      <c r="FA22" s="233" t="n"/>
      <c r="FB22" s="233" t="n"/>
      <c r="FC22" s="233">
        <f>FA22+FB22</f>
        <v/>
      </c>
      <c r="FD22" s="233" t="n"/>
      <c r="FE22" s="233" t="n"/>
      <c r="FF22" s="233">
        <f>FD22+FE22</f>
        <v/>
      </c>
      <c r="FG22" s="238">
        <f>FF22-FC22</f>
        <v/>
      </c>
      <c r="FH22" s="235">
        <f>IF(FC22=0,"",FF22/FC22)</f>
        <v/>
      </c>
      <c r="FI22" s="26" t="n"/>
      <c r="FJ22" s="236">
        <f>ER22+FA22</f>
        <v/>
      </c>
      <c r="FK22" s="236">
        <f>ES22+FB22</f>
        <v/>
      </c>
      <c r="FL22" s="236">
        <f>FJ22+FK22</f>
        <v/>
      </c>
      <c r="FM22" s="236">
        <f>EU22+FD22</f>
        <v/>
      </c>
      <c r="FN22" s="236">
        <f>EV22+FE22</f>
        <v/>
      </c>
      <c r="FO22" s="236">
        <f>FM22+FN22</f>
        <v/>
      </c>
      <c r="FP22" s="239">
        <f>FO22-FL22</f>
        <v/>
      </c>
      <c r="FQ22" s="237">
        <f>IF(FL22=0,"",FO22/FL22)</f>
        <v/>
      </c>
      <c r="FR22" s="33" t="n"/>
      <c r="FS22" s="233" t="n"/>
      <c r="FT22" s="233" t="n"/>
      <c r="FU22" s="233">
        <f>FS22+FT22</f>
        <v/>
      </c>
      <c r="FV22" s="233" t="n"/>
      <c r="FW22" s="233" t="n"/>
      <c r="FX22" s="233">
        <f>FV22+FW22</f>
        <v/>
      </c>
      <c r="FY22" s="238">
        <f>FX22-FU22</f>
        <v/>
      </c>
      <c r="FZ22" s="235">
        <f>IF(FU22=0,"",FX22/FU22)</f>
        <v/>
      </c>
      <c r="GA22" s="26" t="n"/>
      <c r="GB22" s="236">
        <f>FJ22+FS22</f>
        <v/>
      </c>
      <c r="GC22" s="236">
        <f>FK22+FT22</f>
        <v/>
      </c>
      <c r="GD22" s="236">
        <f>GB22+GC22</f>
        <v/>
      </c>
      <c r="GE22" s="236">
        <f>FM22+FV22</f>
        <v/>
      </c>
      <c r="GF22" s="236">
        <f>FN22+FW22</f>
        <v/>
      </c>
      <c r="GG22" s="236">
        <f>GE22+GF22</f>
        <v/>
      </c>
      <c r="GH22" s="239">
        <f>GG22-GD22</f>
        <v/>
      </c>
      <c r="GI22" s="237">
        <f>IF(GD22=0,"",GG22/GD22)</f>
        <v/>
      </c>
      <c r="GJ22" s="33" t="n"/>
      <c r="GK22" s="233" t="n"/>
      <c r="GL22" s="233" t="n"/>
      <c r="GM22" s="233">
        <f>GK22+GL22</f>
        <v/>
      </c>
      <c r="GN22" s="233" t="n"/>
      <c r="GO22" s="233" t="n"/>
      <c r="GP22" s="233">
        <f>GN22+GO22</f>
        <v/>
      </c>
      <c r="GQ22" s="238">
        <f>GP22-GM22</f>
        <v/>
      </c>
      <c r="GR22" s="235">
        <f>IF(GM22=0,"",GP22/GM22)</f>
        <v/>
      </c>
      <c r="GS22" s="26" t="n"/>
      <c r="GT22" s="236">
        <f>GB22+GK22</f>
        <v/>
      </c>
      <c r="GU22" s="236">
        <f>GC22+GL22</f>
        <v/>
      </c>
      <c r="GV22" s="236">
        <f>GT22+GU22</f>
        <v/>
      </c>
      <c r="GW22" s="236">
        <f>GE22+GN22</f>
        <v/>
      </c>
      <c r="GX22" s="236">
        <f>GF22+GO22</f>
        <v/>
      </c>
      <c r="GY22" s="236">
        <f>GW22+GX22</f>
        <v/>
      </c>
      <c r="GZ22" s="239">
        <f>GY22-GV22</f>
        <v/>
      </c>
      <c r="HA22" s="237">
        <f>IF(GV22=0,"",GY22/GV22)</f>
        <v/>
      </c>
      <c r="HB22" s="33" t="n"/>
      <c r="HC22" s="233">
        <f>GT22</f>
        <v/>
      </c>
      <c r="HD22" s="233">
        <f>GU22</f>
        <v/>
      </c>
      <c r="HE22" s="233">
        <f>HC22+HD22</f>
        <v/>
      </c>
    </row>
    <row r="23" outlineLevel="1" ht="15" customHeight="1" s="150">
      <c r="A23" s="26" t="n"/>
      <c r="B23" s="26" t="n"/>
      <c r="C23" s="26" t="n"/>
      <c r="D23" s="233" t="n"/>
      <c r="E23" s="233" t="n"/>
      <c r="F23" s="233">
        <f>D23+E23</f>
        <v/>
      </c>
      <c r="G23" s="233" t="n"/>
      <c r="H23" s="233" t="n"/>
      <c r="I23" s="233">
        <f>G23+H23</f>
        <v/>
      </c>
      <c r="J23" s="238">
        <f>I23-F23</f>
        <v/>
      </c>
      <c r="K23" s="235">
        <f>IF(F23=0,"",I23/F23)</f>
        <v/>
      </c>
      <c r="L23" s="26" t="n"/>
      <c r="M23" s="233" t="n"/>
      <c r="N23" s="233" t="n"/>
      <c r="O23" s="233">
        <f>M23+N23</f>
        <v/>
      </c>
      <c r="P23" s="233" t="n"/>
      <c r="Q23" s="233" t="n"/>
      <c r="R23" s="233">
        <f>P23+Q23</f>
        <v/>
      </c>
      <c r="S23" s="238">
        <f>R23-O23</f>
        <v/>
      </c>
      <c r="T23" s="235">
        <f>IF(O23=0,"",R23/O23)</f>
        <v/>
      </c>
      <c r="U23" s="26" t="n"/>
      <c r="V23" s="236">
        <f>D23+M23</f>
        <v/>
      </c>
      <c r="W23" s="236">
        <f>E23+N23</f>
        <v/>
      </c>
      <c r="X23" s="236">
        <f>V23+W23</f>
        <v/>
      </c>
      <c r="Y23" s="236">
        <f>G23+P23</f>
        <v/>
      </c>
      <c r="Z23" s="236">
        <f>H23+Q23</f>
        <v/>
      </c>
      <c r="AA23" s="236">
        <f>Y23+Z23</f>
        <v/>
      </c>
      <c r="AB23" s="239">
        <f>AA23-X23</f>
        <v/>
      </c>
      <c r="AC23" s="237">
        <f>IF(X23=0,"",AA23/X23)</f>
        <v/>
      </c>
      <c r="AD23" s="33" t="n"/>
      <c r="AE23" s="233" t="n"/>
      <c r="AF23" s="233" t="n"/>
      <c r="AG23" s="233">
        <f>AE23+AF23</f>
        <v/>
      </c>
      <c r="AH23" s="233" t="n"/>
      <c r="AI23" s="233" t="n"/>
      <c r="AJ23" s="233">
        <f>AH23+AI23</f>
        <v/>
      </c>
      <c r="AK23" s="238">
        <f>AJ23-AG23</f>
        <v/>
      </c>
      <c r="AL23" s="235">
        <f>IF(AG23=0,"",AJ23/AG23)</f>
        <v/>
      </c>
      <c r="AM23" s="26" t="n"/>
      <c r="AN23" s="236">
        <f>V23+AE23</f>
        <v/>
      </c>
      <c r="AO23" s="236">
        <f>W23+AF23</f>
        <v/>
      </c>
      <c r="AP23" s="236">
        <f>AN23+AO23</f>
        <v/>
      </c>
      <c r="AQ23" s="236">
        <f>Y23+AH23</f>
        <v/>
      </c>
      <c r="AR23" s="236">
        <f>Z23+AI23</f>
        <v/>
      </c>
      <c r="AS23" s="236">
        <f>AQ23+AR23</f>
        <v/>
      </c>
      <c r="AT23" s="239">
        <f>AS23-AP23</f>
        <v/>
      </c>
      <c r="AU23" s="237">
        <f>IF(AP23=0,"",AS23/AP23)</f>
        <v/>
      </c>
      <c r="AV23" s="33" t="n"/>
      <c r="AW23" s="233" t="n"/>
      <c r="AX23" s="233" t="n"/>
      <c r="AY23" s="233">
        <f>AW23+AX23</f>
        <v/>
      </c>
      <c r="AZ23" s="233" t="n"/>
      <c r="BA23" s="233" t="n"/>
      <c r="BB23" s="233">
        <f>AZ23+BA23</f>
        <v/>
      </c>
      <c r="BC23" s="238">
        <f>BB23-AY23</f>
        <v/>
      </c>
      <c r="BD23" s="235">
        <f>IF(AY23=0,"",BB23/AY23)</f>
        <v/>
      </c>
      <c r="BE23" s="26" t="n"/>
      <c r="BF23" s="236">
        <f>AN23+AW23</f>
        <v/>
      </c>
      <c r="BG23" s="236">
        <f>AO23+AX23</f>
        <v/>
      </c>
      <c r="BH23" s="236">
        <f>BF23+BG23</f>
        <v/>
      </c>
      <c r="BI23" s="236">
        <f>AQ23+AZ23</f>
        <v/>
      </c>
      <c r="BJ23" s="236">
        <f>AR23+BA23</f>
        <v/>
      </c>
      <c r="BK23" s="236">
        <f>BI23+BJ23</f>
        <v/>
      </c>
      <c r="BL23" s="239">
        <f>BK23-BH23</f>
        <v/>
      </c>
      <c r="BM23" s="237">
        <f>IF(BH23=0,"",BK23/BH23)</f>
        <v/>
      </c>
      <c r="BN23" s="33" t="n"/>
      <c r="BO23" s="233" t="n"/>
      <c r="BP23" s="233" t="n"/>
      <c r="BQ23" s="233">
        <f>BO23+BP23</f>
        <v/>
      </c>
      <c r="BR23" s="233" t="n"/>
      <c r="BS23" s="233" t="n"/>
      <c r="BT23" s="233">
        <f>BR23+BS23</f>
        <v/>
      </c>
      <c r="BU23" s="238">
        <f>BT23-BQ23</f>
        <v/>
      </c>
      <c r="BV23" s="235">
        <f>IF(BQ23=0,"",BT23/BQ23)</f>
        <v/>
      </c>
      <c r="BW23" s="26" t="n"/>
      <c r="BX23" s="236">
        <f>BF23+BO23</f>
        <v/>
      </c>
      <c r="BY23" s="236">
        <f>BG23+BP23</f>
        <v/>
      </c>
      <c r="BZ23" s="236">
        <f>BX23+BY23</f>
        <v/>
      </c>
      <c r="CA23" s="236">
        <f>BI23+BR23</f>
        <v/>
      </c>
      <c r="CB23" s="236">
        <f>BJ23+BS23</f>
        <v/>
      </c>
      <c r="CC23" s="236">
        <f>CA23+CB23</f>
        <v/>
      </c>
      <c r="CD23" s="239">
        <f>CC23-BZ23</f>
        <v/>
      </c>
      <c r="CE23" s="237">
        <f>IF(BZ23=0,"",CC23/BZ23)</f>
        <v/>
      </c>
      <c r="CF23" s="33" t="n"/>
      <c r="CG23" s="233" t="n"/>
      <c r="CH23" s="233" t="n"/>
      <c r="CI23" s="233">
        <f>CG23+CH23</f>
        <v/>
      </c>
      <c r="CJ23" s="233" t="n"/>
      <c r="CK23" s="233" t="n"/>
      <c r="CL23" s="233">
        <f>CJ23+CK23</f>
        <v/>
      </c>
      <c r="CM23" s="238">
        <f>CL23-CI23</f>
        <v/>
      </c>
      <c r="CN23" s="235">
        <f>IF(CI23=0,"",CL23/CI23)</f>
        <v/>
      </c>
      <c r="CO23" s="26" t="n"/>
      <c r="CP23" s="236">
        <f>BX23+CG23</f>
        <v/>
      </c>
      <c r="CQ23" s="236">
        <f>BY23+CH23</f>
        <v/>
      </c>
      <c r="CR23" s="236">
        <f>CP23+CQ23</f>
        <v/>
      </c>
      <c r="CS23" s="236">
        <f>CA23+CJ23</f>
        <v/>
      </c>
      <c r="CT23" s="236">
        <f>CB23+CK23</f>
        <v/>
      </c>
      <c r="CU23" s="236">
        <f>CS23+CT23</f>
        <v/>
      </c>
      <c r="CV23" s="239">
        <f>CU23-CR23</f>
        <v/>
      </c>
      <c r="CW23" s="237">
        <f>IF(CR23=0,"",CU23/CR23)</f>
        <v/>
      </c>
      <c r="CX23" s="33" t="n"/>
      <c r="CY23" s="233" t="n"/>
      <c r="CZ23" s="233" t="n"/>
      <c r="DA23" s="233">
        <f>CY23+CZ23</f>
        <v/>
      </c>
      <c r="DB23" s="233" t="n"/>
      <c r="DC23" s="233" t="n"/>
      <c r="DD23" s="233">
        <f>DB23+DC23</f>
        <v/>
      </c>
      <c r="DE23" s="238">
        <f>DD23-DA23</f>
        <v/>
      </c>
      <c r="DF23" s="235">
        <f>IF(DA23=0,"",DD23/DA23)</f>
        <v/>
      </c>
      <c r="DG23" s="26" t="n"/>
      <c r="DH23" s="236">
        <f>CP23+CY23</f>
        <v/>
      </c>
      <c r="DI23" s="236">
        <f>CQ23+CZ23</f>
        <v/>
      </c>
      <c r="DJ23" s="236">
        <f>DH23+DI23</f>
        <v/>
      </c>
      <c r="DK23" s="236">
        <f>CS23+DB23</f>
        <v/>
      </c>
      <c r="DL23" s="236">
        <f>CT23+DC23</f>
        <v/>
      </c>
      <c r="DM23" s="236">
        <f>DK23+DL23</f>
        <v/>
      </c>
      <c r="DN23" s="239">
        <f>DM23-DJ23</f>
        <v/>
      </c>
      <c r="DO23" s="237">
        <f>IF(DJ23=0,"",DM23/DJ23)</f>
        <v/>
      </c>
      <c r="DP23" s="33" t="n"/>
      <c r="DQ23" s="233" t="n"/>
      <c r="DR23" s="233" t="n"/>
      <c r="DS23" s="233">
        <f>DQ23+DR23</f>
        <v/>
      </c>
      <c r="DT23" s="233" t="n"/>
      <c r="DU23" s="233" t="n"/>
      <c r="DV23" s="233">
        <f>DT23+DU23</f>
        <v/>
      </c>
      <c r="DW23" s="238">
        <f>DV23-DS23</f>
        <v/>
      </c>
      <c r="DX23" s="235">
        <f>IF(DS23=0,"",DV23/DS23)</f>
        <v/>
      </c>
      <c r="DY23" s="26" t="n"/>
      <c r="DZ23" s="236">
        <f>DH23+DQ23</f>
        <v/>
      </c>
      <c r="EA23" s="236">
        <f>DI23+DR23</f>
        <v/>
      </c>
      <c r="EB23" s="236">
        <f>DZ23+EA23</f>
        <v/>
      </c>
      <c r="EC23" s="236">
        <f>DK23+DT23</f>
        <v/>
      </c>
      <c r="ED23" s="236">
        <f>DL23+DU23</f>
        <v/>
      </c>
      <c r="EE23" s="236">
        <f>EC23+ED23</f>
        <v/>
      </c>
      <c r="EF23" s="239">
        <f>EE23-EB23</f>
        <v/>
      </c>
      <c r="EG23" s="237">
        <f>IF(EB23=0,"",EE23/EB23)</f>
        <v/>
      </c>
      <c r="EH23" s="33" t="n"/>
      <c r="EI23" s="233" t="n"/>
      <c r="EJ23" s="233" t="n"/>
      <c r="EK23" s="233">
        <f>EI23+EJ23</f>
        <v/>
      </c>
      <c r="EL23" s="233" t="n"/>
      <c r="EM23" s="233" t="n"/>
      <c r="EN23" s="233">
        <f>EL23+EM23</f>
        <v/>
      </c>
      <c r="EO23" s="238">
        <f>EN23-EK23</f>
        <v/>
      </c>
      <c r="EP23" s="235">
        <f>IF(EK23=0,"",EN23/EK23)</f>
        <v/>
      </c>
      <c r="EQ23" s="26" t="n"/>
      <c r="ER23" s="236">
        <f>DZ23+EI23</f>
        <v/>
      </c>
      <c r="ES23" s="236">
        <f>EA23+EJ23</f>
        <v/>
      </c>
      <c r="ET23" s="236">
        <f>ER23+ES23</f>
        <v/>
      </c>
      <c r="EU23" s="236">
        <f>EC23+EL23</f>
        <v/>
      </c>
      <c r="EV23" s="236">
        <f>ED23+EM23</f>
        <v/>
      </c>
      <c r="EW23" s="236">
        <f>EU23+EV23</f>
        <v/>
      </c>
      <c r="EX23" s="239">
        <f>EW23-ET23</f>
        <v/>
      </c>
      <c r="EY23" s="237">
        <f>IF(ET23=0,"",EW23/ET23)</f>
        <v/>
      </c>
      <c r="EZ23" s="33" t="n"/>
      <c r="FA23" s="233" t="n"/>
      <c r="FB23" s="233" t="n"/>
      <c r="FC23" s="233">
        <f>FA23+FB23</f>
        <v/>
      </c>
      <c r="FD23" s="233" t="n"/>
      <c r="FE23" s="233" t="n"/>
      <c r="FF23" s="233">
        <f>FD23+FE23</f>
        <v/>
      </c>
      <c r="FG23" s="238">
        <f>FF23-FC23</f>
        <v/>
      </c>
      <c r="FH23" s="235">
        <f>IF(FC23=0,"",FF23/FC23)</f>
        <v/>
      </c>
      <c r="FI23" s="26" t="n"/>
      <c r="FJ23" s="236">
        <f>ER23+FA23</f>
        <v/>
      </c>
      <c r="FK23" s="236">
        <f>ES23+FB23</f>
        <v/>
      </c>
      <c r="FL23" s="236">
        <f>FJ23+FK23</f>
        <v/>
      </c>
      <c r="FM23" s="236">
        <f>EU23+FD23</f>
        <v/>
      </c>
      <c r="FN23" s="236">
        <f>EV23+FE23</f>
        <v/>
      </c>
      <c r="FO23" s="236">
        <f>FM23+FN23</f>
        <v/>
      </c>
      <c r="FP23" s="239">
        <f>FO23-FL23</f>
        <v/>
      </c>
      <c r="FQ23" s="237">
        <f>IF(FL23=0,"",FO23/FL23)</f>
        <v/>
      </c>
      <c r="FR23" s="33" t="n"/>
      <c r="FS23" s="233" t="n"/>
      <c r="FT23" s="233" t="n"/>
      <c r="FU23" s="233">
        <f>FS23+FT23</f>
        <v/>
      </c>
      <c r="FV23" s="233" t="n"/>
      <c r="FW23" s="233" t="n"/>
      <c r="FX23" s="233">
        <f>FV23+FW23</f>
        <v/>
      </c>
      <c r="FY23" s="238">
        <f>FX23-FU23</f>
        <v/>
      </c>
      <c r="FZ23" s="235">
        <f>IF(FU23=0,"",FX23/FU23)</f>
        <v/>
      </c>
      <c r="GA23" s="26" t="n"/>
      <c r="GB23" s="236">
        <f>FJ23+FS23</f>
        <v/>
      </c>
      <c r="GC23" s="236">
        <f>FK23+FT23</f>
        <v/>
      </c>
      <c r="GD23" s="236">
        <f>GB23+GC23</f>
        <v/>
      </c>
      <c r="GE23" s="236">
        <f>FM23+FV23</f>
        <v/>
      </c>
      <c r="GF23" s="236">
        <f>FN23+FW23</f>
        <v/>
      </c>
      <c r="GG23" s="236">
        <f>GE23+GF23</f>
        <v/>
      </c>
      <c r="GH23" s="239">
        <f>GG23-GD23</f>
        <v/>
      </c>
      <c r="GI23" s="237">
        <f>IF(GD23=0,"",GG23/GD23)</f>
        <v/>
      </c>
      <c r="GJ23" s="33" t="n"/>
      <c r="GK23" s="233" t="n"/>
      <c r="GL23" s="233" t="n"/>
      <c r="GM23" s="233">
        <f>GK23+GL23</f>
        <v/>
      </c>
      <c r="GN23" s="233" t="n"/>
      <c r="GO23" s="233" t="n"/>
      <c r="GP23" s="233">
        <f>GN23+GO23</f>
        <v/>
      </c>
      <c r="GQ23" s="238">
        <f>GP23-GM23</f>
        <v/>
      </c>
      <c r="GR23" s="235">
        <f>IF(GM23=0,"",GP23/GM23)</f>
        <v/>
      </c>
      <c r="GS23" s="26" t="n"/>
      <c r="GT23" s="236">
        <f>GB23+GK23</f>
        <v/>
      </c>
      <c r="GU23" s="236">
        <f>GC23+GL23</f>
        <v/>
      </c>
      <c r="GV23" s="236">
        <f>GT23+GU23</f>
        <v/>
      </c>
      <c r="GW23" s="236">
        <f>GE23+GN23</f>
        <v/>
      </c>
      <c r="GX23" s="236">
        <f>GF23+GO23</f>
        <v/>
      </c>
      <c r="GY23" s="236">
        <f>GW23+GX23</f>
        <v/>
      </c>
      <c r="GZ23" s="239">
        <f>GY23-GV23</f>
        <v/>
      </c>
      <c r="HA23" s="237">
        <f>IF(GV23=0,"",GY23/GV23)</f>
        <v/>
      </c>
      <c r="HB23" s="33" t="n"/>
      <c r="HC23" s="233">
        <f>GT23</f>
        <v/>
      </c>
      <c r="HD23" s="233">
        <f>GU23</f>
        <v/>
      </c>
      <c r="HE23" s="233">
        <f>HC23+HD23</f>
        <v/>
      </c>
    </row>
    <row r="24" outlineLevel="1" ht="15" customHeight="1" s="150">
      <c r="A24" s="26" t="n"/>
      <c r="B24" s="26" t="n"/>
      <c r="C24" s="26" t="n"/>
      <c r="D24" s="233" t="n"/>
      <c r="E24" s="233" t="n"/>
      <c r="F24" s="233">
        <f>D24+E24</f>
        <v/>
      </c>
      <c r="G24" s="233" t="n"/>
      <c r="H24" s="233" t="n"/>
      <c r="I24" s="233">
        <f>G24+H24</f>
        <v/>
      </c>
      <c r="J24" s="238">
        <f>I24-F24</f>
        <v/>
      </c>
      <c r="K24" s="235">
        <f>IF(F24=0,"",I24/F24)</f>
        <v/>
      </c>
      <c r="L24" s="26" t="n"/>
      <c r="M24" s="233" t="n"/>
      <c r="N24" s="233" t="n"/>
      <c r="O24" s="233">
        <f>M24+N24</f>
        <v/>
      </c>
      <c r="P24" s="233" t="n"/>
      <c r="Q24" s="233" t="n"/>
      <c r="R24" s="233">
        <f>P24+Q24</f>
        <v/>
      </c>
      <c r="S24" s="238">
        <f>R24-O24</f>
        <v/>
      </c>
      <c r="T24" s="235">
        <f>IF(O24=0,"",R24/O24)</f>
        <v/>
      </c>
      <c r="U24" s="26" t="n"/>
      <c r="V24" s="236">
        <f>D24+M24</f>
        <v/>
      </c>
      <c r="W24" s="236">
        <f>E24+N24</f>
        <v/>
      </c>
      <c r="X24" s="236">
        <f>V24+W24</f>
        <v/>
      </c>
      <c r="Y24" s="236">
        <f>G24+P24</f>
        <v/>
      </c>
      <c r="Z24" s="236">
        <f>H24+Q24</f>
        <v/>
      </c>
      <c r="AA24" s="236">
        <f>Y24+Z24</f>
        <v/>
      </c>
      <c r="AB24" s="239">
        <f>AA24-X24</f>
        <v/>
      </c>
      <c r="AC24" s="237">
        <f>IF(X24=0,"",AA24/X24)</f>
        <v/>
      </c>
      <c r="AD24" s="33" t="n"/>
      <c r="AE24" s="233" t="n"/>
      <c r="AF24" s="233" t="n"/>
      <c r="AG24" s="233">
        <f>AE24+AF24</f>
        <v/>
      </c>
      <c r="AH24" s="233" t="n"/>
      <c r="AI24" s="233" t="n"/>
      <c r="AJ24" s="233">
        <f>AH24+AI24</f>
        <v/>
      </c>
      <c r="AK24" s="238">
        <f>AJ24-AG24</f>
        <v/>
      </c>
      <c r="AL24" s="235">
        <f>IF(AG24=0,"",AJ24/AG24)</f>
        <v/>
      </c>
      <c r="AM24" s="26" t="n"/>
      <c r="AN24" s="236">
        <f>V24+AE24</f>
        <v/>
      </c>
      <c r="AO24" s="236">
        <f>W24+AF24</f>
        <v/>
      </c>
      <c r="AP24" s="236">
        <f>AN24+AO24</f>
        <v/>
      </c>
      <c r="AQ24" s="236">
        <f>Y24+AH24</f>
        <v/>
      </c>
      <c r="AR24" s="236">
        <f>Z24+AI24</f>
        <v/>
      </c>
      <c r="AS24" s="236">
        <f>AQ24+AR24</f>
        <v/>
      </c>
      <c r="AT24" s="239">
        <f>AS24-AP24</f>
        <v/>
      </c>
      <c r="AU24" s="237">
        <f>IF(AP24=0,"",AS24/AP24)</f>
        <v/>
      </c>
      <c r="AV24" s="33" t="n"/>
      <c r="AW24" s="233" t="n"/>
      <c r="AX24" s="233" t="n"/>
      <c r="AY24" s="233">
        <f>AW24+AX24</f>
        <v/>
      </c>
      <c r="AZ24" s="233" t="n"/>
      <c r="BA24" s="233" t="n"/>
      <c r="BB24" s="233">
        <f>AZ24+BA24</f>
        <v/>
      </c>
      <c r="BC24" s="238">
        <f>BB24-AY24</f>
        <v/>
      </c>
      <c r="BD24" s="235">
        <f>IF(AY24=0,"",BB24/AY24)</f>
        <v/>
      </c>
      <c r="BE24" s="26" t="n"/>
      <c r="BF24" s="236">
        <f>AN24+AW24</f>
        <v/>
      </c>
      <c r="BG24" s="236">
        <f>AO24+AX24</f>
        <v/>
      </c>
      <c r="BH24" s="236">
        <f>BF24+BG24</f>
        <v/>
      </c>
      <c r="BI24" s="236">
        <f>AQ24+AZ24</f>
        <v/>
      </c>
      <c r="BJ24" s="236">
        <f>AR24+BA24</f>
        <v/>
      </c>
      <c r="BK24" s="236">
        <f>BI24+BJ24</f>
        <v/>
      </c>
      <c r="BL24" s="239">
        <f>BK24-BH24</f>
        <v/>
      </c>
      <c r="BM24" s="237">
        <f>IF(BH24=0,"",BK24/BH24)</f>
        <v/>
      </c>
      <c r="BN24" s="33" t="n"/>
      <c r="BO24" s="233" t="n"/>
      <c r="BP24" s="233" t="n"/>
      <c r="BQ24" s="233">
        <f>BO24+BP24</f>
        <v/>
      </c>
      <c r="BR24" s="233" t="n"/>
      <c r="BS24" s="233" t="n"/>
      <c r="BT24" s="233">
        <f>BR24+BS24</f>
        <v/>
      </c>
      <c r="BU24" s="238">
        <f>BT24-BQ24</f>
        <v/>
      </c>
      <c r="BV24" s="235">
        <f>IF(BQ24=0,"",BT24/BQ24)</f>
        <v/>
      </c>
      <c r="BW24" s="26" t="n"/>
      <c r="BX24" s="236">
        <f>BF24+BO24</f>
        <v/>
      </c>
      <c r="BY24" s="236">
        <f>BG24+BP24</f>
        <v/>
      </c>
      <c r="BZ24" s="236">
        <f>BX24+BY24</f>
        <v/>
      </c>
      <c r="CA24" s="236">
        <f>BI24+BR24</f>
        <v/>
      </c>
      <c r="CB24" s="236">
        <f>BJ24+BS24</f>
        <v/>
      </c>
      <c r="CC24" s="236">
        <f>CA24+CB24</f>
        <v/>
      </c>
      <c r="CD24" s="239">
        <f>CC24-BZ24</f>
        <v/>
      </c>
      <c r="CE24" s="237">
        <f>IF(BZ24=0,"",CC24/BZ24)</f>
        <v/>
      </c>
      <c r="CF24" s="33" t="n"/>
      <c r="CG24" s="233" t="n"/>
      <c r="CH24" s="233" t="n"/>
      <c r="CI24" s="233">
        <f>CG24+CH24</f>
        <v/>
      </c>
      <c r="CJ24" s="233" t="n"/>
      <c r="CK24" s="233" t="n"/>
      <c r="CL24" s="233">
        <f>CJ24+CK24</f>
        <v/>
      </c>
      <c r="CM24" s="238">
        <f>CL24-CI24</f>
        <v/>
      </c>
      <c r="CN24" s="235">
        <f>IF(CI24=0,"",CL24/CI24)</f>
        <v/>
      </c>
      <c r="CO24" s="26" t="n"/>
      <c r="CP24" s="236">
        <f>BX24+CG24</f>
        <v/>
      </c>
      <c r="CQ24" s="236">
        <f>BY24+CH24</f>
        <v/>
      </c>
      <c r="CR24" s="236">
        <f>CP24+CQ24</f>
        <v/>
      </c>
      <c r="CS24" s="236">
        <f>CA24+CJ24</f>
        <v/>
      </c>
      <c r="CT24" s="236">
        <f>CB24+CK24</f>
        <v/>
      </c>
      <c r="CU24" s="236">
        <f>CS24+CT24</f>
        <v/>
      </c>
      <c r="CV24" s="239">
        <f>CU24-CR24</f>
        <v/>
      </c>
      <c r="CW24" s="237">
        <f>IF(CR24=0,"",CU24/CR24)</f>
        <v/>
      </c>
      <c r="CX24" s="33" t="n"/>
      <c r="CY24" s="233" t="n"/>
      <c r="CZ24" s="233" t="n"/>
      <c r="DA24" s="233">
        <f>CY24+CZ24</f>
        <v/>
      </c>
      <c r="DB24" s="233" t="n"/>
      <c r="DC24" s="233" t="n"/>
      <c r="DD24" s="233">
        <f>DB24+DC24</f>
        <v/>
      </c>
      <c r="DE24" s="238">
        <f>DD24-DA24</f>
        <v/>
      </c>
      <c r="DF24" s="235">
        <f>IF(DA24=0,"",DD24/DA24)</f>
        <v/>
      </c>
      <c r="DG24" s="26" t="n"/>
      <c r="DH24" s="236">
        <f>CP24+CY24</f>
        <v/>
      </c>
      <c r="DI24" s="236">
        <f>CQ24+CZ24</f>
        <v/>
      </c>
      <c r="DJ24" s="236">
        <f>DH24+DI24</f>
        <v/>
      </c>
      <c r="DK24" s="236">
        <f>CS24+DB24</f>
        <v/>
      </c>
      <c r="DL24" s="236">
        <f>CT24+DC24</f>
        <v/>
      </c>
      <c r="DM24" s="236">
        <f>DK24+DL24</f>
        <v/>
      </c>
      <c r="DN24" s="239">
        <f>DM24-DJ24</f>
        <v/>
      </c>
      <c r="DO24" s="237">
        <f>IF(DJ24=0,"",DM24/DJ24)</f>
        <v/>
      </c>
      <c r="DP24" s="33" t="n"/>
      <c r="DQ24" s="233" t="n"/>
      <c r="DR24" s="233" t="n"/>
      <c r="DS24" s="233">
        <f>DQ24+DR24</f>
        <v/>
      </c>
      <c r="DT24" s="233" t="n"/>
      <c r="DU24" s="233" t="n"/>
      <c r="DV24" s="233">
        <f>DT24+DU24</f>
        <v/>
      </c>
      <c r="DW24" s="238">
        <f>DV24-DS24</f>
        <v/>
      </c>
      <c r="DX24" s="235">
        <f>IF(DS24=0,"",DV24/DS24)</f>
        <v/>
      </c>
      <c r="DY24" s="26" t="n"/>
      <c r="DZ24" s="236">
        <f>DH24+DQ24</f>
        <v/>
      </c>
      <c r="EA24" s="236">
        <f>DI24+DR24</f>
        <v/>
      </c>
      <c r="EB24" s="236">
        <f>DZ24+EA24</f>
        <v/>
      </c>
      <c r="EC24" s="236">
        <f>DK24+DT24</f>
        <v/>
      </c>
      <c r="ED24" s="236">
        <f>DL24+DU24</f>
        <v/>
      </c>
      <c r="EE24" s="236">
        <f>EC24+ED24</f>
        <v/>
      </c>
      <c r="EF24" s="239">
        <f>EE24-EB24</f>
        <v/>
      </c>
      <c r="EG24" s="237">
        <f>IF(EB24=0,"",EE24/EB24)</f>
        <v/>
      </c>
      <c r="EH24" s="33" t="n"/>
      <c r="EI24" s="233" t="n"/>
      <c r="EJ24" s="233" t="n"/>
      <c r="EK24" s="233">
        <f>EI24+EJ24</f>
        <v/>
      </c>
      <c r="EL24" s="233" t="n"/>
      <c r="EM24" s="233" t="n"/>
      <c r="EN24" s="233">
        <f>EL24+EM24</f>
        <v/>
      </c>
      <c r="EO24" s="238">
        <f>EN24-EK24</f>
        <v/>
      </c>
      <c r="EP24" s="235">
        <f>IF(EK24=0,"",EN24/EK24)</f>
        <v/>
      </c>
      <c r="EQ24" s="26" t="n"/>
      <c r="ER24" s="236">
        <f>DZ24+EI24</f>
        <v/>
      </c>
      <c r="ES24" s="236">
        <f>EA24+EJ24</f>
        <v/>
      </c>
      <c r="ET24" s="236">
        <f>ER24+ES24</f>
        <v/>
      </c>
      <c r="EU24" s="236">
        <f>EC24+EL24</f>
        <v/>
      </c>
      <c r="EV24" s="236">
        <f>ED24+EM24</f>
        <v/>
      </c>
      <c r="EW24" s="236">
        <f>EU24+EV24</f>
        <v/>
      </c>
      <c r="EX24" s="239">
        <f>EW24-ET24</f>
        <v/>
      </c>
      <c r="EY24" s="237">
        <f>IF(ET24=0,"",EW24/ET24)</f>
        <v/>
      </c>
      <c r="EZ24" s="33" t="n"/>
      <c r="FA24" s="233" t="n"/>
      <c r="FB24" s="233" t="n"/>
      <c r="FC24" s="233">
        <f>FA24+FB24</f>
        <v/>
      </c>
      <c r="FD24" s="233" t="n"/>
      <c r="FE24" s="233" t="n"/>
      <c r="FF24" s="233">
        <f>FD24+FE24</f>
        <v/>
      </c>
      <c r="FG24" s="238">
        <f>FF24-FC24</f>
        <v/>
      </c>
      <c r="FH24" s="235">
        <f>IF(FC24=0,"",FF24/FC24)</f>
        <v/>
      </c>
      <c r="FI24" s="26" t="n"/>
      <c r="FJ24" s="236">
        <f>ER24+FA24</f>
        <v/>
      </c>
      <c r="FK24" s="236">
        <f>ES24+FB24</f>
        <v/>
      </c>
      <c r="FL24" s="236">
        <f>FJ24+FK24</f>
        <v/>
      </c>
      <c r="FM24" s="236">
        <f>EU24+FD24</f>
        <v/>
      </c>
      <c r="FN24" s="236">
        <f>EV24+FE24</f>
        <v/>
      </c>
      <c r="FO24" s="236">
        <f>FM24+FN24</f>
        <v/>
      </c>
      <c r="FP24" s="239">
        <f>FO24-FL24</f>
        <v/>
      </c>
      <c r="FQ24" s="237">
        <f>IF(FL24=0,"",FO24/FL24)</f>
        <v/>
      </c>
      <c r="FR24" s="33" t="n"/>
      <c r="FS24" s="233" t="n"/>
      <c r="FT24" s="233" t="n"/>
      <c r="FU24" s="233">
        <f>FS24+FT24</f>
        <v/>
      </c>
      <c r="FV24" s="233" t="n"/>
      <c r="FW24" s="233" t="n"/>
      <c r="FX24" s="233">
        <f>FV24+FW24</f>
        <v/>
      </c>
      <c r="FY24" s="238">
        <f>FX24-FU24</f>
        <v/>
      </c>
      <c r="FZ24" s="235">
        <f>IF(FU24=0,"",FX24/FU24)</f>
        <v/>
      </c>
      <c r="GA24" s="26" t="n"/>
      <c r="GB24" s="236">
        <f>FJ24+FS24</f>
        <v/>
      </c>
      <c r="GC24" s="236">
        <f>FK24+FT24</f>
        <v/>
      </c>
      <c r="GD24" s="236">
        <f>GB24+GC24</f>
        <v/>
      </c>
      <c r="GE24" s="236">
        <f>FM24+FV24</f>
        <v/>
      </c>
      <c r="GF24" s="236">
        <f>FN24+FW24</f>
        <v/>
      </c>
      <c r="GG24" s="236">
        <f>GE24+GF24</f>
        <v/>
      </c>
      <c r="GH24" s="239">
        <f>GG24-GD24</f>
        <v/>
      </c>
      <c r="GI24" s="237">
        <f>IF(GD24=0,"",GG24/GD24)</f>
        <v/>
      </c>
      <c r="GJ24" s="33" t="n"/>
      <c r="GK24" s="233" t="n"/>
      <c r="GL24" s="233" t="n"/>
      <c r="GM24" s="233">
        <f>GK24+GL24</f>
        <v/>
      </c>
      <c r="GN24" s="233" t="n"/>
      <c r="GO24" s="233" t="n"/>
      <c r="GP24" s="233">
        <f>GN24+GO24</f>
        <v/>
      </c>
      <c r="GQ24" s="238">
        <f>GP24-GM24</f>
        <v/>
      </c>
      <c r="GR24" s="235">
        <f>IF(GM24=0,"",GP24/GM24)</f>
        <v/>
      </c>
      <c r="GS24" s="26" t="n"/>
      <c r="GT24" s="236">
        <f>GB24+GK24</f>
        <v/>
      </c>
      <c r="GU24" s="236">
        <f>GC24+GL24</f>
        <v/>
      </c>
      <c r="GV24" s="236">
        <f>GT24+GU24</f>
        <v/>
      </c>
      <c r="GW24" s="236">
        <f>GE24+GN24</f>
        <v/>
      </c>
      <c r="GX24" s="236">
        <f>GF24+GO24</f>
        <v/>
      </c>
      <c r="GY24" s="236">
        <f>GW24+GX24</f>
        <v/>
      </c>
      <c r="GZ24" s="239">
        <f>GY24-GV24</f>
        <v/>
      </c>
      <c r="HA24" s="237">
        <f>IF(GV24=0,"",GY24/GV24)</f>
        <v/>
      </c>
      <c r="HB24" s="33" t="n"/>
      <c r="HC24" s="233">
        <f>GT24</f>
        <v/>
      </c>
      <c r="HD24" s="233">
        <f>GU24</f>
        <v/>
      </c>
      <c r="HE24" s="233">
        <f>HC24+HD24</f>
        <v/>
      </c>
    </row>
    <row r="25" outlineLevel="1" ht="15" customHeight="1" s="150">
      <c r="A25" s="26" t="n"/>
      <c r="B25" s="26" t="n"/>
      <c r="C25" s="26" t="n"/>
      <c r="D25" s="233" t="n"/>
      <c r="E25" s="233" t="n"/>
      <c r="F25" s="233">
        <f>D25+E25</f>
        <v/>
      </c>
      <c r="G25" s="233" t="n"/>
      <c r="H25" s="233" t="n"/>
      <c r="I25" s="233">
        <f>G25+H25</f>
        <v/>
      </c>
      <c r="J25" s="238">
        <f>I25-F25</f>
        <v/>
      </c>
      <c r="K25" s="235">
        <f>IF(F25=0,"",I25/F25)</f>
        <v/>
      </c>
      <c r="L25" s="26" t="n"/>
      <c r="M25" s="233" t="n"/>
      <c r="N25" s="233" t="n"/>
      <c r="O25" s="233">
        <f>M25+N25</f>
        <v/>
      </c>
      <c r="P25" s="233" t="n"/>
      <c r="Q25" s="233" t="n"/>
      <c r="R25" s="233">
        <f>P25+Q25</f>
        <v/>
      </c>
      <c r="S25" s="238">
        <f>R25-O25</f>
        <v/>
      </c>
      <c r="T25" s="235">
        <f>IF(O25=0,"",R25/O25)</f>
        <v/>
      </c>
      <c r="U25" s="26" t="n"/>
      <c r="V25" s="236">
        <f>D25+M25</f>
        <v/>
      </c>
      <c r="W25" s="236">
        <f>E25+N25</f>
        <v/>
      </c>
      <c r="X25" s="236">
        <f>V25+W25</f>
        <v/>
      </c>
      <c r="Y25" s="236">
        <f>G25+P25</f>
        <v/>
      </c>
      <c r="Z25" s="236">
        <f>H25+Q25</f>
        <v/>
      </c>
      <c r="AA25" s="236">
        <f>Y25+Z25</f>
        <v/>
      </c>
      <c r="AB25" s="239">
        <f>AA25-X25</f>
        <v/>
      </c>
      <c r="AC25" s="237">
        <f>IF(X25=0,"",AA25/X25)</f>
        <v/>
      </c>
      <c r="AD25" s="33" t="n"/>
      <c r="AE25" s="233" t="n"/>
      <c r="AF25" s="233" t="n"/>
      <c r="AG25" s="233">
        <f>AE25+AF25</f>
        <v/>
      </c>
      <c r="AH25" s="233" t="n"/>
      <c r="AI25" s="233" t="n"/>
      <c r="AJ25" s="233">
        <f>AH25+AI25</f>
        <v/>
      </c>
      <c r="AK25" s="238">
        <f>AJ25-AG25</f>
        <v/>
      </c>
      <c r="AL25" s="235">
        <f>IF(AG25=0,"",AJ25/AG25)</f>
        <v/>
      </c>
      <c r="AM25" s="26" t="n"/>
      <c r="AN25" s="236">
        <f>V25+AE25</f>
        <v/>
      </c>
      <c r="AO25" s="236">
        <f>W25+AF25</f>
        <v/>
      </c>
      <c r="AP25" s="236">
        <f>AN25+AO25</f>
        <v/>
      </c>
      <c r="AQ25" s="236">
        <f>Y25+AH25</f>
        <v/>
      </c>
      <c r="AR25" s="236">
        <f>Z25+AI25</f>
        <v/>
      </c>
      <c r="AS25" s="236">
        <f>AQ25+AR25</f>
        <v/>
      </c>
      <c r="AT25" s="239">
        <f>AS25-AP25</f>
        <v/>
      </c>
      <c r="AU25" s="237">
        <f>IF(AP25=0,"",AS25/AP25)</f>
        <v/>
      </c>
      <c r="AV25" s="33" t="n"/>
      <c r="AW25" s="233" t="n"/>
      <c r="AX25" s="233" t="n"/>
      <c r="AY25" s="233">
        <f>AW25+AX25</f>
        <v/>
      </c>
      <c r="AZ25" s="233" t="n"/>
      <c r="BA25" s="233" t="n"/>
      <c r="BB25" s="233">
        <f>AZ25+BA25</f>
        <v/>
      </c>
      <c r="BC25" s="238">
        <f>BB25-AY25</f>
        <v/>
      </c>
      <c r="BD25" s="235">
        <f>IF(AY25=0,"",BB25/AY25)</f>
        <v/>
      </c>
      <c r="BE25" s="26" t="n"/>
      <c r="BF25" s="236">
        <f>AN25+AW25</f>
        <v/>
      </c>
      <c r="BG25" s="236">
        <f>AO25+AX25</f>
        <v/>
      </c>
      <c r="BH25" s="236">
        <f>BF25+BG25</f>
        <v/>
      </c>
      <c r="BI25" s="236">
        <f>AQ25+AZ25</f>
        <v/>
      </c>
      <c r="BJ25" s="236">
        <f>AR25+BA25</f>
        <v/>
      </c>
      <c r="BK25" s="236">
        <f>BI25+BJ25</f>
        <v/>
      </c>
      <c r="BL25" s="239">
        <f>BK25-BH25</f>
        <v/>
      </c>
      <c r="BM25" s="237">
        <f>IF(BH25=0,"",BK25/BH25)</f>
        <v/>
      </c>
      <c r="BN25" s="33" t="n"/>
      <c r="BO25" s="233" t="n"/>
      <c r="BP25" s="233" t="n"/>
      <c r="BQ25" s="233">
        <f>BO25+BP25</f>
        <v/>
      </c>
      <c r="BR25" s="233" t="n"/>
      <c r="BS25" s="233" t="n"/>
      <c r="BT25" s="233">
        <f>BR25+BS25</f>
        <v/>
      </c>
      <c r="BU25" s="238">
        <f>BT25-BQ25</f>
        <v/>
      </c>
      <c r="BV25" s="235">
        <f>IF(BQ25=0,"",BT25/BQ25)</f>
        <v/>
      </c>
      <c r="BW25" s="26" t="n"/>
      <c r="BX25" s="236">
        <f>BF25+BO25</f>
        <v/>
      </c>
      <c r="BY25" s="236">
        <f>BG25+BP25</f>
        <v/>
      </c>
      <c r="BZ25" s="236">
        <f>BX25+BY25</f>
        <v/>
      </c>
      <c r="CA25" s="236">
        <f>BI25+BR25</f>
        <v/>
      </c>
      <c r="CB25" s="236">
        <f>BJ25+BS25</f>
        <v/>
      </c>
      <c r="CC25" s="236">
        <f>CA25+CB25</f>
        <v/>
      </c>
      <c r="CD25" s="239">
        <f>CC25-BZ25</f>
        <v/>
      </c>
      <c r="CE25" s="237">
        <f>IF(BZ25=0,"",CC25/BZ25)</f>
        <v/>
      </c>
      <c r="CF25" s="33" t="n"/>
      <c r="CG25" s="233" t="n"/>
      <c r="CH25" s="233" t="n"/>
      <c r="CI25" s="233">
        <f>CG25+CH25</f>
        <v/>
      </c>
      <c r="CJ25" s="233" t="n"/>
      <c r="CK25" s="233" t="n"/>
      <c r="CL25" s="233">
        <f>CJ25+CK25</f>
        <v/>
      </c>
      <c r="CM25" s="238">
        <f>CL25-CI25</f>
        <v/>
      </c>
      <c r="CN25" s="235">
        <f>IF(CI25=0,"",CL25/CI25)</f>
        <v/>
      </c>
      <c r="CO25" s="26" t="n"/>
      <c r="CP25" s="236">
        <f>BX25+CG25</f>
        <v/>
      </c>
      <c r="CQ25" s="236">
        <f>BY25+CH25</f>
        <v/>
      </c>
      <c r="CR25" s="236">
        <f>CP25+CQ25</f>
        <v/>
      </c>
      <c r="CS25" s="236">
        <f>CA25+CJ25</f>
        <v/>
      </c>
      <c r="CT25" s="236">
        <f>CB25+CK25</f>
        <v/>
      </c>
      <c r="CU25" s="236">
        <f>CS25+CT25</f>
        <v/>
      </c>
      <c r="CV25" s="239">
        <f>CU25-CR25</f>
        <v/>
      </c>
      <c r="CW25" s="237">
        <f>IF(CR25=0,"",CU25/CR25)</f>
        <v/>
      </c>
      <c r="CX25" s="33" t="n"/>
      <c r="CY25" s="233" t="n"/>
      <c r="CZ25" s="233" t="n"/>
      <c r="DA25" s="233">
        <f>CY25+CZ25</f>
        <v/>
      </c>
      <c r="DB25" s="233" t="n"/>
      <c r="DC25" s="233" t="n"/>
      <c r="DD25" s="233">
        <f>DB25+DC25</f>
        <v/>
      </c>
      <c r="DE25" s="238">
        <f>DD25-DA25</f>
        <v/>
      </c>
      <c r="DF25" s="235">
        <f>IF(DA25=0,"",DD25/DA25)</f>
        <v/>
      </c>
      <c r="DG25" s="26" t="n"/>
      <c r="DH25" s="236">
        <f>CP25+CY25</f>
        <v/>
      </c>
      <c r="DI25" s="236">
        <f>CQ25+CZ25</f>
        <v/>
      </c>
      <c r="DJ25" s="236">
        <f>DH25+DI25</f>
        <v/>
      </c>
      <c r="DK25" s="236">
        <f>CS25+DB25</f>
        <v/>
      </c>
      <c r="DL25" s="236">
        <f>CT25+DC25</f>
        <v/>
      </c>
      <c r="DM25" s="236">
        <f>DK25+DL25</f>
        <v/>
      </c>
      <c r="DN25" s="239">
        <f>DM25-DJ25</f>
        <v/>
      </c>
      <c r="DO25" s="237">
        <f>IF(DJ25=0,"",DM25/DJ25)</f>
        <v/>
      </c>
      <c r="DP25" s="33" t="n"/>
      <c r="DQ25" s="233" t="n"/>
      <c r="DR25" s="233" t="n"/>
      <c r="DS25" s="233">
        <f>DQ25+DR25</f>
        <v/>
      </c>
      <c r="DT25" s="233" t="n"/>
      <c r="DU25" s="233" t="n"/>
      <c r="DV25" s="233">
        <f>DT25+DU25</f>
        <v/>
      </c>
      <c r="DW25" s="238">
        <f>DV25-DS25</f>
        <v/>
      </c>
      <c r="DX25" s="235">
        <f>IF(DS25=0,"",DV25/DS25)</f>
        <v/>
      </c>
      <c r="DY25" s="26" t="n"/>
      <c r="DZ25" s="236">
        <f>DH25+DQ25</f>
        <v/>
      </c>
      <c r="EA25" s="236">
        <f>DI25+DR25</f>
        <v/>
      </c>
      <c r="EB25" s="236">
        <f>DZ25+EA25</f>
        <v/>
      </c>
      <c r="EC25" s="236">
        <f>DK25+DT25</f>
        <v/>
      </c>
      <c r="ED25" s="236">
        <f>DL25+DU25</f>
        <v/>
      </c>
      <c r="EE25" s="236">
        <f>EC25+ED25</f>
        <v/>
      </c>
      <c r="EF25" s="239">
        <f>EE25-EB25</f>
        <v/>
      </c>
      <c r="EG25" s="237">
        <f>IF(EB25=0,"",EE25/EB25)</f>
        <v/>
      </c>
      <c r="EH25" s="33" t="n"/>
      <c r="EI25" s="233" t="n"/>
      <c r="EJ25" s="233" t="n"/>
      <c r="EK25" s="233">
        <f>EI25+EJ25</f>
        <v/>
      </c>
      <c r="EL25" s="233" t="n"/>
      <c r="EM25" s="233" t="n"/>
      <c r="EN25" s="233">
        <f>EL25+EM25</f>
        <v/>
      </c>
      <c r="EO25" s="238">
        <f>EN25-EK25</f>
        <v/>
      </c>
      <c r="EP25" s="235">
        <f>IF(EK25=0,"",EN25/EK25)</f>
        <v/>
      </c>
      <c r="EQ25" s="26" t="n"/>
      <c r="ER25" s="236">
        <f>DZ25+EI25</f>
        <v/>
      </c>
      <c r="ES25" s="236">
        <f>EA25+EJ25</f>
        <v/>
      </c>
      <c r="ET25" s="236">
        <f>ER25+ES25</f>
        <v/>
      </c>
      <c r="EU25" s="236">
        <f>EC25+EL25</f>
        <v/>
      </c>
      <c r="EV25" s="236">
        <f>ED25+EM25</f>
        <v/>
      </c>
      <c r="EW25" s="236">
        <f>EU25+EV25</f>
        <v/>
      </c>
      <c r="EX25" s="239">
        <f>EW25-ET25</f>
        <v/>
      </c>
      <c r="EY25" s="237">
        <f>IF(ET25=0,"",EW25/ET25)</f>
        <v/>
      </c>
      <c r="EZ25" s="33" t="n"/>
      <c r="FA25" s="233" t="n"/>
      <c r="FB25" s="233" t="n"/>
      <c r="FC25" s="233">
        <f>FA25+FB25</f>
        <v/>
      </c>
      <c r="FD25" s="233" t="n"/>
      <c r="FE25" s="233" t="n"/>
      <c r="FF25" s="233">
        <f>FD25+FE25</f>
        <v/>
      </c>
      <c r="FG25" s="238">
        <f>FF25-FC25</f>
        <v/>
      </c>
      <c r="FH25" s="235">
        <f>IF(FC25=0,"",FF25/FC25)</f>
        <v/>
      </c>
      <c r="FI25" s="26" t="n"/>
      <c r="FJ25" s="236">
        <f>ER25+FA25</f>
        <v/>
      </c>
      <c r="FK25" s="236">
        <f>ES25+FB25</f>
        <v/>
      </c>
      <c r="FL25" s="236">
        <f>FJ25+FK25</f>
        <v/>
      </c>
      <c r="FM25" s="236">
        <f>EU25+FD25</f>
        <v/>
      </c>
      <c r="FN25" s="236">
        <f>EV25+FE25</f>
        <v/>
      </c>
      <c r="FO25" s="236">
        <f>FM25+FN25</f>
        <v/>
      </c>
      <c r="FP25" s="239">
        <f>FO25-FL25</f>
        <v/>
      </c>
      <c r="FQ25" s="237">
        <f>IF(FL25=0,"",FO25/FL25)</f>
        <v/>
      </c>
      <c r="FR25" s="33" t="n"/>
      <c r="FS25" s="233" t="n"/>
      <c r="FT25" s="233" t="n"/>
      <c r="FU25" s="233">
        <f>FS25+FT25</f>
        <v/>
      </c>
      <c r="FV25" s="233" t="n"/>
      <c r="FW25" s="233" t="n"/>
      <c r="FX25" s="233">
        <f>FV25+FW25</f>
        <v/>
      </c>
      <c r="FY25" s="238">
        <f>FX25-FU25</f>
        <v/>
      </c>
      <c r="FZ25" s="235">
        <f>IF(FU25=0,"",FX25/FU25)</f>
        <v/>
      </c>
      <c r="GA25" s="26" t="n"/>
      <c r="GB25" s="236">
        <f>FJ25+FS25</f>
        <v/>
      </c>
      <c r="GC25" s="236">
        <f>FK25+FT25</f>
        <v/>
      </c>
      <c r="GD25" s="236">
        <f>GB25+GC25</f>
        <v/>
      </c>
      <c r="GE25" s="236">
        <f>FM25+FV25</f>
        <v/>
      </c>
      <c r="GF25" s="236">
        <f>FN25+FW25</f>
        <v/>
      </c>
      <c r="GG25" s="236">
        <f>GE25+GF25</f>
        <v/>
      </c>
      <c r="GH25" s="239">
        <f>GG25-GD25</f>
        <v/>
      </c>
      <c r="GI25" s="237">
        <f>IF(GD25=0,"",GG25/GD25)</f>
        <v/>
      </c>
      <c r="GJ25" s="33" t="n"/>
      <c r="GK25" s="233" t="n"/>
      <c r="GL25" s="233" t="n"/>
      <c r="GM25" s="233">
        <f>GK25+GL25</f>
        <v/>
      </c>
      <c r="GN25" s="233" t="n"/>
      <c r="GO25" s="233" t="n"/>
      <c r="GP25" s="233">
        <f>GN25+GO25</f>
        <v/>
      </c>
      <c r="GQ25" s="238">
        <f>GP25-GM25</f>
        <v/>
      </c>
      <c r="GR25" s="235">
        <f>IF(GM25=0,"",GP25/GM25)</f>
        <v/>
      </c>
      <c r="GS25" s="26" t="n"/>
      <c r="GT25" s="236">
        <f>GB25+GK25</f>
        <v/>
      </c>
      <c r="GU25" s="236">
        <f>GC25+GL25</f>
        <v/>
      </c>
      <c r="GV25" s="236">
        <f>GT25+GU25</f>
        <v/>
      </c>
      <c r="GW25" s="236">
        <f>GE25+GN25</f>
        <v/>
      </c>
      <c r="GX25" s="236">
        <f>GF25+GO25</f>
        <v/>
      </c>
      <c r="GY25" s="236">
        <f>GW25+GX25</f>
        <v/>
      </c>
      <c r="GZ25" s="239">
        <f>GY25-GV25</f>
        <v/>
      </c>
      <c r="HA25" s="237">
        <f>IF(GV25=0,"",GY25/GV25)</f>
        <v/>
      </c>
      <c r="HB25" s="33" t="n"/>
      <c r="HC25" s="233">
        <f>GT25</f>
        <v/>
      </c>
      <c r="HD25" s="233">
        <f>GU25</f>
        <v/>
      </c>
      <c r="HE25" s="233">
        <f>HC25+HD25</f>
        <v/>
      </c>
    </row>
    <row r="26" outlineLevel="1" ht="15" customHeight="1" s="150">
      <c r="A26" s="26" t="n"/>
      <c r="B26" s="26" t="n"/>
      <c r="C26" s="26" t="n"/>
      <c r="D26" s="233" t="n"/>
      <c r="E26" s="233" t="n"/>
      <c r="F26" s="233">
        <f>D26+E26</f>
        <v/>
      </c>
      <c r="G26" s="233" t="n"/>
      <c r="H26" s="233" t="n"/>
      <c r="I26" s="233">
        <f>G26+H26</f>
        <v/>
      </c>
      <c r="J26" s="238">
        <f>I26-F26</f>
        <v/>
      </c>
      <c r="K26" s="235">
        <f>IF(F26=0,"",I26/F26)</f>
        <v/>
      </c>
      <c r="L26" s="26" t="n"/>
      <c r="M26" s="233" t="n"/>
      <c r="N26" s="233" t="n"/>
      <c r="O26" s="233">
        <f>M26+N26</f>
        <v/>
      </c>
      <c r="P26" s="233" t="n"/>
      <c r="Q26" s="233" t="n"/>
      <c r="R26" s="233">
        <f>P26+Q26</f>
        <v/>
      </c>
      <c r="S26" s="238">
        <f>R26-O26</f>
        <v/>
      </c>
      <c r="T26" s="235">
        <f>IF(O26=0,"",R26/O26)</f>
        <v/>
      </c>
      <c r="U26" s="26" t="n"/>
      <c r="V26" s="236">
        <f>D26+M26</f>
        <v/>
      </c>
      <c r="W26" s="236">
        <f>E26+N26</f>
        <v/>
      </c>
      <c r="X26" s="236">
        <f>V26+W26</f>
        <v/>
      </c>
      <c r="Y26" s="236">
        <f>G26+P26</f>
        <v/>
      </c>
      <c r="Z26" s="236">
        <f>H26+Q26</f>
        <v/>
      </c>
      <c r="AA26" s="236">
        <f>Y26+Z26</f>
        <v/>
      </c>
      <c r="AB26" s="239">
        <f>AA26-X26</f>
        <v/>
      </c>
      <c r="AC26" s="237">
        <f>IF(X26=0,"",AA26/X26)</f>
        <v/>
      </c>
      <c r="AD26" s="33" t="n"/>
      <c r="AE26" s="233" t="n"/>
      <c r="AF26" s="233" t="n"/>
      <c r="AG26" s="233">
        <f>AE26+AF26</f>
        <v/>
      </c>
      <c r="AH26" s="233" t="n"/>
      <c r="AI26" s="233" t="n"/>
      <c r="AJ26" s="233">
        <f>AH26+AI26</f>
        <v/>
      </c>
      <c r="AK26" s="238">
        <f>AJ26-AG26</f>
        <v/>
      </c>
      <c r="AL26" s="235">
        <f>IF(AG26=0,"",AJ26/AG26)</f>
        <v/>
      </c>
      <c r="AM26" s="26" t="n"/>
      <c r="AN26" s="236">
        <f>V26+AE26</f>
        <v/>
      </c>
      <c r="AO26" s="236">
        <f>W26+AF26</f>
        <v/>
      </c>
      <c r="AP26" s="236">
        <f>AN26+AO26</f>
        <v/>
      </c>
      <c r="AQ26" s="236">
        <f>Y26+AH26</f>
        <v/>
      </c>
      <c r="AR26" s="236">
        <f>Z26+AI26</f>
        <v/>
      </c>
      <c r="AS26" s="236">
        <f>AQ26+AR26</f>
        <v/>
      </c>
      <c r="AT26" s="239">
        <f>AS26-AP26</f>
        <v/>
      </c>
      <c r="AU26" s="237">
        <f>IF(AP26=0,"",AS26/AP26)</f>
        <v/>
      </c>
      <c r="AV26" s="33" t="n"/>
      <c r="AW26" s="233" t="n"/>
      <c r="AX26" s="233" t="n"/>
      <c r="AY26" s="233">
        <f>AW26+AX26</f>
        <v/>
      </c>
      <c r="AZ26" s="233" t="n"/>
      <c r="BA26" s="233" t="n"/>
      <c r="BB26" s="233">
        <f>AZ26+BA26</f>
        <v/>
      </c>
      <c r="BC26" s="238">
        <f>BB26-AY26</f>
        <v/>
      </c>
      <c r="BD26" s="235">
        <f>IF(AY26=0,"",BB26/AY26)</f>
        <v/>
      </c>
      <c r="BE26" s="26" t="n"/>
      <c r="BF26" s="236">
        <f>AN26+AW26</f>
        <v/>
      </c>
      <c r="BG26" s="236">
        <f>AO26+AX26</f>
        <v/>
      </c>
      <c r="BH26" s="236">
        <f>BF26+BG26</f>
        <v/>
      </c>
      <c r="BI26" s="236">
        <f>AQ26+AZ26</f>
        <v/>
      </c>
      <c r="BJ26" s="236">
        <f>AR26+BA26</f>
        <v/>
      </c>
      <c r="BK26" s="236">
        <f>BI26+BJ26</f>
        <v/>
      </c>
      <c r="BL26" s="239">
        <f>BK26-BH26</f>
        <v/>
      </c>
      <c r="BM26" s="237">
        <f>IF(BH26=0,"",BK26/BH26)</f>
        <v/>
      </c>
      <c r="BN26" s="33" t="n"/>
      <c r="BO26" s="233" t="n"/>
      <c r="BP26" s="233" t="n"/>
      <c r="BQ26" s="233">
        <f>BO26+BP26</f>
        <v/>
      </c>
      <c r="BR26" s="233" t="n"/>
      <c r="BS26" s="233" t="n"/>
      <c r="BT26" s="233">
        <f>BR26+BS26</f>
        <v/>
      </c>
      <c r="BU26" s="238">
        <f>BT26-BQ26</f>
        <v/>
      </c>
      <c r="BV26" s="235">
        <f>IF(BQ26=0,"",BT26/BQ26)</f>
        <v/>
      </c>
      <c r="BW26" s="26" t="n"/>
      <c r="BX26" s="236">
        <f>BF26+BO26</f>
        <v/>
      </c>
      <c r="BY26" s="236">
        <f>BG26+BP26</f>
        <v/>
      </c>
      <c r="BZ26" s="236">
        <f>BX26+BY26</f>
        <v/>
      </c>
      <c r="CA26" s="236">
        <f>BI26+BR26</f>
        <v/>
      </c>
      <c r="CB26" s="236">
        <f>BJ26+BS26</f>
        <v/>
      </c>
      <c r="CC26" s="236">
        <f>CA26+CB26</f>
        <v/>
      </c>
      <c r="CD26" s="239">
        <f>CC26-BZ26</f>
        <v/>
      </c>
      <c r="CE26" s="237">
        <f>IF(BZ26=0,"",CC26/BZ26)</f>
        <v/>
      </c>
      <c r="CF26" s="33" t="n"/>
      <c r="CG26" s="233" t="n"/>
      <c r="CH26" s="233" t="n"/>
      <c r="CI26" s="233">
        <f>CG26+CH26</f>
        <v/>
      </c>
      <c r="CJ26" s="233" t="n"/>
      <c r="CK26" s="233" t="n"/>
      <c r="CL26" s="233">
        <f>CJ26+CK26</f>
        <v/>
      </c>
      <c r="CM26" s="238">
        <f>CL26-CI26</f>
        <v/>
      </c>
      <c r="CN26" s="235">
        <f>IF(CI26=0,"",CL26/CI26)</f>
        <v/>
      </c>
      <c r="CO26" s="26" t="n"/>
      <c r="CP26" s="236">
        <f>BX26+CG26</f>
        <v/>
      </c>
      <c r="CQ26" s="236">
        <f>BY26+CH26</f>
        <v/>
      </c>
      <c r="CR26" s="236">
        <f>CP26+CQ26</f>
        <v/>
      </c>
      <c r="CS26" s="236">
        <f>CA26+CJ26</f>
        <v/>
      </c>
      <c r="CT26" s="236">
        <f>CB26+CK26</f>
        <v/>
      </c>
      <c r="CU26" s="236">
        <f>CS26+CT26</f>
        <v/>
      </c>
      <c r="CV26" s="239">
        <f>CU26-CR26</f>
        <v/>
      </c>
      <c r="CW26" s="237">
        <f>IF(CR26=0,"",CU26/CR26)</f>
        <v/>
      </c>
      <c r="CX26" s="33" t="n"/>
      <c r="CY26" s="233" t="n"/>
      <c r="CZ26" s="233" t="n"/>
      <c r="DA26" s="233">
        <f>CY26+CZ26</f>
        <v/>
      </c>
      <c r="DB26" s="233" t="n"/>
      <c r="DC26" s="233" t="n"/>
      <c r="DD26" s="233">
        <f>DB26+DC26</f>
        <v/>
      </c>
      <c r="DE26" s="238">
        <f>DD26-DA26</f>
        <v/>
      </c>
      <c r="DF26" s="235">
        <f>IF(DA26=0,"",DD26/DA26)</f>
        <v/>
      </c>
      <c r="DG26" s="26" t="n"/>
      <c r="DH26" s="236">
        <f>CP26+CY26</f>
        <v/>
      </c>
      <c r="DI26" s="236">
        <f>CQ26+CZ26</f>
        <v/>
      </c>
      <c r="DJ26" s="236">
        <f>DH26+DI26</f>
        <v/>
      </c>
      <c r="DK26" s="236">
        <f>CS26+DB26</f>
        <v/>
      </c>
      <c r="DL26" s="236">
        <f>CT26+DC26</f>
        <v/>
      </c>
      <c r="DM26" s="236">
        <f>DK26+DL26</f>
        <v/>
      </c>
      <c r="DN26" s="239">
        <f>DM26-DJ26</f>
        <v/>
      </c>
      <c r="DO26" s="237">
        <f>IF(DJ26=0,"",DM26/DJ26)</f>
        <v/>
      </c>
      <c r="DP26" s="33" t="n"/>
      <c r="DQ26" s="233" t="n"/>
      <c r="DR26" s="233" t="n"/>
      <c r="DS26" s="233">
        <f>DQ26+DR26</f>
        <v/>
      </c>
      <c r="DT26" s="233" t="n"/>
      <c r="DU26" s="233" t="n"/>
      <c r="DV26" s="233">
        <f>DT26+DU26</f>
        <v/>
      </c>
      <c r="DW26" s="238">
        <f>DV26-DS26</f>
        <v/>
      </c>
      <c r="DX26" s="235">
        <f>IF(DS26=0,"",DV26/DS26)</f>
        <v/>
      </c>
      <c r="DY26" s="26" t="n"/>
      <c r="DZ26" s="236">
        <f>DH26+DQ26</f>
        <v/>
      </c>
      <c r="EA26" s="236">
        <f>DI26+DR26</f>
        <v/>
      </c>
      <c r="EB26" s="236">
        <f>DZ26+EA26</f>
        <v/>
      </c>
      <c r="EC26" s="236">
        <f>DK26+DT26</f>
        <v/>
      </c>
      <c r="ED26" s="236">
        <f>DL26+DU26</f>
        <v/>
      </c>
      <c r="EE26" s="236">
        <f>EC26+ED26</f>
        <v/>
      </c>
      <c r="EF26" s="239">
        <f>EE26-EB26</f>
        <v/>
      </c>
      <c r="EG26" s="237">
        <f>IF(EB26=0,"",EE26/EB26)</f>
        <v/>
      </c>
      <c r="EH26" s="33" t="n"/>
      <c r="EI26" s="233" t="n"/>
      <c r="EJ26" s="233" t="n"/>
      <c r="EK26" s="233">
        <f>EI26+EJ26</f>
        <v/>
      </c>
      <c r="EL26" s="233" t="n"/>
      <c r="EM26" s="233" t="n"/>
      <c r="EN26" s="233">
        <f>EL26+EM26</f>
        <v/>
      </c>
      <c r="EO26" s="238">
        <f>EN26-EK26</f>
        <v/>
      </c>
      <c r="EP26" s="235">
        <f>IF(EK26=0,"",EN26/EK26)</f>
        <v/>
      </c>
      <c r="EQ26" s="26" t="n"/>
      <c r="ER26" s="236">
        <f>DZ26+EI26</f>
        <v/>
      </c>
      <c r="ES26" s="236">
        <f>EA26+EJ26</f>
        <v/>
      </c>
      <c r="ET26" s="236">
        <f>ER26+ES26</f>
        <v/>
      </c>
      <c r="EU26" s="236">
        <f>EC26+EL26</f>
        <v/>
      </c>
      <c r="EV26" s="236">
        <f>ED26+EM26</f>
        <v/>
      </c>
      <c r="EW26" s="236">
        <f>EU26+EV26</f>
        <v/>
      </c>
      <c r="EX26" s="239">
        <f>EW26-ET26</f>
        <v/>
      </c>
      <c r="EY26" s="237">
        <f>IF(ET26=0,"",EW26/ET26)</f>
        <v/>
      </c>
      <c r="EZ26" s="33" t="n"/>
      <c r="FA26" s="233" t="n"/>
      <c r="FB26" s="233" t="n"/>
      <c r="FC26" s="233">
        <f>FA26+FB26</f>
        <v/>
      </c>
      <c r="FD26" s="233" t="n"/>
      <c r="FE26" s="233" t="n"/>
      <c r="FF26" s="233">
        <f>FD26+FE26</f>
        <v/>
      </c>
      <c r="FG26" s="238">
        <f>FF26-FC26</f>
        <v/>
      </c>
      <c r="FH26" s="235">
        <f>IF(FC26=0,"",FF26/FC26)</f>
        <v/>
      </c>
      <c r="FI26" s="26" t="n"/>
      <c r="FJ26" s="236">
        <f>ER26+FA26</f>
        <v/>
      </c>
      <c r="FK26" s="236">
        <f>ES26+FB26</f>
        <v/>
      </c>
      <c r="FL26" s="236">
        <f>FJ26+FK26</f>
        <v/>
      </c>
      <c r="FM26" s="236">
        <f>EU26+FD26</f>
        <v/>
      </c>
      <c r="FN26" s="236">
        <f>EV26+FE26</f>
        <v/>
      </c>
      <c r="FO26" s="236">
        <f>FM26+FN26</f>
        <v/>
      </c>
      <c r="FP26" s="239">
        <f>FO26-FL26</f>
        <v/>
      </c>
      <c r="FQ26" s="237">
        <f>IF(FL26=0,"",FO26/FL26)</f>
        <v/>
      </c>
      <c r="FR26" s="33" t="n"/>
      <c r="FS26" s="233" t="n"/>
      <c r="FT26" s="233" t="n"/>
      <c r="FU26" s="233">
        <f>FS26+FT26</f>
        <v/>
      </c>
      <c r="FV26" s="233" t="n"/>
      <c r="FW26" s="233" t="n"/>
      <c r="FX26" s="233">
        <f>FV26+FW26</f>
        <v/>
      </c>
      <c r="FY26" s="238">
        <f>FX26-FU26</f>
        <v/>
      </c>
      <c r="FZ26" s="235">
        <f>IF(FU26=0,"",FX26/FU26)</f>
        <v/>
      </c>
      <c r="GA26" s="26" t="n"/>
      <c r="GB26" s="236">
        <f>FJ26+FS26</f>
        <v/>
      </c>
      <c r="GC26" s="236">
        <f>FK26+FT26</f>
        <v/>
      </c>
      <c r="GD26" s="236">
        <f>GB26+GC26</f>
        <v/>
      </c>
      <c r="GE26" s="236">
        <f>FM26+FV26</f>
        <v/>
      </c>
      <c r="GF26" s="236">
        <f>FN26+FW26</f>
        <v/>
      </c>
      <c r="GG26" s="236">
        <f>GE26+GF26</f>
        <v/>
      </c>
      <c r="GH26" s="239">
        <f>GG26-GD26</f>
        <v/>
      </c>
      <c r="GI26" s="237">
        <f>IF(GD26=0,"",GG26/GD26)</f>
        <v/>
      </c>
      <c r="GJ26" s="33" t="n"/>
      <c r="GK26" s="233" t="n"/>
      <c r="GL26" s="233" t="n"/>
      <c r="GM26" s="233">
        <f>GK26+GL26</f>
        <v/>
      </c>
      <c r="GN26" s="233" t="n"/>
      <c r="GO26" s="233" t="n"/>
      <c r="GP26" s="233">
        <f>GN26+GO26</f>
        <v/>
      </c>
      <c r="GQ26" s="238">
        <f>GP26-GM26</f>
        <v/>
      </c>
      <c r="GR26" s="235">
        <f>IF(GM26=0,"",GP26/GM26)</f>
        <v/>
      </c>
      <c r="GS26" s="26" t="n"/>
      <c r="GT26" s="236">
        <f>GB26+GK26</f>
        <v/>
      </c>
      <c r="GU26" s="236">
        <f>GC26+GL26</f>
        <v/>
      </c>
      <c r="GV26" s="236">
        <f>GT26+GU26</f>
        <v/>
      </c>
      <c r="GW26" s="236">
        <f>GE26+GN26</f>
        <v/>
      </c>
      <c r="GX26" s="236">
        <f>GF26+GO26</f>
        <v/>
      </c>
      <c r="GY26" s="236">
        <f>GW26+GX26</f>
        <v/>
      </c>
      <c r="GZ26" s="239">
        <f>GY26-GV26</f>
        <v/>
      </c>
      <c r="HA26" s="237">
        <f>IF(GV26=0,"",GY26/GV26)</f>
        <v/>
      </c>
      <c r="HB26" s="33" t="n"/>
      <c r="HC26" s="233">
        <f>GT26</f>
        <v/>
      </c>
      <c r="HD26" s="233">
        <f>GU26</f>
        <v/>
      </c>
      <c r="HE26" s="233">
        <f>HC26+HD26</f>
        <v/>
      </c>
    </row>
    <row r="27" outlineLevel="1" ht="15" customHeight="1" s="150">
      <c r="A27" s="26" t="n"/>
      <c r="B27" s="26" t="n"/>
      <c r="C27" s="26" t="n"/>
      <c r="D27" s="233" t="n"/>
      <c r="E27" s="233" t="n"/>
      <c r="F27" s="233">
        <f>D27+E27</f>
        <v/>
      </c>
      <c r="G27" s="233" t="n"/>
      <c r="H27" s="233" t="n"/>
      <c r="I27" s="233">
        <f>G27+H27</f>
        <v/>
      </c>
      <c r="J27" s="238">
        <f>I27-F27</f>
        <v/>
      </c>
      <c r="K27" s="235">
        <f>IF(F27=0,"",I27/F27)</f>
        <v/>
      </c>
      <c r="L27" s="26" t="n"/>
      <c r="M27" s="233" t="n"/>
      <c r="N27" s="233" t="n"/>
      <c r="O27" s="233">
        <f>M27+N27</f>
        <v/>
      </c>
      <c r="P27" s="233" t="n"/>
      <c r="Q27" s="233" t="n"/>
      <c r="R27" s="233">
        <f>P27+Q27</f>
        <v/>
      </c>
      <c r="S27" s="238">
        <f>R27-O27</f>
        <v/>
      </c>
      <c r="T27" s="235">
        <f>IF(O27=0,"",R27/O27)</f>
        <v/>
      </c>
      <c r="U27" s="26" t="n"/>
      <c r="V27" s="236">
        <f>D27+M27</f>
        <v/>
      </c>
      <c r="W27" s="236">
        <f>E27+N27</f>
        <v/>
      </c>
      <c r="X27" s="236">
        <f>V27+W27</f>
        <v/>
      </c>
      <c r="Y27" s="236">
        <f>G27+P27</f>
        <v/>
      </c>
      <c r="Z27" s="236">
        <f>H27+Q27</f>
        <v/>
      </c>
      <c r="AA27" s="236">
        <f>Y27+Z27</f>
        <v/>
      </c>
      <c r="AB27" s="239">
        <f>AA27-X27</f>
        <v/>
      </c>
      <c r="AC27" s="237">
        <f>IF(X27=0,"",AA27/X27)</f>
        <v/>
      </c>
      <c r="AD27" s="33" t="n"/>
      <c r="AE27" s="233" t="n"/>
      <c r="AF27" s="233" t="n"/>
      <c r="AG27" s="233">
        <f>AE27+AF27</f>
        <v/>
      </c>
      <c r="AH27" s="233" t="n"/>
      <c r="AI27" s="233" t="n"/>
      <c r="AJ27" s="233">
        <f>AH27+AI27</f>
        <v/>
      </c>
      <c r="AK27" s="238">
        <f>AJ27-AG27</f>
        <v/>
      </c>
      <c r="AL27" s="235">
        <f>IF(AG27=0,"",AJ27/AG27)</f>
        <v/>
      </c>
      <c r="AM27" s="26" t="n"/>
      <c r="AN27" s="236">
        <f>V27+AE27</f>
        <v/>
      </c>
      <c r="AO27" s="236">
        <f>W27+AF27</f>
        <v/>
      </c>
      <c r="AP27" s="236">
        <f>AN27+AO27</f>
        <v/>
      </c>
      <c r="AQ27" s="236">
        <f>Y27+AH27</f>
        <v/>
      </c>
      <c r="AR27" s="236">
        <f>Z27+AI27</f>
        <v/>
      </c>
      <c r="AS27" s="236">
        <f>AQ27+AR27</f>
        <v/>
      </c>
      <c r="AT27" s="239">
        <f>AS27-AP27</f>
        <v/>
      </c>
      <c r="AU27" s="237">
        <f>IF(AP27=0,"",AS27/AP27)</f>
        <v/>
      </c>
      <c r="AV27" s="33" t="n"/>
      <c r="AW27" s="233" t="n"/>
      <c r="AX27" s="233" t="n"/>
      <c r="AY27" s="233">
        <f>AW27+AX27</f>
        <v/>
      </c>
      <c r="AZ27" s="233" t="n"/>
      <c r="BA27" s="233" t="n"/>
      <c r="BB27" s="233">
        <f>AZ27+BA27</f>
        <v/>
      </c>
      <c r="BC27" s="238">
        <f>BB27-AY27</f>
        <v/>
      </c>
      <c r="BD27" s="235">
        <f>IF(AY27=0,"",BB27/AY27)</f>
        <v/>
      </c>
      <c r="BE27" s="26" t="n"/>
      <c r="BF27" s="236">
        <f>AN27+AW27</f>
        <v/>
      </c>
      <c r="BG27" s="236">
        <f>AO27+AX27</f>
        <v/>
      </c>
      <c r="BH27" s="236">
        <f>BF27+BG27</f>
        <v/>
      </c>
      <c r="BI27" s="236">
        <f>AQ27+AZ27</f>
        <v/>
      </c>
      <c r="BJ27" s="236">
        <f>AR27+BA27</f>
        <v/>
      </c>
      <c r="BK27" s="236">
        <f>BI27+BJ27</f>
        <v/>
      </c>
      <c r="BL27" s="239">
        <f>BK27-BH27</f>
        <v/>
      </c>
      <c r="BM27" s="237">
        <f>IF(BH27=0,"",BK27/BH27)</f>
        <v/>
      </c>
      <c r="BN27" s="33" t="n"/>
      <c r="BO27" s="233" t="n"/>
      <c r="BP27" s="233" t="n"/>
      <c r="BQ27" s="233">
        <f>BO27+BP27</f>
        <v/>
      </c>
      <c r="BR27" s="233" t="n"/>
      <c r="BS27" s="233" t="n"/>
      <c r="BT27" s="233">
        <f>BR27+BS27</f>
        <v/>
      </c>
      <c r="BU27" s="238">
        <f>BT27-BQ27</f>
        <v/>
      </c>
      <c r="BV27" s="235">
        <f>IF(BQ27=0,"",BT27/BQ27)</f>
        <v/>
      </c>
      <c r="BW27" s="26" t="n"/>
      <c r="BX27" s="236">
        <f>BF27+BO27</f>
        <v/>
      </c>
      <c r="BY27" s="236">
        <f>BG27+BP27</f>
        <v/>
      </c>
      <c r="BZ27" s="236">
        <f>BX27+BY27</f>
        <v/>
      </c>
      <c r="CA27" s="236">
        <f>BI27+BR27</f>
        <v/>
      </c>
      <c r="CB27" s="236">
        <f>BJ27+BS27</f>
        <v/>
      </c>
      <c r="CC27" s="236">
        <f>CA27+CB27</f>
        <v/>
      </c>
      <c r="CD27" s="239">
        <f>CC27-BZ27</f>
        <v/>
      </c>
      <c r="CE27" s="237">
        <f>IF(BZ27=0,"",CC27/BZ27)</f>
        <v/>
      </c>
      <c r="CF27" s="33" t="n"/>
      <c r="CG27" s="233" t="n"/>
      <c r="CH27" s="233" t="n"/>
      <c r="CI27" s="233">
        <f>CG27+CH27</f>
        <v/>
      </c>
      <c r="CJ27" s="233" t="n"/>
      <c r="CK27" s="233" t="n"/>
      <c r="CL27" s="233">
        <f>CJ27+CK27</f>
        <v/>
      </c>
      <c r="CM27" s="238">
        <f>CL27-CI27</f>
        <v/>
      </c>
      <c r="CN27" s="235">
        <f>IF(CI27=0,"",CL27/CI27)</f>
        <v/>
      </c>
      <c r="CO27" s="26" t="n"/>
      <c r="CP27" s="236">
        <f>BX27+CG27</f>
        <v/>
      </c>
      <c r="CQ27" s="236">
        <f>BY27+CH27</f>
        <v/>
      </c>
      <c r="CR27" s="236">
        <f>CP27+CQ27</f>
        <v/>
      </c>
      <c r="CS27" s="236">
        <f>CA27+CJ27</f>
        <v/>
      </c>
      <c r="CT27" s="236">
        <f>CB27+CK27</f>
        <v/>
      </c>
      <c r="CU27" s="236">
        <f>CS27+CT27</f>
        <v/>
      </c>
      <c r="CV27" s="239">
        <f>CU27-CR27</f>
        <v/>
      </c>
      <c r="CW27" s="237">
        <f>IF(CR27=0,"",CU27/CR27)</f>
        <v/>
      </c>
      <c r="CX27" s="33" t="n"/>
      <c r="CY27" s="233" t="n"/>
      <c r="CZ27" s="233" t="n"/>
      <c r="DA27" s="233">
        <f>CY27+CZ27</f>
        <v/>
      </c>
      <c r="DB27" s="233" t="n"/>
      <c r="DC27" s="233" t="n"/>
      <c r="DD27" s="233">
        <f>DB27+DC27</f>
        <v/>
      </c>
      <c r="DE27" s="238">
        <f>DD27-DA27</f>
        <v/>
      </c>
      <c r="DF27" s="235">
        <f>IF(DA27=0,"",DD27/DA27)</f>
        <v/>
      </c>
      <c r="DG27" s="26" t="n"/>
      <c r="DH27" s="236">
        <f>CP27+CY27</f>
        <v/>
      </c>
      <c r="DI27" s="236">
        <f>CQ27+CZ27</f>
        <v/>
      </c>
      <c r="DJ27" s="236">
        <f>DH27+DI27</f>
        <v/>
      </c>
      <c r="DK27" s="236">
        <f>CS27+DB27</f>
        <v/>
      </c>
      <c r="DL27" s="236">
        <f>CT27+DC27</f>
        <v/>
      </c>
      <c r="DM27" s="236">
        <f>DK27+DL27</f>
        <v/>
      </c>
      <c r="DN27" s="239">
        <f>DM27-DJ27</f>
        <v/>
      </c>
      <c r="DO27" s="237">
        <f>IF(DJ27=0,"",DM27/DJ27)</f>
        <v/>
      </c>
      <c r="DP27" s="33" t="n"/>
      <c r="DQ27" s="233" t="n"/>
      <c r="DR27" s="233" t="n"/>
      <c r="DS27" s="233">
        <f>DQ27+DR27</f>
        <v/>
      </c>
      <c r="DT27" s="233" t="n"/>
      <c r="DU27" s="233" t="n"/>
      <c r="DV27" s="233">
        <f>DT27+DU27</f>
        <v/>
      </c>
      <c r="DW27" s="238">
        <f>DV27-DS27</f>
        <v/>
      </c>
      <c r="DX27" s="235">
        <f>IF(DS27=0,"",DV27/DS27)</f>
        <v/>
      </c>
      <c r="DY27" s="26" t="n"/>
      <c r="DZ27" s="236">
        <f>DH27+DQ27</f>
        <v/>
      </c>
      <c r="EA27" s="236">
        <f>DI27+DR27</f>
        <v/>
      </c>
      <c r="EB27" s="236">
        <f>DZ27+EA27</f>
        <v/>
      </c>
      <c r="EC27" s="236">
        <f>DK27+DT27</f>
        <v/>
      </c>
      <c r="ED27" s="236">
        <f>DL27+DU27</f>
        <v/>
      </c>
      <c r="EE27" s="236">
        <f>EC27+ED27</f>
        <v/>
      </c>
      <c r="EF27" s="239">
        <f>EE27-EB27</f>
        <v/>
      </c>
      <c r="EG27" s="237">
        <f>IF(EB27=0,"",EE27/EB27)</f>
        <v/>
      </c>
      <c r="EH27" s="33" t="n"/>
      <c r="EI27" s="233" t="n"/>
      <c r="EJ27" s="233" t="n"/>
      <c r="EK27" s="233">
        <f>EI27+EJ27</f>
        <v/>
      </c>
      <c r="EL27" s="233" t="n"/>
      <c r="EM27" s="233" t="n"/>
      <c r="EN27" s="233">
        <f>EL27+EM27</f>
        <v/>
      </c>
      <c r="EO27" s="238">
        <f>EN27-EK27</f>
        <v/>
      </c>
      <c r="EP27" s="235">
        <f>IF(EK27=0,"",EN27/EK27)</f>
        <v/>
      </c>
      <c r="EQ27" s="26" t="n"/>
      <c r="ER27" s="236">
        <f>DZ27+EI27</f>
        <v/>
      </c>
      <c r="ES27" s="236">
        <f>EA27+EJ27</f>
        <v/>
      </c>
      <c r="ET27" s="236">
        <f>ER27+ES27</f>
        <v/>
      </c>
      <c r="EU27" s="236">
        <f>EC27+EL27</f>
        <v/>
      </c>
      <c r="EV27" s="236">
        <f>ED27+EM27</f>
        <v/>
      </c>
      <c r="EW27" s="236">
        <f>EU27+EV27</f>
        <v/>
      </c>
      <c r="EX27" s="239">
        <f>EW27-ET27</f>
        <v/>
      </c>
      <c r="EY27" s="237">
        <f>IF(ET27=0,"",EW27/ET27)</f>
        <v/>
      </c>
      <c r="EZ27" s="33" t="n"/>
      <c r="FA27" s="233" t="n"/>
      <c r="FB27" s="233" t="n"/>
      <c r="FC27" s="233">
        <f>FA27+FB27</f>
        <v/>
      </c>
      <c r="FD27" s="233" t="n"/>
      <c r="FE27" s="233" t="n"/>
      <c r="FF27" s="233">
        <f>FD27+FE27</f>
        <v/>
      </c>
      <c r="FG27" s="238">
        <f>FF27-FC27</f>
        <v/>
      </c>
      <c r="FH27" s="235">
        <f>IF(FC27=0,"",FF27/FC27)</f>
        <v/>
      </c>
      <c r="FI27" s="26" t="n"/>
      <c r="FJ27" s="236">
        <f>ER27+FA27</f>
        <v/>
      </c>
      <c r="FK27" s="236">
        <f>ES27+FB27</f>
        <v/>
      </c>
      <c r="FL27" s="236">
        <f>FJ27+FK27</f>
        <v/>
      </c>
      <c r="FM27" s="236">
        <f>EU27+FD27</f>
        <v/>
      </c>
      <c r="FN27" s="236">
        <f>EV27+FE27</f>
        <v/>
      </c>
      <c r="FO27" s="236">
        <f>FM27+FN27</f>
        <v/>
      </c>
      <c r="FP27" s="239">
        <f>FO27-FL27</f>
        <v/>
      </c>
      <c r="FQ27" s="237">
        <f>IF(FL27=0,"",FO27/FL27)</f>
        <v/>
      </c>
      <c r="FR27" s="33" t="n"/>
      <c r="FS27" s="233" t="n"/>
      <c r="FT27" s="233" t="n"/>
      <c r="FU27" s="233">
        <f>FS27+FT27</f>
        <v/>
      </c>
      <c r="FV27" s="233" t="n"/>
      <c r="FW27" s="233" t="n"/>
      <c r="FX27" s="233">
        <f>FV27+FW27</f>
        <v/>
      </c>
      <c r="FY27" s="238">
        <f>FX27-FU27</f>
        <v/>
      </c>
      <c r="FZ27" s="235">
        <f>IF(FU27=0,"",FX27/FU27)</f>
        <v/>
      </c>
      <c r="GA27" s="26" t="n"/>
      <c r="GB27" s="236">
        <f>FJ27+FS27</f>
        <v/>
      </c>
      <c r="GC27" s="236">
        <f>FK27+FT27</f>
        <v/>
      </c>
      <c r="GD27" s="236">
        <f>GB27+GC27</f>
        <v/>
      </c>
      <c r="GE27" s="236">
        <f>FM27+FV27</f>
        <v/>
      </c>
      <c r="GF27" s="236">
        <f>FN27+FW27</f>
        <v/>
      </c>
      <c r="GG27" s="236">
        <f>GE27+GF27</f>
        <v/>
      </c>
      <c r="GH27" s="239">
        <f>GG27-GD27</f>
        <v/>
      </c>
      <c r="GI27" s="237">
        <f>IF(GD27=0,"",GG27/GD27)</f>
        <v/>
      </c>
      <c r="GJ27" s="33" t="n"/>
      <c r="GK27" s="233" t="n"/>
      <c r="GL27" s="233" t="n"/>
      <c r="GM27" s="233">
        <f>GK27+GL27</f>
        <v/>
      </c>
      <c r="GN27" s="233" t="n"/>
      <c r="GO27" s="233" t="n"/>
      <c r="GP27" s="233">
        <f>GN27+GO27</f>
        <v/>
      </c>
      <c r="GQ27" s="238">
        <f>GP27-GM27</f>
        <v/>
      </c>
      <c r="GR27" s="235">
        <f>IF(GM27=0,"",GP27/GM27)</f>
        <v/>
      </c>
      <c r="GS27" s="26" t="n"/>
      <c r="GT27" s="236">
        <f>GB27+GK27</f>
        <v/>
      </c>
      <c r="GU27" s="236">
        <f>GC27+GL27</f>
        <v/>
      </c>
      <c r="GV27" s="236">
        <f>GT27+GU27</f>
        <v/>
      </c>
      <c r="GW27" s="236">
        <f>GE27+GN27</f>
        <v/>
      </c>
      <c r="GX27" s="236">
        <f>GF27+GO27</f>
        <v/>
      </c>
      <c r="GY27" s="236">
        <f>GW27+GX27</f>
        <v/>
      </c>
      <c r="GZ27" s="239">
        <f>GY27-GV27</f>
        <v/>
      </c>
      <c r="HA27" s="237">
        <f>IF(GV27=0,"",GY27/GV27)</f>
        <v/>
      </c>
      <c r="HB27" s="33" t="n"/>
      <c r="HC27" s="233">
        <f>GT27</f>
        <v/>
      </c>
      <c r="HD27" s="233">
        <f>GU27</f>
        <v/>
      </c>
      <c r="HE27" s="233">
        <f>HC27+HD27</f>
        <v/>
      </c>
    </row>
    <row r="28" outlineLevel="1" ht="15" customHeight="1" s="150">
      <c r="A28" s="26" t="n"/>
      <c r="B28" s="26" t="n"/>
      <c r="C28" s="26" t="n"/>
      <c r="D28" s="233" t="n"/>
      <c r="E28" s="233" t="n"/>
      <c r="F28" s="233">
        <f>D28+E28</f>
        <v/>
      </c>
      <c r="G28" s="233" t="n"/>
      <c r="H28" s="233" t="n"/>
      <c r="I28" s="233">
        <f>G28+H28</f>
        <v/>
      </c>
      <c r="J28" s="234">
        <f>I28-F28</f>
        <v/>
      </c>
      <c r="K28" s="235">
        <f>IF(F28=0,"",I28/F28)</f>
        <v/>
      </c>
      <c r="L28" s="26" t="n"/>
      <c r="M28" s="233" t="n"/>
      <c r="N28" s="233" t="n"/>
      <c r="O28" s="233">
        <f>M28+N28</f>
        <v/>
      </c>
      <c r="P28" s="233" t="n"/>
      <c r="Q28" s="233" t="n"/>
      <c r="R28" s="233">
        <f>P28+Q28</f>
        <v/>
      </c>
      <c r="S28" s="234">
        <f>R28-O28</f>
        <v/>
      </c>
      <c r="T28" s="235">
        <f>IF(O28=0,"",R28/O28)</f>
        <v/>
      </c>
      <c r="U28" s="26" t="n"/>
      <c r="V28" s="236">
        <f>D28+M28</f>
        <v/>
      </c>
      <c r="W28" s="236">
        <f>E28+N28</f>
        <v/>
      </c>
      <c r="X28" s="236">
        <f>V28+W28</f>
        <v/>
      </c>
      <c r="Y28" s="236">
        <f>G28+P28</f>
        <v/>
      </c>
      <c r="Z28" s="236">
        <f>H28+Q28</f>
        <v/>
      </c>
      <c r="AA28" s="236">
        <f>Y28+Z28</f>
        <v/>
      </c>
      <c r="AB28" s="234">
        <f>AA28-X28</f>
        <v/>
      </c>
      <c r="AC28" s="237">
        <f>IF(X28=0,"",AA28/X28)</f>
        <v/>
      </c>
      <c r="AD28" s="33" t="n"/>
      <c r="AE28" s="233" t="n"/>
      <c r="AF28" s="233" t="n"/>
      <c r="AG28" s="233">
        <f>AE28+AF28</f>
        <v/>
      </c>
      <c r="AH28" s="233" t="n"/>
      <c r="AI28" s="233" t="n"/>
      <c r="AJ28" s="233">
        <f>AH28+AI28</f>
        <v/>
      </c>
      <c r="AK28" s="234">
        <f>AJ28-AG28</f>
        <v/>
      </c>
      <c r="AL28" s="235">
        <f>IF(AG28=0,"",AJ28/AG28)</f>
        <v/>
      </c>
      <c r="AM28" s="26" t="n"/>
      <c r="AN28" s="236">
        <f>V28+AE28</f>
        <v/>
      </c>
      <c r="AO28" s="236">
        <f>W28+AF28</f>
        <v/>
      </c>
      <c r="AP28" s="236">
        <f>AN28+AO28</f>
        <v/>
      </c>
      <c r="AQ28" s="236">
        <f>Y28+AH28</f>
        <v/>
      </c>
      <c r="AR28" s="236">
        <f>Z28+AI28</f>
        <v/>
      </c>
      <c r="AS28" s="236">
        <f>AQ28+AR28</f>
        <v/>
      </c>
      <c r="AT28" s="234">
        <f>AS28-AP28</f>
        <v/>
      </c>
      <c r="AU28" s="237">
        <f>IF(AP28=0,"",AS28/AP28)</f>
        <v/>
      </c>
      <c r="AV28" s="33" t="n"/>
      <c r="AW28" s="233" t="n"/>
      <c r="AX28" s="233" t="n"/>
      <c r="AY28" s="233">
        <f>AW28+AX28</f>
        <v/>
      </c>
      <c r="AZ28" s="233" t="n"/>
      <c r="BA28" s="233" t="n"/>
      <c r="BB28" s="233">
        <f>AZ28+BA28</f>
        <v/>
      </c>
      <c r="BC28" s="238">
        <f>BB28-AY28</f>
        <v/>
      </c>
      <c r="BD28" s="235">
        <f>IF(AY28=0,"",BB28/AY28)</f>
        <v/>
      </c>
      <c r="BE28" s="26" t="n"/>
      <c r="BF28" s="236">
        <f>AN28+AW28</f>
        <v/>
      </c>
      <c r="BG28" s="236">
        <f>AO28+AX28</f>
        <v/>
      </c>
      <c r="BH28" s="236">
        <f>BF28+BG28</f>
        <v/>
      </c>
      <c r="BI28" s="236">
        <f>AQ28+AZ28</f>
        <v/>
      </c>
      <c r="BJ28" s="236">
        <f>AR28+BA28</f>
        <v/>
      </c>
      <c r="BK28" s="236">
        <f>BI28+BJ28</f>
        <v/>
      </c>
      <c r="BL28" s="239">
        <f>BK28-BH28</f>
        <v/>
      </c>
      <c r="BM28" s="237">
        <f>IF(BH28=0,"",BK28/BH28)</f>
        <v/>
      </c>
      <c r="BN28" s="33" t="n"/>
      <c r="BO28" s="233" t="n"/>
      <c r="BP28" s="233" t="n"/>
      <c r="BQ28" s="233">
        <f>BO28+BP28</f>
        <v/>
      </c>
      <c r="BR28" s="233" t="n"/>
      <c r="BS28" s="233" t="n"/>
      <c r="BT28" s="233">
        <f>BR28+BS28</f>
        <v/>
      </c>
      <c r="BU28" s="238">
        <f>BT28-BQ28</f>
        <v/>
      </c>
      <c r="BV28" s="235">
        <f>IF(BQ28=0,"",BT28/BQ28)</f>
        <v/>
      </c>
      <c r="BW28" s="26" t="n"/>
      <c r="BX28" s="236">
        <f>BF28+BO28</f>
        <v/>
      </c>
      <c r="BY28" s="236">
        <f>BG28+BP28</f>
        <v/>
      </c>
      <c r="BZ28" s="236">
        <f>BX28+BY28</f>
        <v/>
      </c>
      <c r="CA28" s="236">
        <f>BI28+BR28</f>
        <v/>
      </c>
      <c r="CB28" s="236">
        <f>BJ28+BS28</f>
        <v/>
      </c>
      <c r="CC28" s="236">
        <f>CA28+CB28</f>
        <v/>
      </c>
      <c r="CD28" s="239">
        <f>CC28-BZ28</f>
        <v/>
      </c>
      <c r="CE28" s="237">
        <f>IF(BZ28=0,"",CC28/BZ28)</f>
        <v/>
      </c>
      <c r="CF28" s="33" t="n"/>
      <c r="CG28" s="233" t="n"/>
      <c r="CH28" s="233" t="n"/>
      <c r="CI28" s="233">
        <f>CG28+CH28</f>
        <v/>
      </c>
      <c r="CJ28" s="233" t="n"/>
      <c r="CK28" s="233" t="n"/>
      <c r="CL28" s="233">
        <f>CJ28+CK28</f>
        <v/>
      </c>
      <c r="CM28" s="238">
        <f>CL28-CI28</f>
        <v/>
      </c>
      <c r="CN28" s="235">
        <f>IF(CI28=0,"",CL28/CI28)</f>
        <v/>
      </c>
      <c r="CO28" s="26" t="n"/>
      <c r="CP28" s="236">
        <f>BX28+CG28</f>
        <v/>
      </c>
      <c r="CQ28" s="236">
        <f>BY28+CH28</f>
        <v/>
      </c>
      <c r="CR28" s="236">
        <f>CP28+CQ28</f>
        <v/>
      </c>
      <c r="CS28" s="236">
        <f>CA28+CJ28</f>
        <v/>
      </c>
      <c r="CT28" s="236">
        <f>CB28+CK28</f>
        <v/>
      </c>
      <c r="CU28" s="236">
        <f>CS28+CT28</f>
        <v/>
      </c>
      <c r="CV28" s="239">
        <f>CU28-CR28</f>
        <v/>
      </c>
      <c r="CW28" s="237">
        <f>IF(CR28=0,"",CU28/CR28)</f>
        <v/>
      </c>
      <c r="CX28" s="33" t="n"/>
      <c r="CY28" s="233" t="n"/>
      <c r="CZ28" s="233" t="n"/>
      <c r="DA28" s="233">
        <f>CY28+CZ28</f>
        <v/>
      </c>
      <c r="DB28" s="233" t="n"/>
      <c r="DC28" s="233" t="n"/>
      <c r="DD28" s="233">
        <f>DB28+DC28</f>
        <v/>
      </c>
      <c r="DE28" s="238">
        <f>DD28-DA28</f>
        <v/>
      </c>
      <c r="DF28" s="235">
        <f>IF(DA28=0,"",DD28/DA28)</f>
        <v/>
      </c>
      <c r="DG28" s="26" t="n"/>
      <c r="DH28" s="236">
        <f>CP28+CY28</f>
        <v/>
      </c>
      <c r="DI28" s="236">
        <f>CQ28+CZ28</f>
        <v/>
      </c>
      <c r="DJ28" s="236">
        <f>DH28+DI28</f>
        <v/>
      </c>
      <c r="DK28" s="236">
        <f>CS28+DB28</f>
        <v/>
      </c>
      <c r="DL28" s="236">
        <f>CT28+DC28</f>
        <v/>
      </c>
      <c r="DM28" s="236">
        <f>DK28+DL28</f>
        <v/>
      </c>
      <c r="DN28" s="239">
        <f>DM28-DJ28</f>
        <v/>
      </c>
      <c r="DO28" s="237">
        <f>IF(DJ28=0,"",DM28/DJ28)</f>
        <v/>
      </c>
      <c r="DP28" s="33" t="n"/>
      <c r="DQ28" s="233" t="n"/>
      <c r="DR28" s="233" t="n"/>
      <c r="DS28" s="233">
        <f>DQ28+DR28</f>
        <v/>
      </c>
      <c r="DT28" s="233" t="n"/>
      <c r="DU28" s="233" t="n"/>
      <c r="DV28" s="233">
        <f>DT28+DU28</f>
        <v/>
      </c>
      <c r="DW28" s="238">
        <f>DV28-DS28</f>
        <v/>
      </c>
      <c r="DX28" s="235">
        <f>IF(DS28=0,"",DV28/DS28)</f>
        <v/>
      </c>
      <c r="DY28" s="26" t="n"/>
      <c r="DZ28" s="236">
        <f>DH28+DQ28</f>
        <v/>
      </c>
      <c r="EA28" s="236">
        <f>DI28+DR28</f>
        <v/>
      </c>
      <c r="EB28" s="236">
        <f>DZ28+EA28</f>
        <v/>
      </c>
      <c r="EC28" s="236">
        <f>DK28+DT28</f>
        <v/>
      </c>
      <c r="ED28" s="236">
        <f>DL28+DU28</f>
        <v/>
      </c>
      <c r="EE28" s="236">
        <f>EC28+ED28</f>
        <v/>
      </c>
      <c r="EF28" s="239">
        <f>EE28-EB28</f>
        <v/>
      </c>
      <c r="EG28" s="237">
        <f>IF(EB28=0,"",EE28/EB28)</f>
        <v/>
      </c>
      <c r="EH28" s="33" t="n"/>
      <c r="EI28" s="233" t="n"/>
      <c r="EJ28" s="233" t="n"/>
      <c r="EK28" s="233">
        <f>EI28+EJ28</f>
        <v/>
      </c>
      <c r="EL28" s="233" t="n"/>
      <c r="EM28" s="233" t="n"/>
      <c r="EN28" s="233">
        <f>EL28+EM28</f>
        <v/>
      </c>
      <c r="EO28" s="238">
        <f>EN28-EK28</f>
        <v/>
      </c>
      <c r="EP28" s="235">
        <f>IF(EK28=0,"",EN28/EK28)</f>
        <v/>
      </c>
      <c r="EQ28" s="26" t="n"/>
      <c r="ER28" s="236">
        <f>DZ28+EI28</f>
        <v/>
      </c>
      <c r="ES28" s="236">
        <f>EA28+EJ28</f>
        <v/>
      </c>
      <c r="ET28" s="236">
        <f>ER28+ES28</f>
        <v/>
      </c>
      <c r="EU28" s="236">
        <f>EC28+EL28</f>
        <v/>
      </c>
      <c r="EV28" s="236">
        <f>ED28+EM28</f>
        <v/>
      </c>
      <c r="EW28" s="236">
        <f>EU28+EV28</f>
        <v/>
      </c>
      <c r="EX28" s="239">
        <f>EW28-ET28</f>
        <v/>
      </c>
      <c r="EY28" s="237">
        <f>IF(ET28=0,"",EW28/ET28)</f>
        <v/>
      </c>
      <c r="EZ28" s="33" t="n"/>
      <c r="FA28" s="233" t="n"/>
      <c r="FB28" s="233" t="n"/>
      <c r="FC28" s="233">
        <f>FA28+FB28</f>
        <v/>
      </c>
      <c r="FD28" s="233" t="n"/>
      <c r="FE28" s="233" t="n"/>
      <c r="FF28" s="233">
        <f>FD28+FE28</f>
        <v/>
      </c>
      <c r="FG28" s="238">
        <f>FF28-FC28</f>
        <v/>
      </c>
      <c r="FH28" s="235">
        <f>IF(FC28=0,"",FF28/FC28)</f>
        <v/>
      </c>
      <c r="FI28" s="26" t="n"/>
      <c r="FJ28" s="236">
        <f>ER28+FA28</f>
        <v/>
      </c>
      <c r="FK28" s="236">
        <f>ES28+FB28</f>
        <v/>
      </c>
      <c r="FL28" s="236">
        <f>FJ28+FK28</f>
        <v/>
      </c>
      <c r="FM28" s="236">
        <f>EU28+FD28</f>
        <v/>
      </c>
      <c r="FN28" s="236">
        <f>EV28+FE28</f>
        <v/>
      </c>
      <c r="FO28" s="236">
        <f>FM28+FN28</f>
        <v/>
      </c>
      <c r="FP28" s="239">
        <f>FO28-FL28</f>
        <v/>
      </c>
      <c r="FQ28" s="237">
        <f>IF(FL28=0,"",FO28/FL28)</f>
        <v/>
      </c>
      <c r="FR28" s="33" t="n"/>
      <c r="FS28" s="233" t="n"/>
      <c r="FT28" s="233" t="n"/>
      <c r="FU28" s="233">
        <f>FS28+FT28</f>
        <v/>
      </c>
      <c r="FV28" s="233" t="n"/>
      <c r="FW28" s="233" t="n"/>
      <c r="FX28" s="233">
        <f>FV28+FW28</f>
        <v/>
      </c>
      <c r="FY28" s="238">
        <f>FX28-FU28</f>
        <v/>
      </c>
      <c r="FZ28" s="235">
        <f>IF(FU28=0,"",FX28/FU28)</f>
        <v/>
      </c>
      <c r="GA28" s="26" t="n"/>
      <c r="GB28" s="236">
        <f>FJ28+FS28</f>
        <v/>
      </c>
      <c r="GC28" s="236">
        <f>FK28+FT28</f>
        <v/>
      </c>
      <c r="GD28" s="236">
        <f>GB28+GC28</f>
        <v/>
      </c>
      <c r="GE28" s="236">
        <f>FM28+FV28</f>
        <v/>
      </c>
      <c r="GF28" s="236">
        <f>FN28+FW28</f>
        <v/>
      </c>
      <c r="GG28" s="236">
        <f>GE28+GF28</f>
        <v/>
      </c>
      <c r="GH28" s="239">
        <f>GG28-GD28</f>
        <v/>
      </c>
      <c r="GI28" s="237">
        <f>IF(GD28=0,"",GG28/GD28)</f>
        <v/>
      </c>
      <c r="GJ28" s="33" t="n"/>
      <c r="GK28" s="233" t="n"/>
      <c r="GL28" s="233" t="n"/>
      <c r="GM28" s="233">
        <f>GK28+GL28</f>
        <v/>
      </c>
      <c r="GN28" s="233" t="n"/>
      <c r="GO28" s="233" t="n"/>
      <c r="GP28" s="233">
        <f>GN28+GO28</f>
        <v/>
      </c>
      <c r="GQ28" s="238">
        <f>GP28-GM28</f>
        <v/>
      </c>
      <c r="GR28" s="235">
        <f>IF(GM28=0,"",GP28/GM28)</f>
        <v/>
      </c>
      <c r="GS28" s="26" t="n"/>
      <c r="GT28" s="236">
        <f>GB28+GK28</f>
        <v/>
      </c>
      <c r="GU28" s="236">
        <f>GC28+GL28</f>
        <v/>
      </c>
      <c r="GV28" s="236">
        <f>GT28+GU28</f>
        <v/>
      </c>
      <c r="GW28" s="236">
        <f>GE28+GN28</f>
        <v/>
      </c>
      <c r="GX28" s="236">
        <f>GF28+GO28</f>
        <v/>
      </c>
      <c r="GY28" s="236">
        <f>GW28+GX28</f>
        <v/>
      </c>
      <c r="GZ28" s="239">
        <f>GY28-GV28</f>
        <v/>
      </c>
      <c r="HA28" s="237">
        <f>IF(GV28=0,"",GY28/GV28)</f>
        <v/>
      </c>
      <c r="HB28" s="33" t="n"/>
      <c r="HC28" s="233">
        <f>GT28</f>
        <v/>
      </c>
      <c r="HD28" s="233">
        <f>GU28</f>
        <v/>
      </c>
      <c r="HE28" s="233">
        <f>HC28+HD28</f>
        <v/>
      </c>
    </row>
    <row r="29" outlineLevel="1" ht="15" customHeight="1" s="150">
      <c r="A29" s="26" t="n"/>
      <c r="B29" s="26" t="n"/>
      <c r="C29" s="26" t="n"/>
      <c r="D29" s="233" t="n"/>
      <c r="E29" s="233" t="n"/>
      <c r="F29" s="233">
        <f>D29+E29</f>
        <v/>
      </c>
      <c r="G29" s="233" t="n"/>
      <c r="H29" s="233" t="n"/>
      <c r="I29" s="233">
        <f>G29+H29</f>
        <v/>
      </c>
      <c r="J29" s="238">
        <f>I29-F29</f>
        <v/>
      </c>
      <c r="K29" s="235">
        <f>IF(F29=0,"",I29/F29)</f>
        <v/>
      </c>
      <c r="L29" s="26" t="n"/>
      <c r="M29" s="233" t="n"/>
      <c r="N29" s="233" t="n"/>
      <c r="O29" s="233">
        <f>M29+N29</f>
        <v/>
      </c>
      <c r="P29" s="233" t="n"/>
      <c r="Q29" s="233" t="n"/>
      <c r="R29" s="233">
        <f>P29+Q29</f>
        <v/>
      </c>
      <c r="S29" s="238">
        <f>R29-O29</f>
        <v/>
      </c>
      <c r="T29" s="235">
        <f>IF(O29=0,"",R29/O29)</f>
        <v/>
      </c>
      <c r="U29" s="26" t="n"/>
      <c r="V29" s="236">
        <f>D29+M29</f>
        <v/>
      </c>
      <c r="W29" s="236">
        <f>E29+N29</f>
        <v/>
      </c>
      <c r="X29" s="236">
        <f>V29+W29</f>
        <v/>
      </c>
      <c r="Y29" s="236">
        <f>G29+P29</f>
        <v/>
      </c>
      <c r="Z29" s="236">
        <f>H29+Q29</f>
        <v/>
      </c>
      <c r="AA29" s="236">
        <f>Y29+Z29</f>
        <v/>
      </c>
      <c r="AB29" s="239">
        <f>AA29-X29</f>
        <v/>
      </c>
      <c r="AC29" s="237">
        <f>IF(X29=0,"",AA29/X29)</f>
        <v/>
      </c>
      <c r="AD29" s="33" t="n"/>
      <c r="AE29" s="233" t="n"/>
      <c r="AF29" s="233" t="n"/>
      <c r="AG29" s="233">
        <f>AE29+AF29</f>
        <v/>
      </c>
      <c r="AH29" s="233" t="n"/>
      <c r="AI29" s="233" t="n"/>
      <c r="AJ29" s="233">
        <f>AH29+AI29</f>
        <v/>
      </c>
      <c r="AK29" s="238">
        <f>AJ29-AG29</f>
        <v/>
      </c>
      <c r="AL29" s="235">
        <f>IF(AG29=0,"",AJ29/AG29)</f>
        <v/>
      </c>
      <c r="AM29" s="26" t="n"/>
      <c r="AN29" s="236">
        <f>V29+AE29</f>
        <v/>
      </c>
      <c r="AO29" s="236">
        <f>W29+AF29</f>
        <v/>
      </c>
      <c r="AP29" s="236">
        <f>AN29+AO29</f>
        <v/>
      </c>
      <c r="AQ29" s="236">
        <f>Y29+AH29</f>
        <v/>
      </c>
      <c r="AR29" s="236">
        <f>Z29+AI29</f>
        <v/>
      </c>
      <c r="AS29" s="236">
        <f>AQ29+AR29</f>
        <v/>
      </c>
      <c r="AT29" s="239">
        <f>AS29-AP29</f>
        <v/>
      </c>
      <c r="AU29" s="237">
        <f>IF(AP29=0,"",AS29/AP29)</f>
        <v/>
      </c>
      <c r="AV29" s="33" t="n"/>
      <c r="AW29" s="233" t="n"/>
      <c r="AX29" s="233" t="n"/>
      <c r="AY29" s="233">
        <f>AW29+AX29</f>
        <v/>
      </c>
      <c r="AZ29" s="233" t="n"/>
      <c r="BA29" s="233" t="n"/>
      <c r="BB29" s="233">
        <f>AZ29+BA29</f>
        <v/>
      </c>
      <c r="BC29" s="238">
        <f>BB29-AY29</f>
        <v/>
      </c>
      <c r="BD29" s="235">
        <f>IF(AY29=0,"",BB29/AY29)</f>
        <v/>
      </c>
      <c r="BE29" s="26" t="n"/>
      <c r="BF29" s="236">
        <f>AN29+AW29</f>
        <v/>
      </c>
      <c r="BG29" s="236">
        <f>AO29+AX29</f>
        <v/>
      </c>
      <c r="BH29" s="236">
        <f>BF29+BG29</f>
        <v/>
      </c>
      <c r="BI29" s="236">
        <f>AQ29+AZ29</f>
        <v/>
      </c>
      <c r="BJ29" s="236">
        <f>AR29+BA29</f>
        <v/>
      </c>
      <c r="BK29" s="236">
        <f>BI29+BJ29</f>
        <v/>
      </c>
      <c r="BL29" s="239">
        <f>BK29-BH29</f>
        <v/>
      </c>
      <c r="BM29" s="237">
        <f>IF(BH29=0,"",BK29/BH29)</f>
        <v/>
      </c>
      <c r="BN29" s="33" t="n"/>
      <c r="BO29" s="233" t="n"/>
      <c r="BP29" s="233" t="n"/>
      <c r="BQ29" s="233">
        <f>BO29+BP29</f>
        <v/>
      </c>
      <c r="BR29" s="233" t="n"/>
      <c r="BS29" s="233" t="n"/>
      <c r="BT29" s="233">
        <f>BR29+BS29</f>
        <v/>
      </c>
      <c r="BU29" s="238">
        <f>BT29-BQ29</f>
        <v/>
      </c>
      <c r="BV29" s="235">
        <f>IF(BQ29=0,"",BT29/BQ29)</f>
        <v/>
      </c>
      <c r="BW29" s="26" t="n"/>
      <c r="BX29" s="236">
        <f>BF29+BO29</f>
        <v/>
      </c>
      <c r="BY29" s="236">
        <f>BG29+BP29</f>
        <v/>
      </c>
      <c r="BZ29" s="236">
        <f>BX29+BY29</f>
        <v/>
      </c>
      <c r="CA29" s="236">
        <f>BI29+BR29</f>
        <v/>
      </c>
      <c r="CB29" s="236">
        <f>BJ29+BS29</f>
        <v/>
      </c>
      <c r="CC29" s="236">
        <f>CA29+CB29</f>
        <v/>
      </c>
      <c r="CD29" s="239">
        <f>CC29-BZ29</f>
        <v/>
      </c>
      <c r="CE29" s="237">
        <f>IF(BZ29=0,"",CC29/BZ29)</f>
        <v/>
      </c>
      <c r="CF29" s="33" t="n"/>
      <c r="CG29" s="233" t="n"/>
      <c r="CH29" s="233" t="n"/>
      <c r="CI29" s="233">
        <f>CG29+CH29</f>
        <v/>
      </c>
      <c r="CJ29" s="233" t="n"/>
      <c r="CK29" s="233" t="n"/>
      <c r="CL29" s="233">
        <f>CJ29+CK29</f>
        <v/>
      </c>
      <c r="CM29" s="238">
        <f>CL29-CI29</f>
        <v/>
      </c>
      <c r="CN29" s="235">
        <f>IF(CI29=0,"",CL29/CI29)</f>
        <v/>
      </c>
      <c r="CO29" s="26" t="n"/>
      <c r="CP29" s="236">
        <f>BX29+CG29</f>
        <v/>
      </c>
      <c r="CQ29" s="236">
        <f>BY29+CH29</f>
        <v/>
      </c>
      <c r="CR29" s="236">
        <f>CP29+CQ29</f>
        <v/>
      </c>
      <c r="CS29" s="236">
        <f>CA29+CJ29</f>
        <v/>
      </c>
      <c r="CT29" s="236">
        <f>CB29+CK29</f>
        <v/>
      </c>
      <c r="CU29" s="236">
        <f>CS29+CT29</f>
        <v/>
      </c>
      <c r="CV29" s="239">
        <f>CU29-CR29</f>
        <v/>
      </c>
      <c r="CW29" s="237">
        <f>IF(CR29=0,"",CU29/CR29)</f>
        <v/>
      </c>
      <c r="CX29" s="33" t="n"/>
      <c r="CY29" s="233" t="n"/>
      <c r="CZ29" s="233" t="n"/>
      <c r="DA29" s="233">
        <f>CY29+CZ29</f>
        <v/>
      </c>
      <c r="DB29" s="233" t="n"/>
      <c r="DC29" s="233" t="n"/>
      <c r="DD29" s="233">
        <f>DB29+DC29</f>
        <v/>
      </c>
      <c r="DE29" s="238">
        <f>DD29-DA29</f>
        <v/>
      </c>
      <c r="DF29" s="235">
        <f>IF(DA29=0,"",DD29/DA29)</f>
        <v/>
      </c>
      <c r="DG29" s="26" t="n"/>
      <c r="DH29" s="236">
        <f>CP29+CY29</f>
        <v/>
      </c>
      <c r="DI29" s="236">
        <f>CQ29+CZ29</f>
        <v/>
      </c>
      <c r="DJ29" s="236">
        <f>DH29+DI29</f>
        <v/>
      </c>
      <c r="DK29" s="236">
        <f>CS29+DB29</f>
        <v/>
      </c>
      <c r="DL29" s="236">
        <f>CT29+DC29</f>
        <v/>
      </c>
      <c r="DM29" s="236">
        <f>DK29+DL29</f>
        <v/>
      </c>
      <c r="DN29" s="239">
        <f>DM29-DJ29</f>
        <v/>
      </c>
      <c r="DO29" s="237">
        <f>IF(DJ29=0,"",DM29/DJ29)</f>
        <v/>
      </c>
      <c r="DP29" s="33" t="n"/>
      <c r="DQ29" s="233" t="n"/>
      <c r="DR29" s="233" t="n"/>
      <c r="DS29" s="233">
        <f>DQ29+DR29</f>
        <v/>
      </c>
      <c r="DT29" s="233" t="n"/>
      <c r="DU29" s="233" t="n"/>
      <c r="DV29" s="233">
        <f>DT29+DU29</f>
        <v/>
      </c>
      <c r="DW29" s="238">
        <f>DV29-DS29</f>
        <v/>
      </c>
      <c r="DX29" s="235">
        <f>IF(DS29=0,"",DV29/DS29)</f>
        <v/>
      </c>
      <c r="DY29" s="26" t="n"/>
      <c r="DZ29" s="236">
        <f>DH29+DQ29</f>
        <v/>
      </c>
      <c r="EA29" s="236">
        <f>DI29+DR29</f>
        <v/>
      </c>
      <c r="EB29" s="236">
        <f>DZ29+EA29</f>
        <v/>
      </c>
      <c r="EC29" s="236">
        <f>DK29+DT29</f>
        <v/>
      </c>
      <c r="ED29" s="236">
        <f>DL29+DU29</f>
        <v/>
      </c>
      <c r="EE29" s="236">
        <f>EC29+ED29</f>
        <v/>
      </c>
      <c r="EF29" s="239">
        <f>EE29-EB29</f>
        <v/>
      </c>
      <c r="EG29" s="237">
        <f>IF(EB29=0,"",EE29/EB29)</f>
        <v/>
      </c>
      <c r="EH29" s="33" t="n"/>
      <c r="EI29" s="233" t="n"/>
      <c r="EJ29" s="233" t="n"/>
      <c r="EK29" s="233">
        <f>EI29+EJ29</f>
        <v/>
      </c>
      <c r="EL29" s="233" t="n"/>
      <c r="EM29" s="233" t="n"/>
      <c r="EN29" s="233">
        <f>EL29+EM29</f>
        <v/>
      </c>
      <c r="EO29" s="238">
        <f>EN29-EK29</f>
        <v/>
      </c>
      <c r="EP29" s="235">
        <f>IF(EK29=0,"",EN29/EK29)</f>
        <v/>
      </c>
      <c r="EQ29" s="26" t="n"/>
      <c r="ER29" s="236">
        <f>DZ29+EI29</f>
        <v/>
      </c>
      <c r="ES29" s="236">
        <f>EA29+EJ29</f>
        <v/>
      </c>
      <c r="ET29" s="236">
        <f>ER29+ES29</f>
        <v/>
      </c>
      <c r="EU29" s="236">
        <f>EC29+EL29</f>
        <v/>
      </c>
      <c r="EV29" s="236">
        <f>ED29+EM29</f>
        <v/>
      </c>
      <c r="EW29" s="236">
        <f>EU29+EV29</f>
        <v/>
      </c>
      <c r="EX29" s="239">
        <f>EW29-ET29</f>
        <v/>
      </c>
      <c r="EY29" s="237">
        <f>IF(ET29=0,"",EW29/ET29)</f>
        <v/>
      </c>
      <c r="EZ29" s="33" t="n"/>
      <c r="FA29" s="233" t="n"/>
      <c r="FB29" s="233" t="n"/>
      <c r="FC29" s="233">
        <f>FA29+FB29</f>
        <v/>
      </c>
      <c r="FD29" s="233" t="n"/>
      <c r="FE29" s="233" t="n"/>
      <c r="FF29" s="233">
        <f>FD29+FE29</f>
        <v/>
      </c>
      <c r="FG29" s="238">
        <f>FF29-FC29</f>
        <v/>
      </c>
      <c r="FH29" s="235">
        <f>IF(FC29=0,"",FF29/FC29)</f>
        <v/>
      </c>
      <c r="FI29" s="26" t="n"/>
      <c r="FJ29" s="236">
        <f>ER29+FA29</f>
        <v/>
      </c>
      <c r="FK29" s="236">
        <f>ES29+FB29</f>
        <v/>
      </c>
      <c r="FL29" s="236">
        <f>FJ29+FK29</f>
        <v/>
      </c>
      <c r="FM29" s="236">
        <f>EU29+FD29</f>
        <v/>
      </c>
      <c r="FN29" s="236">
        <f>EV29+FE29</f>
        <v/>
      </c>
      <c r="FO29" s="236">
        <f>FM29+FN29</f>
        <v/>
      </c>
      <c r="FP29" s="239">
        <f>FO29-FL29</f>
        <v/>
      </c>
      <c r="FQ29" s="237">
        <f>IF(FL29=0,"",FO29/FL29)</f>
        <v/>
      </c>
      <c r="FR29" s="33" t="n"/>
      <c r="FS29" s="233" t="n"/>
      <c r="FT29" s="233" t="n"/>
      <c r="FU29" s="233">
        <f>FS29+FT29</f>
        <v/>
      </c>
      <c r="FV29" s="233" t="n"/>
      <c r="FW29" s="233" t="n"/>
      <c r="FX29" s="233">
        <f>FV29+FW29</f>
        <v/>
      </c>
      <c r="FY29" s="238">
        <f>FX29-FU29</f>
        <v/>
      </c>
      <c r="FZ29" s="235">
        <f>IF(FU29=0,"",FX29/FU29)</f>
        <v/>
      </c>
      <c r="GA29" s="26" t="n"/>
      <c r="GB29" s="236">
        <f>FJ29+FS29</f>
        <v/>
      </c>
      <c r="GC29" s="236">
        <f>FK29+FT29</f>
        <v/>
      </c>
      <c r="GD29" s="236">
        <f>GB29+GC29</f>
        <v/>
      </c>
      <c r="GE29" s="236">
        <f>FM29+FV29</f>
        <v/>
      </c>
      <c r="GF29" s="236">
        <f>FN29+FW29</f>
        <v/>
      </c>
      <c r="GG29" s="236">
        <f>GE29+GF29</f>
        <v/>
      </c>
      <c r="GH29" s="239">
        <f>GG29-GD29</f>
        <v/>
      </c>
      <c r="GI29" s="237">
        <f>IF(GD29=0,"",GG29/GD29)</f>
        <v/>
      </c>
      <c r="GJ29" s="33" t="n"/>
      <c r="GK29" s="233" t="n"/>
      <c r="GL29" s="233" t="n"/>
      <c r="GM29" s="233">
        <f>GK29+GL29</f>
        <v/>
      </c>
      <c r="GN29" s="233" t="n"/>
      <c r="GO29" s="233" t="n"/>
      <c r="GP29" s="233">
        <f>GN29+GO29</f>
        <v/>
      </c>
      <c r="GQ29" s="238">
        <f>GP29-GM29</f>
        <v/>
      </c>
      <c r="GR29" s="235">
        <f>IF(GM29=0,"",GP29/GM29)</f>
        <v/>
      </c>
      <c r="GS29" s="26" t="n"/>
      <c r="GT29" s="236">
        <f>GB29+GK29</f>
        <v/>
      </c>
      <c r="GU29" s="236">
        <f>GC29+GL29</f>
        <v/>
      </c>
      <c r="GV29" s="236">
        <f>GT29+GU29</f>
        <v/>
      </c>
      <c r="GW29" s="236">
        <f>GE29+GN29</f>
        <v/>
      </c>
      <c r="GX29" s="236">
        <f>GF29+GO29</f>
        <v/>
      </c>
      <c r="GY29" s="236">
        <f>GW29+GX29</f>
        <v/>
      </c>
      <c r="GZ29" s="239">
        <f>GY29-GV29</f>
        <v/>
      </c>
      <c r="HA29" s="237">
        <f>IF(GV29=0,"",GY29/GV29)</f>
        <v/>
      </c>
      <c r="HB29" s="33" t="n"/>
      <c r="HC29" s="233">
        <f>GT29</f>
        <v/>
      </c>
      <c r="HD29" s="233">
        <f>GU29</f>
        <v/>
      </c>
      <c r="HE29" s="233">
        <f>HC29+HD29</f>
        <v/>
      </c>
    </row>
    <row r="30" outlineLevel="1" ht="15" customHeight="1" s="150">
      <c r="A30" s="26" t="n"/>
      <c r="B30" s="26" t="n"/>
      <c r="C30" s="26" t="n"/>
      <c r="D30" s="233" t="n"/>
      <c r="E30" s="233" t="n"/>
      <c r="F30" s="233">
        <f>D30+E30</f>
        <v/>
      </c>
      <c r="G30" s="233" t="n"/>
      <c r="H30" s="233" t="n"/>
      <c r="I30" s="233">
        <f>G30+H30</f>
        <v/>
      </c>
      <c r="J30" s="238">
        <f>I30-F30</f>
        <v/>
      </c>
      <c r="K30" s="235">
        <f>IF(F30=0,"",I30/F30)</f>
        <v/>
      </c>
      <c r="L30" s="26" t="n"/>
      <c r="M30" s="233" t="n"/>
      <c r="N30" s="233" t="n"/>
      <c r="O30" s="233">
        <f>M30+N30</f>
        <v/>
      </c>
      <c r="P30" s="233" t="n"/>
      <c r="Q30" s="233" t="n"/>
      <c r="R30" s="233">
        <f>P30+Q30</f>
        <v/>
      </c>
      <c r="S30" s="238">
        <f>R30-O30</f>
        <v/>
      </c>
      <c r="T30" s="235">
        <f>IF(O30=0,"",R30/O30)</f>
        <v/>
      </c>
      <c r="U30" s="26" t="n"/>
      <c r="V30" s="236">
        <f>D30+M30</f>
        <v/>
      </c>
      <c r="W30" s="236">
        <f>E30+N30</f>
        <v/>
      </c>
      <c r="X30" s="236">
        <f>V30+W30</f>
        <v/>
      </c>
      <c r="Y30" s="236">
        <f>G30+P30</f>
        <v/>
      </c>
      <c r="Z30" s="236">
        <f>H30+Q30</f>
        <v/>
      </c>
      <c r="AA30" s="236">
        <f>Y30+Z30</f>
        <v/>
      </c>
      <c r="AB30" s="239">
        <f>AA30-X30</f>
        <v/>
      </c>
      <c r="AC30" s="237">
        <f>IF(X30=0,"",AA30/X30)</f>
        <v/>
      </c>
      <c r="AD30" s="33" t="n"/>
      <c r="AE30" s="233" t="n"/>
      <c r="AF30" s="233" t="n"/>
      <c r="AG30" s="233">
        <f>AE30+AF30</f>
        <v/>
      </c>
      <c r="AH30" s="233" t="n"/>
      <c r="AI30" s="233" t="n"/>
      <c r="AJ30" s="233">
        <f>AH30+AI30</f>
        <v/>
      </c>
      <c r="AK30" s="238">
        <f>AJ30-AG30</f>
        <v/>
      </c>
      <c r="AL30" s="235">
        <f>IF(AG30=0,"",AJ30/AG30)</f>
        <v/>
      </c>
      <c r="AM30" s="26" t="n"/>
      <c r="AN30" s="236">
        <f>V30+AE30</f>
        <v/>
      </c>
      <c r="AO30" s="236">
        <f>W30+AF30</f>
        <v/>
      </c>
      <c r="AP30" s="236">
        <f>AN30+AO30</f>
        <v/>
      </c>
      <c r="AQ30" s="236">
        <f>Y30+AH30</f>
        <v/>
      </c>
      <c r="AR30" s="236">
        <f>Z30+AI30</f>
        <v/>
      </c>
      <c r="AS30" s="236">
        <f>AQ30+AR30</f>
        <v/>
      </c>
      <c r="AT30" s="239">
        <f>AS30-AP30</f>
        <v/>
      </c>
      <c r="AU30" s="237">
        <f>IF(AP30=0,"",AS30/AP30)</f>
        <v/>
      </c>
      <c r="AV30" s="33" t="n"/>
      <c r="AW30" s="233" t="n"/>
      <c r="AX30" s="233" t="n"/>
      <c r="AY30" s="233">
        <f>AW30+AX30</f>
        <v/>
      </c>
      <c r="AZ30" s="233" t="n"/>
      <c r="BA30" s="233" t="n"/>
      <c r="BB30" s="233">
        <f>AZ30+BA30</f>
        <v/>
      </c>
      <c r="BC30" s="238">
        <f>BB30-AY30</f>
        <v/>
      </c>
      <c r="BD30" s="235">
        <f>IF(AY30=0,"",BB30/AY30)</f>
        <v/>
      </c>
      <c r="BE30" s="26" t="n"/>
      <c r="BF30" s="236">
        <f>AN30+AW30</f>
        <v/>
      </c>
      <c r="BG30" s="236">
        <f>AO30+AX30</f>
        <v/>
      </c>
      <c r="BH30" s="236">
        <f>BF30+BG30</f>
        <v/>
      </c>
      <c r="BI30" s="236">
        <f>AQ30+AZ30</f>
        <v/>
      </c>
      <c r="BJ30" s="236">
        <f>AR30+BA30</f>
        <v/>
      </c>
      <c r="BK30" s="236">
        <f>BI30+BJ30</f>
        <v/>
      </c>
      <c r="BL30" s="239">
        <f>BK30-BH30</f>
        <v/>
      </c>
      <c r="BM30" s="237">
        <f>IF(BH30=0,"",BK30/BH30)</f>
        <v/>
      </c>
      <c r="BN30" s="33" t="n"/>
      <c r="BO30" s="233" t="n"/>
      <c r="BP30" s="233" t="n"/>
      <c r="BQ30" s="233">
        <f>BO30+BP30</f>
        <v/>
      </c>
      <c r="BR30" s="233" t="n"/>
      <c r="BS30" s="233" t="n"/>
      <c r="BT30" s="233">
        <f>BR30+BS30</f>
        <v/>
      </c>
      <c r="BU30" s="238">
        <f>BT30-BQ30</f>
        <v/>
      </c>
      <c r="BV30" s="235">
        <f>IF(BQ30=0,"",BT30/BQ30)</f>
        <v/>
      </c>
      <c r="BW30" s="26" t="n"/>
      <c r="BX30" s="236">
        <f>BF30+BO30</f>
        <v/>
      </c>
      <c r="BY30" s="236">
        <f>BG30+BP30</f>
        <v/>
      </c>
      <c r="BZ30" s="236">
        <f>BX30+BY30</f>
        <v/>
      </c>
      <c r="CA30" s="236">
        <f>BI30+BR30</f>
        <v/>
      </c>
      <c r="CB30" s="236">
        <f>BJ30+BS30</f>
        <v/>
      </c>
      <c r="CC30" s="236">
        <f>CA30+CB30</f>
        <v/>
      </c>
      <c r="CD30" s="239">
        <f>CC30-BZ30</f>
        <v/>
      </c>
      <c r="CE30" s="237">
        <f>IF(BZ30=0,"",CC30/BZ30)</f>
        <v/>
      </c>
      <c r="CF30" s="33" t="n"/>
      <c r="CG30" s="233" t="n"/>
      <c r="CH30" s="233" t="n"/>
      <c r="CI30" s="233">
        <f>CG30+CH30</f>
        <v/>
      </c>
      <c r="CJ30" s="233" t="n"/>
      <c r="CK30" s="233" t="n"/>
      <c r="CL30" s="233">
        <f>CJ30+CK30</f>
        <v/>
      </c>
      <c r="CM30" s="238">
        <f>CL30-CI30</f>
        <v/>
      </c>
      <c r="CN30" s="235">
        <f>IF(CI30=0,"",CL30/CI30)</f>
        <v/>
      </c>
      <c r="CO30" s="26" t="n"/>
      <c r="CP30" s="236">
        <f>BX30+CG30</f>
        <v/>
      </c>
      <c r="CQ30" s="236">
        <f>BY30+CH30</f>
        <v/>
      </c>
      <c r="CR30" s="236">
        <f>CP30+CQ30</f>
        <v/>
      </c>
      <c r="CS30" s="236">
        <f>CA30+CJ30</f>
        <v/>
      </c>
      <c r="CT30" s="236">
        <f>CB30+CK30</f>
        <v/>
      </c>
      <c r="CU30" s="236">
        <f>CS30+CT30</f>
        <v/>
      </c>
      <c r="CV30" s="239">
        <f>CU30-CR30</f>
        <v/>
      </c>
      <c r="CW30" s="237">
        <f>IF(CR30=0,"",CU30/CR30)</f>
        <v/>
      </c>
      <c r="CX30" s="33" t="n"/>
      <c r="CY30" s="233" t="n"/>
      <c r="CZ30" s="233" t="n"/>
      <c r="DA30" s="233">
        <f>CY30+CZ30</f>
        <v/>
      </c>
      <c r="DB30" s="233" t="n"/>
      <c r="DC30" s="233" t="n"/>
      <c r="DD30" s="233">
        <f>DB30+DC30</f>
        <v/>
      </c>
      <c r="DE30" s="238">
        <f>DD30-DA30</f>
        <v/>
      </c>
      <c r="DF30" s="235">
        <f>IF(DA30=0,"",DD30/DA30)</f>
        <v/>
      </c>
      <c r="DG30" s="26" t="n"/>
      <c r="DH30" s="236">
        <f>CP30+CY30</f>
        <v/>
      </c>
      <c r="DI30" s="236">
        <f>CQ30+CZ30</f>
        <v/>
      </c>
      <c r="DJ30" s="236">
        <f>DH30+DI30</f>
        <v/>
      </c>
      <c r="DK30" s="236">
        <f>CS30+DB30</f>
        <v/>
      </c>
      <c r="DL30" s="236">
        <f>CT30+DC30</f>
        <v/>
      </c>
      <c r="DM30" s="236">
        <f>DK30+DL30</f>
        <v/>
      </c>
      <c r="DN30" s="239">
        <f>DM30-DJ30</f>
        <v/>
      </c>
      <c r="DO30" s="237">
        <f>IF(DJ30=0,"",DM30/DJ30)</f>
        <v/>
      </c>
      <c r="DP30" s="33" t="n"/>
      <c r="DQ30" s="233" t="n"/>
      <c r="DR30" s="233" t="n"/>
      <c r="DS30" s="233">
        <f>DQ30+DR30</f>
        <v/>
      </c>
      <c r="DT30" s="233" t="n"/>
      <c r="DU30" s="233" t="n"/>
      <c r="DV30" s="233">
        <f>DT30+DU30</f>
        <v/>
      </c>
      <c r="DW30" s="238">
        <f>DV30-DS30</f>
        <v/>
      </c>
      <c r="DX30" s="235">
        <f>IF(DS30=0,"",DV30/DS30)</f>
        <v/>
      </c>
      <c r="DY30" s="26" t="n"/>
      <c r="DZ30" s="236">
        <f>DH30+DQ30</f>
        <v/>
      </c>
      <c r="EA30" s="236">
        <f>DI30+DR30</f>
        <v/>
      </c>
      <c r="EB30" s="236">
        <f>DZ30+EA30</f>
        <v/>
      </c>
      <c r="EC30" s="236">
        <f>DK30+DT30</f>
        <v/>
      </c>
      <c r="ED30" s="236">
        <f>DL30+DU30</f>
        <v/>
      </c>
      <c r="EE30" s="236">
        <f>EC30+ED30</f>
        <v/>
      </c>
      <c r="EF30" s="239">
        <f>EE30-EB30</f>
        <v/>
      </c>
      <c r="EG30" s="237">
        <f>IF(EB30=0,"",EE30/EB30)</f>
        <v/>
      </c>
      <c r="EH30" s="33" t="n"/>
      <c r="EI30" s="233" t="n"/>
      <c r="EJ30" s="233" t="n"/>
      <c r="EK30" s="233">
        <f>EI30+EJ30</f>
        <v/>
      </c>
      <c r="EL30" s="233" t="n"/>
      <c r="EM30" s="233" t="n"/>
      <c r="EN30" s="233">
        <f>EL30+EM30</f>
        <v/>
      </c>
      <c r="EO30" s="238">
        <f>EN30-EK30</f>
        <v/>
      </c>
      <c r="EP30" s="235">
        <f>IF(EK30=0,"",EN30/EK30)</f>
        <v/>
      </c>
      <c r="EQ30" s="26" t="n"/>
      <c r="ER30" s="236">
        <f>DZ30+EI30</f>
        <v/>
      </c>
      <c r="ES30" s="236">
        <f>EA30+EJ30</f>
        <v/>
      </c>
      <c r="ET30" s="236">
        <f>ER30+ES30</f>
        <v/>
      </c>
      <c r="EU30" s="236">
        <f>EC30+EL30</f>
        <v/>
      </c>
      <c r="EV30" s="236">
        <f>ED30+EM30</f>
        <v/>
      </c>
      <c r="EW30" s="236">
        <f>EU30+EV30</f>
        <v/>
      </c>
      <c r="EX30" s="239">
        <f>EW30-ET30</f>
        <v/>
      </c>
      <c r="EY30" s="237">
        <f>IF(ET30=0,"",EW30/ET30)</f>
        <v/>
      </c>
      <c r="EZ30" s="33" t="n"/>
      <c r="FA30" s="233" t="n"/>
      <c r="FB30" s="233" t="n"/>
      <c r="FC30" s="233">
        <f>FA30+FB30</f>
        <v/>
      </c>
      <c r="FD30" s="233" t="n"/>
      <c r="FE30" s="233" t="n"/>
      <c r="FF30" s="233">
        <f>FD30+FE30</f>
        <v/>
      </c>
      <c r="FG30" s="238">
        <f>FF30-FC30</f>
        <v/>
      </c>
      <c r="FH30" s="235">
        <f>IF(FC30=0,"",FF30/FC30)</f>
        <v/>
      </c>
      <c r="FI30" s="26" t="n"/>
      <c r="FJ30" s="236">
        <f>ER30+FA30</f>
        <v/>
      </c>
      <c r="FK30" s="236">
        <f>ES30+FB30</f>
        <v/>
      </c>
      <c r="FL30" s="236">
        <f>FJ30+FK30</f>
        <v/>
      </c>
      <c r="FM30" s="236">
        <f>EU30+FD30</f>
        <v/>
      </c>
      <c r="FN30" s="236">
        <f>EV30+FE30</f>
        <v/>
      </c>
      <c r="FO30" s="236">
        <f>FM30+FN30</f>
        <v/>
      </c>
      <c r="FP30" s="239">
        <f>FO30-FL30</f>
        <v/>
      </c>
      <c r="FQ30" s="237">
        <f>IF(FL30=0,"",FO30/FL30)</f>
        <v/>
      </c>
      <c r="FR30" s="33" t="n"/>
      <c r="FS30" s="233" t="n"/>
      <c r="FT30" s="233" t="n"/>
      <c r="FU30" s="233">
        <f>FS30+FT30</f>
        <v/>
      </c>
      <c r="FV30" s="233" t="n"/>
      <c r="FW30" s="233" t="n"/>
      <c r="FX30" s="233">
        <f>FV30+FW30</f>
        <v/>
      </c>
      <c r="FY30" s="238">
        <f>FX30-FU30</f>
        <v/>
      </c>
      <c r="FZ30" s="235">
        <f>IF(FU30=0,"",FX30/FU30)</f>
        <v/>
      </c>
      <c r="GA30" s="26" t="n"/>
      <c r="GB30" s="236">
        <f>FJ30+FS30</f>
        <v/>
      </c>
      <c r="GC30" s="236">
        <f>FK30+FT30</f>
        <v/>
      </c>
      <c r="GD30" s="236">
        <f>GB30+GC30</f>
        <v/>
      </c>
      <c r="GE30" s="236">
        <f>FM30+FV30</f>
        <v/>
      </c>
      <c r="GF30" s="236">
        <f>FN30+FW30</f>
        <v/>
      </c>
      <c r="GG30" s="236">
        <f>GE30+GF30</f>
        <v/>
      </c>
      <c r="GH30" s="239">
        <f>GG30-GD30</f>
        <v/>
      </c>
      <c r="GI30" s="237">
        <f>IF(GD30=0,"",GG30/GD30)</f>
        <v/>
      </c>
      <c r="GJ30" s="33" t="n"/>
      <c r="GK30" s="233" t="n"/>
      <c r="GL30" s="233" t="n"/>
      <c r="GM30" s="233">
        <f>GK30+GL30</f>
        <v/>
      </c>
      <c r="GN30" s="233" t="n"/>
      <c r="GO30" s="233" t="n"/>
      <c r="GP30" s="233">
        <f>GN30+GO30</f>
        <v/>
      </c>
      <c r="GQ30" s="238">
        <f>GP30-GM30</f>
        <v/>
      </c>
      <c r="GR30" s="235">
        <f>IF(GM30=0,"",GP30/GM30)</f>
        <v/>
      </c>
      <c r="GS30" s="26" t="n"/>
      <c r="GT30" s="236">
        <f>GB30+GK30</f>
        <v/>
      </c>
      <c r="GU30" s="236">
        <f>GC30+GL30</f>
        <v/>
      </c>
      <c r="GV30" s="236">
        <f>GT30+GU30</f>
        <v/>
      </c>
      <c r="GW30" s="236">
        <f>GE30+GN30</f>
        <v/>
      </c>
      <c r="GX30" s="236">
        <f>GF30+GO30</f>
        <v/>
      </c>
      <c r="GY30" s="236">
        <f>GW30+GX30</f>
        <v/>
      </c>
      <c r="GZ30" s="239">
        <f>GY30-GV30</f>
        <v/>
      </c>
      <c r="HA30" s="237">
        <f>IF(GV30=0,"",GY30/GV30)</f>
        <v/>
      </c>
      <c r="HB30" s="33" t="n"/>
      <c r="HC30" s="233">
        <f>GT30</f>
        <v/>
      </c>
      <c r="HD30" s="233">
        <f>GU30</f>
        <v/>
      </c>
      <c r="HE30" s="233">
        <f>HC30+HD30</f>
        <v/>
      </c>
    </row>
    <row r="31" outlineLevel="1" ht="15" customHeight="1" s="150">
      <c r="A31" s="26" t="n"/>
      <c r="B31" s="26" t="n"/>
      <c r="C31" s="26" t="n"/>
      <c r="D31" s="233" t="n"/>
      <c r="E31" s="233" t="n"/>
      <c r="F31" s="233">
        <f>D31+E31</f>
        <v/>
      </c>
      <c r="G31" s="233" t="n"/>
      <c r="H31" s="233" t="n"/>
      <c r="I31" s="233">
        <f>G31+H31</f>
        <v/>
      </c>
      <c r="J31" s="238">
        <f>I31-F31</f>
        <v/>
      </c>
      <c r="K31" s="235">
        <f>IF(F31=0,"",I31/F31)</f>
        <v/>
      </c>
      <c r="L31" s="26" t="n"/>
      <c r="M31" s="233" t="n"/>
      <c r="N31" s="233" t="n"/>
      <c r="O31" s="233">
        <f>M31+N31</f>
        <v/>
      </c>
      <c r="P31" s="233" t="n"/>
      <c r="Q31" s="233" t="n"/>
      <c r="R31" s="233">
        <f>P31+Q31</f>
        <v/>
      </c>
      <c r="S31" s="238">
        <f>R31-O31</f>
        <v/>
      </c>
      <c r="T31" s="235">
        <f>IF(O31=0,"",R31/O31)</f>
        <v/>
      </c>
      <c r="U31" s="26" t="n"/>
      <c r="V31" s="236">
        <f>D31+M31</f>
        <v/>
      </c>
      <c r="W31" s="236">
        <f>E31+N31</f>
        <v/>
      </c>
      <c r="X31" s="236">
        <f>V31+W31</f>
        <v/>
      </c>
      <c r="Y31" s="236">
        <f>G31+P31</f>
        <v/>
      </c>
      <c r="Z31" s="236">
        <f>H31+Q31</f>
        <v/>
      </c>
      <c r="AA31" s="236">
        <f>Y31+Z31</f>
        <v/>
      </c>
      <c r="AB31" s="239">
        <f>AA31-X31</f>
        <v/>
      </c>
      <c r="AC31" s="237">
        <f>IF(X31=0,"",AA31/X31)</f>
        <v/>
      </c>
      <c r="AD31" s="33" t="n"/>
      <c r="AE31" s="233" t="n"/>
      <c r="AF31" s="233" t="n"/>
      <c r="AG31" s="233">
        <f>AE31+AF31</f>
        <v/>
      </c>
      <c r="AH31" s="233" t="n"/>
      <c r="AI31" s="233" t="n"/>
      <c r="AJ31" s="233">
        <f>AH31+AI31</f>
        <v/>
      </c>
      <c r="AK31" s="238">
        <f>AJ31-AG31</f>
        <v/>
      </c>
      <c r="AL31" s="235">
        <f>IF(AG31=0,"",AJ31/AG31)</f>
        <v/>
      </c>
      <c r="AM31" s="26" t="n"/>
      <c r="AN31" s="236">
        <f>V31+AE31</f>
        <v/>
      </c>
      <c r="AO31" s="236">
        <f>W31+AF31</f>
        <v/>
      </c>
      <c r="AP31" s="236">
        <f>AN31+AO31</f>
        <v/>
      </c>
      <c r="AQ31" s="236">
        <f>Y31+AH31</f>
        <v/>
      </c>
      <c r="AR31" s="236">
        <f>Z31+AI31</f>
        <v/>
      </c>
      <c r="AS31" s="236">
        <f>AQ31+AR31</f>
        <v/>
      </c>
      <c r="AT31" s="239">
        <f>AS31-AP31</f>
        <v/>
      </c>
      <c r="AU31" s="237">
        <f>IF(AP31=0,"",AS31/AP31)</f>
        <v/>
      </c>
      <c r="AV31" s="33" t="n"/>
      <c r="AW31" s="233" t="n"/>
      <c r="AX31" s="233" t="n"/>
      <c r="AY31" s="233">
        <f>AW31+AX31</f>
        <v/>
      </c>
      <c r="AZ31" s="233" t="n"/>
      <c r="BA31" s="233" t="n"/>
      <c r="BB31" s="233">
        <f>AZ31+BA31</f>
        <v/>
      </c>
      <c r="BC31" s="238">
        <f>BB31-AY31</f>
        <v/>
      </c>
      <c r="BD31" s="235">
        <f>IF(AY31=0,"",BB31/AY31)</f>
        <v/>
      </c>
      <c r="BE31" s="26" t="n"/>
      <c r="BF31" s="236">
        <f>AN31+AW31</f>
        <v/>
      </c>
      <c r="BG31" s="236">
        <f>AO31+AX31</f>
        <v/>
      </c>
      <c r="BH31" s="236">
        <f>BF31+BG31</f>
        <v/>
      </c>
      <c r="BI31" s="236">
        <f>AQ31+AZ31</f>
        <v/>
      </c>
      <c r="BJ31" s="236">
        <f>AR31+BA31</f>
        <v/>
      </c>
      <c r="BK31" s="236">
        <f>BI31+BJ31</f>
        <v/>
      </c>
      <c r="BL31" s="239">
        <f>BK31-BH31</f>
        <v/>
      </c>
      <c r="BM31" s="237">
        <f>IF(BH31=0,"",BK31/BH31)</f>
        <v/>
      </c>
      <c r="BN31" s="33" t="n"/>
      <c r="BO31" s="233" t="n"/>
      <c r="BP31" s="233" t="n"/>
      <c r="BQ31" s="233">
        <f>BO31+BP31</f>
        <v/>
      </c>
      <c r="BR31" s="233" t="n"/>
      <c r="BS31" s="233" t="n"/>
      <c r="BT31" s="233">
        <f>BR31+BS31</f>
        <v/>
      </c>
      <c r="BU31" s="238">
        <f>BT31-BQ31</f>
        <v/>
      </c>
      <c r="BV31" s="235">
        <f>IF(BQ31=0,"",BT31/BQ31)</f>
        <v/>
      </c>
      <c r="BW31" s="26" t="n"/>
      <c r="BX31" s="236">
        <f>BF31+BO31</f>
        <v/>
      </c>
      <c r="BY31" s="236">
        <f>BG31+BP31</f>
        <v/>
      </c>
      <c r="BZ31" s="236">
        <f>BX31+BY31</f>
        <v/>
      </c>
      <c r="CA31" s="236">
        <f>BI31+BR31</f>
        <v/>
      </c>
      <c r="CB31" s="236">
        <f>BJ31+BS31</f>
        <v/>
      </c>
      <c r="CC31" s="236">
        <f>CA31+CB31</f>
        <v/>
      </c>
      <c r="CD31" s="239">
        <f>CC31-BZ31</f>
        <v/>
      </c>
      <c r="CE31" s="237">
        <f>IF(BZ31=0,"",CC31/BZ31)</f>
        <v/>
      </c>
      <c r="CF31" s="33" t="n"/>
      <c r="CG31" s="233" t="n"/>
      <c r="CH31" s="233" t="n"/>
      <c r="CI31" s="233">
        <f>CG31+CH31</f>
        <v/>
      </c>
      <c r="CJ31" s="233" t="n"/>
      <c r="CK31" s="233" t="n"/>
      <c r="CL31" s="233">
        <f>CJ31+CK31</f>
        <v/>
      </c>
      <c r="CM31" s="238">
        <f>CL31-CI31</f>
        <v/>
      </c>
      <c r="CN31" s="235">
        <f>IF(CI31=0,"",CL31/CI31)</f>
        <v/>
      </c>
      <c r="CO31" s="26" t="n"/>
      <c r="CP31" s="236">
        <f>BX31+CG31</f>
        <v/>
      </c>
      <c r="CQ31" s="236">
        <f>BY31+CH31</f>
        <v/>
      </c>
      <c r="CR31" s="236">
        <f>CP31+CQ31</f>
        <v/>
      </c>
      <c r="CS31" s="236">
        <f>CA31+CJ31</f>
        <v/>
      </c>
      <c r="CT31" s="236">
        <f>CB31+CK31</f>
        <v/>
      </c>
      <c r="CU31" s="236">
        <f>CS31+CT31</f>
        <v/>
      </c>
      <c r="CV31" s="239">
        <f>CU31-CR31</f>
        <v/>
      </c>
      <c r="CW31" s="237">
        <f>IF(CR31=0,"",CU31/CR31)</f>
        <v/>
      </c>
      <c r="CX31" s="33" t="n"/>
      <c r="CY31" s="233" t="n"/>
      <c r="CZ31" s="233" t="n"/>
      <c r="DA31" s="233">
        <f>CY31+CZ31</f>
        <v/>
      </c>
      <c r="DB31" s="233" t="n"/>
      <c r="DC31" s="233" t="n"/>
      <c r="DD31" s="233">
        <f>DB31+DC31</f>
        <v/>
      </c>
      <c r="DE31" s="238">
        <f>DD31-DA31</f>
        <v/>
      </c>
      <c r="DF31" s="235">
        <f>IF(DA31=0,"",DD31/DA31)</f>
        <v/>
      </c>
      <c r="DG31" s="26" t="n"/>
      <c r="DH31" s="236">
        <f>CP31+CY31</f>
        <v/>
      </c>
      <c r="DI31" s="236">
        <f>CQ31+CZ31</f>
        <v/>
      </c>
      <c r="DJ31" s="236">
        <f>DH31+DI31</f>
        <v/>
      </c>
      <c r="DK31" s="236">
        <f>CS31+DB31</f>
        <v/>
      </c>
      <c r="DL31" s="236">
        <f>CT31+DC31</f>
        <v/>
      </c>
      <c r="DM31" s="236">
        <f>DK31+DL31</f>
        <v/>
      </c>
      <c r="DN31" s="239">
        <f>DM31-DJ31</f>
        <v/>
      </c>
      <c r="DO31" s="237">
        <f>IF(DJ31=0,"",DM31/DJ31)</f>
        <v/>
      </c>
      <c r="DP31" s="33" t="n"/>
      <c r="DQ31" s="233" t="n"/>
      <c r="DR31" s="233" t="n"/>
      <c r="DS31" s="233">
        <f>DQ31+DR31</f>
        <v/>
      </c>
      <c r="DT31" s="233" t="n"/>
      <c r="DU31" s="233" t="n"/>
      <c r="DV31" s="233">
        <f>DT31+DU31</f>
        <v/>
      </c>
      <c r="DW31" s="238">
        <f>DV31-DS31</f>
        <v/>
      </c>
      <c r="DX31" s="235">
        <f>IF(DS31=0,"",DV31/DS31)</f>
        <v/>
      </c>
      <c r="DY31" s="26" t="n"/>
      <c r="DZ31" s="236">
        <f>DH31+DQ31</f>
        <v/>
      </c>
      <c r="EA31" s="236">
        <f>DI31+DR31</f>
        <v/>
      </c>
      <c r="EB31" s="236">
        <f>DZ31+EA31</f>
        <v/>
      </c>
      <c r="EC31" s="236">
        <f>DK31+DT31</f>
        <v/>
      </c>
      <c r="ED31" s="236">
        <f>DL31+DU31</f>
        <v/>
      </c>
      <c r="EE31" s="236">
        <f>EC31+ED31</f>
        <v/>
      </c>
      <c r="EF31" s="239">
        <f>EE31-EB31</f>
        <v/>
      </c>
      <c r="EG31" s="237">
        <f>IF(EB31=0,"",EE31/EB31)</f>
        <v/>
      </c>
      <c r="EH31" s="33" t="n"/>
      <c r="EI31" s="233" t="n"/>
      <c r="EJ31" s="233" t="n"/>
      <c r="EK31" s="233">
        <f>EI31+EJ31</f>
        <v/>
      </c>
      <c r="EL31" s="233" t="n"/>
      <c r="EM31" s="233" t="n"/>
      <c r="EN31" s="233">
        <f>EL31+EM31</f>
        <v/>
      </c>
      <c r="EO31" s="238">
        <f>EN31-EK31</f>
        <v/>
      </c>
      <c r="EP31" s="235">
        <f>IF(EK31=0,"",EN31/EK31)</f>
        <v/>
      </c>
      <c r="EQ31" s="26" t="n"/>
      <c r="ER31" s="236">
        <f>DZ31+EI31</f>
        <v/>
      </c>
      <c r="ES31" s="236">
        <f>EA31+EJ31</f>
        <v/>
      </c>
      <c r="ET31" s="236">
        <f>ER31+ES31</f>
        <v/>
      </c>
      <c r="EU31" s="236">
        <f>EC31+EL31</f>
        <v/>
      </c>
      <c r="EV31" s="236">
        <f>ED31+EM31</f>
        <v/>
      </c>
      <c r="EW31" s="236">
        <f>EU31+EV31</f>
        <v/>
      </c>
      <c r="EX31" s="239">
        <f>EW31-ET31</f>
        <v/>
      </c>
      <c r="EY31" s="237">
        <f>IF(ET31=0,"",EW31/ET31)</f>
        <v/>
      </c>
      <c r="EZ31" s="33" t="n"/>
      <c r="FA31" s="233" t="n"/>
      <c r="FB31" s="233" t="n"/>
      <c r="FC31" s="233">
        <f>FA31+FB31</f>
        <v/>
      </c>
      <c r="FD31" s="233" t="n"/>
      <c r="FE31" s="233" t="n"/>
      <c r="FF31" s="233">
        <f>FD31+FE31</f>
        <v/>
      </c>
      <c r="FG31" s="238">
        <f>FF31-FC31</f>
        <v/>
      </c>
      <c r="FH31" s="235">
        <f>IF(FC31=0,"",FF31/FC31)</f>
        <v/>
      </c>
      <c r="FI31" s="26" t="n"/>
      <c r="FJ31" s="236">
        <f>ER31+FA31</f>
        <v/>
      </c>
      <c r="FK31" s="236">
        <f>ES31+FB31</f>
        <v/>
      </c>
      <c r="FL31" s="236">
        <f>FJ31+FK31</f>
        <v/>
      </c>
      <c r="FM31" s="236">
        <f>EU31+FD31</f>
        <v/>
      </c>
      <c r="FN31" s="236">
        <f>EV31+FE31</f>
        <v/>
      </c>
      <c r="FO31" s="236">
        <f>FM31+FN31</f>
        <v/>
      </c>
      <c r="FP31" s="239">
        <f>FO31-FL31</f>
        <v/>
      </c>
      <c r="FQ31" s="237">
        <f>IF(FL31=0,"",FO31/FL31)</f>
        <v/>
      </c>
      <c r="FR31" s="33" t="n"/>
      <c r="FS31" s="233" t="n"/>
      <c r="FT31" s="233" t="n"/>
      <c r="FU31" s="233">
        <f>FS31+FT31</f>
        <v/>
      </c>
      <c r="FV31" s="233" t="n"/>
      <c r="FW31" s="233" t="n"/>
      <c r="FX31" s="233">
        <f>FV31+FW31</f>
        <v/>
      </c>
      <c r="FY31" s="238">
        <f>FX31-FU31</f>
        <v/>
      </c>
      <c r="FZ31" s="235">
        <f>IF(FU31=0,"",FX31/FU31)</f>
        <v/>
      </c>
      <c r="GA31" s="26" t="n"/>
      <c r="GB31" s="236">
        <f>FJ31+FS31</f>
        <v/>
      </c>
      <c r="GC31" s="236">
        <f>FK31+FT31</f>
        <v/>
      </c>
      <c r="GD31" s="236">
        <f>GB31+GC31</f>
        <v/>
      </c>
      <c r="GE31" s="236">
        <f>FM31+FV31</f>
        <v/>
      </c>
      <c r="GF31" s="236">
        <f>FN31+FW31</f>
        <v/>
      </c>
      <c r="GG31" s="236">
        <f>GE31+GF31</f>
        <v/>
      </c>
      <c r="GH31" s="239">
        <f>GG31-GD31</f>
        <v/>
      </c>
      <c r="GI31" s="237">
        <f>IF(GD31=0,"",GG31/GD31)</f>
        <v/>
      </c>
      <c r="GJ31" s="33" t="n"/>
      <c r="GK31" s="233" t="n"/>
      <c r="GL31" s="233" t="n"/>
      <c r="GM31" s="233">
        <f>GK31+GL31</f>
        <v/>
      </c>
      <c r="GN31" s="233" t="n"/>
      <c r="GO31" s="233" t="n"/>
      <c r="GP31" s="233">
        <f>GN31+GO31</f>
        <v/>
      </c>
      <c r="GQ31" s="238">
        <f>GP31-GM31</f>
        <v/>
      </c>
      <c r="GR31" s="235">
        <f>IF(GM31=0,"",GP31/GM31)</f>
        <v/>
      </c>
      <c r="GS31" s="26" t="n"/>
      <c r="GT31" s="236">
        <f>GB31+GK31</f>
        <v/>
      </c>
      <c r="GU31" s="236">
        <f>GC31+GL31</f>
        <v/>
      </c>
      <c r="GV31" s="236">
        <f>GT31+GU31</f>
        <v/>
      </c>
      <c r="GW31" s="236">
        <f>GE31+GN31</f>
        <v/>
      </c>
      <c r="GX31" s="236">
        <f>GF31+GO31</f>
        <v/>
      </c>
      <c r="GY31" s="236">
        <f>GW31+GX31</f>
        <v/>
      </c>
      <c r="GZ31" s="239">
        <f>GY31-GV31</f>
        <v/>
      </c>
      <c r="HA31" s="237">
        <f>IF(GV31=0,"",GY31/GV31)</f>
        <v/>
      </c>
      <c r="HB31" s="33" t="n"/>
      <c r="HC31" s="233">
        <f>GT31</f>
        <v/>
      </c>
      <c r="HD31" s="233">
        <f>GU31</f>
        <v/>
      </c>
      <c r="HE31" s="233">
        <f>HC31+HD31</f>
        <v/>
      </c>
    </row>
    <row r="32" outlineLevel="1" ht="15" customHeight="1" s="150">
      <c r="A32" s="26" t="n"/>
      <c r="B32" s="26" t="n"/>
      <c r="C32" s="26" t="n"/>
      <c r="D32" s="233" t="n"/>
      <c r="E32" s="233" t="n"/>
      <c r="F32" s="233">
        <f>D32+E32</f>
        <v/>
      </c>
      <c r="G32" s="233" t="n"/>
      <c r="H32" s="233" t="n"/>
      <c r="I32" s="233">
        <f>G32+H32</f>
        <v/>
      </c>
      <c r="J32" s="238">
        <f>I32-F32</f>
        <v/>
      </c>
      <c r="K32" s="235">
        <f>IF(F32=0,"",I32/F32)</f>
        <v/>
      </c>
      <c r="L32" s="26" t="n"/>
      <c r="M32" s="233" t="n"/>
      <c r="N32" s="233" t="n"/>
      <c r="O32" s="233">
        <f>M32+N32</f>
        <v/>
      </c>
      <c r="P32" s="233" t="n"/>
      <c r="Q32" s="233" t="n"/>
      <c r="R32" s="233">
        <f>P32+Q32</f>
        <v/>
      </c>
      <c r="S32" s="234">
        <f>R32-O32</f>
        <v/>
      </c>
      <c r="T32" s="235">
        <f>IF(O32=0,"",R32/O32)</f>
        <v/>
      </c>
      <c r="U32" s="26" t="n"/>
      <c r="V32" s="236">
        <f>D32+M32</f>
        <v/>
      </c>
      <c r="W32" s="236">
        <f>E32+N32</f>
        <v/>
      </c>
      <c r="X32" s="236">
        <f>V32+W32</f>
        <v/>
      </c>
      <c r="Y32" s="236">
        <f>G32+P32</f>
        <v/>
      </c>
      <c r="Z32" s="236">
        <f>H32+Q32</f>
        <v/>
      </c>
      <c r="AA32" s="236">
        <f>Y32+Z32</f>
        <v/>
      </c>
      <c r="AB32" s="234">
        <f>AA32-X32</f>
        <v/>
      </c>
      <c r="AC32" s="237">
        <f>IF(X32=0,"",AA32/X32)</f>
        <v/>
      </c>
      <c r="AD32" s="33" t="n"/>
      <c r="AE32" s="233" t="n"/>
      <c r="AF32" s="233" t="n"/>
      <c r="AG32" s="233">
        <f>AE32+AF32</f>
        <v/>
      </c>
      <c r="AH32" s="233" t="n"/>
      <c r="AI32" s="233" t="n"/>
      <c r="AJ32" s="233">
        <f>AH32+AI32</f>
        <v/>
      </c>
      <c r="AK32" s="234">
        <f>AJ32-AG32</f>
        <v/>
      </c>
      <c r="AL32" s="235">
        <f>IF(AG32=0,"",AJ32/AG32)</f>
        <v/>
      </c>
      <c r="AM32" s="26" t="n"/>
      <c r="AN32" s="236">
        <f>V32+AE32</f>
        <v/>
      </c>
      <c r="AO32" s="236">
        <f>W32+AF32</f>
        <v/>
      </c>
      <c r="AP32" s="236">
        <f>AN32+AO32</f>
        <v/>
      </c>
      <c r="AQ32" s="236">
        <f>Y32+AH32</f>
        <v/>
      </c>
      <c r="AR32" s="236">
        <f>Z32+AI32</f>
        <v/>
      </c>
      <c r="AS32" s="236">
        <f>AQ32+AR32</f>
        <v/>
      </c>
      <c r="AT32" s="234">
        <f>AS32-AP32</f>
        <v/>
      </c>
      <c r="AU32" s="237">
        <f>IF(AP32=0,"",AS32/AP32)</f>
        <v/>
      </c>
      <c r="AV32" s="33" t="n"/>
      <c r="AW32" s="233" t="n"/>
      <c r="AX32" s="233" t="n"/>
      <c r="AY32" s="233">
        <f>AW32+AX32</f>
        <v/>
      </c>
      <c r="AZ32" s="233" t="n"/>
      <c r="BA32" s="233" t="n"/>
      <c r="BB32" s="233">
        <f>AZ32+BA32</f>
        <v/>
      </c>
      <c r="BC32" s="238">
        <f>BB32-AY32</f>
        <v/>
      </c>
      <c r="BD32" s="235">
        <f>IF(AY32=0,"",BB32/AY32)</f>
        <v/>
      </c>
      <c r="BE32" s="26" t="n"/>
      <c r="BF32" s="236">
        <f>AN32+AW32</f>
        <v/>
      </c>
      <c r="BG32" s="236">
        <f>AO32+AX32</f>
        <v/>
      </c>
      <c r="BH32" s="236">
        <f>BF32+BG32</f>
        <v/>
      </c>
      <c r="BI32" s="236">
        <f>AQ32+AZ32</f>
        <v/>
      </c>
      <c r="BJ32" s="236">
        <f>AR32+BA32</f>
        <v/>
      </c>
      <c r="BK32" s="236">
        <f>BI32+BJ32</f>
        <v/>
      </c>
      <c r="BL32" s="239">
        <f>BK32-BH32</f>
        <v/>
      </c>
      <c r="BM32" s="237">
        <f>IF(BH32=0,"",BK32/BH32)</f>
        <v/>
      </c>
      <c r="BN32" s="33" t="n"/>
      <c r="BO32" s="233" t="n"/>
      <c r="BP32" s="233" t="n"/>
      <c r="BQ32" s="233">
        <f>BO32+BP32</f>
        <v/>
      </c>
      <c r="BR32" s="233" t="n"/>
      <c r="BS32" s="233" t="n"/>
      <c r="BT32" s="233">
        <f>BR32+BS32</f>
        <v/>
      </c>
      <c r="BU32" s="238">
        <f>BT32-BQ32</f>
        <v/>
      </c>
      <c r="BV32" s="235">
        <f>IF(BQ32=0,"",BT32/BQ32)</f>
        <v/>
      </c>
      <c r="BW32" s="26" t="n"/>
      <c r="BX32" s="236">
        <f>BF32+BO32</f>
        <v/>
      </c>
      <c r="BY32" s="236">
        <f>BG32+BP32</f>
        <v/>
      </c>
      <c r="BZ32" s="236">
        <f>BX32+BY32</f>
        <v/>
      </c>
      <c r="CA32" s="236">
        <f>BI32+BR32</f>
        <v/>
      </c>
      <c r="CB32" s="236">
        <f>BJ32+BS32</f>
        <v/>
      </c>
      <c r="CC32" s="236">
        <f>CA32+CB32</f>
        <v/>
      </c>
      <c r="CD32" s="239">
        <f>CC32-BZ32</f>
        <v/>
      </c>
      <c r="CE32" s="237">
        <f>IF(BZ32=0,"",CC32/BZ32)</f>
        <v/>
      </c>
      <c r="CF32" s="33" t="n"/>
      <c r="CG32" s="233" t="n"/>
      <c r="CH32" s="233" t="n"/>
      <c r="CI32" s="233">
        <f>CG32+CH32</f>
        <v/>
      </c>
      <c r="CJ32" s="233" t="n"/>
      <c r="CK32" s="233" t="n"/>
      <c r="CL32" s="233">
        <f>CJ32+CK32</f>
        <v/>
      </c>
      <c r="CM32" s="238">
        <f>CL32-CI32</f>
        <v/>
      </c>
      <c r="CN32" s="235">
        <f>IF(CI32=0,"",CL32/CI32)</f>
        <v/>
      </c>
      <c r="CO32" s="26" t="n"/>
      <c r="CP32" s="236">
        <f>BX32+CG32</f>
        <v/>
      </c>
      <c r="CQ32" s="236">
        <f>BY32+CH32</f>
        <v/>
      </c>
      <c r="CR32" s="236">
        <f>CP32+CQ32</f>
        <v/>
      </c>
      <c r="CS32" s="236">
        <f>CA32+CJ32</f>
        <v/>
      </c>
      <c r="CT32" s="236">
        <f>CB32+CK32</f>
        <v/>
      </c>
      <c r="CU32" s="236">
        <f>CS32+CT32</f>
        <v/>
      </c>
      <c r="CV32" s="239">
        <f>CU32-CR32</f>
        <v/>
      </c>
      <c r="CW32" s="237">
        <f>IF(CR32=0,"",CU32/CR32)</f>
        <v/>
      </c>
      <c r="CX32" s="33" t="n"/>
      <c r="CY32" s="233" t="n"/>
      <c r="CZ32" s="233" t="n"/>
      <c r="DA32" s="233">
        <f>CY32+CZ32</f>
        <v/>
      </c>
      <c r="DB32" s="233" t="n"/>
      <c r="DC32" s="233" t="n"/>
      <c r="DD32" s="233">
        <f>DB32+DC32</f>
        <v/>
      </c>
      <c r="DE32" s="238">
        <f>DD32-DA32</f>
        <v/>
      </c>
      <c r="DF32" s="235">
        <f>IF(DA32=0,"",DD32/DA32)</f>
        <v/>
      </c>
      <c r="DG32" s="26" t="n"/>
      <c r="DH32" s="236">
        <f>CP32+CY32</f>
        <v/>
      </c>
      <c r="DI32" s="236">
        <f>CQ32+CZ32</f>
        <v/>
      </c>
      <c r="DJ32" s="236">
        <f>DH32+DI32</f>
        <v/>
      </c>
      <c r="DK32" s="236">
        <f>CS32+DB32</f>
        <v/>
      </c>
      <c r="DL32" s="236">
        <f>CT32+DC32</f>
        <v/>
      </c>
      <c r="DM32" s="236">
        <f>DK32+DL32</f>
        <v/>
      </c>
      <c r="DN32" s="239">
        <f>DM32-DJ32</f>
        <v/>
      </c>
      <c r="DO32" s="237">
        <f>IF(DJ32=0,"",DM32/DJ32)</f>
        <v/>
      </c>
      <c r="DP32" s="33" t="n"/>
      <c r="DQ32" s="233" t="n"/>
      <c r="DR32" s="233" t="n"/>
      <c r="DS32" s="233">
        <f>DQ32+DR32</f>
        <v/>
      </c>
      <c r="DT32" s="233" t="n"/>
      <c r="DU32" s="233" t="n"/>
      <c r="DV32" s="233">
        <f>DT32+DU32</f>
        <v/>
      </c>
      <c r="DW32" s="238">
        <f>DV32-DS32</f>
        <v/>
      </c>
      <c r="DX32" s="235">
        <f>IF(DS32=0,"",DV32/DS32)</f>
        <v/>
      </c>
      <c r="DY32" s="26" t="n"/>
      <c r="DZ32" s="236">
        <f>DH32+DQ32</f>
        <v/>
      </c>
      <c r="EA32" s="236">
        <f>DI32+DR32</f>
        <v/>
      </c>
      <c r="EB32" s="236">
        <f>DZ32+EA32</f>
        <v/>
      </c>
      <c r="EC32" s="236">
        <f>DK32+DT32</f>
        <v/>
      </c>
      <c r="ED32" s="236">
        <f>DL32+DU32</f>
        <v/>
      </c>
      <c r="EE32" s="236">
        <f>EC32+ED32</f>
        <v/>
      </c>
      <c r="EF32" s="239">
        <f>EE32-EB32</f>
        <v/>
      </c>
      <c r="EG32" s="237">
        <f>IF(EB32=0,"",EE32/EB32)</f>
        <v/>
      </c>
      <c r="EH32" s="33" t="n"/>
      <c r="EI32" s="233" t="n"/>
      <c r="EJ32" s="233" t="n"/>
      <c r="EK32" s="233">
        <f>EI32+EJ32</f>
        <v/>
      </c>
      <c r="EL32" s="233" t="n"/>
      <c r="EM32" s="233" t="n"/>
      <c r="EN32" s="233">
        <f>EL32+EM32</f>
        <v/>
      </c>
      <c r="EO32" s="238">
        <f>EN32-EK32</f>
        <v/>
      </c>
      <c r="EP32" s="235">
        <f>IF(EK32=0,"",EN32/EK32)</f>
        <v/>
      </c>
      <c r="EQ32" s="26" t="n"/>
      <c r="ER32" s="236">
        <f>DZ32+EI32</f>
        <v/>
      </c>
      <c r="ES32" s="236">
        <f>EA32+EJ32</f>
        <v/>
      </c>
      <c r="ET32" s="236">
        <f>ER32+ES32</f>
        <v/>
      </c>
      <c r="EU32" s="236">
        <f>EC32+EL32</f>
        <v/>
      </c>
      <c r="EV32" s="236">
        <f>ED32+EM32</f>
        <v/>
      </c>
      <c r="EW32" s="236">
        <f>EU32+EV32</f>
        <v/>
      </c>
      <c r="EX32" s="239">
        <f>EW32-ET32</f>
        <v/>
      </c>
      <c r="EY32" s="237">
        <f>IF(ET32=0,"",EW32/ET32)</f>
        <v/>
      </c>
      <c r="EZ32" s="33" t="n"/>
      <c r="FA32" s="233" t="n"/>
      <c r="FB32" s="233" t="n"/>
      <c r="FC32" s="233">
        <f>FA32+FB32</f>
        <v/>
      </c>
      <c r="FD32" s="233" t="n"/>
      <c r="FE32" s="233" t="n"/>
      <c r="FF32" s="233">
        <f>FD32+FE32</f>
        <v/>
      </c>
      <c r="FG32" s="238">
        <f>FF32-FC32</f>
        <v/>
      </c>
      <c r="FH32" s="235">
        <f>IF(FC32=0,"",FF32/FC32)</f>
        <v/>
      </c>
      <c r="FI32" s="26" t="n"/>
      <c r="FJ32" s="236">
        <f>ER32+FA32</f>
        <v/>
      </c>
      <c r="FK32" s="236">
        <f>ES32+FB32</f>
        <v/>
      </c>
      <c r="FL32" s="236">
        <f>FJ32+FK32</f>
        <v/>
      </c>
      <c r="FM32" s="236">
        <f>EU32+FD32</f>
        <v/>
      </c>
      <c r="FN32" s="236">
        <f>EV32+FE32</f>
        <v/>
      </c>
      <c r="FO32" s="236">
        <f>FM32+FN32</f>
        <v/>
      </c>
      <c r="FP32" s="239">
        <f>FO32-FL32</f>
        <v/>
      </c>
      <c r="FQ32" s="237">
        <f>IF(FL32=0,"",FO32/FL32)</f>
        <v/>
      </c>
      <c r="FR32" s="33" t="n"/>
      <c r="FS32" s="233" t="n"/>
      <c r="FT32" s="233" t="n"/>
      <c r="FU32" s="233">
        <f>FS32+FT32</f>
        <v/>
      </c>
      <c r="FV32" s="233" t="n"/>
      <c r="FW32" s="233" t="n"/>
      <c r="FX32" s="233">
        <f>FV32+FW32</f>
        <v/>
      </c>
      <c r="FY32" s="238">
        <f>FX32-FU32</f>
        <v/>
      </c>
      <c r="FZ32" s="235">
        <f>IF(FU32=0,"",FX32/FU32)</f>
        <v/>
      </c>
      <c r="GA32" s="26" t="n"/>
      <c r="GB32" s="236">
        <f>FJ32+FS32</f>
        <v/>
      </c>
      <c r="GC32" s="236">
        <f>FK32+FT32</f>
        <v/>
      </c>
      <c r="GD32" s="236">
        <f>GB32+GC32</f>
        <v/>
      </c>
      <c r="GE32" s="236">
        <f>FM32+FV32</f>
        <v/>
      </c>
      <c r="GF32" s="236">
        <f>FN32+FW32</f>
        <v/>
      </c>
      <c r="GG32" s="236">
        <f>GE32+GF32</f>
        <v/>
      </c>
      <c r="GH32" s="239">
        <f>GG32-GD32</f>
        <v/>
      </c>
      <c r="GI32" s="237">
        <f>IF(GD32=0,"",GG32/GD32)</f>
        <v/>
      </c>
      <c r="GJ32" s="33" t="n"/>
      <c r="GK32" s="233" t="n"/>
      <c r="GL32" s="233" t="n"/>
      <c r="GM32" s="233">
        <f>GK32+GL32</f>
        <v/>
      </c>
      <c r="GN32" s="233" t="n"/>
      <c r="GO32" s="233" t="n"/>
      <c r="GP32" s="233">
        <f>GN32+GO32</f>
        <v/>
      </c>
      <c r="GQ32" s="238">
        <f>GP32-GM32</f>
        <v/>
      </c>
      <c r="GR32" s="235">
        <f>IF(GM32=0,"",GP32/GM32)</f>
        <v/>
      </c>
      <c r="GS32" s="26" t="n"/>
      <c r="GT32" s="236">
        <f>GB32+GK32</f>
        <v/>
      </c>
      <c r="GU32" s="236">
        <f>GC32+GL32</f>
        <v/>
      </c>
      <c r="GV32" s="236">
        <f>GT32+GU32</f>
        <v/>
      </c>
      <c r="GW32" s="236">
        <f>GE32+GN32</f>
        <v/>
      </c>
      <c r="GX32" s="236">
        <f>GF32+GO32</f>
        <v/>
      </c>
      <c r="GY32" s="236">
        <f>GW32+GX32</f>
        <v/>
      </c>
      <c r="GZ32" s="239">
        <f>GY32-GV32</f>
        <v/>
      </c>
      <c r="HA32" s="237">
        <f>IF(GV32=0,"",GY32/GV32)</f>
        <v/>
      </c>
      <c r="HB32" s="33" t="n"/>
      <c r="HC32" s="233">
        <f>GT32</f>
        <v/>
      </c>
      <c r="HD32" s="233">
        <f>GU32</f>
        <v/>
      </c>
      <c r="HE32" s="233">
        <f>HC32+HD32</f>
        <v/>
      </c>
    </row>
    <row r="33" outlineLevel="1" ht="15" customHeight="1" s="150">
      <c r="A33" s="26" t="n"/>
      <c r="B33" s="26" t="n"/>
      <c r="C33" s="26" t="n"/>
      <c r="D33" s="233" t="n"/>
      <c r="E33" s="233" t="n"/>
      <c r="F33" s="233">
        <f>D33+E33</f>
        <v/>
      </c>
      <c r="G33" s="233" t="n"/>
      <c r="H33" s="233" t="n"/>
      <c r="I33" s="233">
        <f>G33+H33</f>
        <v/>
      </c>
      <c r="J33" s="234">
        <f>I33-F33</f>
        <v/>
      </c>
      <c r="K33" s="235">
        <f>IF(F33=0,"",I33/F33)</f>
        <v/>
      </c>
      <c r="L33" s="26" t="n"/>
      <c r="M33" s="233" t="n"/>
      <c r="N33" s="233" t="n"/>
      <c r="O33" s="233">
        <f>M33+N33</f>
        <v/>
      </c>
      <c r="P33" s="233" t="n"/>
      <c r="Q33" s="233" t="n"/>
      <c r="R33" s="233">
        <f>P33+Q33</f>
        <v/>
      </c>
      <c r="S33" s="234">
        <f>R33-O33</f>
        <v/>
      </c>
      <c r="T33" s="235">
        <f>IF(O33=0,"",R33/O33)</f>
        <v/>
      </c>
      <c r="U33" s="26" t="n"/>
      <c r="V33" s="236">
        <f>D33+M33</f>
        <v/>
      </c>
      <c r="W33" s="236">
        <f>E33+N33</f>
        <v/>
      </c>
      <c r="X33" s="236">
        <f>V33+W33</f>
        <v/>
      </c>
      <c r="Y33" s="236">
        <f>G33+P33</f>
        <v/>
      </c>
      <c r="Z33" s="236">
        <f>H33+Q33</f>
        <v/>
      </c>
      <c r="AA33" s="236">
        <f>Y33+Z33</f>
        <v/>
      </c>
      <c r="AB33" s="239">
        <f>AA33-X33</f>
        <v/>
      </c>
      <c r="AC33" s="237">
        <f>IF(X33=0,"",AA33/X33)</f>
        <v/>
      </c>
      <c r="AD33" s="33" t="n"/>
      <c r="AE33" s="233" t="n"/>
      <c r="AF33" s="233" t="n"/>
      <c r="AG33" s="233">
        <f>AE33+AF33</f>
        <v/>
      </c>
      <c r="AH33" s="233" t="n"/>
      <c r="AI33" s="233" t="n"/>
      <c r="AJ33" s="233">
        <f>AH33+AI33</f>
        <v/>
      </c>
      <c r="AK33" s="234">
        <f>AJ33-AG33</f>
        <v/>
      </c>
      <c r="AL33" s="235">
        <f>IF(AG33=0,"",AJ33/AG33)</f>
        <v/>
      </c>
      <c r="AM33" s="26" t="n"/>
      <c r="AN33" s="236">
        <f>V33+AE33</f>
        <v/>
      </c>
      <c r="AO33" s="236">
        <f>W33+AF33</f>
        <v/>
      </c>
      <c r="AP33" s="236">
        <f>AN33+AO33</f>
        <v/>
      </c>
      <c r="AQ33" s="236">
        <f>Y33+AH33</f>
        <v/>
      </c>
      <c r="AR33" s="236">
        <f>Z33+AI33</f>
        <v/>
      </c>
      <c r="AS33" s="236">
        <f>AQ33+AR33</f>
        <v/>
      </c>
      <c r="AT33" s="234">
        <f>AS33-AP33</f>
        <v/>
      </c>
      <c r="AU33" s="237">
        <f>IF(AP33=0,"",AS33/AP33)</f>
        <v/>
      </c>
      <c r="AV33" s="33" t="n"/>
      <c r="AW33" s="233" t="n"/>
      <c r="AX33" s="233" t="n"/>
      <c r="AY33" s="233">
        <f>AW33+AX33</f>
        <v/>
      </c>
      <c r="AZ33" s="233" t="n"/>
      <c r="BA33" s="233" t="n"/>
      <c r="BB33" s="233">
        <f>AZ33+BA33</f>
        <v/>
      </c>
      <c r="BC33" s="238">
        <f>BB33-AY33</f>
        <v/>
      </c>
      <c r="BD33" s="235">
        <f>IF(AY33=0,"",BB33/AY33)</f>
        <v/>
      </c>
      <c r="BE33" s="26" t="n"/>
      <c r="BF33" s="236">
        <f>AN33+AW33</f>
        <v/>
      </c>
      <c r="BG33" s="236">
        <f>AO33+AX33</f>
        <v/>
      </c>
      <c r="BH33" s="236">
        <f>BF33+BG33</f>
        <v/>
      </c>
      <c r="BI33" s="236">
        <f>AQ33+AZ33</f>
        <v/>
      </c>
      <c r="BJ33" s="236">
        <f>AR33+BA33</f>
        <v/>
      </c>
      <c r="BK33" s="236">
        <f>BI33+BJ33</f>
        <v/>
      </c>
      <c r="BL33" s="239">
        <f>BK33-BH33</f>
        <v/>
      </c>
      <c r="BM33" s="237">
        <f>IF(BH33=0,"",BK33/BH33)</f>
        <v/>
      </c>
      <c r="BN33" s="33" t="n"/>
      <c r="BO33" s="233" t="n"/>
      <c r="BP33" s="233" t="n"/>
      <c r="BQ33" s="233">
        <f>BO33+BP33</f>
        <v/>
      </c>
      <c r="BR33" s="233" t="n"/>
      <c r="BS33" s="233" t="n"/>
      <c r="BT33" s="233">
        <f>BR33+BS33</f>
        <v/>
      </c>
      <c r="BU33" s="238">
        <f>BT33-BQ33</f>
        <v/>
      </c>
      <c r="BV33" s="235">
        <f>IF(BQ33=0,"",BT33/BQ33)</f>
        <v/>
      </c>
      <c r="BW33" s="26" t="n"/>
      <c r="BX33" s="236">
        <f>BF33+BO33</f>
        <v/>
      </c>
      <c r="BY33" s="236">
        <f>BG33+BP33</f>
        <v/>
      </c>
      <c r="BZ33" s="236">
        <f>BX33+BY33</f>
        <v/>
      </c>
      <c r="CA33" s="236">
        <f>BI33+BR33</f>
        <v/>
      </c>
      <c r="CB33" s="236">
        <f>BJ33+BS33</f>
        <v/>
      </c>
      <c r="CC33" s="236">
        <f>CA33+CB33</f>
        <v/>
      </c>
      <c r="CD33" s="239">
        <f>CC33-BZ33</f>
        <v/>
      </c>
      <c r="CE33" s="237">
        <f>IF(BZ33=0,"",CC33/BZ33)</f>
        <v/>
      </c>
      <c r="CF33" s="33" t="n"/>
      <c r="CG33" s="233" t="n"/>
      <c r="CH33" s="233" t="n"/>
      <c r="CI33" s="233">
        <f>CG33+CH33</f>
        <v/>
      </c>
      <c r="CJ33" s="233" t="n"/>
      <c r="CK33" s="233" t="n"/>
      <c r="CL33" s="233">
        <f>CJ33+CK33</f>
        <v/>
      </c>
      <c r="CM33" s="238">
        <f>CL33-CI33</f>
        <v/>
      </c>
      <c r="CN33" s="235">
        <f>IF(CI33=0,"",CL33/CI33)</f>
        <v/>
      </c>
      <c r="CO33" s="26" t="n"/>
      <c r="CP33" s="236">
        <f>BX33+CG33</f>
        <v/>
      </c>
      <c r="CQ33" s="236">
        <f>BY33+CH33</f>
        <v/>
      </c>
      <c r="CR33" s="236">
        <f>CP33+CQ33</f>
        <v/>
      </c>
      <c r="CS33" s="236">
        <f>CA33+CJ33</f>
        <v/>
      </c>
      <c r="CT33" s="236">
        <f>CB33+CK33</f>
        <v/>
      </c>
      <c r="CU33" s="236">
        <f>CS33+CT33</f>
        <v/>
      </c>
      <c r="CV33" s="239">
        <f>CU33-CR33</f>
        <v/>
      </c>
      <c r="CW33" s="237">
        <f>IF(CR33=0,"",CU33/CR33)</f>
        <v/>
      </c>
      <c r="CX33" s="33" t="n"/>
      <c r="CY33" s="233" t="n"/>
      <c r="CZ33" s="233" t="n"/>
      <c r="DA33" s="233">
        <f>CY33+CZ33</f>
        <v/>
      </c>
      <c r="DB33" s="233" t="n"/>
      <c r="DC33" s="233" t="n"/>
      <c r="DD33" s="233">
        <f>DB33+DC33</f>
        <v/>
      </c>
      <c r="DE33" s="238">
        <f>DD33-DA33</f>
        <v/>
      </c>
      <c r="DF33" s="235">
        <f>IF(DA33=0,"",DD33/DA33)</f>
        <v/>
      </c>
      <c r="DG33" s="26" t="n"/>
      <c r="DH33" s="236">
        <f>CP33+CY33</f>
        <v/>
      </c>
      <c r="DI33" s="236">
        <f>CQ33+CZ33</f>
        <v/>
      </c>
      <c r="DJ33" s="236">
        <f>DH33+DI33</f>
        <v/>
      </c>
      <c r="DK33" s="236">
        <f>CS33+DB33</f>
        <v/>
      </c>
      <c r="DL33" s="236">
        <f>CT33+DC33</f>
        <v/>
      </c>
      <c r="DM33" s="236">
        <f>DK33+DL33</f>
        <v/>
      </c>
      <c r="DN33" s="239">
        <f>DM33-DJ33</f>
        <v/>
      </c>
      <c r="DO33" s="237">
        <f>IF(DJ33=0,"",DM33/DJ33)</f>
        <v/>
      </c>
      <c r="DP33" s="33" t="n"/>
      <c r="DQ33" s="233" t="n"/>
      <c r="DR33" s="233" t="n"/>
      <c r="DS33" s="233">
        <f>DQ33+DR33</f>
        <v/>
      </c>
      <c r="DT33" s="233" t="n"/>
      <c r="DU33" s="233" t="n"/>
      <c r="DV33" s="233">
        <f>DT33+DU33</f>
        <v/>
      </c>
      <c r="DW33" s="238">
        <f>DV33-DS33</f>
        <v/>
      </c>
      <c r="DX33" s="235">
        <f>IF(DS33=0,"",DV33/DS33)</f>
        <v/>
      </c>
      <c r="DY33" s="26" t="n"/>
      <c r="DZ33" s="236">
        <f>DH33+DQ33</f>
        <v/>
      </c>
      <c r="EA33" s="236">
        <f>DI33+DR33</f>
        <v/>
      </c>
      <c r="EB33" s="236">
        <f>DZ33+EA33</f>
        <v/>
      </c>
      <c r="EC33" s="236">
        <f>DK33+DT33</f>
        <v/>
      </c>
      <c r="ED33" s="236">
        <f>DL33+DU33</f>
        <v/>
      </c>
      <c r="EE33" s="236">
        <f>EC33+ED33</f>
        <v/>
      </c>
      <c r="EF33" s="239">
        <f>EE33-EB33</f>
        <v/>
      </c>
      <c r="EG33" s="237">
        <f>IF(EB33=0,"",EE33/EB33)</f>
        <v/>
      </c>
      <c r="EH33" s="33" t="n"/>
      <c r="EI33" s="233" t="n"/>
      <c r="EJ33" s="233" t="n"/>
      <c r="EK33" s="233">
        <f>EI33+EJ33</f>
        <v/>
      </c>
      <c r="EL33" s="233" t="n"/>
      <c r="EM33" s="233" t="n"/>
      <c r="EN33" s="233">
        <f>EL33+EM33</f>
        <v/>
      </c>
      <c r="EO33" s="238">
        <f>EN33-EK33</f>
        <v/>
      </c>
      <c r="EP33" s="235">
        <f>IF(EK33=0,"",EN33/EK33)</f>
        <v/>
      </c>
      <c r="EQ33" s="26" t="n"/>
      <c r="ER33" s="236">
        <f>DZ33+EI33</f>
        <v/>
      </c>
      <c r="ES33" s="236">
        <f>EA33+EJ33</f>
        <v/>
      </c>
      <c r="ET33" s="236">
        <f>ER33+ES33</f>
        <v/>
      </c>
      <c r="EU33" s="236">
        <f>EC33+EL33</f>
        <v/>
      </c>
      <c r="EV33" s="236">
        <f>ED33+EM33</f>
        <v/>
      </c>
      <c r="EW33" s="236">
        <f>EU33+EV33</f>
        <v/>
      </c>
      <c r="EX33" s="239">
        <f>EW33-ET33</f>
        <v/>
      </c>
      <c r="EY33" s="237">
        <f>IF(ET33=0,"",EW33/ET33)</f>
        <v/>
      </c>
      <c r="EZ33" s="33" t="n"/>
      <c r="FA33" s="233" t="n"/>
      <c r="FB33" s="233" t="n"/>
      <c r="FC33" s="233">
        <f>FA33+FB33</f>
        <v/>
      </c>
      <c r="FD33" s="233" t="n"/>
      <c r="FE33" s="233" t="n"/>
      <c r="FF33" s="233">
        <f>FD33+FE33</f>
        <v/>
      </c>
      <c r="FG33" s="238">
        <f>FF33-FC33</f>
        <v/>
      </c>
      <c r="FH33" s="235">
        <f>IF(FC33=0,"",FF33/FC33)</f>
        <v/>
      </c>
      <c r="FI33" s="26" t="n"/>
      <c r="FJ33" s="236">
        <f>ER33+FA33</f>
        <v/>
      </c>
      <c r="FK33" s="236">
        <f>ES33+FB33</f>
        <v/>
      </c>
      <c r="FL33" s="236">
        <f>FJ33+FK33</f>
        <v/>
      </c>
      <c r="FM33" s="236">
        <f>EU33+FD33</f>
        <v/>
      </c>
      <c r="FN33" s="236">
        <f>EV33+FE33</f>
        <v/>
      </c>
      <c r="FO33" s="236">
        <f>FM33+FN33</f>
        <v/>
      </c>
      <c r="FP33" s="239">
        <f>FO33-FL33</f>
        <v/>
      </c>
      <c r="FQ33" s="237">
        <f>IF(FL33=0,"",FO33/FL33)</f>
        <v/>
      </c>
      <c r="FR33" s="33" t="n"/>
      <c r="FS33" s="233" t="n"/>
      <c r="FT33" s="233" t="n"/>
      <c r="FU33" s="233">
        <f>FS33+FT33</f>
        <v/>
      </c>
      <c r="FV33" s="233" t="n"/>
      <c r="FW33" s="233" t="n"/>
      <c r="FX33" s="233">
        <f>FV33+FW33</f>
        <v/>
      </c>
      <c r="FY33" s="238">
        <f>FX33-FU33</f>
        <v/>
      </c>
      <c r="FZ33" s="235">
        <f>IF(FU33=0,"",FX33/FU33)</f>
        <v/>
      </c>
      <c r="GA33" s="26" t="n"/>
      <c r="GB33" s="236">
        <f>FJ33+FS33</f>
        <v/>
      </c>
      <c r="GC33" s="236">
        <f>FK33+FT33</f>
        <v/>
      </c>
      <c r="GD33" s="236">
        <f>GB33+GC33</f>
        <v/>
      </c>
      <c r="GE33" s="236">
        <f>FM33+FV33</f>
        <v/>
      </c>
      <c r="GF33" s="236">
        <f>FN33+FW33</f>
        <v/>
      </c>
      <c r="GG33" s="236">
        <f>GE33+GF33</f>
        <v/>
      </c>
      <c r="GH33" s="239">
        <f>GG33-GD33</f>
        <v/>
      </c>
      <c r="GI33" s="237">
        <f>IF(GD33=0,"",GG33/GD33)</f>
        <v/>
      </c>
      <c r="GJ33" s="33" t="n"/>
      <c r="GK33" s="233" t="n"/>
      <c r="GL33" s="233" t="n"/>
      <c r="GM33" s="233">
        <f>GK33+GL33</f>
        <v/>
      </c>
      <c r="GN33" s="233" t="n"/>
      <c r="GO33" s="233" t="n"/>
      <c r="GP33" s="233">
        <f>GN33+GO33</f>
        <v/>
      </c>
      <c r="GQ33" s="238">
        <f>GP33-GM33</f>
        <v/>
      </c>
      <c r="GR33" s="235">
        <f>IF(GM33=0,"",GP33/GM33)</f>
        <v/>
      </c>
      <c r="GS33" s="26" t="n"/>
      <c r="GT33" s="236">
        <f>GB33+GK33</f>
        <v/>
      </c>
      <c r="GU33" s="236">
        <f>GC33+GL33</f>
        <v/>
      </c>
      <c r="GV33" s="236">
        <f>GT33+GU33</f>
        <v/>
      </c>
      <c r="GW33" s="236">
        <f>GE33+GN33</f>
        <v/>
      </c>
      <c r="GX33" s="236">
        <f>GF33+GO33</f>
        <v/>
      </c>
      <c r="GY33" s="236">
        <f>GW33+GX33</f>
        <v/>
      </c>
      <c r="GZ33" s="239">
        <f>GY33-GV33</f>
        <v/>
      </c>
      <c r="HA33" s="237">
        <f>IF(GV33=0,"",GY33/GV33)</f>
        <v/>
      </c>
      <c r="HB33" s="33" t="n"/>
      <c r="HC33" s="233">
        <f>GT33</f>
        <v/>
      </c>
      <c r="HD33" s="233">
        <f>GU33</f>
        <v/>
      </c>
      <c r="HE33" s="233">
        <f>HC33+HD33</f>
        <v/>
      </c>
    </row>
    <row r="34" outlineLevel="1" ht="15" customHeight="1" s="150">
      <c r="A34" s="26" t="n"/>
      <c r="B34" s="26" t="n"/>
      <c r="C34" s="26" t="n"/>
      <c r="D34" s="233" t="n"/>
      <c r="E34" s="233" t="n"/>
      <c r="F34" s="233">
        <f>D34+E34</f>
        <v/>
      </c>
      <c r="G34" s="233" t="n"/>
      <c r="H34" s="233" t="n"/>
      <c r="I34" s="233">
        <f>G34+H34</f>
        <v/>
      </c>
      <c r="J34" s="238">
        <f>I34-F34</f>
        <v/>
      </c>
      <c r="K34" s="235">
        <f>IF(F34=0,"",I34/F34)</f>
        <v/>
      </c>
      <c r="L34" s="26" t="n"/>
      <c r="M34" s="233" t="n"/>
      <c r="N34" s="233" t="n"/>
      <c r="O34" s="233">
        <f>M34+N34</f>
        <v/>
      </c>
      <c r="P34" s="233" t="n"/>
      <c r="Q34" s="233" t="n"/>
      <c r="R34" s="233">
        <f>P34+Q34</f>
        <v/>
      </c>
      <c r="S34" s="238">
        <f>R34-O34</f>
        <v/>
      </c>
      <c r="T34" s="235">
        <f>IF(O34=0,"",R34/O34)</f>
        <v/>
      </c>
      <c r="U34" s="26" t="n"/>
      <c r="V34" s="236">
        <f>D34+M34</f>
        <v/>
      </c>
      <c r="W34" s="236">
        <f>E34+N34</f>
        <v/>
      </c>
      <c r="X34" s="236">
        <f>V34+W34</f>
        <v/>
      </c>
      <c r="Y34" s="236">
        <f>G34+P34</f>
        <v/>
      </c>
      <c r="Z34" s="236">
        <f>H34+Q34</f>
        <v/>
      </c>
      <c r="AA34" s="236">
        <f>Y34+Z34</f>
        <v/>
      </c>
      <c r="AB34" s="234">
        <f>AA34-X34</f>
        <v/>
      </c>
      <c r="AC34" s="237">
        <f>IF(X34=0,"",AA34/X34)</f>
        <v/>
      </c>
      <c r="AD34" s="33" t="n"/>
      <c r="AE34" s="233" t="n"/>
      <c r="AF34" s="233" t="n"/>
      <c r="AG34" s="233">
        <f>AE34+AF34</f>
        <v/>
      </c>
      <c r="AH34" s="233" t="n"/>
      <c r="AI34" s="233" t="n"/>
      <c r="AJ34" s="233">
        <f>AH34+AI34</f>
        <v/>
      </c>
      <c r="AK34" s="238">
        <f>AJ34-AG34</f>
        <v/>
      </c>
      <c r="AL34" s="235">
        <f>IF(AG34=0,"",AJ34/AG34)</f>
        <v/>
      </c>
      <c r="AM34" s="26" t="n"/>
      <c r="AN34" s="236">
        <f>V34+AE34</f>
        <v/>
      </c>
      <c r="AO34" s="236">
        <f>W34+AF34</f>
        <v/>
      </c>
      <c r="AP34" s="236">
        <f>AN34+AO34</f>
        <v/>
      </c>
      <c r="AQ34" s="236">
        <f>Y34+AH34</f>
        <v/>
      </c>
      <c r="AR34" s="236">
        <f>Z34+AI34</f>
        <v/>
      </c>
      <c r="AS34" s="236">
        <f>AQ34+AR34</f>
        <v/>
      </c>
      <c r="AT34" s="234">
        <f>AS34-AP34</f>
        <v/>
      </c>
      <c r="AU34" s="237">
        <f>IF(AP34=0,"",AS34/AP34)</f>
        <v/>
      </c>
      <c r="AV34" s="33" t="n"/>
      <c r="AW34" s="233" t="n"/>
      <c r="AX34" s="233" t="n"/>
      <c r="AY34" s="233">
        <f>AW34+AX34</f>
        <v/>
      </c>
      <c r="AZ34" s="233" t="n"/>
      <c r="BA34" s="233" t="n"/>
      <c r="BB34" s="233">
        <f>AZ34+BA34</f>
        <v/>
      </c>
      <c r="BC34" s="238">
        <f>BB34-AY34</f>
        <v/>
      </c>
      <c r="BD34" s="235">
        <f>IF(AY34=0,"",BB34/AY34)</f>
        <v/>
      </c>
      <c r="BE34" s="26" t="n"/>
      <c r="BF34" s="236">
        <f>AN34+AW34</f>
        <v/>
      </c>
      <c r="BG34" s="236">
        <f>AO34+AX34</f>
        <v/>
      </c>
      <c r="BH34" s="236">
        <f>BF34+BG34</f>
        <v/>
      </c>
      <c r="BI34" s="236">
        <f>AQ34+AZ34</f>
        <v/>
      </c>
      <c r="BJ34" s="236">
        <f>AR34+BA34</f>
        <v/>
      </c>
      <c r="BK34" s="236">
        <f>BI34+BJ34</f>
        <v/>
      </c>
      <c r="BL34" s="239">
        <f>BK34-BH34</f>
        <v/>
      </c>
      <c r="BM34" s="237">
        <f>IF(BH34=0,"",BK34/BH34)</f>
        <v/>
      </c>
      <c r="BN34" s="33" t="n"/>
      <c r="BO34" s="233" t="n"/>
      <c r="BP34" s="233" t="n"/>
      <c r="BQ34" s="233">
        <f>BO34+BP34</f>
        <v/>
      </c>
      <c r="BR34" s="233" t="n"/>
      <c r="BS34" s="233" t="n"/>
      <c r="BT34" s="233">
        <f>BR34+BS34</f>
        <v/>
      </c>
      <c r="BU34" s="238">
        <f>BT34-BQ34</f>
        <v/>
      </c>
      <c r="BV34" s="235">
        <f>IF(BQ34=0,"",BT34/BQ34)</f>
        <v/>
      </c>
      <c r="BW34" s="26" t="n"/>
      <c r="BX34" s="236">
        <f>BF34+BO34</f>
        <v/>
      </c>
      <c r="BY34" s="236">
        <f>BG34+BP34</f>
        <v/>
      </c>
      <c r="BZ34" s="236">
        <f>BX34+BY34</f>
        <v/>
      </c>
      <c r="CA34" s="236">
        <f>BI34+BR34</f>
        <v/>
      </c>
      <c r="CB34" s="236">
        <f>BJ34+BS34</f>
        <v/>
      </c>
      <c r="CC34" s="236">
        <f>CA34+CB34</f>
        <v/>
      </c>
      <c r="CD34" s="239">
        <f>CC34-BZ34</f>
        <v/>
      </c>
      <c r="CE34" s="237">
        <f>IF(BZ34=0,"",CC34/BZ34)</f>
        <v/>
      </c>
      <c r="CF34" s="33" t="n"/>
      <c r="CG34" s="233" t="n"/>
      <c r="CH34" s="233" t="n"/>
      <c r="CI34" s="233">
        <f>CG34+CH34</f>
        <v/>
      </c>
      <c r="CJ34" s="233" t="n"/>
      <c r="CK34" s="233" t="n"/>
      <c r="CL34" s="233">
        <f>CJ34+CK34</f>
        <v/>
      </c>
      <c r="CM34" s="238">
        <f>CL34-CI34</f>
        <v/>
      </c>
      <c r="CN34" s="235">
        <f>IF(CI34=0,"",CL34/CI34)</f>
        <v/>
      </c>
      <c r="CO34" s="26" t="n"/>
      <c r="CP34" s="236">
        <f>BX34+CG34</f>
        <v/>
      </c>
      <c r="CQ34" s="236">
        <f>BY34+CH34</f>
        <v/>
      </c>
      <c r="CR34" s="236">
        <f>CP34+CQ34</f>
        <v/>
      </c>
      <c r="CS34" s="236">
        <f>CA34+CJ34</f>
        <v/>
      </c>
      <c r="CT34" s="236">
        <f>CB34+CK34</f>
        <v/>
      </c>
      <c r="CU34" s="236">
        <f>CS34+CT34</f>
        <v/>
      </c>
      <c r="CV34" s="239">
        <f>CU34-CR34</f>
        <v/>
      </c>
      <c r="CW34" s="237">
        <f>IF(CR34=0,"",CU34/CR34)</f>
        <v/>
      </c>
      <c r="CX34" s="33" t="n"/>
      <c r="CY34" s="233" t="n"/>
      <c r="CZ34" s="233" t="n"/>
      <c r="DA34" s="233">
        <f>CY34+CZ34</f>
        <v/>
      </c>
      <c r="DB34" s="233" t="n"/>
      <c r="DC34" s="233" t="n"/>
      <c r="DD34" s="233">
        <f>DB34+DC34</f>
        <v/>
      </c>
      <c r="DE34" s="238">
        <f>DD34-DA34</f>
        <v/>
      </c>
      <c r="DF34" s="235">
        <f>IF(DA34=0,"",DD34/DA34)</f>
        <v/>
      </c>
      <c r="DG34" s="26" t="n"/>
      <c r="DH34" s="236">
        <f>CP34+CY34</f>
        <v/>
      </c>
      <c r="DI34" s="236">
        <f>CQ34+CZ34</f>
        <v/>
      </c>
      <c r="DJ34" s="236">
        <f>DH34+DI34</f>
        <v/>
      </c>
      <c r="DK34" s="236">
        <f>CS34+DB34</f>
        <v/>
      </c>
      <c r="DL34" s="236">
        <f>CT34+DC34</f>
        <v/>
      </c>
      <c r="DM34" s="236">
        <f>DK34+DL34</f>
        <v/>
      </c>
      <c r="DN34" s="239">
        <f>DM34-DJ34</f>
        <v/>
      </c>
      <c r="DO34" s="237">
        <f>IF(DJ34=0,"",DM34/DJ34)</f>
        <v/>
      </c>
      <c r="DP34" s="33" t="n"/>
      <c r="DQ34" s="233" t="n"/>
      <c r="DR34" s="233" t="n"/>
      <c r="DS34" s="233">
        <f>DQ34+DR34</f>
        <v/>
      </c>
      <c r="DT34" s="233" t="n"/>
      <c r="DU34" s="233" t="n"/>
      <c r="DV34" s="233">
        <f>DT34+DU34</f>
        <v/>
      </c>
      <c r="DW34" s="238">
        <f>DV34-DS34</f>
        <v/>
      </c>
      <c r="DX34" s="235">
        <f>IF(DS34=0,"",DV34/DS34)</f>
        <v/>
      </c>
      <c r="DY34" s="26" t="n"/>
      <c r="DZ34" s="236">
        <f>DH34+DQ34</f>
        <v/>
      </c>
      <c r="EA34" s="236">
        <f>DI34+DR34</f>
        <v/>
      </c>
      <c r="EB34" s="236">
        <f>DZ34+EA34</f>
        <v/>
      </c>
      <c r="EC34" s="236">
        <f>DK34+DT34</f>
        <v/>
      </c>
      <c r="ED34" s="236">
        <f>DL34+DU34</f>
        <v/>
      </c>
      <c r="EE34" s="236">
        <f>EC34+ED34</f>
        <v/>
      </c>
      <c r="EF34" s="239">
        <f>EE34-EB34</f>
        <v/>
      </c>
      <c r="EG34" s="237">
        <f>IF(EB34=0,"",EE34/EB34)</f>
        <v/>
      </c>
      <c r="EH34" s="33" t="n"/>
      <c r="EI34" s="233" t="n"/>
      <c r="EJ34" s="233" t="n"/>
      <c r="EK34" s="233">
        <f>EI34+EJ34</f>
        <v/>
      </c>
      <c r="EL34" s="233" t="n"/>
      <c r="EM34" s="233" t="n"/>
      <c r="EN34" s="233">
        <f>EL34+EM34</f>
        <v/>
      </c>
      <c r="EO34" s="238">
        <f>EN34-EK34</f>
        <v/>
      </c>
      <c r="EP34" s="235">
        <f>IF(EK34=0,"",EN34/EK34)</f>
        <v/>
      </c>
      <c r="EQ34" s="26" t="n"/>
      <c r="ER34" s="236">
        <f>DZ34+EI34</f>
        <v/>
      </c>
      <c r="ES34" s="236">
        <f>EA34+EJ34</f>
        <v/>
      </c>
      <c r="ET34" s="236">
        <f>ER34+ES34</f>
        <v/>
      </c>
      <c r="EU34" s="236">
        <f>EC34+EL34</f>
        <v/>
      </c>
      <c r="EV34" s="236">
        <f>ED34+EM34</f>
        <v/>
      </c>
      <c r="EW34" s="236">
        <f>EU34+EV34</f>
        <v/>
      </c>
      <c r="EX34" s="239">
        <f>EW34-ET34</f>
        <v/>
      </c>
      <c r="EY34" s="237">
        <f>IF(ET34=0,"",EW34/ET34)</f>
        <v/>
      </c>
      <c r="EZ34" s="33" t="n"/>
      <c r="FA34" s="233" t="n"/>
      <c r="FB34" s="233" t="n"/>
      <c r="FC34" s="233">
        <f>FA34+FB34</f>
        <v/>
      </c>
      <c r="FD34" s="233" t="n"/>
      <c r="FE34" s="233" t="n"/>
      <c r="FF34" s="233">
        <f>FD34+FE34</f>
        <v/>
      </c>
      <c r="FG34" s="238">
        <f>FF34-FC34</f>
        <v/>
      </c>
      <c r="FH34" s="235">
        <f>IF(FC34=0,"",FF34/FC34)</f>
        <v/>
      </c>
      <c r="FI34" s="26" t="n"/>
      <c r="FJ34" s="236">
        <f>ER34+FA34</f>
        <v/>
      </c>
      <c r="FK34" s="236">
        <f>ES34+FB34</f>
        <v/>
      </c>
      <c r="FL34" s="236">
        <f>FJ34+FK34</f>
        <v/>
      </c>
      <c r="FM34" s="236">
        <f>EU34+FD34</f>
        <v/>
      </c>
      <c r="FN34" s="236">
        <f>EV34+FE34</f>
        <v/>
      </c>
      <c r="FO34" s="236">
        <f>FM34+FN34</f>
        <v/>
      </c>
      <c r="FP34" s="239">
        <f>FO34-FL34</f>
        <v/>
      </c>
      <c r="FQ34" s="237">
        <f>IF(FL34=0,"",FO34/FL34)</f>
        <v/>
      </c>
      <c r="FR34" s="33" t="n"/>
      <c r="FS34" s="233" t="n"/>
      <c r="FT34" s="233" t="n"/>
      <c r="FU34" s="233">
        <f>FS34+FT34</f>
        <v/>
      </c>
      <c r="FV34" s="233" t="n"/>
      <c r="FW34" s="233" t="n"/>
      <c r="FX34" s="233">
        <f>FV34+FW34</f>
        <v/>
      </c>
      <c r="FY34" s="238">
        <f>FX34-FU34</f>
        <v/>
      </c>
      <c r="FZ34" s="235">
        <f>IF(FU34=0,"",FX34/FU34)</f>
        <v/>
      </c>
      <c r="GA34" s="26" t="n"/>
      <c r="GB34" s="236">
        <f>FJ34+FS34</f>
        <v/>
      </c>
      <c r="GC34" s="236">
        <f>FK34+FT34</f>
        <v/>
      </c>
      <c r="GD34" s="236">
        <f>GB34+GC34</f>
        <v/>
      </c>
      <c r="GE34" s="236">
        <f>FM34+FV34</f>
        <v/>
      </c>
      <c r="GF34" s="236">
        <f>FN34+FW34</f>
        <v/>
      </c>
      <c r="GG34" s="236">
        <f>GE34+GF34</f>
        <v/>
      </c>
      <c r="GH34" s="239">
        <f>GG34-GD34</f>
        <v/>
      </c>
      <c r="GI34" s="237">
        <f>IF(GD34=0,"",GG34/GD34)</f>
        <v/>
      </c>
      <c r="GJ34" s="33" t="n"/>
      <c r="GK34" s="233" t="n"/>
      <c r="GL34" s="233" t="n"/>
      <c r="GM34" s="233">
        <f>GK34+GL34</f>
        <v/>
      </c>
      <c r="GN34" s="233" t="n"/>
      <c r="GO34" s="233" t="n"/>
      <c r="GP34" s="233">
        <f>GN34+GO34</f>
        <v/>
      </c>
      <c r="GQ34" s="238">
        <f>GP34-GM34</f>
        <v/>
      </c>
      <c r="GR34" s="235">
        <f>IF(GM34=0,"",GP34/GM34)</f>
        <v/>
      </c>
      <c r="GS34" s="26" t="n"/>
      <c r="GT34" s="236">
        <f>GB34+GK34</f>
        <v/>
      </c>
      <c r="GU34" s="236">
        <f>GC34+GL34</f>
        <v/>
      </c>
      <c r="GV34" s="236">
        <f>GT34+GU34</f>
        <v/>
      </c>
      <c r="GW34" s="236">
        <f>GE34+GN34</f>
        <v/>
      </c>
      <c r="GX34" s="236">
        <f>GF34+GO34</f>
        <v/>
      </c>
      <c r="GY34" s="236">
        <f>GW34+GX34</f>
        <v/>
      </c>
      <c r="GZ34" s="239">
        <f>GY34-GV34</f>
        <v/>
      </c>
      <c r="HA34" s="237">
        <f>IF(GV34=0,"",GY34/GV34)</f>
        <v/>
      </c>
      <c r="HB34" s="33" t="n"/>
      <c r="HC34" s="233">
        <f>GT34</f>
        <v/>
      </c>
      <c r="HD34" s="233">
        <f>GU34</f>
        <v/>
      </c>
      <c r="HE34" s="233">
        <f>HC34+HD34</f>
        <v/>
      </c>
    </row>
    <row r="35" outlineLevel="1" ht="15" customHeight="1" s="150">
      <c r="A35" s="26" t="n"/>
      <c r="B35" s="26" t="n"/>
      <c r="C35" s="26" t="n"/>
      <c r="D35" s="233" t="n"/>
      <c r="E35" s="233" t="n"/>
      <c r="F35" s="233">
        <f>D35+E35</f>
        <v/>
      </c>
      <c r="G35" s="233" t="n"/>
      <c r="H35" s="233" t="n"/>
      <c r="I35" s="233">
        <f>G35+H35</f>
        <v/>
      </c>
      <c r="J35" s="238">
        <f>I35-F35</f>
        <v/>
      </c>
      <c r="K35" s="235">
        <f>IF(F35=0,"",I35/F35)</f>
        <v/>
      </c>
      <c r="L35" s="26" t="n"/>
      <c r="M35" s="233" t="n"/>
      <c r="N35" s="233" t="n"/>
      <c r="O35" s="233">
        <f>M35+N35</f>
        <v/>
      </c>
      <c r="P35" s="233" t="n"/>
      <c r="Q35" s="233" t="n"/>
      <c r="R35" s="233">
        <f>P35+Q35</f>
        <v/>
      </c>
      <c r="S35" s="234">
        <f>R35-O35</f>
        <v/>
      </c>
      <c r="T35" s="235">
        <f>IF(O35=0,"",R35/O35)</f>
        <v/>
      </c>
      <c r="U35" s="26" t="n"/>
      <c r="V35" s="236">
        <f>D35+M35</f>
        <v/>
      </c>
      <c r="W35" s="236">
        <f>E35+N35</f>
        <v/>
      </c>
      <c r="X35" s="236">
        <f>V35+W35</f>
        <v/>
      </c>
      <c r="Y35" s="236">
        <f>G35+P35</f>
        <v/>
      </c>
      <c r="Z35" s="236">
        <f>H35+Q35</f>
        <v/>
      </c>
      <c r="AA35" s="236">
        <f>Y35+Z35</f>
        <v/>
      </c>
      <c r="AB35" s="234">
        <f>AA35-X35</f>
        <v/>
      </c>
      <c r="AC35" s="237">
        <f>IF(X35=0,"",AA35/X35)</f>
        <v/>
      </c>
      <c r="AD35" s="33" t="n"/>
      <c r="AE35" s="233" t="n"/>
      <c r="AF35" s="233" t="n"/>
      <c r="AG35" s="233">
        <f>AE35+AF35</f>
        <v/>
      </c>
      <c r="AH35" s="233" t="n"/>
      <c r="AI35" s="233" t="n"/>
      <c r="AJ35" s="233">
        <f>AH35+AI35</f>
        <v/>
      </c>
      <c r="AK35" s="238">
        <f>AJ35-AG35</f>
        <v/>
      </c>
      <c r="AL35" s="235">
        <f>IF(AG35=0,"",AJ35/AG35)</f>
        <v/>
      </c>
      <c r="AM35" s="26" t="n"/>
      <c r="AN35" s="236">
        <f>V35+AE35</f>
        <v/>
      </c>
      <c r="AO35" s="236">
        <f>W35+AF35</f>
        <v/>
      </c>
      <c r="AP35" s="236">
        <f>AN35+AO35</f>
        <v/>
      </c>
      <c r="AQ35" s="236">
        <f>Y35+AH35</f>
        <v/>
      </c>
      <c r="AR35" s="236">
        <f>Z35+AI35</f>
        <v/>
      </c>
      <c r="AS35" s="236">
        <f>AQ35+AR35</f>
        <v/>
      </c>
      <c r="AT35" s="234">
        <f>AS35-AP35</f>
        <v/>
      </c>
      <c r="AU35" s="237">
        <f>IF(AP35=0,"",AS35/AP35)</f>
        <v/>
      </c>
      <c r="AV35" s="33" t="n"/>
      <c r="AW35" s="233" t="n"/>
      <c r="AX35" s="233" t="n"/>
      <c r="AY35" s="233">
        <f>AW35+AX35</f>
        <v/>
      </c>
      <c r="AZ35" s="233" t="n"/>
      <c r="BA35" s="233" t="n"/>
      <c r="BB35" s="233">
        <f>AZ35+BA35</f>
        <v/>
      </c>
      <c r="BC35" s="238">
        <f>BB35-AY35</f>
        <v/>
      </c>
      <c r="BD35" s="235">
        <f>IF(AY35=0,"",BB35/AY35)</f>
        <v/>
      </c>
      <c r="BE35" s="26" t="n"/>
      <c r="BF35" s="236">
        <f>AN35+AW35</f>
        <v/>
      </c>
      <c r="BG35" s="236">
        <f>AO35+AX35</f>
        <v/>
      </c>
      <c r="BH35" s="236">
        <f>BF35+BG35</f>
        <v/>
      </c>
      <c r="BI35" s="236">
        <f>AQ35+AZ35</f>
        <v/>
      </c>
      <c r="BJ35" s="236">
        <f>AR35+BA35</f>
        <v/>
      </c>
      <c r="BK35" s="236">
        <f>BI35+BJ35</f>
        <v/>
      </c>
      <c r="BL35" s="239">
        <f>BK35-BH35</f>
        <v/>
      </c>
      <c r="BM35" s="237">
        <f>IF(BH35=0,"",BK35/BH35)</f>
        <v/>
      </c>
      <c r="BN35" s="33" t="n"/>
      <c r="BO35" s="233" t="n"/>
      <c r="BP35" s="233" t="n"/>
      <c r="BQ35" s="233">
        <f>BO35+BP35</f>
        <v/>
      </c>
      <c r="BR35" s="233" t="n"/>
      <c r="BS35" s="233" t="n"/>
      <c r="BT35" s="233">
        <f>BR35+BS35</f>
        <v/>
      </c>
      <c r="BU35" s="238">
        <f>BT35-BQ35</f>
        <v/>
      </c>
      <c r="BV35" s="235">
        <f>IF(BQ35=0,"",BT35/BQ35)</f>
        <v/>
      </c>
      <c r="BW35" s="26" t="n"/>
      <c r="BX35" s="236">
        <f>BF35+BO35</f>
        <v/>
      </c>
      <c r="BY35" s="236">
        <f>BG35+BP35</f>
        <v/>
      </c>
      <c r="BZ35" s="236">
        <f>BX35+BY35</f>
        <v/>
      </c>
      <c r="CA35" s="236">
        <f>BI35+BR35</f>
        <v/>
      </c>
      <c r="CB35" s="236">
        <f>BJ35+BS35</f>
        <v/>
      </c>
      <c r="CC35" s="236">
        <f>CA35+CB35</f>
        <v/>
      </c>
      <c r="CD35" s="239">
        <f>CC35-BZ35</f>
        <v/>
      </c>
      <c r="CE35" s="237">
        <f>IF(BZ35=0,"",CC35/BZ35)</f>
        <v/>
      </c>
      <c r="CF35" s="33" t="n"/>
      <c r="CG35" s="233" t="n"/>
      <c r="CH35" s="233" t="n"/>
      <c r="CI35" s="233">
        <f>CG35+CH35</f>
        <v/>
      </c>
      <c r="CJ35" s="233" t="n"/>
      <c r="CK35" s="233" t="n"/>
      <c r="CL35" s="233">
        <f>CJ35+CK35</f>
        <v/>
      </c>
      <c r="CM35" s="238">
        <f>CL35-CI35</f>
        <v/>
      </c>
      <c r="CN35" s="235">
        <f>IF(CI35=0,"",CL35/CI35)</f>
        <v/>
      </c>
      <c r="CO35" s="26" t="n"/>
      <c r="CP35" s="236">
        <f>BX35+CG35</f>
        <v/>
      </c>
      <c r="CQ35" s="236">
        <f>BY35+CH35</f>
        <v/>
      </c>
      <c r="CR35" s="236">
        <f>CP35+CQ35</f>
        <v/>
      </c>
      <c r="CS35" s="236">
        <f>CA35+CJ35</f>
        <v/>
      </c>
      <c r="CT35" s="236">
        <f>CB35+CK35</f>
        <v/>
      </c>
      <c r="CU35" s="236">
        <f>CS35+CT35</f>
        <v/>
      </c>
      <c r="CV35" s="239">
        <f>CU35-CR35</f>
        <v/>
      </c>
      <c r="CW35" s="237">
        <f>IF(CR35=0,"",CU35/CR35)</f>
        <v/>
      </c>
      <c r="CX35" s="33" t="n"/>
      <c r="CY35" s="233" t="n"/>
      <c r="CZ35" s="233" t="n"/>
      <c r="DA35" s="233">
        <f>CY35+CZ35</f>
        <v/>
      </c>
      <c r="DB35" s="233" t="n"/>
      <c r="DC35" s="233" t="n"/>
      <c r="DD35" s="233">
        <f>DB35+DC35</f>
        <v/>
      </c>
      <c r="DE35" s="238">
        <f>DD35-DA35</f>
        <v/>
      </c>
      <c r="DF35" s="235">
        <f>IF(DA35=0,"",DD35/DA35)</f>
        <v/>
      </c>
      <c r="DG35" s="26" t="n"/>
      <c r="DH35" s="236">
        <f>CP35+CY35</f>
        <v/>
      </c>
      <c r="DI35" s="236">
        <f>CQ35+CZ35</f>
        <v/>
      </c>
      <c r="DJ35" s="236">
        <f>DH35+DI35</f>
        <v/>
      </c>
      <c r="DK35" s="236">
        <f>CS35+DB35</f>
        <v/>
      </c>
      <c r="DL35" s="236">
        <f>CT35+DC35</f>
        <v/>
      </c>
      <c r="DM35" s="236">
        <f>DK35+DL35</f>
        <v/>
      </c>
      <c r="DN35" s="239">
        <f>DM35-DJ35</f>
        <v/>
      </c>
      <c r="DO35" s="237">
        <f>IF(DJ35=0,"",DM35/DJ35)</f>
        <v/>
      </c>
      <c r="DP35" s="33" t="n"/>
      <c r="DQ35" s="233" t="n"/>
      <c r="DR35" s="233" t="n"/>
      <c r="DS35" s="233">
        <f>DQ35+DR35</f>
        <v/>
      </c>
      <c r="DT35" s="233" t="n"/>
      <c r="DU35" s="233" t="n"/>
      <c r="DV35" s="233">
        <f>DT35+DU35</f>
        <v/>
      </c>
      <c r="DW35" s="238">
        <f>DV35-DS35</f>
        <v/>
      </c>
      <c r="DX35" s="235">
        <f>IF(DS35=0,"",DV35/DS35)</f>
        <v/>
      </c>
      <c r="DY35" s="26" t="n"/>
      <c r="DZ35" s="236">
        <f>DH35+DQ35</f>
        <v/>
      </c>
      <c r="EA35" s="236">
        <f>DI35+DR35</f>
        <v/>
      </c>
      <c r="EB35" s="236">
        <f>DZ35+EA35</f>
        <v/>
      </c>
      <c r="EC35" s="236">
        <f>DK35+DT35</f>
        <v/>
      </c>
      <c r="ED35" s="236">
        <f>DL35+DU35</f>
        <v/>
      </c>
      <c r="EE35" s="236">
        <f>EC35+ED35</f>
        <v/>
      </c>
      <c r="EF35" s="239">
        <f>EE35-EB35</f>
        <v/>
      </c>
      <c r="EG35" s="237">
        <f>IF(EB35=0,"",EE35/EB35)</f>
        <v/>
      </c>
      <c r="EH35" s="33" t="n"/>
      <c r="EI35" s="233" t="n"/>
      <c r="EJ35" s="233" t="n"/>
      <c r="EK35" s="233">
        <f>EI35+EJ35</f>
        <v/>
      </c>
      <c r="EL35" s="233" t="n"/>
      <c r="EM35" s="233" t="n"/>
      <c r="EN35" s="233">
        <f>EL35+EM35</f>
        <v/>
      </c>
      <c r="EO35" s="238">
        <f>EN35-EK35</f>
        <v/>
      </c>
      <c r="EP35" s="235">
        <f>IF(EK35=0,"",EN35/EK35)</f>
        <v/>
      </c>
      <c r="EQ35" s="26" t="n"/>
      <c r="ER35" s="236">
        <f>DZ35+EI35</f>
        <v/>
      </c>
      <c r="ES35" s="236">
        <f>EA35+EJ35</f>
        <v/>
      </c>
      <c r="ET35" s="236">
        <f>ER35+ES35</f>
        <v/>
      </c>
      <c r="EU35" s="236">
        <f>EC35+EL35</f>
        <v/>
      </c>
      <c r="EV35" s="236">
        <f>ED35+EM35</f>
        <v/>
      </c>
      <c r="EW35" s="236">
        <f>EU35+EV35</f>
        <v/>
      </c>
      <c r="EX35" s="239">
        <f>EW35-ET35</f>
        <v/>
      </c>
      <c r="EY35" s="237">
        <f>IF(ET35=0,"",EW35/ET35)</f>
        <v/>
      </c>
      <c r="EZ35" s="33" t="n"/>
      <c r="FA35" s="233" t="n"/>
      <c r="FB35" s="233" t="n"/>
      <c r="FC35" s="233">
        <f>FA35+FB35</f>
        <v/>
      </c>
      <c r="FD35" s="233" t="n"/>
      <c r="FE35" s="233" t="n"/>
      <c r="FF35" s="233">
        <f>FD35+FE35</f>
        <v/>
      </c>
      <c r="FG35" s="238">
        <f>FF35-FC35</f>
        <v/>
      </c>
      <c r="FH35" s="235">
        <f>IF(FC35=0,"",FF35/FC35)</f>
        <v/>
      </c>
      <c r="FI35" s="26" t="n"/>
      <c r="FJ35" s="236">
        <f>ER35+FA35</f>
        <v/>
      </c>
      <c r="FK35" s="236">
        <f>ES35+FB35</f>
        <v/>
      </c>
      <c r="FL35" s="236">
        <f>FJ35+FK35</f>
        <v/>
      </c>
      <c r="FM35" s="236">
        <f>EU35+FD35</f>
        <v/>
      </c>
      <c r="FN35" s="236">
        <f>EV35+FE35</f>
        <v/>
      </c>
      <c r="FO35" s="236">
        <f>FM35+FN35</f>
        <v/>
      </c>
      <c r="FP35" s="239">
        <f>FO35-FL35</f>
        <v/>
      </c>
      <c r="FQ35" s="237">
        <f>IF(FL35=0,"",FO35/FL35)</f>
        <v/>
      </c>
      <c r="FR35" s="33" t="n"/>
      <c r="FS35" s="233" t="n"/>
      <c r="FT35" s="233" t="n"/>
      <c r="FU35" s="233">
        <f>FS35+FT35</f>
        <v/>
      </c>
      <c r="FV35" s="233" t="n"/>
      <c r="FW35" s="233" t="n"/>
      <c r="FX35" s="233">
        <f>FV35+FW35</f>
        <v/>
      </c>
      <c r="FY35" s="238">
        <f>FX35-FU35</f>
        <v/>
      </c>
      <c r="FZ35" s="235">
        <f>IF(FU35=0,"",FX35/FU35)</f>
        <v/>
      </c>
      <c r="GA35" s="26" t="n"/>
      <c r="GB35" s="236">
        <f>FJ35+FS35</f>
        <v/>
      </c>
      <c r="GC35" s="236">
        <f>FK35+FT35</f>
        <v/>
      </c>
      <c r="GD35" s="236">
        <f>GB35+GC35</f>
        <v/>
      </c>
      <c r="GE35" s="236">
        <f>FM35+FV35</f>
        <v/>
      </c>
      <c r="GF35" s="236">
        <f>FN35+FW35</f>
        <v/>
      </c>
      <c r="GG35" s="236">
        <f>GE35+GF35</f>
        <v/>
      </c>
      <c r="GH35" s="239">
        <f>GG35-GD35</f>
        <v/>
      </c>
      <c r="GI35" s="237">
        <f>IF(GD35=0,"",GG35/GD35)</f>
        <v/>
      </c>
      <c r="GJ35" s="33" t="n"/>
      <c r="GK35" s="233" t="n"/>
      <c r="GL35" s="233" t="n"/>
      <c r="GM35" s="233">
        <f>GK35+GL35</f>
        <v/>
      </c>
      <c r="GN35" s="233" t="n"/>
      <c r="GO35" s="233" t="n"/>
      <c r="GP35" s="233">
        <f>GN35+GO35</f>
        <v/>
      </c>
      <c r="GQ35" s="238">
        <f>GP35-GM35</f>
        <v/>
      </c>
      <c r="GR35" s="235">
        <f>IF(GM35=0,"",GP35/GM35)</f>
        <v/>
      </c>
      <c r="GS35" s="26" t="n"/>
      <c r="GT35" s="236">
        <f>GB35+GK35</f>
        <v/>
      </c>
      <c r="GU35" s="236">
        <f>GC35+GL35</f>
        <v/>
      </c>
      <c r="GV35" s="236">
        <f>GT35+GU35</f>
        <v/>
      </c>
      <c r="GW35" s="236">
        <f>GE35+GN35</f>
        <v/>
      </c>
      <c r="GX35" s="236">
        <f>GF35+GO35</f>
        <v/>
      </c>
      <c r="GY35" s="236">
        <f>GW35+GX35</f>
        <v/>
      </c>
      <c r="GZ35" s="239">
        <f>GY35-GV35</f>
        <v/>
      </c>
      <c r="HA35" s="237">
        <f>IF(GV35=0,"",GY35/GV35)</f>
        <v/>
      </c>
      <c r="HB35" s="33" t="n"/>
      <c r="HC35" s="233">
        <f>GT35</f>
        <v/>
      </c>
      <c r="HD35" s="233">
        <f>GU35</f>
        <v/>
      </c>
      <c r="HE35" s="233">
        <f>HC35+HD35</f>
        <v/>
      </c>
    </row>
    <row r="36" outlineLevel="1" ht="15" customHeight="1" s="150">
      <c r="A36" s="26" t="n"/>
      <c r="B36" s="26" t="n"/>
      <c r="C36" s="26" t="n"/>
      <c r="D36" s="233" t="n"/>
      <c r="E36" s="233" t="n"/>
      <c r="F36" s="233">
        <f>D36+E36</f>
        <v/>
      </c>
      <c r="G36" s="233" t="n"/>
      <c r="H36" s="233" t="n"/>
      <c r="I36" s="233">
        <f>G36+H36</f>
        <v/>
      </c>
      <c r="J36" s="238">
        <f>I36-F36</f>
        <v/>
      </c>
      <c r="K36" s="235">
        <f>IF(F36=0,"",I36/F36)</f>
        <v/>
      </c>
      <c r="L36" s="26" t="n"/>
      <c r="M36" s="233" t="n"/>
      <c r="N36" s="233" t="n"/>
      <c r="O36" s="233">
        <f>M36+N36</f>
        <v/>
      </c>
      <c r="P36" s="233" t="n"/>
      <c r="Q36" s="233" t="n"/>
      <c r="R36" s="233">
        <f>P36+Q36</f>
        <v/>
      </c>
      <c r="S36" s="238">
        <f>R36-O36</f>
        <v/>
      </c>
      <c r="T36" s="235">
        <f>IF(O36=0,"",R36/O36)</f>
        <v/>
      </c>
      <c r="U36" s="26" t="n"/>
      <c r="V36" s="236">
        <f>D36+M36</f>
        <v/>
      </c>
      <c r="W36" s="236">
        <f>E36+N36</f>
        <v/>
      </c>
      <c r="X36" s="236">
        <f>V36+W36</f>
        <v/>
      </c>
      <c r="Y36" s="236">
        <f>G36+P36</f>
        <v/>
      </c>
      <c r="Z36" s="236">
        <f>H36+Q36</f>
        <v/>
      </c>
      <c r="AA36" s="236">
        <f>Y36+Z36</f>
        <v/>
      </c>
      <c r="AB36" s="239">
        <f>AA36-X36</f>
        <v/>
      </c>
      <c r="AC36" s="237">
        <f>IF(X36=0,"",AA36/X36)</f>
        <v/>
      </c>
      <c r="AD36" s="33" t="n"/>
      <c r="AE36" s="233" t="n"/>
      <c r="AF36" s="233" t="n"/>
      <c r="AG36" s="233">
        <f>AE36+AF36</f>
        <v/>
      </c>
      <c r="AH36" s="233" t="n"/>
      <c r="AI36" s="233" t="n"/>
      <c r="AJ36" s="233">
        <f>AH36+AI36</f>
        <v/>
      </c>
      <c r="AK36" s="238">
        <f>AJ36-AG36</f>
        <v/>
      </c>
      <c r="AL36" s="235">
        <f>IF(AG36=0,"",AJ36/AG36)</f>
        <v/>
      </c>
      <c r="AM36" s="26" t="n"/>
      <c r="AN36" s="236">
        <f>V36+AE36</f>
        <v/>
      </c>
      <c r="AO36" s="236">
        <f>W36+AF36</f>
        <v/>
      </c>
      <c r="AP36" s="236">
        <f>AN36+AO36</f>
        <v/>
      </c>
      <c r="AQ36" s="236">
        <f>Y36+AH36</f>
        <v/>
      </c>
      <c r="AR36" s="236">
        <f>Z36+AI36</f>
        <v/>
      </c>
      <c r="AS36" s="236">
        <f>AQ36+AR36</f>
        <v/>
      </c>
      <c r="AT36" s="239">
        <f>AS36-AP36</f>
        <v/>
      </c>
      <c r="AU36" s="237">
        <f>IF(AP36=0,"",AS36/AP36)</f>
        <v/>
      </c>
      <c r="AV36" s="33" t="n"/>
      <c r="AW36" s="233" t="n"/>
      <c r="AX36" s="233" t="n"/>
      <c r="AY36" s="233">
        <f>AW36+AX36</f>
        <v/>
      </c>
      <c r="AZ36" s="233" t="n"/>
      <c r="BA36" s="233" t="n"/>
      <c r="BB36" s="233">
        <f>AZ36+BA36</f>
        <v/>
      </c>
      <c r="BC36" s="238">
        <f>BB36-AY36</f>
        <v/>
      </c>
      <c r="BD36" s="235">
        <f>IF(AY36=0,"",BB36/AY36)</f>
        <v/>
      </c>
      <c r="BE36" s="26" t="n"/>
      <c r="BF36" s="236">
        <f>AN36+AW36</f>
        <v/>
      </c>
      <c r="BG36" s="236">
        <f>AO36+AX36</f>
        <v/>
      </c>
      <c r="BH36" s="236">
        <f>BF36+BG36</f>
        <v/>
      </c>
      <c r="BI36" s="236">
        <f>AQ36+AZ36</f>
        <v/>
      </c>
      <c r="BJ36" s="236">
        <f>AR36+BA36</f>
        <v/>
      </c>
      <c r="BK36" s="236">
        <f>BI36+BJ36</f>
        <v/>
      </c>
      <c r="BL36" s="239">
        <f>BK36-BH36</f>
        <v/>
      </c>
      <c r="BM36" s="237">
        <f>IF(BH36=0,"",BK36/BH36)</f>
        <v/>
      </c>
      <c r="BN36" s="33" t="n"/>
      <c r="BO36" s="233" t="n"/>
      <c r="BP36" s="233" t="n"/>
      <c r="BQ36" s="233">
        <f>BO36+BP36</f>
        <v/>
      </c>
      <c r="BR36" s="233" t="n"/>
      <c r="BS36" s="233" t="n"/>
      <c r="BT36" s="233">
        <f>BR36+BS36</f>
        <v/>
      </c>
      <c r="BU36" s="238">
        <f>BT36-BQ36</f>
        <v/>
      </c>
      <c r="BV36" s="235">
        <f>IF(BQ36=0,"",BT36/BQ36)</f>
        <v/>
      </c>
      <c r="BW36" s="26" t="n"/>
      <c r="BX36" s="236">
        <f>BF36+BO36</f>
        <v/>
      </c>
      <c r="BY36" s="236">
        <f>BG36+BP36</f>
        <v/>
      </c>
      <c r="BZ36" s="236">
        <f>BX36+BY36</f>
        <v/>
      </c>
      <c r="CA36" s="236">
        <f>BI36+BR36</f>
        <v/>
      </c>
      <c r="CB36" s="236">
        <f>BJ36+BS36</f>
        <v/>
      </c>
      <c r="CC36" s="236">
        <f>CA36+CB36</f>
        <v/>
      </c>
      <c r="CD36" s="239">
        <f>CC36-BZ36</f>
        <v/>
      </c>
      <c r="CE36" s="237">
        <f>IF(BZ36=0,"",CC36/BZ36)</f>
        <v/>
      </c>
      <c r="CF36" s="33" t="n"/>
      <c r="CG36" s="233" t="n"/>
      <c r="CH36" s="233" t="n"/>
      <c r="CI36" s="233">
        <f>CG36+CH36</f>
        <v/>
      </c>
      <c r="CJ36" s="233" t="n"/>
      <c r="CK36" s="233" t="n"/>
      <c r="CL36" s="233">
        <f>CJ36+CK36</f>
        <v/>
      </c>
      <c r="CM36" s="238">
        <f>CL36-CI36</f>
        <v/>
      </c>
      <c r="CN36" s="235">
        <f>IF(CI36=0,"",CL36/CI36)</f>
        <v/>
      </c>
      <c r="CO36" s="26" t="n"/>
      <c r="CP36" s="236">
        <f>BX36+CG36</f>
        <v/>
      </c>
      <c r="CQ36" s="236">
        <f>BY36+CH36</f>
        <v/>
      </c>
      <c r="CR36" s="236">
        <f>CP36+CQ36</f>
        <v/>
      </c>
      <c r="CS36" s="236">
        <f>CA36+CJ36</f>
        <v/>
      </c>
      <c r="CT36" s="236">
        <f>CB36+CK36</f>
        <v/>
      </c>
      <c r="CU36" s="236">
        <f>CS36+CT36</f>
        <v/>
      </c>
      <c r="CV36" s="239">
        <f>CU36-CR36</f>
        <v/>
      </c>
      <c r="CW36" s="237">
        <f>IF(CR36=0,"",CU36/CR36)</f>
        <v/>
      </c>
      <c r="CX36" s="33" t="n"/>
      <c r="CY36" s="233" t="n"/>
      <c r="CZ36" s="233" t="n"/>
      <c r="DA36" s="233">
        <f>CY36+CZ36</f>
        <v/>
      </c>
      <c r="DB36" s="233" t="n"/>
      <c r="DC36" s="233" t="n"/>
      <c r="DD36" s="233">
        <f>DB36+DC36</f>
        <v/>
      </c>
      <c r="DE36" s="238">
        <f>DD36-DA36</f>
        <v/>
      </c>
      <c r="DF36" s="235">
        <f>IF(DA36=0,"",DD36/DA36)</f>
        <v/>
      </c>
      <c r="DG36" s="26" t="n"/>
      <c r="DH36" s="236">
        <f>CP36+CY36</f>
        <v/>
      </c>
      <c r="DI36" s="236">
        <f>CQ36+CZ36</f>
        <v/>
      </c>
      <c r="DJ36" s="236">
        <f>DH36+DI36</f>
        <v/>
      </c>
      <c r="DK36" s="236">
        <f>CS36+DB36</f>
        <v/>
      </c>
      <c r="DL36" s="236">
        <f>CT36+DC36</f>
        <v/>
      </c>
      <c r="DM36" s="236">
        <f>DK36+DL36</f>
        <v/>
      </c>
      <c r="DN36" s="239">
        <f>DM36-DJ36</f>
        <v/>
      </c>
      <c r="DO36" s="237">
        <f>IF(DJ36=0,"",DM36/DJ36)</f>
        <v/>
      </c>
      <c r="DP36" s="33" t="n"/>
      <c r="DQ36" s="233" t="n"/>
      <c r="DR36" s="233" t="n"/>
      <c r="DS36" s="233">
        <f>DQ36+DR36</f>
        <v/>
      </c>
      <c r="DT36" s="233" t="n"/>
      <c r="DU36" s="233" t="n"/>
      <c r="DV36" s="233">
        <f>DT36+DU36</f>
        <v/>
      </c>
      <c r="DW36" s="238">
        <f>DV36-DS36</f>
        <v/>
      </c>
      <c r="DX36" s="235">
        <f>IF(DS36=0,"",DV36/DS36)</f>
        <v/>
      </c>
      <c r="DY36" s="26" t="n"/>
      <c r="DZ36" s="236">
        <f>DH36+DQ36</f>
        <v/>
      </c>
      <c r="EA36" s="236">
        <f>DI36+DR36</f>
        <v/>
      </c>
      <c r="EB36" s="236">
        <f>DZ36+EA36</f>
        <v/>
      </c>
      <c r="EC36" s="236">
        <f>DK36+DT36</f>
        <v/>
      </c>
      <c r="ED36" s="236">
        <f>DL36+DU36</f>
        <v/>
      </c>
      <c r="EE36" s="236">
        <f>EC36+ED36</f>
        <v/>
      </c>
      <c r="EF36" s="239">
        <f>EE36-EB36</f>
        <v/>
      </c>
      <c r="EG36" s="237">
        <f>IF(EB36=0,"",EE36/EB36)</f>
        <v/>
      </c>
      <c r="EH36" s="33" t="n"/>
      <c r="EI36" s="233" t="n"/>
      <c r="EJ36" s="233" t="n"/>
      <c r="EK36" s="233">
        <f>EI36+EJ36</f>
        <v/>
      </c>
      <c r="EL36" s="233" t="n"/>
      <c r="EM36" s="233" t="n"/>
      <c r="EN36" s="233">
        <f>EL36+EM36</f>
        <v/>
      </c>
      <c r="EO36" s="238">
        <f>EN36-EK36</f>
        <v/>
      </c>
      <c r="EP36" s="235">
        <f>IF(EK36=0,"",EN36/EK36)</f>
        <v/>
      </c>
      <c r="EQ36" s="26" t="n"/>
      <c r="ER36" s="236">
        <f>DZ36+EI36</f>
        <v/>
      </c>
      <c r="ES36" s="236">
        <f>EA36+EJ36</f>
        <v/>
      </c>
      <c r="ET36" s="236">
        <f>ER36+ES36</f>
        <v/>
      </c>
      <c r="EU36" s="236">
        <f>EC36+EL36</f>
        <v/>
      </c>
      <c r="EV36" s="236">
        <f>ED36+EM36</f>
        <v/>
      </c>
      <c r="EW36" s="236">
        <f>EU36+EV36</f>
        <v/>
      </c>
      <c r="EX36" s="239">
        <f>EW36-ET36</f>
        <v/>
      </c>
      <c r="EY36" s="237">
        <f>IF(ET36=0,"",EW36/ET36)</f>
        <v/>
      </c>
      <c r="EZ36" s="33" t="n"/>
      <c r="FA36" s="233" t="n"/>
      <c r="FB36" s="233" t="n"/>
      <c r="FC36" s="233">
        <f>FA36+FB36</f>
        <v/>
      </c>
      <c r="FD36" s="233" t="n"/>
      <c r="FE36" s="233" t="n"/>
      <c r="FF36" s="233">
        <f>FD36+FE36</f>
        <v/>
      </c>
      <c r="FG36" s="238">
        <f>FF36-FC36</f>
        <v/>
      </c>
      <c r="FH36" s="235">
        <f>IF(FC36=0,"",FF36/FC36)</f>
        <v/>
      </c>
      <c r="FI36" s="26" t="n"/>
      <c r="FJ36" s="236">
        <f>ER36+FA36</f>
        <v/>
      </c>
      <c r="FK36" s="236">
        <f>ES36+FB36</f>
        <v/>
      </c>
      <c r="FL36" s="236">
        <f>FJ36+FK36</f>
        <v/>
      </c>
      <c r="FM36" s="236">
        <f>EU36+FD36</f>
        <v/>
      </c>
      <c r="FN36" s="236">
        <f>EV36+FE36</f>
        <v/>
      </c>
      <c r="FO36" s="236">
        <f>FM36+FN36</f>
        <v/>
      </c>
      <c r="FP36" s="239">
        <f>FO36-FL36</f>
        <v/>
      </c>
      <c r="FQ36" s="237">
        <f>IF(FL36=0,"",FO36/FL36)</f>
        <v/>
      </c>
      <c r="FR36" s="33" t="n"/>
      <c r="FS36" s="233" t="n"/>
      <c r="FT36" s="233" t="n"/>
      <c r="FU36" s="233">
        <f>FS36+FT36</f>
        <v/>
      </c>
      <c r="FV36" s="233" t="n"/>
      <c r="FW36" s="233" t="n"/>
      <c r="FX36" s="233">
        <f>FV36+FW36</f>
        <v/>
      </c>
      <c r="FY36" s="238">
        <f>FX36-FU36</f>
        <v/>
      </c>
      <c r="FZ36" s="235">
        <f>IF(FU36=0,"",FX36/FU36)</f>
        <v/>
      </c>
      <c r="GA36" s="26" t="n"/>
      <c r="GB36" s="236">
        <f>FJ36+FS36</f>
        <v/>
      </c>
      <c r="GC36" s="236">
        <f>FK36+FT36</f>
        <v/>
      </c>
      <c r="GD36" s="236">
        <f>GB36+GC36</f>
        <v/>
      </c>
      <c r="GE36" s="236">
        <f>FM36+FV36</f>
        <v/>
      </c>
      <c r="GF36" s="236">
        <f>FN36+FW36</f>
        <v/>
      </c>
      <c r="GG36" s="236">
        <f>GE36+GF36</f>
        <v/>
      </c>
      <c r="GH36" s="239">
        <f>GG36-GD36</f>
        <v/>
      </c>
      <c r="GI36" s="237">
        <f>IF(GD36=0,"",GG36/GD36)</f>
        <v/>
      </c>
      <c r="GJ36" s="33" t="n"/>
      <c r="GK36" s="233" t="n"/>
      <c r="GL36" s="233" t="n"/>
      <c r="GM36" s="233">
        <f>GK36+GL36</f>
        <v/>
      </c>
      <c r="GN36" s="233" t="n"/>
      <c r="GO36" s="233" t="n"/>
      <c r="GP36" s="233">
        <f>GN36+GO36</f>
        <v/>
      </c>
      <c r="GQ36" s="238">
        <f>GP36-GM36</f>
        <v/>
      </c>
      <c r="GR36" s="235">
        <f>IF(GM36=0,"",GP36/GM36)</f>
        <v/>
      </c>
      <c r="GS36" s="26" t="n"/>
      <c r="GT36" s="236">
        <f>GB36+GK36</f>
        <v/>
      </c>
      <c r="GU36" s="236">
        <f>GC36+GL36</f>
        <v/>
      </c>
      <c r="GV36" s="236">
        <f>GT36+GU36</f>
        <v/>
      </c>
      <c r="GW36" s="236">
        <f>GE36+GN36</f>
        <v/>
      </c>
      <c r="GX36" s="236">
        <f>GF36+GO36</f>
        <v/>
      </c>
      <c r="GY36" s="236">
        <f>GW36+GX36</f>
        <v/>
      </c>
      <c r="GZ36" s="239">
        <f>GY36-GV36</f>
        <v/>
      </c>
      <c r="HA36" s="237">
        <f>IF(GV36=0,"",GY36/GV36)</f>
        <v/>
      </c>
      <c r="HB36" s="33" t="n"/>
      <c r="HC36" s="233">
        <f>GT36</f>
        <v/>
      </c>
      <c r="HD36" s="233">
        <f>GU36</f>
        <v/>
      </c>
      <c r="HE36" s="233">
        <f>HC36+HD36</f>
        <v/>
      </c>
    </row>
    <row r="37" outlineLevel="1" ht="15" customHeight="1" s="150">
      <c r="A37" s="26" t="n"/>
      <c r="B37" s="26" t="n"/>
      <c r="C37" s="26" t="n"/>
      <c r="D37" s="233" t="n"/>
      <c r="E37" s="233" t="n"/>
      <c r="F37" s="233">
        <f>D37+E37</f>
        <v/>
      </c>
      <c r="G37" s="233" t="n"/>
      <c r="H37" s="233" t="n"/>
      <c r="I37" s="233">
        <f>G37+H37</f>
        <v/>
      </c>
      <c r="J37" s="238">
        <f>I37-F37</f>
        <v/>
      </c>
      <c r="K37" s="235">
        <f>IF(F37=0,"",I37/F37)</f>
        <v/>
      </c>
      <c r="L37" s="26" t="n"/>
      <c r="M37" s="233" t="n"/>
      <c r="N37" s="233" t="n"/>
      <c r="O37" s="233">
        <f>M37+N37</f>
        <v/>
      </c>
      <c r="P37" s="233" t="n"/>
      <c r="Q37" s="233" t="n"/>
      <c r="R37" s="233">
        <f>P37+Q37</f>
        <v/>
      </c>
      <c r="S37" s="238">
        <f>R37-O37</f>
        <v/>
      </c>
      <c r="T37" s="235">
        <f>IF(O37=0,"",R37/O37)</f>
        <v/>
      </c>
      <c r="U37" s="26" t="n"/>
      <c r="V37" s="236">
        <f>D37+M37</f>
        <v/>
      </c>
      <c r="W37" s="236">
        <f>E37+N37</f>
        <v/>
      </c>
      <c r="X37" s="236">
        <f>V37+W37</f>
        <v/>
      </c>
      <c r="Y37" s="236">
        <f>G37+P37</f>
        <v/>
      </c>
      <c r="Z37" s="236">
        <f>H37+Q37</f>
        <v/>
      </c>
      <c r="AA37" s="236">
        <f>Y37+Z37</f>
        <v/>
      </c>
      <c r="AB37" s="239">
        <f>AA37-X37</f>
        <v/>
      </c>
      <c r="AC37" s="237">
        <f>IF(X37=0,"",AA37/X37)</f>
        <v/>
      </c>
      <c r="AD37" s="33" t="n"/>
      <c r="AE37" s="233" t="n"/>
      <c r="AF37" s="233" t="n"/>
      <c r="AG37" s="233">
        <f>AE37+AF37</f>
        <v/>
      </c>
      <c r="AH37" s="233" t="n"/>
      <c r="AI37" s="233" t="n"/>
      <c r="AJ37" s="233">
        <f>AH37+AI37</f>
        <v/>
      </c>
      <c r="AK37" s="238">
        <f>AJ37-AG37</f>
        <v/>
      </c>
      <c r="AL37" s="235">
        <f>IF(AG37=0,"",AJ37/AG37)</f>
        <v/>
      </c>
      <c r="AM37" s="26" t="n"/>
      <c r="AN37" s="236">
        <f>V37+AE37</f>
        <v/>
      </c>
      <c r="AO37" s="236">
        <f>W37+AF37</f>
        <v/>
      </c>
      <c r="AP37" s="236">
        <f>AN37+AO37</f>
        <v/>
      </c>
      <c r="AQ37" s="236">
        <f>Y37+AH37</f>
        <v/>
      </c>
      <c r="AR37" s="236">
        <f>Z37+AI37</f>
        <v/>
      </c>
      <c r="AS37" s="236">
        <f>AQ37+AR37</f>
        <v/>
      </c>
      <c r="AT37" s="239">
        <f>AS37-AP37</f>
        <v/>
      </c>
      <c r="AU37" s="237">
        <f>IF(AP37=0,"",AS37/AP37)</f>
        <v/>
      </c>
      <c r="AV37" s="33" t="n"/>
      <c r="AW37" s="233" t="n"/>
      <c r="AX37" s="233" t="n"/>
      <c r="AY37" s="233">
        <f>AW37+AX37</f>
        <v/>
      </c>
      <c r="AZ37" s="233" t="n"/>
      <c r="BA37" s="233" t="n"/>
      <c r="BB37" s="233">
        <f>AZ37+BA37</f>
        <v/>
      </c>
      <c r="BC37" s="238">
        <f>BB37-AY37</f>
        <v/>
      </c>
      <c r="BD37" s="235">
        <f>IF(AY37=0,"",BB37/AY37)</f>
        <v/>
      </c>
      <c r="BE37" s="26" t="n"/>
      <c r="BF37" s="236">
        <f>AN37+AW37</f>
        <v/>
      </c>
      <c r="BG37" s="236">
        <f>AO37+AX37</f>
        <v/>
      </c>
      <c r="BH37" s="236">
        <f>BF37+BG37</f>
        <v/>
      </c>
      <c r="BI37" s="236">
        <f>AQ37+AZ37</f>
        <v/>
      </c>
      <c r="BJ37" s="236">
        <f>AR37+BA37</f>
        <v/>
      </c>
      <c r="BK37" s="236">
        <f>BI37+BJ37</f>
        <v/>
      </c>
      <c r="BL37" s="239">
        <f>BK37-BH37</f>
        <v/>
      </c>
      <c r="BM37" s="237">
        <f>IF(BH37=0,"",BK37/BH37)</f>
        <v/>
      </c>
      <c r="BN37" s="33" t="n"/>
      <c r="BO37" s="233" t="n"/>
      <c r="BP37" s="233" t="n"/>
      <c r="BQ37" s="233">
        <f>BO37+BP37</f>
        <v/>
      </c>
      <c r="BR37" s="233" t="n"/>
      <c r="BS37" s="233" t="n"/>
      <c r="BT37" s="233">
        <f>BR37+BS37</f>
        <v/>
      </c>
      <c r="BU37" s="238">
        <f>BT37-BQ37</f>
        <v/>
      </c>
      <c r="BV37" s="235">
        <f>IF(BQ37=0,"",BT37/BQ37)</f>
        <v/>
      </c>
      <c r="BW37" s="26" t="n"/>
      <c r="BX37" s="236">
        <f>BF37+BO37</f>
        <v/>
      </c>
      <c r="BY37" s="236">
        <f>BG37+BP37</f>
        <v/>
      </c>
      <c r="BZ37" s="236">
        <f>BX37+BY37</f>
        <v/>
      </c>
      <c r="CA37" s="236">
        <f>BI37+BR37</f>
        <v/>
      </c>
      <c r="CB37" s="236">
        <f>BJ37+BS37</f>
        <v/>
      </c>
      <c r="CC37" s="236">
        <f>CA37+CB37</f>
        <v/>
      </c>
      <c r="CD37" s="239">
        <f>CC37-BZ37</f>
        <v/>
      </c>
      <c r="CE37" s="237">
        <f>IF(BZ37=0,"",CC37/BZ37)</f>
        <v/>
      </c>
      <c r="CF37" s="33" t="n"/>
      <c r="CG37" s="233" t="n"/>
      <c r="CH37" s="233" t="n"/>
      <c r="CI37" s="233">
        <f>CG37+CH37</f>
        <v/>
      </c>
      <c r="CJ37" s="233" t="n"/>
      <c r="CK37" s="233" t="n"/>
      <c r="CL37" s="233">
        <f>CJ37+CK37</f>
        <v/>
      </c>
      <c r="CM37" s="238">
        <f>CL37-CI37</f>
        <v/>
      </c>
      <c r="CN37" s="235">
        <f>IF(CI37=0,"",CL37/CI37)</f>
        <v/>
      </c>
      <c r="CO37" s="26" t="n"/>
      <c r="CP37" s="236">
        <f>BX37+CG37</f>
        <v/>
      </c>
      <c r="CQ37" s="236">
        <f>BY37+CH37</f>
        <v/>
      </c>
      <c r="CR37" s="236">
        <f>CP37+CQ37</f>
        <v/>
      </c>
      <c r="CS37" s="236">
        <f>CA37+CJ37</f>
        <v/>
      </c>
      <c r="CT37" s="236">
        <f>CB37+CK37</f>
        <v/>
      </c>
      <c r="CU37" s="236">
        <f>CS37+CT37</f>
        <v/>
      </c>
      <c r="CV37" s="239">
        <f>CU37-CR37</f>
        <v/>
      </c>
      <c r="CW37" s="237">
        <f>IF(CR37=0,"",CU37/CR37)</f>
        <v/>
      </c>
      <c r="CX37" s="33" t="n"/>
      <c r="CY37" s="233" t="n"/>
      <c r="CZ37" s="233" t="n"/>
      <c r="DA37" s="233">
        <f>CY37+CZ37</f>
        <v/>
      </c>
      <c r="DB37" s="233" t="n"/>
      <c r="DC37" s="233" t="n"/>
      <c r="DD37" s="233">
        <f>DB37+DC37</f>
        <v/>
      </c>
      <c r="DE37" s="238">
        <f>DD37-DA37</f>
        <v/>
      </c>
      <c r="DF37" s="235">
        <f>IF(DA37=0,"",DD37/DA37)</f>
        <v/>
      </c>
      <c r="DG37" s="26" t="n"/>
      <c r="DH37" s="236">
        <f>CP37+CY37</f>
        <v/>
      </c>
      <c r="DI37" s="236">
        <f>CQ37+CZ37</f>
        <v/>
      </c>
      <c r="DJ37" s="236">
        <f>DH37+DI37</f>
        <v/>
      </c>
      <c r="DK37" s="236">
        <f>CS37+DB37</f>
        <v/>
      </c>
      <c r="DL37" s="236">
        <f>CT37+DC37</f>
        <v/>
      </c>
      <c r="DM37" s="236">
        <f>DK37+DL37</f>
        <v/>
      </c>
      <c r="DN37" s="239">
        <f>DM37-DJ37</f>
        <v/>
      </c>
      <c r="DO37" s="237">
        <f>IF(DJ37=0,"",DM37/DJ37)</f>
        <v/>
      </c>
      <c r="DP37" s="33" t="n"/>
      <c r="DQ37" s="233" t="n"/>
      <c r="DR37" s="233" t="n"/>
      <c r="DS37" s="233">
        <f>DQ37+DR37</f>
        <v/>
      </c>
      <c r="DT37" s="233" t="n"/>
      <c r="DU37" s="233" t="n"/>
      <c r="DV37" s="233">
        <f>DT37+DU37</f>
        <v/>
      </c>
      <c r="DW37" s="238">
        <f>DV37-DS37</f>
        <v/>
      </c>
      <c r="DX37" s="235">
        <f>IF(DS37=0,"",DV37/DS37)</f>
        <v/>
      </c>
      <c r="DY37" s="26" t="n"/>
      <c r="DZ37" s="236">
        <f>DH37+DQ37</f>
        <v/>
      </c>
      <c r="EA37" s="236">
        <f>DI37+DR37</f>
        <v/>
      </c>
      <c r="EB37" s="236">
        <f>DZ37+EA37</f>
        <v/>
      </c>
      <c r="EC37" s="236">
        <f>DK37+DT37</f>
        <v/>
      </c>
      <c r="ED37" s="236">
        <f>DL37+DU37</f>
        <v/>
      </c>
      <c r="EE37" s="236">
        <f>EC37+ED37</f>
        <v/>
      </c>
      <c r="EF37" s="239">
        <f>EE37-EB37</f>
        <v/>
      </c>
      <c r="EG37" s="237">
        <f>IF(EB37=0,"",EE37/EB37)</f>
        <v/>
      </c>
      <c r="EH37" s="33" t="n"/>
      <c r="EI37" s="233" t="n"/>
      <c r="EJ37" s="233" t="n"/>
      <c r="EK37" s="233">
        <f>EI37+EJ37</f>
        <v/>
      </c>
      <c r="EL37" s="233" t="n"/>
      <c r="EM37" s="233" t="n"/>
      <c r="EN37" s="233">
        <f>EL37+EM37</f>
        <v/>
      </c>
      <c r="EO37" s="238">
        <f>EN37-EK37</f>
        <v/>
      </c>
      <c r="EP37" s="235">
        <f>IF(EK37=0,"",EN37/EK37)</f>
        <v/>
      </c>
      <c r="EQ37" s="26" t="n"/>
      <c r="ER37" s="236">
        <f>DZ37+EI37</f>
        <v/>
      </c>
      <c r="ES37" s="236">
        <f>EA37+EJ37</f>
        <v/>
      </c>
      <c r="ET37" s="236">
        <f>ER37+ES37</f>
        <v/>
      </c>
      <c r="EU37" s="236">
        <f>EC37+EL37</f>
        <v/>
      </c>
      <c r="EV37" s="236">
        <f>ED37+EM37</f>
        <v/>
      </c>
      <c r="EW37" s="236">
        <f>EU37+EV37</f>
        <v/>
      </c>
      <c r="EX37" s="239">
        <f>EW37-ET37</f>
        <v/>
      </c>
      <c r="EY37" s="237">
        <f>IF(ET37=0,"",EW37/ET37)</f>
        <v/>
      </c>
      <c r="EZ37" s="33" t="n"/>
      <c r="FA37" s="233" t="n"/>
      <c r="FB37" s="233" t="n"/>
      <c r="FC37" s="233">
        <f>FA37+FB37</f>
        <v/>
      </c>
      <c r="FD37" s="233" t="n"/>
      <c r="FE37" s="233" t="n"/>
      <c r="FF37" s="233">
        <f>FD37+FE37</f>
        <v/>
      </c>
      <c r="FG37" s="238">
        <f>FF37-FC37</f>
        <v/>
      </c>
      <c r="FH37" s="235">
        <f>IF(FC37=0,"",FF37/FC37)</f>
        <v/>
      </c>
      <c r="FI37" s="26" t="n"/>
      <c r="FJ37" s="236">
        <f>ER37+FA37</f>
        <v/>
      </c>
      <c r="FK37" s="236">
        <f>ES37+FB37</f>
        <v/>
      </c>
      <c r="FL37" s="236">
        <f>FJ37+FK37</f>
        <v/>
      </c>
      <c r="FM37" s="236">
        <f>EU37+FD37</f>
        <v/>
      </c>
      <c r="FN37" s="236">
        <f>EV37+FE37</f>
        <v/>
      </c>
      <c r="FO37" s="236">
        <f>FM37+FN37</f>
        <v/>
      </c>
      <c r="FP37" s="239">
        <f>FO37-FL37</f>
        <v/>
      </c>
      <c r="FQ37" s="237">
        <f>IF(FL37=0,"",FO37/FL37)</f>
        <v/>
      </c>
      <c r="FR37" s="33" t="n"/>
      <c r="FS37" s="233" t="n"/>
      <c r="FT37" s="233" t="n"/>
      <c r="FU37" s="233">
        <f>FS37+FT37</f>
        <v/>
      </c>
      <c r="FV37" s="233" t="n"/>
      <c r="FW37" s="233" t="n"/>
      <c r="FX37" s="233">
        <f>FV37+FW37</f>
        <v/>
      </c>
      <c r="FY37" s="238">
        <f>FX37-FU37</f>
        <v/>
      </c>
      <c r="FZ37" s="235">
        <f>IF(FU37=0,"",FX37/FU37)</f>
        <v/>
      </c>
      <c r="GA37" s="26" t="n"/>
      <c r="GB37" s="236">
        <f>FJ37+FS37</f>
        <v/>
      </c>
      <c r="GC37" s="236">
        <f>FK37+FT37</f>
        <v/>
      </c>
      <c r="GD37" s="236">
        <f>GB37+GC37</f>
        <v/>
      </c>
      <c r="GE37" s="236">
        <f>FM37+FV37</f>
        <v/>
      </c>
      <c r="GF37" s="236">
        <f>FN37+FW37</f>
        <v/>
      </c>
      <c r="GG37" s="236">
        <f>GE37+GF37</f>
        <v/>
      </c>
      <c r="GH37" s="239">
        <f>GG37-GD37</f>
        <v/>
      </c>
      <c r="GI37" s="237">
        <f>IF(GD37=0,"",GG37/GD37)</f>
        <v/>
      </c>
      <c r="GJ37" s="33" t="n"/>
      <c r="GK37" s="233" t="n"/>
      <c r="GL37" s="233" t="n"/>
      <c r="GM37" s="233">
        <f>GK37+GL37</f>
        <v/>
      </c>
      <c r="GN37" s="233" t="n"/>
      <c r="GO37" s="233" t="n"/>
      <c r="GP37" s="233">
        <f>GN37+GO37</f>
        <v/>
      </c>
      <c r="GQ37" s="238">
        <f>GP37-GM37</f>
        <v/>
      </c>
      <c r="GR37" s="235">
        <f>IF(GM37=0,"",GP37/GM37)</f>
        <v/>
      </c>
      <c r="GS37" s="26" t="n"/>
      <c r="GT37" s="236">
        <f>GB37+GK37</f>
        <v/>
      </c>
      <c r="GU37" s="236">
        <f>GC37+GL37</f>
        <v/>
      </c>
      <c r="GV37" s="236">
        <f>GT37+GU37</f>
        <v/>
      </c>
      <c r="GW37" s="236">
        <f>GE37+GN37</f>
        <v/>
      </c>
      <c r="GX37" s="236">
        <f>GF37+GO37</f>
        <v/>
      </c>
      <c r="GY37" s="236">
        <f>GW37+GX37</f>
        <v/>
      </c>
      <c r="GZ37" s="239">
        <f>GY37-GV37</f>
        <v/>
      </c>
      <c r="HA37" s="237">
        <f>IF(GV37=0,"",GY37/GV37)</f>
        <v/>
      </c>
      <c r="HB37" s="33" t="n"/>
      <c r="HC37" s="233">
        <f>GT37</f>
        <v/>
      </c>
      <c r="HD37" s="233">
        <f>GU37</f>
        <v/>
      </c>
      <c r="HE37" s="233">
        <f>HC37+HD37</f>
        <v/>
      </c>
    </row>
    <row r="38" outlineLevel="1" ht="15" customHeight="1" s="150">
      <c r="A38" s="26" t="n"/>
      <c r="B38" s="26" t="n"/>
      <c r="C38" s="26" t="n"/>
      <c r="D38" s="233" t="n"/>
      <c r="E38" s="233" t="n"/>
      <c r="F38" s="233">
        <f>D38+E38</f>
        <v/>
      </c>
      <c r="G38" s="233" t="n"/>
      <c r="H38" s="233" t="n"/>
      <c r="I38" s="233">
        <f>G38+H38</f>
        <v/>
      </c>
      <c r="J38" s="238">
        <f>I38-F38</f>
        <v/>
      </c>
      <c r="K38" s="235">
        <f>IF(F38=0,"",I38/F38)</f>
        <v/>
      </c>
      <c r="L38" s="26" t="n"/>
      <c r="M38" s="233" t="n"/>
      <c r="N38" s="233" t="n"/>
      <c r="O38" s="233">
        <f>M38+N38</f>
        <v/>
      </c>
      <c r="P38" s="233" t="n"/>
      <c r="Q38" s="233" t="n"/>
      <c r="R38" s="233">
        <f>P38+Q38</f>
        <v/>
      </c>
      <c r="S38" s="238">
        <f>R38-O38</f>
        <v/>
      </c>
      <c r="T38" s="235">
        <f>IF(O38=0,"",R38/O38)</f>
        <v/>
      </c>
      <c r="U38" s="26" t="n"/>
      <c r="V38" s="236">
        <f>D38+M38</f>
        <v/>
      </c>
      <c r="W38" s="236">
        <f>E38+N38</f>
        <v/>
      </c>
      <c r="X38" s="236">
        <f>V38+W38</f>
        <v/>
      </c>
      <c r="Y38" s="236">
        <f>G38+P38</f>
        <v/>
      </c>
      <c r="Z38" s="236">
        <f>H38+Q38</f>
        <v/>
      </c>
      <c r="AA38" s="236">
        <f>Y38+Z38</f>
        <v/>
      </c>
      <c r="AB38" s="239">
        <f>AA38-X38</f>
        <v/>
      </c>
      <c r="AC38" s="237">
        <f>IF(X38=0,"",AA38/X38)</f>
        <v/>
      </c>
      <c r="AD38" s="33" t="n"/>
      <c r="AE38" s="233" t="n"/>
      <c r="AF38" s="233" t="n"/>
      <c r="AG38" s="233">
        <f>AE38+AF38</f>
        <v/>
      </c>
      <c r="AH38" s="233" t="n"/>
      <c r="AI38" s="233" t="n"/>
      <c r="AJ38" s="233">
        <f>AH38+AI38</f>
        <v/>
      </c>
      <c r="AK38" s="234">
        <f>AJ38-AG38</f>
        <v/>
      </c>
      <c r="AL38" s="235">
        <f>IF(AG38=0,"",AJ38/AG38)</f>
        <v/>
      </c>
      <c r="AM38" s="26" t="n"/>
      <c r="AN38" s="236">
        <f>V38+AE38</f>
        <v/>
      </c>
      <c r="AO38" s="236">
        <f>W38+AF38</f>
        <v/>
      </c>
      <c r="AP38" s="236">
        <f>AN38+AO38</f>
        <v/>
      </c>
      <c r="AQ38" s="236">
        <f>Y38+AH38</f>
        <v/>
      </c>
      <c r="AR38" s="236">
        <f>Z38+AI38</f>
        <v/>
      </c>
      <c r="AS38" s="236">
        <f>AQ38+AR38</f>
        <v/>
      </c>
      <c r="AT38" s="239">
        <f>AS38-AP38</f>
        <v/>
      </c>
      <c r="AU38" s="237">
        <f>IF(AP38=0,"",AS38/AP38)</f>
        <v/>
      </c>
      <c r="AV38" s="33" t="n"/>
      <c r="AW38" s="233" t="n"/>
      <c r="AX38" s="233" t="n"/>
      <c r="AY38" s="233">
        <f>AW38+AX38</f>
        <v/>
      </c>
      <c r="AZ38" s="233" t="n"/>
      <c r="BA38" s="233" t="n"/>
      <c r="BB38" s="233">
        <f>AZ38+BA38</f>
        <v/>
      </c>
      <c r="BC38" s="238">
        <f>BB38-AY38</f>
        <v/>
      </c>
      <c r="BD38" s="235">
        <f>IF(AY38=0,"",BB38/AY38)</f>
        <v/>
      </c>
      <c r="BE38" s="26" t="n"/>
      <c r="BF38" s="236">
        <f>AN38+AW38</f>
        <v/>
      </c>
      <c r="BG38" s="236">
        <f>AO38+AX38</f>
        <v/>
      </c>
      <c r="BH38" s="236">
        <f>BF38+BG38</f>
        <v/>
      </c>
      <c r="BI38" s="236">
        <f>AQ38+AZ38</f>
        <v/>
      </c>
      <c r="BJ38" s="236">
        <f>AR38+BA38</f>
        <v/>
      </c>
      <c r="BK38" s="236">
        <f>BI38+BJ38</f>
        <v/>
      </c>
      <c r="BL38" s="239">
        <f>BK38-BH38</f>
        <v/>
      </c>
      <c r="BM38" s="237">
        <f>IF(BH38=0,"",BK38/BH38)</f>
        <v/>
      </c>
      <c r="BN38" s="33" t="n"/>
      <c r="BO38" s="233" t="n"/>
      <c r="BP38" s="233" t="n"/>
      <c r="BQ38" s="233">
        <f>BO38+BP38</f>
        <v/>
      </c>
      <c r="BR38" s="233" t="n"/>
      <c r="BS38" s="233" t="n"/>
      <c r="BT38" s="233">
        <f>BR38+BS38</f>
        <v/>
      </c>
      <c r="BU38" s="238">
        <f>BT38-BQ38</f>
        <v/>
      </c>
      <c r="BV38" s="235">
        <f>IF(BQ38=0,"",BT38/BQ38)</f>
        <v/>
      </c>
      <c r="BW38" s="26" t="n"/>
      <c r="BX38" s="236">
        <f>BF38+BO38</f>
        <v/>
      </c>
      <c r="BY38" s="236">
        <f>BG38+BP38</f>
        <v/>
      </c>
      <c r="BZ38" s="236">
        <f>BX38+BY38</f>
        <v/>
      </c>
      <c r="CA38" s="236">
        <f>BI38+BR38</f>
        <v/>
      </c>
      <c r="CB38" s="236">
        <f>BJ38+BS38</f>
        <v/>
      </c>
      <c r="CC38" s="236">
        <f>CA38+CB38</f>
        <v/>
      </c>
      <c r="CD38" s="239">
        <f>CC38-BZ38</f>
        <v/>
      </c>
      <c r="CE38" s="237">
        <f>IF(BZ38=0,"",CC38/BZ38)</f>
        <v/>
      </c>
      <c r="CF38" s="33" t="n"/>
      <c r="CG38" s="233" t="n"/>
      <c r="CH38" s="233" t="n"/>
      <c r="CI38" s="233">
        <f>CG38+CH38</f>
        <v/>
      </c>
      <c r="CJ38" s="233" t="n"/>
      <c r="CK38" s="233" t="n"/>
      <c r="CL38" s="233">
        <f>CJ38+CK38</f>
        <v/>
      </c>
      <c r="CM38" s="238">
        <f>CL38-CI38</f>
        <v/>
      </c>
      <c r="CN38" s="235">
        <f>IF(CI38=0,"",CL38/CI38)</f>
        <v/>
      </c>
      <c r="CO38" s="26" t="n"/>
      <c r="CP38" s="236">
        <f>BX38+CG38</f>
        <v/>
      </c>
      <c r="CQ38" s="236">
        <f>BY38+CH38</f>
        <v/>
      </c>
      <c r="CR38" s="236">
        <f>CP38+CQ38</f>
        <v/>
      </c>
      <c r="CS38" s="236">
        <f>CA38+CJ38</f>
        <v/>
      </c>
      <c r="CT38" s="236">
        <f>CB38+CK38</f>
        <v/>
      </c>
      <c r="CU38" s="236">
        <f>CS38+CT38</f>
        <v/>
      </c>
      <c r="CV38" s="239">
        <f>CU38-CR38</f>
        <v/>
      </c>
      <c r="CW38" s="237">
        <f>IF(CR38=0,"",CU38/CR38)</f>
        <v/>
      </c>
      <c r="CX38" s="33" t="n"/>
      <c r="CY38" s="233" t="n"/>
      <c r="CZ38" s="233" t="n"/>
      <c r="DA38" s="233">
        <f>CY38+CZ38</f>
        <v/>
      </c>
      <c r="DB38" s="233" t="n"/>
      <c r="DC38" s="233" t="n"/>
      <c r="DD38" s="233">
        <f>DB38+DC38</f>
        <v/>
      </c>
      <c r="DE38" s="238">
        <f>DD38-DA38</f>
        <v/>
      </c>
      <c r="DF38" s="235">
        <f>IF(DA38=0,"",DD38/DA38)</f>
        <v/>
      </c>
      <c r="DG38" s="26" t="n"/>
      <c r="DH38" s="236">
        <f>CP38+CY38</f>
        <v/>
      </c>
      <c r="DI38" s="236">
        <f>CQ38+CZ38</f>
        <v/>
      </c>
      <c r="DJ38" s="236">
        <f>DH38+DI38</f>
        <v/>
      </c>
      <c r="DK38" s="236">
        <f>CS38+DB38</f>
        <v/>
      </c>
      <c r="DL38" s="236">
        <f>CT38+DC38</f>
        <v/>
      </c>
      <c r="DM38" s="236">
        <f>DK38+DL38</f>
        <v/>
      </c>
      <c r="DN38" s="239">
        <f>DM38-DJ38</f>
        <v/>
      </c>
      <c r="DO38" s="237">
        <f>IF(DJ38=0,"",DM38/DJ38)</f>
        <v/>
      </c>
      <c r="DP38" s="33" t="n"/>
      <c r="DQ38" s="233" t="n"/>
      <c r="DR38" s="233" t="n"/>
      <c r="DS38" s="233">
        <f>DQ38+DR38</f>
        <v/>
      </c>
      <c r="DT38" s="233" t="n"/>
      <c r="DU38" s="233" t="n"/>
      <c r="DV38" s="233">
        <f>DT38+DU38</f>
        <v/>
      </c>
      <c r="DW38" s="238">
        <f>DV38-DS38</f>
        <v/>
      </c>
      <c r="DX38" s="235">
        <f>IF(DS38=0,"",DV38/DS38)</f>
        <v/>
      </c>
      <c r="DY38" s="26" t="n"/>
      <c r="DZ38" s="236">
        <f>DH38+DQ38</f>
        <v/>
      </c>
      <c r="EA38" s="236">
        <f>DI38+DR38</f>
        <v/>
      </c>
      <c r="EB38" s="236">
        <f>DZ38+EA38</f>
        <v/>
      </c>
      <c r="EC38" s="236">
        <f>DK38+DT38</f>
        <v/>
      </c>
      <c r="ED38" s="236">
        <f>DL38+DU38</f>
        <v/>
      </c>
      <c r="EE38" s="236">
        <f>EC38+ED38</f>
        <v/>
      </c>
      <c r="EF38" s="239">
        <f>EE38-EB38</f>
        <v/>
      </c>
      <c r="EG38" s="237">
        <f>IF(EB38=0,"",EE38/EB38)</f>
        <v/>
      </c>
      <c r="EH38" s="33" t="n"/>
      <c r="EI38" s="233" t="n"/>
      <c r="EJ38" s="233" t="n"/>
      <c r="EK38" s="233">
        <f>EI38+EJ38</f>
        <v/>
      </c>
      <c r="EL38" s="233" t="n"/>
      <c r="EM38" s="233" t="n"/>
      <c r="EN38" s="233">
        <f>EL38+EM38</f>
        <v/>
      </c>
      <c r="EO38" s="238">
        <f>EN38-EK38</f>
        <v/>
      </c>
      <c r="EP38" s="235">
        <f>IF(EK38=0,"",EN38/EK38)</f>
        <v/>
      </c>
      <c r="EQ38" s="26" t="n"/>
      <c r="ER38" s="236">
        <f>DZ38+EI38</f>
        <v/>
      </c>
      <c r="ES38" s="236">
        <f>EA38+EJ38</f>
        <v/>
      </c>
      <c r="ET38" s="236">
        <f>ER38+ES38</f>
        <v/>
      </c>
      <c r="EU38" s="236">
        <f>EC38+EL38</f>
        <v/>
      </c>
      <c r="EV38" s="236">
        <f>ED38+EM38</f>
        <v/>
      </c>
      <c r="EW38" s="236">
        <f>EU38+EV38</f>
        <v/>
      </c>
      <c r="EX38" s="239">
        <f>EW38-ET38</f>
        <v/>
      </c>
      <c r="EY38" s="237">
        <f>IF(ET38=0,"",EW38/ET38)</f>
        <v/>
      </c>
      <c r="EZ38" s="33" t="n"/>
      <c r="FA38" s="233" t="n"/>
      <c r="FB38" s="233" t="n"/>
      <c r="FC38" s="233">
        <f>FA38+FB38</f>
        <v/>
      </c>
      <c r="FD38" s="233" t="n"/>
      <c r="FE38" s="233" t="n"/>
      <c r="FF38" s="233">
        <f>FD38+FE38</f>
        <v/>
      </c>
      <c r="FG38" s="238">
        <f>FF38-FC38</f>
        <v/>
      </c>
      <c r="FH38" s="235">
        <f>IF(FC38=0,"",FF38/FC38)</f>
        <v/>
      </c>
      <c r="FI38" s="26" t="n"/>
      <c r="FJ38" s="236">
        <f>ER38+FA38</f>
        <v/>
      </c>
      <c r="FK38" s="236">
        <f>ES38+FB38</f>
        <v/>
      </c>
      <c r="FL38" s="236">
        <f>FJ38+FK38</f>
        <v/>
      </c>
      <c r="FM38" s="236">
        <f>EU38+FD38</f>
        <v/>
      </c>
      <c r="FN38" s="236">
        <f>EV38+FE38</f>
        <v/>
      </c>
      <c r="FO38" s="236">
        <f>FM38+FN38</f>
        <v/>
      </c>
      <c r="FP38" s="239">
        <f>FO38-FL38</f>
        <v/>
      </c>
      <c r="FQ38" s="237">
        <f>IF(FL38=0,"",FO38/FL38)</f>
        <v/>
      </c>
      <c r="FR38" s="33" t="n"/>
      <c r="FS38" s="233" t="n"/>
      <c r="FT38" s="233" t="n"/>
      <c r="FU38" s="233">
        <f>FS38+FT38</f>
        <v/>
      </c>
      <c r="FV38" s="233" t="n"/>
      <c r="FW38" s="233" t="n"/>
      <c r="FX38" s="233">
        <f>FV38+FW38</f>
        <v/>
      </c>
      <c r="FY38" s="238">
        <f>FX38-FU38</f>
        <v/>
      </c>
      <c r="FZ38" s="235">
        <f>IF(FU38=0,"",FX38/FU38)</f>
        <v/>
      </c>
      <c r="GA38" s="26" t="n"/>
      <c r="GB38" s="236">
        <f>FJ38+FS38</f>
        <v/>
      </c>
      <c r="GC38" s="236">
        <f>FK38+FT38</f>
        <v/>
      </c>
      <c r="GD38" s="236">
        <f>GB38+GC38</f>
        <v/>
      </c>
      <c r="GE38" s="236">
        <f>FM38+FV38</f>
        <v/>
      </c>
      <c r="GF38" s="236">
        <f>FN38+FW38</f>
        <v/>
      </c>
      <c r="GG38" s="236">
        <f>GE38+GF38</f>
        <v/>
      </c>
      <c r="GH38" s="239">
        <f>GG38-GD38</f>
        <v/>
      </c>
      <c r="GI38" s="237">
        <f>IF(GD38=0,"",GG38/GD38)</f>
        <v/>
      </c>
      <c r="GJ38" s="33" t="n"/>
      <c r="GK38" s="233" t="n"/>
      <c r="GL38" s="233" t="n"/>
      <c r="GM38" s="233">
        <f>GK38+GL38</f>
        <v/>
      </c>
      <c r="GN38" s="233" t="n"/>
      <c r="GO38" s="233" t="n"/>
      <c r="GP38" s="233">
        <f>GN38+GO38</f>
        <v/>
      </c>
      <c r="GQ38" s="238">
        <f>GP38-GM38</f>
        <v/>
      </c>
      <c r="GR38" s="235">
        <f>IF(GM38=0,"",GP38/GM38)</f>
        <v/>
      </c>
      <c r="GS38" s="26" t="n"/>
      <c r="GT38" s="236">
        <f>GB38+GK38</f>
        <v/>
      </c>
      <c r="GU38" s="236">
        <f>GC38+GL38</f>
        <v/>
      </c>
      <c r="GV38" s="236">
        <f>GT38+GU38</f>
        <v/>
      </c>
      <c r="GW38" s="236">
        <f>GE38+GN38</f>
        <v/>
      </c>
      <c r="GX38" s="236">
        <f>GF38+GO38</f>
        <v/>
      </c>
      <c r="GY38" s="236">
        <f>GW38+GX38</f>
        <v/>
      </c>
      <c r="GZ38" s="239">
        <f>GY38-GV38</f>
        <v/>
      </c>
      <c r="HA38" s="237">
        <f>IF(GV38=0,"",GY38/GV38)</f>
        <v/>
      </c>
      <c r="HB38" s="33" t="n"/>
      <c r="HC38" s="233">
        <f>GT38</f>
        <v/>
      </c>
      <c r="HD38" s="233">
        <f>GU38</f>
        <v/>
      </c>
      <c r="HE38" s="233">
        <f>HC38+HD38</f>
        <v/>
      </c>
    </row>
    <row r="39" outlineLevel="1" ht="15" customHeight="1" s="150">
      <c r="A39" s="26" t="n"/>
      <c r="B39" s="26" t="n"/>
      <c r="C39" s="26" t="n"/>
      <c r="D39" s="233" t="n"/>
      <c r="E39" s="233" t="n"/>
      <c r="F39" s="233">
        <f>D39+E39</f>
        <v/>
      </c>
      <c r="G39" s="233" t="n"/>
      <c r="H39" s="233" t="n"/>
      <c r="I39" s="233">
        <f>G39+H39</f>
        <v/>
      </c>
      <c r="J39" s="238">
        <f>I39-F39</f>
        <v/>
      </c>
      <c r="K39" s="235">
        <f>IF(F39=0,"",I39/F39)</f>
        <v/>
      </c>
      <c r="L39" s="26" t="n"/>
      <c r="M39" s="233" t="n"/>
      <c r="N39" s="233" t="n"/>
      <c r="O39" s="233">
        <f>M39+N39</f>
        <v/>
      </c>
      <c r="P39" s="233" t="n"/>
      <c r="Q39" s="233" t="n"/>
      <c r="R39" s="233">
        <f>P39+Q39</f>
        <v/>
      </c>
      <c r="S39" s="238">
        <f>R39-O39</f>
        <v/>
      </c>
      <c r="T39" s="235">
        <f>IF(O39=0,"",R39/O39)</f>
        <v/>
      </c>
      <c r="U39" s="26" t="n"/>
      <c r="V39" s="236">
        <f>D39+M39</f>
        <v/>
      </c>
      <c r="W39" s="236">
        <f>E39+N39</f>
        <v/>
      </c>
      <c r="X39" s="236">
        <f>V39+W39</f>
        <v/>
      </c>
      <c r="Y39" s="236">
        <f>G39+P39</f>
        <v/>
      </c>
      <c r="Z39" s="236">
        <f>H39+Q39</f>
        <v/>
      </c>
      <c r="AA39" s="236">
        <f>Y39+Z39</f>
        <v/>
      </c>
      <c r="AB39" s="239">
        <f>AA39-X39</f>
        <v/>
      </c>
      <c r="AC39" s="237">
        <f>IF(X39=0,"",AA39/X39)</f>
        <v/>
      </c>
      <c r="AD39" s="33" t="n"/>
      <c r="AE39" s="233" t="n"/>
      <c r="AF39" s="233" t="n"/>
      <c r="AG39" s="233">
        <f>AE39+AF39</f>
        <v/>
      </c>
      <c r="AH39" s="233" t="n"/>
      <c r="AI39" s="233" t="n"/>
      <c r="AJ39" s="233">
        <f>AH39+AI39</f>
        <v/>
      </c>
      <c r="AK39" s="238">
        <f>AJ39-AG39</f>
        <v/>
      </c>
      <c r="AL39" s="235">
        <f>IF(AG39=0,"",AJ39/AG39)</f>
        <v/>
      </c>
      <c r="AM39" s="26" t="n"/>
      <c r="AN39" s="236">
        <f>V39+AE39</f>
        <v/>
      </c>
      <c r="AO39" s="236">
        <f>W39+AF39</f>
        <v/>
      </c>
      <c r="AP39" s="236">
        <f>AN39+AO39</f>
        <v/>
      </c>
      <c r="AQ39" s="236">
        <f>Y39+AH39</f>
        <v/>
      </c>
      <c r="AR39" s="236">
        <f>Z39+AI39</f>
        <v/>
      </c>
      <c r="AS39" s="236">
        <f>AQ39+AR39</f>
        <v/>
      </c>
      <c r="AT39" s="239">
        <f>AS39-AP39</f>
        <v/>
      </c>
      <c r="AU39" s="237">
        <f>IF(AP39=0,"",AS39/AP39)</f>
        <v/>
      </c>
      <c r="AV39" s="33" t="n"/>
      <c r="AW39" s="233" t="n"/>
      <c r="AX39" s="233" t="n"/>
      <c r="AY39" s="233">
        <f>AW39+AX39</f>
        <v/>
      </c>
      <c r="AZ39" s="233" t="n"/>
      <c r="BA39" s="233" t="n"/>
      <c r="BB39" s="233">
        <f>AZ39+BA39</f>
        <v/>
      </c>
      <c r="BC39" s="238">
        <f>BB39-AY39</f>
        <v/>
      </c>
      <c r="BD39" s="235">
        <f>IF(AY39=0,"",BB39/AY39)</f>
        <v/>
      </c>
      <c r="BE39" s="26" t="n"/>
      <c r="BF39" s="236">
        <f>AN39+AW39</f>
        <v/>
      </c>
      <c r="BG39" s="236">
        <f>AO39+AX39</f>
        <v/>
      </c>
      <c r="BH39" s="236">
        <f>BF39+BG39</f>
        <v/>
      </c>
      <c r="BI39" s="236">
        <f>AQ39+AZ39</f>
        <v/>
      </c>
      <c r="BJ39" s="236">
        <f>AR39+BA39</f>
        <v/>
      </c>
      <c r="BK39" s="236">
        <f>BI39+BJ39</f>
        <v/>
      </c>
      <c r="BL39" s="239">
        <f>BK39-BH39</f>
        <v/>
      </c>
      <c r="BM39" s="237">
        <f>IF(BH39=0,"",BK39/BH39)</f>
        <v/>
      </c>
      <c r="BN39" s="33" t="n"/>
      <c r="BO39" s="233" t="n"/>
      <c r="BP39" s="233" t="n"/>
      <c r="BQ39" s="233">
        <f>BO39+BP39</f>
        <v/>
      </c>
      <c r="BR39" s="233" t="n"/>
      <c r="BS39" s="233" t="n"/>
      <c r="BT39" s="233">
        <f>BR39+BS39</f>
        <v/>
      </c>
      <c r="BU39" s="238">
        <f>BT39-BQ39</f>
        <v/>
      </c>
      <c r="BV39" s="235">
        <f>IF(BQ39=0,"",BT39/BQ39)</f>
        <v/>
      </c>
      <c r="BW39" s="26" t="n"/>
      <c r="BX39" s="236">
        <f>BF39+BO39</f>
        <v/>
      </c>
      <c r="BY39" s="236">
        <f>BG39+BP39</f>
        <v/>
      </c>
      <c r="BZ39" s="236">
        <f>BX39+BY39</f>
        <v/>
      </c>
      <c r="CA39" s="236">
        <f>BI39+BR39</f>
        <v/>
      </c>
      <c r="CB39" s="236">
        <f>BJ39+BS39</f>
        <v/>
      </c>
      <c r="CC39" s="236">
        <f>CA39+CB39</f>
        <v/>
      </c>
      <c r="CD39" s="239">
        <f>CC39-BZ39</f>
        <v/>
      </c>
      <c r="CE39" s="237">
        <f>IF(BZ39=0,"",CC39/BZ39)</f>
        <v/>
      </c>
      <c r="CF39" s="33" t="n"/>
      <c r="CG39" s="233" t="n"/>
      <c r="CH39" s="233" t="n"/>
      <c r="CI39" s="233">
        <f>CG39+CH39</f>
        <v/>
      </c>
      <c r="CJ39" s="233" t="n"/>
      <c r="CK39" s="233" t="n"/>
      <c r="CL39" s="233">
        <f>CJ39+CK39</f>
        <v/>
      </c>
      <c r="CM39" s="238">
        <f>CL39-CI39</f>
        <v/>
      </c>
      <c r="CN39" s="235">
        <f>IF(CI39=0,"",CL39/CI39)</f>
        <v/>
      </c>
      <c r="CO39" s="26" t="n"/>
      <c r="CP39" s="236">
        <f>BX39+CG39</f>
        <v/>
      </c>
      <c r="CQ39" s="236">
        <f>BY39+CH39</f>
        <v/>
      </c>
      <c r="CR39" s="236">
        <f>CP39+CQ39</f>
        <v/>
      </c>
      <c r="CS39" s="236">
        <f>CA39+CJ39</f>
        <v/>
      </c>
      <c r="CT39" s="236">
        <f>CB39+CK39</f>
        <v/>
      </c>
      <c r="CU39" s="236">
        <f>CS39+CT39</f>
        <v/>
      </c>
      <c r="CV39" s="239">
        <f>CU39-CR39</f>
        <v/>
      </c>
      <c r="CW39" s="237">
        <f>IF(CR39=0,"",CU39/CR39)</f>
        <v/>
      </c>
      <c r="CX39" s="33" t="n"/>
      <c r="CY39" s="233" t="n"/>
      <c r="CZ39" s="233" t="n"/>
      <c r="DA39" s="233">
        <f>CY39+CZ39</f>
        <v/>
      </c>
      <c r="DB39" s="233" t="n"/>
      <c r="DC39" s="233" t="n"/>
      <c r="DD39" s="233">
        <f>DB39+DC39</f>
        <v/>
      </c>
      <c r="DE39" s="238">
        <f>DD39-DA39</f>
        <v/>
      </c>
      <c r="DF39" s="235">
        <f>IF(DA39=0,"",DD39/DA39)</f>
        <v/>
      </c>
      <c r="DG39" s="26" t="n"/>
      <c r="DH39" s="236">
        <f>CP39+CY39</f>
        <v/>
      </c>
      <c r="DI39" s="236">
        <f>CQ39+CZ39</f>
        <v/>
      </c>
      <c r="DJ39" s="236">
        <f>DH39+DI39</f>
        <v/>
      </c>
      <c r="DK39" s="236">
        <f>CS39+DB39</f>
        <v/>
      </c>
      <c r="DL39" s="236">
        <f>CT39+DC39</f>
        <v/>
      </c>
      <c r="DM39" s="236">
        <f>DK39+DL39</f>
        <v/>
      </c>
      <c r="DN39" s="239">
        <f>DM39-DJ39</f>
        <v/>
      </c>
      <c r="DO39" s="237">
        <f>IF(DJ39=0,"",DM39/DJ39)</f>
        <v/>
      </c>
      <c r="DP39" s="33" t="n"/>
      <c r="DQ39" s="233" t="n"/>
      <c r="DR39" s="233" t="n"/>
      <c r="DS39" s="233">
        <f>DQ39+DR39</f>
        <v/>
      </c>
      <c r="DT39" s="233" t="n"/>
      <c r="DU39" s="233" t="n"/>
      <c r="DV39" s="233">
        <f>DT39+DU39</f>
        <v/>
      </c>
      <c r="DW39" s="238">
        <f>DV39-DS39</f>
        <v/>
      </c>
      <c r="DX39" s="235">
        <f>IF(DS39=0,"",DV39/DS39)</f>
        <v/>
      </c>
      <c r="DY39" s="26" t="n"/>
      <c r="DZ39" s="236">
        <f>DH39+DQ39</f>
        <v/>
      </c>
      <c r="EA39" s="236">
        <f>DI39+DR39</f>
        <v/>
      </c>
      <c r="EB39" s="236">
        <f>DZ39+EA39</f>
        <v/>
      </c>
      <c r="EC39" s="236">
        <f>DK39+DT39</f>
        <v/>
      </c>
      <c r="ED39" s="236">
        <f>DL39+DU39</f>
        <v/>
      </c>
      <c r="EE39" s="236">
        <f>EC39+ED39</f>
        <v/>
      </c>
      <c r="EF39" s="239">
        <f>EE39-EB39</f>
        <v/>
      </c>
      <c r="EG39" s="237">
        <f>IF(EB39=0,"",EE39/EB39)</f>
        <v/>
      </c>
      <c r="EH39" s="33" t="n"/>
      <c r="EI39" s="233" t="n"/>
      <c r="EJ39" s="233" t="n"/>
      <c r="EK39" s="233">
        <f>EI39+EJ39</f>
        <v/>
      </c>
      <c r="EL39" s="233" t="n"/>
      <c r="EM39" s="233" t="n"/>
      <c r="EN39" s="233">
        <f>EL39+EM39</f>
        <v/>
      </c>
      <c r="EO39" s="238">
        <f>EN39-EK39</f>
        <v/>
      </c>
      <c r="EP39" s="235">
        <f>IF(EK39=0,"",EN39/EK39)</f>
        <v/>
      </c>
      <c r="EQ39" s="26" t="n"/>
      <c r="ER39" s="236">
        <f>DZ39+EI39</f>
        <v/>
      </c>
      <c r="ES39" s="236">
        <f>EA39+EJ39</f>
        <v/>
      </c>
      <c r="ET39" s="236">
        <f>ER39+ES39</f>
        <v/>
      </c>
      <c r="EU39" s="236">
        <f>EC39+EL39</f>
        <v/>
      </c>
      <c r="EV39" s="236">
        <f>ED39+EM39</f>
        <v/>
      </c>
      <c r="EW39" s="236">
        <f>EU39+EV39</f>
        <v/>
      </c>
      <c r="EX39" s="239">
        <f>EW39-ET39</f>
        <v/>
      </c>
      <c r="EY39" s="237">
        <f>IF(ET39=0,"",EW39/ET39)</f>
        <v/>
      </c>
      <c r="EZ39" s="33" t="n"/>
      <c r="FA39" s="233" t="n"/>
      <c r="FB39" s="233" t="n"/>
      <c r="FC39" s="233">
        <f>FA39+FB39</f>
        <v/>
      </c>
      <c r="FD39" s="233" t="n"/>
      <c r="FE39" s="233" t="n"/>
      <c r="FF39" s="233">
        <f>FD39+FE39</f>
        <v/>
      </c>
      <c r="FG39" s="238">
        <f>FF39-FC39</f>
        <v/>
      </c>
      <c r="FH39" s="235">
        <f>IF(FC39=0,"",FF39/FC39)</f>
        <v/>
      </c>
      <c r="FI39" s="26" t="n"/>
      <c r="FJ39" s="236">
        <f>ER39+FA39</f>
        <v/>
      </c>
      <c r="FK39" s="236">
        <f>ES39+FB39</f>
        <v/>
      </c>
      <c r="FL39" s="236">
        <f>FJ39+FK39</f>
        <v/>
      </c>
      <c r="FM39" s="236">
        <f>EU39+FD39</f>
        <v/>
      </c>
      <c r="FN39" s="236">
        <f>EV39+FE39</f>
        <v/>
      </c>
      <c r="FO39" s="236">
        <f>FM39+FN39</f>
        <v/>
      </c>
      <c r="FP39" s="239">
        <f>FO39-FL39</f>
        <v/>
      </c>
      <c r="FQ39" s="237">
        <f>IF(FL39=0,"",FO39/FL39)</f>
        <v/>
      </c>
      <c r="FR39" s="33" t="n"/>
      <c r="FS39" s="233" t="n"/>
      <c r="FT39" s="233" t="n"/>
      <c r="FU39" s="233">
        <f>FS39+FT39</f>
        <v/>
      </c>
      <c r="FV39" s="233" t="n"/>
      <c r="FW39" s="233" t="n"/>
      <c r="FX39" s="233">
        <f>FV39+FW39</f>
        <v/>
      </c>
      <c r="FY39" s="238">
        <f>FX39-FU39</f>
        <v/>
      </c>
      <c r="FZ39" s="235">
        <f>IF(FU39=0,"",FX39/FU39)</f>
        <v/>
      </c>
      <c r="GA39" s="26" t="n"/>
      <c r="GB39" s="236">
        <f>FJ39+FS39</f>
        <v/>
      </c>
      <c r="GC39" s="236">
        <f>FK39+FT39</f>
        <v/>
      </c>
      <c r="GD39" s="236">
        <f>GB39+GC39</f>
        <v/>
      </c>
      <c r="GE39" s="236">
        <f>FM39+FV39</f>
        <v/>
      </c>
      <c r="GF39" s="236">
        <f>FN39+FW39</f>
        <v/>
      </c>
      <c r="GG39" s="236">
        <f>GE39+GF39</f>
        <v/>
      </c>
      <c r="GH39" s="239">
        <f>GG39-GD39</f>
        <v/>
      </c>
      <c r="GI39" s="237">
        <f>IF(GD39=0,"",GG39/GD39)</f>
        <v/>
      </c>
      <c r="GJ39" s="33" t="n"/>
      <c r="GK39" s="233" t="n"/>
      <c r="GL39" s="233" t="n"/>
      <c r="GM39" s="233">
        <f>GK39+GL39</f>
        <v/>
      </c>
      <c r="GN39" s="233" t="n"/>
      <c r="GO39" s="233" t="n"/>
      <c r="GP39" s="233">
        <f>GN39+GO39</f>
        <v/>
      </c>
      <c r="GQ39" s="238">
        <f>GP39-GM39</f>
        <v/>
      </c>
      <c r="GR39" s="235">
        <f>IF(GM39=0,"",GP39/GM39)</f>
        <v/>
      </c>
      <c r="GS39" s="26" t="n"/>
      <c r="GT39" s="236">
        <f>GB39+GK39</f>
        <v/>
      </c>
      <c r="GU39" s="236">
        <f>GC39+GL39</f>
        <v/>
      </c>
      <c r="GV39" s="236">
        <f>GT39+GU39</f>
        <v/>
      </c>
      <c r="GW39" s="236">
        <f>GE39+GN39</f>
        <v/>
      </c>
      <c r="GX39" s="236">
        <f>GF39+GO39</f>
        <v/>
      </c>
      <c r="GY39" s="236">
        <f>GW39+GX39</f>
        <v/>
      </c>
      <c r="GZ39" s="239">
        <f>GY39-GV39</f>
        <v/>
      </c>
      <c r="HA39" s="237">
        <f>IF(GV39=0,"",GY39/GV39)</f>
        <v/>
      </c>
      <c r="HB39" s="33" t="n"/>
      <c r="HC39" s="233">
        <f>GT39</f>
        <v/>
      </c>
      <c r="HD39" s="233">
        <f>GU39</f>
        <v/>
      </c>
      <c r="HE39" s="233">
        <f>HC39+HD39</f>
        <v/>
      </c>
    </row>
    <row r="40" outlineLevel="1" ht="15" customHeight="1" s="150">
      <c r="A40" s="26" t="n"/>
      <c r="B40" s="26" t="n"/>
      <c r="C40" s="26" t="n"/>
      <c r="D40" s="233" t="n"/>
      <c r="E40" s="233" t="n"/>
      <c r="F40" s="233">
        <f>D40+E40</f>
        <v/>
      </c>
      <c r="G40" s="233" t="n"/>
      <c r="H40" s="233" t="n"/>
      <c r="I40" s="233">
        <f>G40+H40</f>
        <v/>
      </c>
      <c r="J40" s="238">
        <f>I40-F40</f>
        <v/>
      </c>
      <c r="K40" s="235">
        <f>IF(F40=0,"",I40/F40)</f>
        <v/>
      </c>
      <c r="L40" s="26" t="n"/>
      <c r="M40" s="233" t="n"/>
      <c r="N40" s="233" t="n"/>
      <c r="O40" s="233">
        <f>M40+N40</f>
        <v/>
      </c>
      <c r="P40" s="233" t="n"/>
      <c r="Q40" s="233" t="n"/>
      <c r="R40" s="233">
        <f>P40+Q40</f>
        <v/>
      </c>
      <c r="S40" s="238">
        <f>R40-O40</f>
        <v/>
      </c>
      <c r="T40" s="235">
        <f>IF(O40=0,"",R40/O40)</f>
        <v/>
      </c>
      <c r="U40" s="26" t="n"/>
      <c r="V40" s="236">
        <f>D40+M40</f>
        <v/>
      </c>
      <c r="W40" s="236">
        <f>E40+N40</f>
        <v/>
      </c>
      <c r="X40" s="236">
        <f>V40+W40</f>
        <v/>
      </c>
      <c r="Y40" s="236">
        <f>G40+P40</f>
        <v/>
      </c>
      <c r="Z40" s="236">
        <f>H40+Q40</f>
        <v/>
      </c>
      <c r="AA40" s="236">
        <f>Y40+Z40</f>
        <v/>
      </c>
      <c r="AB40" s="239">
        <f>AA40-X40</f>
        <v/>
      </c>
      <c r="AC40" s="237">
        <f>IF(X40=0,"",AA40/X40)</f>
        <v/>
      </c>
      <c r="AD40" s="33" t="n"/>
      <c r="AE40" s="233" t="n"/>
      <c r="AF40" s="233" t="n"/>
      <c r="AG40" s="233">
        <f>AE40+AF40</f>
        <v/>
      </c>
      <c r="AH40" s="233" t="n"/>
      <c r="AI40" s="233" t="n"/>
      <c r="AJ40" s="233">
        <f>AH40+AI40</f>
        <v/>
      </c>
      <c r="AK40" s="238">
        <f>AJ40-AG40</f>
        <v/>
      </c>
      <c r="AL40" s="235">
        <f>IF(AG40=0,"",AJ40/AG40)</f>
        <v/>
      </c>
      <c r="AM40" s="26" t="n"/>
      <c r="AN40" s="236">
        <f>V40+AE40</f>
        <v/>
      </c>
      <c r="AO40" s="236">
        <f>W40+AF40</f>
        <v/>
      </c>
      <c r="AP40" s="236">
        <f>AN40+AO40</f>
        <v/>
      </c>
      <c r="AQ40" s="236">
        <f>Y40+AH40</f>
        <v/>
      </c>
      <c r="AR40" s="236">
        <f>Z40+AI40</f>
        <v/>
      </c>
      <c r="AS40" s="236">
        <f>AQ40+AR40</f>
        <v/>
      </c>
      <c r="AT40" s="239">
        <f>AS40-AP40</f>
        <v/>
      </c>
      <c r="AU40" s="237">
        <f>IF(AP40=0,"",AS40/AP40)</f>
        <v/>
      </c>
      <c r="AV40" s="33" t="n"/>
      <c r="AW40" s="233" t="n"/>
      <c r="AX40" s="233" t="n"/>
      <c r="AY40" s="233">
        <f>AW40+AX40</f>
        <v/>
      </c>
      <c r="AZ40" s="233" t="n"/>
      <c r="BA40" s="233" t="n"/>
      <c r="BB40" s="233">
        <f>AZ40+BA40</f>
        <v/>
      </c>
      <c r="BC40" s="238">
        <f>BB40-AY40</f>
        <v/>
      </c>
      <c r="BD40" s="235">
        <f>IF(AY40=0,"",BB40/AY40)</f>
        <v/>
      </c>
      <c r="BE40" s="26" t="n"/>
      <c r="BF40" s="236">
        <f>AN40+AW40</f>
        <v/>
      </c>
      <c r="BG40" s="236">
        <f>AO40+AX40</f>
        <v/>
      </c>
      <c r="BH40" s="236">
        <f>BF40+BG40</f>
        <v/>
      </c>
      <c r="BI40" s="236">
        <f>AQ40+AZ40</f>
        <v/>
      </c>
      <c r="BJ40" s="236">
        <f>AR40+BA40</f>
        <v/>
      </c>
      <c r="BK40" s="236">
        <f>BI40+BJ40</f>
        <v/>
      </c>
      <c r="BL40" s="239">
        <f>BK40-BH40</f>
        <v/>
      </c>
      <c r="BM40" s="237">
        <f>IF(BH40=0,"",BK40/BH40)</f>
        <v/>
      </c>
      <c r="BN40" s="33" t="n"/>
      <c r="BO40" s="233" t="n"/>
      <c r="BP40" s="233" t="n"/>
      <c r="BQ40" s="233">
        <f>BO40+BP40</f>
        <v/>
      </c>
      <c r="BR40" s="233" t="n"/>
      <c r="BS40" s="233" t="n"/>
      <c r="BT40" s="233">
        <f>BR40+BS40</f>
        <v/>
      </c>
      <c r="BU40" s="238">
        <f>BT40-BQ40</f>
        <v/>
      </c>
      <c r="BV40" s="235">
        <f>IF(BQ40=0,"",BT40/BQ40)</f>
        <v/>
      </c>
      <c r="BW40" s="26" t="n"/>
      <c r="BX40" s="236">
        <f>BF40+BO40</f>
        <v/>
      </c>
      <c r="BY40" s="236">
        <f>BG40+BP40</f>
        <v/>
      </c>
      <c r="BZ40" s="236">
        <f>BX40+BY40</f>
        <v/>
      </c>
      <c r="CA40" s="236">
        <f>BI40+BR40</f>
        <v/>
      </c>
      <c r="CB40" s="236">
        <f>BJ40+BS40</f>
        <v/>
      </c>
      <c r="CC40" s="236">
        <f>CA40+CB40</f>
        <v/>
      </c>
      <c r="CD40" s="239">
        <f>CC40-BZ40</f>
        <v/>
      </c>
      <c r="CE40" s="237">
        <f>IF(BZ40=0,"",CC40/BZ40)</f>
        <v/>
      </c>
      <c r="CF40" s="33" t="n"/>
      <c r="CG40" s="233" t="n"/>
      <c r="CH40" s="233" t="n"/>
      <c r="CI40" s="233">
        <f>CG40+CH40</f>
        <v/>
      </c>
      <c r="CJ40" s="233" t="n"/>
      <c r="CK40" s="233" t="n"/>
      <c r="CL40" s="233">
        <f>CJ40+CK40</f>
        <v/>
      </c>
      <c r="CM40" s="238">
        <f>CL40-CI40</f>
        <v/>
      </c>
      <c r="CN40" s="235">
        <f>IF(CI40=0,"",CL40/CI40)</f>
        <v/>
      </c>
      <c r="CO40" s="26" t="n"/>
      <c r="CP40" s="236">
        <f>BX40+CG40</f>
        <v/>
      </c>
      <c r="CQ40" s="236">
        <f>BY40+CH40</f>
        <v/>
      </c>
      <c r="CR40" s="236">
        <f>CP40+CQ40</f>
        <v/>
      </c>
      <c r="CS40" s="236">
        <f>CA40+CJ40</f>
        <v/>
      </c>
      <c r="CT40" s="236">
        <f>CB40+CK40</f>
        <v/>
      </c>
      <c r="CU40" s="236">
        <f>CS40+CT40</f>
        <v/>
      </c>
      <c r="CV40" s="239">
        <f>CU40-CR40</f>
        <v/>
      </c>
      <c r="CW40" s="237">
        <f>IF(CR40=0,"",CU40/CR40)</f>
        <v/>
      </c>
      <c r="CX40" s="33" t="n"/>
      <c r="CY40" s="233" t="n"/>
      <c r="CZ40" s="233" t="n"/>
      <c r="DA40" s="233">
        <f>CY40+CZ40</f>
        <v/>
      </c>
      <c r="DB40" s="233" t="n"/>
      <c r="DC40" s="233" t="n"/>
      <c r="DD40" s="233">
        <f>DB40+DC40</f>
        <v/>
      </c>
      <c r="DE40" s="238">
        <f>DD40-DA40</f>
        <v/>
      </c>
      <c r="DF40" s="235">
        <f>IF(DA40=0,"",DD40/DA40)</f>
        <v/>
      </c>
      <c r="DG40" s="26" t="n"/>
      <c r="DH40" s="236">
        <f>CP40+CY40</f>
        <v/>
      </c>
      <c r="DI40" s="236">
        <f>CQ40+CZ40</f>
        <v/>
      </c>
      <c r="DJ40" s="236">
        <f>DH40+DI40</f>
        <v/>
      </c>
      <c r="DK40" s="236">
        <f>CS40+DB40</f>
        <v/>
      </c>
      <c r="DL40" s="236">
        <f>CT40+DC40</f>
        <v/>
      </c>
      <c r="DM40" s="236">
        <f>DK40+DL40</f>
        <v/>
      </c>
      <c r="DN40" s="239">
        <f>DM40-DJ40</f>
        <v/>
      </c>
      <c r="DO40" s="237">
        <f>IF(DJ40=0,"",DM40/DJ40)</f>
        <v/>
      </c>
      <c r="DP40" s="33" t="n"/>
      <c r="DQ40" s="233" t="n"/>
      <c r="DR40" s="233" t="n"/>
      <c r="DS40" s="233">
        <f>DQ40+DR40</f>
        <v/>
      </c>
      <c r="DT40" s="233" t="n"/>
      <c r="DU40" s="233" t="n"/>
      <c r="DV40" s="233">
        <f>DT40+DU40</f>
        <v/>
      </c>
      <c r="DW40" s="238">
        <f>DV40-DS40</f>
        <v/>
      </c>
      <c r="DX40" s="235">
        <f>IF(DS40=0,"",DV40/DS40)</f>
        <v/>
      </c>
      <c r="DY40" s="26" t="n"/>
      <c r="DZ40" s="236">
        <f>DH40+DQ40</f>
        <v/>
      </c>
      <c r="EA40" s="236">
        <f>DI40+DR40</f>
        <v/>
      </c>
      <c r="EB40" s="236">
        <f>DZ40+EA40</f>
        <v/>
      </c>
      <c r="EC40" s="236">
        <f>DK40+DT40</f>
        <v/>
      </c>
      <c r="ED40" s="236">
        <f>DL40+DU40</f>
        <v/>
      </c>
      <c r="EE40" s="236">
        <f>EC40+ED40</f>
        <v/>
      </c>
      <c r="EF40" s="239">
        <f>EE40-EB40</f>
        <v/>
      </c>
      <c r="EG40" s="237">
        <f>IF(EB40=0,"",EE40/EB40)</f>
        <v/>
      </c>
      <c r="EH40" s="33" t="n"/>
      <c r="EI40" s="233" t="n"/>
      <c r="EJ40" s="233" t="n"/>
      <c r="EK40" s="233">
        <f>EI40+EJ40</f>
        <v/>
      </c>
      <c r="EL40" s="233" t="n"/>
      <c r="EM40" s="233" t="n"/>
      <c r="EN40" s="233">
        <f>EL40+EM40</f>
        <v/>
      </c>
      <c r="EO40" s="238">
        <f>EN40-EK40</f>
        <v/>
      </c>
      <c r="EP40" s="235">
        <f>IF(EK40=0,"",EN40/EK40)</f>
        <v/>
      </c>
      <c r="EQ40" s="26" t="n"/>
      <c r="ER40" s="236">
        <f>DZ40+EI40</f>
        <v/>
      </c>
      <c r="ES40" s="236">
        <f>EA40+EJ40</f>
        <v/>
      </c>
      <c r="ET40" s="236">
        <f>ER40+ES40</f>
        <v/>
      </c>
      <c r="EU40" s="236">
        <f>EC40+EL40</f>
        <v/>
      </c>
      <c r="EV40" s="236">
        <f>ED40+EM40</f>
        <v/>
      </c>
      <c r="EW40" s="236">
        <f>EU40+EV40</f>
        <v/>
      </c>
      <c r="EX40" s="239">
        <f>EW40-ET40</f>
        <v/>
      </c>
      <c r="EY40" s="237">
        <f>IF(ET40=0,"",EW40/ET40)</f>
        <v/>
      </c>
      <c r="EZ40" s="33" t="n"/>
      <c r="FA40" s="233" t="n"/>
      <c r="FB40" s="233" t="n"/>
      <c r="FC40" s="233">
        <f>FA40+FB40</f>
        <v/>
      </c>
      <c r="FD40" s="233" t="n"/>
      <c r="FE40" s="233" t="n"/>
      <c r="FF40" s="233">
        <f>FD40+FE40</f>
        <v/>
      </c>
      <c r="FG40" s="238">
        <f>FF40-FC40</f>
        <v/>
      </c>
      <c r="FH40" s="235">
        <f>IF(FC40=0,"",FF40/FC40)</f>
        <v/>
      </c>
      <c r="FI40" s="26" t="n"/>
      <c r="FJ40" s="236">
        <f>ER40+FA40</f>
        <v/>
      </c>
      <c r="FK40" s="236">
        <f>ES40+FB40</f>
        <v/>
      </c>
      <c r="FL40" s="236">
        <f>FJ40+FK40</f>
        <v/>
      </c>
      <c r="FM40" s="236">
        <f>EU40+FD40</f>
        <v/>
      </c>
      <c r="FN40" s="236">
        <f>EV40+FE40</f>
        <v/>
      </c>
      <c r="FO40" s="236">
        <f>FM40+FN40</f>
        <v/>
      </c>
      <c r="FP40" s="239">
        <f>FO40-FL40</f>
        <v/>
      </c>
      <c r="FQ40" s="237">
        <f>IF(FL40=0,"",FO40/FL40)</f>
        <v/>
      </c>
      <c r="FR40" s="33" t="n"/>
      <c r="FS40" s="233" t="n"/>
      <c r="FT40" s="233" t="n"/>
      <c r="FU40" s="233">
        <f>FS40+FT40</f>
        <v/>
      </c>
      <c r="FV40" s="233" t="n"/>
      <c r="FW40" s="233" t="n"/>
      <c r="FX40" s="233">
        <f>FV40+FW40</f>
        <v/>
      </c>
      <c r="FY40" s="238">
        <f>FX40-FU40</f>
        <v/>
      </c>
      <c r="FZ40" s="235">
        <f>IF(FU40=0,"",FX40/FU40)</f>
        <v/>
      </c>
      <c r="GA40" s="26" t="n"/>
      <c r="GB40" s="236">
        <f>FJ40+FS40</f>
        <v/>
      </c>
      <c r="GC40" s="236">
        <f>FK40+FT40</f>
        <v/>
      </c>
      <c r="GD40" s="236">
        <f>GB40+GC40</f>
        <v/>
      </c>
      <c r="GE40" s="236">
        <f>FM40+FV40</f>
        <v/>
      </c>
      <c r="GF40" s="236">
        <f>FN40+FW40</f>
        <v/>
      </c>
      <c r="GG40" s="236">
        <f>GE40+GF40</f>
        <v/>
      </c>
      <c r="GH40" s="239">
        <f>GG40-GD40</f>
        <v/>
      </c>
      <c r="GI40" s="237">
        <f>IF(GD40=0,"",GG40/GD40)</f>
        <v/>
      </c>
      <c r="GJ40" s="33" t="n"/>
      <c r="GK40" s="233" t="n"/>
      <c r="GL40" s="233" t="n"/>
      <c r="GM40" s="233">
        <f>GK40+GL40</f>
        <v/>
      </c>
      <c r="GN40" s="233" t="n"/>
      <c r="GO40" s="233" t="n"/>
      <c r="GP40" s="233">
        <f>GN40+GO40</f>
        <v/>
      </c>
      <c r="GQ40" s="238">
        <f>GP40-GM40</f>
        <v/>
      </c>
      <c r="GR40" s="235">
        <f>IF(GM40=0,"",GP40/GM40)</f>
        <v/>
      </c>
      <c r="GS40" s="26" t="n"/>
      <c r="GT40" s="236">
        <f>GB40+GK40</f>
        <v/>
      </c>
      <c r="GU40" s="236">
        <f>GC40+GL40</f>
        <v/>
      </c>
      <c r="GV40" s="236">
        <f>GT40+GU40</f>
        <v/>
      </c>
      <c r="GW40" s="236">
        <f>GE40+GN40</f>
        <v/>
      </c>
      <c r="GX40" s="236">
        <f>GF40+GO40</f>
        <v/>
      </c>
      <c r="GY40" s="236">
        <f>GW40+GX40</f>
        <v/>
      </c>
      <c r="GZ40" s="239">
        <f>GY40-GV40</f>
        <v/>
      </c>
      <c r="HA40" s="237">
        <f>IF(GV40=0,"",GY40/GV40)</f>
        <v/>
      </c>
      <c r="HB40" s="33" t="n"/>
      <c r="HC40" s="233">
        <f>GT40</f>
        <v/>
      </c>
      <c r="HD40" s="233">
        <f>GU40</f>
        <v/>
      </c>
      <c r="HE40" s="233">
        <f>HC40+HD40</f>
        <v/>
      </c>
    </row>
    <row r="41" outlineLevel="1" ht="15" customHeight="1" s="150">
      <c r="A41" s="26" t="n"/>
      <c r="B41" s="26" t="n"/>
      <c r="C41" s="26" t="n"/>
      <c r="D41" s="233" t="n"/>
      <c r="E41" s="233" t="n"/>
      <c r="F41" s="233">
        <f>D41+E41</f>
        <v/>
      </c>
      <c r="G41" s="233" t="n"/>
      <c r="H41" s="233" t="n"/>
      <c r="I41" s="233">
        <f>G41+H41</f>
        <v/>
      </c>
      <c r="J41" s="238">
        <f>I41-F41</f>
        <v/>
      </c>
      <c r="K41" s="235">
        <f>IF(F41=0,"",I41/F41)</f>
        <v/>
      </c>
      <c r="L41" s="26" t="n"/>
      <c r="M41" s="233" t="n"/>
      <c r="N41" s="233" t="n"/>
      <c r="O41" s="233">
        <f>M41+N41</f>
        <v/>
      </c>
      <c r="P41" s="233" t="n"/>
      <c r="Q41" s="233" t="n"/>
      <c r="R41" s="233">
        <f>P41+Q41</f>
        <v/>
      </c>
      <c r="S41" s="238">
        <f>R41-O41</f>
        <v/>
      </c>
      <c r="T41" s="235">
        <f>IF(O41=0,"",R41/O41)</f>
        <v/>
      </c>
      <c r="U41" s="26" t="n"/>
      <c r="V41" s="236">
        <f>D41+M41</f>
        <v/>
      </c>
      <c r="W41" s="236">
        <f>E41+N41</f>
        <v/>
      </c>
      <c r="X41" s="236">
        <f>V41+W41</f>
        <v/>
      </c>
      <c r="Y41" s="236">
        <f>G41+P41</f>
        <v/>
      </c>
      <c r="Z41" s="236">
        <f>H41+Q41</f>
        <v/>
      </c>
      <c r="AA41" s="236">
        <f>Y41+Z41</f>
        <v/>
      </c>
      <c r="AB41" s="239">
        <f>AA41-X41</f>
        <v/>
      </c>
      <c r="AC41" s="237">
        <f>IF(X41=0,"",AA41/X41)</f>
        <v/>
      </c>
      <c r="AD41" s="33" t="n"/>
      <c r="AE41" s="233" t="n"/>
      <c r="AF41" s="233" t="n"/>
      <c r="AG41" s="233">
        <f>AE41+AF41</f>
        <v/>
      </c>
      <c r="AH41" s="233" t="n"/>
      <c r="AI41" s="233" t="n"/>
      <c r="AJ41" s="233">
        <f>AH41+AI41</f>
        <v/>
      </c>
      <c r="AK41" s="238">
        <f>AJ41-AG41</f>
        <v/>
      </c>
      <c r="AL41" s="235">
        <f>IF(AG41=0,"",AJ41/AG41)</f>
        <v/>
      </c>
      <c r="AM41" s="26" t="n"/>
      <c r="AN41" s="236">
        <f>V41+AE41</f>
        <v/>
      </c>
      <c r="AO41" s="236">
        <f>W41+AF41</f>
        <v/>
      </c>
      <c r="AP41" s="236">
        <f>AN41+AO41</f>
        <v/>
      </c>
      <c r="AQ41" s="236">
        <f>Y41+AH41</f>
        <v/>
      </c>
      <c r="AR41" s="236">
        <f>Z41+AI41</f>
        <v/>
      </c>
      <c r="AS41" s="236">
        <f>AQ41+AR41</f>
        <v/>
      </c>
      <c r="AT41" s="239">
        <f>AS41-AP41</f>
        <v/>
      </c>
      <c r="AU41" s="237">
        <f>IF(AP41=0,"",AS41/AP41)</f>
        <v/>
      </c>
      <c r="AV41" s="33" t="n"/>
      <c r="AW41" s="233" t="n"/>
      <c r="AX41" s="233" t="n"/>
      <c r="AY41" s="233">
        <f>AW41+AX41</f>
        <v/>
      </c>
      <c r="AZ41" s="233" t="n"/>
      <c r="BA41" s="233" t="n"/>
      <c r="BB41" s="233">
        <f>AZ41+BA41</f>
        <v/>
      </c>
      <c r="BC41" s="238">
        <f>BB41-AY41</f>
        <v/>
      </c>
      <c r="BD41" s="235">
        <f>IF(AY41=0,"",BB41/AY41)</f>
        <v/>
      </c>
      <c r="BE41" s="26" t="n"/>
      <c r="BF41" s="236">
        <f>AN41+AW41</f>
        <v/>
      </c>
      <c r="BG41" s="236">
        <f>AO41+AX41</f>
        <v/>
      </c>
      <c r="BH41" s="236">
        <f>BF41+BG41</f>
        <v/>
      </c>
      <c r="BI41" s="236">
        <f>AQ41+AZ41</f>
        <v/>
      </c>
      <c r="BJ41" s="236">
        <f>AR41+BA41</f>
        <v/>
      </c>
      <c r="BK41" s="236">
        <f>BI41+BJ41</f>
        <v/>
      </c>
      <c r="BL41" s="239">
        <f>BK41-BH41</f>
        <v/>
      </c>
      <c r="BM41" s="237">
        <f>IF(BH41=0,"",BK41/BH41)</f>
        <v/>
      </c>
      <c r="BN41" s="33" t="n"/>
      <c r="BO41" s="233" t="n"/>
      <c r="BP41" s="233" t="n"/>
      <c r="BQ41" s="233">
        <f>BO41+BP41</f>
        <v/>
      </c>
      <c r="BR41" s="233" t="n"/>
      <c r="BS41" s="233" t="n"/>
      <c r="BT41" s="233">
        <f>BR41+BS41</f>
        <v/>
      </c>
      <c r="BU41" s="238">
        <f>BT41-BQ41</f>
        <v/>
      </c>
      <c r="BV41" s="235">
        <f>IF(BQ41=0,"",BT41/BQ41)</f>
        <v/>
      </c>
      <c r="BW41" s="26" t="n"/>
      <c r="BX41" s="236">
        <f>BF41+BO41</f>
        <v/>
      </c>
      <c r="BY41" s="236">
        <f>BG41+BP41</f>
        <v/>
      </c>
      <c r="BZ41" s="236">
        <f>BX41+BY41</f>
        <v/>
      </c>
      <c r="CA41" s="236">
        <f>BI41+BR41</f>
        <v/>
      </c>
      <c r="CB41" s="236">
        <f>BJ41+BS41</f>
        <v/>
      </c>
      <c r="CC41" s="236">
        <f>CA41+CB41</f>
        <v/>
      </c>
      <c r="CD41" s="239">
        <f>CC41-BZ41</f>
        <v/>
      </c>
      <c r="CE41" s="237">
        <f>IF(BZ41=0,"",CC41/BZ41)</f>
        <v/>
      </c>
      <c r="CF41" s="33" t="n"/>
      <c r="CG41" s="233" t="n"/>
      <c r="CH41" s="233" t="n"/>
      <c r="CI41" s="233">
        <f>CG41+CH41</f>
        <v/>
      </c>
      <c r="CJ41" s="233" t="n"/>
      <c r="CK41" s="233" t="n"/>
      <c r="CL41" s="233">
        <f>CJ41+CK41</f>
        <v/>
      </c>
      <c r="CM41" s="238">
        <f>CL41-CI41</f>
        <v/>
      </c>
      <c r="CN41" s="235">
        <f>IF(CI41=0,"",CL41/CI41)</f>
        <v/>
      </c>
      <c r="CO41" s="26" t="n"/>
      <c r="CP41" s="236">
        <f>BX41+CG41</f>
        <v/>
      </c>
      <c r="CQ41" s="236">
        <f>BY41+CH41</f>
        <v/>
      </c>
      <c r="CR41" s="236">
        <f>CP41+CQ41</f>
        <v/>
      </c>
      <c r="CS41" s="236">
        <f>CA41+CJ41</f>
        <v/>
      </c>
      <c r="CT41" s="236">
        <f>CB41+CK41</f>
        <v/>
      </c>
      <c r="CU41" s="236">
        <f>CS41+CT41</f>
        <v/>
      </c>
      <c r="CV41" s="239">
        <f>CU41-CR41</f>
        <v/>
      </c>
      <c r="CW41" s="237">
        <f>IF(CR41=0,"",CU41/CR41)</f>
        <v/>
      </c>
      <c r="CX41" s="33" t="n"/>
      <c r="CY41" s="233" t="n"/>
      <c r="CZ41" s="233" t="n"/>
      <c r="DA41" s="233">
        <f>CY41+CZ41</f>
        <v/>
      </c>
      <c r="DB41" s="233" t="n"/>
      <c r="DC41" s="233" t="n"/>
      <c r="DD41" s="233">
        <f>DB41+DC41</f>
        <v/>
      </c>
      <c r="DE41" s="238">
        <f>DD41-DA41</f>
        <v/>
      </c>
      <c r="DF41" s="235">
        <f>IF(DA41=0,"",DD41/DA41)</f>
        <v/>
      </c>
      <c r="DG41" s="26" t="n"/>
      <c r="DH41" s="236">
        <f>CP41+CY41</f>
        <v/>
      </c>
      <c r="DI41" s="236">
        <f>CQ41+CZ41</f>
        <v/>
      </c>
      <c r="DJ41" s="236">
        <f>DH41+DI41</f>
        <v/>
      </c>
      <c r="DK41" s="236">
        <f>CS41+DB41</f>
        <v/>
      </c>
      <c r="DL41" s="236">
        <f>CT41+DC41</f>
        <v/>
      </c>
      <c r="DM41" s="236">
        <f>DK41+DL41</f>
        <v/>
      </c>
      <c r="DN41" s="239">
        <f>DM41-DJ41</f>
        <v/>
      </c>
      <c r="DO41" s="237">
        <f>IF(DJ41=0,"",DM41/DJ41)</f>
        <v/>
      </c>
      <c r="DP41" s="33" t="n"/>
      <c r="DQ41" s="233" t="n"/>
      <c r="DR41" s="233" t="n"/>
      <c r="DS41" s="233">
        <f>DQ41+DR41</f>
        <v/>
      </c>
      <c r="DT41" s="233" t="n"/>
      <c r="DU41" s="233" t="n"/>
      <c r="DV41" s="233">
        <f>DT41+DU41</f>
        <v/>
      </c>
      <c r="DW41" s="238">
        <f>DV41-DS41</f>
        <v/>
      </c>
      <c r="DX41" s="235">
        <f>IF(DS41=0,"",DV41/DS41)</f>
        <v/>
      </c>
      <c r="DY41" s="26" t="n"/>
      <c r="DZ41" s="236">
        <f>DH41+DQ41</f>
        <v/>
      </c>
      <c r="EA41" s="236">
        <f>DI41+DR41</f>
        <v/>
      </c>
      <c r="EB41" s="236">
        <f>DZ41+EA41</f>
        <v/>
      </c>
      <c r="EC41" s="236">
        <f>DK41+DT41</f>
        <v/>
      </c>
      <c r="ED41" s="236">
        <f>DL41+DU41</f>
        <v/>
      </c>
      <c r="EE41" s="236">
        <f>EC41+ED41</f>
        <v/>
      </c>
      <c r="EF41" s="239">
        <f>EE41-EB41</f>
        <v/>
      </c>
      <c r="EG41" s="237">
        <f>IF(EB41=0,"",EE41/EB41)</f>
        <v/>
      </c>
      <c r="EH41" s="33" t="n"/>
      <c r="EI41" s="233" t="n"/>
      <c r="EJ41" s="233" t="n"/>
      <c r="EK41" s="233">
        <f>EI41+EJ41</f>
        <v/>
      </c>
      <c r="EL41" s="233" t="n"/>
      <c r="EM41" s="233" t="n"/>
      <c r="EN41" s="233">
        <f>EL41+EM41</f>
        <v/>
      </c>
      <c r="EO41" s="238">
        <f>EN41-EK41</f>
        <v/>
      </c>
      <c r="EP41" s="235">
        <f>IF(EK41=0,"",EN41/EK41)</f>
        <v/>
      </c>
      <c r="EQ41" s="26" t="n"/>
      <c r="ER41" s="236">
        <f>DZ41+EI41</f>
        <v/>
      </c>
      <c r="ES41" s="236">
        <f>EA41+EJ41</f>
        <v/>
      </c>
      <c r="ET41" s="236">
        <f>ER41+ES41</f>
        <v/>
      </c>
      <c r="EU41" s="236">
        <f>EC41+EL41</f>
        <v/>
      </c>
      <c r="EV41" s="236">
        <f>ED41+EM41</f>
        <v/>
      </c>
      <c r="EW41" s="236">
        <f>EU41+EV41</f>
        <v/>
      </c>
      <c r="EX41" s="239">
        <f>EW41-ET41</f>
        <v/>
      </c>
      <c r="EY41" s="237">
        <f>IF(ET41=0,"",EW41/ET41)</f>
        <v/>
      </c>
      <c r="EZ41" s="33" t="n"/>
      <c r="FA41" s="233" t="n"/>
      <c r="FB41" s="233" t="n"/>
      <c r="FC41" s="233">
        <f>FA41+FB41</f>
        <v/>
      </c>
      <c r="FD41" s="233" t="n"/>
      <c r="FE41" s="233" t="n"/>
      <c r="FF41" s="233">
        <f>FD41+FE41</f>
        <v/>
      </c>
      <c r="FG41" s="238">
        <f>FF41-FC41</f>
        <v/>
      </c>
      <c r="FH41" s="235">
        <f>IF(FC41=0,"",FF41/FC41)</f>
        <v/>
      </c>
      <c r="FI41" s="26" t="n"/>
      <c r="FJ41" s="236">
        <f>ER41+FA41</f>
        <v/>
      </c>
      <c r="FK41" s="236">
        <f>ES41+FB41</f>
        <v/>
      </c>
      <c r="FL41" s="236">
        <f>FJ41+FK41</f>
        <v/>
      </c>
      <c r="FM41" s="236">
        <f>EU41+FD41</f>
        <v/>
      </c>
      <c r="FN41" s="236">
        <f>EV41+FE41</f>
        <v/>
      </c>
      <c r="FO41" s="236">
        <f>FM41+FN41</f>
        <v/>
      </c>
      <c r="FP41" s="239">
        <f>FO41-FL41</f>
        <v/>
      </c>
      <c r="FQ41" s="237">
        <f>IF(FL41=0,"",FO41/FL41)</f>
        <v/>
      </c>
      <c r="FR41" s="33" t="n"/>
      <c r="FS41" s="233" t="n"/>
      <c r="FT41" s="233" t="n"/>
      <c r="FU41" s="233">
        <f>FS41+FT41</f>
        <v/>
      </c>
      <c r="FV41" s="233" t="n"/>
      <c r="FW41" s="233" t="n"/>
      <c r="FX41" s="233">
        <f>FV41+FW41</f>
        <v/>
      </c>
      <c r="FY41" s="238">
        <f>FX41-FU41</f>
        <v/>
      </c>
      <c r="FZ41" s="235">
        <f>IF(FU41=0,"",FX41/FU41)</f>
        <v/>
      </c>
      <c r="GA41" s="26" t="n"/>
      <c r="GB41" s="236">
        <f>FJ41+FS41</f>
        <v/>
      </c>
      <c r="GC41" s="236">
        <f>FK41+FT41</f>
        <v/>
      </c>
      <c r="GD41" s="236">
        <f>GB41+GC41</f>
        <v/>
      </c>
      <c r="GE41" s="236">
        <f>FM41+FV41</f>
        <v/>
      </c>
      <c r="GF41" s="236">
        <f>FN41+FW41</f>
        <v/>
      </c>
      <c r="GG41" s="236">
        <f>GE41+GF41</f>
        <v/>
      </c>
      <c r="GH41" s="239">
        <f>GG41-GD41</f>
        <v/>
      </c>
      <c r="GI41" s="237">
        <f>IF(GD41=0,"",GG41/GD41)</f>
        <v/>
      </c>
      <c r="GJ41" s="33" t="n"/>
      <c r="GK41" s="233" t="n"/>
      <c r="GL41" s="233" t="n"/>
      <c r="GM41" s="233">
        <f>GK41+GL41</f>
        <v/>
      </c>
      <c r="GN41" s="233" t="n"/>
      <c r="GO41" s="233" t="n"/>
      <c r="GP41" s="233">
        <f>GN41+GO41</f>
        <v/>
      </c>
      <c r="GQ41" s="238">
        <f>GP41-GM41</f>
        <v/>
      </c>
      <c r="GR41" s="235">
        <f>IF(GM41=0,"",GP41/GM41)</f>
        <v/>
      </c>
      <c r="GS41" s="26" t="n"/>
      <c r="GT41" s="236">
        <f>GB41+GK41</f>
        <v/>
      </c>
      <c r="GU41" s="236">
        <f>GC41+GL41</f>
        <v/>
      </c>
      <c r="GV41" s="236">
        <f>GT41+GU41</f>
        <v/>
      </c>
      <c r="GW41" s="236">
        <f>GE41+GN41</f>
        <v/>
      </c>
      <c r="GX41" s="236">
        <f>GF41+GO41</f>
        <v/>
      </c>
      <c r="GY41" s="236">
        <f>GW41+GX41</f>
        <v/>
      </c>
      <c r="GZ41" s="239">
        <f>GY41-GV41</f>
        <v/>
      </c>
      <c r="HA41" s="237">
        <f>IF(GV41=0,"",GY41/GV41)</f>
        <v/>
      </c>
      <c r="HB41" s="33" t="n"/>
      <c r="HC41" s="233">
        <f>GT41</f>
        <v/>
      </c>
      <c r="HD41" s="233">
        <f>GU41</f>
        <v/>
      </c>
      <c r="HE41" s="233">
        <f>HC41+HD41</f>
        <v/>
      </c>
    </row>
    <row r="42" ht="15" customHeight="1" s="150">
      <c r="A42" s="6" t="n"/>
      <c r="B42" s="6" t="n"/>
      <c r="C42" s="6" t="n"/>
      <c r="D42" s="223">
        <f>SUM(D43,D47,D49,D51,D53,D55)</f>
        <v/>
      </c>
      <c r="E42" s="223">
        <f>SUM(E43,E47,E49,E51,E53,E55)</f>
        <v/>
      </c>
      <c r="F42" s="223">
        <f>D42+E42</f>
        <v/>
      </c>
      <c r="G42" s="223">
        <f>SUM(G43,G47,G49,G51,G53,G55)</f>
        <v/>
      </c>
      <c r="H42" s="223">
        <f>SUM(H43,H47,H49,H51,H53,H55)</f>
        <v/>
      </c>
      <c r="I42" s="223">
        <f>G42+H42</f>
        <v/>
      </c>
      <c r="J42" s="223">
        <f>I42-F42</f>
        <v/>
      </c>
      <c r="K42" s="224">
        <f>IF(F42=0,"",I42/F42)</f>
        <v/>
      </c>
      <c r="L42" s="6" t="n"/>
      <c r="M42" s="223">
        <f>SUM(M43,M47,M49,M51,M53,M55)</f>
        <v/>
      </c>
      <c r="N42" s="223">
        <f>SUM(N43,N47,N49,N51,N53,N55)</f>
        <v/>
      </c>
      <c r="O42" s="223">
        <f>M42+N42</f>
        <v/>
      </c>
      <c r="P42" s="223">
        <f>SUM(P43,P47,P49,P51,P53,P55)</f>
        <v/>
      </c>
      <c r="Q42" s="223">
        <f>SUM(Q43,Q47,Q49,Q51,Q53,Q55)</f>
        <v/>
      </c>
      <c r="R42" s="223">
        <f>P42+Q42</f>
        <v/>
      </c>
      <c r="S42" s="223">
        <f>R42-O42</f>
        <v/>
      </c>
      <c r="T42" s="224">
        <f>IF(O42=0,"",R42/O42)</f>
        <v/>
      </c>
      <c r="U42" s="6" t="n"/>
      <c r="V42" s="225">
        <f>SUM(V43,V47,V49,V51,V53,V55)</f>
        <v/>
      </c>
      <c r="W42" s="225">
        <f>SUM(W43,W47,W49,W51,W53,W55)</f>
        <v/>
      </c>
      <c r="X42" s="225">
        <f>V42+W42</f>
        <v/>
      </c>
      <c r="Y42" s="225">
        <f>SUM(Y43,Y47,Y49,Y51,Y53,Y55)</f>
        <v/>
      </c>
      <c r="Z42" s="225">
        <f>SUM(Z43,Z47,Z49,Z51,Z53,Z55)</f>
        <v/>
      </c>
      <c r="AA42" s="225">
        <f>Y42+Z42</f>
        <v/>
      </c>
      <c r="AB42" s="225">
        <f>AA42-X42</f>
        <v/>
      </c>
      <c r="AC42" s="226">
        <f>IF(X42=0,"",AA42/X42)</f>
        <v/>
      </c>
      <c r="AD42" s="11" t="n"/>
      <c r="AE42" s="223">
        <f>SUM(AE43,AE47,AE49,AE51,AE53,AE55)</f>
        <v/>
      </c>
      <c r="AF42" s="223">
        <f>SUM(AF43,AF47,AF49,AF51,AF53,AF55)</f>
        <v/>
      </c>
      <c r="AG42" s="223">
        <f>AE42+AF42</f>
        <v/>
      </c>
      <c r="AH42" s="223">
        <f>SUM(AH43,AH47,AH49,AH51,AH53,AH55)</f>
        <v/>
      </c>
      <c r="AI42" s="223">
        <f>SUM(AI43,AI47,AI49,AI51,AI53,AI55)</f>
        <v/>
      </c>
      <c r="AJ42" s="223">
        <f>AH42+AI42</f>
        <v/>
      </c>
      <c r="AK42" s="223">
        <f>AJ42-AG42</f>
        <v/>
      </c>
      <c r="AL42" s="224">
        <f>IF(AG42=0,"",AJ42/AG42)</f>
        <v/>
      </c>
      <c r="AM42" s="6" t="n"/>
      <c r="AN42" s="225">
        <f>SUM(AN43,AN47,AN49,AN51,AN53,AN55)</f>
        <v/>
      </c>
      <c r="AO42" s="225">
        <f>SUM(AO43,AO47,AO49,AO51,AO53,AO55)</f>
        <v/>
      </c>
      <c r="AP42" s="225">
        <f>AN42+AO42</f>
        <v/>
      </c>
      <c r="AQ42" s="225">
        <f>SUM(AQ43,AQ47,AQ49,AQ51,AQ53,AQ55)</f>
        <v/>
      </c>
      <c r="AR42" s="225">
        <f>SUM(AR43,AR47,AR49,AR51,AR53,AR55)</f>
        <v/>
      </c>
      <c r="AS42" s="225">
        <f>AQ42+AR42</f>
        <v/>
      </c>
      <c r="AT42" s="225">
        <f>AS42-AP42</f>
        <v/>
      </c>
      <c r="AU42" s="226">
        <f>IF(AP42=0,"",AS42/AP42)</f>
        <v/>
      </c>
      <c r="AV42" s="11" t="n"/>
      <c r="AW42" s="223">
        <f>SUM(AW43,AW47,AW49,AW51,AW53,AW55)</f>
        <v/>
      </c>
      <c r="AX42" s="223">
        <f>SUM(AX43,AX47,AX49,AX51,AX53,AX55)</f>
        <v/>
      </c>
      <c r="AY42" s="223">
        <f>AW42+AX42</f>
        <v/>
      </c>
      <c r="AZ42" s="223">
        <f>SUM(AZ43,AZ47,AZ49,AZ51,AZ53,AZ55)</f>
        <v/>
      </c>
      <c r="BA42" s="223">
        <f>SUM(BA43,BA47,BA49,BA51,BA53,BA55)</f>
        <v/>
      </c>
      <c r="BB42" s="223">
        <f>AZ42+BA42</f>
        <v/>
      </c>
      <c r="BC42" s="223">
        <f>BB42-AY42</f>
        <v/>
      </c>
      <c r="BD42" s="224">
        <f>IF(AY42=0,"",BB42/AY42)</f>
        <v/>
      </c>
      <c r="BE42" s="6" t="n"/>
      <c r="BF42" s="225">
        <f>SUM(BF43,BF47,BF49,BF51,BF53,BF55)</f>
        <v/>
      </c>
      <c r="BG42" s="225">
        <f>SUM(BG43,BG47,BG49,BG51,BG53,BG55)</f>
        <v/>
      </c>
      <c r="BH42" s="225">
        <f>BF42+BG42</f>
        <v/>
      </c>
      <c r="BI42" s="225">
        <f>SUM(BI43,BI47,BI49,BI51,BI53,BI55)</f>
        <v/>
      </c>
      <c r="BJ42" s="225">
        <f>SUM(BJ43,BJ47,BJ49,BJ51,BJ53,BJ55)</f>
        <v/>
      </c>
      <c r="BK42" s="225">
        <f>BI42+BJ42</f>
        <v/>
      </c>
      <c r="BL42" s="225">
        <f>BK42-BH42</f>
        <v/>
      </c>
      <c r="BM42" s="226">
        <f>IF(BH42=0,"",BK42/BH42)</f>
        <v/>
      </c>
      <c r="BN42" s="11" t="n"/>
      <c r="BO42" s="223">
        <f>SUM(BO43,BO47,BO49,BO51,BO53,BO55)</f>
        <v/>
      </c>
      <c r="BP42" s="223">
        <f>SUM(BP43,BP47,BP49,BP51,BP53,BP55)</f>
        <v/>
      </c>
      <c r="BQ42" s="223">
        <f>BO42+BP42</f>
        <v/>
      </c>
      <c r="BR42" s="223">
        <f>SUM(BR43,BR47,BR49,BR51,BR53,BR55)</f>
        <v/>
      </c>
      <c r="BS42" s="223">
        <f>SUM(BS43,BS47,BS49,BS51,BS53,BS55)</f>
        <v/>
      </c>
      <c r="BT42" s="223">
        <f>BR42+BS42</f>
        <v/>
      </c>
      <c r="BU42" s="223">
        <f>BT42-BQ42</f>
        <v/>
      </c>
      <c r="BV42" s="224">
        <f>IF(BQ42=0,"",BT42/BQ42)</f>
        <v/>
      </c>
      <c r="BW42" s="6" t="n"/>
      <c r="BX42" s="225">
        <f>SUM(BX43,BX47,BX49,BX51,BX53,BX55)</f>
        <v/>
      </c>
      <c r="BY42" s="225">
        <f>SUM(BY43,BY47,BY49,BY51,BY53,BY55)</f>
        <v/>
      </c>
      <c r="BZ42" s="225">
        <f>BX42+BY42</f>
        <v/>
      </c>
      <c r="CA42" s="225">
        <f>SUM(CA43,CA47,CA49,CA51,CA53,CA55)</f>
        <v/>
      </c>
      <c r="CB42" s="225">
        <f>SUM(CB43,CB47,CB49,CB51,CB53,CB55)</f>
        <v/>
      </c>
      <c r="CC42" s="225">
        <f>CA42+CB42</f>
        <v/>
      </c>
      <c r="CD42" s="225">
        <f>CC42-BZ42</f>
        <v/>
      </c>
      <c r="CE42" s="226">
        <f>IF(BZ42=0,"",CC42/BZ42)</f>
        <v/>
      </c>
      <c r="CF42" s="11" t="n"/>
      <c r="CG42" s="223">
        <f>SUM(CG43,CG47,CG49,CG51,CG53,CG55)</f>
        <v/>
      </c>
      <c r="CH42" s="223">
        <f>SUM(CH43,CH47,CH49,CH51,CH53,CH55)</f>
        <v/>
      </c>
      <c r="CI42" s="223">
        <f>CG42+CH42</f>
        <v/>
      </c>
      <c r="CJ42" s="223">
        <f>SUM(CJ43,CJ47,CJ49,CJ51,CJ53,CJ55)</f>
        <v/>
      </c>
      <c r="CK42" s="223">
        <f>SUM(CK43,CK47,CK49,CK51,CK53,CK55)</f>
        <v/>
      </c>
      <c r="CL42" s="223">
        <f>CJ42+CK42</f>
        <v/>
      </c>
      <c r="CM42" s="223">
        <f>CL42-CI42</f>
        <v/>
      </c>
      <c r="CN42" s="224">
        <f>IF(CI42=0,"",CL42/CI42)</f>
        <v/>
      </c>
      <c r="CO42" s="6" t="n"/>
      <c r="CP42" s="225">
        <f>SUM(CP43,CP47,CP49,CP51,CP53,CP55)</f>
        <v/>
      </c>
      <c r="CQ42" s="225">
        <f>SUM(CQ43,CQ47,CQ49,CQ51,CQ53,CQ55)</f>
        <v/>
      </c>
      <c r="CR42" s="225">
        <f>CP42+CQ42</f>
        <v/>
      </c>
      <c r="CS42" s="225">
        <f>SUM(CS43,CS47,CS49,CS51,CS53,CS55)</f>
        <v/>
      </c>
      <c r="CT42" s="225">
        <f>SUM(CT43,CT47,CT49,CT51,CT53,CT55)</f>
        <v/>
      </c>
      <c r="CU42" s="225">
        <f>CS42+CT42</f>
        <v/>
      </c>
      <c r="CV42" s="225">
        <f>CU42-CR42</f>
        <v/>
      </c>
      <c r="CW42" s="226">
        <f>IF(CR42=0,"",CU42/CR42)</f>
        <v/>
      </c>
      <c r="CX42" s="11" t="n"/>
      <c r="CY42" s="223">
        <f>SUM(CY43,CY47,CY49,CY51,CY53,CY55)</f>
        <v/>
      </c>
      <c r="CZ42" s="223">
        <f>SUM(CZ43,CZ47,CZ49,CZ51,CZ53,CZ55)</f>
        <v/>
      </c>
      <c r="DA42" s="223">
        <f>CY42+CZ42</f>
        <v/>
      </c>
      <c r="DB42" s="223">
        <f>SUM(DB43,DB47,DB49,DB51,DB53,DB55)</f>
        <v/>
      </c>
      <c r="DC42" s="223">
        <f>SUM(DC43,DC47,DC49,DC51,DC53,DC55)</f>
        <v/>
      </c>
      <c r="DD42" s="223">
        <f>DB42+DC42</f>
        <v/>
      </c>
      <c r="DE42" s="223">
        <f>DD42-DA42</f>
        <v/>
      </c>
      <c r="DF42" s="224">
        <f>IF(DA42=0,"",DD42/DA42)</f>
        <v/>
      </c>
      <c r="DG42" s="6" t="n"/>
      <c r="DH42" s="225">
        <f>SUM(DH43,DH47,DH49,DH51,DH53,DH55)</f>
        <v/>
      </c>
      <c r="DI42" s="225">
        <f>SUM(DI43,DI47,DI49,DI51,DI53,DI55)</f>
        <v/>
      </c>
      <c r="DJ42" s="225">
        <f>DH42+DI42</f>
        <v/>
      </c>
      <c r="DK42" s="225">
        <f>SUM(DK43,DK47,DK49,DK51,DK53,DK55)</f>
        <v/>
      </c>
      <c r="DL42" s="225">
        <f>SUM(DL43,DL47,DL49,DL51,DL53,DL55)</f>
        <v/>
      </c>
      <c r="DM42" s="225">
        <f>DK42+DL42</f>
        <v/>
      </c>
      <c r="DN42" s="225">
        <f>DM42-DJ42</f>
        <v/>
      </c>
      <c r="DO42" s="226">
        <f>IF(DJ42=0,"",DM42/DJ42)</f>
        <v/>
      </c>
      <c r="DP42" s="11" t="n"/>
      <c r="DQ42" s="223">
        <f>SUM(DQ43,DQ47,DQ49,DQ51,DQ53,DQ55)</f>
        <v/>
      </c>
      <c r="DR42" s="223">
        <f>SUM(DR43,DR47,DR49,DR51,DR53,DR55)</f>
        <v/>
      </c>
      <c r="DS42" s="223">
        <f>DQ42+DR42</f>
        <v/>
      </c>
      <c r="DT42" s="223">
        <f>SUM(DT43,DT47,DT49,DT51,DT53,DT55)</f>
        <v/>
      </c>
      <c r="DU42" s="223">
        <f>SUM(DU43,DU47,DU49,DU51,DU53,DU55)</f>
        <v/>
      </c>
      <c r="DV42" s="223">
        <f>DT42+DU42</f>
        <v/>
      </c>
      <c r="DW42" s="223">
        <f>DV42-DS42</f>
        <v/>
      </c>
      <c r="DX42" s="224">
        <f>IF(DS42=0,"",DV42/DS42)</f>
        <v/>
      </c>
      <c r="DY42" s="6" t="n"/>
      <c r="DZ42" s="225">
        <f>SUM(DZ43,DZ47,DZ49,DZ51,DZ53,DZ55)</f>
        <v/>
      </c>
      <c r="EA42" s="225">
        <f>SUM(EA43,EA47,EA49,EA51,EA53,EA55)</f>
        <v/>
      </c>
      <c r="EB42" s="225">
        <f>DZ42+EA42</f>
        <v/>
      </c>
      <c r="EC42" s="225">
        <f>SUM(EC43,EC47,EC49,EC51,EC53,EC55)</f>
        <v/>
      </c>
      <c r="ED42" s="225">
        <f>SUM(ED43,ED47,ED49,ED51,ED53,ED55)</f>
        <v/>
      </c>
      <c r="EE42" s="225">
        <f>EC42+ED42</f>
        <v/>
      </c>
      <c r="EF42" s="225">
        <f>EE42-EB42</f>
        <v/>
      </c>
      <c r="EG42" s="226">
        <f>IF(EB42=0,"",EE42/EB42)</f>
        <v/>
      </c>
      <c r="EH42" s="11" t="n"/>
      <c r="EI42" s="223">
        <f>SUM(EI43,EI47,EI49,EI51,EI53,EI55)</f>
        <v/>
      </c>
      <c r="EJ42" s="223">
        <f>SUM(EJ43,EJ47,EJ49,EJ51,EJ53,EJ55)</f>
        <v/>
      </c>
      <c r="EK42" s="223">
        <f>EI42+EJ42</f>
        <v/>
      </c>
      <c r="EL42" s="223">
        <f>SUM(EL43,EL47,EL49,EL51,EL53,EL55)</f>
        <v/>
      </c>
      <c r="EM42" s="223">
        <f>SUM(EM43,EM47,EM49,EM51,EM53,EM55)</f>
        <v/>
      </c>
      <c r="EN42" s="223">
        <f>EL42+EM42</f>
        <v/>
      </c>
      <c r="EO42" s="223">
        <f>EN42-EK42</f>
        <v/>
      </c>
      <c r="EP42" s="224">
        <f>IF(EK42=0,"",EN42/EK42)</f>
        <v/>
      </c>
      <c r="EQ42" s="6" t="n"/>
      <c r="ER42" s="225">
        <f>SUM(ER43,ER47,ER49,ER51,ER53,ER55)</f>
        <v/>
      </c>
      <c r="ES42" s="225">
        <f>SUM(ES43,ES47,ES49,ES51,ES53,ES55)</f>
        <v/>
      </c>
      <c r="ET42" s="225">
        <f>ER42+ES42</f>
        <v/>
      </c>
      <c r="EU42" s="225">
        <f>SUM(EU43,EU47,EU49,EU51,EU53,EU55)</f>
        <v/>
      </c>
      <c r="EV42" s="225">
        <f>SUM(EV43,EV47,EV49,EV51,EV53,EV55)</f>
        <v/>
      </c>
      <c r="EW42" s="225">
        <f>EU42+EV42</f>
        <v/>
      </c>
      <c r="EX42" s="225">
        <f>EW42-ET42</f>
        <v/>
      </c>
      <c r="EY42" s="226">
        <f>IF(ET42=0,"",EW42/ET42)</f>
        <v/>
      </c>
      <c r="EZ42" s="11" t="n"/>
      <c r="FA42" s="223">
        <f>SUM(FA43,FA47,FA49,FA51,FA53,FA55)</f>
        <v/>
      </c>
      <c r="FB42" s="223">
        <f>SUM(FB43,FB47,FB49,FB51,FB53,FB55)</f>
        <v/>
      </c>
      <c r="FC42" s="223">
        <f>FA42+FB42</f>
        <v/>
      </c>
      <c r="FD42" s="223">
        <f>SUM(FD43,FD47,FD49,FD51,FD53,FD55)</f>
        <v/>
      </c>
      <c r="FE42" s="223">
        <f>SUM(FE43,FE47,FE49,FE51,FE53,FE55)</f>
        <v/>
      </c>
      <c r="FF42" s="223">
        <f>FD42+FE42</f>
        <v/>
      </c>
      <c r="FG42" s="223">
        <f>FF42-FC42</f>
        <v/>
      </c>
      <c r="FH42" s="224">
        <f>IF(FC42=0,"",FF42/FC42)</f>
        <v/>
      </c>
      <c r="FI42" s="6" t="n"/>
      <c r="FJ42" s="225">
        <f>SUM(FJ43,FJ47,FJ49,FJ51,FJ53,FJ55)</f>
        <v/>
      </c>
      <c r="FK42" s="225">
        <f>SUM(FK43,FK47,FK49,FK51,FK53,FK55)</f>
        <v/>
      </c>
      <c r="FL42" s="225">
        <f>FJ42+FK42</f>
        <v/>
      </c>
      <c r="FM42" s="225">
        <f>SUM(FM43,FM47,FM49,FM51,FM53,FM55)</f>
        <v/>
      </c>
      <c r="FN42" s="225">
        <f>SUM(FN43,FN47,FN49,FN51,FN53,FN55)</f>
        <v/>
      </c>
      <c r="FO42" s="225">
        <f>FM42+FN42</f>
        <v/>
      </c>
      <c r="FP42" s="225">
        <f>FO42-FL42</f>
        <v/>
      </c>
      <c r="FQ42" s="226">
        <f>IF(FL42=0,"",FO42/FL42)</f>
        <v/>
      </c>
      <c r="FR42" s="11" t="n"/>
      <c r="FS42" s="223">
        <f>SUM(FS43,FS47,FS49,FS51,FS53,FS55)</f>
        <v/>
      </c>
      <c r="FT42" s="223">
        <f>SUM(FT43,FT47,FT49,FT51,FT53,FT55)</f>
        <v/>
      </c>
      <c r="FU42" s="223">
        <f>FS42+FT42</f>
        <v/>
      </c>
      <c r="FV42" s="223">
        <f>SUM(FV43,FV47,FV49,FV51,FV53,FV55)</f>
        <v/>
      </c>
      <c r="FW42" s="223">
        <f>SUM(FW43,FW47,FW49,FW51,FW53,FW55)</f>
        <v/>
      </c>
      <c r="FX42" s="223">
        <f>FV42+FW42</f>
        <v/>
      </c>
      <c r="FY42" s="223">
        <f>FX42-FU42</f>
        <v/>
      </c>
      <c r="FZ42" s="224">
        <f>IF(FU42=0,"",FX42/FU42)</f>
        <v/>
      </c>
      <c r="GA42" s="6" t="n"/>
      <c r="GB42" s="225">
        <f>SUM(GB43,GB47,GB49,GB51,GB53,GB55)</f>
        <v/>
      </c>
      <c r="GC42" s="225">
        <f>SUM(GC43,GC47,GC49,GC51,GC53,GC55)</f>
        <v/>
      </c>
      <c r="GD42" s="225">
        <f>GB42+GC42</f>
        <v/>
      </c>
      <c r="GE42" s="225">
        <f>SUM(GE43,GE47,GE49,GE51,GE53,GE55)</f>
        <v/>
      </c>
      <c r="GF42" s="225">
        <f>SUM(GF43,GF47,GF49,GF51,GF53,GF55)</f>
        <v/>
      </c>
      <c r="GG42" s="225">
        <f>GE42+GF42</f>
        <v/>
      </c>
      <c r="GH42" s="225">
        <f>GG42-GD42</f>
        <v/>
      </c>
      <c r="GI42" s="226">
        <f>IF(GD42=0,"",GG42/GD42)</f>
        <v/>
      </c>
      <c r="GJ42" s="11" t="n"/>
      <c r="GK42" s="223">
        <f>SUM(GK43,GK47,GK49,GK51,GK53,GK55)</f>
        <v/>
      </c>
      <c r="GL42" s="223">
        <f>SUM(GL43,GL47,GL49,GL51,GL53,GL55)</f>
        <v/>
      </c>
      <c r="GM42" s="223">
        <f>GK42+GL42</f>
        <v/>
      </c>
      <c r="GN42" s="223">
        <f>SUM(GN43,GN47,GN49,GN51,GN53,GN55)</f>
        <v/>
      </c>
      <c r="GO42" s="223">
        <f>SUM(GO43,GO47,GO49,GO51,GO53,GO55)</f>
        <v/>
      </c>
      <c r="GP42" s="223">
        <f>GN42+GO42</f>
        <v/>
      </c>
      <c r="GQ42" s="223">
        <f>GP42-GM42</f>
        <v/>
      </c>
      <c r="GR42" s="224">
        <f>IF(GM42=0,"",GP42/GM42)</f>
        <v/>
      </c>
      <c r="GS42" s="6" t="n"/>
      <c r="GT42" s="225">
        <f>SUM(GT43,GT47,GT49,GT51,GT53,GT55)</f>
        <v/>
      </c>
      <c r="GU42" s="225">
        <f>SUM(GU43,GU47,GU49,GU51,GU53,GU55)</f>
        <v/>
      </c>
      <c r="GV42" s="225">
        <f>GT42+GU42</f>
        <v/>
      </c>
      <c r="GW42" s="225">
        <f>SUM(GW43,GW47,GW49,GW51,GW53,GW55)</f>
        <v/>
      </c>
      <c r="GX42" s="225">
        <f>SUM(GX43,GX47,GX49,GX51,GX53,GX55)</f>
        <v/>
      </c>
      <c r="GY42" s="225">
        <f>GW42+GX42</f>
        <v/>
      </c>
      <c r="GZ42" s="225">
        <f>GY42-GV42</f>
        <v/>
      </c>
      <c r="HA42" s="226">
        <f>IF(GV42=0,"",GY42/GV42)</f>
        <v/>
      </c>
      <c r="HB42" s="11" t="n"/>
      <c r="HC42" s="223">
        <f>GT42</f>
        <v/>
      </c>
      <c r="HD42" s="223">
        <f>GU42</f>
        <v/>
      </c>
      <c r="HE42" s="223">
        <f>HC42+HD42</f>
        <v/>
      </c>
    </row>
    <row r="43" ht="15" customHeight="1" s="150">
      <c r="A43" s="18" t="n"/>
      <c r="B43" s="18" t="n"/>
      <c r="C43" s="18" t="n"/>
      <c r="D43" s="227">
        <f>SUM(D44:D46)</f>
        <v/>
      </c>
      <c r="E43" s="227">
        <f>SUM(E44:E46)</f>
        <v/>
      </c>
      <c r="F43" s="227">
        <f>D43+E43</f>
        <v/>
      </c>
      <c r="G43" s="227">
        <f>SUM(G44:G46)</f>
        <v/>
      </c>
      <c r="H43" s="227">
        <f>SUM(H44:H46)</f>
        <v/>
      </c>
      <c r="I43" s="227">
        <f>G43+H43</f>
        <v/>
      </c>
      <c r="J43" s="228">
        <f>I43-F43</f>
        <v/>
      </c>
      <c r="K43" s="229">
        <f>IF(F43=0,"",I43/F43)</f>
        <v/>
      </c>
      <c r="L43" s="18" t="n"/>
      <c r="M43" s="227">
        <f>SUM(M44:M46)</f>
        <v/>
      </c>
      <c r="N43" s="227">
        <f>SUM(N44:N46)</f>
        <v/>
      </c>
      <c r="O43" s="227">
        <f>M43+N43</f>
        <v/>
      </c>
      <c r="P43" s="227">
        <f>SUM(P44:P46)</f>
        <v/>
      </c>
      <c r="Q43" s="227">
        <f>SUM(Q44:Q46)</f>
        <v/>
      </c>
      <c r="R43" s="227">
        <f>P43+Q43</f>
        <v/>
      </c>
      <c r="S43" s="228">
        <f>R43-O43</f>
        <v/>
      </c>
      <c r="T43" s="229">
        <f>IF(O43=0,"",R43/O43)</f>
        <v/>
      </c>
      <c r="U43" s="18" t="n"/>
      <c r="V43" s="230">
        <f>SUM(V44:V46)</f>
        <v/>
      </c>
      <c r="W43" s="230">
        <f>SUM(W44:W46)</f>
        <v/>
      </c>
      <c r="X43" s="230">
        <f>V43+W43</f>
        <v/>
      </c>
      <c r="Y43" s="230">
        <f>SUM(Y44:Y46)</f>
        <v/>
      </c>
      <c r="Z43" s="230">
        <f>SUM(Z44:Z46)</f>
        <v/>
      </c>
      <c r="AA43" s="230">
        <f>Y43+Z43</f>
        <v/>
      </c>
      <c r="AB43" s="231">
        <f>AA43-X43</f>
        <v/>
      </c>
      <c r="AC43" s="232">
        <f>IF(X43=0,"",AA43/X43)</f>
        <v/>
      </c>
      <c r="AD43" s="25" t="n"/>
      <c r="AE43" s="227">
        <f>SUM(AE44:AE46)</f>
        <v/>
      </c>
      <c r="AF43" s="227">
        <f>SUM(AF44:AF46)</f>
        <v/>
      </c>
      <c r="AG43" s="227">
        <f>AE43+AF43</f>
        <v/>
      </c>
      <c r="AH43" s="227">
        <f>SUM(AH44:AH46)</f>
        <v/>
      </c>
      <c r="AI43" s="227">
        <f>SUM(AI44:AI46)</f>
        <v/>
      </c>
      <c r="AJ43" s="227">
        <f>AH43+AI43</f>
        <v/>
      </c>
      <c r="AK43" s="228">
        <f>AJ43-AG43</f>
        <v/>
      </c>
      <c r="AL43" s="229">
        <f>IF(AG43=0,"",AJ43/AG43)</f>
        <v/>
      </c>
      <c r="AM43" s="18" t="n"/>
      <c r="AN43" s="230">
        <f>SUM(AN44:AN46)</f>
        <v/>
      </c>
      <c r="AO43" s="230">
        <f>SUM(AO44:AO46)</f>
        <v/>
      </c>
      <c r="AP43" s="230">
        <f>AN43+AO43</f>
        <v/>
      </c>
      <c r="AQ43" s="230">
        <f>SUM(AQ44:AQ46)</f>
        <v/>
      </c>
      <c r="AR43" s="230">
        <f>SUM(AR44:AR46)</f>
        <v/>
      </c>
      <c r="AS43" s="230">
        <f>AQ43+AR43</f>
        <v/>
      </c>
      <c r="AT43" s="231">
        <f>AS43-AP43</f>
        <v/>
      </c>
      <c r="AU43" s="232">
        <f>IF(AP43=0,"",AS43/AP43)</f>
        <v/>
      </c>
      <c r="AV43" s="25" t="n"/>
      <c r="AW43" s="227">
        <f>SUM(AW44:AW46)</f>
        <v/>
      </c>
      <c r="AX43" s="227">
        <f>SUM(AX44:AX46)</f>
        <v/>
      </c>
      <c r="AY43" s="227">
        <f>AW43+AX43</f>
        <v/>
      </c>
      <c r="AZ43" s="227">
        <f>SUM(AZ44:AZ46)</f>
        <v/>
      </c>
      <c r="BA43" s="227">
        <f>SUM(BA44:BA46)</f>
        <v/>
      </c>
      <c r="BB43" s="227">
        <f>AZ43+BA43</f>
        <v/>
      </c>
      <c r="BC43" s="228">
        <f>BB43-AY43</f>
        <v/>
      </c>
      <c r="BD43" s="229">
        <f>IF(AY43=0,"",BB43/AY43)</f>
        <v/>
      </c>
      <c r="BE43" s="18" t="n"/>
      <c r="BF43" s="230">
        <f>SUM(BF44:BF46)</f>
        <v/>
      </c>
      <c r="BG43" s="230">
        <f>SUM(BG44:BG46)</f>
        <v/>
      </c>
      <c r="BH43" s="230">
        <f>BF43+BG43</f>
        <v/>
      </c>
      <c r="BI43" s="230">
        <f>SUM(BI44:BI46)</f>
        <v/>
      </c>
      <c r="BJ43" s="230">
        <f>SUM(BJ44:BJ46)</f>
        <v/>
      </c>
      <c r="BK43" s="230">
        <f>BI43+BJ43</f>
        <v/>
      </c>
      <c r="BL43" s="231">
        <f>BK43-BH43</f>
        <v/>
      </c>
      <c r="BM43" s="232">
        <f>IF(BH43=0,"",BK43/BH43)</f>
        <v/>
      </c>
      <c r="BN43" s="25" t="n"/>
      <c r="BO43" s="227">
        <f>SUM(BO44:BO46)</f>
        <v/>
      </c>
      <c r="BP43" s="227">
        <f>SUM(BP44:BP46)</f>
        <v/>
      </c>
      <c r="BQ43" s="227">
        <f>BO43+BP43</f>
        <v/>
      </c>
      <c r="BR43" s="227">
        <f>SUM(BR44:BR46)</f>
        <v/>
      </c>
      <c r="BS43" s="227">
        <f>SUM(BS44:BS46)</f>
        <v/>
      </c>
      <c r="BT43" s="227">
        <f>BR43+BS43</f>
        <v/>
      </c>
      <c r="BU43" s="228">
        <f>BT43-BQ43</f>
        <v/>
      </c>
      <c r="BV43" s="229">
        <f>IF(BQ43=0,"",BT43/BQ43)</f>
        <v/>
      </c>
      <c r="BW43" s="18" t="n"/>
      <c r="BX43" s="230">
        <f>SUM(BX44:BX46)</f>
        <v/>
      </c>
      <c r="BY43" s="230">
        <f>SUM(BY44:BY46)</f>
        <v/>
      </c>
      <c r="BZ43" s="230">
        <f>BX43+BY43</f>
        <v/>
      </c>
      <c r="CA43" s="230">
        <f>SUM(CA44:CA46)</f>
        <v/>
      </c>
      <c r="CB43" s="230">
        <f>SUM(CB44:CB46)</f>
        <v/>
      </c>
      <c r="CC43" s="230">
        <f>CA43+CB43</f>
        <v/>
      </c>
      <c r="CD43" s="231">
        <f>CC43-BZ43</f>
        <v/>
      </c>
      <c r="CE43" s="232">
        <f>IF(BZ43=0,"",CC43/BZ43)</f>
        <v/>
      </c>
      <c r="CF43" s="25" t="n"/>
      <c r="CG43" s="227">
        <f>SUM(CG44:CG46)</f>
        <v/>
      </c>
      <c r="CH43" s="227">
        <f>SUM(CH44:CH46)</f>
        <v/>
      </c>
      <c r="CI43" s="227">
        <f>CG43+CH43</f>
        <v/>
      </c>
      <c r="CJ43" s="227">
        <f>SUM(CJ44:CJ46)</f>
        <v/>
      </c>
      <c r="CK43" s="227">
        <f>SUM(CK44:CK46)</f>
        <v/>
      </c>
      <c r="CL43" s="227">
        <f>CJ43+CK43</f>
        <v/>
      </c>
      <c r="CM43" s="228">
        <f>CL43-CI43</f>
        <v/>
      </c>
      <c r="CN43" s="229">
        <f>IF(CI43=0,"",CL43/CI43)</f>
        <v/>
      </c>
      <c r="CO43" s="18" t="n"/>
      <c r="CP43" s="230">
        <f>SUM(CP44:CP46)</f>
        <v/>
      </c>
      <c r="CQ43" s="230">
        <f>SUM(CQ44:CQ46)</f>
        <v/>
      </c>
      <c r="CR43" s="230">
        <f>CP43+CQ43</f>
        <v/>
      </c>
      <c r="CS43" s="230">
        <f>SUM(CS44:CS46)</f>
        <v/>
      </c>
      <c r="CT43" s="230">
        <f>SUM(CT44:CT46)</f>
        <v/>
      </c>
      <c r="CU43" s="230">
        <f>CS43+CT43</f>
        <v/>
      </c>
      <c r="CV43" s="231">
        <f>CU43-CR43</f>
        <v/>
      </c>
      <c r="CW43" s="232">
        <f>IF(CR43=0,"",CU43/CR43)</f>
        <v/>
      </c>
      <c r="CX43" s="25" t="n"/>
      <c r="CY43" s="227">
        <f>SUM(CY44:CY46)</f>
        <v/>
      </c>
      <c r="CZ43" s="227">
        <f>SUM(CZ44:CZ46)</f>
        <v/>
      </c>
      <c r="DA43" s="227">
        <f>CY43+CZ43</f>
        <v/>
      </c>
      <c r="DB43" s="227">
        <f>SUM(DB44:DB46)</f>
        <v/>
      </c>
      <c r="DC43" s="227">
        <f>SUM(DC44:DC46)</f>
        <v/>
      </c>
      <c r="DD43" s="227">
        <f>DB43+DC43</f>
        <v/>
      </c>
      <c r="DE43" s="228">
        <f>DD43-DA43</f>
        <v/>
      </c>
      <c r="DF43" s="229">
        <f>IF(DA43=0,"",DD43/DA43)</f>
        <v/>
      </c>
      <c r="DG43" s="18" t="n"/>
      <c r="DH43" s="230">
        <f>SUM(DH44:DH46)</f>
        <v/>
      </c>
      <c r="DI43" s="230">
        <f>SUM(DI44:DI46)</f>
        <v/>
      </c>
      <c r="DJ43" s="230">
        <f>DH43+DI43</f>
        <v/>
      </c>
      <c r="DK43" s="230">
        <f>SUM(DK44:DK46)</f>
        <v/>
      </c>
      <c r="DL43" s="230">
        <f>SUM(DL44:DL46)</f>
        <v/>
      </c>
      <c r="DM43" s="230">
        <f>DK43+DL43</f>
        <v/>
      </c>
      <c r="DN43" s="231">
        <f>DM43-DJ43</f>
        <v/>
      </c>
      <c r="DO43" s="232">
        <f>IF(DJ43=0,"",DM43/DJ43)</f>
        <v/>
      </c>
      <c r="DP43" s="25" t="n"/>
      <c r="DQ43" s="227">
        <f>SUM(DQ44:DQ46)</f>
        <v/>
      </c>
      <c r="DR43" s="227">
        <f>SUM(DR44:DR46)</f>
        <v/>
      </c>
      <c r="DS43" s="227">
        <f>DQ43+DR43</f>
        <v/>
      </c>
      <c r="DT43" s="227">
        <f>SUM(DT44:DT46)</f>
        <v/>
      </c>
      <c r="DU43" s="227">
        <f>SUM(DU44:DU46)</f>
        <v/>
      </c>
      <c r="DV43" s="227">
        <f>DT43+DU43</f>
        <v/>
      </c>
      <c r="DW43" s="228">
        <f>DV43-DS43</f>
        <v/>
      </c>
      <c r="DX43" s="229">
        <f>IF(DS43=0,"",DV43/DS43)</f>
        <v/>
      </c>
      <c r="DY43" s="18" t="n"/>
      <c r="DZ43" s="230">
        <f>SUM(DZ44:DZ46)</f>
        <v/>
      </c>
      <c r="EA43" s="230">
        <f>SUM(EA44:EA46)</f>
        <v/>
      </c>
      <c r="EB43" s="230">
        <f>DZ43+EA43</f>
        <v/>
      </c>
      <c r="EC43" s="230">
        <f>SUM(EC44:EC46)</f>
        <v/>
      </c>
      <c r="ED43" s="230">
        <f>SUM(ED44:ED46)</f>
        <v/>
      </c>
      <c r="EE43" s="230">
        <f>EC43+ED43</f>
        <v/>
      </c>
      <c r="EF43" s="231">
        <f>EE43-EB43</f>
        <v/>
      </c>
      <c r="EG43" s="232">
        <f>IF(EB43=0,"",EE43/EB43)</f>
        <v/>
      </c>
      <c r="EH43" s="25" t="n"/>
      <c r="EI43" s="227">
        <f>SUM(EI44:EI46)</f>
        <v/>
      </c>
      <c r="EJ43" s="227">
        <f>SUM(EJ44:EJ46)</f>
        <v/>
      </c>
      <c r="EK43" s="227">
        <f>EI43+EJ43</f>
        <v/>
      </c>
      <c r="EL43" s="227">
        <f>SUM(EL44:EL46)</f>
        <v/>
      </c>
      <c r="EM43" s="227">
        <f>SUM(EM44:EM46)</f>
        <v/>
      </c>
      <c r="EN43" s="227">
        <f>EL43+EM43</f>
        <v/>
      </c>
      <c r="EO43" s="228">
        <f>EN43-EK43</f>
        <v/>
      </c>
      <c r="EP43" s="229">
        <f>IF(EK43=0,"",EN43/EK43)</f>
        <v/>
      </c>
      <c r="EQ43" s="18" t="n"/>
      <c r="ER43" s="230">
        <f>SUM(ER44:ER46)</f>
        <v/>
      </c>
      <c r="ES43" s="230">
        <f>SUM(ES44:ES46)</f>
        <v/>
      </c>
      <c r="ET43" s="230">
        <f>ER43+ES43</f>
        <v/>
      </c>
      <c r="EU43" s="230">
        <f>SUM(EU44:EU46)</f>
        <v/>
      </c>
      <c r="EV43" s="230">
        <f>SUM(EV44:EV46)</f>
        <v/>
      </c>
      <c r="EW43" s="230">
        <f>EU43+EV43</f>
        <v/>
      </c>
      <c r="EX43" s="231">
        <f>EW43-ET43</f>
        <v/>
      </c>
      <c r="EY43" s="232">
        <f>IF(ET43=0,"",EW43/ET43)</f>
        <v/>
      </c>
      <c r="EZ43" s="25" t="n"/>
      <c r="FA43" s="227">
        <f>SUM(FA44:FA46)</f>
        <v/>
      </c>
      <c r="FB43" s="227">
        <f>SUM(FB44:FB46)</f>
        <v/>
      </c>
      <c r="FC43" s="227">
        <f>FA43+FB43</f>
        <v/>
      </c>
      <c r="FD43" s="227">
        <f>SUM(FD44:FD46)</f>
        <v/>
      </c>
      <c r="FE43" s="227">
        <f>SUM(FE44:FE46)</f>
        <v/>
      </c>
      <c r="FF43" s="227">
        <f>FD43+FE43</f>
        <v/>
      </c>
      <c r="FG43" s="228">
        <f>FF43-FC43</f>
        <v/>
      </c>
      <c r="FH43" s="229">
        <f>IF(FC43=0,"",FF43/FC43)</f>
        <v/>
      </c>
      <c r="FI43" s="18" t="n"/>
      <c r="FJ43" s="230">
        <f>SUM(FJ44:FJ46)</f>
        <v/>
      </c>
      <c r="FK43" s="230">
        <f>SUM(FK44:FK46)</f>
        <v/>
      </c>
      <c r="FL43" s="230">
        <f>FJ43+FK43</f>
        <v/>
      </c>
      <c r="FM43" s="230">
        <f>SUM(FM44:FM46)</f>
        <v/>
      </c>
      <c r="FN43" s="230">
        <f>SUM(FN44:FN46)</f>
        <v/>
      </c>
      <c r="FO43" s="230">
        <f>FM43+FN43</f>
        <v/>
      </c>
      <c r="FP43" s="231">
        <f>FO43-FL43</f>
        <v/>
      </c>
      <c r="FQ43" s="232">
        <f>IF(FL43=0,"",FO43/FL43)</f>
        <v/>
      </c>
      <c r="FR43" s="25" t="n"/>
      <c r="FS43" s="227">
        <f>SUM(FS44:FS46)</f>
        <v/>
      </c>
      <c r="FT43" s="227">
        <f>SUM(FT44:FT46)</f>
        <v/>
      </c>
      <c r="FU43" s="227">
        <f>FS43+FT43</f>
        <v/>
      </c>
      <c r="FV43" s="227">
        <f>SUM(FV44:FV46)</f>
        <v/>
      </c>
      <c r="FW43" s="227">
        <f>SUM(FW44:FW46)</f>
        <v/>
      </c>
      <c r="FX43" s="227">
        <f>FV43+FW43</f>
        <v/>
      </c>
      <c r="FY43" s="228">
        <f>FX43-FU43</f>
        <v/>
      </c>
      <c r="FZ43" s="229">
        <f>IF(FU43=0,"",FX43/FU43)</f>
        <v/>
      </c>
      <c r="GA43" s="18" t="n"/>
      <c r="GB43" s="230">
        <f>SUM(GB44:GB46)</f>
        <v/>
      </c>
      <c r="GC43" s="230">
        <f>SUM(GC44:GC46)</f>
        <v/>
      </c>
      <c r="GD43" s="230">
        <f>GB43+GC43</f>
        <v/>
      </c>
      <c r="GE43" s="230">
        <f>SUM(GE44:GE46)</f>
        <v/>
      </c>
      <c r="GF43" s="230">
        <f>SUM(GF44:GF46)</f>
        <v/>
      </c>
      <c r="GG43" s="230">
        <f>GE43+GF43</f>
        <v/>
      </c>
      <c r="GH43" s="231">
        <f>GG43-GD43</f>
        <v/>
      </c>
      <c r="GI43" s="232">
        <f>IF(GD43=0,"",GG43/GD43)</f>
        <v/>
      </c>
      <c r="GJ43" s="25" t="n"/>
      <c r="GK43" s="227">
        <f>SUM(GK44:GK46)</f>
        <v/>
      </c>
      <c r="GL43" s="227">
        <f>SUM(GL44:GL46)</f>
        <v/>
      </c>
      <c r="GM43" s="227">
        <f>GK43+GL43</f>
        <v/>
      </c>
      <c r="GN43" s="227">
        <f>SUM(GN44:GN46)</f>
        <v/>
      </c>
      <c r="GO43" s="227">
        <f>SUM(GO44:GO46)</f>
        <v/>
      </c>
      <c r="GP43" s="227">
        <f>GN43+GO43</f>
        <v/>
      </c>
      <c r="GQ43" s="228">
        <f>GP43-GM43</f>
        <v/>
      </c>
      <c r="GR43" s="229">
        <f>IF(GM43=0,"",GP43/GM43)</f>
        <v/>
      </c>
      <c r="GS43" s="18" t="n"/>
      <c r="GT43" s="230">
        <f>SUM(GT44:GT46)</f>
        <v/>
      </c>
      <c r="GU43" s="230">
        <f>SUM(GU44:GU46)</f>
        <v/>
      </c>
      <c r="GV43" s="230">
        <f>GT43+GU43</f>
        <v/>
      </c>
      <c r="GW43" s="230">
        <f>SUM(GW44:GW46)</f>
        <v/>
      </c>
      <c r="GX43" s="230">
        <f>SUM(GX44:GX46)</f>
        <v/>
      </c>
      <c r="GY43" s="230">
        <f>GW43+GX43</f>
        <v/>
      </c>
      <c r="GZ43" s="231">
        <f>GY43-GV43</f>
        <v/>
      </c>
      <c r="HA43" s="232">
        <f>IF(GV43=0,"",GY43/GV43)</f>
        <v/>
      </c>
      <c r="HB43" s="25" t="n"/>
      <c r="HC43" s="227">
        <f>GT43</f>
        <v/>
      </c>
      <c r="HD43" s="227">
        <f>GU43</f>
        <v/>
      </c>
      <c r="HE43" s="227">
        <f>HC43+HD43</f>
        <v/>
      </c>
    </row>
    <row r="44" outlineLevel="1" ht="24" customHeight="1" s="150">
      <c r="A44" s="26" t="n"/>
      <c r="B44" s="26" t="n"/>
      <c r="C44" s="26" t="n"/>
      <c r="D44" s="233" t="n"/>
      <c r="E44" s="233" t="n"/>
      <c r="F44" s="233">
        <f>D44+E44</f>
        <v/>
      </c>
      <c r="G44" s="233" t="n"/>
      <c r="H44" s="233" t="n"/>
      <c r="I44" s="233">
        <f>G44+H44</f>
        <v/>
      </c>
      <c r="J44" s="234">
        <f>I44-F44</f>
        <v/>
      </c>
      <c r="K44" s="235">
        <f>IF(F44=0,"",I44/F44)</f>
        <v/>
      </c>
      <c r="L44" s="42" t="n"/>
      <c r="M44" s="233" t="n"/>
      <c r="N44" s="233" t="n"/>
      <c r="O44" s="233">
        <f>M44+N44</f>
        <v/>
      </c>
      <c r="P44" s="233" t="n"/>
      <c r="Q44" s="233" t="n"/>
      <c r="R44" s="233">
        <f>P44+Q44</f>
        <v/>
      </c>
      <c r="S44" s="234">
        <f>R44-O44</f>
        <v/>
      </c>
      <c r="T44" s="235">
        <f>IF(O44=0,"",R44/O44)</f>
        <v/>
      </c>
      <c r="U44" s="26" t="n"/>
      <c r="V44" s="236">
        <f>D44+M44</f>
        <v/>
      </c>
      <c r="W44" s="236">
        <f>E44+N44</f>
        <v/>
      </c>
      <c r="X44" s="236">
        <f>V44+W44</f>
        <v/>
      </c>
      <c r="Y44" s="236">
        <f>G44+P44</f>
        <v/>
      </c>
      <c r="Z44" s="236">
        <f>H44+Q44</f>
        <v/>
      </c>
      <c r="AA44" s="236">
        <f>Y44+Z44</f>
        <v/>
      </c>
      <c r="AB44" s="234">
        <f>AA44-X44</f>
        <v/>
      </c>
      <c r="AC44" s="237">
        <f>IF(X44=0,"",AA44/X44)</f>
        <v/>
      </c>
      <c r="AD44" s="44" t="n"/>
      <c r="AE44" s="233" t="n"/>
      <c r="AF44" s="233" t="n"/>
      <c r="AG44" s="233">
        <f>AE44+AF44</f>
        <v/>
      </c>
      <c r="AH44" s="233" t="n"/>
      <c r="AI44" s="233" t="n"/>
      <c r="AJ44" s="233">
        <f>AH44+AI44</f>
        <v/>
      </c>
      <c r="AK44" s="238">
        <f>AJ44-AG44</f>
        <v/>
      </c>
      <c r="AL44" s="235">
        <f>IF(AG44=0,"",AJ44/AG44)</f>
        <v/>
      </c>
      <c r="AM44" s="26" t="n"/>
      <c r="AN44" s="236">
        <f>V44+AE44</f>
        <v/>
      </c>
      <c r="AO44" s="236">
        <f>W44+AF44</f>
        <v/>
      </c>
      <c r="AP44" s="236">
        <f>AN44+AO44</f>
        <v/>
      </c>
      <c r="AQ44" s="236">
        <f>Y44+AH44</f>
        <v/>
      </c>
      <c r="AR44" s="236">
        <f>Z44+AI44</f>
        <v/>
      </c>
      <c r="AS44" s="236">
        <f>AQ44+AR44</f>
        <v/>
      </c>
      <c r="AT44" s="234">
        <f>AS44-AP44</f>
        <v/>
      </c>
      <c r="AU44" s="237">
        <f>IF(AP44=0,"",AS44/AP44)</f>
        <v/>
      </c>
      <c r="AV44" s="44" t="n"/>
      <c r="AW44" s="233" t="n"/>
      <c r="AX44" s="233" t="n"/>
      <c r="AY44" s="233">
        <f>AW44+AX44</f>
        <v/>
      </c>
      <c r="AZ44" s="233" t="n"/>
      <c r="BA44" s="233" t="n"/>
      <c r="BB44" s="233">
        <f>AZ44+BA44</f>
        <v/>
      </c>
      <c r="BC44" s="238">
        <f>BB44-AY44</f>
        <v/>
      </c>
      <c r="BD44" s="235">
        <f>IF(AY44=0,"",BB44/AY44)</f>
        <v/>
      </c>
      <c r="BE44" s="26" t="n"/>
      <c r="BF44" s="236">
        <f>AN44+AW44</f>
        <v/>
      </c>
      <c r="BG44" s="236">
        <f>AO44+AX44</f>
        <v/>
      </c>
      <c r="BH44" s="236">
        <f>BF44+BG44</f>
        <v/>
      </c>
      <c r="BI44" s="236">
        <f>AQ44+AZ44</f>
        <v/>
      </c>
      <c r="BJ44" s="236">
        <f>AR44+BA44</f>
        <v/>
      </c>
      <c r="BK44" s="236">
        <f>BI44+BJ44</f>
        <v/>
      </c>
      <c r="BL44" s="239">
        <f>BK44-BH44</f>
        <v/>
      </c>
      <c r="BM44" s="237">
        <f>IF(BH44=0,"",BK44/BH44)</f>
        <v/>
      </c>
      <c r="BN44" s="33" t="n"/>
      <c r="BO44" s="233" t="n"/>
      <c r="BP44" s="233" t="n"/>
      <c r="BQ44" s="233">
        <f>BO44+BP44</f>
        <v/>
      </c>
      <c r="BR44" s="233" t="n"/>
      <c r="BS44" s="233" t="n"/>
      <c r="BT44" s="233">
        <f>BR44+BS44</f>
        <v/>
      </c>
      <c r="BU44" s="238">
        <f>BT44-BQ44</f>
        <v/>
      </c>
      <c r="BV44" s="235">
        <f>IF(BQ44=0,"",BT44/BQ44)</f>
        <v/>
      </c>
      <c r="BW44" s="26" t="n"/>
      <c r="BX44" s="236">
        <f>BF44+BO44</f>
        <v/>
      </c>
      <c r="BY44" s="236">
        <f>BG44+BP44</f>
        <v/>
      </c>
      <c r="BZ44" s="236">
        <f>BX44+BY44</f>
        <v/>
      </c>
      <c r="CA44" s="236">
        <f>BI44+BR44</f>
        <v/>
      </c>
      <c r="CB44" s="236">
        <f>BJ44+BS44</f>
        <v/>
      </c>
      <c r="CC44" s="236">
        <f>CA44+CB44</f>
        <v/>
      </c>
      <c r="CD44" s="239">
        <f>CC44-BZ44</f>
        <v/>
      </c>
      <c r="CE44" s="237">
        <f>IF(BZ44=0,"",CC44/BZ44)</f>
        <v/>
      </c>
      <c r="CF44" s="33" t="n"/>
      <c r="CG44" s="233" t="n"/>
      <c r="CH44" s="233" t="n"/>
      <c r="CI44" s="233">
        <f>CG44+CH44</f>
        <v/>
      </c>
      <c r="CJ44" s="233" t="n"/>
      <c r="CK44" s="233" t="n"/>
      <c r="CL44" s="233">
        <f>CJ44+CK44</f>
        <v/>
      </c>
      <c r="CM44" s="238">
        <f>CL44-CI44</f>
        <v/>
      </c>
      <c r="CN44" s="235">
        <f>IF(CI44=0,"",CL44/CI44)</f>
        <v/>
      </c>
      <c r="CO44" s="26" t="n"/>
      <c r="CP44" s="236">
        <f>BX44+CG44</f>
        <v/>
      </c>
      <c r="CQ44" s="236">
        <f>BY44+CH44</f>
        <v/>
      </c>
      <c r="CR44" s="236">
        <f>CP44+CQ44</f>
        <v/>
      </c>
      <c r="CS44" s="236">
        <f>CA44+CJ44</f>
        <v/>
      </c>
      <c r="CT44" s="236">
        <f>CB44+CK44</f>
        <v/>
      </c>
      <c r="CU44" s="236">
        <f>CS44+CT44</f>
        <v/>
      </c>
      <c r="CV44" s="239">
        <f>CU44-CR44</f>
        <v/>
      </c>
      <c r="CW44" s="237">
        <f>IF(CR44=0,"",CU44/CR44)</f>
        <v/>
      </c>
      <c r="CX44" s="33" t="n"/>
      <c r="CY44" s="233" t="n"/>
      <c r="CZ44" s="233" t="n"/>
      <c r="DA44" s="233">
        <f>CY44+CZ44</f>
        <v/>
      </c>
      <c r="DB44" s="233" t="n"/>
      <c r="DC44" s="233" t="n"/>
      <c r="DD44" s="233">
        <f>DB44+DC44</f>
        <v/>
      </c>
      <c r="DE44" s="238">
        <f>DD44-DA44</f>
        <v/>
      </c>
      <c r="DF44" s="235">
        <f>IF(DA44=0,"",DD44/DA44)</f>
        <v/>
      </c>
      <c r="DG44" s="26" t="n"/>
      <c r="DH44" s="236">
        <f>CP44+CY44</f>
        <v/>
      </c>
      <c r="DI44" s="236">
        <f>CQ44+CZ44</f>
        <v/>
      </c>
      <c r="DJ44" s="236">
        <f>DH44+DI44</f>
        <v/>
      </c>
      <c r="DK44" s="236">
        <f>CS44+DB44</f>
        <v/>
      </c>
      <c r="DL44" s="236">
        <f>CT44+DC44</f>
        <v/>
      </c>
      <c r="DM44" s="236">
        <f>DK44+DL44</f>
        <v/>
      </c>
      <c r="DN44" s="239">
        <f>DM44-DJ44</f>
        <v/>
      </c>
      <c r="DO44" s="237">
        <f>IF(DJ44=0,"",DM44/DJ44)</f>
        <v/>
      </c>
      <c r="DP44" s="33" t="n"/>
      <c r="DQ44" s="233" t="n"/>
      <c r="DR44" s="233" t="n"/>
      <c r="DS44" s="233">
        <f>DQ44+DR44</f>
        <v/>
      </c>
      <c r="DT44" s="233" t="n"/>
      <c r="DU44" s="233" t="n"/>
      <c r="DV44" s="233">
        <f>DT44+DU44</f>
        <v/>
      </c>
      <c r="DW44" s="238">
        <f>DV44-DS44</f>
        <v/>
      </c>
      <c r="DX44" s="235">
        <f>IF(DS44=0,"",DV44/DS44)</f>
        <v/>
      </c>
      <c r="DY44" s="26" t="n"/>
      <c r="DZ44" s="236">
        <f>DH44+DQ44</f>
        <v/>
      </c>
      <c r="EA44" s="236">
        <f>DI44+DR44</f>
        <v/>
      </c>
      <c r="EB44" s="236">
        <f>DZ44+EA44</f>
        <v/>
      </c>
      <c r="EC44" s="236">
        <f>DK44+DT44</f>
        <v/>
      </c>
      <c r="ED44" s="236">
        <f>DL44+DU44</f>
        <v/>
      </c>
      <c r="EE44" s="236">
        <f>EC44+ED44</f>
        <v/>
      </c>
      <c r="EF44" s="239">
        <f>EE44-EB44</f>
        <v/>
      </c>
      <c r="EG44" s="237">
        <f>IF(EB44=0,"",EE44/EB44)</f>
        <v/>
      </c>
      <c r="EH44" s="33" t="n"/>
      <c r="EI44" s="233" t="n"/>
      <c r="EJ44" s="233" t="n"/>
      <c r="EK44" s="233">
        <f>EI44+EJ44</f>
        <v/>
      </c>
      <c r="EL44" s="233" t="n"/>
      <c r="EM44" s="233" t="n"/>
      <c r="EN44" s="233">
        <f>EL44+EM44</f>
        <v/>
      </c>
      <c r="EO44" s="238">
        <f>EN44-EK44</f>
        <v/>
      </c>
      <c r="EP44" s="235">
        <f>IF(EK44=0,"",EN44/EK44)</f>
        <v/>
      </c>
      <c r="EQ44" s="26" t="n"/>
      <c r="ER44" s="236">
        <f>DZ44+EI44</f>
        <v/>
      </c>
      <c r="ES44" s="236">
        <f>EA44+EJ44</f>
        <v/>
      </c>
      <c r="ET44" s="236">
        <f>ER44+ES44</f>
        <v/>
      </c>
      <c r="EU44" s="236">
        <f>EC44+EL44</f>
        <v/>
      </c>
      <c r="EV44" s="236">
        <f>ED44+EM44</f>
        <v/>
      </c>
      <c r="EW44" s="236">
        <f>EU44+EV44</f>
        <v/>
      </c>
      <c r="EX44" s="239">
        <f>EW44-ET44</f>
        <v/>
      </c>
      <c r="EY44" s="237">
        <f>IF(ET44=0,"",EW44/ET44)</f>
        <v/>
      </c>
      <c r="EZ44" s="33" t="n"/>
      <c r="FA44" s="233" t="n"/>
      <c r="FB44" s="233" t="n"/>
      <c r="FC44" s="233">
        <f>FA44+FB44</f>
        <v/>
      </c>
      <c r="FD44" s="233" t="n"/>
      <c r="FE44" s="233" t="n"/>
      <c r="FF44" s="233">
        <f>FD44+FE44</f>
        <v/>
      </c>
      <c r="FG44" s="238">
        <f>FF44-FC44</f>
        <v/>
      </c>
      <c r="FH44" s="235">
        <f>IF(FC44=0,"",FF44/FC44)</f>
        <v/>
      </c>
      <c r="FI44" s="26" t="n"/>
      <c r="FJ44" s="236">
        <f>ER44+FA44</f>
        <v/>
      </c>
      <c r="FK44" s="236">
        <f>ES44+FB44</f>
        <v/>
      </c>
      <c r="FL44" s="236">
        <f>FJ44+FK44</f>
        <v/>
      </c>
      <c r="FM44" s="236">
        <f>EU44+FD44</f>
        <v/>
      </c>
      <c r="FN44" s="236">
        <f>EV44+FE44</f>
        <v/>
      </c>
      <c r="FO44" s="236">
        <f>FM44+FN44</f>
        <v/>
      </c>
      <c r="FP44" s="239">
        <f>FO44-FL44</f>
        <v/>
      </c>
      <c r="FQ44" s="237">
        <f>IF(FL44=0,"",FO44/FL44)</f>
        <v/>
      </c>
      <c r="FR44" s="33" t="n"/>
      <c r="FS44" s="233" t="n"/>
      <c r="FT44" s="233" t="n"/>
      <c r="FU44" s="233">
        <f>FS44+FT44</f>
        <v/>
      </c>
      <c r="FV44" s="233" t="n"/>
      <c r="FW44" s="233" t="n"/>
      <c r="FX44" s="233">
        <f>FV44+FW44</f>
        <v/>
      </c>
      <c r="FY44" s="238">
        <f>FX44-FU44</f>
        <v/>
      </c>
      <c r="FZ44" s="235">
        <f>IF(FU44=0,"",FX44/FU44)</f>
        <v/>
      </c>
      <c r="GA44" s="26" t="n"/>
      <c r="GB44" s="236">
        <f>FJ44+FS44</f>
        <v/>
      </c>
      <c r="GC44" s="236">
        <f>FK44+FT44</f>
        <v/>
      </c>
      <c r="GD44" s="236">
        <f>GB44+GC44</f>
        <v/>
      </c>
      <c r="GE44" s="236">
        <f>FM44+FV44</f>
        <v/>
      </c>
      <c r="GF44" s="236">
        <f>FN44+FW44</f>
        <v/>
      </c>
      <c r="GG44" s="236">
        <f>GE44+GF44</f>
        <v/>
      </c>
      <c r="GH44" s="239">
        <f>GG44-GD44</f>
        <v/>
      </c>
      <c r="GI44" s="237">
        <f>IF(GD44=0,"",GG44/GD44)</f>
        <v/>
      </c>
      <c r="GJ44" s="33" t="n"/>
      <c r="GK44" s="233" t="n"/>
      <c r="GL44" s="233" t="n"/>
      <c r="GM44" s="233">
        <f>GK44+GL44</f>
        <v/>
      </c>
      <c r="GN44" s="233" t="n"/>
      <c r="GO44" s="233" t="n"/>
      <c r="GP44" s="233">
        <f>GN44+GO44</f>
        <v/>
      </c>
      <c r="GQ44" s="238">
        <f>GP44-GM44</f>
        <v/>
      </c>
      <c r="GR44" s="235">
        <f>IF(GM44=0,"",GP44/GM44)</f>
        <v/>
      </c>
      <c r="GS44" s="26" t="n"/>
      <c r="GT44" s="236">
        <f>GB44+GK44</f>
        <v/>
      </c>
      <c r="GU44" s="236">
        <f>GC44+GL44</f>
        <v/>
      </c>
      <c r="GV44" s="236">
        <f>GT44+GU44</f>
        <v/>
      </c>
      <c r="GW44" s="236">
        <f>GE44+GN44</f>
        <v/>
      </c>
      <c r="GX44" s="236">
        <f>GF44+GO44</f>
        <v/>
      </c>
      <c r="GY44" s="236">
        <f>GW44+GX44</f>
        <v/>
      </c>
      <c r="GZ44" s="239">
        <f>GY44-GV44</f>
        <v/>
      </c>
      <c r="HA44" s="237">
        <f>IF(GV44=0,"",GY44/GV44)</f>
        <v/>
      </c>
      <c r="HB44" s="33" t="n"/>
      <c r="HC44" s="233">
        <f>GT44</f>
        <v/>
      </c>
      <c r="HD44" s="233">
        <f>GU44</f>
        <v/>
      </c>
      <c r="HE44" s="233">
        <f>HC44+HD44</f>
        <v/>
      </c>
    </row>
    <row r="45" outlineLevel="1" ht="15" customHeight="1" s="150">
      <c r="A45" s="26" t="n"/>
      <c r="B45" s="26" t="n"/>
      <c r="C45" s="26" t="n"/>
      <c r="D45" s="233" t="n"/>
      <c r="E45" s="233" t="n"/>
      <c r="F45" s="233">
        <f>D45+E45</f>
        <v/>
      </c>
      <c r="G45" s="233" t="n"/>
      <c r="H45" s="233" t="n"/>
      <c r="I45" s="233">
        <f>G45+H45</f>
        <v/>
      </c>
      <c r="J45" s="238">
        <f>I45-F45</f>
        <v/>
      </c>
      <c r="K45" s="235">
        <f>IF(F45=0,"",I45/F45)</f>
        <v/>
      </c>
      <c r="L45" s="26" t="n"/>
      <c r="M45" s="233" t="n"/>
      <c r="N45" s="233" t="n"/>
      <c r="O45" s="233">
        <f>M45+N45</f>
        <v/>
      </c>
      <c r="P45" s="233" t="n"/>
      <c r="Q45" s="233" t="n"/>
      <c r="R45" s="233">
        <f>P45+Q45</f>
        <v/>
      </c>
      <c r="S45" s="238">
        <f>R45-O45</f>
        <v/>
      </c>
      <c r="T45" s="235">
        <f>IF(O45=0,"",R45/O45)</f>
        <v/>
      </c>
      <c r="U45" s="26" t="n"/>
      <c r="V45" s="236">
        <f>D45+M45</f>
        <v/>
      </c>
      <c r="W45" s="236">
        <f>E45+N45</f>
        <v/>
      </c>
      <c r="X45" s="236">
        <f>V45+W45</f>
        <v/>
      </c>
      <c r="Y45" s="236">
        <f>G45+P45</f>
        <v/>
      </c>
      <c r="Z45" s="236">
        <f>H45+Q45</f>
        <v/>
      </c>
      <c r="AA45" s="236">
        <f>Y45+Z45</f>
        <v/>
      </c>
      <c r="AB45" s="239">
        <f>AA45-X45</f>
        <v/>
      </c>
      <c r="AC45" s="237">
        <f>IF(X45=0,"",AA45/X45)</f>
        <v/>
      </c>
      <c r="AD45" s="33" t="n"/>
      <c r="AE45" s="233" t="n"/>
      <c r="AF45" s="233" t="n"/>
      <c r="AG45" s="233">
        <f>AE45+AF45</f>
        <v/>
      </c>
      <c r="AH45" s="233" t="n"/>
      <c r="AI45" s="233" t="n"/>
      <c r="AJ45" s="233">
        <f>AH45+AI45</f>
        <v/>
      </c>
      <c r="AK45" s="238">
        <f>AJ45-AG45</f>
        <v/>
      </c>
      <c r="AL45" s="235">
        <f>IF(AG45=0,"",AJ45/AG45)</f>
        <v/>
      </c>
      <c r="AM45" s="26" t="n"/>
      <c r="AN45" s="236">
        <f>V45+AE45</f>
        <v/>
      </c>
      <c r="AO45" s="236">
        <f>W45+AF45</f>
        <v/>
      </c>
      <c r="AP45" s="236">
        <f>AN45+AO45</f>
        <v/>
      </c>
      <c r="AQ45" s="236">
        <f>Y45+AH45</f>
        <v/>
      </c>
      <c r="AR45" s="236">
        <f>Z45+AI45</f>
        <v/>
      </c>
      <c r="AS45" s="236">
        <f>AQ45+AR45</f>
        <v/>
      </c>
      <c r="AT45" s="239">
        <f>AS45-AP45</f>
        <v/>
      </c>
      <c r="AU45" s="237">
        <f>IF(AP45=0,"",AS45/AP45)</f>
        <v/>
      </c>
      <c r="AV45" s="33" t="n"/>
      <c r="AW45" s="233" t="n"/>
      <c r="AX45" s="233" t="n"/>
      <c r="AY45" s="233">
        <f>AW45+AX45</f>
        <v/>
      </c>
      <c r="AZ45" s="233" t="n"/>
      <c r="BA45" s="233" t="n"/>
      <c r="BB45" s="233">
        <f>AZ45+BA45</f>
        <v/>
      </c>
      <c r="BC45" s="238">
        <f>BB45-AY45</f>
        <v/>
      </c>
      <c r="BD45" s="235">
        <f>IF(AY45=0,"",BB45/AY45)</f>
        <v/>
      </c>
      <c r="BE45" s="26" t="n"/>
      <c r="BF45" s="236">
        <f>AN45+AW45</f>
        <v/>
      </c>
      <c r="BG45" s="236">
        <f>AO45+AX45</f>
        <v/>
      </c>
      <c r="BH45" s="236">
        <f>BF45+BG45</f>
        <v/>
      </c>
      <c r="BI45" s="236">
        <f>AQ45+AZ45</f>
        <v/>
      </c>
      <c r="BJ45" s="236">
        <f>AR45+BA45</f>
        <v/>
      </c>
      <c r="BK45" s="236">
        <f>BI45+BJ45</f>
        <v/>
      </c>
      <c r="BL45" s="239">
        <f>BK45-BH45</f>
        <v/>
      </c>
      <c r="BM45" s="237">
        <f>IF(BH45=0,"",BK45/BH45)</f>
        <v/>
      </c>
      <c r="BN45" s="33" t="n"/>
      <c r="BO45" s="233" t="n"/>
      <c r="BP45" s="233" t="n"/>
      <c r="BQ45" s="233">
        <f>BO45+BP45</f>
        <v/>
      </c>
      <c r="BR45" s="233" t="n"/>
      <c r="BS45" s="233" t="n"/>
      <c r="BT45" s="233">
        <f>BR45+BS45</f>
        <v/>
      </c>
      <c r="BU45" s="238">
        <f>BT45-BQ45</f>
        <v/>
      </c>
      <c r="BV45" s="235">
        <f>IF(BQ45=0,"",BT45/BQ45)</f>
        <v/>
      </c>
      <c r="BW45" s="26" t="n"/>
      <c r="BX45" s="236">
        <f>BF45+BO45</f>
        <v/>
      </c>
      <c r="BY45" s="236">
        <f>BG45+BP45</f>
        <v/>
      </c>
      <c r="BZ45" s="236">
        <f>BX45+BY45</f>
        <v/>
      </c>
      <c r="CA45" s="236">
        <f>BI45+BR45</f>
        <v/>
      </c>
      <c r="CB45" s="236">
        <f>BJ45+BS45</f>
        <v/>
      </c>
      <c r="CC45" s="236">
        <f>CA45+CB45</f>
        <v/>
      </c>
      <c r="CD45" s="239">
        <f>CC45-BZ45</f>
        <v/>
      </c>
      <c r="CE45" s="237">
        <f>IF(BZ45=0,"",CC45/BZ45)</f>
        <v/>
      </c>
      <c r="CF45" s="33" t="n"/>
      <c r="CG45" s="233" t="n"/>
      <c r="CH45" s="233" t="n"/>
      <c r="CI45" s="233">
        <f>CG45+CH45</f>
        <v/>
      </c>
      <c r="CJ45" s="233" t="n"/>
      <c r="CK45" s="233" t="n"/>
      <c r="CL45" s="233">
        <f>CJ45+CK45</f>
        <v/>
      </c>
      <c r="CM45" s="238">
        <f>CL45-CI45</f>
        <v/>
      </c>
      <c r="CN45" s="235">
        <f>IF(CI45=0,"",CL45/CI45)</f>
        <v/>
      </c>
      <c r="CO45" s="26" t="n"/>
      <c r="CP45" s="236">
        <f>BX45+CG45</f>
        <v/>
      </c>
      <c r="CQ45" s="236">
        <f>BY45+CH45</f>
        <v/>
      </c>
      <c r="CR45" s="236">
        <f>CP45+CQ45</f>
        <v/>
      </c>
      <c r="CS45" s="236">
        <f>CA45+CJ45</f>
        <v/>
      </c>
      <c r="CT45" s="236">
        <f>CB45+CK45</f>
        <v/>
      </c>
      <c r="CU45" s="236">
        <f>CS45+CT45</f>
        <v/>
      </c>
      <c r="CV45" s="239">
        <f>CU45-CR45</f>
        <v/>
      </c>
      <c r="CW45" s="237">
        <f>IF(CR45=0,"",CU45/CR45)</f>
        <v/>
      </c>
      <c r="CX45" s="33" t="n"/>
      <c r="CY45" s="233" t="n"/>
      <c r="CZ45" s="233" t="n"/>
      <c r="DA45" s="233">
        <f>CY45+CZ45</f>
        <v/>
      </c>
      <c r="DB45" s="233" t="n"/>
      <c r="DC45" s="233" t="n"/>
      <c r="DD45" s="233">
        <f>DB45+DC45</f>
        <v/>
      </c>
      <c r="DE45" s="238">
        <f>DD45-DA45</f>
        <v/>
      </c>
      <c r="DF45" s="235">
        <f>IF(DA45=0,"",DD45/DA45)</f>
        <v/>
      </c>
      <c r="DG45" s="26" t="n"/>
      <c r="DH45" s="236">
        <f>CP45+CY45</f>
        <v/>
      </c>
      <c r="DI45" s="236">
        <f>CQ45+CZ45</f>
        <v/>
      </c>
      <c r="DJ45" s="236">
        <f>DH45+DI45</f>
        <v/>
      </c>
      <c r="DK45" s="236">
        <f>CS45+DB45</f>
        <v/>
      </c>
      <c r="DL45" s="236">
        <f>CT45+DC45</f>
        <v/>
      </c>
      <c r="DM45" s="236">
        <f>DK45+DL45</f>
        <v/>
      </c>
      <c r="DN45" s="239">
        <f>DM45-DJ45</f>
        <v/>
      </c>
      <c r="DO45" s="237">
        <f>IF(DJ45=0,"",DM45/DJ45)</f>
        <v/>
      </c>
      <c r="DP45" s="33" t="n"/>
      <c r="DQ45" s="233" t="n"/>
      <c r="DR45" s="233" t="n"/>
      <c r="DS45" s="233">
        <f>DQ45+DR45</f>
        <v/>
      </c>
      <c r="DT45" s="233" t="n"/>
      <c r="DU45" s="233" t="n"/>
      <c r="DV45" s="233">
        <f>DT45+DU45</f>
        <v/>
      </c>
      <c r="DW45" s="238">
        <f>DV45-DS45</f>
        <v/>
      </c>
      <c r="DX45" s="235">
        <f>IF(DS45=0,"",DV45/DS45)</f>
        <v/>
      </c>
      <c r="DY45" s="26" t="n"/>
      <c r="DZ45" s="236">
        <f>DH45+DQ45</f>
        <v/>
      </c>
      <c r="EA45" s="236">
        <f>DI45+DR45</f>
        <v/>
      </c>
      <c r="EB45" s="236">
        <f>DZ45+EA45</f>
        <v/>
      </c>
      <c r="EC45" s="236">
        <f>DK45+DT45</f>
        <v/>
      </c>
      <c r="ED45" s="236">
        <f>DL45+DU45</f>
        <v/>
      </c>
      <c r="EE45" s="236">
        <f>EC45+ED45</f>
        <v/>
      </c>
      <c r="EF45" s="239">
        <f>EE45-EB45</f>
        <v/>
      </c>
      <c r="EG45" s="237">
        <f>IF(EB45=0,"",EE45/EB45)</f>
        <v/>
      </c>
      <c r="EH45" s="33" t="n"/>
      <c r="EI45" s="233" t="n"/>
      <c r="EJ45" s="233" t="n"/>
      <c r="EK45" s="233">
        <f>EI45+EJ45</f>
        <v/>
      </c>
      <c r="EL45" s="233" t="n"/>
      <c r="EM45" s="233" t="n"/>
      <c r="EN45" s="233">
        <f>EL45+EM45</f>
        <v/>
      </c>
      <c r="EO45" s="238">
        <f>EN45-EK45</f>
        <v/>
      </c>
      <c r="EP45" s="235">
        <f>IF(EK45=0,"",EN45/EK45)</f>
        <v/>
      </c>
      <c r="EQ45" s="26" t="n"/>
      <c r="ER45" s="236">
        <f>DZ45+EI45</f>
        <v/>
      </c>
      <c r="ES45" s="236">
        <f>EA45+EJ45</f>
        <v/>
      </c>
      <c r="ET45" s="236">
        <f>ER45+ES45</f>
        <v/>
      </c>
      <c r="EU45" s="236">
        <f>EC45+EL45</f>
        <v/>
      </c>
      <c r="EV45" s="236">
        <f>ED45+EM45</f>
        <v/>
      </c>
      <c r="EW45" s="236">
        <f>EU45+EV45</f>
        <v/>
      </c>
      <c r="EX45" s="239">
        <f>EW45-ET45</f>
        <v/>
      </c>
      <c r="EY45" s="237">
        <f>IF(ET45=0,"",EW45/ET45)</f>
        <v/>
      </c>
      <c r="EZ45" s="33" t="n"/>
      <c r="FA45" s="233" t="n"/>
      <c r="FB45" s="233" t="n"/>
      <c r="FC45" s="233">
        <f>FA45+FB45</f>
        <v/>
      </c>
      <c r="FD45" s="233" t="n"/>
      <c r="FE45" s="233" t="n"/>
      <c r="FF45" s="233">
        <f>FD45+FE45</f>
        <v/>
      </c>
      <c r="FG45" s="238">
        <f>FF45-FC45</f>
        <v/>
      </c>
      <c r="FH45" s="235">
        <f>IF(FC45=0,"",FF45/FC45)</f>
        <v/>
      </c>
      <c r="FI45" s="26" t="n"/>
      <c r="FJ45" s="236">
        <f>ER45+FA45</f>
        <v/>
      </c>
      <c r="FK45" s="236">
        <f>ES45+FB45</f>
        <v/>
      </c>
      <c r="FL45" s="236">
        <f>FJ45+FK45</f>
        <v/>
      </c>
      <c r="FM45" s="236">
        <f>EU45+FD45</f>
        <v/>
      </c>
      <c r="FN45" s="236">
        <f>EV45+FE45</f>
        <v/>
      </c>
      <c r="FO45" s="236">
        <f>FM45+FN45</f>
        <v/>
      </c>
      <c r="FP45" s="239">
        <f>FO45-FL45</f>
        <v/>
      </c>
      <c r="FQ45" s="237">
        <f>IF(FL45=0,"",FO45/FL45)</f>
        <v/>
      </c>
      <c r="FR45" s="33" t="n"/>
      <c r="FS45" s="233" t="n"/>
      <c r="FT45" s="233" t="n"/>
      <c r="FU45" s="233">
        <f>FS45+FT45</f>
        <v/>
      </c>
      <c r="FV45" s="233" t="n"/>
      <c r="FW45" s="233" t="n"/>
      <c r="FX45" s="233">
        <f>FV45+FW45</f>
        <v/>
      </c>
      <c r="FY45" s="238">
        <f>FX45-FU45</f>
        <v/>
      </c>
      <c r="FZ45" s="235">
        <f>IF(FU45=0,"",FX45/FU45)</f>
        <v/>
      </c>
      <c r="GA45" s="26" t="n"/>
      <c r="GB45" s="236">
        <f>FJ45+FS45</f>
        <v/>
      </c>
      <c r="GC45" s="236">
        <f>FK45+FT45</f>
        <v/>
      </c>
      <c r="GD45" s="236">
        <f>GB45+GC45</f>
        <v/>
      </c>
      <c r="GE45" s="236">
        <f>FM45+FV45</f>
        <v/>
      </c>
      <c r="GF45" s="236">
        <f>FN45+FW45</f>
        <v/>
      </c>
      <c r="GG45" s="236">
        <f>GE45+GF45</f>
        <v/>
      </c>
      <c r="GH45" s="239">
        <f>GG45-GD45</f>
        <v/>
      </c>
      <c r="GI45" s="237">
        <f>IF(GD45=0,"",GG45/GD45)</f>
        <v/>
      </c>
      <c r="GJ45" s="33" t="n"/>
      <c r="GK45" s="233" t="n"/>
      <c r="GL45" s="233" t="n"/>
      <c r="GM45" s="233">
        <f>GK45+GL45</f>
        <v/>
      </c>
      <c r="GN45" s="233" t="n"/>
      <c r="GO45" s="233" t="n"/>
      <c r="GP45" s="233">
        <f>GN45+GO45</f>
        <v/>
      </c>
      <c r="GQ45" s="238">
        <f>GP45-GM45</f>
        <v/>
      </c>
      <c r="GR45" s="235">
        <f>IF(GM45=0,"",GP45/GM45)</f>
        <v/>
      </c>
      <c r="GS45" s="26" t="n"/>
      <c r="GT45" s="236">
        <f>GB45+GK45</f>
        <v/>
      </c>
      <c r="GU45" s="236">
        <f>GC45+GL45</f>
        <v/>
      </c>
      <c r="GV45" s="236">
        <f>GT45+GU45</f>
        <v/>
      </c>
      <c r="GW45" s="236">
        <f>GE45+GN45</f>
        <v/>
      </c>
      <c r="GX45" s="236">
        <f>GF45+GO45</f>
        <v/>
      </c>
      <c r="GY45" s="236">
        <f>GW45+GX45</f>
        <v/>
      </c>
      <c r="GZ45" s="239">
        <f>GY45-GV45</f>
        <v/>
      </c>
      <c r="HA45" s="237">
        <f>IF(GV45=0,"",GY45/GV45)</f>
        <v/>
      </c>
      <c r="HB45" s="33" t="n"/>
      <c r="HC45" s="233">
        <f>GT45</f>
        <v/>
      </c>
      <c r="HD45" s="233">
        <f>GU45</f>
        <v/>
      </c>
      <c r="HE45" s="233">
        <f>HC45+HD45</f>
        <v/>
      </c>
    </row>
    <row r="46" outlineLevel="1" ht="15" customHeight="1" s="150">
      <c r="A46" s="26" t="n"/>
      <c r="B46" s="26" t="n"/>
      <c r="C46" s="26" t="n"/>
      <c r="D46" s="233" t="n"/>
      <c r="E46" s="233" t="n"/>
      <c r="F46" s="233">
        <f>D46+E46</f>
        <v/>
      </c>
      <c r="G46" s="233" t="n"/>
      <c r="H46" s="233" t="n"/>
      <c r="I46" s="233">
        <f>G46+H46</f>
        <v/>
      </c>
      <c r="J46" s="238">
        <f>I46-F46</f>
        <v/>
      </c>
      <c r="K46" s="235">
        <f>IF(F46=0,"",I46/F46)</f>
        <v/>
      </c>
      <c r="L46" s="26" t="n"/>
      <c r="M46" s="233" t="n"/>
      <c r="N46" s="233" t="n"/>
      <c r="O46" s="233">
        <f>M46+N46</f>
        <v/>
      </c>
      <c r="P46" s="233" t="n"/>
      <c r="Q46" s="233" t="n"/>
      <c r="R46" s="233">
        <f>P46+Q46</f>
        <v/>
      </c>
      <c r="S46" s="238">
        <f>R46-O46</f>
        <v/>
      </c>
      <c r="T46" s="235">
        <f>IF(O46=0,"",R46/O46)</f>
        <v/>
      </c>
      <c r="U46" s="26" t="n"/>
      <c r="V46" s="236">
        <f>D46+M46</f>
        <v/>
      </c>
      <c r="W46" s="236">
        <f>E46+N46</f>
        <v/>
      </c>
      <c r="X46" s="236">
        <f>V46+W46</f>
        <v/>
      </c>
      <c r="Y46" s="236">
        <f>G46+P46</f>
        <v/>
      </c>
      <c r="Z46" s="236">
        <f>H46+Q46</f>
        <v/>
      </c>
      <c r="AA46" s="236">
        <f>Y46+Z46</f>
        <v/>
      </c>
      <c r="AB46" s="239">
        <f>AA46-X46</f>
        <v/>
      </c>
      <c r="AC46" s="237">
        <f>IF(X46=0,"",AA46/X46)</f>
        <v/>
      </c>
      <c r="AD46" s="33" t="n"/>
      <c r="AE46" s="233" t="n"/>
      <c r="AF46" s="233" t="n"/>
      <c r="AG46" s="233">
        <f>AE46+AF46</f>
        <v/>
      </c>
      <c r="AH46" s="233" t="n"/>
      <c r="AI46" s="233" t="n"/>
      <c r="AJ46" s="233">
        <f>AH46+AI46</f>
        <v/>
      </c>
      <c r="AK46" s="238">
        <f>AJ46-AG46</f>
        <v/>
      </c>
      <c r="AL46" s="235">
        <f>IF(AG46=0,"",AJ46/AG46)</f>
        <v/>
      </c>
      <c r="AM46" s="26" t="n"/>
      <c r="AN46" s="236">
        <f>V46+AE46</f>
        <v/>
      </c>
      <c r="AO46" s="236">
        <f>W46+AF46</f>
        <v/>
      </c>
      <c r="AP46" s="236">
        <f>AN46+AO46</f>
        <v/>
      </c>
      <c r="AQ46" s="236">
        <f>Y46+AH46</f>
        <v/>
      </c>
      <c r="AR46" s="236">
        <f>Z46+AI46</f>
        <v/>
      </c>
      <c r="AS46" s="236">
        <f>AQ46+AR46</f>
        <v/>
      </c>
      <c r="AT46" s="239">
        <f>AS46-AP46</f>
        <v/>
      </c>
      <c r="AU46" s="237">
        <f>IF(AP46=0,"",AS46/AP46)</f>
        <v/>
      </c>
      <c r="AV46" s="33" t="n"/>
      <c r="AW46" s="233" t="n"/>
      <c r="AX46" s="233" t="n"/>
      <c r="AY46" s="233">
        <f>AW46+AX46</f>
        <v/>
      </c>
      <c r="AZ46" s="233" t="n"/>
      <c r="BA46" s="233" t="n"/>
      <c r="BB46" s="233">
        <f>AZ46+BA46</f>
        <v/>
      </c>
      <c r="BC46" s="238">
        <f>BB46-AY46</f>
        <v/>
      </c>
      <c r="BD46" s="235">
        <f>IF(AY46=0,"",BB46/AY46)</f>
        <v/>
      </c>
      <c r="BE46" s="26" t="n"/>
      <c r="BF46" s="236">
        <f>AN46+AW46</f>
        <v/>
      </c>
      <c r="BG46" s="236">
        <f>AO46+AX46</f>
        <v/>
      </c>
      <c r="BH46" s="236">
        <f>BF46+BG46</f>
        <v/>
      </c>
      <c r="BI46" s="236">
        <f>AQ46+AZ46</f>
        <v/>
      </c>
      <c r="BJ46" s="236">
        <f>AR46+BA46</f>
        <v/>
      </c>
      <c r="BK46" s="236">
        <f>BI46+BJ46</f>
        <v/>
      </c>
      <c r="BL46" s="239">
        <f>BK46-BH46</f>
        <v/>
      </c>
      <c r="BM46" s="237">
        <f>IF(BH46=0,"",BK46/BH46)</f>
        <v/>
      </c>
      <c r="BN46" s="33" t="n"/>
      <c r="BO46" s="233" t="n"/>
      <c r="BP46" s="233" t="n"/>
      <c r="BQ46" s="233">
        <f>BO46+BP46</f>
        <v/>
      </c>
      <c r="BR46" s="233" t="n"/>
      <c r="BS46" s="233" t="n"/>
      <c r="BT46" s="233">
        <f>BR46+BS46</f>
        <v/>
      </c>
      <c r="BU46" s="238">
        <f>BT46-BQ46</f>
        <v/>
      </c>
      <c r="BV46" s="235">
        <f>IF(BQ46=0,"",BT46/BQ46)</f>
        <v/>
      </c>
      <c r="BW46" s="26" t="n"/>
      <c r="BX46" s="236">
        <f>BF46+BO46</f>
        <v/>
      </c>
      <c r="BY46" s="236">
        <f>BG46+BP46</f>
        <v/>
      </c>
      <c r="BZ46" s="236">
        <f>BX46+BY46</f>
        <v/>
      </c>
      <c r="CA46" s="236">
        <f>BI46+BR46</f>
        <v/>
      </c>
      <c r="CB46" s="236">
        <f>BJ46+BS46</f>
        <v/>
      </c>
      <c r="CC46" s="236">
        <f>CA46+CB46</f>
        <v/>
      </c>
      <c r="CD46" s="239">
        <f>CC46-BZ46</f>
        <v/>
      </c>
      <c r="CE46" s="237">
        <f>IF(BZ46=0,"",CC46/BZ46)</f>
        <v/>
      </c>
      <c r="CF46" s="33" t="n"/>
      <c r="CG46" s="233" t="n"/>
      <c r="CH46" s="233" t="n"/>
      <c r="CI46" s="233">
        <f>CG46+CH46</f>
        <v/>
      </c>
      <c r="CJ46" s="233" t="n"/>
      <c r="CK46" s="233" t="n"/>
      <c r="CL46" s="233">
        <f>CJ46+CK46</f>
        <v/>
      </c>
      <c r="CM46" s="238">
        <f>CL46-CI46</f>
        <v/>
      </c>
      <c r="CN46" s="235">
        <f>IF(CI46=0,"",CL46/CI46)</f>
        <v/>
      </c>
      <c r="CO46" s="26" t="n"/>
      <c r="CP46" s="236">
        <f>BX46+CG46</f>
        <v/>
      </c>
      <c r="CQ46" s="236">
        <f>BY46+CH46</f>
        <v/>
      </c>
      <c r="CR46" s="236">
        <f>CP46+CQ46</f>
        <v/>
      </c>
      <c r="CS46" s="236">
        <f>CA46+CJ46</f>
        <v/>
      </c>
      <c r="CT46" s="236">
        <f>CB46+CK46</f>
        <v/>
      </c>
      <c r="CU46" s="236">
        <f>CS46+CT46</f>
        <v/>
      </c>
      <c r="CV46" s="239">
        <f>CU46-CR46</f>
        <v/>
      </c>
      <c r="CW46" s="237">
        <f>IF(CR46=0,"",CU46/CR46)</f>
        <v/>
      </c>
      <c r="CX46" s="33" t="n"/>
      <c r="CY46" s="233" t="n"/>
      <c r="CZ46" s="233" t="n"/>
      <c r="DA46" s="233">
        <f>CY46+CZ46</f>
        <v/>
      </c>
      <c r="DB46" s="233" t="n"/>
      <c r="DC46" s="233" t="n"/>
      <c r="DD46" s="233">
        <f>DB46+DC46</f>
        <v/>
      </c>
      <c r="DE46" s="238">
        <f>DD46-DA46</f>
        <v/>
      </c>
      <c r="DF46" s="235">
        <f>IF(DA46=0,"",DD46/DA46)</f>
        <v/>
      </c>
      <c r="DG46" s="26" t="n"/>
      <c r="DH46" s="236">
        <f>CP46+CY46</f>
        <v/>
      </c>
      <c r="DI46" s="236">
        <f>CQ46+CZ46</f>
        <v/>
      </c>
      <c r="DJ46" s="236">
        <f>DH46+DI46</f>
        <v/>
      </c>
      <c r="DK46" s="236">
        <f>CS46+DB46</f>
        <v/>
      </c>
      <c r="DL46" s="236">
        <f>CT46+DC46</f>
        <v/>
      </c>
      <c r="DM46" s="236">
        <f>DK46+DL46</f>
        <v/>
      </c>
      <c r="DN46" s="239">
        <f>DM46-DJ46</f>
        <v/>
      </c>
      <c r="DO46" s="237">
        <f>IF(DJ46=0,"",DM46/DJ46)</f>
        <v/>
      </c>
      <c r="DP46" s="33" t="n"/>
      <c r="DQ46" s="233" t="n"/>
      <c r="DR46" s="233" t="n"/>
      <c r="DS46" s="233">
        <f>DQ46+DR46</f>
        <v/>
      </c>
      <c r="DT46" s="233" t="n"/>
      <c r="DU46" s="233" t="n"/>
      <c r="DV46" s="233">
        <f>DT46+DU46</f>
        <v/>
      </c>
      <c r="DW46" s="238">
        <f>DV46-DS46</f>
        <v/>
      </c>
      <c r="DX46" s="235">
        <f>IF(DS46=0,"",DV46/DS46)</f>
        <v/>
      </c>
      <c r="DY46" s="26" t="n"/>
      <c r="DZ46" s="236">
        <f>DH46+DQ46</f>
        <v/>
      </c>
      <c r="EA46" s="236">
        <f>DI46+DR46</f>
        <v/>
      </c>
      <c r="EB46" s="236">
        <f>DZ46+EA46</f>
        <v/>
      </c>
      <c r="EC46" s="236">
        <f>DK46+DT46</f>
        <v/>
      </c>
      <c r="ED46" s="236">
        <f>DL46+DU46</f>
        <v/>
      </c>
      <c r="EE46" s="236">
        <f>EC46+ED46</f>
        <v/>
      </c>
      <c r="EF46" s="239">
        <f>EE46-EB46</f>
        <v/>
      </c>
      <c r="EG46" s="237">
        <f>IF(EB46=0,"",EE46/EB46)</f>
        <v/>
      </c>
      <c r="EH46" s="33" t="n"/>
      <c r="EI46" s="233" t="n"/>
      <c r="EJ46" s="233" t="n"/>
      <c r="EK46" s="233">
        <f>EI46+EJ46</f>
        <v/>
      </c>
      <c r="EL46" s="233" t="n"/>
      <c r="EM46" s="233" t="n"/>
      <c r="EN46" s="233">
        <f>EL46+EM46</f>
        <v/>
      </c>
      <c r="EO46" s="238">
        <f>EN46-EK46</f>
        <v/>
      </c>
      <c r="EP46" s="235">
        <f>IF(EK46=0,"",EN46/EK46)</f>
        <v/>
      </c>
      <c r="EQ46" s="26" t="n"/>
      <c r="ER46" s="236">
        <f>DZ46+EI46</f>
        <v/>
      </c>
      <c r="ES46" s="236">
        <f>EA46+EJ46</f>
        <v/>
      </c>
      <c r="ET46" s="236">
        <f>ER46+ES46</f>
        <v/>
      </c>
      <c r="EU46" s="236">
        <f>EC46+EL46</f>
        <v/>
      </c>
      <c r="EV46" s="236">
        <f>ED46+EM46</f>
        <v/>
      </c>
      <c r="EW46" s="236">
        <f>EU46+EV46</f>
        <v/>
      </c>
      <c r="EX46" s="239">
        <f>EW46-ET46</f>
        <v/>
      </c>
      <c r="EY46" s="237">
        <f>IF(ET46=0,"",EW46/ET46)</f>
        <v/>
      </c>
      <c r="EZ46" s="33" t="n"/>
      <c r="FA46" s="233" t="n"/>
      <c r="FB46" s="233" t="n"/>
      <c r="FC46" s="233">
        <f>FA46+FB46</f>
        <v/>
      </c>
      <c r="FD46" s="233" t="n"/>
      <c r="FE46" s="233" t="n"/>
      <c r="FF46" s="233">
        <f>FD46+FE46</f>
        <v/>
      </c>
      <c r="FG46" s="238">
        <f>FF46-FC46</f>
        <v/>
      </c>
      <c r="FH46" s="235">
        <f>IF(FC46=0,"",FF46/FC46)</f>
        <v/>
      </c>
      <c r="FI46" s="26" t="n"/>
      <c r="FJ46" s="236">
        <f>ER46+FA46</f>
        <v/>
      </c>
      <c r="FK46" s="236">
        <f>ES46+FB46</f>
        <v/>
      </c>
      <c r="FL46" s="236">
        <f>FJ46+FK46</f>
        <v/>
      </c>
      <c r="FM46" s="236">
        <f>EU46+FD46</f>
        <v/>
      </c>
      <c r="FN46" s="236">
        <f>EV46+FE46</f>
        <v/>
      </c>
      <c r="FO46" s="236">
        <f>FM46+FN46</f>
        <v/>
      </c>
      <c r="FP46" s="239">
        <f>FO46-FL46</f>
        <v/>
      </c>
      <c r="FQ46" s="237">
        <f>IF(FL46=0,"",FO46/FL46)</f>
        <v/>
      </c>
      <c r="FR46" s="33" t="n"/>
      <c r="FS46" s="233" t="n"/>
      <c r="FT46" s="233" t="n"/>
      <c r="FU46" s="233">
        <f>FS46+FT46</f>
        <v/>
      </c>
      <c r="FV46" s="233" t="n"/>
      <c r="FW46" s="233" t="n"/>
      <c r="FX46" s="233">
        <f>FV46+FW46</f>
        <v/>
      </c>
      <c r="FY46" s="238">
        <f>FX46-FU46</f>
        <v/>
      </c>
      <c r="FZ46" s="235">
        <f>IF(FU46=0,"",FX46/FU46)</f>
        <v/>
      </c>
      <c r="GA46" s="26" t="n"/>
      <c r="GB46" s="236">
        <f>FJ46+FS46</f>
        <v/>
      </c>
      <c r="GC46" s="236">
        <f>FK46+FT46</f>
        <v/>
      </c>
      <c r="GD46" s="236">
        <f>GB46+GC46</f>
        <v/>
      </c>
      <c r="GE46" s="236">
        <f>FM46+FV46</f>
        <v/>
      </c>
      <c r="GF46" s="236">
        <f>FN46+FW46</f>
        <v/>
      </c>
      <c r="GG46" s="236">
        <f>GE46+GF46</f>
        <v/>
      </c>
      <c r="GH46" s="239">
        <f>GG46-GD46</f>
        <v/>
      </c>
      <c r="GI46" s="237">
        <f>IF(GD46=0,"",GG46/GD46)</f>
        <v/>
      </c>
      <c r="GJ46" s="33" t="n"/>
      <c r="GK46" s="233" t="n"/>
      <c r="GL46" s="233" t="n"/>
      <c r="GM46" s="233">
        <f>GK46+GL46</f>
        <v/>
      </c>
      <c r="GN46" s="233" t="n"/>
      <c r="GO46" s="233" t="n"/>
      <c r="GP46" s="233">
        <f>GN46+GO46</f>
        <v/>
      </c>
      <c r="GQ46" s="238">
        <f>GP46-GM46</f>
        <v/>
      </c>
      <c r="GR46" s="235">
        <f>IF(GM46=0,"",GP46/GM46)</f>
        <v/>
      </c>
      <c r="GS46" s="26" t="n"/>
      <c r="GT46" s="236">
        <f>GB46+GK46</f>
        <v/>
      </c>
      <c r="GU46" s="236">
        <f>GC46+GL46</f>
        <v/>
      </c>
      <c r="GV46" s="236">
        <f>GT46+GU46</f>
        <v/>
      </c>
      <c r="GW46" s="236">
        <f>GE46+GN46</f>
        <v/>
      </c>
      <c r="GX46" s="236">
        <f>GF46+GO46</f>
        <v/>
      </c>
      <c r="GY46" s="236">
        <f>GW46+GX46</f>
        <v/>
      </c>
      <c r="GZ46" s="239">
        <f>GY46-GV46</f>
        <v/>
      </c>
      <c r="HA46" s="237">
        <f>IF(GV46=0,"",GY46/GV46)</f>
        <v/>
      </c>
      <c r="HB46" s="33" t="n"/>
      <c r="HC46" s="233">
        <f>GT46</f>
        <v/>
      </c>
      <c r="HD46" s="233">
        <f>GU46</f>
        <v/>
      </c>
      <c r="HE46" s="233">
        <f>HC46+HD46</f>
        <v/>
      </c>
    </row>
    <row r="47" ht="15" customHeight="1" s="150">
      <c r="A47" s="18" t="n"/>
      <c r="B47" s="18" t="n"/>
      <c r="C47" s="18" t="n"/>
      <c r="D47" s="227">
        <f>D48</f>
        <v/>
      </c>
      <c r="E47" s="227">
        <f>E48</f>
        <v/>
      </c>
      <c r="F47" s="227">
        <f>D47+E47</f>
        <v/>
      </c>
      <c r="G47" s="227">
        <f>G48</f>
        <v/>
      </c>
      <c r="H47" s="227">
        <f>H48</f>
        <v/>
      </c>
      <c r="I47" s="227">
        <f>G47+H47</f>
        <v/>
      </c>
      <c r="J47" s="228">
        <f>I47-F47</f>
        <v/>
      </c>
      <c r="K47" s="229">
        <f>IF(F47=0,"",I47/F47)</f>
        <v/>
      </c>
      <c r="L47" s="18" t="n"/>
      <c r="M47" s="227">
        <f>M48</f>
        <v/>
      </c>
      <c r="N47" s="227">
        <f>N48</f>
        <v/>
      </c>
      <c r="O47" s="227">
        <f>M47+N47</f>
        <v/>
      </c>
      <c r="P47" s="227">
        <f>P48</f>
        <v/>
      </c>
      <c r="Q47" s="227">
        <f>Q48</f>
        <v/>
      </c>
      <c r="R47" s="227">
        <f>P47+Q47</f>
        <v/>
      </c>
      <c r="S47" s="228">
        <f>R47-O47</f>
        <v/>
      </c>
      <c r="T47" s="229">
        <f>IF(O47=0,"",R47/O47)</f>
        <v/>
      </c>
      <c r="U47" s="18" t="n"/>
      <c r="V47" s="230">
        <f>V48</f>
        <v/>
      </c>
      <c r="W47" s="230">
        <f>W48</f>
        <v/>
      </c>
      <c r="X47" s="230">
        <f>V47+W47</f>
        <v/>
      </c>
      <c r="Y47" s="230">
        <f>Y48</f>
        <v/>
      </c>
      <c r="Z47" s="230">
        <f>Z48</f>
        <v/>
      </c>
      <c r="AA47" s="230">
        <f>Y47+Z47</f>
        <v/>
      </c>
      <c r="AB47" s="231">
        <f>AA47-X47</f>
        <v/>
      </c>
      <c r="AC47" s="232">
        <f>IF(X47=0,"",AA47/X47)</f>
        <v/>
      </c>
      <c r="AD47" s="25" t="n"/>
      <c r="AE47" s="227">
        <f>AE48</f>
        <v/>
      </c>
      <c r="AF47" s="227">
        <f>AF48</f>
        <v/>
      </c>
      <c r="AG47" s="227">
        <f>AE47+AF47</f>
        <v/>
      </c>
      <c r="AH47" s="227">
        <f>AH48</f>
        <v/>
      </c>
      <c r="AI47" s="227">
        <f>AI48</f>
        <v/>
      </c>
      <c r="AJ47" s="227">
        <f>AH47+AI47</f>
        <v/>
      </c>
      <c r="AK47" s="228">
        <f>AJ47-AG47</f>
        <v/>
      </c>
      <c r="AL47" s="229">
        <f>IF(AG47=0,"",AJ47/AG47)</f>
        <v/>
      </c>
      <c r="AM47" s="18" t="n"/>
      <c r="AN47" s="230">
        <f>AN48</f>
        <v/>
      </c>
      <c r="AO47" s="230">
        <f>AO48</f>
        <v/>
      </c>
      <c r="AP47" s="230">
        <f>AN47+AO47</f>
        <v/>
      </c>
      <c r="AQ47" s="230">
        <f>AQ48</f>
        <v/>
      </c>
      <c r="AR47" s="230">
        <f>AR48</f>
        <v/>
      </c>
      <c r="AS47" s="230">
        <f>AQ47+AR47</f>
        <v/>
      </c>
      <c r="AT47" s="231">
        <f>AS47-AP47</f>
        <v/>
      </c>
      <c r="AU47" s="232">
        <f>IF(AP47=0,"",AS47/AP47)</f>
        <v/>
      </c>
      <c r="AV47" s="25" t="n"/>
      <c r="AW47" s="227">
        <f>AW48</f>
        <v/>
      </c>
      <c r="AX47" s="227">
        <f>AX48</f>
        <v/>
      </c>
      <c r="AY47" s="227">
        <f>AW47+AX47</f>
        <v/>
      </c>
      <c r="AZ47" s="227">
        <f>AZ48</f>
        <v/>
      </c>
      <c r="BA47" s="227">
        <f>BA48</f>
        <v/>
      </c>
      <c r="BB47" s="227">
        <f>AZ47+BA47</f>
        <v/>
      </c>
      <c r="BC47" s="228">
        <f>BB47-AY47</f>
        <v/>
      </c>
      <c r="BD47" s="229">
        <f>IF(AY47=0,"",BB47/AY47)</f>
        <v/>
      </c>
      <c r="BE47" s="18" t="n"/>
      <c r="BF47" s="230">
        <f>BF48</f>
        <v/>
      </c>
      <c r="BG47" s="230">
        <f>BG48</f>
        <v/>
      </c>
      <c r="BH47" s="230">
        <f>BF47+BG47</f>
        <v/>
      </c>
      <c r="BI47" s="230">
        <f>BI48</f>
        <v/>
      </c>
      <c r="BJ47" s="230">
        <f>BJ48</f>
        <v/>
      </c>
      <c r="BK47" s="230">
        <f>BI47+BJ47</f>
        <v/>
      </c>
      <c r="BL47" s="231">
        <f>BK47-BH47</f>
        <v/>
      </c>
      <c r="BM47" s="232">
        <f>IF(BH47=0,"",BK47/BH47)</f>
        <v/>
      </c>
      <c r="BN47" s="25" t="n"/>
      <c r="BO47" s="227">
        <f>BO48</f>
        <v/>
      </c>
      <c r="BP47" s="227">
        <f>BP48</f>
        <v/>
      </c>
      <c r="BQ47" s="227">
        <f>BO47+BP47</f>
        <v/>
      </c>
      <c r="BR47" s="227">
        <f>BR48</f>
        <v/>
      </c>
      <c r="BS47" s="227">
        <f>BS48</f>
        <v/>
      </c>
      <c r="BT47" s="227">
        <f>BR47+BS47</f>
        <v/>
      </c>
      <c r="BU47" s="228">
        <f>BT47-BQ47</f>
        <v/>
      </c>
      <c r="BV47" s="229">
        <f>IF(BQ47=0,"",BT47/BQ47)</f>
        <v/>
      </c>
      <c r="BW47" s="18" t="n"/>
      <c r="BX47" s="230">
        <f>BX48</f>
        <v/>
      </c>
      <c r="BY47" s="230">
        <f>BY48</f>
        <v/>
      </c>
      <c r="BZ47" s="230">
        <f>BX47+BY47</f>
        <v/>
      </c>
      <c r="CA47" s="230">
        <f>CA48</f>
        <v/>
      </c>
      <c r="CB47" s="230">
        <f>CB48</f>
        <v/>
      </c>
      <c r="CC47" s="230">
        <f>CA47+CB47</f>
        <v/>
      </c>
      <c r="CD47" s="231">
        <f>CC47-BZ47</f>
        <v/>
      </c>
      <c r="CE47" s="232">
        <f>IF(BZ47=0,"",CC47/BZ47)</f>
        <v/>
      </c>
      <c r="CF47" s="25" t="n"/>
      <c r="CG47" s="227">
        <f>CG48</f>
        <v/>
      </c>
      <c r="CH47" s="227">
        <f>CH48</f>
        <v/>
      </c>
      <c r="CI47" s="227">
        <f>CG47+CH47</f>
        <v/>
      </c>
      <c r="CJ47" s="227">
        <f>CJ48</f>
        <v/>
      </c>
      <c r="CK47" s="227">
        <f>CK48</f>
        <v/>
      </c>
      <c r="CL47" s="227">
        <f>CJ47+CK47</f>
        <v/>
      </c>
      <c r="CM47" s="228">
        <f>CL47-CI47</f>
        <v/>
      </c>
      <c r="CN47" s="229">
        <f>IF(CI47=0,"",CL47/CI47)</f>
        <v/>
      </c>
      <c r="CO47" s="18" t="n"/>
      <c r="CP47" s="230">
        <f>CP48</f>
        <v/>
      </c>
      <c r="CQ47" s="230">
        <f>CQ48</f>
        <v/>
      </c>
      <c r="CR47" s="230">
        <f>CP47+CQ47</f>
        <v/>
      </c>
      <c r="CS47" s="230">
        <f>CS48</f>
        <v/>
      </c>
      <c r="CT47" s="230">
        <f>CT48</f>
        <v/>
      </c>
      <c r="CU47" s="230">
        <f>CS47+CT47</f>
        <v/>
      </c>
      <c r="CV47" s="231">
        <f>CU47-CR47</f>
        <v/>
      </c>
      <c r="CW47" s="232">
        <f>IF(CR47=0,"",CU47/CR47)</f>
        <v/>
      </c>
      <c r="CX47" s="25" t="n"/>
      <c r="CY47" s="227">
        <f>CY48</f>
        <v/>
      </c>
      <c r="CZ47" s="227">
        <f>CZ48</f>
        <v/>
      </c>
      <c r="DA47" s="227">
        <f>CY47+CZ47</f>
        <v/>
      </c>
      <c r="DB47" s="227">
        <f>DB48</f>
        <v/>
      </c>
      <c r="DC47" s="227">
        <f>DC48</f>
        <v/>
      </c>
      <c r="DD47" s="227">
        <f>DB47+DC47</f>
        <v/>
      </c>
      <c r="DE47" s="228">
        <f>DD47-DA47</f>
        <v/>
      </c>
      <c r="DF47" s="229">
        <f>IF(DA47=0,"",DD47/DA47)</f>
        <v/>
      </c>
      <c r="DG47" s="18" t="n"/>
      <c r="DH47" s="230">
        <f>DH48</f>
        <v/>
      </c>
      <c r="DI47" s="230">
        <f>DI48</f>
        <v/>
      </c>
      <c r="DJ47" s="230">
        <f>DH47+DI47</f>
        <v/>
      </c>
      <c r="DK47" s="230">
        <f>DK48</f>
        <v/>
      </c>
      <c r="DL47" s="230">
        <f>DL48</f>
        <v/>
      </c>
      <c r="DM47" s="230">
        <f>DK47+DL47</f>
        <v/>
      </c>
      <c r="DN47" s="231">
        <f>DM47-DJ47</f>
        <v/>
      </c>
      <c r="DO47" s="232">
        <f>IF(DJ47=0,"",DM47/DJ47)</f>
        <v/>
      </c>
      <c r="DP47" s="25" t="n"/>
      <c r="DQ47" s="227">
        <f>DQ48</f>
        <v/>
      </c>
      <c r="DR47" s="227">
        <f>DR48</f>
        <v/>
      </c>
      <c r="DS47" s="227">
        <f>DQ47+DR47</f>
        <v/>
      </c>
      <c r="DT47" s="227">
        <f>DT48</f>
        <v/>
      </c>
      <c r="DU47" s="227">
        <f>DU48</f>
        <v/>
      </c>
      <c r="DV47" s="227">
        <f>DT47+DU47</f>
        <v/>
      </c>
      <c r="DW47" s="228">
        <f>DV47-DS47</f>
        <v/>
      </c>
      <c r="DX47" s="229">
        <f>IF(DS47=0,"",DV47/DS47)</f>
        <v/>
      </c>
      <c r="DY47" s="18" t="n"/>
      <c r="DZ47" s="230">
        <f>DZ48</f>
        <v/>
      </c>
      <c r="EA47" s="230">
        <f>EA48</f>
        <v/>
      </c>
      <c r="EB47" s="230">
        <f>DZ47+EA47</f>
        <v/>
      </c>
      <c r="EC47" s="230">
        <f>EC48</f>
        <v/>
      </c>
      <c r="ED47" s="230">
        <f>ED48</f>
        <v/>
      </c>
      <c r="EE47" s="230">
        <f>EC47+ED47</f>
        <v/>
      </c>
      <c r="EF47" s="231">
        <f>EE47-EB47</f>
        <v/>
      </c>
      <c r="EG47" s="232">
        <f>IF(EB47=0,"",EE47/EB47)</f>
        <v/>
      </c>
      <c r="EH47" s="25" t="n"/>
      <c r="EI47" s="227">
        <f>EI48</f>
        <v/>
      </c>
      <c r="EJ47" s="227">
        <f>EJ48</f>
        <v/>
      </c>
      <c r="EK47" s="227">
        <f>EI47+EJ47</f>
        <v/>
      </c>
      <c r="EL47" s="227">
        <f>EL48</f>
        <v/>
      </c>
      <c r="EM47" s="227">
        <f>EM48</f>
        <v/>
      </c>
      <c r="EN47" s="227">
        <f>EL47+EM47</f>
        <v/>
      </c>
      <c r="EO47" s="228">
        <f>EN47-EK47</f>
        <v/>
      </c>
      <c r="EP47" s="229">
        <f>IF(EK47=0,"",EN47/EK47)</f>
        <v/>
      </c>
      <c r="EQ47" s="18" t="n"/>
      <c r="ER47" s="230">
        <f>ER48</f>
        <v/>
      </c>
      <c r="ES47" s="230">
        <f>ES48</f>
        <v/>
      </c>
      <c r="ET47" s="230">
        <f>ER47+ES47</f>
        <v/>
      </c>
      <c r="EU47" s="230">
        <f>EU48</f>
        <v/>
      </c>
      <c r="EV47" s="230">
        <f>EV48</f>
        <v/>
      </c>
      <c r="EW47" s="230">
        <f>EU47+EV47</f>
        <v/>
      </c>
      <c r="EX47" s="231">
        <f>EW47-ET47</f>
        <v/>
      </c>
      <c r="EY47" s="232">
        <f>IF(ET47=0,"",EW47/ET47)</f>
        <v/>
      </c>
      <c r="EZ47" s="25" t="n"/>
      <c r="FA47" s="227">
        <f>FA48</f>
        <v/>
      </c>
      <c r="FB47" s="227">
        <f>FB48</f>
        <v/>
      </c>
      <c r="FC47" s="227">
        <f>FA47+FB47</f>
        <v/>
      </c>
      <c r="FD47" s="227">
        <f>FD48</f>
        <v/>
      </c>
      <c r="FE47" s="227">
        <f>FE48</f>
        <v/>
      </c>
      <c r="FF47" s="227">
        <f>FD47+FE47</f>
        <v/>
      </c>
      <c r="FG47" s="228">
        <f>FF47-FC47</f>
        <v/>
      </c>
      <c r="FH47" s="229">
        <f>IF(FC47=0,"",FF47/FC47)</f>
        <v/>
      </c>
      <c r="FI47" s="18" t="n"/>
      <c r="FJ47" s="230">
        <f>FJ48</f>
        <v/>
      </c>
      <c r="FK47" s="230">
        <f>FK48</f>
        <v/>
      </c>
      <c r="FL47" s="230">
        <f>FJ47+FK47</f>
        <v/>
      </c>
      <c r="FM47" s="230">
        <f>FM48</f>
        <v/>
      </c>
      <c r="FN47" s="230">
        <f>FN48</f>
        <v/>
      </c>
      <c r="FO47" s="230">
        <f>FM47+FN47</f>
        <v/>
      </c>
      <c r="FP47" s="231">
        <f>FO47-FL47</f>
        <v/>
      </c>
      <c r="FQ47" s="232">
        <f>IF(FL47=0,"",FO47/FL47)</f>
        <v/>
      </c>
      <c r="FR47" s="25" t="n"/>
      <c r="FS47" s="227">
        <f>FS48</f>
        <v/>
      </c>
      <c r="FT47" s="227">
        <f>FT48</f>
        <v/>
      </c>
      <c r="FU47" s="227">
        <f>FS47+FT47</f>
        <v/>
      </c>
      <c r="FV47" s="227">
        <f>FV48</f>
        <v/>
      </c>
      <c r="FW47" s="227">
        <f>FW48</f>
        <v/>
      </c>
      <c r="FX47" s="227">
        <f>FV47+FW47</f>
        <v/>
      </c>
      <c r="FY47" s="228">
        <f>FX47-FU47</f>
        <v/>
      </c>
      <c r="FZ47" s="229">
        <f>IF(FU47=0,"",FX47/FU47)</f>
        <v/>
      </c>
      <c r="GA47" s="18" t="n"/>
      <c r="GB47" s="230">
        <f>GB48</f>
        <v/>
      </c>
      <c r="GC47" s="230">
        <f>GC48</f>
        <v/>
      </c>
      <c r="GD47" s="230">
        <f>GB47+GC47</f>
        <v/>
      </c>
      <c r="GE47" s="230">
        <f>GE48</f>
        <v/>
      </c>
      <c r="GF47" s="230">
        <f>GF48</f>
        <v/>
      </c>
      <c r="GG47" s="230">
        <f>GE47+GF47</f>
        <v/>
      </c>
      <c r="GH47" s="231">
        <f>GG47-GD47</f>
        <v/>
      </c>
      <c r="GI47" s="232">
        <f>IF(GD47=0,"",GG47/GD47)</f>
        <v/>
      </c>
      <c r="GJ47" s="25" t="n"/>
      <c r="GK47" s="227">
        <f>GK48</f>
        <v/>
      </c>
      <c r="GL47" s="227">
        <f>GL48</f>
        <v/>
      </c>
      <c r="GM47" s="227">
        <f>GK47+GL47</f>
        <v/>
      </c>
      <c r="GN47" s="227">
        <f>GN48</f>
        <v/>
      </c>
      <c r="GO47" s="227">
        <f>GO48</f>
        <v/>
      </c>
      <c r="GP47" s="227">
        <f>GN47+GO47</f>
        <v/>
      </c>
      <c r="GQ47" s="228">
        <f>GP47-GM47</f>
        <v/>
      </c>
      <c r="GR47" s="229">
        <f>IF(GM47=0,"",GP47/GM47)</f>
        <v/>
      </c>
      <c r="GS47" s="18" t="n"/>
      <c r="GT47" s="230">
        <f>GT48</f>
        <v/>
      </c>
      <c r="GU47" s="230">
        <f>GU48</f>
        <v/>
      </c>
      <c r="GV47" s="230">
        <f>GT47+GU47</f>
        <v/>
      </c>
      <c r="GW47" s="230">
        <f>GW48</f>
        <v/>
      </c>
      <c r="GX47" s="230">
        <f>GX48</f>
        <v/>
      </c>
      <c r="GY47" s="230">
        <f>GW47+GX47</f>
        <v/>
      </c>
      <c r="GZ47" s="231">
        <f>GY47-GV47</f>
        <v/>
      </c>
      <c r="HA47" s="232">
        <f>IF(GV47=0,"",GY47/GV47)</f>
        <v/>
      </c>
      <c r="HB47" s="25" t="n"/>
      <c r="HC47" s="227">
        <f>GT47</f>
        <v/>
      </c>
      <c r="HD47" s="227">
        <f>GU47</f>
        <v/>
      </c>
      <c r="HE47" s="227">
        <f>HC47+HD47</f>
        <v/>
      </c>
    </row>
    <row r="48" outlineLevel="1" ht="15" customHeight="1" s="150">
      <c r="A48" s="26" t="n"/>
      <c r="B48" s="26" t="n"/>
      <c r="C48" s="26" t="n"/>
      <c r="D48" s="233" t="n"/>
      <c r="E48" s="233" t="n"/>
      <c r="F48" s="233">
        <f>D48+E48</f>
        <v/>
      </c>
      <c r="G48" s="233" t="n"/>
      <c r="H48" s="233" t="n"/>
      <c r="I48" s="233">
        <f>G48+H48</f>
        <v/>
      </c>
      <c r="J48" s="238">
        <f>I48-F48</f>
        <v/>
      </c>
      <c r="K48" s="235">
        <f>IF(F48=0,"",I48/F48)</f>
        <v/>
      </c>
      <c r="L48" s="26" t="n"/>
      <c r="M48" s="233" t="n"/>
      <c r="N48" s="233" t="n"/>
      <c r="O48" s="233">
        <f>M48+N48</f>
        <v/>
      </c>
      <c r="P48" s="233" t="n"/>
      <c r="Q48" s="233" t="n"/>
      <c r="R48" s="233">
        <f>P48+Q48</f>
        <v/>
      </c>
      <c r="S48" s="238">
        <f>R48-O48</f>
        <v/>
      </c>
      <c r="T48" s="235">
        <f>IF(O48=0,"",R48/O48)</f>
        <v/>
      </c>
      <c r="U48" s="26" t="n"/>
      <c r="V48" s="236">
        <f>D48+M48</f>
        <v/>
      </c>
      <c r="W48" s="236">
        <f>E48+N48</f>
        <v/>
      </c>
      <c r="X48" s="236">
        <f>V48+W48</f>
        <v/>
      </c>
      <c r="Y48" s="236">
        <f>G48+P48</f>
        <v/>
      </c>
      <c r="Z48" s="236">
        <f>H48+Q48</f>
        <v/>
      </c>
      <c r="AA48" s="236">
        <f>Y48+Z48</f>
        <v/>
      </c>
      <c r="AB48" s="239">
        <f>AA48-X48</f>
        <v/>
      </c>
      <c r="AC48" s="237">
        <f>IF(X48=0,"",AA48/X48)</f>
        <v/>
      </c>
      <c r="AD48" s="33" t="n"/>
      <c r="AE48" s="233" t="n"/>
      <c r="AF48" s="233" t="n"/>
      <c r="AG48" s="233">
        <f>AE48+AF48</f>
        <v/>
      </c>
      <c r="AH48" s="233" t="n"/>
      <c r="AI48" s="233" t="n"/>
      <c r="AJ48" s="233">
        <f>AH48+AI48</f>
        <v/>
      </c>
      <c r="AK48" s="238">
        <f>AJ48-AG48</f>
        <v/>
      </c>
      <c r="AL48" s="235">
        <f>IF(AG48=0,"",AJ48/AG48)</f>
        <v/>
      </c>
      <c r="AM48" s="26" t="n"/>
      <c r="AN48" s="236">
        <f>V48+AE48</f>
        <v/>
      </c>
      <c r="AO48" s="236">
        <f>W48+AF48</f>
        <v/>
      </c>
      <c r="AP48" s="236">
        <f>AN48+AO48</f>
        <v/>
      </c>
      <c r="AQ48" s="236">
        <f>Y48+AH48</f>
        <v/>
      </c>
      <c r="AR48" s="236">
        <f>Z48+AI48</f>
        <v/>
      </c>
      <c r="AS48" s="236">
        <f>AQ48+AR48</f>
        <v/>
      </c>
      <c r="AT48" s="239">
        <f>AS48-AP48</f>
        <v/>
      </c>
      <c r="AU48" s="237">
        <f>IF(AP48=0,"",AS48/AP48)</f>
        <v/>
      </c>
      <c r="AV48" s="33" t="n"/>
      <c r="AW48" s="233" t="n"/>
      <c r="AX48" s="233" t="n"/>
      <c r="AY48" s="233">
        <f>AW48+AX48</f>
        <v/>
      </c>
      <c r="AZ48" s="233" t="n"/>
      <c r="BA48" s="233" t="n"/>
      <c r="BB48" s="233">
        <f>AZ48+BA48</f>
        <v/>
      </c>
      <c r="BC48" s="238">
        <f>BB48-AY48</f>
        <v/>
      </c>
      <c r="BD48" s="235">
        <f>IF(AY48=0,"",BB48/AY48)</f>
        <v/>
      </c>
      <c r="BE48" s="26" t="n"/>
      <c r="BF48" s="236">
        <f>AN48+AW48</f>
        <v/>
      </c>
      <c r="BG48" s="236">
        <f>AO48+AX48</f>
        <v/>
      </c>
      <c r="BH48" s="236">
        <f>BF48+BG48</f>
        <v/>
      </c>
      <c r="BI48" s="236">
        <f>AQ48+AZ48</f>
        <v/>
      </c>
      <c r="BJ48" s="236">
        <f>AR48+BA48</f>
        <v/>
      </c>
      <c r="BK48" s="236">
        <f>BI48+BJ48</f>
        <v/>
      </c>
      <c r="BL48" s="239">
        <f>BK48-BH48</f>
        <v/>
      </c>
      <c r="BM48" s="237">
        <f>IF(BH48=0,"",BK48/BH48)</f>
        <v/>
      </c>
      <c r="BN48" s="33" t="n"/>
      <c r="BO48" s="233" t="n"/>
      <c r="BP48" s="233" t="n"/>
      <c r="BQ48" s="233">
        <f>BO48+BP48</f>
        <v/>
      </c>
      <c r="BR48" s="233" t="n"/>
      <c r="BS48" s="233" t="n"/>
      <c r="BT48" s="233">
        <f>BR48+BS48</f>
        <v/>
      </c>
      <c r="BU48" s="238">
        <f>BT48-BQ48</f>
        <v/>
      </c>
      <c r="BV48" s="235">
        <f>IF(BQ48=0,"",BT48/BQ48)</f>
        <v/>
      </c>
      <c r="BW48" s="26" t="n"/>
      <c r="BX48" s="236">
        <f>BF48+BO48</f>
        <v/>
      </c>
      <c r="BY48" s="236">
        <f>BG48+BP48</f>
        <v/>
      </c>
      <c r="BZ48" s="236">
        <f>BX48+BY48</f>
        <v/>
      </c>
      <c r="CA48" s="236">
        <f>BI48+BR48</f>
        <v/>
      </c>
      <c r="CB48" s="236">
        <f>BJ48+BS48</f>
        <v/>
      </c>
      <c r="CC48" s="236">
        <f>CA48+CB48</f>
        <v/>
      </c>
      <c r="CD48" s="239">
        <f>CC48-BZ48</f>
        <v/>
      </c>
      <c r="CE48" s="237">
        <f>IF(BZ48=0,"",CC48/BZ48)</f>
        <v/>
      </c>
      <c r="CF48" s="33" t="n"/>
      <c r="CG48" s="233" t="n"/>
      <c r="CH48" s="233" t="n"/>
      <c r="CI48" s="233">
        <f>CG48+CH48</f>
        <v/>
      </c>
      <c r="CJ48" s="233" t="n"/>
      <c r="CK48" s="233" t="n"/>
      <c r="CL48" s="233">
        <f>CJ48+CK48</f>
        <v/>
      </c>
      <c r="CM48" s="238">
        <f>CL48-CI48</f>
        <v/>
      </c>
      <c r="CN48" s="235">
        <f>IF(CI48=0,"",CL48/CI48)</f>
        <v/>
      </c>
      <c r="CO48" s="26" t="n"/>
      <c r="CP48" s="236">
        <f>BX48+CG48</f>
        <v/>
      </c>
      <c r="CQ48" s="236">
        <f>BY48+CH48</f>
        <v/>
      </c>
      <c r="CR48" s="236">
        <f>CP48+CQ48</f>
        <v/>
      </c>
      <c r="CS48" s="236">
        <f>CA48+CJ48</f>
        <v/>
      </c>
      <c r="CT48" s="236">
        <f>CB48+CK48</f>
        <v/>
      </c>
      <c r="CU48" s="236">
        <f>CS48+CT48</f>
        <v/>
      </c>
      <c r="CV48" s="239">
        <f>CU48-CR48</f>
        <v/>
      </c>
      <c r="CW48" s="237">
        <f>IF(CR48=0,"",CU48/CR48)</f>
        <v/>
      </c>
      <c r="CX48" s="33" t="n"/>
      <c r="CY48" s="233" t="n"/>
      <c r="CZ48" s="233" t="n"/>
      <c r="DA48" s="233">
        <f>CY48+CZ48</f>
        <v/>
      </c>
      <c r="DB48" s="233" t="n"/>
      <c r="DC48" s="233" t="n"/>
      <c r="DD48" s="233">
        <f>DB48+DC48</f>
        <v/>
      </c>
      <c r="DE48" s="238">
        <f>DD48-DA48</f>
        <v/>
      </c>
      <c r="DF48" s="235">
        <f>IF(DA48=0,"",DD48/DA48)</f>
        <v/>
      </c>
      <c r="DG48" s="26" t="n"/>
      <c r="DH48" s="236">
        <f>CP48+CY48</f>
        <v/>
      </c>
      <c r="DI48" s="236">
        <f>CQ48+CZ48</f>
        <v/>
      </c>
      <c r="DJ48" s="236">
        <f>DH48+DI48</f>
        <v/>
      </c>
      <c r="DK48" s="236">
        <f>CS48+DB48</f>
        <v/>
      </c>
      <c r="DL48" s="236">
        <f>CT48+DC48</f>
        <v/>
      </c>
      <c r="DM48" s="236">
        <f>DK48+DL48</f>
        <v/>
      </c>
      <c r="DN48" s="239">
        <f>DM48-DJ48</f>
        <v/>
      </c>
      <c r="DO48" s="237">
        <f>IF(DJ48=0,"",DM48/DJ48)</f>
        <v/>
      </c>
      <c r="DP48" s="33" t="n"/>
      <c r="DQ48" s="233" t="n"/>
      <c r="DR48" s="233" t="n"/>
      <c r="DS48" s="233">
        <f>DQ48+DR48</f>
        <v/>
      </c>
      <c r="DT48" s="233" t="n"/>
      <c r="DU48" s="233" t="n"/>
      <c r="DV48" s="233">
        <f>DT48+DU48</f>
        <v/>
      </c>
      <c r="DW48" s="238">
        <f>DV48-DS48</f>
        <v/>
      </c>
      <c r="DX48" s="235">
        <f>IF(DS48=0,"",DV48/DS48)</f>
        <v/>
      </c>
      <c r="DY48" s="26" t="n"/>
      <c r="DZ48" s="236">
        <f>DH48+DQ48</f>
        <v/>
      </c>
      <c r="EA48" s="236">
        <f>DI48+DR48</f>
        <v/>
      </c>
      <c r="EB48" s="236">
        <f>DZ48+EA48</f>
        <v/>
      </c>
      <c r="EC48" s="236">
        <f>DK48+DT48</f>
        <v/>
      </c>
      <c r="ED48" s="236">
        <f>DL48+DU48</f>
        <v/>
      </c>
      <c r="EE48" s="236">
        <f>EC48+ED48</f>
        <v/>
      </c>
      <c r="EF48" s="239">
        <f>EE48-EB48</f>
        <v/>
      </c>
      <c r="EG48" s="237">
        <f>IF(EB48=0,"",EE48/EB48)</f>
        <v/>
      </c>
      <c r="EH48" s="33" t="n"/>
      <c r="EI48" s="233" t="n"/>
      <c r="EJ48" s="233" t="n"/>
      <c r="EK48" s="233">
        <f>EI48+EJ48</f>
        <v/>
      </c>
      <c r="EL48" s="233" t="n"/>
      <c r="EM48" s="233" t="n"/>
      <c r="EN48" s="233">
        <f>EL48+EM48</f>
        <v/>
      </c>
      <c r="EO48" s="238">
        <f>EN48-EK48</f>
        <v/>
      </c>
      <c r="EP48" s="235">
        <f>IF(EK48=0,"",EN48/EK48)</f>
        <v/>
      </c>
      <c r="EQ48" s="26" t="n"/>
      <c r="ER48" s="236">
        <f>DZ48+EI48</f>
        <v/>
      </c>
      <c r="ES48" s="236">
        <f>EA48+EJ48</f>
        <v/>
      </c>
      <c r="ET48" s="236">
        <f>ER48+ES48</f>
        <v/>
      </c>
      <c r="EU48" s="236">
        <f>EC48+EL48</f>
        <v/>
      </c>
      <c r="EV48" s="236">
        <f>ED48+EM48</f>
        <v/>
      </c>
      <c r="EW48" s="236">
        <f>EU48+EV48</f>
        <v/>
      </c>
      <c r="EX48" s="239">
        <f>EW48-ET48</f>
        <v/>
      </c>
      <c r="EY48" s="237">
        <f>IF(ET48=0,"",EW48/ET48)</f>
        <v/>
      </c>
      <c r="EZ48" s="33" t="n"/>
      <c r="FA48" s="233" t="n"/>
      <c r="FB48" s="233" t="n"/>
      <c r="FC48" s="233">
        <f>FA48+FB48</f>
        <v/>
      </c>
      <c r="FD48" s="233" t="n"/>
      <c r="FE48" s="233" t="n"/>
      <c r="FF48" s="233">
        <f>FD48+FE48</f>
        <v/>
      </c>
      <c r="FG48" s="238">
        <f>FF48-FC48</f>
        <v/>
      </c>
      <c r="FH48" s="235">
        <f>IF(FC48=0,"",FF48/FC48)</f>
        <v/>
      </c>
      <c r="FI48" s="26" t="n"/>
      <c r="FJ48" s="236">
        <f>ER48+FA48</f>
        <v/>
      </c>
      <c r="FK48" s="236">
        <f>ES48+FB48</f>
        <v/>
      </c>
      <c r="FL48" s="236">
        <f>FJ48+FK48</f>
        <v/>
      </c>
      <c r="FM48" s="236">
        <f>EU48+FD48</f>
        <v/>
      </c>
      <c r="FN48" s="236">
        <f>EV48+FE48</f>
        <v/>
      </c>
      <c r="FO48" s="236">
        <f>FM48+FN48</f>
        <v/>
      </c>
      <c r="FP48" s="239">
        <f>FO48-FL48</f>
        <v/>
      </c>
      <c r="FQ48" s="237">
        <f>IF(FL48=0,"",FO48/FL48)</f>
        <v/>
      </c>
      <c r="FR48" s="33" t="n"/>
      <c r="FS48" s="233" t="n"/>
      <c r="FT48" s="233" t="n"/>
      <c r="FU48" s="233">
        <f>FS48+FT48</f>
        <v/>
      </c>
      <c r="FV48" s="233" t="n"/>
      <c r="FW48" s="233" t="n"/>
      <c r="FX48" s="233">
        <f>FV48+FW48</f>
        <v/>
      </c>
      <c r="FY48" s="238">
        <f>FX48-FU48</f>
        <v/>
      </c>
      <c r="FZ48" s="235">
        <f>IF(FU48=0,"",FX48/FU48)</f>
        <v/>
      </c>
      <c r="GA48" s="26" t="n"/>
      <c r="GB48" s="236">
        <f>FJ48+FS48</f>
        <v/>
      </c>
      <c r="GC48" s="236">
        <f>FK48+FT48</f>
        <v/>
      </c>
      <c r="GD48" s="236">
        <f>GB48+GC48</f>
        <v/>
      </c>
      <c r="GE48" s="236">
        <f>FM48+FV48</f>
        <v/>
      </c>
      <c r="GF48" s="236">
        <f>FN48+FW48</f>
        <v/>
      </c>
      <c r="GG48" s="236">
        <f>GE48+GF48</f>
        <v/>
      </c>
      <c r="GH48" s="239">
        <f>GG48-GD48</f>
        <v/>
      </c>
      <c r="GI48" s="237">
        <f>IF(GD48=0,"",GG48/GD48)</f>
        <v/>
      </c>
      <c r="GJ48" s="33" t="n"/>
      <c r="GK48" s="233" t="n"/>
      <c r="GL48" s="233" t="n"/>
      <c r="GM48" s="233">
        <f>GK48+GL48</f>
        <v/>
      </c>
      <c r="GN48" s="233" t="n"/>
      <c r="GO48" s="233" t="n"/>
      <c r="GP48" s="233">
        <f>GN48+GO48</f>
        <v/>
      </c>
      <c r="GQ48" s="238">
        <f>GP48-GM48</f>
        <v/>
      </c>
      <c r="GR48" s="235">
        <f>IF(GM48=0,"",GP48/GM48)</f>
        <v/>
      </c>
      <c r="GS48" s="26" t="n"/>
      <c r="GT48" s="236">
        <f>GB48+GK48</f>
        <v/>
      </c>
      <c r="GU48" s="236">
        <f>GC48+GL48</f>
        <v/>
      </c>
      <c r="GV48" s="236">
        <f>GT48+GU48</f>
        <v/>
      </c>
      <c r="GW48" s="236">
        <f>GE48+GN48</f>
        <v/>
      </c>
      <c r="GX48" s="236">
        <f>GF48+GO48</f>
        <v/>
      </c>
      <c r="GY48" s="236">
        <f>GW48+GX48</f>
        <v/>
      </c>
      <c r="GZ48" s="239">
        <f>GY48-GV48</f>
        <v/>
      </c>
      <c r="HA48" s="237">
        <f>IF(GV48=0,"",GY48/GV48)</f>
        <v/>
      </c>
      <c r="HB48" s="33" t="n"/>
      <c r="HC48" s="233">
        <f>GT48</f>
        <v/>
      </c>
      <c r="HD48" s="233">
        <f>GU48</f>
        <v/>
      </c>
      <c r="HE48" s="233">
        <f>HC48+HD48</f>
        <v/>
      </c>
    </row>
    <row r="49" ht="15" customHeight="1" s="150">
      <c r="A49" s="18" t="n"/>
      <c r="B49" s="18" t="n"/>
      <c r="C49" s="18" t="n"/>
      <c r="D49" s="227">
        <f>D50</f>
        <v/>
      </c>
      <c r="E49" s="227">
        <f>E50</f>
        <v/>
      </c>
      <c r="F49" s="227">
        <f>D49+E49</f>
        <v/>
      </c>
      <c r="G49" s="227">
        <f>G50</f>
        <v/>
      </c>
      <c r="H49" s="227">
        <f>H50</f>
        <v/>
      </c>
      <c r="I49" s="227">
        <f>G49+H49</f>
        <v/>
      </c>
      <c r="J49" s="228">
        <f>I49-F49</f>
        <v/>
      </c>
      <c r="K49" s="229">
        <f>IF(F49=0,"",I49/F49)</f>
        <v/>
      </c>
      <c r="L49" s="18" t="n"/>
      <c r="M49" s="227">
        <f>M50</f>
        <v/>
      </c>
      <c r="N49" s="227">
        <f>N50</f>
        <v/>
      </c>
      <c r="O49" s="227">
        <f>M49+N49</f>
        <v/>
      </c>
      <c r="P49" s="227">
        <f>P50</f>
        <v/>
      </c>
      <c r="Q49" s="227">
        <f>Q50</f>
        <v/>
      </c>
      <c r="R49" s="227">
        <f>P49+Q49</f>
        <v/>
      </c>
      <c r="S49" s="228">
        <f>R49-O49</f>
        <v/>
      </c>
      <c r="T49" s="229">
        <f>IF(O49=0,"",R49/O49)</f>
        <v/>
      </c>
      <c r="U49" s="18" t="n"/>
      <c r="V49" s="230">
        <f>V50</f>
        <v/>
      </c>
      <c r="W49" s="230">
        <f>W50</f>
        <v/>
      </c>
      <c r="X49" s="230">
        <f>V49+W49</f>
        <v/>
      </c>
      <c r="Y49" s="230">
        <f>Y50</f>
        <v/>
      </c>
      <c r="Z49" s="230">
        <f>Z50</f>
        <v/>
      </c>
      <c r="AA49" s="230">
        <f>Y49+Z49</f>
        <v/>
      </c>
      <c r="AB49" s="231">
        <f>AA49-X49</f>
        <v/>
      </c>
      <c r="AC49" s="232">
        <f>IF(X49=0,"",AA49/X49)</f>
        <v/>
      </c>
      <c r="AD49" s="25" t="n"/>
      <c r="AE49" s="227">
        <f>AE50</f>
        <v/>
      </c>
      <c r="AF49" s="227">
        <f>AF50</f>
        <v/>
      </c>
      <c r="AG49" s="227">
        <f>AE49+AF49</f>
        <v/>
      </c>
      <c r="AH49" s="227">
        <f>AH50</f>
        <v/>
      </c>
      <c r="AI49" s="227">
        <f>AI50</f>
        <v/>
      </c>
      <c r="AJ49" s="227">
        <f>AH49+AI49</f>
        <v/>
      </c>
      <c r="AK49" s="228">
        <f>AJ49-AG49</f>
        <v/>
      </c>
      <c r="AL49" s="229">
        <f>IF(AG49=0,"",AJ49/AG49)</f>
        <v/>
      </c>
      <c r="AM49" s="18" t="n"/>
      <c r="AN49" s="230">
        <f>AN50</f>
        <v/>
      </c>
      <c r="AO49" s="230">
        <f>AO50</f>
        <v/>
      </c>
      <c r="AP49" s="230">
        <f>AN49+AO49</f>
        <v/>
      </c>
      <c r="AQ49" s="230">
        <f>AQ50</f>
        <v/>
      </c>
      <c r="AR49" s="230">
        <f>AR50</f>
        <v/>
      </c>
      <c r="AS49" s="230">
        <f>AQ49+AR49</f>
        <v/>
      </c>
      <c r="AT49" s="231">
        <f>AS49-AP49</f>
        <v/>
      </c>
      <c r="AU49" s="232">
        <f>IF(AP49=0,"",AS49/AP49)</f>
        <v/>
      </c>
      <c r="AV49" s="25" t="n"/>
      <c r="AW49" s="227">
        <f>AW50</f>
        <v/>
      </c>
      <c r="AX49" s="227">
        <f>AX50</f>
        <v/>
      </c>
      <c r="AY49" s="227">
        <f>AW49+AX49</f>
        <v/>
      </c>
      <c r="AZ49" s="227">
        <f>AZ50</f>
        <v/>
      </c>
      <c r="BA49" s="227">
        <f>BA50</f>
        <v/>
      </c>
      <c r="BB49" s="227">
        <f>AZ49+BA49</f>
        <v/>
      </c>
      <c r="BC49" s="228">
        <f>BB49-AY49</f>
        <v/>
      </c>
      <c r="BD49" s="229">
        <f>IF(AY49=0,"",BB49/AY49)</f>
        <v/>
      </c>
      <c r="BE49" s="18" t="n"/>
      <c r="BF49" s="230">
        <f>BF50</f>
        <v/>
      </c>
      <c r="BG49" s="230">
        <f>BG50</f>
        <v/>
      </c>
      <c r="BH49" s="230">
        <f>BF49+BG49</f>
        <v/>
      </c>
      <c r="BI49" s="230">
        <f>BI50</f>
        <v/>
      </c>
      <c r="BJ49" s="230">
        <f>BJ50</f>
        <v/>
      </c>
      <c r="BK49" s="230">
        <f>BI49+BJ49</f>
        <v/>
      </c>
      <c r="BL49" s="231">
        <f>BK49-BH49</f>
        <v/>
      </c>
      <c r="BM49" s="232">
        <f>IF(BH49=0,"",BK49/BH49)</f>
        <v/>
      </c>
      <c r="BN49" s="25" t="n"/>
      <c r="BO49" s="227">
        <f>BO50</f>
        <v/>
      </c>
      <c r="BP49" s="227">
        <f>BP50</f>
        <v/>
      </c>
      <c r="BQ49" s="227">
        <f>BO49+BP49</f>
        <v/>
      </c>
      <c r="BR49" s="227">
        <f>BR50</f>
        <v/>
      </c>
      <c r="BS49" s="227">
        <f>BS50</f>
        <v/>
      </c>
      <c r="BT49" s="227">
        <f>BR49+BS49</f>
        <v/>
      </c>
      <c r="BU49" s="228">
        <f>BT49-BQ49</f>
        <v/>
      </c>
      <c r="BV49" s="229">
        <f>IF(BQ49=0,"",BT49/BQ49)</f>
        <v/>
      </c>
      <c r="BW49" s="18" t="n"/>
      <c r="BX49" s="230">
        <f>BX50</f>
        <v/>
      </c>
      <c r="BY49" s="230">
        <f>BY50</f>
        <v/>
      </c>
      <c r="BZ49" s="230">
        <f>BX49+BY49</f>
        <v/>
      </c>
      <c r="CA49" s="230">
        <f>CA50</f>
        <v/>
      </c>
      <c r="CB49" s="230">
        <f>CB50</f>
        <v/>
      </c>
      <c r="CC49" s="230">
        <f>CA49+CB49</f>
        <v/>
      </c>
      <c r="CD49" s="231">
        <f>CC49-BZ49</f>
        <v/>
      </c>
      <c r="CE49" s="232">
        <f>IF(BZ49=0,"",CC49/BZ49)</f>
        <v/>
      </c>
      <c r="CF49" s="25" t="n"/>
      <c r="CG49" s="227">
        <f>CG50</f>
        <v/>
      </c>
      <c r="CH49" s="227">
        <f>CH50</f>
        <v/>
      </c>
      <c r="CI49" s="227">
        <f>CG49+CH49</f>
        <v/>
      </c>
      <c r="CJ49" s="227">
        <f>CJ50</f>
        <v/>
      </c>
      <c r="CK49" s="227">
        <f>CK50</f>
        <v/>
      </c>
      <c r="CL49" s="227">
        <f>CJ49+CK49</f>
        <v/>
      </c>
      <c r="CM49" s="228">
        <f>CL49-CI49</f>
        <v/>
      </c>
      <c r="CN49" s="229">
        <f>IF(CI49=0,"",CL49/CI49)</f>
        <v/>
      </c>
      <c r="CO49" s="18" t="n"/>
      <c r="CP49" s="230">
        <f>CP50</f>
        <v/>
      </c>
      <c r="CQ49" s="230">
        <f>CQ50</f>
        <v/>
      </c>
      <c r="CR49" s="230">
        <f>CP49+CQ49</f>
        <v/>
      </c>
      <c r="CS49" s="230">
        <f>CS50</f>
        <v/>
      </c>
      <c r="CT49" s="230">
        <f>CT50</f>
        <v/>
      </c>
      <c r="CU49" s="230">
        <f>CS49+CT49</f>
        <v/>
      </c>
      <c r="CV49" s="231">
        <f>CU49-CR49</f>
        <v/>
      </c>
      <c r="CW49" s="232">
        <f>IF(CR49=0,"",CU49/CR49)</f>
        <v/>
      </c>
      <c r="CX49" s="25" t="n"/>
      <c r="CY49" s="227">
        <f>CY50</f>
        <v/>
      </c>
      <c r="CZ49" s="227">
        <f>CZ50</f>
        <v/>
      </c>
      <c r="DA49" s="227">
        <f>CY49+CZ49</f>
        <v/>
      </c>
      <c r="DB49" s="227">
        <f>DB50</f>
        <v/>
      </c>
      <c r="DC49" s="227">
        <f>DC50</f>
        <v/>
      </c>
      <c r="DD49" s="227">
        <f>DB49+DC49</f>
        <v/>
      </c>
      <c r="DE49" s="228">
        <f>DD49-DA49</f>
        <v/>
      </c>
      <c r="DF49" s="229">
        <f>IF(DA49=0,"",DD49/DA49)</f>
        <v/>
      </c>
      <c r="DG49" s="18" t="n"/>
      <c r="DH49" s="230">
        <f>DH50</f>
        <v/>
      </c>
      <c r="DI49" s="230">
        <f>DI50</f>
        <v/>
      </c>
      <c r="DJ49" s="230">
        <f>DH49+DI49</f>
        <v/>
      </c>
      <c r="DK49" s="230">
        <f>DK50</f>
        <v/>
      </c>
      <c r="DL49" s="230">
        <f>DL50</f>
        <v/>
      </c>
      <c r="DM49" s="230">
        <f>DK49+DL49</f>
        <v/>
      </c>
      <c r="DN49" s="231">
        <f>DM49-DJ49</f>
        <v/>
      </c>
      <c r="DO49" s="232">
        <f>IF(DJ49=0,"",DM49/DJ49)</f>
        <v/>
      </c>
      <c r="DP49" s="25" t="n"/>
      <c r="DQ49" s="227">
        <f>DQ50</f>
        <v/>
      </c>
      <c r="DR49" s="227">
        <f>DR50</f>
        <v/>
      </c>
      <c r="DS49" s="227">
        <f>DQ49+DR49</f>
        <v/>
      </c>
      <c r="DT49" s="227">
        <f>DT50</f>
        <v/>
      </c>
      <c r="DU49" s="227">
        <f>DU50</f>
        <v/>
      </c>
      <c r="DV49" s="227">
        <f>DT49+DU49</f>
        <v/>
      </c>
      <c r="DW49" s="228">
        <f>DV49-DS49</f>
        <v/>
      </c>
      <c r="DX49" s="229">
        <f>IF(DS49=0,"",DV49/DS49)</f>
        <v/>
      </c>
      <c r="DY49" s="18" t="n"/>
      <c r="DZ49" s="230">
        <f>DZ50</f>
        <v/>
      </c>
      <c r="EA49" s="230">
        <f>EA50</f>
        <v/>
      </c>
      <c r="EB49" s="230">
        <f>DZ49+EA49</f>
        <v/>
      </c>
      <c r="EC49" s="230">
        <f>EC50</f>
        <v/>
      </c>
      <c r="ED49" s="230">
        <f>ED50</f>
        <v/>
      </c>
      <c r="EE49" s="230">
        <f>EC49+ED49</f>
        <v/>
      </c>
      <c r="EF49" s="231">
        <f>EE49-EB49</f>
        <v/>
      </c>
      <c r="EG49" s="232">
        <f>IF(EB49=0,"",EE49/EB49)</f>
        <v/>
      </c>
      <c r="EH49" s="25" t="n"/>
      <c r="EI49" s="227">
        <f>EI50</f>
        <v/>
      </c>
      <c r="EJ49" s="227">
        <f>EJ50</f>
        <v/>
      </c>
      <c r="EK49" s="227">
        <f>EI49+EJ49</f>
        <v/>
      </c>
      <c r="EL49" s="227">
        <f>EL50</f>
        <v/>
      </c>
      <c r="EM49" s="227">
        <f>EM50</f>
        <v/>
      </c>
      <c r="EN49" s="227">
        <f>EL49+EM49</f>
        <v/>
      </c>
      <c r="EO49" s="228">
        <f>EN49-EK49</f>
        <v/>
      </c>
      <c r="EP49" s="229">
        <f>IF(EK49=0,"",EN49/EK49)</f>
        <v/>
      </c>
      <c r="EQ49" s="18" t="n"/>
      <c r="ER49" s="230">
        <f>ER50</f>
        <v/>
      </c>
      <c r="ES49" s="230">
        <f>ES50</f>
        <v/>
      </c>
      <c r="ET49" s="230">
        <f>ER49+ES49</f>
        <v/>
      </c>
      <c r="EU49" s="230">
        <f>EU50</f>
        <v/>
      </c>
      <c r="EV49" s="230">
        <f>EV50</f>
        <v/>
      </c>
      <c r="EW49" s="230">
        <f>EU49+EV49</f>
        <v/>
      </c>
      <c r="EX49" s="231">
        <f>EW49-ET49</f>
        <v/>
      </c>
      <c r="EY49" s="232">
        <f>IF(ET49=0,"",EW49/ET49)</f>
        <v/>
      </c>
      <c r="EZ49" s="25" t="n"/>
      <c r="FA49" s="227">
        <f>FA50</f>
        <v/>
      </c>
      <c r="FB49" s="227">
        <f>FB50</f>
        <v/>
      </c>
      <c r="FC49" s="227">
        <f>FA49+FB49</f>
        <v/>
      </c>
      <c r="FD49" s="227">
        <f>FD50</f>
        <v/>
      </c>
      <c r="FE49" s="227">
        <f>FE50</f>
        <v/>
      </c>
      <c r="FF49" s="227">
        <f>FD49+FE49</f>
        <v/>
      </c>
      <c r="FG49" s="228">
        <f>FF49-FC49</f>
        <v/>
      </c>
      <c r="FH49" s="229">
        <f>IF(FC49=0,"",FF49/FC49)</f>
        <v/>
      </c>
      <c r="FI49" s="18" t="n"/>
      <c r="FJ49" s="230">
        <f>FJ50</f>
        <v/>
      </c>
      <c r="FK49" s="230">
        <f>FK50</f>
        <v/>
      </c>
      <c r="FL49" s="230">
        <f>FJ49+FK49</f>
        <v/>
      </c>
      <c r="FM49" s="230">
        <f>FM50</f>
        <v/>
      </c>
      <c r="FN49" s="230">
        <f>FN50</f>
        <v/>
      </c>
      <c r="FO49" s="230">
        <f>FM49+FN49</f>
        <v/>
      </c>
      <c r="FP49" s="231">
        <f>FO49-FL49</f>
        <v/>
      </c>
      <c r="FQ49" s="232">
        <f>IF(FL49=0,"",FO49/FL49)</f>
        <v/>
      </c>
      <c r="FR49" s="25" t="n"/>
      <c r="FS49" s="227">
        <f>FS50</f>
        <v/>
      </c>
      <c r="FT49" s="227">
        <f>FT50</f>
        <v/>
      </c>
      <c r="FU49" s="227">
        <f>FS49+FT49</f>
        <v/>
      </c>
      <c r="FV49" s="227">
        <f>FV50</f>
        <v/>
      </c>
      <c r="FW49" s="227">
        <f>FW50</f>
        <v/>
      </c>
      <c r="FX49" s="227">
        <f>FV49+FW49</f>
        <v/>
      </c>
      <c r="FY49" s="228">
        <f>FX49-FU49</f>
        <v/>
      </c>
      <c r="FZ49" s="229">
        <f>IF(FU49=0,"",FX49/FU49)</f>
        <v/>
      </c>
      <c r="GA49" s="18" t="n"/>
      <c r="GB49" s="230">
        <f>GB50</f>
        <v/>
      </c>
      <c r="GC49" s="230">
        <f>GC50</f>
        <v/>
      </c>
      <c r="GD49" s="230">
        <f>GB49+GC49</f>
        <v/>
      </c>
      <c r="GE49" s="230">
        <f>GE50</f>
        <v/>
      </c>
      <c r="GF49" s="230">
        <f>GF50</f>
        <v/>
      </c>
      <c r="GG49" s="230">
        <f>GE49+GF49</f>
        <v/>
      </c>
      <c r="GH49" s="231">
        <f>GG49-GD49</f>
        <v/>
      </c>
      <c r="GI49" s="232">
        <f>IF(GD49=0,"",GG49/GD49)</f>
        <v/>
      </c>
      <c r="GJ49" s="25" t="n"/>
      <c r="GK49" s="227">
        <f>GK50</f>
        <v/>
      </c>
      <c r="GL49" s="227">
        <f>GL50</f>
        <v/>
      </c>
      <c r="GM49" s="227">
        <f>GK49+GL49</f>
        <v/>
      </c>
      <c r="GN49" s="227">
        <f>GN50</f>
        <v/>
      </c>
      <c r="GO49" s="227">
        <f>GO50</f>
        <v/>
      </c>
      <c r="GP49" s="227">
        <f>GN49+GO49</f>
        <v/>
      </c>
      <c r="GQ49" s="228">
        <f>GP49-GM49</f>
        <v/>
      </c>
      <c r="GR49" s="229">
        <f>IF(GM49=0,"",GP49/GM49)</f>
        <v/>
      </c>
      <c r="GS49" s="18" t="n"/>
      <c r="GT49" s="230">
        <f>GT50</f>
        <v/>
      </c>
      <c r="GU49" s="230">
        <f>GU50</f>
        <v/>
      </c>
      <c r="GV49" s="230">
        <f>GT49+GU49</f>
        <v/>
      </c>
      <c r="GW49" s="230">
        <f>GW50</f>
        <v/>
      </c>
      <c r="GX49" s="230">
        <f>GX50</f>
        <v/>
      </c>
      <c r="GY49" s="230">
        <f>GW49+GX49</f>
        <v/>
      </c>
      <c r="GZ49" s="231">
        <f>GY49-GV49</f>
        <v/>
      </c>
      <c r="HA49" s="232">
        <f>IF(GV49=0,"",GY49/GV49)</f>
        <v/>
      </c>
      <c r="HB49" s="25" t="n"/>
      <c r="HC49" s="227">
        <f>GT49</f>
        <v/>
      </c>
      <c r="HD49" s="227">
        <f>GU49</f>
        <v/>
      </c>
      <c r="HE49" s="227">
        <f>HC49+HD49</f>
        <v/>
      </c>
    </row>
    <row r="50" outlineLevel="1" ht="24" customHeight="1" s="150">
      <c r="A50" s="26" t="n"/>
      <c r="B50" s="26" t="n"/>
      <c r="C50" s="26" t="n"/>
      <c r="D50" s="233" t="n"/>
      <c r="E50" s="233" t="n"/>
      <c r="F50" s="233">
        <f>D50+E50</f>
        <v/>
      </c>
      <c r="G50" s="233" t="n"/>
      <c r="H50" s="233" t="n"/>
      <c r="I50" s="233">
        <f>G50+H50</f>
        <v/>
      </c>
      <c r="J50" s="238">
        <f>I50-F50</f>
        <v/>
      </c>
      <c r="K50" s="235">
        <f>IF(F50=0,"",I50/F50)</f>
        <v/>
      </c>
      <c r="L50" s="26" t="n"/>
      <c r="M50" s="233" t="n"/>
      <c r="N50" s="233" t="n"/>
      <c r="O50" s="233">
        <f>M50+N50</f>
        <v/>
      </c>
      <c r="P50" s="233" t="n"/>
      <c r="Q50" s="233" t="n"/>
      <c r="R50" s="233">
        <f>P50+Q50</f>
        <v/>
      </c>
      <c r="S50" s="234">
        <f>R50-O50</f>
        <v/>
      </c>
      <c r="T50" s="235">
        <f>IF(O50=0,"",R50/O50)</f>
        <v/>
      </c>
      <c r="U50" s="26" t="n"/>
      <c r="V50" s="236">
        <f>D50+M50</f>
        <v/>
      </c>
      <c r="W50" s="236">
        <f>E50+N50</f>
        <v/>
      </c>
      <c r="X50" s="236">
        <f>V50+W50</f>
        <v/>
      </c>
      <c r="Y50" s="236">
        <f>G50+P50</f>
        <v/>
      </c>
      <c r="Z50" s="236">
        <f>H50+Q50</f>
        <v/>
      </c>
      <c r="AA50" s="236">
        <f>Y50+Z50</f>
        <v/>
      </c>
      <c r="AB50" s="234">
        <f>AA50-X50</f>
        <v/>
      </c>
      <c r="AC50" s="237">
        <f>IF(X50=0,"",AA50/X50)</f>
        <v/>
      </c>
      <c r="AD50" s="44" t="n"/>
      <c r="AE50" s="233" t="n"/>
      <c r="AF50" s="233" t="n"/>
      <c r="AG50" s="233">
        <f>AE50+AF50</f>
        <v/>
      </c>
      <c r="AH50" s="233" t="n"/>
      <c r="AI50" s="233" t="n"/>
      <c r="AJ50" s="233">
        <f>AH50+AI50</f>
        <v/>
      </c>
      <c r="AK50" s="234">
        <f>AJ50-AG50</f>
        <v/>
      </c>
      <c r="AL50" s="235">
        <f>IF(AG50=0,"",AJ50/AG50)</f>
        <v/>
      </c>
      <c r="AM50" s="26" t="n"/>
      <c r="AN50" s="236">
        <f>V50+AE50</f>
        <v/>
      </c>
      <c r="AO50" s="236">
        <f>W50+AF50</f>
        <v/>
      </c>
      <c r="AP50" s="236">
        <f>AN50+AO50</f>
        <v/>
      </c>
      <c r="AQ50" s="236">
        <f>Y50+AH50</f>
        <v/>
      </c>
      <c r="AR50" s="236">
        <f>Z50+AI50</f>
        <v/>
      </c>
      <c r="AS50" s="236">
        <f>AQ50+AR50</f>
        <v/>
      </c>
      <c r="AT50" s="234">
        <f>AS50-AP50</f>
        <v/>
      </c>
      <c r="AU50" s="237">
        <f>IF(AP50=0,"",AS50/AP50)</f>
        <v/>
      </c>
      <c r="AV50" s="44" t="n"/>
      <c r="AW50" s="233" t="n"/>
      <c r="AX50" s="233" t="n"/>
      <c r="AY50" s="233">
        <f>AW50+AX50</f>
        <v/>
      </c>
      <c r="AZ50" s="233" t="n"/>
      <c r="BA50" s="233" t="n"/>
      <c r="BB50" s="233">
        <f>AZ50+BA50</f>
        <v/>
      </c>
      <c r="BC50" s="238">
        <f>BB50-AY50</f>
        <v/>
      </c>
      <c r="BD50" s="235">
        <f>IF(AY50=0,"",BB50/AY50)</f>
        <v/>
      </c>
      <c r="BE50" s="26" t="n"/>
      <c r="BF50" s="236">
        <f>AN50+AW50</f>
        <v/>
      </c>
      <c r="BG50" s="236">
        <f>AO50+AX50</f>
        <v/>
      </c>
      <c r="BH50" s="236">
        <f>BF50+BG50</f>
        <v/>
      </c>
      <c r="BI50" s="236">
        <f>AQ50+AZ50</f>
        <v/>
      </c>
      <c r="BJ50" s="236">
        <f>AR50+BA50</f>
        <v/>
      </c>
      <c r="BK50" s="236">
        <f>BI50+BJ50</f>
        <v/>
      </c>
      <c r="BL50" s="239">
        <f>BK50-BH50</f>
        <v/>
      </c>
      <c r="BM50" s="237">
        <f>IF(BH50=0,"",BK50/BH50)</f>
        <v/>
      </c>
      <c r="BN50" s="33" t="n"/>
      <c r="BO50" s="233" t="n"/>
      <c r="BP50" s="233" t="n"/>
      <c r="BQ50" s="233">
        <f>BO50+BP50</f>
        <v/>
      </c>
      <c r="BR50" s="233" t="n"/>
      <c r="BS50" s="233" t="n"/>
      <c r="BT50" s="233">
        <f>BR50+BS50</f>
        <v/>
      </c>
      <c r="BU50" s="238">
        <f>BT50-BQ50</f>
        <v/>
      </c>
      <c r="BV50" s="235">
        <f>IF(BQ50=0,"",BT50/BQ50)</f>
        <v/>
      </c>
      <c r="BW50" s="26" t="n"/>
      <c r="BX50" s="236">
        <f>BF50+BO50</f>
        <v/>
      </c>
      <c r="BY50" s="236">
        <f>BG50+BP50</f>
        <v/>
      </c>
      <c r="BZ50" s="236">
        <f>BX50+BY50</f>
        <v/>
      </c>
      <c r="CA50" s="236">
        <f>BI50+BR50</f>
        <v/>
      </c>
      <c r="CB50" s="236">
        <f>BJ50+BS50</f>
        <v/>
      </c>
      <c r="CC50" s="236">
        <f>CA50+CB50</f>
        <v/>
      </c>
      <c r="CD50" s="239">
        <f>CC50-BZ50</f>
        <v/>
      </c>
      <c r="CE50" s="237">
        <f>IF(BZ50=0,"",CC50/BZ50)</f>
        <v/>
      </c>
      <c r="CF50" s="33" t="n"/>
      <c r="CG50" s="233" t="n"/>
      <c r="CH50" s="233" t="n"/>
      <c r="CI50" s="233">
        <f>CG50+CH50</f>
        <v/>
      </c>
      <c r="CJ50" s="233" t="n"/>
      <c r="CK50" s="233" t="n"/>
      <c r="CL50" s="233">
        <f>CJ50+CK50</f>
        <v/>
      </c>
      <c r="CM50" s="238">
        <f>CL50-CI50</f>
        <v/>
      </c>
      <c r="CN50" s="235">
        <f>IF(CI50=0,"",CL50/CI50)</f>
        <v/>
      </c>
      <c r="CO50" s="26" t="n"/>
      <c r="CP50" s="236">
        <f>BX50+CG50</f>
        <v/>
      </c>
      <c r="CQ50" s="236">
        <f>BY50+CH50</f>
        <v/>
      </c>
      <c r="CR50" s="236">
        <f>CP50+CQ50</f>
        <v/>
      </c>
      <c r="CS50" s="236">
        <f>CA50+CJ50</f>
        <v/>
      </c>
      <c r="CT50" s="236">
        <f>CB50+CK50</f>
        <v/>
      </c>
      <c r="CU50" s="236">
        <f>CS50+CT50</f>
        <v/>
      </c>
      <c r="CV50" s="239">
        <f>CU50-CR50</f>
        <v/>
      </c>
      <c r="CW50" s="237">
        <f>IF(CR50=0,"",CU50/CR50)</f>
        <v/>
      </c>
      <c r="CX50" s="33" t="n"/>
      <c r="CY50" s="233" t="n"/>
      <c r="CZ50" s="233" t="n"/>
      <c r="DA50" s="233">
        <f>CY50+CZ50</f>
        <v/>
      </c>
      <c r="DB50" s="233" t="n"/>
      <c r="DC50" s="233" t="n"/>
      <c r="DD50" s="233">
        <f>DB50+DC50</f>
        <v/>
      </c>
      <c r="DE50" s="238">
        <f>DD50-DA50</f>
        <v/>
      </c>
      <c r="DF50" s="235">
        <f>IF(DA50=0,"",DD50/DA50)</f>
        <v/>
      </c>
      <c r="DG50" s="26" t="n"/>
      <c r="DH50" s="236">
        <f>CP50+CY50</f>
        <v/>
      </c>
      <c r="DI50" s="236">
        <f>CQ50+CZ50</f>
        <v/>
      </c>
      <c r="DJ50" s="236">
        <f>DH50+DI50</f>
        <v/>
      </c>
      <c r="DK50" s="236">
        <f>CS50+DB50</f>
        <v/>
      </c>
      <c r="DL50" s="236">
        <f>CT50+DC50</f>
        <v/>
      </c>
      <c r="DM50" s="236">
        <f>DK50+DL50</f>
        <v/>
      </c>
      <c r="DN50" s="239">
        <f>DM50-DJ50</f>
        <v/>
      </c>
      <c r="DO50" s="237">
        <f>IF(DJ50=0,"",DM50/DJ50)</f>
        <v/>
      </c>
      <c r="DP50" s="33" t="n"/>
      <c r="DQ50" s="233" t="n"/>
      <c r="DR50" s="233" t="n"/>
      <c r="DS50" s="233">
        <f>DQ50+DR50</f>
        <v/>
      </c>
      <c r="DT50" s="233" t="n"/>
      <c r="DU50" s="233" t="n"/>
      <c r="DV50" s="233">
        <f>DT50+DU50</f>
        <v/>
      </c>
      <c r="DW50" s="238">
        <f>DV50-DS50</f>
        <v/>
      </c>
      <c r="DX50" s="235">
        <f>IF(DS50=0,"",DV50/DS50)</f>
        <v/>
      </c>
      <c r="DY50" s="26" t="n"/>
      <c r="DZ50" s="236">
        <f>DH50+DQ50</f>
        <v/>
      </c>
      <c r="EA50" s="236">
        <f>DI50+DR50</f>
        <v/>
      </c>
      <c r="EB50" s="236">
        <f>DZ50+EA50</f>
        <v/>
      </c>
      <c r="EC50" s="236">
        <f>DK50+DT50</f>
        <v/>
      </c>
      <c r="ED50" s="236">
        <f>DL50+DU50</f>
        <v/>
      </c>
      <c r="EE50" s="236">
        <f>EC50+ED50</f>
        <v/>
      </c>
      <c r="EF50" s="239">
        <f>EE50-EB50</f>
        <v/>
      </c>
      <c r="EG50" s="237">
        <f>IF(EB50=0,"",EE50/EB50)</f>
        <v/>
      </c>
      <c r="EH50" s="33" t="n"/>
      <c r="EI50" s="233" t="n"/>
      <c r="EJ50" s="233" t="n"/>
      <c r="EK50" s="233">
        <f>EI50+EJ50</f>
        <v/>
      </c>
      <c r="EL50" s="233" t="n"/>
      <c r="EM50" s="233" t="n"/>
      <c r="EN50" s="233">
        <f>EL50+EM50</f>
        <v/>
      </c>
      <c r="EO50" s="238">
        <f>EN50-EK50</f>
        <v/>
      </c>
      <c r="EP50" s="235">
        <f>IF(EK50=0,"",EN50/EK50)</f>
        <v/>
      </c>
      <c r="EQ50" s="26" t="n"/>
      <c r="ER50" s="236">
        <f>DZ50+EI50</f>
        <v/>
      </c>
      <c r="ES50" s="236">
        <f>EA50+EJ50</f>
        <v/>
      </c>
      <c r="ET50" s="236">
        <f>ER50+ES50</f>
        <v/>
      </c>
      <c r="EU50" s="236">
        <f>EC50+EL50</f>
        <v/>
      </c>
      <c r="EV50" s="236">
        <f>ED50+EM50</f>
        <v/>
      </c>
      <c r="EW50" s="236">
        <f>EU50+EV50</f>
        <v/>
      </c>
      <c r="EX50" s="239">
        <f>EW50-ET50</f>
        <v/>
      </c>
      <c r="EY50" s="237">
        <f>IF(ET50=0,"",EW50/ET50)</f>
        <v/>
      </c>
      <c r="EZ50" s="33" t="n"/>
      <c r="FA50" s="233" t="n"/>
      <c r="FB50" s="233" t="n"/>
      <c r="FC50" s="233">
        <f>FA50+FB50</f>
        <v/>
      </c>
      <c r="FD50" s="233" t="n"/>
      <c r="FE50" s="233" t="n"/>
      <c r="FF50" s="233">
        <f>FD50+FE50</f>
        <v/>
      </c>
      <c r="FG50" s="238">
        <f>FF50-FC50</f>
        <v/>
      </c>
      <c r="FH50" s="235">
        <f>IF(FC50=0,"",FF50/FC50)</f>
        <v/>
      </c>
      <c r="FI50" s="26" t="n"/>
      <c r="FJ50" s="236">
        <f>ER50+FA50</f>
        <v/>
      </c>
      <c r="FK50" s="236">
        <f>ES50+FB50</f>
        <v/>
      </c>
      <c r="FL50" s="236">
        <f>FJ50+FK50</f>
        <v/>
      </c>
      <c r="FM50" s="236">
        <f>EU50+FD50</f>
        <v/>
      </c>
      <c r="FN50" s="236">
        <f>EV50+FE50</f>
        <v/>
      </c>
      <c r="FO50" s="236">
        <f>FM50+FN50</f>
        <v/>
      </c>
      <c r="FP50" s="239">
        <f>FO50-FL50</f>
        <v/>
      </c>
      <c r="FQ50" s="237">
        <f>IF(FL50=0,"",FO50/FL50)</f>
        <v/>
      </c>
      <c r="FR50" s="33" t="n"/>
      <c r="FS50" s="233" t="n"/>
      <c r="FT50" s="233" t="n"/>
      <c r="FU50" s="233">
        <f>FS50+FT50</f>
        <v/>
      </c>
      <c r="FV50" s="233" t="n"/>
      <c r="FW50" s="233" t="n"/>
      <c r="FX50" s="233">
        <f>FV50+FW50</f>
        <v/>
      </c>
      <c r="FY50" s="238">
        <f>FX50-FU50</f>
        <v/>
      </c>
      <c r="FZ50" s="235">
        <f>IF(FU50=0,"",FX50/FU50)</f>
        <v/>
      </c>
      <c r="GA50" s="26" t="n"/>
      <c r="GB50" s="236">
        <f>FJ50+FS50</f>
        <v/>
      </c>
      <c r="GC50" s="236">
        <f>FK50+FT50</f>
        <v/>
      </c>
      <c r="GD50" s="236">
        <f>GB50+GC50</f>
        <v/>
      </c>
      <c r="GE50" s="236">
        <f>FM50+FV50</f>
        <v/>
      </c>
      <c r="GF50" s="236">
        <f>FN50+FW50</f>
        <v/>
      </c>
      <c r="GG50" s="236">
        <f>GE50+GF50</f>
        <v/>
      </c>
      <c r="GH50" s="239">
        <f>GG50-GD50</f>
        <v/>
      </c>
      <c r="GI50" s="237">
        <f>IF(GD50=0,"",GG50/GD50)</f>
        <v/>
      </c>
      <c r="GJ50" s="33" t="n"/>
      <c r="GK50" s="233" t="n"/>
      <c r="GL50" s="233" t="n"/>
      <c r="GM50" s="233">
        <f>GK50+GL50</f>
        <v/>
      </c>
      <c r="GN50" s="233" t="n"/>
      <c r="GO50" s="233" t="n"/>
      <c r="GP50" s="233">
        <f>GN50+GO50</f>
        <v/>
      </c>
      <c r="GQ50" s="238">
        <f>GP50-GM50</f>
        <v/>
      </c>
      <c r="GR50" s="235">
        <f>IF(GM50=0,"",GP50/GM50)</f>
        <v/>
      </c>
      <c r="GS50" s="26" t="n"/>
      <c r="GT50" s="236">
        <f>GB50+GK50</f>
        <v/>
      </c>
      <c r="GU50" s="236">
        <f>GC50+GL50</f>
        <v/>
      </c>
      <c r="GV50" s="236">
        <f>GT50+GU50</f>
        <v/>
      </c>
      <c r="GW50" s="236">
        <f>GE50+GN50</f>
        <v/>
      </c>
      <c r="GX50" s="236">
        <f>GF50+GO50</f>
        <v/>
      </c>
      <c r="GY50" s="236">
        <f>GW50+GX50</f>
        <v/>
      </c>
      <c r="GZ50" s="239">
        <f>GY50-GV50</f>
        <v/>
      </c>
      <c r="HA50" s="237">
        <f>IF(GV50=0,"",GY50/GV50)</f>
        <v/>
      </c>
      <c r="HB50" s="33" t="n"/>
      <c r="HC50" s="233">
        <f>GT50</f>
        <v/>
      </c>
      <c r="HD50" s="233">
        <f>GU50</f>
        <v/>
      </c>
      <c r="HE50" s="233">
        <f>HC50+HD50</f>
        <v/>
      </c>
    </row>
    <row r="51" ht="15" customHeight="1" s="150">
      <c r="A51" s="18" t="n"/>
      <c r="B51" s="18" t="n"/>
      <c r="C51" s="18" t="n"/>
      <c r="D51" s="227">
        <f>D52</f>
        <v/>
      </c>
      <c r="E51" s="227">
        <f>E52</f>
        <v/>
      </c>
      <c r="F51" s="227">
        <f>D51+E51</f>
        <v/>
      </c>
      <c r="G51" s="227">
        <f>G52</f>
        <v/>
      </c>
      <c r="H51" s="227">
        <f>H52</f>
        <v/>
      </c>
      <c r="I51" s="227">
        <f>G51+H51</f>
        <v/>
      </c>
      <c r="J51" s="228">
        <f>I51-F51</f>
        <v/>
      </c>
      <c r="K51" s="229">
        <f>IF(F51=0,"",I51/F51)</f>
        <v/>
      </c>
      <c r="L51" s="18" t="n"/>
      <c r="M51" s="227">
        <f>M52</f>
        <v/>
      </c>
      <c r="N51" s="227">
        <f>N52</f>
        <v/>
      </c>
      <c r="O51" s="227">
        <f>M51+N51</f>
        <v/>
      </c>
      <c r="P51" s="227">
        <f>P52</f>
        <v/>
      </c>
      <c r="Q51" s="227">
        <f>Q52</f>
        <v/>
      </c>
      <c r="R51" s="227">
        <f>P51+Q51</f>
        <v/>
      </c>
      <c r="S51" s="228">
        <f>R51-O51</f>
        <v/>
      </c>
      <c r="T51" s="229">
        <f>IF(O51=0,"",R51/O51)</f>
        <v/>
      </c>
      <c r="U51" s="18" t="n"/>
      <c r="V51" s="230">
        <f>V52</f>
        <v/>
      </c>
      <c r="W51" s="230">
        <f>W52</f>
        <v/>
      </c>
      <c r="X51" s="230">
        <f>V51+W51</f>
        <v/>
      </c>
      <c r="Y51" s="230">
        <f>Y52</f>
        <v/>
      </c>
      <c r="Z51" s="230">
        <f>Z52</f>
        <v/>
      </c>
      <c r="AA51" s="230">
        <f>Y51+Z51</f>
        <v/>
      </c>
      <c r="AB51" s="231">
        <f>AA51-X51</f>
        <v/>
      </c>
      <c r="AC51" s="232">
        <f>IF(X51=0,"",AA51/X51)</f>
        <v/>
      </c>
      <c r="AD51" s="25" t="n"/>
      <c r="AE51" s="227">
        <f>AE52</f>
        <v/>
      </c>
      <c r="AF51" s="227">
        <f>AF52</f>
        <v/>
      </c>
      <c r="AG51" s="227">
        <f>AE51+AF51</f>
        <v/>
      </c>
      <c r="AH51" s="227">
        <f>AH52</f>
        <v/>
      </c>
      <c r="AI51" s="227">
        <f>AI52</f>
        <v/>
      </c>
      <c r="AJ51" s="227">
        <f>AH51+AI51</f>
        <v/>
      </c>
      <c r="AK51" s="228">
        <f>AJ51-AG51</f>
        <v/>
      </c>
      <c r="AL51" s="229">
        <f>IF(AG51=0,"",AJ51/AG51)</f>
        <v/>
      </c>
      <c r="AM51" s="18" t="n"/>
      <c r="AN51" s="230">
        <f>AN52</f>
        <v/>
      </c>
      <c r="AO51" s="230">
        <f>AO52</f>
        <v/>
      </c>
      <c r="AP51" s="230">
        <f>AN51+AO51</f>
        <v/>
      </c>
      <c r="AQ51" s="230">
        <f>AQ52</f>
        <v/>
      </c>
      <c r="AR51" s="230">
        <f>AR52</f>
        <v/>
      </c>
      <c r="AS51" s="230">
        <f>AQ51+AR51</f>
        <v/>
      </c>
      <c r="AT51" s="231">
        <f>AS51-AP51</f>
        <v/>
      </c>
      <c r="AU51" s="232">
        <f>IF(AP51=0,"",AS51/AP51)</f>
        <v/>
      </c>
      <c r="AV51" s="25" t="n"/>
      <c r="AW51" s="227">
        <f>AW52</f>
        <v/>
      </c>
      <c r="AX51" s="227">
        <f>AX52</f>
        <v/>
      </c>
      <c r="AY51" s="227">
        <f>AW51+AX51</f>
        <v/>
      </c>
      <c r="AZ51" s="227">
        <f>AZ52</f>
        <v/>
      </c>
      <c r="BA51" s="227">
        <f>BA52</f>
        <v/>
      </c>
      <c r="BB51" s="227">
        <f>AZ51+BA51</f>
        <v/>
      </c>
      <c r="BC51" s="228">
        <f>BB51-AY51</f>
        <v/>
      </c>
      <c r="BD51" s="229">
        <f>IF(AY51=0,"",BB51/AY51)</f>
        <v/>
      </c>
      <c r="BE51" s="18" t="n"/>
      <c r="BF51" s="230">
        <f>BF52</f>
        <v/>
      </c>
      <c r="BG51" s="230">
        <f>BG52</f>
        <v/>
      </c>
      <c r="BH51" s="230">
        <f>BF51+BG51</f>
        <v/>
      </c>
      <c r="BI51" s="230">
        <f>BI52</f>
        <v/>
      </c>
      <c r="BJ51" s="230">
        <f>BJ52</f>
        <v/>
      </c>
      <c r="BK51" s="230">
        <f>BI51+BJ51</f>
        <v/>
      </c>
      <c r="BL51" s="231">
        <f>BK51-BH51</f>
        <v/>
      </c>
      <c r="BM51" s="232">
        <f>IF(BH51=0,"",BK51/BH51)</f>
        <v/>
      </c>
      <c r="BN51" s="25" t="n"/>
      <c r="BO51" s="227">
        <f>BO52</f>
        <v/>
      </c>
      <c r="BP51" s="227">
        <f>BP52</f>
        <v/>
      </c>
      <c r="BQ51" s="227">
        <f>BO51+BP51</f>
        <v/>
      </c>
      <c r="BR51" s="227">
        <f>BR52</f>
        <v/>
      </c>
      <c r="BS51" s="227">
        <f>BS52</f>
        <v/>
      </c>
      <c r="BT51" s="227">
        <f>BR51+BS51</f>
        <v/>
      </c>
      <c r="BU51" s="228">
        <f>BT51-BQ51</f>
        <v/>
      </c>
      <c r="BV51" s="229">
        <f>IF(BQ51=0,"",BT51/BQ51)</f>
        <v/>
      </c>
      <c r="BW51" s="18" t="n"/>
      <c r="BX51" s="230">
        <f>BX52</f>
        <v/>
      </c>
      <c r="BY51" s="230">
        <f>BY52</f>
        <v/>
      </c>
      <c r="BZ51" s="230">
        <f>BX51+BY51</f>
        <v/>
      </c>
      <c r="CA51" s="230">
        <f>CA52</f>
        <v/>
      </c>
      <c r="CB51" s="230">
        <f>CB52</f>
        <v/>
      </c>
      <c r="CC51" s="230">
        <f>CA51+CB51</f>
        <v/>
      </c>
      <c r="CD51" s="231">
        <f>CC51-BZ51</f>
        <v/>
      </c>
      <c r="CE51" s="232">
        <f>IF(BZ51=0,"",CC51/BZ51)</f>
        <v/>
      </c>
      <c r="CF51" s="25" t="n"/>
      <c r="CG51" s="227">
        <f>CG52</f>
        <v/>
      </c>
      <c r="CH51" s="227">
        <f>CH52</f>
        <v/>
      </c>
      <c r="CI51" s="227">
        <f>CG51+CH51</f>
        <v/>
      </c>
      <c r="CJ51" s="227">
        <f>CJ52</f>
        <v/>
      </c>
      <c r="CK51" s="227">
        <f>CK52</f>
        <v/>
      </c>
      <c r="CL51" s="227">
        <f>CJ51+CK51</f>
        <v/>
      </c>
      <c r="CM51" s="228">
        <f>CL51-CI51</f>
        <v/>
      </c>
      <c r="CN51" s="229">
        <f>IF(CI51=0,"",CL51/CI51)</f>
        <v/>
      </c>
      <c r="CO51" s="18" t="n"/>
      <c r="CP51" s="230">
        <f>CP52</f>
        <v/>
      </c>
      <c r="CQ51" s="230">
        <f>CQ52</f>
        <v/>
      </c>
      <c r="CR51" s="230">
        <f>CP51+CQ51</f>
        <v/>
      </c>
      <c r="CS51" s="230">
        <f>CS52</f>
        <v/>
      </c>
      <c r="CT51" s="230">
        <f>CT52</f>
        <v/>
      </c>
      <c r="CU51" s="230">
        <f>CS51+CT51</f>
        <v/>
      </c>
      <c r="CV51" s="231">
        <f>CU51-CR51</f>
        <v/>
      </c>
      <c r="CW51" s="232">
        <f>IF(CR51=0,"",CU51/CR51)</f>
        <v/>
      </c>
      <c r="CX51" s="25" t="n"/>
      <c r="CY51" s="227">
        <f>CY52</f>
        <v/>
      </c>
      <c r="CZ51" s="227">
        <f>CZ52</f>
        <v/>
      </c>
      <c r="DA51" s="227">
        <f>CY51+CZ51</f>
        <v/>
      </c>
      <c r="DB51" s="227">
        <f>DB52</f>
        <v/>
      </c>
      <c r="DC51" s="227">
        <f>DC52</f>
        <v/>
      </c>
      <c r="DD51" s="227">
        <f>DB51+DC51</f>
        <v/>
      </c>
      <c r="DE51" s="228">
        <f>DD51-DA51</f>
        <v/>
      </c>
      <c r="DF51" s="229">
        <f>IF(DA51=0,"",DD51/DA51)</f>
        <v/>
      </c>
      <c r="DG51" s="18" t="n"/>
      <c r="DH51" s="230">
        <f>DH52</f>
        <v/>
      </c>
      <c r="DI51" s="230">
        <f>DI52</f>
        <v/>
      </c>
      <c r="DJ51" s="230">
        <f>DH51+DI51</f>
        <v/>
      </c>
      <c r="DK51" s="230">
        <f>DK52</f>
        <v/>
      </c>
      <c r="DL51" s="230">
        <f>DL52</f>
        <v/>
      </c>
      <c r="DM51" s="230">
        <f>DK51+DL51</f>
        <v/>
      </c>
      <c r="DN51" s="231">
        <f>DM51-DJ51</f>
        <v/>
      </c>
      <c r="DO51" s="232">
        <f>IF(DJ51=0,"",DM51/DJ51)</f>
        <v/>
      </c>
      <c r="DP51" s="25" t="n"/>
      <c r="DQ51" s="227">
        <f>DQ52</f>
        <v/>
      </c>
      <c r="DR51" s="227">
        <f>DR52</f>
        <v/>
      </c>
      <c r="DS51" s="227">
        <f>DQ51+DR51</f>
        <v/>
      </c>
      <c r="DT51" s="227">
        <f>DT52</f>
        <v/>
      </c>
      <c r="DU51" s="227">
        <f>DU52</f>
        <v/>
      </c>
      <c r="DV51" s="227">
        <f>DT51+DU51</f>
        <v/>
      </c>
      <c r="DW51" s="228">
        <f>DV51-DS51</f>
        <v/>
      </c>
      <c r="DX51" s="229">
        <f>IF(DS51=0,"",DV51/DS51)</f>
        <v/>
      </c>
      <c r="DY51" s="18" t="n"/>
      <c r="DZ51" s="230">
        <f>DZ52</f>
        <v/>
      </c>
      <c r="EA51" s="230">
        <f>EA52</f>
        <v/>
      </c>
      <c r="EB51" s="230">
        <f>DZ51+EA51</f>
        <v/>
      </c>
      <c r="EC51" s="230">
        <f>EC52</f>
        <v/>
      </c>
      <c r="ED51" s="230">
        <f>ED52</f>
        <v/>
      </c>
      <c r="EE51" s="230">
        <f>EC51+ED51</f>
        <v/>
      </c>
      <c r="EF51" s="231">
        <f>EE51-EB51</f>
        <v/>
      </c>
      <c r="EG51" s="232">
        <f>IF(EB51=0,"",EE51/EB51)</f>
        <v/>
      </c>
      <c r="EH51" s="25" t="n"/>
      <c r="EI51" s="227">
        <f>EI52</f>
        <v/>
      </c>
      <c r="EJ51" s="227">
        <f>EJ52</f>
        <v/>
      </c>
      <c r="EK51" s="227">
        <f>EI51+EJ51</f>
        <v/>
      </c>
      <c r="EL51" s="227">
        <f>EL52</f>
        <v/>
      </c>
      <c r="EM51" s="227">
        <f>EM52</f>
        <v/>
      </c>
      <c r="EN51" s="227">
        <f>EL51+EM51</f>
        <v/>
      </c>
      <c r="EO51" s="228">
        <f>EN51-EK51</f>
        <v/>
      </c>
      <c r="EP51" s="229">
        <f>IF(EK51=0,"",EN51/EK51)</f>
        <v/>
      </c>
      <c r="EQ51" s="18" t="n"/>
      <c r="ER51" s="230">
        <f>ER52</f>
        <v/>
      </c>
      <c r="ES51" s="230">
        <f>ES52</f>
        <v/>
      </c>
      <c r="ET51" s="230">
        <f>ER51+ES51</f>
        <v/>
      </c>
      <c r="EU51" s="230">
        <f>EU52</f>
        <v/>
      </c>
      <c r="EV51" s="230">
        <f>EV52</f>
        <v/>
      </c>
      <c r="EW51" s="230">
        <f>EU51+EV51</f>
        <v/>
      </c>
      <c r="EX51" s="231">
        <f>EW51-ET51</f>
        <v/>
      </c>
      <c r="EY51" s="232">
        <f>IF(ET51=0,"",EW51/ET51)</f>
        <v/>
      </c>
      <c r="EZ51" s="25" t="n"/>
      <c r="FA51" s="227">
        <f>FA52</f>
        <v/>
      </c>
      <c r="FB51" s="227">
        <f>FB52</f>
        <v/>
      </c>
      <c r="FC51" s="227">
        <f>FA51+FB51</f>
        <v/>
      </c>
      <c r="FD51" s="227">
        <f>FD52</f>
        <v/>
      </c>
      <c r="FE51" s="227">
        <f>FE52</f>
        <v/>
      </c>
      <c r="FF51" s="227">
        <f>FD51+FE51</f>
        <v/>
      </c>
      <c r="FG51" s="228">
        <f>FF51-FC51</f>
        <v/>
      </c>
      <c r="FH51" s="229">
        <f>IF(FC51=0,"",FF51/FC51)</f>
        <v/>
      </c>
      <c r="FI51" s="18" t="n"/>
      <c r="FJ51" s="230">
        <f>FJ52</f>
        <v/>
      </c>
      <c r="FK51" s="230">
        <f>FK52</f>
        <v/>
      </c>
      <c r="FL51" s="230">
        <f>FJ51+FK51</f>
        <v/>
      </c>
      <c r="FM51" s="230">
        <f>FM52</f>
        <v/>
      </c>
      <c r="FN51" s="230">
        <f>FN52</f>
        <v/>
      </c>
      <c r="FO51" s="230">
        <f>FM51+FN51</f>
        <v/>
      </c>
      <c r="FP51" s="231">
        <f>FO51-FL51</f>
        <v/>
      </c>
      <c r="FQ51" s="232">
        <f>IF(FL51=0,"",FO51/FL51)</f>
        <v/>
      </c>
      <c r="FR51" s="25" t="n"/>
      <c r="FS51" s="227">
        <f>FS52</f>
        <v/>
      </c>
      <c r="FT51" s="227">
        <f>FT52</f>
        <v/>
      </c>
      <c r="FU51" s="227">
        <f>FS51+FT51</f>
        <v/>
      </c>
      <c r="FV51" s="227">
        <f>FV52</f>
        <v/>
      </c>
      <c r="FW51" s="227">
        <f>FW52</f>
        <v/>
      </c>
      <c r="FX51" s="227">
        <f>FV51+FW51</f>
        <v/>
      </c>
      <c r="FY51" s="228">
        <f>FX51-FU51</f>
        <v/>
      </c>
      <c r="FZ51" s="229">
        <f>IF(FU51=0,"",FX51/FU51)</f>
        <v/>
      </c>
      <c r="GA51" s="18" t="n"/>
      <c r="GB51" s="230">
        <f>GB52</f>
        <v/>
      </c>
      <c r="GC51" s="230">
        <f>GC52</f>
        <v/>
      </c>
      <c r="GD51" s="230">
        <f>GB51+GC51</f>
        <v/>
      </c>
      <c r="GE51" s="230">
        <f>GE52</f>
        <v/>
      </c>
      <c r="GF51" s="230">
        <f>GF52</f>
        <v/>
      </c>
      <c r="GG51" s="230">
        <f>GE51+GF51</f>
        <v/>
      </c>
      <c r="GH51" s="231">
        <f>GG51-GD51</f>
        <v/>
      </c>
      <c r="GI51" s="232">
        <f>IF(GD51=0,"",GG51/GD51)</f>
        <v/>
      </c>
      <c r="GJ51" s="25" t="n"/>
      <c r="GK51" s="227">
        <f>GK52</f>
        <v/>
      </c>
      <c r="GL51" s="227">
        <f>GL52</f>
        <v/>
      </c>
      <c r="GM51" s="227">
        <f>GK51+GL51</f>
        <v/>
      </c>
      <c r="GN51" s="227">
        <f>GN52</f>
        <v/>
      </c>
      <c r="GO51" s="227">
        <f>GO52</f>
        <v/>
      </c>
      <c r="GP51" s="227">
        <f>GN51+GO51</f>
        <v/>
      </c>
      <c r="GQ51" s="228">
        <f>GP51-GM51</f>
        <v/>
      </c>
      <c r="GR51" s="229">
        <f>IF(GM51=0,"",GP51/GM51)</f>
        <v/>
      </c>
      <c r="GS51" s="18" t="n"/>
      <c r="GT51" s="230">
        <f>GT52</f>
        <v/>
      </c>
      <c r="GU51" s="230">
        <f>GU52</f>
        <v/>
      </c>
      <c r="GV51" s="230">
        <f>GT51+GU51</f>
        <v/>
      </c>
      <c r="GW51" s="230">
        <f>GW52</f>
        <v/>
      </c>
      <c r="GX51" s="230">
        <f>GX52</f>
        <v/>
      </c>
      <c r="GY51" s="230">
        <f>GW51+GX51</f>
        <v/>
      </c>
      <c r="GZ51" s="231">
        <f>GY51-GV51</f>
        <v/>
      </c>
      <c r="HA51" s="232">
        <f>IF(GV51=0,"",GY51/GV51)</f>
        <v/>
      </c>
      <c r="HB51" s="25" t="n"/>
      <c r="HC51" s="227">
        <f>GT51</f>
        <v/>
      </c>
      <c r="HD51" s="227">
        <f>GU51</f>
        <v/>
      </c>
      <c r="HE51" s="227">
        <f>HC51+HD51</f>
        <v/>
      </c>
    </row>
    <row r="52" outlineLevel="1" ht="15" customHeight="1" s="150">
      <c r="A52" s="26" t="n"/>
      <c r="B52" s="26" t="n"/>
      <c r="C52" s="26" t="n"/>
      <c r="D52" s="233" t="n"/>
      <c r="E52" s="233" t="n"/>
      <c r="F52" s="233">
        <f>D52+E52</f>
        <v/>
      </c>
      <c r="G52" s="233" t="n"/>
      <c r="H52" s="233" t="n"/>
      <c r="I52" s="233">
        <f>G52+H52</f>
        <v/>
      </c>
      <c r="J52" s="238">
        <f>I52-F52</f>
        <v/>
      </c>
      <c r="K52" s="235">
        <f>IF(F52=0,"",I52/F52)</f>
        <v/>
      </c>
      <c r="L52" s="26" t="n"/>
      <c r="M52" s="233" t="n"/>
      <c r="N52" s="233" t="n"/>
      <c r="O52" s="233">
        <f>M52+N52</f>
        <v/>
      </c>
      <c r="P52" s="233" t="n"/>
      <c r="Q52" s="233" t="n"/>
      <c r="R52" s="233">
        <f>P52+Q52</f>
        <v/>
      </c>
      <c r="S52" s="238">
        <f>R52-O52</f>
        <v/>
      </c>
      <c r="T52" s="235">
        <f>IF(O52=0,"",R52/O52)</f>
        <v/>
      </c>
      <c r="U52" s="26" t="n"/>
      <c r="V52" s="236">
        <f>D52+M52</f>
        <v/>
      </c>
      <c r="W52" s="236">
        <f>E52+N52</f>
        <v/>
      </c>
      <c r="X52" s="236">
        <f>V52+W52</f>
        <v/>
      </c>
      <c r="Y52" s="236">
        <f>G52+P52</f>
        <v/>
      </c>
      <c r="Z52" s="236">
        <f>H52+Q52</f>
        <v/>
      </c>
      <c r="AA52" s="236">
        <f>Y52+Z52</f>
        <v/>
      </c>
      <c r="AB52" s="239">
        <f>AA52-X52</f>
        <v/>
      </c>
      <c r="AC52" s="237">
        <f>IF(X52=0,"",AA52/X52)</f>
        <v/>
      </c>
      <c r="AD52" s="33" t="n"/>
      <c r="AE52" s="233" t="n"/>
      <c r="AF52" s="233" t="n"/>
      <c r="AG52" s="233">
        <f>AE52+AF52</f>
        <v/>
      </c>
      <c r="AH52" s="233" t="n"/>
      <c r="AI52" s="233" t="n"/>
      <c r="AJ52" s="233">
        <f>AH52+AI52</f>
        <v/>
      </c>
      <c r="AK52" s="238">
        <f>AJ52-AG52</f>
        <v/>
      </c>
      <c r="AL52" s="235">
        <f>IF(AG52=0,"",AJ52/AG52)</f>
        <v/>
      </c>
      <c r="AM52" s="26" t="n"/>
      <c r="AN52" s="236">
        <f>V52+AE52</f>
        <v/>
      </c>
      <c r="AO52" s="236">
        <f>W52+AF52</f>
        <v/>
      </c>
      <c r="AP52" s="236">
        <f>AN52+AO52</f>
        <v/>
      </c>
      <c r="AQ52" s="236">
        <f>Y52+AH52</f>
        <v/>
      </c>
      <c r="AR52" s="236">
        <f>Z52+AI52</f>
        <v/>
      </c>
      <c r="AS52" s="236">
        <f>AQ52+AR52</f>
        <v/>
      </c>
      <c r="AT52" s="239">
        <f>AS52-AP52</f>
        <v/>
      </c>
      <c r="AU52" s="237">
        <f>IF(AP52=0,"",AS52/AP52)</f>
        <v/>
      </c>
      <c r="AV52" s="33" t="n"/>
      <c r="AW52" s="233" t="n"/>
      <c r="AX52" s="233" t="n"/>
      <c r="AY52" s="233">
        <f>AW52+AX52</f>
        <v/>
      </c>
      <c r="AZ52" s="233" t="n"/>
      <c r="BA52" s="233" t="n"/>
      <c r="BB52" s="233">
        <f>AZ52+BA52</f>
        <v/>
      </c>
      <c r="BC52" s="238">
        <f>BB52-AY52</f>
        <v/>
      </c>
      <c r="BD52" s="235">
        <f>IF(AY52=0,"",BB52/AY52)</f>
        <v/>
      </c>
      <c r="BE52" s="26" t="n"/>
      <c r="BF52" s="236">
        <f>AN52+AW52</f>
        <v/>
      </c>
      <c r="BG52" s="236">
        <f>AO52+AX52</f>
        <v/>
      </c>
      <c r="BH52" s="236">
        <f>BF52+BG52</f>
        <v/>
      </c>
      <c r="BI52" s="236">
        <f>AQ52+AZ52</f>
        <v/>
      </c>
      <c r="BJ52" s="236">
        <f>AR52+BA52</f>
        <v/>
      </c>
      <c r="BK52" s="236">
        <f>BI52+BJ52</f>
        <v/>
      </c>
      <c r="BL52" s="239">
        <f>BK52-BH52</f>
        <v/>
      </c>
      <c r="BM52" s="237">
        <f>IF(BH52=0,"",BK52/BH52)</f>
        <v/>
      </c>
      <c r="BN52" s="33" t="n"/>
      <c r="BO52" s="233" t="n"/>
      <c r="BP52" s="233" t="n"/>
      <c r="BQ52" s="233">
        <f>BO52+BP52</f>
        <v/>
      </c>
      <c r="BR52" s="233" t="n"/>
      <c r="BS52" s="233" t="n"/>
      <c r="BT52" s="233">
        <f>BR52+BS52</f>
        <v/>
      </c>
      <c r="BU52" s="238">
        <f>BT52-BQ52</f>
        <v/>
      </c>
      <c r="BV52" s="235">
        <f>IF(BQ52=0,"",BT52/BQ52)</f>
        <v/>
      </c>
      <c r="BW52" s="26" t="n"/>
      <c r="BX52" s="236">
        <f>BF52+BO52</f>
        <v/>
      </c>
      <c r="BY52" s="236">
        <f>BG52+BP52</f>
        <v/>
      </c>
      <c r="BZ52" s="236">
        <f>BX52+BY52</f>
        <v/>
      </c>
      <c r="CA52" s="236">
        <f>BI52+BR52</f>
        <v/>
      </c>
      <c r="CB52" s="236">
        <f>BJ52+BS52</f>
        <v/>
      </c>
      <c r="CC52" s="236">
        <f>CA52+CB52</f>
        <v/>
      </c>
      <c r="CD52" s="239">
        <f>CC52-BZ52</f>
        <v/>
      </c>
      <c r="CE52" s="237">
        <f>IF(BZ52=0,"",CC52/BZ52)</f>
        <v/>
      </c>
      <c r="CF52" s="33" t="n"/>
      <c r="CG52" s="233" t="n"/>
      <c r="CH52" s="233" t="n"/>
      <c r="CI52" s="233">
        <f>CG52+CH52</f>
        <v/>
      </c>
      <c r="CJ52" s="233" t="n"/>
      <c r="CK52" s="233" t="n"/>
      <c r="CL52" s="233">
        <f>CJ52+CK52</f>
        <v/>
      </c>
      <c r="CM52" s="238">
        <f>CL52-CI52</f>
        <v/>
      </c>
      <c r="CN52" s="235">
        <f>IF(CI52=0,"",CL52/CI52)</f>
        <v/>
      </c>
      <c r="CO52" s="26" t="n"/>
      <c r="CP52" s="236">
        <f>BX52+CG52</f>
        <v/>
      </c>
      <c r="CQ52" s="236">
        <f>BY52+CH52</f>
        <v/>
      </c>
      <c r="CR52" s="236">
        <f>CP52+CQ52</f>
        <v/>
      </c>
      <c r="CS52" s="236">
        <f>CA52+CJ52</f>
        <v/>
      </c>
      <c r="CT52" s="236">
        <f>CB52+CK52</f>
        <v/>
      </c>
      <c r="CU52" s="236">
        <f>CS52+CT52</f>
        <v/>
      </c>
      <c r="CV52" s="239">
        <f>CU52-CR52</f>
        <v/>
      </c>
      <c r="CW52" s="237">
        <f>IF(CR52=0,"",CU52/CR52)</f>
        <v/>
      </c>
      <c r="CX52" s="33" t="n"/>
      <c r="CY52" s="233" t="n"/>
      <c r="CZ52" s="233" t="n"/>
      <c r="DA52" s="233">
        <f>CY52+CZ52</f>
        <v/>
      </c>
      <c r="DB52" s="233" t="n"/>
      <c r="DC52" s="233" t="n"/>
      <c r="DD52" s="233">
        <f>DB52+DC52</f>
        <v/>
      </c>
      <c r="DE52" s="238">
        <f>DD52-DA52</f>
        <v/>
      </c>
      <c r="DF52" s="235">
        <f>IF(DA52=0,"",DD52/DA52)</f>
        <v/>
      </c>
      <c r="DG52" s="26" t="n"/>
      <c r="DH52" s="236">
        <f>CP52+CY52</f>
        <v/>
      </c>
      <c r="DI52" s="236">
        <f>CQ52+CZ52</f>
        <v/>
      </c>
      <c r="DJ52" s="236">
        <f>DH52+DI52</f>
        <v/>
      </c>
      <c r="DK52" s="236">
        <f>CS52+DB52</f>
        <v/>
      </c>
      <c r="DL52" s="236">
        <f>CT52+DC52</f>
        <v/>
      </c>
      <c r="DM52" s="236">
        <f>DK52+DL52</f>
        <v/>
      </c>
      <c r="DN52" s="239">
        <f>DM52-DJ52</f>
        <v/>
      </c>
      <c r="DO52" s="237">
        <f>IF(DJ52=0,"",DM52/DJ52)</f>
        <v/>
      </c>
      <c r="DP52" s="33" t="n"/>
      <c r="DQ52" s="233" t="n"/>
      <c r="DR52" s="233" t="n"/>
      <c r="DS52" s="233">
        <f>DQ52+DR52</f>
        <v/>
      </c>
      <c r="DT52" s="233" t="n"/>
      <c r="DU52" s="233" t="n"/>
      <c r="DV52" s="233">
        <f>DT52+DU52</f>
        <v/>
      </c>
      <c r="DW52" s="238">
        <f>DV52-DS52</f>
        <v/>
      </c>
      <c r="DX52" s="235">
        <f>IF(DS52=0,"",DV52/DS52)</f>
        <v/>
      </c>
      <c r="DY52" s="26" t="n"/>
      <c r="DZ52" s="236">
        <f>DH52+DQ52</f>
        <v/>
      </c>
      <c r="EA52" s="236">
        <f>DI52+DR52</f>
        <v/>
      </c>
      <c r="EB52" s="236">
        <f>DZ52+EA52</f>
        <v/>
      </c>
      <c r="EC52" s="236">
        <f>DK52+DT52</f>
        <v/>
      </c>
      <c r="ED52" s="236">
        <f>DL52+DU52</f>
        <v/>
      </c>
      <c r="EE52" s="236">
        <f>EC52+ED52</f>
        <v/>
      </c>
      <c r="EF52" s="239">
        <f>EE52-EB52</f>
        <v/>
      </c>
      <c r="EG52" s="237">
        <f>IF(EB52=0,"",EE52/EB52)</f>
        <v/>
      </c>
      <c r="EH52" s="33" t="n"/>
      <c r="EI52" s="233" t="n"/>
      <c r="EJ52" s="233" t="n"/>
      <c r="EK52" s="233">
        <f>EI52+EJ52</f>
        <v/>
      </c>
      <c r="EL52" s="233" t="n"/>
      <c r="EM52" s="233" t="n"/>
      <c r="EN52" s="233">
        <f>EL52+EM52</f>
        <v/>
      </c>
      <c r="EO52" s="238">
        <f>EN52-EK52</f>
        <v/>
      </c>
      <c r="EP52" s="235">
        <f>IF(EK52=0,"",EN52/EK52)</f>
        <v/>
      </c>
      <c r="EQ52" s="26" t="n"/>
      <c r="ER52" s="236">
        <f>DZ52+EI52</f>
        <v/>
      </c>
      <c r="ES52" s="236">
        <f>EA52+EJ52</f>
        <v/>
      </c>
      <c r="ET52" s="236">
        <f>ER52+ES52</f>
        <v/>
      </c>
      <c r="EU52" s="236">
        <f>EC52+EL52</f>
        <v/>
      </c>
      <c r="EV52" s="236">
        <f>ED52+EM52</f>
        <v/>
      </c>
      <c r="EW52" s="236">
        <f>EU52+EV52</f>
        <v/>
      </c>
      <c r="EX52" s="239">
        <f>EW52-ET52</f>
        <v/>
      </c>
      <c r="EY52" s="237">
        <f>IF(ET52=0,"",EW52/ET52)</f>
        <v/>
      </c>
      <c r="EZ52" s="33" t="n"/>
      <c r="FA52" s="233" t="n"/>
      <c r="FB52" s="233" t="n"/>
      <c r="FC52" s="233">
        <f>FA52+FB52</f>
        <v/>
      </c>
      <c r="FD52" s="233" t="n"/>
      <c r="FE52" s="233" t="n"/>
      <c r="FF52" s="233">
        <f>FD52+FE52</f>
        <v/>
      </c>
      <c r="FG52" s="238">
        <f>FF52-FC52</f>
        <v/>
      </c>
      <c r="FH52" s="235">
        <f>IF(FC52=0,"",FF52/FC52)</f>
        <v/>
      </c>
      <c r="FI52" s="26" t="n"/>
      <c r="FJ52" s="236">
        <f>ER52+FA52</f>
        <v/>
      </c>
      <c r="FK52" s="236">
        <f>ES52+FB52</f>
        <v/>
      </c>
      <c r="FL52" s="236">
        <f>FJ52+FK52</f>
        <v/>
      </c>
      <c r="FM52" s="236">
        <f>EU52+FD52</f>
        <v/>
      </c>
      <c r="FN52" s="236">
        <f>EV52+FE52</f>
        <v/>
      </c>
      <c r="FO52" s="236">
        <f>FM52+FN52</f>
        <v/>
      </c>
      <c r="FP52" s="239">
        <f>FO52-FL52</f>
        <v/>
      </c>
      <c r="FQ52" s="237">
        <f>IF(FL52=0,"",FO52/FL52)</f>
        <v/>
      </c>
      <c r="FR52" s="33" t="n"/>
      <c r="FS52" s="233" t="n"/>
      <c r="FT52" s="233" t="n"/>
      <c r="FU52" s="233">
        <f>FS52+FT52</f>
        <v/>
      </c>
      <c r="FV52" s="233" t="n"/>
      <c r="FW52" s="233" t="n"/>
      <c r="FX52" s="233">
        <f>FV52+FW52</f>
        <v/>
      </c>
      <c r="FY52" s="238">
        <f>FX52-FU52</f>
        <v/>
      </c>
      <c r="FZ52" s="235">
        <f>IF(FU52=0,"",FX52/FU52)</f>
        <v/>
      </c>
      <c r="GA52" s="26" t="n"/>
      <c r="GB52" s="236">
        <f>FJ52+FS52</f>
        <v/>
      </c>
      <c r="GC52" s="236">
        <f>FK52+FT52</f>
        <v/>
      </c>
      <c r="GD52" s="236">
        <f>GB52+GC52</f>
        <v/>
      </c>
      <c r="GE52" s="236">
        <f>FM52+FV52</f>
        <v/>
      </c>
      <c r="GF52" s="236">
        <f>FN52+FW52</f>
        <v/>
      </c>
      <c r="GG52" s="236">
        <f>GE52+GF52</f>
        <v/>
      </c>
      <c r="GH52" s="239">
        <f>GG52-GD52</f>
        <v/>
      </c>
      <c r="GI52" s="237">
        <f>IF(GD52=0,"",GG52/GD52)</f>
        <v/>
      </c>
      <c r="GJ52" s="33" t="n"/>
      <c r="GK52" s="233" t="n"/>
      <c r="GL52" s="233" t="n"/>
      <c r="GM52" s="233">
        <f>GK52+GL52</f>
        <v/>
      </c>
      <c r="GN52" s="233" t="n"/>
      <c r="GO52" s="233" t="n"/>
      <c r="GP52" s="233">
        <f>GN52+GO52</f>
        <v/>
      </c>
      <c r="GQ52" s="238">
        <f>GP52-GM52</f>
        <v/>
      </c>
      <c r="GR52" s="235">
        <f>IF(GM52=0,"",GP52/GM52)</f>
        <v/>
      </c>
      <c r="GS52" s="26" t="n"/>
      <c r="GT52" s="236">
        <f>GB52+GK52</f>
        <v/>
      </c>
      <c r="GU52" s="236">
        <f>GC52+GL52</f>
        <v/>
      </c>
      <c r="GV52" s="236">
        <f>GT52+GU52</f>
        <v/>
      </c>
      <c r="GW52" s="236">
        <f>GE52+GN52</f>
        <v/>
      </c>
      <c r="GX52" s="236">
        <f>GF52+GO52</f>
        <v/>
      </c>
      <c r="GY52" s="236">
        <f>GW52+GX52</f>
        <v/>
      </c>
      <c r="GZ52" s="239">
        <f>GY52-GV52</f>
        <v/>
      </c>
      <c r="HA52" s="237">
        <f>IF(GV52=0,"",GY52/GV52)</f>
        <v/>
      </c>
      <c r="HB52" s="33" t="n"/>
      <c r="HC52" s="233">
        <f>GT52</f>
        <v/>
      </c>
      <c r="HD52" s="233">
        <f>GU52</f>
        <v/>
      </c>
      <c r="HE52" s="233">
        <f>HC52+HD52</f>
        <v/>
      </c>
    </row>
    <row r="53" ht="15" customHeight="1" s="150">
      <c r="A53" s="18" t="n"/>
      <c r="B53" s="18" t="n"/>
      <c r="C53" s="18" t="n"/>
      <c r="D53" s="227">
        <f>D54</f>
        <v/>
      </c>
      <c r="E53" s="227">
        <f>E54</f>
        <v/>
      </c>
      <c r="F53" s="227">
        <f>D53+E53</f>
        <v/>
      </c>
      <c r="G53" s="227">
        <f>G54</f>
        <v/>
      </c>
      <c r="H53" s="227">
        <f>H54</f>
        <v/>
      </c>
      <c r="I53" s="227">
        <f>G53+H53</f>
        <v/>
      </c>
      <c r="J53" s="228">
        <f>I53-F53</f>
        <v/>
      </c>
      <c r="K53" s="229">
        <f>IF(F53=0,"",I53/F53)</f>
        <v/>
      </c>
      <c r="L53" s="18" t="n"/>
      <c r="M53" s="227">
        <f>M54</f>
        <v/>
      </c>
      <c r="N53" s="227">
        <f>N54</f>
        <v/>
      </c>
      <c r="O53" s="227">
        <f>M53+N53</f>
        <v/>
      </c>
      <c r="P53" s="227">
        <f>P54</f>
        <v/>
      </c>
      <c r="Q53" s="227">
        <f>Q54</f>
        <v/>
      </c>
      <c r="R53" s="227">
        <f>P53+Q53</f>
        <v/>
      </c>
      <c r="S53" s="228">
        <f>R53-O53</f>
        <v/>
      </c>
      <c r="T53" s="229">
        <f>IF(O53=0,"",R53/O53)</f>
        <v/>
      </c>
      <c r="U53" s="18" t="n"/>
      <c r="V53" s="230">
        <f>V54</f>
        <v/>
      </c>
      <c r="W53" s="230">
        <f>W54</f>
        <v/>
      </c>
      <c r="X53" s="230">
        <f>V53+W53</f>
        <v/>
      </c>
      <c r="Y53" s="230">
        <f>Y54</f>
        <v/>
      </c>
      <c r="Z53" s="230">
        <f>Z54</f>
        <v/>
      </c>
      <c r="AA53" s="230">
        <f>Y53+Z53</f>
        <v/>
      </c>
      <c r="AB53" s="231">
        <f>AA53-X53</f>
        <v/>
      </c>
      <c r="AC53" s="232">
        <f>IF(X53=0,"",AA53/X53)</f>
        <v/>
      </c>
      <c r="AD53" s="25" t="n"/>
      <c r="AE53" s="227">
        <f>AE54</f>
        <v/>
      </c>
      <c r="AF53" s="227">
        <f>AF54</f>
        <v/>
      </c>
      <c r="AG53" s="227">
        <f>AE53+AF53</f>
        <v/>
      </c>
      <c r="AH53" s="227">
        <f>AH54</f>
        <v/>
      </c>
      <c r="AI53" s="227">
        <f>AI54</f>
        <v/>
      </c>
      <c r="AJ53" s="227">
        <f>AH53+AI53</f>
        <v/>
      </c>
      <c r="AK53" s="228">
        <f>AJ53-AG53</f>
        <v/>
      </c>
      <c r="AL53" s="229">
        <f>IF(AG53=0,"",AJ53/AG53)</f>
        <v/>
      </c>
      <c r="AM53" s="18" t="n"/>
      <c r="AN53" s="230">
        <f>AN54</f>
        <v/>
      </c>
      <c r="AO53" s="230">
        <f>AO54</f>
        <v/>
      </c>
      <c r="AP53" s="230">
        <f>AN53+AO53</f>
        <v/>
      </c>
      <c r="AQ53" s="230">
        <f>AQ54</f>
        <v/>
      </c>
      <c r="AR53" s="230">
        <f>AR54</f>
        <v/>
      </c>
      <c r="AS53" s="230">
        <f>AQ53+AR53</f>
        <v/>
      </c>
      <c r="AT53" s="231">
        <f>AS53-AP53</f>
        <v/>
      </c>
      <c r="AU53" s="232">
        <f>IF(AP53=0,"",AS53/AP53)</f>
        <v/>
      </c>
      <c r="AV53" s="25" t="n"/>
      <c r="AW53" s="227">
        <f>AW54</f>
        <v/>
      </c>
      <c r="AX53" s="227">
        <f>AX54</f>
        <v/>
      </c>
      <c r="AY53" s="227">
        <f>AW53+AX53</f>
        <v/>
      </c>
      <c r="AZ53" s="227">
        <f>AZ54</f>
        <v/>
      </c>
      <c r="BA53" s="227">
        <f>BA54</f>
        <v/>
      </c>
      <c r="BB53" s="227">
        <f>AZ53+BA53</f>
        <v/>
      </c>
      <c r="BC53" s="228">
        <f>BB53-AY53</f>
        <v/>
      </c>
      <c r="BD53" s="229">
        <f>IF(AY53=0,"",BB53/AY53)</f>
        <v/>
      </c>
      <c r="BE53" s="18" t="n"/>
      <c r="BF53" s="230">
        <f>BF54</f>
        <v/>
      </c>
      <c r="BG53" s="230">
        <f>BG54</f>
        <v/>
      </c>
      <c r="BH53" s="230">
        <f>BF53+BG53</f>
        <v/>
      </c>
      <c r="BI53" s="230">
        <f>BI54</f>
        <v/>
      </c>
      <c r="BJ53" s="230">
        <f>BJ54</f>
        <v/>
      </c>
      <c r="BK53" s="230">
        <f>BI53+BJ53</f>
        <v/>
      </c>
      <c r="BL53" s="231">
        <f>BK53-BH53</f>
        <v/>
      </c>
      <c r="BM53" s="232">
        <f>IF(BH53=0,"",BK53/BH53)</f>
        <v/>
      </c>
      <c r="BN53" s="25" t="n"/>
      <c r="BO53" s="227">
        <f>BO54</f>
        <v/>
      </c>
      <c r="BP53" s="227">
        <f>BP54</f>
        <v/>
      </c>
      <c r="BQ53" s="227">
        <f>BO53+BP53</f>
        <v/>
      </c>
      <c r="BR53" s="227">
        <f>BR54</f>
        <v/>
      </c>
      <c r="BS53" s="227">
        <f>BS54</f>
        <v/>
      </c>
      <c r="BT53" s="227">
        <f>BR53+BS53</f>
        <v/>
      </c>
      <c r="BU53" s="228">
        <f>BT53-BQ53</f>
        <v/>
      </c>
      <c r="BV53" s="229">
        <f>IF(BQ53=0,"",BT53/BQ53)</f>
        <v/>
      </c>
      <c r="BW53" s="18" t="n"/>
      <c r="BX53" s="230">
        <f>BX54</f>
        <v/>
      </c>
      <c r="BY53" s="230">
        <f>BY54</f>
        <v/>
      </c>
      <c r="BZ53" s="230">
        <f>BX53+BY53</f>
        <v/>
      </c>
      <c r="CA53" s="230">
        <f>CA54</f>
        <v/>
      </c>
      <c r="CB53" s="230">
        <f>CB54</f>
        <v/>
      </c>
      <c r="CC53" s="230">
        <f>CA53+CB53</f>
        <v/>
      </c>
      <c r="CD53" s="231">
        <f>CC53-BZ53</f>
        <v/>
      </c>
      <c r="CE53" s="232">
        <f>IF(BZ53=0,"",CC53/BZ53)</f>
        <v/>
      </c>
      <c r="CF53" s="25" t="n"/>
      <c r="CG53" s="227">
        <f>CG54</f>
        <v/>
      </c>
      <c r="CH53" s="227">
        <f>CH54</f>
        <v/>
      </c>
      <c r="CI53" s="227">
        <f>CG53+CH53</f>
        <v/>
      </c>
      <c r="CJ53" s="227">
        <f>CJ54</f>
        <v/>
      </c>
      <c r="CK53" s="227">
        <f>CK54</f>
        <v/>
      </c>
      <c r="CL53" s="227">
        <f>CJ53+CK53</f>
        <v/>
      </c>
      <c r="CM53" s="228">
        <f>CL53-CI53</f>
        <v/>
      </c>
      <c r="CN53" s="229">
        <f>IF(CI53=0,"",CL53/CI53)</f>
        <v/>
      </c>
      <c r="CO53" s="18" t="n"/>
      <c r="CP53" s="230">
        <f>CP54</f>
        <v/>
      </c>
      <c r="CQ53" s="230">
        <f>CQ54</f>
        <v/>
      </c>
      <c r="CR53" s="230">
        <f>CP53+CQ53</f>
        <v/>
      </c>
      <c r="CS53" s="230">
        <f>CS54</f>
        <v/>
      </c>
      <c r="CT53" s="230">
        <f>CT54</f>
        <v/>
      </c>
      <c r="CU53" s="230">
        <f>CS53+CT53</f>
        <v/>
      </c>
      <c r="CV53" s="231">
        <f>CU53-CR53</f>
        <v/>
      </c>
      <c r="CW53" s="232">
        <f>IF(CR53=0,"",CU53/CR53)</f>
        <v/>
      </c>
      <c r="CX53" s="25" t="n"/>
      <c r="CY53" s="227">
        <f>CY54</f>
        <v/>
      </c>
      <c r="CZ53" s="227">
        <f>CZ54</f>
        <v/>
      </c>
      <c r="DA53" s="227">
        <f>CY53+CZ53</f>
        <v/>
      </c>
      <c r="DB53" s="227">
        <f>DB54</f>
        <v/>
      </c>
      <c r="DC53" s="227">
        <f>DC54</f>
        <v/>
      </c>
      <c r="DD53" s="227">
        <f>DB53+DC53</f>
        <v/>
      </c>
      <c r="DE53" s="228">
        <f>DD53-DA53</f>
        <v/>
      </c>
      <c r="DF53" s="229">
        <f>IF(DA53=0,"",DD53/DA53)</f>
        <v/>
      </c>
      <c r="DG53" s="18" t="n"/>
      <c r="DH53" s="230">
        <f>DH54</f>
        <v/>
      </c>
      <c r="DI53" s="230">
        <f>DI54</f>
        <v/>
      </c>
      <c r="DJ53" s="230">
        <f>DH53+DI53</f>
        <v/>
      </c>
      <c r="DK53" s="230">
        <f>DK54</f>
        <v/>
      </c>
      <c r="DL53" s="230">
        <f>DL54</f>
        <v/>
      </c>
      <c r="DM53" s="230">
        <f>DK53+DL53</f>
        <v/>
      </c>
      <c r="DN53" s="231">
        <f>DM53-DJ53</f>
        <v/>
      </c>
      <c r="DO53" s="232">
        <f>IF(DJ53=0,"",DM53/DJ53)</f>
        <v/>
      </c>
      <c r="DP53" s="25" t="n"/>
      <c r="DQ53" s="227">
        <f>DQ54</f>
        <v/>
      </c>
      <c r="DR53" s="227">
        <f>DR54</f>
        <v/>
      </c>
      <c r="DS53" s="227">
        <f>DQ53+DR53</f>
        <v/>
      </c>
      <c r="DT53" s="227">
        <f>DT54</f>
        <v/>
      </c>
      <c r="DU53" s="227">
        <f>DU54</f>
        <v/>
      </c>
      <c r="DV53" s="227">
        <f>DT53+DU53</f>
        <v/>
      </c>
      <c r="DW53" s="228">
        <f>DV53-DS53</f>
        <v/>
      </c>
      <c r="DX53" s="229">
        <f>IF(DS53=0,"",DV53/DS53)</f>
        <v/>
      </c>
      <c r="DY53" s="18" t="n"/>
      <c r="DZ53" s="230">
        <f>DZ54</f>
        <v/>
      </c>
      <c r="EA53" s="230">
        <f>EA54</f>
        <v/>
      </c>
      <c r="EB53" s="230">
        <f>DZ53+EA53</f>
        <v/>
      </c>
      <c r="EC53" s="230">
        <f>EC54</f>
        <v/>
      </c>
      <c r="ED53" s="230">
        <f>ED54</f>
        <v/>
      </c>
      <c r="EE53" s="230">
        <f>EC53+ED53</f>
        <v/>
      </c>
      <c r="EF53" s="231">
        <f>EE53-EB53</f>
        <v/>
      </c>
      <c r="EG53" s="232">
        <f>IF(EB53=0,"",EE53/EB53)</f>
        <v/>
      </c>
      <c r="EH53" s="25" t="n"/>
      <c r="EI53" s="227">
        <f>EI54</f>
        <v/>
      </c>
      <c r="EJ53" s="227">
        <f>EJ54</f>
        <v/>
      </c>
      <c r="EK53" s="227">
        <f>EI53+EJ53</f>
        <v/>
      </c>
      <c r="EL53" s="227">
        <f>EL54</f>
        <v/>
      </c>
      <c r="EM53" s="227">
        <f>EM54</f>
        <v/>
      </c>
      <c r="EN53" s="227">
        <f>EL53+EM53</f>
        <v/>
      </c>
      <c r="EO53" s="228">
        <f>EN53-EK53</f>
        <v/>
      </c>
      <c r="EP53" s="229">
        <f>IF(EK53=0,"",EN53/EK53)</f>
        <v/>
      </c>
      <c r="EQ53" s="18" t="n"/>
      <c r="ER53" s="230">
        <f>ER54</f>
        <v/>
      </c>
      <c r="ES53" s="230">
        <f>ES54</f>
        <v/>
      </c>
      <c r="ET53" s="230">
        <f>ER53+ES53</f>
        <v/>
      </c>
      <c r="EU53" s="230">
        <f>EU54</f>
        <v/>
      </c>
      <c r="EV53" s="230">
        <f>EV54</f>
        <v/>
      </c>
      <c r="EW53" s="230">
        <f>EU53+EV53</f>
        <v/>
      </c>
      <c r="EX53" s="231">
        <f>EW53-ET53</f>
        <v/>
      </c>
      <c r="EY53" s="232">
        <f>IF(ET53=0,"",EW53/ET53)</f>
        <v/>
      </c>
      <c r="EZ53" s="25" t="n"/>
      <c r="FA53" s="227">
        <f>FA54</f>
        <v/>
      </c>
      <c r="FB53" s="227">
        <f>FB54</f>
        <v/>
      </c>
      <c r="FC53" s="227">
        <f>FA53+FB53</f>
        <v/>
      </c>
      <c r="FD53" s="227">
        <f>FD54</f>
        <v/>
      </c>
      <c r="FE53" s="227">
        <f>FE54</f>
        <v/>
      </c>
      <c r="FF53" s="227">
        <f>FD53+FE53</f>
        <v/>
      </c>
      <c r="FG53" s="228">
        <f>FF53-FC53</f>
        <v/>
      </c>
      <c r="FH53" s="229">
        <f>IF(FC53=0,"",FF53/FC53)</f>
        <v/>
      </c>
      <c r="FI53" s="18" t="n"/>
      <c r="FJ53" s="230">
        <f>FJ54</f>
        <v/>
      </c>
      <c r="FK53" s="230">
        <f>FK54</f>
        <v/>
      </c>
      <c r="FL53" s="230">
        <f>FJ53+FK53</f>
        <v/>
      </c>
      <c r="FM53" s="230">
        <f>FM54</f>
        <v/>
      </c>
      <c r="FN53" s="230">
        <f>FN54</f>
        <v/>
      </c>
      <c r="FO53" s="230">
        <f>FM53+FN53</f>
        <v/>
      </c>
      <c r="FP53" s="231">
        <f>FO53-FL53</f>
        <v/>
      </c>
      <c r="FQ53" s="232">
        <f>IF(FL53=0,"",FO53/FL53)</f>
        <v/>
      </c>
      <c r="FR53" s="25" t="n"/>
      <c r="FS53" s="227">
        <f>FS54</f>
        <v/>
      </c>
      <c r="FT53" s="227">
        <f>FT54</f>
        <v/>
      </c>
      <c r="FU53" s="227">
        <f>FS53+FT53</f>
        <v/>
      </c>
      <c r="FV53" s="227">
        <f>FV54</f>
        <v/>
      </c>
      <c r="FW53" s="227">
        <f>FW54</f>
        <v/>
      </c>
      <c r="FX53" s="227">
        <f>FV53+FW53</f>
        <v/>
      </c>
      <c r="FY53" s="228">
        <f>FX53-FU53</f>
        <v/>
      </c>
      <c r="FZ53" s="229">
        <f>IF(FU53=0,"",FX53/FU53)</f>
        <v/>
      </c>
      <c r="GA53" s="18" t="n"/>
      <c r="GB53" s="230">
        <f>GB54</f>
        <v/>
      </c>
      <c r="GC53" s="230">
        <f>GC54</f>
        <v/>
      </c>
      <c r="GD53" s="230">
        <f>GB53+GC53</f>
        <v/>
      </c>
      <c r="GE53" s="230">
        <f>GE54</f>
        <v/>
      </c>
      <c r="GF53" s="230">
        <f>GF54</f>
        <v/>
      </c>
      <c r="GG53" s="230">
        <f>GE53+GF53</f>
        <v/>
      </c>
      <c r="GH53" s="231">
        <f>GG53-GD53</f>
        <v/>
      </c>
      <c r="GI53" s="232">
        <f>IF(GD53=0,"",GG53/GD53)</f>
        <v/>
      </c>
      <c r="GJ53" s="25" t="n"/>
      <c r="GK53" s="227">
        <f>GK54</f>
        <v/>
      </c>
      <c r="GL53" s="227">
        <f>GL54</f>
        <v/>
      </c>
      <c r="GM53" s="227">
        <f>GK53+GL53</f>
        <v/>
      </c>
      <c r="GN53" s="227">
        <f>GN54</f>
        <v/>
      </c>
      <c r="GO53" s="227">
        <f>GO54</f>
        <v/>
      </c>
      <c r="GP53" s="227">
        <f>GN53+GO53</f>
        <v/>
      </c>
      <c r="GQ53" s="228">
        <f>GP53-GM53</f>
        <v/>
      </c>
      <c r="GR53" s="229">
        <f>IF(GM53=0,"",GP53/GM53)</f>
        <v/>
      </c>
      <c r="GS53" s="18" t="n"/>
      <c r="GT53" s="230">
        <f>GT54</f>
        <v/>
      </c>
      <c r="GU53" s="230">
        <f>GU54</f>
        <v/>
      </c>
      <c r="GV53" s="230">
        <f>GT53+GU53</f>
        <v/>
      </c>
      <c r="GW53" s="230">
        <f>GW54</f>
        <v/>
      </c>
      <c r="GX53" s="230">
        <f>GX54</f>
        <v/>
      </c>
      <c r="GY53" s="230">
        <f>GW53+GX53</f>
        <v/>
      </c>
      <c r="GZ53" s="231">
        <f>GY53-GV53</f>
        <v/>
      </c>
      <c r="HA53" s="232">
        <f>IF(GV53=0,"",GY53/GV53)</f>
        <v/>
      </c>
      <c r="HB53" s="25" t="n"/>
      <c r="HC53" s="227">
        <f>GT53</f>
        <v/>
      </c>
      <c r="HD53" s="227">
        <f>GU53</f>
        <v/>
      </c>
      <c r="HE53" s="227">
        <f>HC53+HD53</f>
        <v/>
      </c>
    </row>
    <row r="54" outlineLevel="1" ht="15" customHeight="1" s="150">
      <c r="A54" s="26" t="n"/>
      <c r="B54" s="26" t="n"/>
      <c r="C54" s="26" t="n"/>
      <c r="D54" s="233" t="n"/>
      <c r="E54" s="233" t="n"/>
      <c r="F54" s="233">
        <f>D54+E54</f>
        <v/>
      </c>
      <c r="G54" s="233" t="n"/>
      <c r="H54" s="233" t="n"/>
      <c r="I54" s="233">
        <f>G54+H54</f>
        <v/>
      </c>
      <c r="J54" s="238">
        <f>I54-F54</f>
        <v/>
      </c>
      <c r="K54" s="235">
        <f>IF(F54=0,"",I54/F54)</f>
        <v/>
      </c>
      <c r="L54" s="26" t="n"/>
      <c r="M54" s="233" t="n"/>
      <c r="N54" s="233" t="n"/>
      <c r="O54" s="233">
        <f>M54+N54</f>
        <v/>
      </c>
      <c r="P54" s="233" t="n"/>
      <c r="Q54" s="233" t="n"/>
      <c r="R54" s="233">
        <f>P54+Q54</f>
        <v/>
      </c>
      <c r="S54" s="234">
        <f>R54-O54</f>
        <v/>
      </c>
      <c r="T54" s="235">
        <f>IF(O54=0,"",R54/O54)</f>
        <v/>
      </c>
      <c r="U54" s="26" t="n"/>
      <c r="V54" s="236">
        <f>D54+M54</f>
        <v/>
      </c>
      <c r="W54" s="236">
        <f>E54+N54</f>
        <v/>
      </c>
      <c r="X54" s="236">
        <f>V54+W54</f>
        <v/>
      </c>
      <c r="Y54" s="236">
        <f>G54+P54</f>
        <v/>
      </c>
      <c r="Z54" s="236">
        <f>H54+Q54</f>
        <v/>
      </c>
      <c r="AA54" s="236">
        <f>Y54+Z54</f>
        <v/>
      </c>
      <c r="AB54" s="234">
        <f>AA54-X54</f>
        <v/>
      </c>
      <c r="AC54" s="237">
        <f>IF(X54=0,"",AA54/X54)</f>
        <v/>
      </c>
      <c r="AD54" s="33" t="n"/>
      <c r="AE54" s="233" t="n"/>
      <c r="AF54" s="233" t="n"/>
      <c r="AG54" s="233">
        <f>AE54+AF54</f>
        <v/>
      </c>
      <c r="AH54" s="233" t="n"/>
      <c r="AI54" s="233" t="n"/>
      <c r="AJ54" s="233">
        <f>AH54+AI54</f>
        <v/>
      </c>
      <c r="AK54" s="238">
        <f>AJ54-AG54</f>
        <v/>
      </c>
      <c r="AL54" s="235">
        <f>IF(AG54=0,"",AJ54/AG54)</f>
        <v/>
      </c>
      <c r="AM54" s="26" t="n"/>
      <c r="AN54" s="236">
        <f>V54+AE54</f>
        <v/>
      </c>
      <c r="AO54" s="236">
        <f>W54+AF54</f>
        <v/>
      </c>
      <c r="AP54" s="236">
        <f>AN54+AO54</f>
        <v/>
      </c>
      <c r="AQ54" s="236">
        <f>Y54+AH54</f>
        <v/>
      </c>
      <c r="AR54" s="236">
        <f>Z54+AI54</f>
        <v/>
      </c>
      <c r="AS54" s="236">
        <f>AQ54+AR54</f>
        <v/>
      </c>
      <c r="AT54" s="234">
        <f>AS54-AP54</f>
        <v/>
      </c>
      <c r="AU54" s="237">
        <f>IF(AP54=0,"",AS54/AP54)</f>
        <v/>
      </c>
      <c r="AV54" s="33" t="n"/>
      <c r="AW54" s="233" t="n"/>
      <c r="AX54" s="233" t="n"/>
      <c r="AY54" s="233">
        <f>AW54+AX54</f>
        <v/>
      </c>
      <c r="AZ54" s="233" t="n"/>
      <c r="BA54" s="233" t="n"/>
      <c r="BB54" s="233">
        <f>AZ54+BA54</f>
        <v/>
      </c>
      <c r="BC54" s="238">
        <f>BB54-AY54</f>
        <v/>
      </c>
      <c r="BD54" s="235">
        <f>IF(AY54=0,"",BB54/AY54)</f>
        <v/>
      </c>
      <c r="BE54" s="26" t="n"/>
      <c r="BF54" s="236">
        <f>AN54+AW54</f>
        <v/>
      </c>
      <c r="BG54" s="236">
        <f>AO54+AX54</f>
        <v/>
      </c>
      <c r="BH54" s="236">
        <f>BF54+BG54</f>
        <v/>
      </c>
      <c r="BI54" s="236">
        <f>AQ54+AZ54</f>
        <v/>
      </c>
      <c r="BJ54" s="236">
        <f>AR54+BA54</f>
        <v/>
      </c>
      <c r="BK54" s="236">
        <f>BI54+BJ54</f>
        <v/>
      </c>
      <c r="BL54" s="239">
        <f>BK54-BH54</f>
        <v/>
      </c>
      <c r="BM54" s="237">
        <f>IF(BH54=0,"",BK54/BH54)</f>
        <v/>
      </c>
      <c r="BN54" s="33" t="n"/>
      <c r="BO54" s="233" t="n"/>
      <c r="BP54" s="233" t="n"/>
      <c r="BQ54" s="233">
        <f>BO54+BP54</f>
        <v/>
      </c>
      <c r="BR54" s="233" t="n"/>
      <c r="BS54" s="233" t="n"/>
      <c r="BT54" s="233">
        <f>BR54+BS54</f>
        <v/>
      </c>
      <c r="BU54" s="238">
        <f>BT54-BQ54</f>
        <v/>
      </c>
      <c r="BV54" s="235">
        <f>IF(BQ54=0,"",BT54/BQ54)</f>
        <v/>
      </c>
      <c r="BW54" s="26" t="n"/>
      <c r="BX54" s="236">
        <f>BF54+BO54</f>
        <v/>
      </c>
      <c r="BY54" s="236">
        <f>BG54+BP54</f>
        <v/>
      </c>
      <c r="BZ54" s="236">
        <f>BX54+BY54</f>
        <v/>
      </c>
      <c r="CA54" s="236">
        <f>BI54+BR54</f>
        <v/>
      </c>
      <c r="CB54" s="236">
        <f>BJ54+BS54</f>
        <v/>
      </c>
      <c r="CC54" s="236">
        <f>CA54+CB54</f>
        <v/>
      </c>
      <c r="CD54" s="239">
        <f>CC54-BZ54</f>
        <v/>
      </c>
      <c r="CE54" s="237">
        <f>IF(BZ54=0,"",CC54/BZ54)</f>
        <v/>
      </c>
      <c r="CF54" s="33" t="n"/>
      <c r="CG54" s="233" t="n"/>
      <c r="CH54" s="233" t="n"/>
      <c r="CI54" s="233">
        <f>CG54+CH54</f>
        <v/>
      </c>
      <c r="CJ54" s="233" t="n"/>
      <c r="CK54" s="233" t="n"/>
      <c r="CL54" s="233">
        <f>CJ54+CK54</f>
        <v/>
      </c>
      <c r="CM54" s="238">
        <f>CL54-CI54</f>
        <v/>
      </c>
      <c r="CN54" s="235">
        <f>IF(CI54=0,"",CL54/CI54)</f>
        <v/>
      </c>
      <c r="CO54" s="26" t="n"/>
      <c r="CP54" s="236">
        <f>BX54+CG54</f>
        <v/>
      </c>
      <c r="CQ54" s="236">
        <f>BY54+CH54</f>
        <v/>
      </c>
      <c r="CR54" s="236">
        <f>CP54+CQ54</f>
        <v/>
      </c>
      <c r="CS54" s="236">
        <f>CA54+CJ54</f>
        <v/>
      </c>
      <c r="CT54" s="236">
        <f>CB54+CK54</f>
        <v/>
      </c>
      <c r="CU54" s="236">
        <f>CS54+CT54</f>
        <v/>
      </c>
      <c r="CV54" s="239">
        <f>CU54-CR54</f>
        <v/>
      </c>
      <c r="CW54" s="237">
        <f>IF(CR54=0,"",CU54/CR54)</f>
        <v/>
      </c>
      <c r="CX54" s="33" t="n"/>
      <c r="CY54" s="233" t="n"/>
      <c r="CZ54" s="233" t="n"/>
      <c r="DA54" s="233">
        <f>CY54+CZ54</f>
        <v/>
      </c>
      <c r="DB54" s="233" t="n"/>
      <c r="DC54" s="233" t="n"/>
      <c r="DD54" s="233">
        <f>DB54+DC54</f>
        <v/>
      </c>
      <c r="DE54" s="238">
        <f>DD54-DA54</f>
        <v/>
      </c>
      <c r="DF54" s="235">
        <f>IF(DA54=0,"",DD54/DA54)</f>
        <v/>
      </c>
      <c r="DG54" s="26" t="n"/>
      <c r="DH54" s="236">
        <f>CP54+CY54</f>
        <v/>
      </c>
      <c r="DI54" s="236">
        <f>CQ54+CZ54</f>
        <v/>
      </c>
      <c r="DJ54" s="236">
        <f>DH54+DI54</f>
        <v/>
      </c>
      <c r="DK54" s="236">
        <f>CS54+DB54</f>
        <v/>
      </c>
      <c r="DL54" s="236">
        <f>CT54+DC54</f>
        <v/>
      </c>
      <c r="DM54" s="236">
        <f>DK54+DL54</f>
        <v/>
      </c>
      <c r="DN54" s="239">
        <f>DM54-DJ54</f>
        <v/>
      </c>
      <c r="DO54" s="237">
        <f>IF(DJ54=0,"",DM54/DJ54)</f>
        <v/>
      </c>
      <c r="DP54" s="33" t="n"/>
      <c r="DQ54" s="233" t="n"/>
      <c r="DR54" s="233" t="n"/>
      <c r="DS54" s="233">
        <f>DQ54+DR54</f>
        <v/>
      </c>
      <c r="DT54" s="233" t="n"/>
      <c r="DU54" s="233" t="n"/>
      <c r="DV54" s="233">
        <f>DT54+DU54</f>
        <v/>
      </c>
      <c r="DW54" s="238">
        <f>DV54-DS54</f>
        <v/>
      </c>
      <c r="DX54" s="235">
        <f>IF(DS54=0,"",DV54/DS54)</f>
        <v/>
      </c>
      <c r="DY54" s="26" t="n"/>
      <c r="DZ54" s="236">
        <f>DH54+DQ54</f>
        <v/>
      </c>
      <c r="EA54" s="236">
        <f>DI54+DR54</f>
        <v/>
      </c>
      <c r="EB54" s="236">
        <f>DZ54+EA54</f>
        <v/>
      </c>
      <c r="EC54" s="236">
        <f>DK54+DT54</f>
        <v/>
      </c>
      <c r="ED54" s="236">
        <f>DL54+DU54</f>
        <v/>
      </c>
      <c r="EE54" s="236">
        <f>EC54+ED54</f>
        <v/>
      </c>
      <c r="EF54" s="239">
        <f>EE54-EB54</f>
        <v/>
      </c>
      <c r="EG54" s="237">
        <f>IF(EB54=0,"",EE54/EB54)</f>
        <v/>
      </c>
      <c r="EH54" s="33" t="n"/>
      <c r="EI54" s="233" t="n"/>
      <c r="EJ54" s="233" t="n"/>
      <c r="EK54" s="233">
        <f>EI54+EJ54</f>
        <v/>
      </c>
      <c r="EL54" s="233" t="n"/>
      <c r="EM54" s="233" t="n"/>
      <c r="EN54" s="233">
        <f>EL54+EM54</f>
        <v/>
      </c>
      <c r="EO54" s="238">
        <f>EN54-EK54</f>
        <v/>
      </c>
      <c r="EP54" s="235">
        <f>IF(EK54=0,"",EN54/EK54)</f>
        <v/>
      </c>
      <c r="EQ54" s="26" t="n"/>
      <c r="ER54" s="236">
        <f>DZ54+EI54</f>
        <v/>
      </c>
      <c r="ES54" s="236">
        <f>EA54+EJ54</f>
        <v/>
      </c>
      <c r="ET54" s="236">
        <f>ER54+ES54</f>
        <v/>
      </c>
      <c r="EU54" s="236">
        <f>EC54+EL54</f>
        <v/>
      </c>
      <c r="EV54" s="236">
        <f>ED54+EM54</f>
        <v/>
      </c>
      <c r="EW54" s="236">
        <f>EU54+EV54</f>
        <v/>
      </c>
      <c r="EX54" s="239">
        <f>EW54-ET54</f>
        <v/>
      </c>
      <c r="EY54" s="237">
        <f>IF(ET54=0,"",EW54/ET54)</f>
        <v/>
      </c>
      <c r="EZ54" s="33" t="n"/>
      <c r="FA54" s="233" t="n"/>
      <c r="FB54" s="233" t="n"/>
      <c r="FC54" s="233">
        <f>FA54+FB54</f>
        <v/>
      </c>
      <c r="FD54" s="233" t="n"/>
      <c r="FE54" s="233" t="n"/>
      <c r="FF54" s="233">
        <f>FD54+FE54</f>
        <v/>
      </c>
      <c r="FG54" s="238">
        <f>FF54-FC54</f>
        <v/>
      </c>
      <c r="FH54" s="235">
        <f>IF(FC54=0,"",FF54/FC54)</f>
        <v/>
      </c>
      <c r="FI54" s="26" t="n"/>
      <c r="FJ54" s="236">
        <f>ER54+FA54</f>
        <v/>
      </c>
      <c r="FK54" s="236">
        <f>ES54+FB54</f>
        <v/>
      </c>
      <c r="FL54" s="236">
        <f>FJ54+FK54</f>
        <v/>
      </c>
      <c r="FM54" s="236">
        <f>EU54+FD54</f>
        <v/>
      </c>
      <c r="FN54" s="236">
        <f>EV54+FE54</f>
        <v/>
      </c>
      <c r="FO54" s="236">
        <f>FM54+FN54</f>
        <v/>
      </c>
      <c r="FP54" s="239">
        <f>FO54-FL54</f>
        <v/>
      </c>
      <c r="FQ54" s="237">
        <f>IF(FL54=0,"",FO54/FL54)</f>
        <v/>
      </c>
      <c r="FR54" s="33" t="n"/>
      <c r="FS54" s="233" t="n"/>
      <c r="FT54" s="233" t="n"/>
      <c r="FU54" s="233">
        <f>FS54+FT54</f>
        <v/>
      </c>
      <c r="FV54" s="233" t="n"/>
      <c r="FW54" s="233" t="n"/>
      <c r="FX54" s="233">
        <f>FV54+FW54</f>
        <v/>
      </c>
      <c r="FY54" s="238">
        <f>FX54-FU54</f>
        <v/>
      </c>
      <c r="FZ54" s="235">
        <f>IF(FU54=0,"",FX54/FU54)</f>
        <v/>
      </c>
      <c r="GA54" s="26" t="n"/>
      <c r="GB54" s="236">
        <f>FJ54+FS54</f>
        <v/>
      </c>
      <c r="GC54" s="236">
        <f>FK54+FT54</f>
        <v/>
      </c>
      <c r="GD54" s="236">
        <f>GB54+GC54</f>
        <v/>
      </c>
      <c r="GE54" s="236">
        <f>FM54+FV54</f>
        <v/>
      </c>
      <c r="GF54" s="236">
        <f>FN54+FW54</f>
        <v/>
      </c>
      <c r="GG54" s="236">
        <f>GE54+GF54</f>
        <v/>
      </c>
      <c r="GH54" s="239">
        <f>GG54-GD54</f>
        <v/>
      </c>
      <c r="GI54" s="237">
        <f>IF(GD54=0,"",GG54/GD54)</f>
        <v/>
      </c>
      <c r="GJ54" s="33" t="n"/>
      <c r="GK54" s="233" t="n"/>
      <c r="GL54" s="233" t="n"/>
      <c r="GM54" s="233">
        <f>GK54+GL54</f>
        <v/>
      </c>
      <c r="GN54" s="233" t="n"/>
      <c r="GO54" s="233" t="n"/>
      <c r="GP54" s="233">
        <f>GN54+GO54</f>
        <v/>
      </c>
      <c r="GQ54" s="238">
        <f>GP54-GM54</f>
        <v/>
      </c>
      <c r="GR54" s="235">
        <f>IF(GM54=0,"",GP54/GM54)</f>
        <v/>
      </c>
      <c r="GS54" s="26" t="n"/>
      <c r="GT54" s="236">
        <f>GB54+GK54</f>
        <v/>
      </c>
      <c r="GU54" s="236">
        <f>GC54+GL54</f>
        <v/>
      </c>
      <c r="GV54" s="236">
        <f>GT54+GU54</f>
        <v/>
      </c>
      <c r="GW54" s="236">
        <f>GE54+GN54</f>
        <v/>
      </c>
      <c r="GX54" s="236">
        <f>GF54+GO54</f>
        <v/>
      </c>
      <c r="GY54" s="236">
        <f>GW54+GX54</f>
        <v/>
      </c>
      <c r="GZ54" s="239">
        <f>GY54-GV54</f>
        <v/>
      </c>
      <c r="HA54" s="237">
        <f>IF(GV54=0,"",GY54/GV54)</f>
        <v/>
      </c>
      <c r="HB54" s="33" t="n"/>
      <c r="HC54" s="233">
        <f>GT54</f>
        <v/>
      </c>
      <c r="HD54" s="233">
        <f>GU54</f>
        <v/>
      </c>
      <c r="HE54" s="233">
        <f>HC54+HD54</f>
        <v/>
      </c>
    </row>
    <row r="55" ht="15" customHeight="1" s="150">
      <c r="A55" s="18" t="n"/>
      <c r="B55" s="18" t="n"/>
      <c r="C55" s="18" t="n"/>
      <c r="D55" s="227">
        <f>SUM(D56:D66)</f>
        <v/>
      </c>
      <c r="E55" s="227">
        <f>SUM(E56:E66)</f>
        <v/>
      </c>
      <c r="F55" s="227">
        <f>D55+E55</f>
        <v/>
      </c>
      <c r="G55" s="227">
        <f>SUM(G56:G66)</f>
        <v/>
      </c>
      <c r="H55" s="227">
        <f>SUM(H56:H66)</f>
        <v/>
      </c>
      <c r="I55" s="227">
        <f>G55+H55</f>
        <v/>
      </c>
      <c r="J55" s="228">
        <f>I55-F55</f>
        <v/>
      </c>
      <c r="K55" s="229">
        <f>IF(F55=0,"",I55/F55)</f>
        <v/>
      </c>
      <c r="L55" s="18" t="n"/>
      <c r="M55" s="227">
        <f>SUM(M56:M66)</f>
        <v/>
      </c>
      <c r="N55" s="227">
        <f>SUM(N56:N66)</f>
        <v/>
      </c>
      <c r="O55" s="227">
        <f>M55+N55</f>
        <v/>
      </c>
      <c r="P55" s="227">
        <f>SUM(P56:P66)</f>
        <v/>
      </c>
      <c r="Q55" s="227">
        <f>SUM(Q56:Q66)</f>
        <v/>
      </c>
      <c r="R55" s="227">
        <f>P55+Q55</f>
        <v/>
      </c>
      <c r="S55" s="228">
        <f>R55-O55</f>
        <v/>
      </c>
      <c r="T55" s="229">
        <f>IF(O55=0,"",R55/O55)</f>
        <v/>
      </c>
      <c r="U55" s="18" t="n"/>
      <c r="V55" s="230">
        <f>SUM(V56:V66)</f>
        <v/>
      </c>
      <c r="W55" s="230">
        <f>SUM(W56:W66)</f>
        <v/>
      </c>
      <c r="X55" s="230">
        <f>V55+W55</f>
        <v/>
      </c>
      <c r="Y55" s="230">
        <f>SUM(Y56:Y66)</f>
        <v/>
      </c>
      <c r="Z55" s="230">
        <f>SUM(Z56:Z66)</f>
        <v/>
      </c>
      <c r="AA55" s="230">
        <f>Y55+Z55</f>
        <v/>
      </c>
      <c r="AB55" s="231">
        <f>AA55-X55</f>
        <v/>
      </c>
      <c r="AC55" s="232">
        <f>IF(X55=0,"",AA55/X55)</f>
        <v/>
      </c>
      <c r="AD55" s="25" t="n"/>
      <c r="AE55" s="227">
        <f>SUM(AE56:AE66)</f>
        <v/>
      </c>
      <c r="AF55" s="227">
        <f>SUM(AF56:AF66)</f>
        <v/>
      </c>
      <c r="AG55" s="227">
        <f>AE55+AF55</f>
        <v/>
      </c>
      <c r="AH55" s="227">
        <f>SUM(AH56:AH66)</f>
        <v/>
      </c>
      <c r="AI55" s="227">
        <f>SUM(AI56:AI66)</f>
        <v/>
      </c>
      <c r="AJ55" s="227">
        <f>AH55+AI55</f>
        <v/>
      </c>
      <c r="AK55" s="228">
        <f>AJ55-AG55</f>
        <v/>
      </c>
      <c r="AL55" s="229">
        <f>IF(AG55=0,"",AJ55/AG55)</f>
        <v/>
      </c>
      <c r="AM55" s="18" t="n"/>
      <c r="AN55" s="230">
        <f>SUM(AN56:AN66)</f>
        <v/>
      </c>
      <c r="AO55" s="230">
        <f>SUM(AO56:AO66)</f>
        <v/>
      </c>
      <c r="AP55" s="230">
        <f>AN55+AO55</f>
        <v/>
      </c>
      <c r="AQ55" s="230">
        <f>SUM(AQ56:AQ66)</f>
        <v/>
      </c>
      <c r="AR55" s="230">
        <f>SUM(AR56:AR66)</f>
        <v/>
      </c>
      <c r="AS55" s="230">
        <f>AQ55+AR55</f>
        <v/>
      </c>
      <c r="AT55" s="231">
        <f>AS55-AP55</f>
        <v/>
      </c>
      <c r="AU55" s="232">
        <f>IF(AP55=0,"",AS55/AP55)</f>
        <v/>
      </c>
      <c r="AV55" s="25" t="n"/>
      <c r="AW55" s="227">
        <f>SUM(AW56:AW66)</f>
        <v/>
      </c>
      <c r="AX55" s="227">
        <f>SUM(AX56:AX66)</f>
        <v/>
      </c>
      <c r="AY55" s="227">
        <f>AW55+AX55</f>
        <v/>
      </c>
      <c r="AZ55" s="227">
        <f>SUM(AZ56:AZ66)</f>
        <v/>
      </c>
      <c r="BA55" s="227">
        <f>SUM(BA56:BA66)</f>
        <v/>
      </c>
      <c r="BB55" s="227">
        <f>AZ55+BA55</f>
        <v/>
      </c>
      <c r="BC55" s="228">
        <f>BB55-AY55</f>
        <v/>
      </c>
      <c r="BD55" s="229">
        <f>IF(AY55=0,"",BB55/AY55)</f>
        <v/>
      </c>
      <c r="BE55" s="18" t="n"/>
      <c r="BF55" s="230">
        <f>SUM(BF56:BF66)</f>
        <v/>
      </c>
      <c r="BG55" s="230">
        <f>SUM(BG56:BG66)</f>
        <v/>
      </c>
      <c r="BH55" s="230">
        <f>BF55+BG55</f>
        <v/>
      </c>
      <c r="BI55" s="230">
        <f>SUM(BI56:BI66)</f>
        <v/>
      </c>
      <c r="BJ55" s="230">
        <f>SUM(BJ56:BJ66)</f>
        <v/>
      </c>
      <c r="BK55" s="230">
        <f>BI55+BJ55</f>
        <v/>
      </c>
      <c r="BL55" s="231">
        <f>BK55-BH55</f>
        <v/>
      </c>
      <c r="BM55" s="232">
        <f>IF(BH55=0,"",BK55/BH55)</f>
        <v/>
      </c>
      <c r="BN55" s="25" t="n"/>
      <c r="BO55" s="227">
        <f>SUM(BO56:BO66)</f>
        <v/>
      </c>
      <c r="BP55" s="227">
        <f>SUM(BP56:BP66)</f>
        <v/>
      </c>
      <c r="BQ55" s="227">
        <f>BO55+BP55</f>
        <v/>
      </c>
      <c r="BR55" s="227">
        <f>SUM(BR56:BR66)</f>
        <v/>
      </c>
      <c r="BS55" s="227">
        <f>SUM(BS56:BS66)</f>
        <v/>
      </c>
      <c r="BT55" s="227">
        <f>BR55+BS55</f>
        <v/>
      </c>
      <c r="BU55" s="228">
        <f>BT55-BQ55</f>
        <v/>
      </c>
      <c r="BV55" s="229">
        <f>IF(BQ55=0,"",BT55/BQ55)</f>
        <v/>
      </c>
      <c r="BW55" s="18" t="n"/>
      <c r="BX55" s="230">
        <f>SUM(BX56:BX66)</f>
        <v/>
      </c>
      <c r="BY55" s="230">
        <f>SUM(BY56:BY66)</f>
        <v/>
      </c>
      <c r="BZ55" s="230">
        <f>BX55+BY55</f>
        <v/>
      </c>
      <c r="CA55" s="230">
        <f>SUM(CA56:CA66)</f>
        <v/>
      </c>
      <c r="CB55" s="230">
        <f>SUM(CB56:CB66)</f>
        <v/>
      </c>
      <c r="CC55" s="230">
        <f>CA55+CB55</f>
        <v/>
      </c>
      <c r="CD55" s="231">
        <f>CC55-BZ55</f>
        <v/>
      </c>
      <c r="CE55" s="232">
        <f>IF(BZ55=0,"",CC55/BZ55)</f>
        <v/>
      </c>
      <c r="CF55" s="25" t="n"/>
      <c r="CG55" s="227">
        <f>SUM(CG56:CG66)</f>
        <v/>
      </c>
      <c r="CH55" s="227">
        <f>SUM(CH56:CH66)</f>
        <v/>
      </c>
      <c r="CI55" s="227">
        <f>CG55+CH55</f>
        <v/>
      </c>
      <c r="CJ55" s="227">
        <f>SUM(CJ56:CJ66)</f>
        <v/>
      </c>
      <c r="CK55" s="227">
        <f>SUM(CK56:CK66)</f>
        <v/>
      </c>
      <c r="CL55" s="227">
        <f>CJ55+CK55</f>
        <v/>
      </c>
      <c r="CM55" s="228">
        <f>CL55-CI55</f>
        <v/>
      </c>
      <c r="CN55" s="229">
        <f>IF(CI55=0,"",CL55/CI55)</f>
        <v/>
      </c>
      <c r="CO55" s="18" t="n"/>
      <c r="CP55" s="230">
        <f>SUM(CP56:CP66)</f>
        <v/>
      </c>
      <c r="CQ55" s="230">
        <f>SUM(CQ56:CQ66)</f>
        <v/>
      </c>
      <c r="CR55" s="230">
        <f>CP55+CQ55</f>
        <v/>
      </c>
      <c r="CS55" s="230">
        <f>SUM(CS56:CS66)</f>
        <v/>
      </c>
      <c r="CT55" s="230">
        <f>SUM(CT56:CT66)</f>
        <v/>
      </c>
      <c r="CU55" s="230">
        <f>CS55+CT55</f>
        <v/>
      </c>
      <c r="CV55" s="231">
        <f>CU55-CR55</f>
        <v/>
      </c>
      <c r="CW55" s="232">
        <f>IF(CR55=0,"",CU55/CR55)</f>
        <v/>
      </c>
      <c r="CX55" s="25" t="n"/>
      <c r="CY55" s="227">
        <f>SUM(CY56:CY66)</f>
        <v/>
      </c>
      <c r="CZ55" s="227">
        <f>SUM(CZ56:CZ66)</f>
        <v/>
      </c>
      <c r="DA55" s="227">
        <f>CY55+CZ55</f>
        <v/>
      </c>
      <c r="DB55" s="227">
        <f>SUM(DB56:DB66)</f>
        <v/>
      </c>
      <c r="DC55" s="227">
        <f>SUM(DC56:DC66)</f>
        <v/>
      </c>
      <c r="DD55" s="227">
        <f>DB55+DC55</f>
        <v/>
      </c>
      <c r="DE55" s="228">
        <f>DD55-DA55</f>
        <v/>
      </c>
      <c r="DF55" s="229">
        <f>IF(DA55=0,"",DD55/DA55)</f>
        <v/>
      </c>
      <c r="DG55" s="18" t="n"/>
      <c r="DH55" s="230">
        <f>SUM(DH56:DH66)</f>
        <v/>
      </c>
      <c r="DI55" s="230">
        <f>SUM(DI56:DI66)</f>
        <v/>
      </c>
      <c r="DJ55" s="230">
        <f>DH55+DI55</f>
        <v/>
      </c>
      <c r="DK55" s="230">
        <f>SUM(DK56:DK66)</f>
        <v/>
      </c>
      <c r="DL55" s="230">
        <f>SUM(DL56:DL66)</f>
        <v/>
      </c>
      <c r="DM55" s="230">
        <f>DK55+DL55</f>
        <v/>
      </c>
      <c r="DN55" s="231">
        <f>DM55-DJ55</f>
        <v/>
      </c>
      <c r="DO55" s="232">
        <f>IF(DJ55=0,"",DM55/DJ55)</f>
        <v/>
      </c>
      <c r="DP55" s="25" t="n"/>
      <c r="DQ55" s="227">
        <f>SUM(DQ56:DQ66)</f>
        <v/>
      </c>
      <c r="DR55" s="227">
        <f>SUM(DR56:DR66)</f>
        <v/>
      </c>
      <c r="DS55" s="227">
        <f>DQ55+DR55</f>
        <v/>
      </c>
      <c r="DT55" s="227">
        <f>SUM(DT56:DT66)</f>
        <v/>
      </c>
      <c r="DU55" s="227">
        <f>SUM(DU56:DU66)</f>
        <v/>
      </c>
      <c r="DV55" s="227">
        <f>DT55+DU55</f>
        <v/>
      </c>
      <c r="DW55" s="228">
        <f>DV55-DS55</f>
        <v/>
      </c>
      <c r="DX55" s="229">
        <f>IF(DS55=0,"",DV55/DS55)</f>
        <v/>
      </c>
      <c r="DY55" s="18" t="n"/>
      <c r="DZ55" s="230">
        <f>SUM(DZ56:DZ66)</f>
        <v/>
      </c>
      <c r="EA55" s="230">
        <f>SUM(EA56:EA66)</f>
        <v/>
      </c>
      <c r="EB55" s="230">
        <f>DZ55+EA55</f>
        <v/>
      </c>
      <c r="EC55" s="230">
        <f>SUM(EC56:EC66)</f>
        <v/>
      </c>
      <c r="ED55" s="230">
        <f>SUM(ED56:ED66)</f>
        <v/>
      </c>
      <c r="EE55" s="230">
        <f>EC55+ED55</f>
        <v/>
      </c>
      <c r="EF55" s="231">
        <f>EE55-EB55</f>
        <v/>
      </c>
      <c r="EG55" s="232">
        <f>IF(EB55=0,"",EE55/EB55)</f>
        <v/>
      </c>
      <c r="EH55" s="25" t="n"/>
      <c r="EI55" s="227">
        <f>SUM(EI56:EI66)</f>
        <v/>
      </c>
      <c r="EJ55" s="227">
        <f>SUM(EJ56:EJ66)</f>
        <v/>
      </c>
      <c r="EK55" s="227">
        <f>EI55+EJ55</f>
        <v/>
      </c>
      <c r="EL55" s="227">
        <f>SUM(EL56:EL66)</f>
        <v/>
      </c>
      <c r="EM55" s="227">
        <f>SUM(EM56:EM66)</f>
        <v/>
      </c>
      <c r="EN55" s="227">
        <f>EL55+EM55</f>
        <v/>
      </c>
      <c r="EO55" s="228">
        <f>EN55-EK55</f>
        <v/>
      </c>
      <c r="EP55" s="229">
        <f>IF(EK55=0,"",EN55/EK55)</f>
        <v/>
      </c>
      <c r="EQ55" s="18" t="n"/>
      <c r="ER55" s="230">
        <f>SUM(ER56:ER66)</f>
        <v/>
      </c>
      <c r="ES55" s="230">
        <f>SUM(ES56:ES66)</f>
        <v/>
      </c>
      <c r="ET55" s="230">
        <f>ER55+ES55</f>
        <v/>
      </c>
      <c r="EU55" s="230">
        <f>SUM(EU56:EU66)</f>
        <v/>
      </c>
      <c r="EV55" s="230">
        <f>SUM(EV56:EV66)</f>
        <v/>
      </c>
      <c r="EW55" s="230">
        <f>EU55+EV55</f>
        <v/>
      </c>
      <c r="EX55" s="231">
        <f>EW55-ET55</f>
        <v/>
      </c>
      <c r="EY55" s="232">
        <f>IF(ET55=0,"",EW55/ET55)</f>
        <v/>
      </c>
      <c r="EZ55" s="25" t="n"/>
      <c r="FA55" s="227">
        <f>SUM(FA56:FA66)</f>
        <v/>
      </c>
      <c r="FB55" s="227">
        <f>SUM(FB56:FB66)</f>
        <v/>
      </c>
      <c r="FC55" s="227">
        <f>FA55+FB55</f>
        <v/>
      </c>
      <c r="FD55" s="227">
        <f>SUM(FD56:FD66)</f>
        <v/>
      </c>
      <c r="FE55" s="227">
        <f>SUM(FE56:FE66)</f>
        <v/>
      </c>
      <c r="FF55" s="227">
        <f>FD55+FE55</f>
        <v/>
      </c>
      <c r="FG55" s="228">
        <f>FF55-FC55</f>
        <v/>
      </c>
      <c r="FH55" s="229">
        <f>IF(FC55=0,"",FF55/FC55)</f>
        <v/>
      </c>
      <c r="FI55" s="18" t="n"/>
      <c r="FJ55" s="230">
        <f>SUM(FJ56:FJ66)</f>
        <v/>
      </c>
      <c r="FK55" s="230">
        <f>SUM(FK56:FK66)</f>
        <v/>
      </c>
      <c r="FL55" s="230">
        <f>FJ55+FK55</f>
        <v/>
      </c>
      <c r="FM55" s="230">
        <f>SUM(FM56:FM66)</f>
        <v/>
      </c>
      <c r="FN55" s="230">
        <f>SUM(FN56:FN66)</f>
        <v/>
      </c>
      <c r="FO55" s="230">
        <f>FM55+FN55</f>
        <v/>
      </c>
      <c r="FP55" s="231">
        <f>FO55-FL55</f>
        <v/>
      </c>
      <c r="FQ55" s="232">
        <f>IF(FL55=0,"",FO55/FL55)</f>
        <v/>
      </c>
      <c r="FR55" s="25" t="n"/>
      <c r="FS55" s="227">
        <f>SUM(FS56:FS66)</f>
        <v/>
      </c>
      <c r="FT55" s="227">
        <f>SUM(FT56:FT66)</f>
        <v/>
      </c>
      <c r="FU55" s="227">
        <f>FS55+FT55</f>
        <v/>
      </c>
      <c r="FV55" s="227">
        <f>SUM(FV56:FV66)</f>
        <v/>
      </c>
      <c r="FW55" s="227">
        <f>SUM(FW56:FW66)</f>
        <v/>
      </c>
      <c r="FX55" s="227">
        <f>FV55+FW55</f>
        <v/>
      </c>
      <c r="FY55" s="228">
        <f>FX55-FU55</f>
        <v/>
      </c>
      <c r="FZ55" s="229">
        <f>IF(FU55=0,"",FX55/FU55)</f>
        <v/>
      </c>
      <c r="GA55" s="18" t="n"/>
      <c r="GB55" s="230">
        <f>SUM(GB56:GB66)</f>
        <v/>
      </c>
      <c r="GC55" s="230">
        <f>SUM(GC56:GC66)</f>
        <v/>
      </c>
      <c r="GD55" s="230">
        <f>GB55+GC55</f>
        <v/>
      </c>
      <c r="GE55" s="230">
        <f>SUM(GE56:GE66)</f>
        <v/>
      </c>
      <c r="GF55" s="230">
        <f>SUM(GF56:GF66)</f>
        <v/>
      </c>
      <c r="GG55" s="230">
        <f>GE55+GF55</f>
        <v/>
      </c>
      <c r="GH55" s="231">
        <f>GG55-GD55</f>
        <v/>
      </c>
      <c r="GI55" s="232">
        <f>IF(GD55=0,"",GG55/GD55)</f>
        <v/>
      </c>
      <c r="GJ55" s="25" t="n"/>
      <c r="GK55" s="227">
        <f>SUM(GK56:GK66)</f>
        <v/>
      </c>
      <c r="GL55" s="227">
        <f>SUM(GL56:GL66)</f>
        <v/>
      </c>
      <c r="GM55" s="227">
        <f>GK55+GL55</f>
        <v/>
      </c>
      <c r="GN55" s="227">
        <f>SUM(GN56:GN66)</f>
        <v/>
      </c>
      <c r="GO55" s="227">
        <f>SUM(GO56:GO66)</f>
        <v/>
      </c>
      <c r="GP55" s="227">
        <f>GN55+GO55</f>
        <v/>
      </c>
      <c r="GQ55" s="228">
        <f>GP55-GM55</f>
        <v/>
      </c>
      <c r="GR55" s="229">
        <f>IF(GM55=0,"",GP55/GM55)</f>
        <v/>
      </c>
      <c r="GS55" s="18" t="n"/>
      <c r="GT55" s="230">
        <f>SUM(GT56:GT66)</f>
        <v/>
      </c>
      <c r="GU55" s="230">
        <f>SUM(GU56:GU66)</f>
        <v/>
      </c>
      <c r="GV55" s="230">
        <f>GT55+GU55</f>
        <v/>
      </c>
      <c r="GW55" s="230">
        <f>SUM(GW56:GW66)</f>
        <v/>
      </c>
      <c r="GX55" s="230">
        <f>SUM(GX56:GX66)</f>
        <v/>
      </c>
      <c r="GY55" s="230">
        <f>GW55+GX55</f>
        <v/>
      </c>
      <c r="GZ55" s="231">
        <f>GY55-GV55</f>
        <v/>
      </c>
      <c r="HA55" s="232">
        <f>IF(GV55=0,"",GY55/GV55)</f>
        <v/>
      </c>
      <c r="HB55" s="25" t="n"/>
      <c r="HC55" s="227">
        <f>GT55</f>
        <v/>
      </c>
      <c r="HD55" s="227">
        <f>GU55</f>
        <v/>
      </c>
      <c r="HE55" s="227">
        <f>HC55+HD55</f>
        <v/>
      </c>
    </row>
    <row r="56" outlineLevel="1" ht="15" customHeight="1" s="150">
      <c r="A56" s="26" t="n"/>
      <c r="B56" s="26" t="n"/>
      <c r="C56" s="26" t="n"/>
      <c r="D56" s="233" t="n"/>
      <c r="E56" s="233" t="n"/>
      <c r="F56" s="233">
        <f>D56+E56</f>
        <v/>
      </c>
      <c r="G56" s="233" t="n"/>
      <c r="H56" s="233" t="n"/>
      <c r="I56" s="233">
        <f>G56+H56</f>
        <v/>
      </c>
      <c r="J56" s="234">
        <f>I56-F56</f>
        <v/>
      </c>
      <c r="K56" s="235">
        <f>IF(F56=0,"",I56/F56)</f>
        <v/>
      </c>
      <c r="L56" s="26" t="n"/>
      <c r="M56" s="233" t="n"/>
      <c r="N56" s="233" t="n"/>
      <c r="O56" s="233">
        <f>M56+N56</f>
        <v/>
      </c>
      <c r="P56" s="233" t="n"/>
      <c r="Q56" s="233" t="n"/>
      <c r="R56" s="233">
        <f>P56+Q56</f>
        <v/>
      </c>
      <c r="S56" s="238">
        <f>R56-O56</f>
        <v/>
      </c>
      <c r="T56" s="235">
        <f>IF(O56=0,"",R56/O56)</f>
        <v/>
      </c>
      <c r="U56" s="26" t="n"/>
      <c r="V56" s="236">
        <f>D56+M56</f>
        <v/>
      </c>
      <c r="W56" s="236">
        <f>E56+N56</f>
        <v/>
      </c>
      <c r="X56" s="236">
        <f>V56+W56</f>
        <v/>
      </c>
      <c r="Y56" s="236">
        <f>G56+P56</f>
        <v/>
      </c>
      <c r="Z56" s="236">
        <f>H56+Q56</f>
        <v/>
      </c>
      <c r="AA56" s="236">
        <f>Y56+Z56</f>
        <v/>
      </c>
      <c r="AB56" s="234">
        <f>AA56-X56</f>
        <v/>
      </c>
      <c r="AC56" s="237">
        <f>IF(X56=0,"",AA56/X56)</f>
        <v/>
      </c>
      <c r="AD56" s="33" t="n"/>
      <c r="AE56" s="233" t="n"/>
      <c r="AF56" s="233" t="n"/>
      <c r="AG56" s="233">
        <f>AE56+AF56</f>
        <v/>
      </c>
      <c r="AH56" s="233" t="n"/>
      <c r="AI56" s="233" t="n"/>
      <c r="AJ56" s="233">
        <f>AH56+AI56</f>
        <v/>
      </c>
      <c r="AK56" s="238">
        <f>AJ56-AG56</f>
        <v/>
      </c>
      <c r="AL56" s="235">
        <f>IF(AG56=0,"",AJ56/AG56)</f>
        <v/>
      </c>
      <c r="AM56" s="26" t="n"/>
      <c r="AN56" s="236">
        <f>V56+AE56</f>
        <v/>
      </c>
      <c r="AO56" s="236">
        <f>W56+AF56</f>
        <v/>
      </c>
      <c r="AP56" s="236">
        <f>AN56+AO56</f>
        <v/>
      </c>
      <c r="AQ56" s="236">
        <f>Y56+AH56</f>
        <v/>
      </c>
      <c r="AR56" s="236">
        <f>Z56+AI56</f>
        <v/>
      </c>
      <c r="AS56" s="236">
        <f>AQ56+AR56</f>
        <v/>
      </c>
      <c r="AT56" s="234">
        <f>AS56-AP56</f>
        <v/>
      </c>
      <c r="AU56" s="237">
        <f>IF(AP56=0,"",AS56/AP56)</f>
        <v/>
      </c>
      <c r="AV56" s="33" t="n"/>
      <c r="AW56" s="233" t="n"/>
      <c r="AX56" s="233" t="n"/>
      <c r="AY56" s="233">
        <f>AW56+AX56</f>
        <v/>
      </c>
      <c r="AZ56" s="233" t="n"/>
      <c r="BA56" s="233" t="n"/>
      <c r="BB56" s="233">
        <f>AZ56+BA56</f>
        <v/>
      </c>
      <c r="BC56" s="238">
        <f>BB56-AY56</f>
        <v/>
      </c>
      <c r="BD56" s="235">
        <f>IF(AY56=0,"",BB56/AY56)</f>
        <v/>
      </c>
      <c r="BE56" s="26" t="n"/>
      <c r="BF56" s="236">
        <f>AN56+AW56</f>
        <v/>
      </c>
      <c r="BG56" s="236">
        <f>AO56+AX56</f>
        <v/>
      </c>
      <c r="BH56" s="236">
        <f>BF56+BG56</f>
        <v/>
      </c>
      <c r="BI56" s="236">
        <f>AQ56+AZ56</f>
        <v/>
      </c>
      <c r="BJ56" s="236">
        <f>AR56+BA56</f>
        <v/>
      </c>
      <c r="BK56" s="236">
        <f>BI56+BJ56</f>
        <v/>
      </c>
      <c r="BL56" s="239">
        <f>BK56-BH56</f>
        <v/>
      </c>
      <c r="BM56" s="237">
        <f>IF(BH56=0,"",BK56/BH56)</f>
        <v/>
      </c>
      <c r="BN56" s="33" t="n"/>
      <c r="BO56" s="233" t="n"/>
      <c r="BP56" s="233" t="n"/>
      <c r="BQ56" s="233">
        <f>BO56+BP56</f>
        <v/>
      </c>
      <c r="BR56" s="233" t="n"/>
      <c r="BS56" s="233" t="n"/>
      <c r="BT56" s="233">
        <f>BR56+BS56</f>
        <v/>
      </c>
      <c r="BU56" s="238">
        <f>BT56-BQ56</f>
        <v/>
      </c>
      <c r="BV56" s="235">
        <f>IF(BQ56=0,"",BT56/BQ56)</f>
        <v/>
      </c>
      <c r="BW56" s="26" t="n"/>
      <c r="BX56" s="236">
        <f>BF56+BO56</f>
        <v/>
      </c>
      <c r="BY56" s="236">
        <f>BG56+BP56</f>
        <v/>
      </c>
      <c r="BZ56" s="236">
        <f>BX56+BY56</f>
        <v/>
      </c>
      <c r="CA56" s="236">
        <f>BI56+BR56</f>
        <v/>
      </c>
      <c r="CB56" s="236">
        <f>BJ56+BS56</f>
        <v/>
      </c>
      <c r="CC56" s="236">
        <f>CA56+CB56</f>
        <v/>
      </c>
      <c r="CD56" s="239">
        <f>CC56-BZ56</f>
        <v/>
      </c>
      <c r="CE56" s="237">
        <f>IF(BZ56=0,"",CC56/BZ56)</f>
        <v/>
      </c>
      <c r="CF56" s="33" t="n"/>
      <c r="CG56" s="233" t="n"/>
      <c r="CH56" s="233" t="n"/>
      <c r="CI56" s="233">
        <f>CG56+CH56</f>
        <v/>
      </c>
      <c r="CJ56" s="233" t="n"/>
      <c r="CK56" s="233" t="n"/>
      <c r="CL56" s="233">
        <f>CJ56+CK56</f>
        <v/>
      </c>
      <c r="CM56" s="238">
        <f>CL56-CI56</f>
        <v/>
      </c>
      <c r="CN56" s="235">
        <f>IF(CI56=0,"",CL56/CI56)</f>
        <v/>
      </c>
      <c r="CO56" s="26" t="n"/>
      <c r="CP56" s="236">
        <f>BX56+CG56</f>
        <v/>
      </c>
      <c r="CQ56" s="236">
        <f>BY56+CH56</f>
        <v/>
      </c>
      <c r="CR56" s="236">
        <f>CP56+CQ56</f>
        <v/>
      </c>
      <c r="CS56" s="236">
        <f>CA56+CJ56</f>
        <v/>
      </c>
      <c r="CT56" s="236">
        <f>CB56+CK56</f>
        <v/>
      </c>
      <c r="CU56" s="236">
        <f>CS56+CT56</f>
        <v/>
      </c>
      <c r="CV56" s="239">
        <f>CU56-CR56</f>
        <v/>
      </c>
      <c r="CW56" s="237">
        <f>IF(CR56=0,"",CU56/CR56)</f>
        <v/>
      </c>
      <c r="CX56" s="33" t="n"/>
      <c r="CY56" s="233" t="n"/>
      <c r="CZ56" s="233" t="n"/>
      <c r="DA56" s="233">
        <f>CY56+CZ56</f>
        <v/>
      </c>
      <c r="DB56" s="233" t="n"/>
      <c r="DC56" s="233" t="n"/>
      <c r="DD56" s="233">
        <f>DB56+DC56</f>
        <v/>
      </c>
      <c r="DE56" s="238">
        <f>DD56-DA56</f>
        <v/>
      </c>
      <c r="DF56" s="235">
        <f>IF(DA56=0,"",DD56/DA56)</f>
        <v/>
      </c>
      <c r="DG56" s="26" t="n"/>
      <c r="DH56" s="236">
        <f>CP56+CY56</f>
        <v/>
      </c>
      <c r="DI56" s="236">
        <f>CQ56+CZ56</f>
        <v/>
      </c>
      <c r="DJ56" s="236">
        <f>DH56+DI56</f>
        <v/>
      </c>
      <c r="DK56" s="236">
        <f>CS56+DB56</f>
        <v/>
      </c>
      <c r="DL56" s="236">
        <f>CT56+DC56</f>
        <v/>
      </c>
      <c r="DM56" s="236">
        <f>DK56+DL56</f>
        <v/>
      </c>
      <c r="DN56" s="239">
        <f>DM56-DJ56</f>
        <v/>
      </c>
      <c r="DO56" s="237">
        <f>IF(DJ56=0,"",DM56/DJ56)</f>
        <v/>
      </c>
      <c r="DP56" s="33" t="n"/>
      <c r="DQ56" s="233" t="n"/>
      <c r="DR56" s="233" t="n"/>
      <c r="DS56" s="233">
        <f>DQ56+DR56</f>
        <v/>
      </c>
      <c r="DT56" s="233" t="n"/>
      <c r="DU56" s="233" t="n"/>
      <c r="DV56" s="233">
        <f>DT56+DU56</f>
        <v/>
      </c>
      <c r="DW56" s="238">
        <f>DV56-DS56</f>
        <v/>
      </c>
      <c r="DX56" s="235">
        <f>IF(DS56=0,"",DV56/DS56)</f>
        <v/>
      </c>
      <c r="DY56" s="26" t="n"/>
      <c r="DZ56" s="236">
        <f>DH56+DQ56</f>
        <v/>
      </c>
      <c r="EA56" s="236">
        <f>DI56+DR56</f>
        <v/>
      </c>
      <c r="EB56" s="236">
        <f>DZ56+EA56</f>
        <v/>
      </c>
      <c r="EC56" s="236">
        <f>DK56+DT56</f>
        <v/>
      </c>
      <c r="ED56" s="236">
        <f>DL56+DU56</f>
        <v/>
      </c>
      <c r="EE56" s="236">
        <f>EC56+ED56</f>
        <v/>
      </c>
      <c r="EF56" s="239">
        <f>EE56-EB56</f>
        <v/>
      </c>
      <c r="EG56" s="237">
        <f>IF(EB56=0,"",EE56/EB56)</f>
        <v/>
      </c>
      <c r="EH56" s="33" t="n"/>
      <c r="EI56" s="233" t="n"/>
      <c r="EJ56" s="233" t="n"/>
      <c r="EK56" s="233">
        <f>EI56+EJ56</f>
        <v/>
      </c>
      <c r="EL56" s="233" t="n"/>
      <c r="EM56" s="233" t="n"/>
      <c r="EN56" s="233">
        <f>EL56+EM56</f>
        <v/>
      </c>
      <c r="EO56" s="238">
        <f>EN56-EK56</f>
        <v/>
      </c>
      <c r="EP56" s="235">
        <f>IF(EK56=0,"",EN56/EK56)</f>
        <v/>
      </c>
      <c r="EQ56" s="26" t="n"/>
      <c r="ER56" s="236">
        <f>DZ56+EI56</f>
        <v/>
      </c>
      <c r="ES56" s="236">
        <f>EA56+EJ56</f>
        <v/>
      </c>
      <c r="ET56" s="236">
        <f>ER56+ES56</f>
        <v/>
      </c>
      <c r="EU56" s="236">
        <f>EC56+EL56</f>
        <v/>
      </c>
      <c r="EV56" s="236">
        <f>ED56+EM56</f>
        <v/>
      </c>
      <c r="EW56" s="236">
        <f>EU56+EV56</f>
        <v/>
      </c>
      <c r="EX56" s="239">
        <f>EW56-ET56</f>
        <v/>
      </c>
      <c r="EY56" s="237">
        <f>IF(ET56=0,"",EW56/ET56)</f>
        <v/>
      </c>
      <c r="EZ56" s="33" t="n"/>
      <c r="FA56" s="233" t="n"/>
      <c r="FB56" s="233" t="n"/>
      <c r="FC56" s="233">
        <f>FA56+FB56</f>
        <v/>
      </c>
      <c r="FD56" s="233" t="n"/>
      <c r="FE56" s="233" t="n"/>
      <c r="FF56" s="233">
        <f>FD56+FE56</f>
        <v/>
      </c>
      <c r="FG56" s="238">
        <f>FF56-FC56</f>
        <v/>
      </c>
      <c r="FH56" s="235">
        <f>IF(FC56=0,"",FF56/FC56)</f>
        <v/>
      </c>
      <c r="FI56" s="26" t="n"/>
      <c r="FJ56" s="236">
        <f>ER56+FA56</f>
        <v/>
      </c>
      <c r="FK56" s="236">
        <f>ES56+FB56</f>
        <v/>
      </c>
      <c r="FL56" s="236">
        <f>FJ56+FK56</f>
        <v/>
      </c>
      <c r="FM56" s="236">
        <f>EU56+FD56</f>
        <v/>
      </c>
      <c r="FN56" s="236">
        <f>EV56+FE56</f>
        <v/>
      </c>
      <c r="FO56" s="236">
        <f>FM56+FN56</f>
        <v/>
      </c>
      <c r="FP56" s="239">
        <f>FO56-FL56</f>
        <v/>
      </c>
      <c r="FQ56" s="237">
        <f>IF(FL56=0,"",FO56/FL56)</f>
        <v/>
      </c>
      <c r="FR56" s="33" t="n"/>
      <c r="FS56" s="233" t="n"/>
      <c r="FT56" s="233" t="n"/>
      <c r="FU56" s="233">
        <f>FS56+FT56</f>
        <v/>
      </c>
      <c r="FV56" s="233" t="n"/>
      <c r="FW56" s="233" t="n"/>
      <c r="FX56" s="233">
        <f>FV56+FW56</f>
        <v/>
      </c>
      <c r="FY56" s="238">
        <f>FX56-FU56</f>
        <v/>
      </c>
      <c r="FZ56" s="235">
        <f>IF(FU56=0,"",FX56/FU56)</f>
        <v/>
      </c>
      <c r="GA56" s="26" t="n"/>
      <c r="GB56" s="236">
        <f>FJ56+FS56</f>
        <v/>
      </c>
      <c r="GC56" s="236">
        <f>FK56+FT56</f>
        <v/>
      </c>
      <c r="GD56" s="236">
        <f>GB56+GC56</f>
        <v/>
      </c>
      <c r="GE56" s="236">
        <f>FM56+FV56</f>
        <v/>
      </c>
      <c r="GF56" s="236">
        <f>FN56+FW56</f>
        <v/>
      </c>
      <c r="GG56" s="236">
        <f>GE56+GF56</f>
        <v/>
      </c>
      <c r="GH56" s="239">
        <f>GG56-GD56</f>
        <v/>
      </c>
      <c r="GI56" s="237">
        <f>IF(GD56=0,"",GG56/GD56)</f>
        <v/>
      </c>
      <c r="GJ56" s="33" t="n"/>
      <c r="GK56" s="233" t="n"/>
      <c r="GL56" s="233" t="n"/>
      <c r="GM56" s="233">
        <f>GK56+GL56</f>
        <v/>
      </c>
      <c r="GN56" s="233" t="n"/>
      <c r="GO56" s="233" t="n"/>
      <c r="GP56" s="233">
        <f>GN56+GO56</f>
        <v/>
      </c>
      <c r="GQ56" s="238">
        <f>GP56-GM56</f>
        <v/>
      </c>
      <c r="GR56" s="235">
        <f>IF(GM56=0,"",GP56/GM56)</f>
        <v/>
      </c>
      <c r="GS56" s="26" t="n"/>
      <c r="GT56" s="236">
        <f>GB56+GK56</f>
        <v/>
      </c>
      <c r="GU56" s="236">
        <f>GC56+GL56</f>
        <v/>
      </c>
      <c r="GV56" s="236">
        <f>GT56+GU56</f>
        <v/>
      </c>
      <c r="GW56" s="236">
        <f>GE56+GN56</f>
        <v/>
      </c>
      <c r="GX56" s="236">
        <f>GF56+GO56</f>
        <v/>
      </c>
      <c r="GY56" s="236">
        <f>GW56+GX56</f>
        <v/>
      </c>
      <c r="GZ56" s="239">
        <f>GY56-GV56</f>
        <v/>
      </c>
      <c r="HA56" s="237">
        <f>IF(GV56=0,"",GY56/GV56)</f>
        <v/>
      </c>
      <c r="HB56" s="33" t="n"/>
      <c r="HC56" s="233">
        <f>GT56</f>
        <v/>
      </c>
      <c r="HD56" s="233">
        <f>GU56</f>
        <v/>
      </c>
      <c r="HE56" s="233">
        <f>HC56+HD56</f>
        <v/>
      </c>
    </row>
    <row r="57" outlineLevel="1" ht="15" customHeight="1" s="150">
      <c r="A57" s="26" t="n"/>
      <c r="B57" s="26" t="n"/>
      <c r="C57" s="26" t="n"/>
      <c r="D57" s="233" t="n"/>
      <c r="E57" s="233" t="n"/>
      <c r="F57" s="233">
        <f>D57+E57</f>
        <v/>
      </c>
      <c r="G57" s="233" t="n"/>
      <c r="H57" s="233" t="n"/>
      <c r="I57" s="233">
        <f>G57+H57</f>
        <v/>
      </c>
      <c r="J57" s="238">
        <f>I57-F57</f>
        <v/>
      </c>
      <c r="K57" s="235">
        <f>IF(F57=0,"",I57/F57)</f>
        <v/>
      </c>
      <c r="L57" s="26" t="n"/>
      <c r="M57" s="233" t="n"/>
      <c r="N57" s="233" t="n"/>
      <c r="O57" s="233">
        <f>M57+N57</f>
        <v/>
      </c>
      <c r="P57" s="233" t="n"/>
      <c r="Q57" s="233" t="n"/>
      <c r="R57" s="233">
        <f>P57+Q57</f>
        <v/>
      </c>
      <c r="S57" s="238">
        <f>R57-O57</f>
        <v/>
      </c>
      <c r="T57" s="235">
        <f>IF(O57=0,"",R57/O57)</f>
        <v/>
      </c>
      <c r="U57" s="26" t="n"/>
      <c r="V57" s="236">
        <f>D57+M57</f>
        <v/>
      </c>
      <c r="W57" s="236">
        <f>E57+N57</f>
        <v/>
      </c>
      <c r="X57" s="236">
        <f>V57+W57</f>
        <v/>
      </c>
      <c r="Y57" s="236">
        <f>G57+P57</f>
        <v/>
      </c>
      <c r="Z57" s="236">
        <f>H57+Q57</f>
        <v/>
      </c>
      <c r="AA57" s="236">
        <f>Y57+Z57</f>
        <v/>
      </c>
      <c r="AB57" s="239">
        <f>AA57-X57</f>
        <v/>
      </c>
      <c r="AC57" s="237">
        <f>IF(X57=0,"",AA57/X57)</f>
        <v/>
      </c>
      <c r="AD57" s="33" t="n"/>
      <c r="AE57" s="233" t="n"/>
      <c r="AF57" s="233" t="n"/>
      <c r="AG57" s="233">
        <f>AE57+AF57</f>
        <v/>
      </c>
      <c r="AH57" s="233" t="n"/>
      <c r="AI57" s="233" t="n"/>
      <c r="AJ57" s="233">
        <f>AH57+AI57</f>
        <v/>
      </c>
      <c r="AK57" s="238">
        <f>AJ57-AG57</f>
        <v/>
      </c>
      <c r="AL57" s="235">
        <f>IF(AG57=0,"",AJ57/AG57)</f>
        <v/>
      </c>
      <c r="AM57" s="26" t="n"/>
      <c r="AN57" s="236">
        <f>V57+AE57</f>
        <v/>
      </c>
      <c r="AO57" s="236">
        <f>W57+AF57</f>
        <v/>
      </c>
      <c r="AP57" s="236">
        <f>AN57+AO57</f>
        <v/>
      </c>
      <c r="AQ57" s="236">
        <f>Y57+AH57</f>
        <v/>
      </c>
      <c r="AR57" s="236">
        <f>Z57+AI57</f>
        <v/>
      </c>
      <c r="AS57" s="236">
        <f>AQ57+AR57</f>
        <v/>
      </c>
      <c r="AT57" s="239">
        <f>AS57-AP57</f>
        <v/>
      </c>
      <c r="AU57" s="237">
        <f>IF(AP57=0,"",AS57/AP57)</f>
        <v/>
      </c>
      <c r="AV57" s="33" t="n"/>
      <c r="AW57" s="233" t="n"/>
      <c r="AX57" s="233" t="n"/>
      <c r="AY57" s="233">
        <f>AW57+AX57</f>
        <v/>
      </c>
      <c r="AZ57" s="233" t="n"/>
      <c r="BA57" s="233" t="n"/>
      <c r="BB57" s="233">
        <f>AZ57+BA57</f>
        <v/>
      </c>
      <c r="BC57" s="238">
        <f>BB57-AY57</f>
        <v/>
      </c>
      <c r="BD57" s="235">
        <f>IF(AY57=0,"",BB57/AY57)</f>
        <v/>
      </c>
      <c r="BE57" s="26" t="n"/>
      <c r="BF57" s="236">
        <f>AN57+AW57</f>
        <v/>
      </c>
      <c r="BG57" s="236">
        <f>AO57+AX57</f>
        <v/>
      </c>
      <c r="BH57" s="236">
        <f>BF57+BG57</f>
        <v/>
      </c>
      <c r="BI57" s="236">
        <f>AQ57+AZ57</f>
        <v/>
      </c>
      <c r="BJ57" s="236">
        <f>AR57+BA57</f>
        <v/>
      </c>
      <c r="BK57" s="236">
        <f>BI57+BJ57</f>
        <v/>
      </c>
      <c r="BL57" s="239">
        <f>BK57-BH57</f>
        <v/>
      </c>
      <c r="BM57" s="237">
        <f>IF(BH57=0,"",BK57/BH57)</f>
        <v/>
      </c>
      <c r="BN57" s="33" t="n"/>
      <c r="BO57" s="233" t="n"/>
      <c r="BP57" s="233" t="n"/>
      <c r="BQ57" s="233">
        <f>BO57+BP57</f>
        <v/>
      </c>
      <c r="BR57" s="233" t="n"/>
      <c r="BS57" s="233" t="n"/>
      <c r="BT57" s="233">
        <f>BR57+BS57</f>
        <v/>
      </c>
      <c r="BU57" s="238">
        <f>BT57-BQ57</f>
        <v/>
      </c>
      <c r="BV57" s="235">
        <f>IF(BQ57=0,"",BT57/BQ57)</f>
        <v/>
      </c>
      <c r="BW57" s="26" t="n"/>
      <c r="BX57" s="236">
        <f>BF57+BO57</f>
        <v/>
      </c>
      <c r="BY57" s="236">
        <f>BG57+BP57</f>
        <v/>
      </c>
      <c r="BZ57" s="236">
        <f>BX57+BY57</f>
        <v/>
      </c>
      <c r="CA57" s="236">
        <f>BI57+BR57</f>
        <v/>
      </c>
      <c r="CB57" s="236">
        <f>BJ57+BS57</f>
        <v/>
      </c>
      <c r="CC57" s="236">
        <f>CA57+CB57</f>
        <v/>
      </c>
      <c r="CD57" s="239">
        <f>CC57-BZ57</f>
        <v/>
      </c>
      <c r="CE57" s="237">
        <f>IF(BZ57=0,"",CC57/BZ57)</f>
        <v/>
      </c>
      <c r="CF57" s="33" t="n"/>
      <c r="CG57" s="233" t="n"/>
      <c r="CH57" s="233" t="n"/>
      <c r="CI57" s="233">
        <f>CG57+CH57</f>
        <v/>
      </c>
      <c r="CJ57" s="233" t="n"/>
      <c r="CK57" s="233" t="n"/>
      <c r="CL57" s="233">
        <f>CJ57+CK57</f>
        <v/>
      </c>
      <c r="CM57" s="238">
        <f>CL57-CI57</f>
        <v/>
      </c>
      <c r="CN57" s="235">
        <f>IF(CI57=0,"",CL57/CI57)</f>
        <v/>
      </c>
      <c r="CO57" s="26" t="n"/>
      <c r="CP57" s="236">
        <f>BX57+CG57</f>
        <v/>
      </c>
      <c r="CQ57" s="236">
        <f>BY57+CH57</f>
        <v/>
      </c>
      <c r="CR57" s="236">
        <f>CP57+CQ57</f>
        <v/>
      </c>
      <c r="CS57" s="236">
        <f>CA57+CJ57</f>
        <v/>
      </c>
      <c r="CT57" s="236">
        <f>CB57+CK57</f>
        <v/>
      </c>
      <c r="CU57" s="236">
        <f>CS57+CT57</f>
        <v/>
      </c>
      <c r="CV57" s="239">
        <f>CU57-CR57</f>
        <v/>
      </c>
      <c r="CW57" s="237">
        <f>IF(CR57=0,"",CU57/CR57)</f>
        <v/>
      </c>
      <c r="CX57" s="33" t="n"/>
      <c r="CY57" s="233" t="n"/>
      <c r="CZ57" s="233" t="n"/>
      <c r="DA57" s="233">
        <f>CY57+CZ57</f>
        <v/>
      </c>
      <c r="DB57" s="233" t="n"/>
      <c r="DC57" s="233" t="n"/>
      <c r="DD57" s="233">
        <f>DB57+DC57</f>
        <v/>
      </c>
      <c r="DE57" s="238">
        <f>DD57-DA57</f>
        <v/>
      </c>
      <c r="DF57" s="235">
        <f>IF(DA57=0,"",DD57/DA57)</f>
        <v/>
      </c>
      <c r="DG57" s="26" t="n"/>
      <c r="DH57" s="236">
        <f>CP57+CY57</f>
        <v/>
      </c>
      <c r="DI57" s="236">
        <f>CQ57+CZ57</f>
        <v/>
      </c>
      <c r="DJ57" s="236">
        <f>DH57+DI57</f>
        <v/>
      </c>
      <c r="DK57" s="236">
        <f>CS57+DB57</f>
        <v/>
      </c>
      <c r="DL57" s="236">
        <f>CT57+DC57</f>
        <v/>
      </c>
      <c r="DM57" s="236">
        <f>DK57+DL57</f>
        <v/>
      </c>
      <c r="DN57" s="239">
        <f>DM57-DJ57</f>
        <v/>
      </c>
      <c r="DO57" s="237">
        <f>IF(DJ57=0,"",DM57/DJ57)</f>
        <v/>
      </c>
      <c r="DP57" s="33" t="n"/>
      <c r="DQ57" s="233" t="n"/>
      <c r="DR57" s="233" t="n"/>
      <c r="DS57" s="233">
        <f>DQ57+DR57</f>
        <v/>
      </c>
      <c r="DT57" s="233" t="n"/>
      <c r="DU57" s="233" t="n"/>
      <c r="DV57" s="233">
        <f>DT57+DU57</f>
        <v/>
      </c>
      <c r="DW57" s="238">
        <f>DV57-DS57</f>
        <v/>
      </c>
      <c r="DX57" s="235">
        <f>IF(DS57=0,"",DV57/DS57)</f>
        <v/>
      </c>
      <c r="DY57" s="26" t="n"/>
      <c r="DZ57" s="236">
        <f>DH57+DQ57</f>
        <v/>
      </c>
      <c r="EA57" s="236">
        <f>DI57+DR57</f>
        <v/>
      </c>
      <c r="EB57" s="236">
        <f>DZ57+EA57</f>
        <v/>
      </c>
      <c r="EC57" s="236">
        <f>DK57+DT57</f>
        <v/>
      </c>
      <c r="ED57" s="236">
        <f>DL57+DU57</f>
        <v/>
      </c>
      <c r="EE57" s="236">
        <f>EC57+ED57</f>
        <v/>
      </c>
      <c r="EF57" s="239">
        <f>EE57-EB57</f>
        <v/>
      </c>
      <c r="EG57" s="237">
        <f>IF(EB57=0,"",EE57/EB57)</f>
        <v/>
      </c>
      <c r="EH57" s="33" t="n"/>
      <c r="EI57" s="233" t="n"/>
      <c r="EJ57" s="233" t="n"/>
      <c r="EK57" s="233">
        <f>EI57+EJ57</f>
        <v/>
      </c>
      <c r="EL57" s="233" t="n"/>
      <c r="EM57" s="233" t="n"/>
      <c r="EN57" s="233">
        <f>EL57+EM57</f>
        <v/>
      </c>
      <c r="EO57" s="238">
        <f>EN57-EK57</f>
        <v/>
      </c>
      <c r="EP57" s="235">
        <f>IF(EK57=0,"",EN57/EK57)</f>
        <v/>
      </c>
      <c r="EQ57" s="26" t="n"/>
      <c r="ER57" s="236">
        <f>DZ57+EI57</f>
        <v/>
      </c>
      <c r="ES57" s="236">
        <f>EA57+EJ57</f>
        <v/>
      </c>
      <c r="ET57" s="236">
        <f>ER57+ES57</f>
        <v/>
      </c>
      <c r="EU57" s="236">
        <f>EC57+EL57</f>
        <v/>
      </c>
      <c r="EV57" s="236">
        <f>ED57+EM57</f>
        <v/>
      </c>
      <c r="EW57" s="236">
        <f>EU57+EV57</f>
        <v/>
      </c>
      <c r="EX57" s="239">
        <f>EW57-ET57</f>
        <v/>
      </c>
      <c r="EY57" s="237">
        <f>IF(ET57=0,"",EW57/ET57)</f>
        <v/>
      </c>
      <c r="EZ57" s="33" t="n"/>
      <c r="FA57" s="233" t="n"/>
      <c r="FB57" s="233" t="n"/>
      <c r="FC57" s="233">
        <f>FA57+FB57</f>
        <v/>
      </c>
      <c r="FD57" s="233" t="n"/>
      <c r="FE57" s="233" t="n"/>
      <c r="FF57" s="233">
        <f>FD57+FE57</f>
        <v/>
      </c>
      <c r="FG57" s="238">
        <f>FF57-FC57</f>
        <v/>
      </c>
      <c r="FH57" s="235">
        <f>IF(FC57=0,"",FF57/FC57)</f>
        <v/>
      </c>
      <c r="FI57" s="26" t="n"/>
      <c r="FJ57" s="236">
        <f>ER57+FA57</f>
        <v/>
      </c>
      <c r="FK57" s="236">
        <f>ES57+FB57</f>
        <v/>
      </c>
      <c r="FL57" s="236">
        <f>FJ57+FK57</f>
        <v/>
      </c>
      <c r="FM57" s="236">
        <f>EU57+FD57</f>
        <v/>
      </c>
      <c r="FN57" s="236">
        <f>EV57+FE57</f>
        <v/>
      </c>
      <c r="FO57" s="236">
        <f>FM57+FN57</f>
        <v/>
      </c>
      <c r="FP57" s="239">
        <f>FO57-FL57</f>
        <v/>
      </c>
      <c r="FQ57" s="237">
        <f>IF(FL57=0,"",FO57/FL57)</f>
        <v/>
      </c>
      <c r="FR57" s="33" t="n"/>
      <c r="FS57" s="233" t="n"/>
      <c r="FT57" s="233" t="n"/>
      <c r="FU57" s="233">
        <f>FS57+FT57</f>
        <v/>
      </c>
      <c r="FV57" s="233" t="n"/>
      <c r="FW57" s="233" t="n"/>
      <c r="FX57" s="233">
        <f>FV57+FW57</f>
        <v/>
      </c>
      <c r="FY57" s="238">
        <f>FX57-FU57</f>
        <v/>
      </c>
      <c r="FZ57" s="235">
        <f>IF(FU57=0,"",FX57/FU57)</f>
        <v/>
      </c>
      <c r="GA57" s="26" t="n"/>
      <c r="GB57" s="236">
        <f>FJ57+FS57</f>
        <v/>
      </c>
      <c r="GC57" s="236">
        <f>FK57+FT57</f>
        <v/>
      </c>
      <c r="GD57" s="236">
        <f>GB57+GC57</f>
        <v/>
      </c>
      <c r="GE57" s="236">
        <f>FM57+FV57</f>
        <v/>
      </c>
      <c r="GF57" s="236">
        <f>FN57+FW57</f>
        <v/>
      </c>
      <c r="GG57" s="236">
        <f>GE57+GF57</f>
        <v/>
      </c>
      <c r="GH57" s="239">
        <f>GG57-GD57</f>
        <v/>
      </c>
      <c r="GI57" s="237">
        <f>IF(GD57=0,"",GG57/GD57)</f>
        <v/>
      </c>
      <c r="GJ57" s="33" t="n"/>
      <c r="GK57" s="233" t="n"/>
      <c r="GL57" s="233" t="n"/>
      <c r="GM57" s="233">
        <f>GK57+GL57</f>
        <v/>
      </c>
      <c r="GN57" s="233" t="n"/>
      <c r="GO57" s="233" t="n"/>
      <c r="GP57" s="233">
        <f>GN57+GO57</f>
        <v/>
      </c>
      <c r="GQ57" s="238">
        <f>GP57-GM57</f>
        <v/>
      </c>
      <c r="GR57" s="235">
        <f>IF(GM57=0,"",GP57/GM57)</f>
        <v/>
      </c>
      <c r="GS57" s="26" t="n"/>
      <c r="GT57" s="236">
        <f>GB57+GK57</f>
        <v/>
      </c>
      <c r="GU57" s="236">
        <f>GC57+GL57</f>
        <v/>
      </c>
      <c r="GV57" s="236">
        <f>GT57+GU57</f>
        <v/>
      </c>
      <c r="GW57" s="236">
        <f>GE57+GN57</f>
        <v/>
      </c>
      <c r="GX57" s="236">
        <f>GF57+GO57</f>
        <v/>
      </c>
      <c r="GY57" s="236">
        <f>GW57+GX57</f>
        <v/>
      </c>
      <c r="GZ57" s="239">
        <f>GY57-GV57</f>
        <v/>
      </c>
      <c r="HA57" s="237">
        <f>IF(GV57=0,"",GY57/GV57)</f>
        <v/>
      </c>
      <c r="HB57" s="33" t="n"/>
      <c r="HC57" s="233">
        <f>GT57</f>
        <v/>
      </c>
      <c r="HD57" s="233">
        <f>GU57</f>
        <v/>
      </c>
      <c r="HE57" s="233">
        <f>HC57+HD57</f>
        <v/>
      </c>
    </row>
    <row r="58" outlineLevel="1" ht="15" customHeight="1" s="150">
      <c r="A58" s="26" t="n"/>
      <c r="B58" s="26" t="n"/>
      <c r="C58" s="26" t="n"/>
      <c r="D58" s="233" t="n"/>
      <c r="E58" s="233" t="n"/>
      <c r="F58" s="233">
        <f>D58+E58</f>
        <v/>
      </c>
      <c r="G58" s="233" t="n"/>
      <c r="H58" s="233" t="n"/>
      <c r="I58" s="233">
        <f>G58+H58</f>
        <v/>
      </c>
      <c r="J58" s="238">
        <f>I58-F58</f>
        <v/>
      </c>
      <c r="K58" s="235">
        <f>IF(F58=0,"",I58/F58)</f>
        <v/>
      </c>
      <c r="L58" s="26" t="n"/>
      <c r="M58" s="233" t="n"/>
      <c r="N58" s="233" t="n"/>
      <c r="O58" s="233">
        <f>M58+N58</f>
        <v/>
      </c>
      <c r="P58" s="233" t="n"/>
      <c r="Q58" s="233" t="n"/>
      <c r="R58" s="233">
        <f>P58+Q58</f>
        <v/>
      </c>
      <c r="S58" s="238">
        <f>R58-O58</f>
        <v/>
      </c>
      <c r="T58" s="235">
        <f>IF(O58=0,"",R58/O58)</f>
        <v/>
      </c>
      <c r="U58" s="26" t="n"/>
      <c r="V58" s="236">
        <f>D58+M58</f>
        <v/>
      </c>
      <c r="W58" s="236">
        <f>E58+N58</f>
        <v/>
      </c>
      <c r="X58" s="236">
        <f>V58+W58</f>
        <v/>
      </c>
      <c r="Y58" s="236">
        <f>G58+P58</f>
        <v/>
      </c>
      <c r="Z58" s="236">
        <f>H58+Q58</f>
        <v/>
      </c>
      <c r="AA58" s="236">
        <f>Y58+Z58</f>
        <v/>
      </c>
      <c r="AB58" s="239">
        <f>AA58-X58</f>
        <v/>
      </c>
      <c r="AC58" s="237">
        <f>IF(X58=0,"",AA58/X58)</f>
        <v/>
      </c>
      <c r="AD58" s="33" t="n"/>
      <c r="AE58" s="233" t="n"/>
      <c r="AF58" s="233" t="n"/>
      <c r="AG58" s="233">
        <f>AE58+AF58</f>
        <v/>
      </c>
      <c r="AH58" s="233" t="n"/>
      <c r="AI58" s="233" t="n"/>
      <c r="AJ58" s="233">
        <f>AH58+AI58</f>
        <v/>
      </c>
      <c r="AK58" s="238">
        <f>AJ58-AG58</f>
        <v/>
      </c>
      <c r="AL58" s="235">
        <f>IF(AG58=0,"",AJ58/AG58)</f>
        <v/>
      </c>
      <c r="AM58" s="26" t="n"/>
      <c r="AN58" s="236">
        <f>V58+AE58</f>
        <v/>
      </c>
      <c r="AO58" s="236">
        <f>W58+AF58</f>
        <v/>
      </c>
      <c r="AP58" s="236">
        <f>AN58+AO58</f>
        <v/>
      </c>
      <c r="AQ58" s="236">
        <f>Y58+AH58</f>
        <v/>
      </c>
      <c r="AR58" s="236">
        <f>Z58+AI58</f>
        <v/>
      </c>
      <c r="AS58" s="236">
        <f>AQ58+AR58</f>
        <v/>
      </c>
      <c r="AT58" s="239">
        <f>AS58-AP58</f>
        <v/>
      </c>
      <c r="AU58" s="237">
        <f>IF(AP58=0,"",AS58/AP58)</f>
        <v/>
      </c>
      <c r="AV58" s="33" t="n"/>
      <c r="AW58" s="233" t="n"/>
      <c r="AX58" s="233" t="n"/>
      <c r="AY58" s="233">
        <f>AW58+AX58</f>
        <v/>
      </c>
      <c r="AZ58" s="233" t="n"/>
      <c r="BA58" s="233" t="n"/>
      <c r="BB58" s="233">
        <f>AZ58+BA58</f>
        <v/>
      </c>
      <c r="BC58" s="238">
        <f>BB58-AY58</f>
        <v/>
      </c>
      <c r="BD58" s="235">
        <f>IF(AY58=0,"",BB58/AY58)</f>
        <v/>
      </c>
      <c r="BE58" s="26" t="n"/>
      <c r="BF58" s="236">
        <f>AN58+AW58</f>
        <v/>
      </c>
      <c r="BG58" s="236">
        <f>AO58+AX58</f>
        <v/>
      </c>
      <c r="BH58" s="236">
        <f>BF58+BG58</f>
        <v/>
      </c>
      <c r="BI58" s="236">
        <f>AQ58+AZ58</f>
        <v/>
      </c>
      <c r="BJ58" s="236">
        <f>AR58+BA58</f>
        <v/>
      </c>
      <c r="BK58" s="236">
        <f>BI58+BJ58</f>
        <v/>
      </c>
      <c r="BL58" s="239">
        <f>BK58-BH58</f>
        <v/>
      </c>
      <c r="BM58" s="237">
        <f>IF(BH58=0,"",BK58/BH58)</f>
        <v/>
      </c>
      <c r="BN58" s="33" t="n"/>
      <c r="BO58" s="233" t="n"/>
      <c r="BP58" s="233" t="n"/>
      <c r="BQ58" s="233">
        <f>BO58+BP58</f>
        <v/>
      </c>
      <c r="BR58" s="233" t="n"/>
      <c r="BS58" s="233" t="n"/>
      <c r="BT58" s="233">
        <f>BR58+BS58</f>
        <v/>
      </c>
      <c r="BU58" s="238">
        <f>BT58-BQ58</f>
        <v/>
      </c>
      <c r="BV58" s="235">
        <f>IF(BQ58=0,"",BT58/BQ58)</f>
        <v/>
      </c>
      <c r="BW58" s="26" t="n"/>
      <c r="BX58" s="236">
        <f>BF58+BO58</f>
        <v/>
      </c>
      <c r="BY58" s="236">
        <f>BG58+BP58</f>
        <v/>
      </c>
      <c r="BZ58" s="236">
        <f>BX58+BY58</f>
        <v/>
      </c>
      <c r="CA58" s="236">
        <f>BI58+BR58</f>
        <v/>
      </c>
      <c r="CB58" s="236">
        <f>BJ58+BS58</f>
        <v/>
      </c>
      <c r="CC58" s="236">
        <f>CA58+CB58</f>
        <v/>
      </c>
      <c r="CD58" s="239">
        <f>CC58-BZ58</f>
        <v/>
      </c>
      <c r="CE58" s="237">
        <f>IF(BZ58=0,"",CC58/BZ58)</f>
        <v/>
      </c>
      <c r="CF58" s="33" t="n"/>
      <c r="CG58" s="233" t="n"/>
      <c r="CH58" s="233" t="n"/>
      <c r="CI58" s="233">
        <f>CG58+CH58</f>
        <v/>
      </c>
      <c r="CJ58" s="233" t="n"/>
      <c r="CK58" s="233" t="n"/>
      <c r="CL58" s="233">
        <f>CJ58+CK58</f>
        <v/>
      </c>
      <c r="CM58" s="238">
        <f>CL58-CI58</f>
        <v/>
      </c>
      <c r="CN58" s="235">
        <f>IF(CI58=0,"",CL58/CI58)</f>
        <v/>
      </c>
      <c r="CO58" s="26" t="n"/>
      <c r="CP58" s="236">
        <f>BX58+CG58</f>
        <v/>
      </c>
      <c r="CQ58" s="236">
        <f>BY58+CH58</f>
        <v/>
      </c>
      <c r="CR58" s="236">
        <f>CP58+CQ58</f>
        <v/>
      </c>
      <c r="CS58" s="236">
        <f>CA58+CJ58</f>
        <v/>
      </c>
      <c r="CT58" s="236">
        <f>CB58+CK58</f>
        <v/>
      </c>
      <c r="CU58" s="236">
        <f>CS58+CT58</f>
        <v/>
      </c>
      <c r="CV58" s="239">
        <f>CU58-CR58</f>
        <v/>
      </c>
      <c r="CW58" s="237">
        <f>IF(CR58=0,"",CU58/CR58)</f>
        <v/>
      </c>
      <c r="CX58" s="33" t="n"/>
      <c r="CY58" s="233" t="n"/>
      <c r="CZ58" s="233" t="n"/>
      <c r="DA58" s="233">
        <f>CY58+CZ58</f>
        <v/>
      </c>
      <c r="DB58" s="233" t="n"/>
      <c r="DC58" s="233" t="n"/>
      <c r="DD58" s="233">
        <f>DB58+DC58</f>
        <v/>
      </c>
      <c r="DE58" s="238">
        <f>DD58-DA58</f>
        <v/>
      </c>
      <c r="DF58" s="235">
        <f>IF(DA58=0,"",DD58/DA58)</f>
        <v/>
      </c>
      <c r="DG58" s="26" t="n"/>
      <c r="DH58" s="236">
        <f>CP58+CY58</f>
        <v/>
      </c>
      <c r="DI58" s="236">
        <f>CQ58+CZ58</f>
        <v/>
      </c>
      <c r="DJ58" s="236">
        <f>DH58+DI58</f>
        <v/>
      </c>
      <c r="DK58" s="236">
        <f>CS58+DB58</f>
        <v/>
      </c>
      <c r="DL58" s="236">
        <f>CT58+DC58</f>
        <v/>
      </c>
      <c r="DM58" s="236">
        <f>DK58+DL58</f>
        <v/>
      </c>
      <c r="DN58" s="239">
        <f>DM58-DJ58</f>
        <v/>
      </c>
      <c r="DO58" s="237">
        <f>IF(DJ58=0,"",DM58/DJ58)</f>
        <v/>
      </c>
      <c r="DP58" s="33" t="n"/>
      <c r="DQ58" s="233" t="n"/>
      <c r="DR58" s="233" t="n"/>
      <c r="DS58" s="233">
        <f>DQ58+DR58</f>
        <v/>
      </c>
      <c r="DT58" s="233" t="n"/>
      <c r="DU58" s="233" t="n"/>
      <c r="DV58" s="233">
        <f>DT58+DU58</f>
        <v/>
      </c>
      <c r="DW58" s="238">
        <f>DV58-DS58</f>
        <v/>
      </c>
      <c r="DX58" s="235">
        <f>IF(DS58=0,"",DV58/DS58)</f>
        <v/>
      </c>
      <c r="DY58" s="26" t="n"/>
      <c r="DZ58" s="236">
        <f>DH58+DQ58</f>
        <v/>
      </c>
      <c r="EA58" s="236">
        <f>DI58+DR58</f>
        <v/>
      </c>
      <c r="EB58" s="236">
        <f>DZ58+EA58</f>
        <v/>
      </c>
      <c r="EC58" s="236">
        <f>DK58+DT58</f>
        <v/>
      </c>
      <c r="ED58" s="236">
        <f>DL58+DU58</f>
        <v/>
      </c>
      <c r="EE58" s="236">
        <f>EC58+ED58</f>
        <v/>
      </c>
      <c r="EF58" s="239">
        <f>EE58-EB58</f>
        <v/>
      </c>
      <c r="EG58" s="237">
        <f>IF(EB58=0,"",EE58/EB58)</f>
        <v/>
      </c>
      <c r="EH58" s="33" t="n"/>
      <c r="EI58" s="233" t="n"/>
      <c r="EJ58" s="233" t="n"/>
      <c r="EK58" s="233">
        <f>EI58+EJ58</f>
        <v/>
      </c>
      <c r="EL58" s="233" t="n"/>
      <c r="EM58" s="233" t="n"/>
      <c r="EN58" s="233">
        <f>EL58+EM58</f>
        <v/>
      </c>
      <c r="EO58" s="238">
        <f>EN58-EK58</f>
        <v/>
      </c>
      <c r="EP58" s="235">
        <f>IF(EK58=0,"",EN58/EK58)</f>
        <v/>
      </c>
      <c r="EQ58" s="26" t="n"/>
      <c r="ER58" s="236">
        <f>DZ58+EI58</f>
        <v/>
      </c>
      <c r="ES58" s="236">
        <f>EA58+EJ58</f>
        <v/>
      </c>
      <c r="ET58" s="236">
        <f>ER58+ES58</f>
        <v/>
      </c>
      <c r="EU58" s="236">
        <f>EC58+EL58</f>
        <v/>
      </c>
      <c r="EV58" s="236">
        <f>ED58+EM58</f>
        <v/>
      </c>
      <c r="EW58" s="236">
        <f>EU58+EV58</f>
        <v/>
      </c>
      <c r="EX58" s="239">
        <f>EW58-ET58</f>
        <v/>
      </c>
      <c r="EY58" s="237">
        <f>IF(ET58=0,"",EW58/ET58)</f>
        <v/>
      </c>
      <c r="EZ58" s="33" t="n"/>
      <c r="FA58" s="233" t="n"/>
      <c r="FB58" s="233" t="n"/>
      <c r="FC58" s="233">
        <f>FA58+FB58</f>
        <v/>
      </c>
      <c r="FD58" s="233" t="n"/>
      <c r="FE58" s="233" t="n"/>
      <c r="FF58" s="233">
        <f>FD58+FE58</f>
        <v/>
      </c>
      <c r="FG58" s="238">
        <f>FF58-FC58</f>
        <v/>
      </c>
      <c r="FH58" s="235">
        <f>IF(FC58=0,"",FF58/FC58)</f>
        <v/>
      </c>
      <c r="FI58" s="26" t="n"/>
      <c r="FJ58" s="236">
        <f>ER58+FA58</f>
        <v/>
      </c>
      <c r="FK58" s="236">
        <f>ES58+FB58</f>
        <v/>
      </c>
      <c r="FL58" s="236">
        <f>FJ58+FK58</f>
        <v/>
      </c>
      <c r="FM58" s="236">
        <f>EU58+FD58</f>
        <v/>
      </c>
      <c r="FN58" s="236">
        <f>EV58+FE58</f>
        <v/>
      </c>
      <c r="FO58" s="236">
        <f>FM58+FN58</f>
        <v/>
      </c>
      <c r="FP58" s="239">
        <f>FO58-FL58</f>
        <v/>
      </c>
      <c r="FQ58" s="237">
        <f>IF(FL58=0,"",FO58/FL58)</f>
        <v/>
      </c>
      <c r="FR58" s="33" t="n"/>
      <c r="FS58" s="233" t="n"/>
      <c r="FT58" s="233" t="n"/>
      <c r="FU58" s="233">
        <f>FS58+FT58</f>
        <v/>
      </c>
      <c r="FV58" s="233" t="n"/>
      <c r="FW58" s="233" t="n"/>
      <c r="FX58" s="233">
        <f>FV58+FW58</f>
        <v/>
      </c>
      <c r="FY58" s="238">
        <f>FX58-FU58</f>
        <v/>
      </c>
      <c r="FZ58" s="235">
        <f>IF(FU58=0,"",FX58/FU58)</f>
        <v/>
      </c>
      <c r="GA58" s="26" t="n"/>
      <c r="GB58" s="236">
        <f>FJ58+FS58</f>
        <v/>
      </c>
      <c r="GC58" s="236">
        <f>FK58+FT58</f>
        <v/>
      </c>
      <c r="GD58" s="236">
        <f>GB58+GC58</f>
        <v/>
      </c>
      <c r="GE58" s="236">
        <f>FM58+FV58</f>
        <v/>
      </c>
      <c r="GF58" s="236">
        <f>FN58+FW58</f>
        <v/>
      </c>
      <c r="GG58" s="236">
        <f>GE58+GF58</f>
        <v/>
      </c>
      <c r="GH58" s="239">
        <f>GG58-GD58</f>
        <v/>
      </c>
      <c r="GI58" s="237">
        <f>IF(GD58=0,"",GG58/GD58)</f>
        <v/>
      </c>
      <c r="GJ58" s="33" t="n"/>
      <c r="GK58" s="233" t="n"/>
      <c r="GL58" s="233" t="n"/>
      <c r="GM58" s="233">
        <f>GK58+GL58</f>
        <v/>
      </c>
      <c r="GN58" s="233" t="n"/>
      <c r="GO58" s="233" t="n"/>
      <c r="GP58" s="233">
        <f>GN58+GO58</f>
        <v/>
      </c>
      <c r="GQ58" s="238">
        <f>GP58-GM58</f>
        <v/>
      </c>
      <c r="GR58" s="235">
        <f>IF(GM58=0,"",GP58/GM58)</f>
        <v/>
      </c>
      <c r="GS58" s="26" t="n"/>
      <c r="GT58" s="236">
        <f>GB58+GK58</f>
        <v/>
      </c>
      <c r="GU58" s="236">
        <f>GC58+GL58</f>
        <v/>
      </c>
      <c r="GV58" s="236">
        <f>GT58+GU58</f>
        <v/>
      </c>
      <c r="GW58" s="236">
        <f>GE58+GN58</f>
        <v/>
      </c>
      <c r="GX58" s="236">
        <f>GF58+GO58</f>
        <v/>
      </c>
      <c r="GY58" s="236">
        <f>GW58+GX58</f>
        <v/>
      </c>
      <c r="GZ58" s="239">
        <f>GY58-GV58</f>
        <v/>
      </c>
      <c r="HA58" s="237">
        <f>IF(GV58=0,"",GY58/GV58)</f>
        <v/>
      </c>
      <c r="HB58" s="33" t="n"/>
      <c r="HC58" s="233">
        <f>GT58</f>
        <v/>
      </c>
      <c r="HD58" s="233">
        <f>GU58</f>
        <v/>
      </c>
      <c r="HE58" s="233">
        <f>HC58+HD58</f>
        <v/>
      </c>
    </row>
    <row r="59" outlineLevel="1" ht="15" customHeight="1" s="150">
      <c r="A59" s="26" t="n"/>
      <c r="B59" s="26" t="n"/>
      <c r="C59" s="26" t="n"/>
      <c r="D59" s="233" t="n"/>
      <c r="E59" s="233" t="n"/>
      <c r="F59" s="233">
        <f>D59+E59</f>
        <v/>
      </c>
      <c r="G59" s="233" t="n"/>
      <c r="H59" s="233" t="n"/>
      <c r="I59" s="233">
        <f>G59+H59</f>
        <v/>
      </c>
      <c r="J59" s="238">
        <f>I59-F59</f>
        <v/>
      </c>
      <c r="K59" s="235">
        <f>IF(F59=0,"",I59/F59)</f>
        <v/>
      </c>
      <c r="L59" s="26" t="n"/>
      <c r="M59" s="233" t="n"/>
      <c r="N59" s="233" t="n"/>
      <c r="O59" s="233">
        <f>M59+N59</f>
        <v/>
      </c>
      <c r="P59" s="233" t="n"/>
      <c r="Q59" s="233" t="n"/>
      <c r="R59" s="233">
        <f>P59+Q59</f>
        <v/>
      </c>
      <c r="S59" s="238">
        <f>R59-O59</f>
        <v/>
      </c>
      <c r="T59" s="235">
        <f>IF(O59=0,"",R59/O59)</f>
        <v/>
      </c>
      <c r="U59" s="26" t="n"/>
      <c r="V59" s="236">
        <f>D59+M59</f>
        <v/>
      </c>
      <c r="W59" s="236">
        <f>E59+N59</f>
        <v/>
      </c>
      <c r="X59" s="236">
        <f>V59+W59</f>
        <v/>
      </c>
      <c r="Y59" s="236">
        <f>G59+P59</f>
        <v/>
      </c>
      <c r="Z59" s="236">
        <f>H59+Q59</f>
        <v/>
      </c>
      <c r="AA59" s="236">
        <f>Y59+Z59</f>
        <v/>
      </c>
      <c r="AB59" s="234">
        <f>AA59-X59</f>
        <v/>
      </c>
      <c r="AC59" s="237">
        <f>IF(X59=0,"",AA59/X59)</f>
        <v/>
      </c>
      <c r="AD59" s="33" t="n"/>
      <c r="AE59" s="233" t="n"/>
      <c r="AF59" s="233" t="n"/>
      <c r="AG59" s="233">
        <f>AE59+AF59</f>
        <v/>
      </c>
      <c r="AH59" s="233" t="n"/>
      <c r="AI59" s="233" t="n"/>
      <c r="AJ59" s="233">
        <f>AH59+AI59</f>
        <v/>
      </c>
      <c r="AK59" s="238">
        <f>AJ59-AG59</f>
        <v/>
      </c>
      <c r="AL59" s="235">
        <f>IF(AG59=0,"",AJ59/AG59)</f>
        <v/>
      </c>
      <c r="AM59" s="26" t="n"/>
      <c r="AN59" s="236">
        <f>V59+AE59</f>
        <v/>
      </c>
      <c r="AO59" s="236">
        <f>W59+AF59</f>
        <v/>
      </c>
      <c r="AP59" s="236">
        <f>AN59+AO59</f>
        <v/>
      </c>
      <c r="AQ59" s="236">
        <f>Y59+AH59</f>
        <v/>
      </c>
      <c r="AR59" s="236">
        <f>Z59+AI59</f>
        <v/>
      </c>
      <c r="AS59" s="236">
        <f>AQ59+AR59</f>
        <v/>
      </c>
      <c r="AT59" s="234">
        <f>AS59-AP59</f>
        <v/>
      </c>
      <c r="AU59" s="237">
        <f>IF(AP59=0,"",AS59/AP59)</f>
        <v/>
      </c>
      <c r="AV59" s="33" t="n"/>
      <c r="AW59" s="233" t="n"/>
      <c r="AX59" s="233" t="n"/>
      <c r="AY59" s="233">
        <f>AW59+AX59</f>
        <v/>
      </c>
      <c r="AZ59" s="233" t="n"/>
      <c r="BA59" s="233" t="n"/>
      <c r="BB59" s="233">
        <f>AZ59+BA59</f>
        <v/>
      </c>
      <c r="BC59" s="238">
        <f>BB59-AY59</f>
        <v/>
      </c>
      <c r="BD59" s="235">
        <f>IF(AY59=0,"",BB59/AY59)</f>
        <v/>
      </c>
      <c r="BE59" s="26" t="n"/>
      <c r="BF59" s="236">
        <f>AN59+AW59</f>
        <v/>
      </c>
      <c r="BG59" s="236">
        <f>AO59+AX59</f>
        <v/>
      </c>
      <c r="BH59" s="236">
        <f>BF59+BG59</f>
        <v/>
      </c>
      <c r="BI59" s="236">
        <f>AQ59+AZ59</f>
        <v/>
      </c>
      <c r="BJ59" s="236">
        <f>AR59+BA59</f>
        <v/>
      </c>
      <c r="BK59" s="236">
        <f>BI59+BJ59</f>
        <v/>
      </c>
      <c r="BL59" s="239">
        <f>BK59-BH59</f>
        <v/>
      </c>
      <c r="BM59" s="237">
        <f>IF(BH59=0,"",BK59/BH59)</f>
        <v/>
      </c>
      <c r="BN59" s="33" t="n"/>
      <c r="BO59" s="233" t="n"/>
      <c r="BP59" s="233" t="n"/>
      <c r="BQ59" s="233">
        <f>BO59+BP59</f>
        <v/>
      </c>
      <c r="BR59" s="233" t="n"/>
      <c r="BS59" s="233" t="n"/>
      <c r="BT59" s="233">
        <f>BR59+BS59</f>
        <v/>
      </c>
      <c r="BU59" s="238">
        <f>BT59-BQ59</f>
        <v/>
      </c>
      <c r="BV59" s="235">
        <f>IF(BQ59=0,"",BT59/BQ59)</f>
        <v/>
      </c>
      <c r="BW59" s="26" t="n"/>
      <c r="BX59" s="236">
        <f>BF59+BO59</f>
        <v/>
      </c>
      <c r="BY59" s="236">
        <f>BG59+BP59</f>
        <v/>
      </c>
      <c r="BZ59" s="236">
        <f>BX59+BY59</f>
        <v/>
      </c>
      <c r="CA59" s="236">
        <f>BI59+BR59</f>
        <v/>
      </c>
      <c r="CB59" s="236">
        <f>BJ59+BS59</f>
        <v/>
      </c>
      <c r="CC59" s="236">
        <f>CA59+CB59</f>
        <v/>
      </c>
      <c r="CD59" s="239">
        <f>CC59-BZ59</f>
        <v/>
      </c>
      <c r="CE59" s="237">
        <f>IF(BZ59=0,"",CC59/BZ59)</f>
        <v/>
      </c>
      <c r="CF59" s="33" t="n"/>
      <c r="CG59" s="233" t="n"/>
      <c r="CH59" s="233" t="n"/>
      <c r="CI59" s="233">
        <f>CG59+CH59</f>
        <v/>
      </c>
      <c r="CJ59" s="233" t="n"/>
      <c r="CK59" s="233" t="n"/>
      <c r="CL59" s="233">
        <f>CJ59+CK59</f>
        <v/>
      </c>
      <c r="CM59" s="238">
        <f>CL59-CI59</f>
        <v/>
      </c>
      <c r="CN59" s="235">
        <f>IF(CI59=0,"",CL59/CI59)</f>
        <v/>
      </c>
      <c r="CO59" s="26" t="n"/>
      <c r="CP59" s="236">
        <f>BX59+CG59</f>
        <v/>
      </c>
      <c r="CQ59" s="236">
        <f>BY59+CH59</f>
        <v/>
      </c>
      <c r="CR59" s="236">
        <f>CP59+CQ59</f>
        <v/>
      </c>
      <c r="CS59" s="236">
        <f>CA59+CJ59</f>
        <v/>
      </c>
      <c r="CT59" s="236">
        <f>CB59+CK59</f>
        <v/>
      </c>
      <c r="CU59" s="236">
        <f>CS59+CT59</f>
        <v/>
      </c>
      <c r="CV59" s="239">
        <f>CU59-CR59</f>
        <v/>
      </c>
      <c r="CW59" s="237">
        <f>IF(CR59=0,"",CU59/CR59)</f>
        <v/>
      </c>
      <c r="CX59" s="33" t="n"/>
      <c r="CY59" s="233" t="n"/>
      <c r="CZ59" s="233" t="n"/>
      <c r="DA59" s="233">
        <f>CY59+CZ59</f>
        <v/>
      </c>
      <c r="DB59" s="233" t="n"/>
      <c r="DC59" s="233" t="n"/>
      <c r="DD59" s="233">
        <f>DB59+DC59</f>
        <v/>
      </c>
      <c r="DE59" s="238">
        <f>DD59-DA59</f>
        <v/>
      </c>
      <c r="DF59" s="235">
        <f>IF(DA59=0,"",DD59/DA59)</f>
        <v/>
      </c>
      <c r="DG59" s="26" t="n"/>
      <c r="DH59" s="236">
        <f>CP59+CY59</f>
        <v/>
      </c>
      <c r="DI59" s="236">
        <f>CQ59+CZ59</f>
        <v/>
      </c>
      <c r="DJ59" s="236">
        <f>DH59+DI59</f>
        <v/>
      </c>
      <c r="DK59" s="236">
        <f>CS59+DB59</f>
        <v/>
      </c>
      <c r="DL59" s="236">
        <f>CT59+DC59</f>
        <v/>
      </c>
      <c r="DM59" s="236">
        <f>DK59+DL59</f>
        <v/>
      </c>
      <c r="DN59" s="239">
        <f>DM59-DJ59</f>
        <v/>
      </c>
      <c r="DO59" s="237">
        <f>IF(DJ59=0,"",DM59/DJ59)</f>
        <v/>
      </c>
      <c r="DP59" s="33" t="n"/>
      <c r="DQ59" s="233" t="n"/>
      <c r="DR59" s="233" t="n"/>
      <c r="DS59" s="233">
        <f>DQ59+DR59</f>
        <v/>
      </c>
      <c r="DT59" s="233" t="n"/>
      <c r="DU59" s="233" t="n"/>
      <c r="DV59" s="233">
        <f>DT59+DU59</f>
        <v/>
      </c>
      <c r="DW59" s="238">
        <f>DV59-DS59</f>
        <v/>
      </c>
      <c r="DX59" s="235">
        <f>IF(DS59=0,"",DV59/DS59)</f>
        <v/>
      </c>
      <c r="DY59" s="26" t="n"/>
      <c r="DZ59" s="236">
        <f>DH59+DQ59</f>
        <v/>
      </c>
      <c r="EA59" s="236">
        <f>DI59+DR59</f>
        <v/>
      </c>
      <c r="EB59" s="236">
        <f>DZ59+EA59</f>
        <v/>
      </c>
      <c r="EC59" s="236">
        <f>DK59+DT59</f>
        <v/>
      </c>
      <c r="ED59" s="236">
        <f>DL59+DU59</f>
        <v/>
      </c>
      <c r="EE59" s="236">
        <f>EC59+ED59</f>
        <v/>
      </c>
      <c r="EF59" s="239">
        <f>EE59-EB59</f>
        <v/>
      </c>
      <c r="EG59" s="237">
        <f>IF(EB59=0,"",EE59/EB59)</f>
        <v/>
      </c>
      <c r="EH59" s="33" t="n"/>
      <c r="EI59" s="233" t="n"/>
      <c r="EJ59" s="233" t="n"/>
      <c r="EK59" s="233">
        <f>EI59+EJ59</f>
        <v/>
      </c>
      <c r="EL59" s="233" t="n"/>
      <c r="EM59" s="233" t="n"/>
      <c r="EN59" s="233">
        <f>EL59+EM59</f>
        <v/>
      </c>
      <c r="EO59" s="238">
        <f>EN59-EK59</f>
        <v/>
      </c>
      <c r="EP59" s="235">
        <f>IF(EK59=0,"",EN59/EK59)</f>
        <v/>
      </c>
      <c r="EQ59" s="26" t="n"/>
      <c r="ER59" s="236">
        <f>DZ59+EI59</f>
        <v/>
      </c>
      <c r="ES59" s="236">
        <f>EA59+EJ59</f>
        <v/>
      </c>
      <c r="ET59" s="236">
        <f>ER59+ES59</f>
        <v/>
      </c>
      <c r="EU59" s="236">
        <f>EC59+EL59</f>
        <v/>
      </c>
      <c r="EV59" s="236">
        <f>ED59+EM59</f>
        <v/>
      </c>
      <c r="EW59" s="236">
        <f>EU59+EV59</f>
        <v/>
      </c>
      <c r="EX59" s="239">
        <f>EW59-ET59</f>
        <v/>
      </c>
      <c r="EY59" s="237">
        <f>IF(ET59=0,"",EW59/ET59)</f>
        <v/>
      </c>
      <c r="EZ59" s="33" t="n"/>
      <c r="FA59" s="233" t="n"/>
      <c r="FB59" s="233" t="n"/>
      <c r="FC59" s="233">
        <f>FA59+FB59</f>
        <v/>
      </c>
      <c r="FD59" s="233" t="n"/>
      <c r="FE59" s="233" t="n"/>
      <c r="FF59" s="233">
        <f>FD59+FE59</f>
        <v/>
      </c>
      <c r="FG59" s="238">
        <f>FF59-FC59</f>
        <v/>
      </c>
      <c r="FH59" s="235">
        <f>IF(FC59=0,"",FF59/FC59)</f>
        <v/>
      </c>
      <c r="FI59" s="26" t="n"/>
      <c r="FJ59" s="236">
        <f>ER59+FA59</f>
        <v/>
      </c>
      <c r="FK59" s="236">
        <f>ES59+FB59</f>
        <v/>
      </c>
      <c r="FL59" s="236">
        <f>FJ59+FK59</f>
        <v/>
      </c>
      <c r="FM59" s="236">
        <f>EU59+FD59</f>
        <v/>
      </c>
      <c r="FN59" s="236">
        <f>EV59+FE59</f>
        <v/>
      </c>
      <c r="FO59" s="236">
        <f>FM59+FN59</f>
        <v/>
      </c>
      <c r="FP59" s="239">
        <f>FO59-FL59</f>
        <v/>
      </c>
      <c r="FQ59" s="237">
        <f>IF(FL59=0,"",FO59/FL59)</f>
        <v/>
      </c>
      <c r="FR59" s="33" t="n"/>
      <c r="FS59" s="233" t="n"/>
      <c r="FT59" s="233" t="n"/>
      <c r="FU59" s="233">
        <f>FS59+FT59</f>
        <v/>
      </c>
      <c r="FV59" s="233" t="n"/>
      <c r="FW59" s="233" t="n"/>
      <c r="FX59" s="233">
        <f>FV59+FW59</f>
        <v/>
      </c>
      <c r="FY59" s="238">
        <f>FX59-FU59</f>
        <v/>
      </c>
      <c r="FZ59" s="235">
        <f>IF(FU59=0,"",FX59/FU59)</f>
        <v/>
      </c>
      <c r="GA59" s="26" t="n"/>
      <c r="GB59" s="236">
        <f>FJ59+FS59</f>
        <v/>
      </c>
      <c r="GC59" s="236">
        <f>FK59+FT59</f>
        <v/>
      </c>
      <c r="GD59" s="236">
        <f>GB59+GC59</f>
        <v/>
      </c>
      <c r="GE59" s="236">
        <f>FM59+FV59</f>
        <v/>
      </c>
      <c r="GF59" s="236">
        <f>FN59+FW59</f>
        <v/>
      </c>
      <c r="GG59" s="236">
        <f>GE59+GF59</f>
        <v/>
      </c>
      <c r="GH59" s="239">
        <f>GG59-GD59</f>
        <v/>
      </c>
      <c r="GI59" s="237">
        <f>IF(GD59=0,"",GG59/GD59)</f>
        <v/>
      </c>
      <c r="GJ59" s="33" t="n"/>
      <c r="GK59" s="233" t="n"/>
      <c r="GL59" s="233" t="n"/>
      <c r="GM59" s="233">
        <f>GK59+GL59</f>
        <v/>
      </c>
      <c r="GN59" s="233" t="n"/>
      <c r="GO59" s="233" t="n"/>
      <c r="GP59" s="233">
        <f>GN59+GO59</f>
        <v/>
      </c>
      <c r="GQ59" s="238">
        <f>GP59-GM59</f>
        <v/>
      </c>
      <c r="GR59" s="235">
        <f>IF(GM59=0,"",GP59/GM59)</f>
        <v/>
      </c>
      <c r="GS59" s="26" t="n"/>
      <c r="GT59" s="236">
        <f>GB59+GK59</f>
        <v/>
      </c>
      <c r="GU59" s="236">
        <f>GC59+GL59</f>
        <v/>
      </c>
      <c r="GV59" s="236">
        <f>GT59+GU59</f>
        <v/>
      </c>
      <c r="GW59" s="236">
        <f>GE59+GN59</f>
        <v/>
      </c>
      <c r="GX59" s="236">
        <f>GF59+GO59</f>
        <v/>
      </c>
      <c r="GY59" s="236">
        <f>GW59+GX59</f>
        <v/>
      </c>
      <c r="GZ59" s="239">
        <f>GY59-GV59</f>
        <v/>
      </c>
      <c r="HA59" s="237">
        <f>IF(GV59=0,"",GY59/GV59)</f>
        <v/>
      </c>
      <c r="HB59" s="33" t="n"/>
      <c r="HC59" s="233">
        <f>GT59</f>
        <v/>
      </c>
      <c r="HD59" s="233">
        <f>GU59</f>
        <v/>
      </c>
      <c r="HE59" s="233">
        <f>HC59+HD59</f>
        <v/>
      </c>
    </row>
    <row r="60" outlineLevel="1" ht="15" customHeight="1" s="150">
      <c r="A60" s="26" t="n"/>
      <c r="B60" s="26" t="n"/>
      <c r="C60" s="26" t="n"/>
      <c r="D60" s="233" t="n"/>
      <c r="E60" s="233" t="n"/>
      <c r="F60" s="233">
        <f>D60+E60</f>
        <v/>
      </c>
      <c r="G60" s="233" t="n"/>
      <c r="H60" s="233" t="n"/>
      <c r="I60" s="233">
        <f>G60+H60</f>
        <v/>
      </c>
      <c r="J60" s="238">
        <f>I60-F60</f>
        <v/>
      </c>
      <c r="K60" s="235">
        <f>IF(F60=0,"",I60/F60)</f>
        <v/>
      </c>
      <c r="L60" s="26" t="n"/>
      <c r="M60" s="233" t="n"/>
      <c r="N60" s="233" t="n"/>
      <c r="O60" s="233">
        <f>M60+N60</f>
        <v/>
      </c>
      <c r="P60" s="233" t="n"/>
      <c r="Q60" s="233" t="n"/>
      <c r="R60" s="233">
        <f>P60+Q60</f>
        <v/>
      </c>
      <c r="S60" s="238">
        <f>R60-O60</f>
        <v/>
      </c>
      <c r="T60" s="235">
        <f>IF(O60=0,"",R60/O60)</f>
        <v/>
      </c>
      <c r="U60" s="26" t="n"/>
      <c r="V60" s="236">
        <f>D60+M60</f>
        <v/>
      </c>
      <c r="W60" s="236">
        <f>E60+N60</f>
        <v/>
      </c>
      <c r="X60" s="236">
        <f>V60+W60</f>
        <v/>
      </c>
      <c r="Y60" s="236">
        <f>G60+P60</f>
        <v/>
      </c>
      <c r="Z60" s="236">
        <f>H60+Q60</f>
        <v/>
      </c>
      <c r="AA60" s="236">
        <f>Y60+Z60</f>
        <v/>
      </c>
      <c r="AB60" s="239">
        <f>AA60-X60</f>
        <v/>
      </c>
      <c r="AC60" s="237">
        <f>IF(X60=0,"",AA60/X60)</f>
        <v/>
      </c>
      <c r="AD60" s="33" t="n"/>
      <c r="AE60" s="233" t="n"/>
      <c r="AF60" s="233" t="n"/>
      <c r="AG60" s="233">
        <f>AE60+AF60</f>
        <v/>
      </c>
      <c r="AH60" s="233" t="n"/>
      <c r="AI60" s="233" t="n"/>
      <c r="AJ60" s="233">
        <f>AH60+AI60</f>
        <v/>
      </c>
      <c r="AK60" s="238">
        <f>AJ60-AG60</f>
        <v/>
      </c>
      <c r="AL60" s="235">
        <f>IF(AG60=0,"",AJ60/AG60)</f>
        <v/>
      </c>
      <c r="AM60" s="26" t="n"/>
      <c r="AN60" s="236">
        <f>V60+AE60</f>
        <v/>
      </c>
      <c r="AO60" s="236">
        <f>W60+AF60</f>
        <v/>
      </c>
      <c r="AP60" s="236">
        <f>AN60+AO60</f>
        <v/>
      </c>
      <c r="AQ60" s="236">
        <f>Y60+AH60</f>
        <v/>
      </c>
      <c r="AR60" s="236">
        <f>Z60+AI60</f>
        <v/>
      </c>
      <c r="AS60" s="236">
        <f>AQ60+AR60</f>
        <v/>
      </c>
      <c r="AT60" s="239">
        <f>AS60-AP60</f>
        <v/>
      </c>
      <c r="AU60" s="237">
        <f>IF(AP60=0,"",AS60/AP60)</f>
        <v/>
      </c>
      <c r="AV60" s="33" t="n"/>
      <c r="AW60" s="233" t="n"/>
      <c r="AX60" s="233" t="n"/>
      <c r="AY60" s="233">
        <f>AW60+AX60</f>
        <v/>
      </c>
      <c r="AZ60" s="233" t="n"/>
      <c r="BA60" s="233" t="n"/>
      <c r="BB60" s="233">
        <f>AZ60+BA60</f>
        <v/>
      </c>
      <c r="BC60" s="238">
        <f>BB60-AY60</f>
        <v/>
      </c>
      <c r="BD60" s="235">
        <f>IF(AY60=0,"",BB60/AY60)</f>
        <v/>
      </c>
      <c r="BE60" s="26" t="n"/>
      <c r="BF60" s="236">
        <f>AN60+AW60</f>
        <v/>
      </c>
      <c r="BG60" s="236">
        <f>AO60+AX60</f>
        <v/>
      </c>
      <c r="BH60" s="236">
        <f>BF60+BG60</f>
        <v/>
      </c>
      <c r="BI60" s="236">
        <f>AQ60+AZ60</f>
        <v/>
      </c>
      <c r="BJ60" s="236">
        <f>AR60+BA60</f>
        <v/>
      </c>
      <c r="BK60" s="236">
        <f>BI60+BJ60</f>
        <v/>
      </c>
      <c r="BL60" s="239">
        <f>BK60-BH60</f>
        <v/>
      </c>
      <c r="BM60" s="237">
        <f>IF(BH60=0,"",BK60/BH60)</f>
        <v/>
      </c>
      <c r="BN60" s="33" t="n"/>
      <c r="BO60" s="233" t="n"/>
      <c r="BP60" s="233" t="n"/>
      <c r="BQ60" s="233">
        <f>BO60+BP60</f>
        <v/>
      </c>
      <c r="BR60" s="233" t="n"/>
      <c r="BS60" s="233" t="n"/>
      <c r="BT60" s="233">
        <f>BR60+BS60</f>
        <v/>
      </c>
      <c r="BU60" s="238">
        <f>BT60-BQ60</f>
        <v/>
      </c>
      <c r="BV60" s="235">
        <f>IF(BQ60=0,"",BT60/BQ60)</f>
        <v/>
      </c>
      <c r="BW60" s="26" t="n"/>
      <c r="BX60" s="236">
        <f>BF60+BO60</f>
        <v/>
      </c>
      <c r="BY60" s="236">
        <f>BG60+BP60</f>
        <v/>
      </c>
      <c r="BZ60" s="236">
        <f>BX60+BY60</f>
        <v/>
      </c>
      <c r="CA60" s="236">
        <f>BI60+BR60</f>
        <v/>
      </c>
      <c r="CB60" s="236">
        <f>BJ60+BS60</f>
        <v/>
      </c>
      <c r="CC60" s="236">
        <f>CA60+CB60</f>
        <v/>
      </c>
      <c r="CD60" s="239">
        <f>CC60-BZ60</f>
        <v/>
      </c>
      <c r="CE60" s="237">
        <f>IF(BZ60=0,"",CC60/BZ60)</f>
        <v/>
      </c>
      <c r="CF60" s="33" t="n"/>
      <c r="CG60" s="233" t="n"/>
      <c r="CH60" s="233" t="n"/>
      <c r="CI60" s="233">
        <f>CG60+CH60</f>
        <v/>
      </c>
      <c r="CJ60" s="233" t="n"/>
      <c r="CK60" s="233" t="n"/>
      <c r="CL60" s="233">
        <f>CJ60+CK60</f>
        <v/>
      </c>
      <c r="CM60" s="238">
        <f>CL60-CI60</f>
        <v/>
      </c>
      <c r="CN60" s="235">
        <f>IF(CI60=0,"",CL60/CI60)</f>
        <v/>
      </c>
      <c r="CO60" s="26" t="n"/>
      <c r="CP60" s="236">
        <f>BX60+CG60</f>
        <v/>
      </c>
      <c r="CQ60" s="236">
        <f>BY60+CH60</f>
        <v/>
      </c>
      <c r="CR60" s="236">
        <f>CP60+CQ60</f>
        <v/>
      </c>
      <c r="CS60" s="236">
        <f>CA60+CJ60</f>
        <v/>
      </c>
      <c r="CT60" s="236">
        <f>CB60+CK60</f>
        <v/>
      </c>
      <c r="CU60" s="236">
        <f>CS60+CT60</f>
        <v/>
      </c>
      <c r="CV60" s="239">
        <f>CU60-CR60</f>
        <v/>
      </c>
      <c r="CW60" s="237">
        <f>IF(CR60=0,"",CU60/CR60)</f>
        <v/>
      </c>
      <c r="CX60" s="33" t="n"/>
      <c r="CY60" s="233" t="n"/>
      <c r="CZ60" s="233" t="n"/>
      <c r="DA60" s="233">
        <f>CY60+CZ60</f>
        <v/>
      </c>
      <c r="DB60" s="233" t="n"/>
      <c r="DC60" s="233" t="n"/>
      <c r="DD60" s="233">
        <f>DB60+DC60</f>
        <v/>
      </c>
      <c r="DE60" s="238">
        <f>DD60-DA60</f>
        <v/>
      </c>
      <c r="DF60" s="235">
        <f>IF(DA60=0,"",DD60/DA60)</f>
        <v/>
      </c>
      <c r="DG60" s="26" t="n"/>
      <c r="DH60" s="236">
        <f>CP60+CY60</f>
        <v/>
      </c>
      <c r="DI60" s="236">
        <f>CQ60+CZ60</f>
        <v/>
      </c>
      <c r="DJ60" s="236">
        <f>DH60+DI60</f>
        <v/>
      </c>
      <c r="DK60" s="236">
        <f>CS60+DB60</f>
        <v/>
      </c>
      <c r="DL60" s="236">
        <f>CT60+DC60</f>
        <v/>
      </c>
      <c r="DM60" s="236">
        <f>DK60+DL60</f>
        <v/>
      </c>
      <c r="DN60" s="239">
        <f>DM60-DJ60</f>
        <v/>
      </c>
      <c r="DO60" s="237">
        <f>IF(DJ60=0,"",DM60/DJ60)</f>
        <v/>
      </c>
      <c r="DP60" s="33" t="n"/>
      <c r="DQ60" s="233" t="n"/>
      <c r="DR60" s="233" t="n"/>
      <c r="DS60" s="233">
        <f>DQ60+DR60</f>
        <v/>
      </c>
      <c r="DT60" s="233" t="n"/>
      <c r="DU60" s="233" t="n"/>
      <c r="DV60" s="233">
        <f>DT60+DU60</f>
        <v/>
      </c>
      <c r="DW60" s="238">
        <f>DV60-DS60</f>
        <v/>
      </c>
      <c r="DX60" s="235">
        <f>IF(DS60=0,"",DV60/DS60)</f>
        <v/>
      </c>
      <c r="DY60" s="26" t="n"/>
      <c r="DZ60" s="236">
        <f>DH60+DQ60</f>
        <v/>
      </c>
      <c r="EA60" s="236">
        <f>DI60+DR60</f>
        <v/>
      </c>
      <c r="EB60" s="236">
        <f>DZ60+EA60</f>
        <v/>
      </c>
      <c r="EC60" s="236">
        <f>DK60+DT60</f>
        <v/>
      </c>
      <c r="ED60" s="236">
        <f>DL60+DU60</f>
        <v/>
      </c>
      <c r="EE60" s="236">
        <f>EC60+ED60</f>
        <v/>
      </c>
      <c r="EF60" s="239">
        <f>EE60-EB60</f>
        <v/>
      </c>
      <c r="EG60" s="237">
        <f>IF(EB60=0,"",EE60/EB60)</f>
        <v/>
      </c>
      <c r="EH60" s="33" t="n"/>
      <c r="EI60" s="233" t="n"/>
      <c r="EJ60" s="233" t="n"/>
      <c r="EK60" s="233">
        <f>EI60+EJ60</f>
        <v/>
      </c>
      <c r="EL60" s="233" t="n"/>
      <c r="EM60" s="233" t="n"/>
      <c r="EN60" s="233">
        <f>EL60+EM60</f>
        <v/>
      </c>
      <c r="EO60" s="238">
        <f>EN60-EK60</f>
        <v/>
      </c>
      <c r="EP60" s="235">
        <f>IF(EK60=0,"",EN60/EK60)</f>
        <v/>
      </c>
      <c r="EQ60" s="26" t="n"/>
      <c r="ER60" s="236">
        <f>DZ60+EI60</f>
        <v/>
      </c>
      <c r="ES60" s="236">
        <f>EA60+EJ60</f>
        <v/>
      </c>
      <c r="ET60" s="236">
        <f>ER60+ES60</f>
        <v/>
      </c>
      <c r="EU60" s="236">
        <f>EC60+EL60</f>
        <v/>
      </c>
      <c r="EV60" s="236">
        <f>ED60+EM60</f>
        <v/>
      </c>
      <c r="EW60" s="236">
        <f>EU60+EV60</f>
        <v/>
      </c>
      <c r="EX60" s="239">
        <f>EW60-ET60</f>
        <v/>
      </c>
      <c r="EY60" s="237">
        <f>IF(ET60=0,"",EW60/ET60)</f>
        <v/>
      </c>
      <c r="EZ60" s="33" t="n"/>
      <c r="FA60" s="233" t="n"/>
      <c r="FB60" s="233" t="n"/>
      <c r="FC60" s="233">
        <f>FA60+FB60</f>
        <v/>
      </c>
      <c r="FD60" s="233" t="n"/>
      <c r="FE60" s="233" t="n"/>
      <c r="FF60" s="233">
        <f>FD60+FE60</f>
        <v/>
      </c>
      <c r="FG60" s="238">
        <f>FF60-FC60</f>
        <v/>
      </c>
      <c r="FH60" s="235">
        <f>IF(FC60=0,"",FF60/FC60)</f>
        <v/>
      </c>
      <c r="FI60" s="26" t="n"/>
      <c r="FJ60" s="236">
        <f>ER60+FA60</f>
        <v/>
      </c>
      <c r="FK60" s="236">
        <f>ES60+FB60</f>
        <v/>
      </c>
      <c r="FL60" s="236">
        <f>FJ60+FK60</f>
        <v/>
      </c>
      <c r="FM60" s="236">
        <f>EU60+FD60</f>
        <v/>
      </c>
      <c r="FN60" s="236">
        <f>EV60+FE60</f>
        <v/>
      </c>
      <c r="FO60" s="236">
        <f>FM60+FN60</f>
        <v/>
      </c>
      <c r="FP60" s="239">
        <f>FO60-FL60</f>
        <v/>
      </c>
      <c r="FQ60" s="237">
        <f>IF(FL60=0,"",FO60/FL60)</f>
        <v/>
      </c>
      <c r="FR60" s="33" t="n"/>
      <c r="FS60" s="233" t="n"/>
      <c r="FT60" s="233" t="n"/>
      <c r="FU60" s="233">
        <f>FS60+FT60</f>
        <v/>
      </c>
      <c r="FV60" s="233" t="n"/>
      <c r="FW60" s="233" t="n"/>
      <c r="FX60" s="233">
        <f>FV60+FW60</f>
        <v/>
      </c>
      <c r="FY60" s="238">
        <f>FX60-FU60</f>
        <v/>
      </c>
      <c r="FZ60" s="235">
        <f>IF(FU60=0,"",FX60/FU60)</f>
        <v/>
      </c>
      <c r="GA60" s="26" t="n"/>
      <c r="GB60" s="236">
        <f>FJ60+FS60</f>
        <v/>
      </c>
      <c r="GC60" s="236">
        <f>FK60+FT60</f>
        <v/>
      </c>
      <c r="GD60" s="236">
        <f>GB60+GC60</f>
        <v/>
      </c>
      <c r="GE60" s="236">
        <f>FM60+FV60</f>
        <v/>
      </c>
      <c r="GF60" s="236">
        <f>FN60+FW60</f>
        <v/>
      </c>
      <c r="GG60" s="236">
        <f>GE60+GF60</f>
        <v/>
      </c>
      <c r="GH60" s="239">
        <f>GG60-GD60</f>
        <v/>
      </c>
      <c r="GI60" s="237">
        <f>IF(GD60=0,"",GG60/GD60)</f>
        <v/>
      </c>
      <c r="GJ60" s="33" t="n"/>
      <c r="GK60" s="233" t="n"/>
      <c r="GL60" s="233" t="n"/>
      <c r="GM60" s="233">
        <f>GK60+GL60</f>
        <v/>
      </c>
      <c r="GN60" s="233" t="n"/>
      <c r="GO60" s="233" t="n"/>
      <c r="GP60" s="233">
        <f>GN60+GO60</f>
        <v/>
      </c>
      <c r="GQ60" s="238">
        <f>GP60-GM60</f>
        <v/>
      </c>
      <c r="GR60" s="235">
        <f>IF(GM60=0,"",GP60/GM60)</f>
        <v/>
      </c>
      <c r="GS60" s="26" t="n"/>
      <c r="GT60" s="236">
        <f>GB60+GK60</f>
        <v/>
      </c>
      <c r="GU60" s="236">
        <f>GC60+GL60</f>
        <v/>
      </c>
      <c r="GV60" s="236">
        <f>GT60+GU60</f>
        <v/>
      </c>
      <c r="GW60" s="236">
        <f>GE60+GN60</f>
        <v/>
      </c>
      <c r="GX60" s="236">
        <f>GF60+GO60</f>
        <v/>
      </c>
      <c r="GY60" s="236">
        <f>GW60+GX60</f>
        <v/>
      </c>
      <c r="GZ60" s="239">
        <f>GY60-GV60</f>
        <v/>
      </c>
      <c r="HA60" s="237">
        <f>IF(GV60=0,"",GY60/GV60)</f>
        <v/>
      </c>
      <c r="HB60" s="33" t="n"/>
      <c r="HC60" s="233">
        <f>GT60</f>
        <v/>
      </c>
      <c r="HD60" s="233">
        <f>GU60</f>
        <v/>
      </c>
      <c r="HE60" s="233">
        <f>HC60+HD60</f>
        <v/>
      </c>
    </row>
    <row r="61" outlineLevel="1" ht="15" customHeight="1" s="150">
      <c r="A61" s="26" t="n"/>
      <c r="B61" s="26" t="n"/>
      <c r="C61" s="26" t="n"/>
      <c r="D61" s="233" t="n"/>
      <c r="E61" s="233" t="n"/>
      <c r="F61" s="233">
        <f>D61+E61</f>
        <v/>
      </c>
      <c r="G61" s="233" t="n"/>
      <c r="H61" s="233" t="n"/>
      <c r="I61" s="233">
        <f>G61+H61</f>
        <v/>
      </c>
      <c r="J61" s="238">
        <f>I61-F61</f>
        <v/>
      </c>
      <c r="K61" s="235">
        <f>IF(F61=0,"",I61/F61)</f>
        <v/>
      </c>
      <c r="L61" s="26" t="n"/>
      <c r="M61" s="233" t="n"/>
      <c r="N61" s="233" t="n"/>
      <c r="O61" s="233">
        <f>M61+N61</f>
        <v/>
      </c>
      <c r="P61" s="233" t="n"/>
      <c r="Q61" s="233" t="n"/>
      <c r="R61" s="233">
        <f>P61+Q61</f>
        <v/>
      </c>
      <c r="S61" s="238">
        <f>R61-O61</f>
        <v/>
      </c>
      <c r="T61" s="235">
        <f>IF(O61=0,"",R61/O61)</f>
        <v/>
      </c>
      <c r="U61" s="26" t="n"/>
      <c r="V61" s="236">
        <f>D61+M61</f>
        <v/>
      </c>
      <c r="W61" s="236">
        <f>E61+N61</f>
        <v/>
      </c>
      <c r="X61" s="236">
        <f>V61+W61</f>
        <v/>
      </c>
      <c r="Y61" s="236">
        <f>G61+P61</f>
        <v/>
      </c>
      <c r="Z61" s="236">
        <f>H61+Q61</f>
        <v/>
      </c>
      <c r="AA61" s="236">
        <f>Y61+Z61</f>
        <v/>
      </c>
      <c r="AB61" s="239">
        <f>AA61-X61</f>
        <v/>
      </c>
      <c r="AC61" s="237">
        <f>IF(X61=0,"",AA61/X61)</f>
        <v/>
      </c>
      <c r="AD61" s="33" t="n"/>
      <c r="AE61" s="233" t="n"/>
      <c r="AF61" s="233" t="n"/>
      <c r="AG61" s="233">
        <f>AE61+AF61</f>
        <v/>
      </c>
      <c r="AH61" s="233" t="n"/>
      <c r="AI61" s="233" t="n"/>
      <c r="AJ61" s="233">
        <f>AH61+AI61</f>
        <v/>
      </c>
      <c r="AK61" s="238">
        <f>AJ61-AG61</f>
        <v/>
      </c>
      <c r="AL61" s="235">
        <f>IF(AG61=0,"",AJ61/AG61)</f>
        <v/>
      </c>
      <c r="AM61" s="26" t="n"/>
      <c r="AN61" s="236">
        <f>V61+AE61</f>
        <v/>
      </c>
      <c r="AO61" s="236">
        <f>W61+AF61</f>
        <v/>
      </c>
      <c r="AP61" s="236">
        <f>AN61+AO61</f>
        <v/>
      </c>
      <c r="AQ61" s="236">
        <f>Y61+AH61</f>
        <v/>
      </c>
      <c r="AR61" s="236">
        <f>Z61+AI61</f>
        <v/>
      </c>
      <c r="AS61" s="236">
        <f>AQ61+AR61</f>
        <v/>
      </c>
      <c r="AT61" s="239">
        <f>AS61-AP61</f>
        <v/>
      </c>
      <c r="AU61" s="237">
        <f>IF(AP61=0,"",AS61/AP61)</f>
        <v/>
      </c>
      <c r="AV61" s="33" t="n"/>
      <c r="AW61" s="233" t="n"/>
      <c r="AX61" s="233" t="n"/>
      <c r="AY61" s="233">
        <f>AW61+AX61</f>
        <v/>
      </c>
      <c r="AZ61" s="233" t="n"/>
      <c r="BA61" s="233" t="n"/>
      <c r="BB61" s="233">
        <f>AZ61+BA61</f>
        <v/>
      </c>
      <c r="BC61" s="238">
        <f>BB61-AY61</f>
        <v/>
      </c>
      <c r="BD61" s="235">
        <f>IF(AY61=0,"",BB61/AY61)</f>
        <v/>
      </c>
      <c r="BE61" s="26" t="n"/>
      <c r="BF61" s="236">
        <f>AN61+AW61</f>
        <v/>
      </c>
      <c r="BG61" s="236">
        <f>AO61+AX61</f>
        <v/>
      </c>
      <c r="BH61" s="236">
        <f>BF61+BG61</f>
        <v/>
      </c>
      <c r="BI61" s="236">
        <f>AQ61+AZ61</f>
        <v/>
      </c>
      <c r="BJ61" s="236">
        <f>AR61+BA61</f>
        <v/>
      </c>
      <c r="BK61" s="236">
        <f>BI61+BJ61</f>
        <v/>
      </c>
      <c r="BL61" s="239">
        <f>BK61-BH61</f>
        <v/>
      </c>
      <c r="BM61" s="237">
        <f>IF(BH61=0,"",BK61/BH61)</f>
        <v/>
      </c>
      <c r="BN61" s="33" t="n"/>
      <c r="BO61" s="233" t="n"/>
      <c r="BP61" s="233" t="n"/>
      <c r="BQ61" s="233">
        <f>BO61+BP61</f>
        <v/>
      </c>
      <c r="BR61" s="233" t="n"/>
      <c r="BS61" s="233" t="n"/>
      <c r="BT61" s="233">
        <f>BR61+BS61</f>
        <v/>
      </c>
      <c r="BU61" s="238">
        <f>BT61-BQ61</f>
        <v/>
      </c>
      <c r="BV61" s="235">
        <f>IF(BQ61=0,"",BT61/BQ61)</f>
        <v/>
      </c>
      <c r="BW61" s="26" t="n"/>
      <c r="BX61" s="236">
        <f>BF61+BO61</f>
        <v/>
      </c>
      <c r="BY61" s="236">
        <f>BG61+BP61</f>
        <v/>
      </c>
      <c r="BZ61" s="236">
        <f>BX61+BY61</f>
        <v/>
      </c>
      <c r="CA61" s="236">
        <f>BI61+BR61</f>
        <v/>
      </c>
      <c r="CB61" s="236">
        <f>BJ61+BS61</f>
        <v/>
      </c>
      <c r="CC61" s="236">
        <f>CA61+CB61</f>
        <v/>
      </c>
      <c r="CD61" s="239">
        <f>CC61-BZ61</f>
        <v/>
      </c>
      <c r="CE61" s="237">
        <f>IF(BZ61=0,"",CC61/BZ61)</f>
        <v/>
      </c>
      <c r="CF61" s="33" t="n"/>
      <c r="CG61" s="233" t="n"/>
      <c r="CH61" s="233" t="n"/>
      <c r="CI61" s="233">
        <f>CG61+CH61</f>
        <v/>
      </c>
      <c r="CJ61" s="233" t="n"/>
      <c r="CK61" s="233" t="n"/>
      <c r="CL61" s="233">
        <f>CJ61+CK61</f>
        <v/>
      </c>
      <c r="CM61" s="238">
        <f>CL61-CI61</f>
        <v/>
      </c>
      <c r="CN61" s="235">
        <f>IF(CI61=0,"",CL61/CI61)</f>
        <v/>
      </c>
      <c r="CO61" s="26" t="n"/>
      <c r="CP61" s="236">
        <f>BX61+CG61</f>
        <v/>
      </c>
      <c r="CQ61" s="236">
        <f>BY61+CH61</f>
        <v/>
      </c>
      <c r="CR61" s="236">
        <f>CP61+CQ61</f>
        <v/>
      </c>
      <c r="CS61" s="236">
        <f>CA61+CJ61</f>
        <v/>
      </c>
      <c r="CT61" s="236">
        <f>CB61+CK61</f>
        <v/>
      </c>
      <c r="CU61" s="236">
        <f>CS61+CT61</f>
        <v/>
      </c>
      <c r="CV61" s="239">
        <f>CU61-CR61</f>
        <v/>
      </c>
      <c r="CW61" s="237">
        <f>IF(CR61=0,"",CU61/CR61)</f>
        <v/>
      </c>
      <c r="CX61" s="33" t="n"/>
      <c r="CY61" s="233" t="n"/>
      <c r="CZ61" s="233" t="n"/>
      <c r="DA61" s="233">
        <f>CY61+CZ61</f>
        <v/>
      </c>
      <c r="DB61" s="233" t="n"/>
      <c r="DC61" s="233" t="n"/>
      <c r="DD61" s="233">
        <f>DB61+DC61</f>
        <v/>
      </c>
      <c r="DE61" s="238">
        <f>DD61-DA61</f>
        <v/>
      </c>
      <c r="DF61" s="235">
        <f>IF(DA61=0,"",DD61/DA61)</f>
        <v/>
      </c>
      <c r="DG61" s="26" t="n"/>
      <c r="DH61" s="236">
        <f>CP61+CY61</f>
        <v/>
      </c>
      <c r="DI61" s="236">
        <f>CQ61+CZ61</f>
        <v/>
      </c>
      <c r="DJ61" s="236">
        <f>DH61+DI61</f>
        <v/>
      </c>
      <c r="DK61" s="236">
        <f>CS61+DB61</f>
        <v/>
      </c>
      <c r="DL61" s="236">
        <f>CT61+DC61</f>
        <v/>
      </c>
      <c r="DM61" s="236">
        <f>DK61+DL61</f>
        <v/>
      </c>
      <c r="DN61" s="239">
        <f>DM61-DJ61</f>
        <v/>
      </c>
      <c r="DO61" s="237">
        <f>IF(DJ61=0,"",DM61/DJ61)</f>
        <v/>
      </c>
      <c r="DP61" s="33" t="n"/>
      <c r="DQ61" s="233" t="n"/>
      <c r="DR61" s="233" t="n"/>
      <c r="DS61" s="233">
        <f>DQ61+DR61</f>
        <v/>
      </c>
      <c r="DT61" s="233" t="n"/>
      <c r="DU61" s="233" t="n"/>
      <c r="DV61" s="233">
        <f>DT61+DU61</f>
        <v/>
      </c>
      <c r="DW61" s="238">
        <f>DV61-DS61</f>
        <v/>
      </c>
      <c r="DX61" s="235">
        <f>IF(DS61=0,"",DV61/DS61)</f>
        <v/>
      </c>
      <c r="DY61" s="26" t="n"/>
      <c r="DZ61" s="236">
        <f>DH61+DQ61</f>
        <v/>
      </c>
      <c r="EA61" s="236">
        <f>DI61+DR61</f>
        <v/>
      </c>
      <c r="EB61" s="236">
        <f>DZ61+EA61</f>
        <v/>
      </c>
      <c r="EC61" s="236">
        <f>DK61+DT61</f>
        <v/>
      </c>
      <c r="ED61" s="236">
        <f>DL61+DU61</f>
        <v/>
      </c>
      <c r="EE61" s="236">
        <f>EC61+ED61</f>
        <v/>
      </c>
      <c r="EF61" s="239">
        <f>EE61-EB61</f>
        <v/>
      </c>
      <c r="EG61" s="237">
        <f>IF(EB61=0,"",EE61/EB61)</f>
        <v/>
      </c>
      <c r="EH61" s="33" t="n"/>
      <c r="EI61" s="233" t="n"/>
      <c r="EJ61" s="233" t="n"/>
      <c r="EK61" s="233">
        <f>EI61+EJ61</f>
        <v/>
      </c>
      <c r="EL61" s="233" t="n"/>
      <c r="EM61" s="233" t="n"/>
      <c r="EN61" s="233">
        <f>EL61+EM61</f>
        <v/>
      </c>
      <c r="EO61" s="238">
        <f>EN61-EK61</f>
        <v/>
      </c>
      <c r="EP61" s="235">
        <f>IF(EK61=0,"",EN61/EK61)</f>
        <v/>
      </c>
      <c r="EQ61" s="26" t="n"/>
      <c r="ER61" s="236">
        <f>DZ61+EI61</f>
        <v/>
      </c>
      <c r="ES61" s="236">
        <f>EA61+EJ61</f>
        <v/>
      </c>
      <c r="ET61" s="236">
        <f>ER61+ES61</f>
        <v/>
      </c>
      <c r="EU61" s="236">
        <f>EC61+EL61</f>
        <v/>
      </c>
      <c r="EV61" s="236">
        <f>ED61+EM61</f>
        <v/>
      </c>
      <c r="EW61" s="236">
        <f>EU61+EV61</f>
        <v/>
      </c>
      <c r="EX61" s="239">
        <f>EW61-ET61</f>
        <v/>
      </c>
      <c r="EY61" s="237">
        <f>IF(ET61=0,"",EW61/ET61)</f>
        <v/>
      </c>
      <c r="EZ61" s="33" t="n"/>
      <c r="FA61" s="233" t="n"/>
      <c r="FB61" s="233" t="n"/>
      <c r="FC61" s="233">
        <f>FA61+FB61</f>
        <v/>
      </c>
      <c r="FD61" s="233" t="n"/>
      <c r="FE61" s="233" t="n"/>
      <c r="FF61" s="233">
        <f>FD61+FE61</f>
        <v/>
      </c>
      <c r="FG61" s="238">
        <f>FF61-FC61</f>
        <v/>
      </c>
      <c r="FH61" s="235">
        <f>IF(FC61=0,"",FF61/FC61)</f>
        <v/>
      </c>
      <c r="FI61" s="26" t="n"/>
      <c r="FJ61" s="236">
        <f>ER61+FA61</f>
        <v/>
      </c>
      <c r="FK61" s="236">
        <f>ES61+FB61</f>
        <v/>
      </c>
      <c r="FL61" s="236">
        <f>FJ61+FK61</f>
        <v/>
      </c>
      <c r="FM61" s="236">
        <f>EU61+FD61</f>
        <v/>
      </c>
      <c r="FN61" s="236">
        <f>EV61+FE61</f>
        <v/>
      </c>
      <c r="FO61" s="236">
        <f>FM61+FN61</f>
        <v/>
      </c>
      <c r="FP61" s="239">
        <f>FO61-FL61</f>
        <v/>
      </c>
      <c r="FQ61" s="237">
        <f>IF(FL61=0,"",FO61/FL61)</f>
        <v/>
      </c>
      <c r="FR61" s="33" t="n"/>
      <c r="FS61" s="233" t="n"/>
      <c r="FT61" s="233" t="n"/>
      <c r="FU61" s="233">
        <f>FS61+FT61</f>
        <v/>
      </c>
      <c r="FV61" s="233" t="n"/>
      <c r="FW61" s="233" t="n"/>
      <c r="FX61" s="233">
        <f>FV61+FW61</f>
        <v/>
      </c>
      <c r="FY61" s="238">
        <f>FX61-FU61</f>
        <v/>
      </c>
      <c r="FZ61" s="235">
        <f>IF(FU61=0,"",FX61/FU61)</f>
        <v/>
      </c>
      <c r="GA61" s="26" t="n"/>
      <c r="GB61" s="236">
        <f>FJ61+FS61</f>
        <v/>
      </c>
      <c r="GC61" s="236">
        <f>FK61+FT61</f>
        <v/>
      </c>
      <c r="GD61" s="236">
        <f>GB61+GC61</f>
        <v/>
      </c>
      <c r="GE61" s="236">
        <f>FM61+FV61</f>
        <v/>
      </c>
      <c r="GF61" s="236">
        <f>FN61+FW61</f>
        <v/>
      </c>
      <c r="GG61" s="236">
        <f>GE61+GF61</f>
        <v/>
      </c>
      <c r="GH61" s="239">
        <f>GG61-GD61</f>
        <v/>
      </c>
      <c r="GI61" s="237">
        <f>IF(GD61=0,"",GG61/GD61)</f>
        <v/>
      </c>
      <c r="GJ61" s="33" t="n"/>
      <c r="GK61" s="233" t="n"/>
      <c r="GL61" s="233" t="n"/>
      <c r="GM61" s="233">
        <f>GK61+GL61</f>
        <v/>
      </c>
      <c r="GN61" s="233" t="n"/>
      <c r="GO61" s="233" t="n"/>
      <c r="GP61" s="233">
        <f>GN61+GO61</f>
        <v/>
      </c>
      <c r="GQ61" s="238">
        <f>GP61-GM61</f>
        <v/>
      </c>
      <c r="GR61" s="235">
        <f>IF(GM61=0,"",GP61/GM61)</f>
        <v/>
      </c>
      <c r="GS61" s="26" t="n"/>
      <c r="GT61" s="236">
        <f>GB61+GK61</f>
        <v/>
      </c>
      <c r="GU61" s="236">
        <f>GC61+GL61</f>
        <v/>
      </c>
      <c r="GV61" s="236">
        <f>GT61+GU61</f>
        <v/>
      </c>
      <c r="GW61" s="236">
        <f>GE61+GN61</f>
        <v/>
      </c>
      <c r="GX61" s="236">
        <f>GF61+GO61</f>
        <v/>
      </c>
      <c r="GY61" s="236">
        <f>GW61+GX61</f>
        <v/>
      </c>
      <c r="GZ61" s="239">
        <f>GY61-GV61</f>
        <v/>
      </c>
      <c r="HA61" s="237">
        <f>IF(GV61=0,"",GY61/GV61)</f>
        <v/>
      </c>
      <c r="HB61" s="33" t="n"/>
      <c r="HC61" s="233">
        <f>GT61</f>
        <v/>
      </c>
      <c r="HD61" s="233">
        <f>GU61</f>
        <v/>
      </c>
      <c r="HE61" s="233">
        <f>HC61+HD61</f>
        <v/>
      </c>
    </row>
    <row r="62" outlineLevel="1" ht="15" customHeight="1" s="150">
      <c r="A62" s="26" t="n"/>
      <c r="B62" s="26" t="n"/>
      <c r="C62" s="26" t="n"/>
      <c r="D62" s="233" t="n"/>
      <c r="E62" s="233" t="n"/>
      <c r="F62" s="233">
        <f>D62+E62</f>
        <v/>
      </c>
      <c r="G62" s="233" t="n"/>
      <c r="H62" s="233" t="n"/>
      <c r="I62" s="233">
        <f>G62+H62</f>
        <v/>
      </c>
      <c r="J62" s="238">
        <f>I62-F62</f>
        <v/>
      </c>
      <c r="K62" s="235">
        <f>IF(F62=0,"",I62/F62)</f>
        <v/>
      </c>
      <c r="L62" s="26" t="n"/>
      <c r="M62" s="233" t="n"/>
      <c r="N62" s="233" t="n"/>
      <c r="O62" s="233">
        <f>M62+N62</f>
        <v/>
      </c>
      <c r="P62" s="233" t="n"/>
      <c r="Q62" s="233" t="n"/>
      <c r="R62" s="233">
        <f>P62+Q62</f>
        <v/>
      </c>
      <c r="S62" s="238">
        <f>R62-O62</f>
        <v/>
      </c>
      <c r="T62" s="235">
        <f>IF(O62=0,"",R62/O62)</f>
        <v/>
      </c>
      <c r="U62" s="26" t="n"/>
      <c r="V62" s="236">
        <f>D62+M62</f>
        <v/>
      </c>
      <c r="W62" s="236">
        <f>E62+N62</f>
        <v/>
      </c>
      <c r="X62" s="236">
        <f>V62+W62</f>
        <v/>
      </c>
      <c r="Y62" s="236">
        <f>G62+P62</f>
        <v/>
      </c>
      <c r="Z62" s="236">
        <f>H62+Q62</f>
        <v/>
      </c>
      <c r="AA62" s="236">
        <f>Y62+Z62</f>
        <v/>
      </c>
      <c r="AB62" s="239">
        <f>AA62-X62</f>
        <v/>
      </c>
      <c r="AC62" s="237">
        <f>IF(X62=0,"",AA62/X62)</f>
        <v/>
      </c>
      <c r="AD62" s="33" t="n"/>
      <c r="AE62" s="233" t="n"/>
      <c r="AF62" s="233" t="n"/>
      <c r="AG62" s="233">
        <f>AE62+AF62</f>
        <v/>
      </c>
      <c r="AH62" s="233" t="n"/>
      <c r="AI62" s="233" t="n"/>
      <c r="AJ62" s="233">
        <f>AH62+AI62</f>
        <v/>
      </c>
      <c r="AK62" s="238">
        <f>AJ62-AG62</f>
        <v/>
      </c>
      <c r="AL62" s="235">
        <f>IF(AG62=0,"",AJ62/AG62)</f>
        <v/>
      </c>
      <c r="AM62" s="26" t="n"/>
      <c r="AN62" s="236">
        <f>V62+AE62</f>
        <v/>
      </c>
      <c r="AO62" s="236">
        <f>W62+AF62</f>
        <v/>
      </c>
      <c r="AP62" s="236">
        <f>AN62+AO62</f>
        <v/>
      </c>
      <c r="AQ62" s="236">
        <f>Y62+AH62</f>
        <v/>
      </c>
      <c r="AR62" s="236">
        <f>Z62+AI62</f>
        <v/>
      </c>
      <c r="AS62" s="236">
        <f>AQ62+AR62</f>
        <v/>
      </c>
      <c r="AT62" s="239">
        <f>AS62-AP62</f>
        <v/>
      </c>
      <c r="AU62" s="237">
        <f>IF(AP62=0,"",AS62/AP62)</f>
        <v/>
      </c>
      <c r="AV62" s="33" t="n"/>
      <c r="AW62" s="233" t="n"/>
      <c r="AX62" s="233" t="n"/>
      <c r="AY62" s="233">
        <f>AW62+AX62</f>
        <v/>
      </c>
      <c r="AZ62" s="233" t="n"/>
      <c r="BA62" s="233" t="n"/>
      <c r="BB62" s="233">
        <f>AZ62+BA62</f>
        <v/>
      </c>
      <c r="BC62" s="238">
        <f>BB62-AY62</f>
        <v/>
      </c>
      <c r="BD62" s="235">
        <f>IF(AY62=0,"",BB62/AY62)</f>
        <v/>
      </c>
      <c r="BE62" s="26" t="n"/>
      <c r="BF62" s="236">
        <f>AN62+AW62</f>
        <v/>
      </c>
      <c r="BG62" s="236">
        <f>AO62+AX62</f>
        <v/>
      </c>
      <c r="BH62" s="236">
        <f>BF62+BG62</f>
        <v/>
      </c>
      <c r="BI62" s="236">
        <f>AQ62+AZ62</f>
        <v/>
      </c>
      <c r="BJ62" s="236">
        <f>AR62+BA62</f>
        <v/>
      </c>
      <c r="BK62" s="236">
        <f>BI62+BJ62</f>
        <v/>
      </c>
      <c r="BL62" s="239">
        <f>BK62-BH62</f>
        <v/>
      </c>
      <c r="BM62" s="237">
        <f>IF(BH62=0,"",BK62/BH62)</f>
        <v/>
      </c>
      <c r="BN62" s="33" t="n"/>
      <c r="BO62" s="233" t="n"/>
      <c r="BP62" s="233" t="n"/>
      <c r="BQ62" s="233">
        <f>BO62+BP62</f>
        <v/>
      </c>
      <c r="BR62" s="233" t="n"/>
      <c r="BS62" s="233" t="n"/>
      <c r="BT62" s="233">
        <f>BR62+BS62</f>
        <v/>
      </c>
      <c r="BU62" s="238">
        <f>BT62-BQ62</f>
        <v/>
      </c>
      <c r="BV62" s="235">
        <f>IF(BQ62=0,"",BT62/BQ62)</f>
        <v/>
      </c>
      <c r="BW62" s="26" t="n"/>
      <c r="BX62" s="236">
        <f>BF62+BO62</f>
        <v/>
      </c>
      <c r="BY62" s="236">
        <f>BG62+BP62</f>
        <v/>
      </c>
      <c r="BZ62" s="236">
        <f>BX62+BY62</f>
        <v/>
      </c>
      <c r="CA62" s="236">
        <f>BI62+BR62</f>
        <v/>
      </c>
      <c r="CB62" s="236">
        <f>BJ62+BS62</f>
        <v/>
      </c>
      <c r="CC62" s="236">
        <f>CA62+CB62</f>
        <v/>
      </c>
      <c r="CD62" s="239">
        <f>CC62-BZ62</f>
        <v/>
      </c>
      <c r="CE62" s="237">
        <f>IF(BZ62=0,"",CC62/BZ62)</f>
        <v/>
      </c>
      <c r="CF62" s="33" t="n"/>
      <c r="CG62" s="233" t="n"/>
      <c r="CH62" s="233" t="n"/>
      <c r="CI62" s="233">
        <f>CG62+CH62</f>
        <v/>
      </c>
      <c r="CJ62" s="233" t="n"/>
      <c r="CK62" s="233" t="n"/>
      <c r="CL62" s="233">
        <f>CJ62+CK62</f>
        <v/>
      </c>
      <c r="CM62" s="238">
        <f>CL62-CI62</f>
        <v/>
      </c>
      <c r="CN62" s="235">
        <f>IF(CI62=0,"",CL62/CI62)</f>
        <v/>
      </c>
      <c r="CO62" s="26" t="n"/>
      <c r="CP62" s="236">
        <f>BX62+CG62</f>
        <v/>
      </c>
      <c r="CQ62" s="236">
        <f>BY62+CH62</f>
        <v/>
      </c>
      <c r="CR62" s="236">
        <f>CP62+CQ62</f>
        <v/>
      </c>
      <c r="CS62" s="236">
        <f>CA62+CJ62</f>
        <v/>
      </c>
      <c r="CT62" s="236">
        <f>CB62+CK62</f>
        <v/>
      </c>
      <c r="CU62" s="236">
        <f>CS62+CT62</f>
        <v/>
      </c>
      <c r="CV62" s="239">
        <f>CU62-CR62</f>
        <v/>
      </c>
      <c r="CW62" s="237">
        <f>IF(CR62=0,"",CU62/CR62)</f>
        <v/>
      </c>
      <c r="CX62" s="33" t="n"/>
      <c r="CY62" s="233" t="n"/>
      <c r="CZ62" s="233" t="n"/>
      <c r="DA62" s="233">
        <f>CY62+CZ62</f>
        <v/>
      </c>
      <c r="DB62" s="233" t="n"/>
      <c r="DC62" s="233" t="n"/>
      <c r="DD62" s="233">
        <f>DB62+DC62</f>
        <v/>
      </c>
      <c r="DE62" s="238">
        <f>DD62-DA62</f>
        <v/>
      </c>
      <c r="DF62" s="235">
        <f>IF(DA62=0,"",DD62/DA62)</f>
        <v/>
      </c>
      <c r="DG62" s="26" t="n"/>
      <c r="DH62" s="236">
        <f>CP62+CY62</f>
        <v/>
      </c>
      <c r="DI62" s="236">
        <f>CQ62+CZ62</f>
        <v/>
      </c>
      <c r="DJ62" s="236">
        <f>DH62+DI62</f>
        <v/>
      </c>
      <c r="DK62" s="236">
        <f>CS62+DB62</f>
        <v/>
      </c>
      <c r="DL62" s="236">
        <f>CT62+DC62</f>
        <v/>
      </c>
      <c r="DM62" s="236">
        <f>DK62+DL62</f>
        <v/>
      </c>
      <c r="DN62" s="239">
        <f>DM62-DJ62</f>
        <v/>
      </c>
      <c r="DO62" s="237">
        <f>IF(DJ62=0,"",DM62/DJ62)</f>
        <v/>
      </c>
      <c r="DP62" s="33" t="n"/>
      <c r="DQ62" s="233" t="n"/>
      <c r="DR62" s="233" t="n"/>
      <c r="DS62" s="233">
        <f>DQ62+DR62</f>
        <v/>
      </c>
      <c r="DT62" s="233" t="n"/>
      <c r="DU62" s="233" t="n"/>
      <c r="DV62" s="233">
        <f>DT62+DU62</f>
        <v/>
      </c>
      <c r="DW62" s="238">
        <f>DV62-DS62</f>
        <v/>
      </c>
      <c r="DX62" s="235">
        <f>IF(DS62=0,"",DV62/DS62)</f>
        <v/>
      </c>
      <c r="DY62" s="26" t="n"/>
      <c r="DZ62" s="236">
        <f>DH62+DQ62</f>
        <v/>
      </c>
      <c r="EA62" s="236">
        <f>DI62+DR62</f>
        <v/>
      </c>
      <c r="EB62" s="236">
        <f>DZ62+EA62</f>
        <v/>
      </c>
      <c r="EC62" s="236">
        <f>DK62+DT62</f>
        <v/>
      </c>
      <c r="ED62" s="236">
        <f>DL62+DU62</f>
        <v/>
      </c>
      <c r="EE62" s="236">
        <f>EC62+ED62</f>
        <v/>
      </c>
      <c r="EF62" s="239">
        <f>EE62-EB62</f>
        <v/>
      </c>
      <c r="EG62" s="237">
        <f>IF(EB62=0,"",EE62/EB62)</f>
        <v/>
      </c>
      <c r="EH62" s="33" t="n"/>
      <c r="EI62" s="233" t="n"/>
      <c r="EJ62" s="233" t="n"/>
      <c r="EK62" s="233">
        <f>EI62+EJ62</f>
        <v/>
      </c>
      <c r="EL62" s="233" t="n"/>
      <c r="EM62" s="233" t="n"/>
      <c r="EN62" s="233">
        <f>EL62+EM62</f>
        <v/>
      </c>
      <c r="EO62" s="238">
        <f>EN62-EK62</f>
        <v/>
      </c>
      <c r="EP62" s="235">
        <f>IF(EK62=0,"",EN62/EK62)</f>
        <v/>
      </c>
      <c r="EQ62" s="26" t="n"/>
      <c r="ER62" s="236">
        <f>DZ62+EI62</f>
        <v/>
      </c>
      <c r="ES62" s="236">
        <f>EA62+EJ62</f>
        <v/>
      </c>
      <c r="ET62" s="236">
        <f>ER62+ES62</f>
        <v/>
      </c>
      <c r="EU62" s="236">
        <f>EC62+EL62</f>
        <v/>
      </c>
      <c r="EV62" s="236">
        <f>ED62+EM62</f>
        <v/>
      </c>
      <c r="EW62" s="236">
        <f>EU62+EV62</f>
        <v/>
      </c>
      <c r="EX62" s="239">
        <f>EW62-ET62</f>
        <v/>
      </c>
      <c r="EY62" s="237">
        <f>IF(ET62=0,"",EW62/ET62)</f>
        <v/>
      </c>
      <c r="EZ62" s="33" t="n"/>
      <c r="FA62" s="233" t="n"/>
      <c r="FB62" s="233" t="n"/>
      <c r="FC62" s="233">
        <f>FA62+FB62</f>
        <v/>
      </c>
      <c r="FD62" s="233" t="n"/>
      <c r="FE62" s="233" t="n"/>
      <c r="FF62" s="233">
        <f>FD62+FE62</f>
        <v/>
      </c>
      <c r="FG62" s="238">
        <f>FF62-FC62</f>
        <v/>
      </c>
      <c r="FH62" s="235">
        <f>IF(FC62=0,"",FF62/FC62)</f>
        <v/>
      </c>
      <c r="FI62" s="26" t="n"/>
      <c r="FJ62" s="236">
        <f>ER62+FA62</f>
        <v/>
      </c>
      <c r="FK62" s="236">
        <f>ES62+FB62</f>
        <v/>
      </c>
      <c r="FL62" s="236">
        <f>FJ62+FK62</f>
        <v/>
      </c>
      <c r="FM62" s="236">
        <f>EU62+FD62</f>
        <v/>
      </c>
      <c r="FN62" s="236">
        <f>EV62+FE62</f>
        <v/>
      </c>
      <c r="FO62" s="236">
        <f>FM62+FN62</f>
        <v/>
      </c>
      <c r="FP62" s="239">
        <f>FO62-FL62</f>
        <v/>
      </c>
      <c r="FQ62" s="237">
        <f>IF(FL62=0,"",FO62/FL62)</f>
        <v/>
      </c>
      <c r="FR62" s="33" t="n"/>
      <c r="FS62" s="233" t="n"/>
      <c r="FT62" s="233" t="n"/>
      <c r="FU62" s="233">
        <f>FS62+FT62</f>
        <v/>
      </c>
      <c r="FV62" s="233" t="n"/>
      <c r="FW62" s="233" t="n"/>
      <c r="FX62" s="233">
        <f>FV62+FW62</f>
        <v/>
      </c>
      <c r="FY62" s="238">
        <f>FX62-FU62</f>
        <v/>
      </c>
      <c r="FZ62" s="235">
        <f>IF(FU62=0,"",FX62/FU62)</f>
        <v/>
      </c>
      <c r="GA62" s="26" t="n"/>
      <c r="GB62" s="236">
        <f>FJ62+FS62</f>
        <v/>
      </c>
      <c r="GC62" s="236">
        <f>FK62+FT62</f>
        <v/>
      </c>
      <c r="GD62" s="236">
        <f>GB62+GC62</f>
        <v/>
      </c>
      <c r="GE62" s="236">
        <f>FM62+FV62</f>
        <v/>
      </c>
      <c r="GF62" s="236">
        <f>FN62+FW62</f>
        <v/>
      </c>
      <c r="GG62" s="236">
        <f>GE62+GF62</f>
        <v/>
      </c>
      <c r="GH62" s="239">
        <f>GG62-GD62</f>
        <v/>
      </c>
      <c r="GI62" s="237">
        <f>IF(GD62=0,"",GG62/GD62)</f>
        <v/>
      </c>
      <c r="GJ62" s="33" t="n"/>
      <c r="GK62" s="233" t="n"/>
      <c r="GL62" s="233" t="n"/>
      <c r="GM62" s="233">
        <f>GK62+GL62</f>
        <v/>
      </c>
      <c r="GN62" s="233" t="n"/>
      <c r="GO62" s="233" t="n"/>
      <c r="GP62" s="233">
        <f>GN62+GO62</f>
        <v/>
      </c>
      <c r="GQ62" s="238">
        <f>GP62-GM62</f>
        <v/>
      </c>
      <c r="GR62" s="235">
        <f>IF(GM62=0,"",GP62/GM62)</f>
        <v/>
      </c>
      <c r="GS62" s="26" t="n"/>
      <c r="GT62" s="236">
        <f>GB62+GK62</f>
        <v/>
      </c>
      <c r="GU62" s="236">
        <f>GC62+GL62</f>
        <v/>
      </c>
      <c r="GV62" s="236">
        <f>GT62+GU62</f>
        <v/>
      </c>
      <c r="GW62" s="236">
        <f>GE62+GN62</f>
        <v/>
      </c>
      <c r="GX62" s="236">
        <f>GF62+GO62</f>
        <v/>
      </c>
      <c r="GY62" s="236">
        <f>GW62+GX62</f>
        <v/>
      </c>
      <c r="GZ62" s="239">
        <f>GY62-GV62</f>
        <v/>
      </c>
      <c r="HA62" s="237">
        <f>IF(GV62=0,"",GY62/GV62)</f>
        <v/>
      </c>
      <c r="HB62" s="33" t="n"/>
      <c r="HC62" s="233">
        <f>GT62</f>
        <v/>
      </c>
      <c r="HD62" s="233">
        <f>GU62</f>
        <v/>
      </c>
      <c r="HE62" s="233">
        <f>HC62+HD62</f>
        <v/>
      </c>
    </row>
    <row r="63" outlineLevel="1" ht="15" customHeight="1" s="150">
      <c r="A63" s="26" t="n"/>
      <c r="B63" s="26" t="n"/>
      <c r="C63" s="26" t="n"/>
      <c r="D63" s="233" t="n"/>
      <c r="E63" s="233" t="n"/>
      <c r="F63" s="233">
        <f>D63+E63</f>
        <v/>
      </c>
      <c r="G63" s="233" t="n"/>
      <c r="H63" s="233" t="n"/>
      <c r="I63" s="233">
        <f>G63+H63</f>
        <v/>
      </c>
      <c r="J63" s="238">
        <f>I63-F63</f>
        <v/>
      </c>
      <c r="K63" s="235">
        <f>IF(F63=0,"",I63/F63)</f>
        <v/>
      </c>
      <c r="L63" s="26" t="n"/>
      <c r="M63" s="233" t="n"/>
      <c r="N63" s="233" t="n"/>
      <c r="O63" s="233">
        <f>M63+N63</f>
        <v/>
      </c>
      <c r="P63" s="233" t="n"/>
      <c r="Q63" s="233" t="n"/>
      <c r="R63" s="233">
        <f>P63+Q63</f>
        <v/>
      </c>
      <c r="S63" s="238">
        <f>R63-O63</f>
        <v/>
      </c>
      <c r="T63" s="235">
        <f>IF(O63=0,"",R63/O63)</f>
        <v/>
      </c>
      <c r="U63" s="26" t="n"/>
      <c r="V63" s="236">
        <f>D63+M63</f>
        <v/>
      </c>
      <c r="W63" s="236">
        <f>E63+N63</f>
        <v/>
      </c>
      <c r="X63" s="236">
        <f>V63+W63</f>
        <v/>
      </c>
      <c r="Y63" s="236">
        <f>G63+P63</f>
        <v/>
      </c>
      <c r="Z63" s="236">
        <f>H63+Q63</f>
        <v/>
      </c>
      <c r="AA63" s="236">
        <f>Y63+Z63</f>
        <v/>
      </c>
      <c r="AB63" s="239">
        <f>AA63-X63</f>
        <v/>
      </c>
      <c r="AC63" s="237">
        <f>IF(X63=0,"",AA63/X63)</f>
        <v/>
      </c>
      <c r="AD63" s="33" t="n"/>
      <c r="AE63" s="233" t="n"/>
      <c r="AF63" s="233" t="n"/>
      <c r="AG63" s="233">
        <f>AE63+AF63</f>
        <v/>
      </c>
      <c r="AH63" s="233" t="n"/>
      <c r="AI63" s="233" t="n"/>
      <c r="AJ63" s="233">
        <f>AH63+AI63</f>
        <v/>
      </c>
      <c r="AK63" s="238">
        <f>AJ63-AG63</f>
        <v/>
      </c>
      <c r="AL63" s="235">
        <f>IF(AG63=0,"",AJ63/AG63)</f>
        <v/>
      </c>
      <c r="AM63" s="26" t="n"/>
      <c r="AN63" s="236">
        <f>V63+AE63</f>
        <v/>
      </c>
      <c r="AO63" s="236">
        <f>W63+AF63</f>
        <v/>
      </c>
      <c r="AP63" s="236">
        <f>AN63+AO63</f>
        <v/>
      </c>
      <c r="AQ63" s="236">
        <f>Y63+AH63</f>
        <v/>
      </c>
      <c r="AR63" s="236">
        <f>Z63+AI63</f>
        <v/>
      </c>
      <c r="AS63" s="236">
        <f>AQ63+AR63</f>
        <v/>
      </c>
      <c r="AT63" s="239">
        <f>AS63-AP63</f>
        <v/>
      </c>
      <c r="AU63" s="237">
        <f>IF(AP63=0,"",AS63/AP63)</f>
        <v/>
      </c>
      <c r="AV63" s="33" t="n"/>
      <c r="AW63" s="233" t="n"/>
      <c r="AX63" s="233" t="n"/>
      <c r="AY63" s="233">
        <f>AW63+AX63</f>
        <v/>
      </c>
      <c r="AZ63" s="233" t="n"/>
      <c r="BA63" s="233" t="n"/>
      <c r="BB63" s="233">
        <f>AZ63+BA63</f>
        <v/>
      </c>
      <c r="BC63" s="238">
        <f>BB63-AY63</f>
        <v/>
      </c>
      <c r="BD63" s="235">
        <f>IF(AY63=0,"",BB63/AY63)</f>
        <v/>
      </c>
      <c r="BE63" s="26" t="n"/>
      <c r="BF63" s="236">
        <f>AN63+AW63</f>
        <v/>
      </c>
      <c r="BG63" s="236">
        <f>AO63+AX63</f>
        <v/>
      </c>
      <c r="BH63" s="236">
        <f>BF63+BG63</f>
        <v/>
      </c>
      <c r="BI63" s="236">
        <f>AQ63+AZ63</f>
        <v/>
      </c>
      <c r="BJ63" s="236">
        <f>AR63+BA63</f>
        <v/>
      </c>
      <c r="BK63" s="236">
        <f>BI63+BJ63</f>
        <v/>
      </c>
      <c r="BL63" s="239">
        <f>BK63-BH63</f>
        <v/>
      </c>
      <c r="BM63" s="237">
        <f>IF(BH63=0,"",BK63/BH63)</f>
        <v/>
      </c>
      <c r="BN63" s="33" t="n"/>
      <c r="BO63" s="233" t="n"/>
      <c r="BP63" s="233" t="n"/>
      <c r="BQ63" s="233">
        <f>BO63+BP63</f>
        <v/>
      </c>
      <c r="BR63" s="233" t="n"/>
      <c r="BS63" s="233" t="n"/>
      <c r="BT63" s="233">
        <f>BR63+BS63</f>
        <v/>
      </c>
      <c r="BU63" s="238">
        <f>BT63-BQ63</f>
        <v/>
      </c>
      <c r="BV63" s="235">
        <f>IF(BQ63=0,"",BT63/BQ63)</f>
        <v/>
      </c>
      <c r="BW63" s="26" t="n"/>
      <c r="BX63" s="236">
        <f>BF63+BO63</f>
        <v/>
      </c>
      <c r="BY63" s="236">
        <f>BG63+BP63</f>
        <v/>
      </c>
      <c r="BZ63" s="236">
        <f>BX63+BY63</f>
        <v/>
      </c>
      <c r="CA63" s="236">
        <f>BI63+BR63</f>
        <v/>
      </c>
      <c r="CB63" s="236">
        <f>BJ63+BS63</f>
        <v/>
      </c>
      <c r="CC63" s="236">
        <f>CA63+CB63</f>
        <v/>
      </c>
      <c r="CD63" s="239">
        <f>CC63-BZ63</f>
        <v/>
      </c>
      <c r="CE63" s="237">
        <f>IF(BZ63=0,"",CC63/BZ63)</f>
        <v/>
      </c>
      <c r="CF63" s="33" t="n"/>
      <c r="CG63" s="233" t="n"/>
      <c r="CH63" s="233" t="n"/>
      <c r="CI63" s="233">
        <f>CG63+CH63</f>
        <v/>
      </c>
      <c r="CJ63" s="233" t="n"/>
      <c r="CK63" s="233" t="n"/>
      <c r="CL63" s="233">
        <f>CJ63+CK63</f>
        <v/>
      </c>
      <c r="CM63" s="238">
        <f>CL63-CI63</f>
        <v/>
      </c>
      <c r="CN63" s="235">
        <f>IF(CI63=0,"",CL63/CI63)</f>
        <v/>
      </c>
      <c r="CO63" s="26" t="n"/>
      <c r="CP63" s="236">
        <f>BX63+CG63</f>
        <v/>
      </c>
      <c r="CQ63" s="236">
        <f>BY63+CH63</f>
        <v/>
      </c>
      <c r="CR63" s="236">
        <f>CP63+CQ63</f>
        <v/>
      </c>
      <c r="CS63" s="236">
        <f>CA63+CJ63</f>
        <v/>
      </c>
      <c r="CT63" s="236">
        <f>CB63+CK63</f>
        <v/>
      </c>
      <c r="CU63" s="236">
        <f>CS63+CT63</f>
        <v/>
      </c>
      <c r="CV63" s="239">
        <f>CU63-CR63</f>
        <v/>
      </c>
      <c r="CW63" s="237">
        <f>IF(CR63=0,"",CU63/CR63)</f>
        <v/>
      </c>
      <c r="CX63" s="33" t="n"/>
      <c r="CY63" s="233" t="n"/>
      <c r="CZ63" s="233" t="n"/>
      <c r="DA63" s="233">
        <f>CY63+CZ63</f>
        <v/>
      </c>
      <c r="DB63" s="233" t="n"/>
      <c r="DC63" s="233" t="n"/>
      <c r="DD63" s="233">
        <f>DB63+DC63</f>
        <v/>
      </c>
      <c r="DE63" s="238">
        <f>DD63-DA63</f>
        <v/>
      </c>
      <c r="DF63" s="235">
        <f>IF(DA63=0,"",DD63/DA63)</f>
        <v/>
      </c>
      <c r="DG63" s="26" t="n"/>
      <c r="DH63" s="236">
        <f>CP63+CY63</f>
        <v/>
      </c>
      <c r="DI63" s="236">
        <f>CQ63+CZ63</f>
        <v/>
      </c>
      <c r="DJ63" s="236">
        <f>DH63+DI63</f>
        <v/>
      </c>
      <c r="DK63" s="236">
        <f>CS63+DB63</f>
        <v/>
      </c>
      <c r="DL63" s="236">
        <f>CT63+DC63</f>
        <v/>
      </c>
      <c r="DM63" s="236">
        <f>DK63+DL63</f>
        <v/>
      </c>
      <c r="DN63" s="239">
        <f>DM63-DJ63</f>
        <v/>
      </c>
      <c r="DO63" s="237">
        <f>IF(DJ63=0,"",DM63/DJ63)</f>
        <v/>
      </c>
      <c r="DP63" s="33" t="n"/>
      <c r="DQ63" s="233" t="n"/>
      <c r="DR63" s="233" t="n"/>
      <c r="DS63" s="233">
        <f>DQ63+DR63</f>
        <v/>
      </c>
      <c r="DT63" s="233" t="n"/>
      <c r="DU63" s="233" t="n"/>
      <c r="DV63" s="233">
        <f>DT63+DU63</f>
        <v/>
      </c>
      <c r="DW63" s="238">
        <f>DV63-DS63</f>
        <v/>
      </c>
      <c r="DX63" s="235">
        <f>IF(DS63=0,"",DV63/DS63)</f>
        <v/>
      </c>
      <c r="DY63" s="26" t="n"/>
      <c r="DZ63" s="236">
        <f>DH63+DQ63</f>
        <v/>
      </c>
      <c r="EA63" s="236">
        <f>DI63+DR63</f>
        <v/>
      </c>
      <c r="EB63" s="236">
        <f>DZ63+EA63</f>
        <v/>
      </c>
      <c r="EC63" s="236">
        <f>DK63+DT63</f>
        <v/>
      </c>
      <c r="ED63" s="236">
        <f>DL63+DU63</f>
        <v/>
      </c>
      <c r="EE63" s="236">
        <f>EC63+ED63</f>
        <v/>
      </c>
      <c r="EF63" s="239">
        <f>EE63-EB63</f>
        <v/>
      </c>
      <c r="EG63" s="237">
        <f>IF(EB63=0,"",EE63/EB63)</f>
        <v/>
      </c>
      <c r="EH63" s="33" t="n"/>
      <c r="EI63" s="233" t="n"/>
      <c r="EJ63" s="233" t="n"/>
      <c r="EK63" s="233">
        <f>EI63+EJ63</f>
        <v/>
      </c>
      <c r="EL63" s="233" t="n"/>
      <c r="EM63" s="233" t="n"/>
      <c r="EN63" s="233">
        <f>EL63+EM63</f>
        <v/>
      </c>
      <c r="EO63" s="238">
        <f>EN63-EK63</f>
        <v/>
      </c>
      <c r="EP63" s="235">
        <f>IF(EK63=0,"",EN63/EK63)</f>
        <v/>
      </c>
      <c r="EQ63" s="26" t="n"/>
      <c r="ER63" s="236">
        <f>DZ63+EI63</f>
        <v/>
      </c>
      <c r="ES63" s="236">
        <f>EA63+EJ63</f>
        <v/>
      </c>
      <c r="ET63" s="236">
        <f>ER63+ES63</f>
        <v/>
      </c>
      <c r="EU63" s="236">
        <f>EC63+EL63</f>
        <v/>
      </c>
      <c r="EV63" s="236">
        <f>ED63+EM63</f>
        <v/>
      </c>
      <c r="EW63" s="236">
        <f>EU63+EV63</f>
        <v/>
      </c>
      <c r="EX63" s="239">
        <f>EW63-ET63</f>
        <v/>
      </c>
      <c r="EY63" s="237">
        <f>IF(ET63=0,"",EW63/ET63)</f>
        <v/>
      </c>
      <c r="EZ63" s="33" t="n"/>
      <c r="FA63" s="233" t="n"/>
      <c r="FB63" s="233" t="n"/>
      <c r="FC63" s="233">
        <f>FA63+FB63</f>
        <v/>
      </c>
      <c r="FD63" s="233" t="n"/>
      <c r="FE63" s="233" t="n"/>
      <c r="FF63" s="233">
        <f>FD63+FE63</f>
        <v/>
      </c>
      <c r="FG63" s="238">
        <f>FF63-FC63</f>
        <v/>
      </c>
      <c r="FH63" s="235">
        <f>IF(FC63=0,"",FF63/FC63)</f>
        <v/>
      </c>
      <c r="FI63" s="26" t="n"/>
      <c r="FJ63" s="236">
        <f>ER63+FA63</f>
        <v/>
      </c>
      <c r="FK63" s="236">
        <f>ES63+FB63</f>
        <v/>
      </c>
      <c r="FL63" s="236">
        <f>FJ63+FK63</f>
        <v/>
      </c>
      <c r="FM63" s="236">
        <f>EU63+FD63</f>
        <v/>
      </c>
      <c r="FN63" s="236">
        <f>EV63+FE63</f>
        <v/>
      </c>
      <c r="FO63" s="236">
        <f>FM63+FN63</f>
        <v/>
      </c>
      <c r="FP63" s="239">
        <f>FO63-FL63</f>
        <v/>
      </c>
      <c r="FQ63" s="237">
        <f>IF(FL63=0,"",FO63/FL63)</f>
        <v/>
      </c>
      <c r="FR63" s="33" t="n"/>
      <c r="FS63" s="233" t="n"/>
      <c r="FT63" s="233" t="n"/>
      <c r="FU63" s="233">
        <f>FS63+FT63</f>
        <v/>
      </c>
      <c r="FV63" s="233" t="n"/>
      <c r="FW63" s="233" t="n"/>
      <c r="FX63" s="233">
        <f>FV63+FW63</f>
        <v/>
      </c>
      <c r="FY63" s="238">
        <f>FX63-FU63</f>
        <v/>
      </c>
      <c r="FZ63" s="235">
        <f>IF(FU63=0,"",FX63/FU63)</f>
        <v/>
      </c>
      <c r="GA63" s="26" t="n"/>
      <c r="GB63" s="236">
        <f>FJ63+FS63</f>
        <v/>
      </c>
      <c r="GC63" s="236">
        <f>FK63+FT63</f>
        <v/>
      </c>
      <c r="GD63" s="236">
        <f>GB63+GC63</f>
        <v/>
      </c>
      <c r="GE63" s="236">
        <f>FM63+FV63</f>
        <v/>
      </c>
      <c r="GF63" s="236">
        <f>FN63+FW63</f>
        <v/>
      </c>
      <c r="GG63" s="236">
        <f>GE63+GF63</f>
        <v/>
      </c>
      <c r="GH63" s="239">
        <f>GG63-GD63</f>
        <v/>
      </c>
      <c r="GI63" s="237">
        <f>IF(GD63=0,"",GG63/GD63)</f>
        <v/>
      </c>
      <c r="GJ63" s="33" t="n"/>
      <c r="GK63" s="233" t="n"/>
      <c r="GL63" s="233" t="n"/>
      <c r="GM63" s="233">
        <f>GK63+GL63</f>
        <v/>
      </c>
      <c r="GN63" s="233" t="n"/>
      <c r="GO63" s="233" t="n"/>
      <c r="GP63" s="233">
        <f>GN63+GO63</f>
        <v/>
      </c>
      <c r="GQ63" s="238">
        <f>GP63-GM63</f>
        <v/>
      </c>
      <c r="GR63" s="235">
        <f>IF(GM63=0,"",GP63/GM63)</f>
        <v/>
      </c>
      <c r="GS63" s="26" t="n"/>
      <c r="GT63" s="236">
        <f>GB63+GK63</f>
        <v/>
      </c>
      <c r="GU63" s="236">
        <f>GC63+GL63</f>
        <v/>
      </c>
      <c r="GV63" s="236">
        <f>GT63+GU63</f>
        <v/>
      </c>
      <c r="GW63" s="236">
        <f>GE63+GN63</f>
        <v/>
      </c>
      <c r="GX63" s="236">
        <f>GF63+GO63</f>
        <v/>
      </c>
      <c r="GY63" s="236">
        <f>GW63+GX63</f>
        <v/>
      </c>
      <c r="GZ63" s="239">
        <f>GY63-GV63</f>
        <v/>
      </c>
      <c r="HA63" s="237">
        <f>IF(GV63=0,"",GY63/GV63)</f>
        <v/>
      </c>
      <c r="HB63" s="33" t="n"/>
      <c r="HC63" s="233">
        <f>GT63</f>
        <v/>
      </c>
      <c r="HD63" s="233">
        <f>GU63</f>
        <v/>
      </c>
      <c r="HE63" s="233">
        <f>HC63+HD63</f>
        <v/>
      </c>
    </row>
    <row r="64" outlineLevel="1" ht="15" customHeight="1" s="150">
      <c r="A64" s="26" t="n"/>
      <c r="B64" s="26" t="n"/>
      <c r="C64" s="26" t="n"/>
      <c r="D64" s="233" t="n"/>
      <c r="E64" s="233" t="n"/>
      <c r="F64" s="233">
        <f>D64+E64</f>
        <v/>
      </c>
      <c r="G64" s="233" t="n"/>
      <c r="H64" s="233" t="n"/>
      <c r="I64" s="233">
        <f>G64+H64</f>
        <v/>
      </c>
      <c r="J64" s="238">
        <f>I64-F64</f>
        <v/>
      </c>
      <c r="K64" s="235">
        <f>IF(F64=0,"",I64/F64)</f>
        <v/>
      </c>
      <c r="L64" s="26" t="n"/>
      <c r="M64" s="233" t="n"/>
      <c r="N64" s="233" t="n"/>
      <c r="O64" s="233">
        <f>M64+N64</f>
        <v/>
      </c>
      <c r="P64" s="233" t="n"/>
      <c r="Q64" s="233" t="n"/>
      <c r="R64" s="233">
        <f>P64+Q64</f>
        <v/>
      </c>
      <c r="S64" s="238">
        <f>R64-O64</f>
        <v/>
      </c>
      <c r="T64" s="235">
        <f>IF(O64=0,"",R64/O64)</f>
        <v/>
      </c>
      <c r="U64" s="26" t="n"/>
      <c r="V64" s="236">
        <f>D64+M64</f>
        <v/>
      </c>
      <c r="W64" s="236">
        <f>E64+N64</f>
        <v/>
      </c>
      <c r="X64" s="236">
        <f>V64+W64</f>
        <v/>
      </c>
      <c r="Y64" s="236">
        <f>G64+P64</f>
        <v/>
      </c>
      <c r="Z64" s="236">
        <f>H64+Q64</f>
        <v/>
      </c>
      <c r="AA64" s="236">
        <f>Y64+Z64</f>
        <v/>
      </c>
      <c r="AB64" s="239">
        <f>AA64-X64</f>
        <v/>
      </c>
      <c r="AC64" s="237">
        <f>IF(X64=0,"",AA64/X64)</f>
        <v/>
      </c>
      <c r="AD64" s="33" t="n"/>
      <c r="AE64" s="233" t="n"/>
      <c r="AF64" s="233" t="n"/>
      <c r="AG64" s="233">
        <f>AE64+AF64</f>
        <v/>
      </c>
      <c r="AH64" s="233" t="n"/>
      <c r="AI64" s="233" t="n"/>
      <c r="AJ64" s="233">
        <f>AH64+AI64</f>
        <v/>
      </c>
      <c r="AK64" s="238">
        <f>AJ64-AG64</f>
        <v/>
      </c>
      <c r="AL64" s="235">
        <f>IF(AG64=0,"",AJ64/AG64)</f>
        <v/>
      </c>
      <c r="AM64" s="26" t="n"/>
      <c r="AN64" s="236">
        <f>V64+AE64</f>
        <v/>
      </c>
      <c r="AO64" s="236">
        <f>W64+AF64</f>
        <v/>
      </c>
      <c r="AP64" s="236">
        <f>AN64+AO64</f>
        <v/>
      </c>
      <c r="AQ64" s="236">
        <f>Y64+AH64</f>
        <v/>
      </c>
      <c r="AR64" s="236">
        <f>Z64+AI64</f>
        <v/>
      </c>
      <c r="AS64" s="236">
        <f>AQ64+AR64</f>
        <v/>
      </c>
      <c r="AT64" s="239">
        <f>AS64-AP64</f>
        <v/>
      </c>
      <c r="AU64" s="237">
        <f>IF(AP64=0,"",AS64/AP64)</f>
        <v/>
      </c>
      <c r="AV64" s="33" t="n"/>
      <c r="AW64" s="233" t="n"/>
      <c r="AX64" s="233" t="n"/>
      <c r="AY64" s="233">
        <f>AW64+AX64</f>
        <v/>
      </c>
      <c r="AZ64" s="233" t="n"/>
      <c r="BA64" s="233" t="n"/>
      <c r="BB64" s="233">
        <f>AZ64+BA64</f>
        <v/>
      </c>
      <c r="BC64" s="238">
        <f>BB64-AY64</f>
        <v/>
      </c>
      <c r="BD64" s="235">
        <f>IF(AY64=0,"",BB64/AY64)</f>
        <v/>
      </c>
      <c r="BE64" s="26" t="n"/>
      <c r="BF64" s="236">
        <f>AN64+AW64</f>
        <v/>
      </c>
      <c r="BG64" s="236">
        <f>AO64+AX64</f>
        <v/>
      </c>
      <c r="BH64" s="236">
        <f>BF64+BG64</f>
        <v/>
      </c>
      <c r="BI64" s="236">
        <f>AQ64+AZ64</f>
        <v/>
      </c>
      <c r="BJ64" s="236">
        <f>AR64+BA64</f>
        <v/>
      </c>
      <c r="BK64" s="236">
        <f>BI64+BJ64</f>
        <v/>
      </c>
      <c r="BL64" s="239">
        <f>BK64-BH64</f>
        <v/>
      </c>
      <c r="BM64" s="237">
        <f>IF(BH64=0,"",BK64/BH64)</f>
        <v/>
      </c>
      <c r="BN64" s="33" t="n"/>
      <c r="BO64" s="233" t="n"/>
      <c r="BP64" s="233" t="n"/>
      <c r="BQ64" s="233">
        <f>BO64+BP64</f>
        <v/>
      </c>
      <c r="BR64" s="233" t="n"/>
      <c r="BS64" s="233" t="n"/>
      <c r="BT64" s="233">
        <f>BR64+BS64</f>
        <v/>
      </c>
      <c r="BU64" s="238">
        <f>BT64-BQ64</f>
        <v/>
      </c>
      <c r="BV64" s="235">
        <f>IF(BQ64=0,"",BT64/BQ64)</f>
        <v/>
      </c>
      <c r="BW64" s="26" t="n"/>
      <c r="BX64" s="236">
        <f>BF64+BO64</f>
        <v/>
      </c>
      <c r="BY64" s="236">
        <f>BG64+BP64</f>
        <v/>
      </c>
      <c r="BZ64" s="236">
        <f>BX64+BY64</f>
        <v/>
      </c>
      <c r="CA64" s="236">
        <f>BI64+BR64</f>
        <v/>
      </c>
      <c r="CB64" s="236">
        <f>BJ64+BS64</f>
        <v/>
      </c>
      <c r="CC64" s="236">
        <f>CA64+CB64</f>
        <v/>
      </c>
      <c r="CD64" s="239">
        <f>CC64-BZ64</f>
        <v/>
      </c>
      <c r="CE64" s="237">
        <f>IF(BZ64=0,"",CC64/BZ64)</f>
        <v/>
      </c>
      <c r="CF64" s="33" t="n"/>
      <c r="CG64" s="233" t="n"/>
      <c r="CH64" s="233" t="n"/>
      <c r="CI64" s="233">
        <f>CG64+CH64</f>
        <v/>
      </c>
      <c r="CJ64" s="233" t="n"/>
      <c r="CK64" s="233" t="n"/>
      <c r="CL64" s="233">
        <f>CJ64+CK64</f>
        <v/>
      </c>
      <c r="CM64" s="238">
        <f>CL64-CI64</f>
        <v/>
      </c>
      <c r="CN64" s="235">
        <f>IF(CI64=0,"",CL64/CI64)</f>
        <v/>
      </c>
      <c r="CO64" s="26" t="n"/>
      <c r="CP64" s="236">
        <f>BX64+CG64</f>
        <v/>
      </c>
      <c r="CQ64" s="236">
        <f>BY64+CH64</f>
        <v/>
      </c>
      <c r="CR64" s="236">
        <f>CP64+CQ64</f>
        <v/>
      </c>
      <c r="CS64" s="236">
        <f>CA64+CJ64</f>
        <v/>
      </c>
      <c r="CT64" s="236">
        <f>CB64+CK64</f>
        <v/>
      </c>
      <c r="CU64" s="236">
        <f>CS64+CT64</f>
        <v/>
      </c>
      <c r="CV64" s="239">
        <f>CU64-CR64</f>
        <v/>
      </c>
      <c r="CW64" s="237">
        <f>IF(CR64=0,"",CU64/CR64)</f>
        <v/>
      </c>
      <c r="CX64" s="33" t="n"/>
      <c r="CY64" s="233" t="n"/>
      <c r="CZ64" s="233" t="n"/>
      <c r="DA64" s="233">
        <f>CY64+CZ64</f>
        <v/>
      </c>
      <c r="DB64" s="233" t="n"/>
      <c r="DC64" s="233" t="n"/>
      <c r="DD64" s="233">
        <f>DB64+DC64</f>
        <v/>
      </c>
      <c r="DE64" s="238">
        <f>DD64-DA64</f>
        <v/>
      </c>
      <c r="DF64" s="235">
        <f>IF(DA64=0,"",DD64/DA64)</f>
        <v/>
      </c>
      <c r="DG64" s="26" t="n"/>
      <c r="DH64" s="236">
        <f>CP64+CY64</f>
        <v/>
      </c>
      <c r="DI64" s="236">
        <f>CQ64+CZ64</f>
        <v/>
      </c>
      <c r="DJ64" s="236">
        <f>DH64+DI64</f>
        <v/>
      </c>
      <c r="DK64" s="236">
        <f>CS64+DB64</f>
        <v/>
      </c>
      <c r="DL64" s="236">
        <f>CT64+DC64</f>
        <v/>
      </c>
      <c r="DM64" s="236">
        <f>DK64+DL64</f>
        <v/>
      </c>
      <c r="DN64" s="239">
        <f>DM64-DJ64</f>
        <v/>
      </c>
      <c r="DO64" s="237">
        <f>IF(DJ64=0,"",DM64/DJ64)</f>
        <v/>
      </c>
      <c r="DP64" s="33" t="n"/>
      <c r="DQ64" s="233" t="n"/>
      <c r="DR64" s="233" t="n"/>
      <c r="DS64" s="233">
        <f>DQ64+DR64</f>
        <v/>
      </c>
      <c r="DT64" s="233" t="n"/>
      <c r="DU64" s="233" t="n"/>
      <c r="DV64" s="233">
        <f>DT64+DU64</f>
        <v/>
      </c>
      <c r="DW64" s="238">
        <f>DV64-DS64</f>
        <v/>
      </c>
      <c r="DX64" s="235">
        <f>IF(DS64=0,"",DV64/DS64)</f>
        <v/>
      </c>
      <c r="DY64" s="26" t="n"/>
      <c r="DZ64" s="236">
        <f>DH64+DQ64</f>
        <v/>
      </c>
      <c r="EA64" s="236">
        <f>DI64+DR64</f>
        <v/>
      </c>
      <c r="EB64" s="236">
        <f>DZ64+EA64</f>
        <v/>
      </c>
      <c r="EC64" s="236">
        <f>DK64+DT64</f>
        <v/>
      </c>
      <c r="ED64" s="236">
        <f>DL64+DU64</f>
        <v/>
      </c>
      <c r="EE64" s="236">
        <f>EC64+ED64</f>
        <v/>
      </c>
      <c r="EF64" s="239">
        <f>EE64-EB64</f>
        <v/>
      </c>
      <c r="EG64" s="237">
        <f>IF(EB64=0,"",EE64/EB64)</f>
        <v/>
      </c>
      <c r="EH64" s="33" t="n"/>
      <c r="EI64" s="233" t="n"/>
      <c r="EJ64" s="233" t="n"/>
      <c r="EK64" s="233">
        <f>EI64+EJ64</f>
        <v/>
      </c>
      <c r="EL64" s="233" t="n"/>
      <c r="EM64" s="233" t="n"/>
      <c r="EN64" s="233">
        <f>EL64+EM64</f>
        <v/>
      </c>
      <c r="EO64" s="238">
        <f>EN64-EK64</f>
        <v/>
      </c>
      <c r="EP64" s="235">
        <f>IF(EK64=0,"",EN64/EK64)</f>
        <v/>
      </c>
      <c r="EQ64" s="26" t="n"/>
      <c r="ER64" s="236">
        <f>DZ64+EI64</f>
        <v/>
      </c>
      <c r="ES64" s="236">
        <f>EA64+EJ64</f>
        <v/>
      </c>
      <c r="ET64" s="236">
        <f>ER64+ES64</f>
        <v/>
      </c>
      <c r="EU64" s="236">
        <f>EC64+EL64</f>
        <v/>
      </c>
      <c r="EV64" s="236">
        <f>ED64+EM64</f>
        <v/>
      </c>
      <c r="EW64" s="236">
        <f>EU64+EV64</f>
        <v/>
      </c>
      <c r="EX64" s="239">
        <f>EW64-ET64</f>
        <v/>
      </c>
      <c r="EY64" s="237">
        <f>IF(ET64=0,"",EW64/ET64)</f>
        <v/>
      </c>
      <c r="EZ64" s="33" t="n"/>
      <c r="FA64" s="233" t="n"/>
      <c r="FB64" s="233" t="n"/>
      <c r="FC64" s="233">
        <f>FA64+FB64</f>
        <v/>
      </c>
      <c r="FD64" s="233" t="n"/>
      <c r="FE64" s="233" t="n"/>
      <c r="FF64" s="233">
        <f>FD64+FE64</f>
        <v/>
      </c>
      <c r="FG64" s="238">
        <f>FF64-FC64</f>
        <v/>
      </c>
      <c r="FH64" s="235">
        <f>IF(FC64=0,"",FF64/FC64)</f>
        <v/>
      </c>
      <c r="FI64" s="26" t="n"/>
      <c r="FJ64" s="236">
        <f>ER64+FA64</f>
        <v/>
      </c>
      <c r="FK64" s="236">
        <f>ES64+FB64</f>
        <v/>
      </c>
      <c r="FL64" s="236">
        <f>FJ64+FK64</f>
        <v/>
      </c>
      <c r="FM64" s="236">
        <f>EU64+FD64</f>
        <v/>
      </c>
      <c r="FN64" s="236">
        <f>EV64+FE64</f>
        <v/>
      </c>
      <c r="FO64" s="236">
        <f>FM64+FN64</f>
        <v/>
      </c>
      <c r="FP64" s="239">
        <f>FO64-FL64</f>
        <v/>
      </c>
      <c r="FQ64" s="237">
        <f>IF(FL64=0,"",FO64/FL64)</f>
        <v/>
      </c>
      <c r="FR64" s="33" t="n"/>
      <c r="FS64" s="233" t="n"/>
      <c r="FT64" s="233" t="n"/>
      <c r="FU64" s="233">
        <f>FS64+FT64</f>
        <v/>
      </c>
      <c r="FV64" s="233" t="n"/>
      <c r="FW64" s="233" t="n"/>
      <c r="FX64" s="233">
        <f>FV64+FW64</f>
        <v/>
      </c>
      <c r="FY64" s="238">
        <f>FX64-FU64</f>
        <v/>
      </c>
      <c r="FZ64" s="235">
        <f>IF(FU64=0,"",FX64/FU64)</f>
        <v/>
      </c>
      <c r="GA64" s="26" t="n"/>
      <c r="GB64" s="236">
        <f>FJ64+FS64</f>
        <v/>
      </c>
      <c r="GC64" s="236">
        <f>FK64+FT64</f>
        <v/>
      </c>
      <c r="GD64" s="236">
        <f>GB64+GC64</f>
        <v/>
      </c>
      <c r="GE64" s="236">
        <f>FM64+FV64</f>
        <v/>
      </c>
      <c r="GF64" s="236">
        <f>FN64+FW64</f>
        <v/>
      </c>
      <c r="GG64" s="236">
        <f>GE64+GF64</f>
        <v/>
      </c>
      <c r="GH64" s="239">
        <f>GG64-GD64</f>
        <v/>
      </c>
      <c r="GI64" s="237">
        <f>IF(GD64=0,"",GG64/GD64)</f>
        <v/>
      </c>
      <c r="GJ64" s="33" t="n"/>
      <c r="GK64" s="233" t="n"/>
      <c r="GL64" s="233" t="n"/>
      <c r="GM64" s="233">
        <f>GK64+GL64</f>
        <v/>
      </c>
      <c r="GN64" s="233" t="n"/>
      <c r="GO64" s="233" t="n"/>
      <c r="GP64" s="233">
        <f>GN64+GO64</f>
        <v/>
      </c>
      <c r="GQ64" s="238">
        <f>GP64-GM64</f>
        <v/>
      </c>
      <c r="GR64" s="235">
        <f>IF(GM64=0,"",GP64/GM64)</f>
        <v/>
      </c>
      <c r="GS64" s="26" t="n"/>
      <c r="GT64" s="236">
        <f>GB64+GK64</f>
        <v/>
      </c>
      <c r="GU64" s="236">
        <f>GC64+GL64</f>
        <v/>
      </c>
      <c r="GV64" s="236">
        <f>GT64+GU64</f>
        <v/>
      </c>
      <c r="GW64" s="236">
        <f>GE64+GN64</f>
        <v/>
      </c>
      <c r="GX64" s="236">
        <f>GF64+GO64</f>
        <v/>
      </c>
      <c r="GY64" s="236">
        <f>GW64+GX64</f>
        <v/>
      </c>
      <c r="GZ64" s="239">
        <f>GY64-GV64</f>
        <v/>
      </c>
      <c r="HA64" s="237">
        <f>IF(GV64=0,"",GY64/GV64)</f>
        <v/>
      </c>
      <c r="HB64" s="33" t="n"/>
      <c r="HC64" s="233">
        <f>GT64</f>
        <v/>
      </c>
      <c r="HD64" s="233">
        <f>GU64</f>
        <v/>
      </c>
      <c r="HE64" s="233">
        <f>HC64+HD64</f>
        <v/>
      </c>
    </row>
    <row r="65" outlineLevel="1" ht="15" customHeight="1" s="150">
      <c r="A65" s="26" t="n"/>
      <c r="B65" s="26" t="n"/>
      <c r="C65" s="26" t="n"/>
      <c r="D65" s="233" t="n"/>
      <c r="E65" s="233" t="n"/>
      <c r="F65" s="233">
        <f>D65+E65</f>
        <v/>
      </c>
      <c r="G65" s="233" t="n"/>
      <c r="H65" s="233" t="n"/>
      <c r="I65" s="233">
        <f>G65+H65</f>
        <v/>
      </c>
      <c r="J65" s="238">
        <f>I65-F65</f>
        <v/>
      </c>
      <c r="K65" s="235">
        <f>IF(F65=0,"",I65/F65)</f>
        <v/>
      </c>
      <c r="L65" s="26" t="n"/>
      <c r="M65" s="233" t="n"/>
      <c r="N65" s="233" t="n"/>
      <c r="O65" s="233">
        <f>M65+N65</f>
        <v/>
      </c>
      <c r="P65" s="233" t="n"/>
      <c r="Q65" s="233" t="n"/>
      <c r="R65" s="233">
        <f>P65+Q65</f>
        <v/>
      </c>
      <c r="S65" s="234">
        <f>R65-O65</f>
        <v/>
      </c>
      <c r="T65" s="235">
        <f>IF(O65=0,"",R65/O65)</f>
        <v/>
      </c>
      <c r="U65" s="26" t="n"/>
      <c r="V65" s="236">
        <f>D65+M65</f>
        <v/>
      </c>
      <c r="W65" s="236">
        <f>E65+N65</f>
        <v/>
      </c>
      <c r="X65" s="236">
        <f>V65+W65</f>
        <v/>
      </c>
      <c r="Y65" s="236">
        <f>G65+P65</f>
        <v/>
      </c>
      <c r="Z65" s="236">
        <f>H65+Q65</f>
        <v/>
      </c>
      <c r="AA65" s="236">
        <f>Y65+Z65</f>
        <v/>
      </c>
      <c r="AB65" s="234">
        <f>AA65-X65</f>
        <v/>
      </c>
      <c r="AC65" s="237">
        <f>IF(X65=0,"",AA65/X65)</f>
        <v/>
      </c>
      <c r="AD65" s="33" t="n"/>
      <c r="AE65" s="233" t="n"/>
      <c r="AF65" s="233" t="n"/>
      <c r="AG65" s="233">
        <f>AE65+AF65</f>
        <v/>
      </c>
      <c r="AH65" s="233" t="n"/>
      <c r="AI65" s="233" t="n"/>
      <c r="AJ65" s="233">
        <f>AH65+AI65</f>
        <v/>
      </c>
      <c r="AK65" s="234">
        <f>AJ65-AG65</f>
        <v/>
      </c>
      <c r="AL65" s="235">
        <f>IF(AG65=0,"",AJ65/AG65)</f>
        <v/>
      </c>
      <c r="AM65" s="26" t="n"/>
      <c r="AN65" s="236">
        <f>V65+AE65</f>
        <v/>
      </c>
      <c r="AO65" s="236">
        <f>W65+AF65</f>
        <v/>
      </c>
      <c r="AP65" s="236">
        <f>AN65+AO65</f>
        <v/>
      </c>
      <c r="AQ65" s="236">
        <f>Y65+AH65</f>
        <v/>
      </c>
      <c r="AR65" s="236">
        <f>Z65+AI65</f>
        <v/>
      </c>
      <c r="AS65" s="236">
        <f>AQ65+AR65</f>
        <v/>
      </c>
      <c r="AT65" s="239">
        <f>AS65-AP65</f>
        <v/>
      </c>
      <c r="AU65" s="237">
        <f>IF(AP65=0,"",AS65/AP65)</f>
        <v/>
      </c>
      <c r="AV65" s="33" t="n"/>
      <c r="AW65" s="233" t="n"/>
      <c r="AX65" s="233" t="n"/>
      <c r="AY65" s="233">
        <f>AW65+AX65</f>
        <v/>
      </c>
      <c r="AZ65" s="233" t="n"/>
      <c r="BA65" s="233" t="n"/>
      <c r="BB65" s="233">
        <f>AZ65+BA65</f>
        <v/>
      </c>
      <c r="BC65" s="238">
        <f>BB65-AY65</f>
        <v/>
      </c>
      <c r="BD65" s="235">
        <f>IF(AY65=0,"",BB65/AY65)</f>
        <v/>
      </c>
      <c r="BE65" s="26" t="n"/>
      <c r="BF65" s="236">
        <f>AN65+AW65</f>
        <v/>
      </c>
      <c r="BG65" s="236">
        <f>AO65+AX65</f>
        <v/>
      </c>
      <c r="BH65" s="236">
        <f>BF65+BG65</f>
        <v/>
      </c>
      <c r="BI65" s="236">
        <f>AQ65+AZ65</f>
        <v/>
      </c>
      <c r="BJ65" s="236">
        <f>AR65+BA65</f>
        <v/>
      </c>
      <c r="BK65" s="236">
        <f>BI65+BJ65</f>
        <v/>
      </c>
      <c r="BL65" s="239">
        <f>BK65-BH65</f>
        <v/>
      </c>
      <c r="BM65" s="237">
        <f>IF(BH65=0,"",BK65/BH65)</f>
        <v/>
      </c>
      <c r="BN65" s="33" t="n"/>
      <c r="BO65" s="233" t="n"/>
      <c r="BP65" s="233" t="n"/>
      <c r="BQ65" s="233">
        <f>BO65+BP65</f>
        <v/>
      </c>
      <c r="BR65" s="233" t="n"/>
      <c r="BS65" s="233" t="n"/>
      <c r="BT65" s="233">
        <f>BR65+BS65</f>
        <v/>
      </c>
      <c r="BU65" s="238">
        <f>BT65-BQ65</f>
        <v/>
      </c>
      <c r="BV65" s="235">
        <f>IF(BQ65=0,"",BT65/BQ65)</f>
        <v/>
      </c>
      <c r="BW65" s="26" t="n"/>
      <c r="BX65" s="236">
        <f>BF65+BO65</f>
        <v/>
      </c>
      <c r="BY65" s="236">
        <f>BG65+BP65</f>
        <v/>
      </c>
      <c r="BZ65" s="236">
        <f>BX65+BY65</f>
        <v/>
      </c>
      <c r="CA65" s="236">
        <f>BI65+BR65</f>
        <v/>
      </c>
      <c r="CB65" s="236">
        <f>BJ65+BS65</f>
        <v/>
      </c>
      <c r="CC65" s="236">
        <f>CA65+CB65</f>
        <v/>
      </c>
      <c r="CD65" s="239">
        <f>CC65-BZ65</f>
        <v/>
      </c>
      <c r="CE65" s="237">
        <f>IF(BZ65=0,"",CC65/BZ65)</f>
        <v/>
      </c>
      <c r="CF65" s="33" t="n"/>
      <c r="CG65" s="233" t="n"/>
      <c r="CH65" s="233" t="n"/>
      <c r="CI65" s="233">
        <f>CG65+CH65</f>
        <v/>
      </c>
      <c r="CJ65" s="233" t="n"/>
      <c r="CK65" s="233" t="n"/>
      <c r="CL65" s="233">
        <f>CJ65+CK65</f>
        <v/>
      </c>
      <c r="CM65" s="238">
        <f>CL65-CI65</f>
        <v/>
      </c>
      <c r="CN65" s="235">
        <f>IF(CI65=0,"",CL65/CI65)</f>
        <v/>
      </c>
      <c r="CO65" s="26" t="n"/>
      <c r="CP65" s="236">
        <f>BX65+CG65</f>
        <v/>
      </c>
      <c r="CQ65" s="236">
        <f>BY65+CH65</f>
        <v/>
      </c>
      <c r="CR65" s="236">
        <f>CP65+CQ65</f>
        <v/>
      </c>
      <c r="CS65" s="236">
        <f>CA65+CJ65</f>
        <v/>
      </c>
      <c r="CT65" s="236">
        <f>CB65+CK65</f>
        <v/>
      </c>
      <c r="CU65" s="236">
        <f>CS65+CT65</f>
        <v/>
      </c>
      <c r="CV65" s="239">
        <f>CU65-CR65</f>
        <v/>
      </c>
      <c r="CW65" s="237">
        <f>IF(CR65=0,"",CU65/CR65)</f>
        <v/>
      </c>
      <c r="CX65" s="33" t="n"/>
      <c r="CY65" s="233" t="n"/>
      <c r="CZ65" s="233" t="n"/>
      <c r="DA65" s="233">
        <f>CY65+CZ65</f>
        <v/>
      </c>
      <c r="DB65" s="233" t="n"/>
      <c r="DC65" s="233" t="n"/>
      <c r="DD65" s="233">
        <f>DB65+DC65</f>
        <v/>
      </c>
      <c r="DE65" s="238">
        <f>DD65-DA65</f>
        <v/>
      </c>
      <c r="DF65" s="235">
        <f>IF(DA65=0,"",DD65/DA65)</f>
        <v/>
      </c>
      <c r="DG65" s="26" t="n"/>
      <c r="DH65" s="236">
        <f>CP65+CY65</f>
        <v/>
      </c>
      <c r="DI65" s="236">
        <f>CQ65+CZ65</f>
        <v/>
      </c>
      <c r="DJ65" s="236">
        <f>DH65+DI65</f>
        <v/>
      </c>
      <c r="DK65" s="236">
        <f>CS65+DB65</f>
        <v/>
      </c>
      <c r="DL65" s="236">
        <f>CT65+DC65</f>
        <v/>
      </c>
      <c r="DM65" s="236">
        <f>DK65+DL65</f>
        <v/>
      </c>
      <c r="DN65" s="239">
        <f>DM65-DJ65</f>
        <v/>
      </c>
      <c r="DO65" s="237">
        <f>IF(DJ65=0,"",DM65/DJ65)</f>
        <v/>
      </c>
      <c r="DP65" s="33" t="n"/>
      <c r="DQ65" s="233" t="n"/>
      <c r="DR65" s="233" t="n"/>
      <c r="DS65" s="233">
        <f>DQ65+DR65</f>
        <v/>
      </c>
      <c r="DT65" s="233" t="n"/>
      <c r="DU65" s="233" t="n"/>
      <c r="DV65" s="233">
        <f>DT65+DU65</f>
        <v/>
      </c>
      <c r="DW65" s="238">
        <f>DV65-DS65</f>
        <v/>
      </c>
      <c r="DX65" s="235">
        <f>IF(DS65=0,"",DV65/DS65)</f>
        <v/>
      </c>
      <c r="DY65" s="26" t="n"/>
      <c r="DZ65" s="236">
        <f>DH65+DQ65</f>
        <v/>
      </c>
      <c r="EA65" s="236">
        <f>DI65+DR65</f>
        <v/>
      </c>
      <c r="EB65" s="236">
        <f>DZ65+EA65</f>
        <v/>
      </c>
      <c r="EC65" s="236">
        <f>DK65+DT65</f>
        <v/>
      </c>
      <c r="ED65" s="236">
        <f>DL65+DU65</f>
        <v/>
      </c>
      <c r="EE65" s="236">
        <f>EC65+ED65</f>
        <v/>
      </c>
      <c r="EF65" s="239">
        <f>EE65-EB65</f>
        <v/>
      </c>
      <c r="EG65" s="237">
        <f>IF(EB65=0,"",EE65/EB65)</f>
        <v/>
      </c>
      <c r="EH65" s="33" t="n"/>
      <c r="EI65" s="233" t="n"/>
      <c r="EJ65" s="233" t="n"/>
      <c r="EK65" s="233">
        <f>EI65+EJ65</f>
        <v/>
      </c>
      <c r="EL65" s="233" t="n"/>
      <c r="EM65" s="233" t="n"/>
      <c r="EN65" s="233">
        <f>EL65+EM65</f>
        <v/>
      </c>
      <c r="EO65" s="238">
        <f>EN65-EK65</f>
        <v/>
      </c>
      <c r="EP65" s="235">
        <f>IF(EK65=0,"",EN65/EK65)</f>
        <v/>
      </c>
      <c r="EQ65" s="26" t="n"/>
      <c r="ER65" s="236">
        <f>DZ65+EI65</f>
        <v/>
      </c>
      <c r="ES65" s="236">
        <f>EA65+EJ65</f>
        <v/>
      </c>
      <c r="ET65" s="236">
        <f>ER65+ES65</f>
        <v/>
      </c>
      <c r="EU65" s="236">
        <f>EC65+EL65</f>
        <v/>
      </c>
      <c r="EV65" s="236">
        <f>ED65+EM65</f>
        <v/>
      </c>
      <c r="EW65" s="236">
        <f>EU65+EV65</f>
        <v/>
      </c>
      <c r="EX65" s="239">
        <f>EW65-ET65</f>
        <v/>
      </c>
      <c r="EY65" s="237">
        <f>IF(ET65=0,"",EW65/ET65)</f>
        <v/>
      </c>
      <c r="EZ65" s="33" t="n"/>
      <c r="FA65" s="233" t="n"/>
      <c r="FB65" s="233" t="n"/>
      <c r="FC65" s="233">
        <f>FA65+FB65</f>
        <v/>
      </c>
      <c r="FD65" s="233" t="n"/>
      <c r="FE65" s="233" t="n"/>
      <c r="FF65" s="233">
        <f>FD65+FE65</f>
        <v/>
      </c>
      <c r="FG65" s="238">
        <f>FF65-FC65</f>
        <v/>
      </c>
      <c r="FH65" s="235">
        <f>IF(FC65=0,"",FF65/FC65)</f>
        <v/>
      </c>
      <c r="FI65" s="26" t="n"/>
      <c r="FJ65" s="236">
        <f>ER65+FA65</f>
        <v/>
      </c>
      <c r="FK65" s="236">
        <f>ES65+FB65</f>
        <v/>
      </c>
      <c r="FL65" s="236">
        <f>FJ65+FK65</f>
        <v/>
      </c>
      <c r="FM65" s="236">
        <f>EU65+FD65</f>
        <v/>
      </c>
      <c r="FN65" s="236">
        <f>EV65+FE65</f>
        <v/>
      </c>
      <c r="FO65" s="236">
        <f>FM65+FN65</f>
        <v/>
      </c>
      <c r="FP65" s="239">
        <f>FO65-FL65</f>
        <v/>
      </c>
      <c r="FQ65" s="237">
        <f>IF(FL65=0,"",FO65/FL65)</f>
        <v/>
      </c>
      <c r="FR65" s="33" t="n"/>
      <c r="FS65" s="233" t="n"/>
      <c r="FT65" s="233" t="n"/>
      <c r="FU65" s="233">
        <f>FS65+FT65</f>
        <v/>
      </c>
      <c r="FV65" s="233" t="n"/>
      <c r="FW65" s="233" t="n"/>
      <c r="FX65" s="233">
        <f>FV65+FW65</f>
        <v/>
      </c>
      <c r="FY65" s="238">
        <f>FX65-FU65</f>
        <v/>
      </c>
      <c r="FZ65" s="235">
        <f>IF(FU65=0,"",FX65/FU65)</f>
        <v/>
      </c>
      <c r="GA65" s="26" t="n"/>
      <c r="GB65" s="236">
        <f>FJ65+FS65</f>
        <v/>
      </c>
      <c r="GC65" s="236">
        <f>FK65+FT65</f>
        <v/>
      </c>
      <c r="GD65" s="236">
        <f>GB65+GC65</f>
        <v/>
      </c>
      <c r="GE65" s="236">
        <f>FM65+FV65</f>
        <v/>
      </c>
      <c r="GF65" s="236">
        <f>FN65+FW65</f>
        <v/>
      </c>
      <c r="GG65" s="236">
        <f>GE65+GF65</f>
        <v/>
      </c>
      <c r="GH65" s="239">
        <f>GG65-GD65</f>
        <v/>
      </c>
      <c r="GI65" s="237">
        <f>IF(GD65=0,"",GG65/GD65)</f>
        <v/>
      </c>
      <c r="GJ65" s="33" t="n"/>
      <c r="GK65" s="233" t="n"/>
      <c r="GL65" s="233" t="n"/>
      <c r="GM65" s="233">
        <f>GK65+GL65</f>
        <v/>
      </c>
      <c r="GN65" s="233" t="n"/>
      <c r="GO65" s="233" t="n"/>
      <c r="GP65" s="233">
        <f>GN65+GO65</f>
        <v/>
      </c>
      <c r="GQ65" s="238">
        <f>GP65-GM65</f>
        <v/>
      </c>
      <c r="GR65" s="235">
        <f>IF(GM65=0,"",GP65/GM65)</f>
        <v/>
      </c>
      <c r="GS65" s="26" t="n"/>
      <c r="GT65" s="236">
        <f>GB65+GK65</f>
        <v/>
      </c>
      <c r="GU65" s="236">
        <f>GC65+GL65</f>
        <v/>
      </c>
      <c r="GV65" s="236">
        <f>GT65+GU65</f>
        <v/>
      </c>
      <c r="GW65" s="236">
        <f>GE65+GN65</f>
        <v/>
      </c>
      <c r="GX65" s="236">
        <f>GF65+GO65</f>
        <v/>
      </c>
      <c r="GY65" s="236">
        <f>GW65+GX65</f>
        <v/>
      </c>
      <c r="GZ65" s="239">
        <f>GY65-GV65</f>
        <v/>
      </c>
      <c r="HA65" s="237">
        <f>IF(GV65=0,"",GY65/GV65)</f>
        <v/>
      </c>
      <c r="HB65" s="33" t="n"/>
      <c r="HC65" s="233">
        <f>GT65</f>
        <v/>
      </c>
      <c r="HD65" s="233">
        <f>GU65</f>
        <v/>
      </c>
      <c r="HE65" s="233">
        <f>HC65+HD65</f>
        <v/>
      </c>
    </row>
    <row r="66" outlineLevel="1" ht="15" customHeight="1" s="150">
      <c r="A66" s="26" t="n"/>
      <c r="B66" s="26" t="n"/>
      <c r="C66" s="26" t="n"/>
      <c r="D66" s="233" t="n"/>
      <c r="E66" s="233" t="n"/>
      <c r="F66" s="233">
        <f>D66+E66</f>
        <v/>
      </c>
      <c r="G66" s="233" t="n"/>
      <c r="H66" s="233" t="n"/>
      <c r="I66" s="233">
        <f>G66+H66</f>
        <v/>
      </c>
      <c r="J66" s="238">
        <f>I66-F66</f>
        <v/>
      </c>
      <c r="K66" s="235">
        <f>IF(F66=0,"",I66/F66)</f>
        <v/>
      </c>
      <c r="L66" s="26" t="n"/>
      <c r="M66" s="233" t="n"/>
      <c r="N66" s="233" t="n"/>
      <c r="O66" s="233">
        <f>M66+N66</f>
        <v/>
      </c>
      <c r="P66" s="233" t="n"/>
      <c r="Q66" s="233" t="n"/>
      <c r="R66" s="233">
        <f>P66+Q66</f>
        <v/>
      </c>
      <c r="S66" s="238">
        <f>R66-O66</f>
        <v/>
      </c>
      <c r="T66" s="235">
        <f>IF(O66=0,"",R66/O66)</f>
        <v/>
      </c>
      <c r="U66" s="26" t="n"/>
      <c r="V66" s="236">
        <f>D66+M66</f>
        <v/>
      </c>
      <c r="W66" s="236">
        <f>E66+N66</f>
        <v/>
      </c>
      <c r="X66" s="236">
        <f>V66+W66</f>
        <v/>
      </c>
      <c r="Y66" s="236">
        <f>G66+P66</f>
        <v/>
      </c>
      <c r="Z66" s="236">
        <f>H66+Q66</f>
        <v/>
      </c>
      <c r="AA66" s="236">
        <f>Y66+Z66</f>
        <v/>
      </c>
      <c r="AB66" s="239">
        <f>AA66-X66</f>
        <v/>
      </c>
      <c r="AC66" s="237">
        <f>IF(X66=0,"",AA66/X66)</f>
        <v/>
      </c>
      <c r="AD66" s="33" t="n"/>
      <c r="AE66" s="233" t="n"/>
      <c r="AF66" s="233" t="n"/>
      <c r="AG66" s="233">
        <f>AE66+AF66</f>
        <v/>
      </c>
      <c r="AH66" s="233" t="n"/>
      <c r="AI66" s="233" t="n"/>
      <c r="AJ66" s="233">
        <f>AH66+AI66</f>
        <v/>
      </c>
      <c r="AK66" s="238">
        <f>AJ66-AG66</f>
        <v/>
      </c>
      <c r="AL66" s="235">
        <f>IF(AG66=0,"",AJ66/AG66)</f>
        <v/>
      </c>
      <c r="AM66" s="26" t="n"/>
      <c r="AN66" s="236">
        <f>V66+AE66</f>
        <v/>
      </c>
      <c r="AO66" s="236">
        <f>W66+AF66</f>
        <v/>
      </c>
      <c r="AP66" s="236">
        <f>AN66+AO66</f>
        <v/>
      </c>
      <c r="AQ66" s="236">
        <f>Y66+AH66</f>
        <v/>
      </c>
      <c r="AR66" s="236">
        <f>Z66+AI66</f>
        <v/>
      </c>
      <c r="AS66" s="236">
        <f>AQ66+AR66</f>
        <v/>
      </c>
      <c r="AT66" s="239">
        <f>AS66-AP66</f>
        <v/>
      </c>
      <c r="AU66" s="237">
        <f>IF(AP66=0,"",AS66/AP66)</f>
        <v/>
      </c>
      <c r="AV66" s="33" t="n"/>
      <c r="AW66" s="233" t="n"/>
      <c r="AX66" s="233" t="n"/>
      <c r="AY66" s="233">
        <f>AW66+AX66</f>
        <v/>
      </c>
      <c r="AZ66" s="233" t="n"/>
      <c r="BA66" s="233" t="n"/>
      <c r="BB66" s="233">
        <f>AZ66+BA66</f>
        <v/>
      </c>
      <c r="BC66" s="238">
        <f>BB66-AY66</f>
        <v/>
      </c>
      <c r="BD66" s="235">
        <f>IF(AY66=0,"",BB66/AY66)</f>
        <v/>
      </c>
      <c r="BE66" s="26" t="n"/>
      <c r="BF66" s="236">
        <f>AN66+AW66</f>
        <v/>
      </c>
      <c r="BG66" s="236">
        <f>AO66+AX66</f>
        <v/>
      </c>
      <c r="BH66" s="236">
        <f>BF66+BG66</f>
        <v/>
      </c>
      <c r="BI66" s="236">
        <f>AQ66+AZ66</f>
        <v/>
      </c>
      <c r="BJ66" s="236">
        <f>AR66+BA66</f>
        <v/>
      </c>
      <c r="BK66" s="236">
        <f>BI66+BJ66</f>
        <v/>
      </c>
      <c r="BL66" s="239">
        <f>BK66-BH66</f>
        <v/>
      </c>
      <c r="BM66" s="237">
        <f>IF(BH66=0,"",BK66/BH66)</f>
        <v/>
      </c>
      <c r="BN66" s="33" t="n"/>
      <c r="BO66" s="233" t="n"/>
      <c r="BP66" s="233" t="n"/>
      <c r="BQ66" s="233">
        <f>BO66+BP66</f>
        <v/>
      </c>
      <c r="BR66" s="233" t="n"/>
      <c r="BS66" s="233" t="n"/>
      <c r="BT66" s="233">
        <f>BR66+BS66</f>
        <v/>
      </c>
      <c r="BU66" s="238">
        <f>BT66-BQ66</f>
        <v/>
      </c>
      <c r="BV66" s="235">
        <f>IF(BQ66=0,"",BT66/BQ66)</f>
        <v/>
      </c>
      <c r="BW66" s="26" t="n"/>
      <c r="BX66" s="236">
        <f>BF66+BO66</f>
        <v/>
      </c>
      <c r="BY66" s="236">
        <f>BG66+BP66</f>
        <v/>
      </c>
      <c r="BZ66" s="236">
        <f>BX66+BY66</f>
        <v/>
      </c>
      <c r="CA66" s="236">
        <f>BI66+BR66</f>
        <v/>
      </c>
      <c r="CB66" s="236">
        <f>BJ66+BS66</f>
        <v/>
      </c>
      <c r="CC66" s="236">
        <f>CA66+CB66</f>
        <v/>
      </c>
      <c r="CD66" s="239">
        <f>CC66-BZ66</f>
        <v/>
      </c>
      <c r="CE66" s="237">
        <f>IF(BZ66=0,"",CC66/BZ66)</f>
        <v/>
      </c>
      <c r="CF66" s="33" t="n"/>
      <c r="CG66" s="233" t="n"/>
      <c r="CH66" s="233" t="n"/>
      <c r="CI66" s="233">
        <f>CG66+CH66</f>
        <v/>
      </c>
      <c r="CJ66" s="233" t="n"/>
      <c r="CK66" s="233" t="n"/>
      <c r="CL66" s="233">
        <f>CJ66+CK66</f>
        <v/>
      </c>
      <c r="CM66" s="238">
        <f>CL66-CI66</f>
        <v/>
      </c>
      <c r="CN66" s="235">
        <f>IF(CI66=0,"",CL66/CI66)</f>
        <v/>
      </c>
      <c r="CO66" s="26" t="n"/>
      <c r="CP66" s="236">
        <f>BX66+CG66</f>
        <v/>
      </c>
      <c r="CQ66" s="236">
        <f>BY66+CH66</f>
        <v/>
      </c>
      <c r="CR66" s="236">
        <f>CP66+CQ66</f>
        <v/>
      </c>
      <c r="CS66" s="236">
        <f>CA66+CJ66</f>
        <v/>
      </c>
      <c r="CT66" s="236">
        <f>CB66+CK66</f>
        <v/>
      </c>
      <c r="CU66" s="236">
        <f>CS66+CT66</f>
        <v/>
      </c>
      <c r="CV66" s="239">
        <f>CU66-CR66</f>
        <v/>
      </c>
      <c r="CW66" s="237">
        <f>IF(CR66=0,"",CU66/CR66)</f>
        <v/>
      </c>
      <c r="CX66" s="33" t="n"/>
      <c r="CY66" s="233" t="n"/>
      <c r="CZ66" s="233" t="n"/>
      <c r="DA66" s="233">
        <f>CY66+CZ66</f>
        <v/>
      </c>
      <c r="DB66" s="233" t="n"/>
      <c r="DC66" s="233" t="n"/>
      <c r="DD66" s="233">
        <f>DB66+DC66</f>
        <v/>
      </c>
      <c r="DE66" s="238">
        <f>DD66-DA66</f>
        <v/>
      </c>
      <c r="DF66" s="235">
        <f>IF(DA66=0,"",DD66/DA66)</f>
        <v/>
      </c>
      <c r="DG66" s="26" t="n"/>
      <c r="DH66" s="236">
        <f>CP66+CY66</f>
        <v/>
      </c>
      <c r="DI66" s="236">
        <f>CQ66+CZ66</f>
        <v/>
      </c>
      <c r="DJ66" s="236">
        <f>DH66+DI66</f>
        <v/>
      </c>
      <c r="DK66" s="236">
        <f>CS66+DB66</f>
        <v/>
      </c>
      <c r="DL66" s="236">
        <f>CT66+DC66</f>
        <v/>
      </c>
      <c r="DM66" s="236">
        <f>DK66+DL66</f>
        <v/>
      </c>
      <c r="DN66" s="239">
        <f>DM66-DJ66</f>
        <v/>
      </c>
      <c r="DO66" s="237">
        <f>IF(DJ66=0,"",DM66/DJ66)</f>
        <v/>
      </c>
      <c r="DP66" s="33" t="n"/>
      <c r="DQ66" s="233" t="n"/>
      <c r="DR66" s="233" t="n"/>
      <c r="DS66" s="233">
        <f>DQ66+DR66</f>
        <v/>
      </c>
      <c r="DT66" s="233" t="n"/>
      <c r="DU66" s="233" t="n"/>
      <c r="DV66" s="233">
        <f>DT66+DU66</f>
        <v/>
      </c>
      <c r="DW66" s="238">
        <f>DV66-DS66</f>
        <v/>
      </c>
      <c r="DX66" s="235">
        <f>IF(DS66=0,"",DV66/DS66)</f>
        <v/>
      </c>
      <c r="DY66" s="26" t="n"/>
      <c r="DZ66" s="236">
        <f>DH66+DQ66</f>
        <v/>
      </c>
      <c r="EA66" s="236">
        <f>DI66+DR66</f>
        <v/>
      </c>
      <c r="EB66" s="236">
        <f>DZ66+EA66</f>
        <v/>
      </c>
      <c r="EC66" s="236">
        <f>DK66+DT66</f>
        <v/>
      </c>
      <c r="ED66" s="236">
        <f>DL66+DU66</f>
        <v/>
      </c>
      <c r="EE66" s="236">
        <f>EC66+ED66</f>
        <v/>
      </c>
      <c r="EF66" s="239">
        <f>EE66-EB66</f>
        <v/>
      </c>
      <c r="EG66" s="237">
        <f>IF(EB66=0,"",EE66/EB66)</f>
        <v/>
      </c>
      <c r="EH66" s="33" t="n"/>
      <c r="EI66" s="233" t="n"/>
      <c r="EJ66" s="233" t="n"/>
      <c r="EK66" s="233">
        <f>EI66+EJ66</f>
        <v/>
      </c>
      <c r="EL66" s="233" t="n"/>
      <c r="EM66" s="233" t="n"/>
      <c r="EN66" s="233">
        <f>EL66+EM66</f>
        <v/>
      </c>
      <c r="EO66" s="238">
        <f>EN66-EK66</f>
        <v/>
      </c>
      <c r="EP66" s="235">
        <f>IF(EK66=0,"",EN66/EK66)</f>
        <v/>
      </c>
      <c r="EQ66" s="26" t="n"/>
      <c r="ER66" s="236">
        <f>DZ66+EI66</f>
        <v/>
      </c>
      <c r="ES66" s="236">
        <f>EA66+EJ66</f>
        <v/>
      </c>
      <c r="ET66" s="236">
        <f>ER66+ES66</f>
        <v/>
      </c>
      <c r="EU66" s="236">
        <f>EC66+EL66</f>
        <v/>
      </c>
      <c r="EV66" s="236">
        <f>ED66+EM66</f>
        <v/>
      </c>
      <c r="EW66" s="236">
        <f>EU66+EV66</f>
        <v/>
      </c>
      <c r="EX66" s="239">
        <f>EW66-ET66</f>
        <v/>
      </c>
      <c r="EY66" s="237">
        <f>IF(ET66=0,"",EW66/ET66)</f>
        <v/>
      </c>
      <c r="EZ66" s="33" t="n"/>
      <c r="FA66" s="233" t="n"/>
      <c r="FB66" s="233" t="n"/>
      <c r="FC66" s="233">
        <f>FA66+FB66</f>
        <v/>
      </c>
      <c r="FD66" s="233" t="n"/>
      <c r="FE66" s="233" t="n"/>
      <c r="FF66" s="233">
        <f>FD66+FE66</f>
        <v/>
      </c>
      <c r="FG66" s="238">
        <f>FF66-FC66</f>
        <v/>
      </c>
      <c r="FH66" s="235">
        <f>IF(FC66=0,"",FF66/FC66)</f>
        <v/>
      </c>
      <c r="FI66" s="26" t="n"/>
      <c r="FJ66" s="236">
        <f>ER66+FA66</f>
        <v/>
      </c>
      <c r="FK66" s="236">
        <f>ES66+FB66</f>
        <v/>
      </c>
      <c r="FL66" s="236">
        <f>FJ66+FK66</f>
        <v/>
      </c>
      <c r="FM66" s="236">
        <f>EU66+FD66</f>
        <v/>
      </c>
      <c r="FN66" s="236">
        <f>EV66+FE66</f>
        <v/>
      </c>
      <c r="FO66" s="236">
        <f>FM66+FN66</f>
        <v/>
      </c>
      <c r="FP66" s="239">
        <f>FO66-FL66</f>
        <v/>
      </c>
      <c r="FQ66" s="237">
        <f>IF(FL66=0,"",FO66/FL66)</f>
        <v/>
      </c>
      <c r="FR66" s="33" t="n"/>
      <c r="FS66" s="233" t="n"/>
      <c r="FT66" s="233" t="n"/>
      <c r="FU66" s="233">
        <f>FS66+FT66</f>
        <v/>
      </c>
      <c r="FV66" s="233" t="n"/>
      <c r="FW66" s="233" t="n"/>
      <c r="FX66" s="233">
        <f>FV66+FW66</f>
        <v/>
      </c>
      <c r="FY66" s="238">
        <f>FX66-FU66</f>
        <v/>
      </c>
      <c r="FZ66" s="235">
        <f>IF(FU66=0,"",FX66/FU66)</f>
        <v/>
      </c>
      <c r="GA66" s="26" t="n"/>
      <c r="GB66" s="236">
        <f>FJ66+FS66</f>
        <v/>
      </c>
      <c r="GC66" s="236">
        <f>FK66+FT66</f>
        <v/>
      </c>
      <c r="GD66" s="236">
        <f>GB66+GC66</f>
        <v/>
      </c>
      <c r="GE66" s="236">
        <f>FM66+FV66</f>
        <v/>
      </c>
      <c r="GF66" s="236">
        <f>FN66+FW66</f>
        <v/>
      </c>
      <c r="GG66" s="236">
        <f>GE66+GF66</f>
        <v/>
      </c>
      <c r="GH66" s="239">
        <f>GG66-GD66</f>
        <v/>
      </c>
      <c r="GI66" s="237">
        <f>IF(GD66=0,"",GG66/GD66)</f>
        <v/>
      </c>
      <c r="GJ66" s="33" t="n"/>
      <c r="GK66" s="233" t="n"/>
      <c r="GL66" s="233" t="n"/>
      <c r="GM66" s="233">
        <f>GK66+GL66</f>
        <v/>
      </c>
      <c r="GN66" s="233" t="n"/>
      <c r="GO66" s="233" t="n"/>
      <c r="GP66" s="233">
        <f>GN66+GO66</f>
        <v/>
      </c>
      <c r="GQ66" s="238">
        <f>GP66-GM66</f>
        <v/>
      </c>
      <c r="GR66" s="235">
        <f>IF(GM66=0,"",GP66/GM66)</f>
        <v/>
      </c>
      <c r="GS66" s="26" t="n"/>
      <c r="GT66" s="236">
        <f>GB66+GK66</f>
        <v/>
      </c>
      <c r="GU66" s="236">
        <f>GC66+GL66</f>
        <v/>
      </c>
      <c r="GV66" s="236">
        <f>GT66+GU66</f>
        <v/>
      </c>
      <c r="GW66" s="236">
        <f>GE66+GN66</f>
        <v/>
      </c>
      <c r="GX66" s="236">
        <f>GF66+GO66</f>
        <v/>
      </c>
      <c r="GY66" s="236">
        <f>GW66+GX66</f>
        <v/>
      </c>
      <c r="GZ66" s="239">
        <f>GY66-GV66</f>
        <v/>
      </c>
      <c r="HA66" s="237">
        <f>IF(GV66=0,"",GY66/GV66)</f>
        <v/>
      </c>
      <c r="HB66" s="33" t="n"/>
      <c r="HC66" s="233">
        <f>GT66</f>
        <v/>
      </c>
      <c r="HD66" s="233">
        <f>GU66</f>
        <v/>
      </c>
      <c r="HE66" s="233">
        <f>HC66+HD66</f>
        <v/>
      </c>
    </row>
    <row r="67" ht="15" customHeight="1" s="150">
      <c r="A67" s="6" t="n"/>
      <c r="B67" s="6" t="n"/>
      <c r="C67" s="6" t="n"/>
      <c r="D67" s="223">
        <f>D5+D42</f>
        <v/>
      </c>
      <c r="E67" s="223">
        <f>E5+E42</f>
        <v/>
      </c>
      <c r="F67" s="223">
        <f>D67+E67</f>
        <v/>
      </c>
      <c r="G67" s="223">
        <f>G5+G42</f>
        <v/>
      </c>
      <c r="H67" s="223">
        <f>H5+H42</f>
        <v/>
      </c>
      <c r="I67" s="223">
        <f>G67+H67</f>
        <v/>
      </c>
      <c r="J67" s="223">
        <f>I67-F67</f>
        <v/>
      </c>
      <c r="K67" s="224">
        <f>IF(F67=0,"",I67/F67)</f>
        <v/>
      </c>
      <c r="L67" s="6" t="n"/>
      <c r="M67" s="223">
        <f>M5+M42</f>
        <v/>
      </c>
      <c r="N67" s="223">
        <f>N5+N42</f>
        <v/>
      </c>
      <c r="O67" s="223">
        <f>M67+N67</f>
        <v/>
      </c>
      <c r="P67" s="223">
        <f>P5+P42</f>
        <v/>
      </c>
      <c r="Q67" s="223">
        <f>Q5+Q42</f>
        <v/>
      </c>
      <c r="R67" s="223">
        <f>P67+Q67</f>
        <v/>
      </c>
      <c r="S67" s="223">
        <f>R67-O67</f>
        <v/>
      </c>
      <c r="T67" s="224">
        <f>IF(O67=0,"",R67/O67)</f>
        <v/>
      </c>
      <c r="U67" s="6" t="n"/>
      <c r="V67" s="225">
        <f>V5+V42</f>
        <v/>
      </c>
      <c r="W67" s="225">
        <f>W5+W42</f>
        <v/>
      </c>
      <c r="X67" s="225">
        <f>V67+W67</f>
        <v/>
      </c>
      <c r="Y67" s="225">
        <f>Y5+Y42</f>
        <v/>
      </c>
      <c r="Z67" s="225">
        <f>Z5+Z42</f>
        <v/>
      </c>
      <c r="AA67" s="225">
        <f>Y67+Z67</f>
        <v/>
      </c>
      <c r="AB67" s="225">
        <f>AA67-X67</f>
        <v/>
      </c>
      <c r="AC67" s="226">
        <f>IF(X67=0,"",AA67/X67)</f>
        <v/>
      </c>
      <c r="AD67" s="11" t="n"/>
      <c r="AE67" s="223">
        <f>AE5+AE42</f>
        <v/>
      </c>
      <c r="AF67" s="223">
        <f>AF5+AF42</f>
        <v/>
      </c>
      <c r="AG67" s="223">
        <f>AE67+AF67</f>
        <v/>
      </c>
      <c r="AH67" s="223">
        <f>AH5+AH42</f>
        <v/>
      </c>
      <c r="AI67" s="223">
        <f>AI5+AI42</f>
        <v/>
      </c>
      <c r="AJ67" s="223">
        <f>AH67+AI67</f>
        <v/>
      </c>
      <c r="AK67" s="223">
        <f>AJ67-AG67</f>
        <v/>
      </c>
      <c r="AL67" s="224">
        <f>IF(AG67=0,"",AJ67/AG67)</f>
        <v/>
      </c>
      <c r="AM67" s="6" t="n"/>
      <c r="AN67" s="225">
        <f>AN5+AN42</f>
        <v/>
      </c>
      <c r="AO67" s="225">
        <f>AO5+AO42</f>
        <v/>
      </c>
      <c r="AP67" s="225">
        <f>AN67+AO67</f>
        <v/>
      </c>
      <c r="AQ67" s="225">
        <f>AQ5+AQ42</f>
        <v/>
      </c>
      <c r="AR67" s="225">
        <f>AR5+AR42</f>
        <v/>
      </c>
      <c r="AS67" s="225">
        <f>AQ67+AR67</f>
        <v/>
      </c>
      <c r="AT67" s="225">
        <f>AS67-AP67</f>
        <v/>
      </c>
      <c r="AU67" s="226">
        <f>IF(AP67=0,"",AS67/AP67)</f>
        <v/>
      </c>
      <c r="AV67" s="11" t="n"/>
      <c r="AW67" s="223">
        <f>AW5+AW42</f>
        <v/>
      </c>
      <c r="AX67" s="223">
        <f>AX5+AX42</f>
        <v/>
      </c>
      <c r="AY67" s="223">
        <f>AW67+AX67</f>
        <v/>
      </c>
      <c r="AZ67" s="223">
        <f>AZ5+AZ42</f>
        <v/>
      </c>
      <c r="BA67" s="223">
        <f>BA5+BA42</f>
        <v/>
      </c>
      <c r="BB67" s="223">
        <f>AZ67+BA67</f>
        <v/>
      </c>
      <c r="BC67" s="223">
        <f>BB67-AY67</f>
        <v/>
      </c>
      <c r="BD67" s="224">
        <f>IF(AY67=0,"",BB67/AY67)</f>
        <v/>
      </c>
      <c r="BE67" s="6" t="n"/>
      <c r="BF67" s="225">
        <f>BF5+BF42</f>
        <v/>
      </c>
      <c r="BG67" s="225">
        <f>BG5+BG42</f>
        <v/>
      </c>
      <c r="BH67" s="225">
        <f>BF67+BG67</f>
        <v/>
      </c>
      <c r="BI67" s="225">
        <f>BI5+BI42</f>
        <v/>
      </c>
      <c r="BJ67" s="225">
        <f>BJ5+BJ42</f>
        <v/>
      </c>
      <c r="BK67" s="225">
        <f>BI67+BJ67</f>
        <v/>
      </c>
      <c r="BL67" s="225">
        <f>BK67-BH67</f>
        <v/>
      </c>
      <c r="BM67" s="226">
        <f>IF(BH67=0,"",BK67/BH67)</f>
        <v/>
      </c>
      <c r="BN67" s="11" t="n"/>
      <c r="BO67" s="223">
        <f>BO5+BO42</f>
        <v/>
      </c>
      <c r="BP67" s="223">
        <f>BP5+BP42</f>
        <v/>
      </c>
      <c r="BQ67" s="223">
        <f>BO67+BP67</f>
        <v/>
      </c>
      <c r="BR67" s="223">
        <f>BR5+BR42</f>
        <v/>
      </c>
      <c r="BS67" s="223">
        <f>BS5+BS42</f>
        <v/>
      </c>
      <c r="BT67" s="223">
        <f>BR67+BS67</f>
        <v/>
      </c>
      <c r="BU67" s="223">
        <f>BT67-BQ67</f>
        <v/>
      </c>
      <c r="BV67" s="224">
        <f>IF(BQ67=0,"",BT67/BQ67)</f>
        <v/>
      </c>
      <c r="BW67" s="6" t="n"/>
      <c r="BX67" s="225">
        <f>BX5+BX42</f>
        <v/>
      </c>
      <c r="BY67" s="225">
        <f>BY5+BY42</f>
        <v/>
      </c>
      <c r="BZ67" s="225">
        <f>BX67+BY67</f>
        <v/>
      </c>
      <c r="CA67" s="225">
        <f>CA5+CA42</f>
        <v/>
      </c>
      <c r="CB67" s="225">
        <f>CB5+CB42</f>
        <v/>
      </c>
      <c r="CC67" s="225">
        <f>CA67+CB67</f>
        <v/>
      </c>
      <c r="CD67" s="225">
        <f>CC67-BZ67</f>
        <v/>
      </c>
      <c r="CE67" s="226">
        <f>IF(BZ67=0,"",CC67/BZ67)</f>
        <v/>
      </c>
      <c r="CF67" s="11" t="n"/>
      <c r="CG67" s="223">
        <f>CG5+CG42</f>
        <v/>
      </c>
      <c r="CH67" s="223">
        <f>CH5+CH42</f>
        <v/>
      </c>
      <c r="CI67" s="223">
        <f>CG67+CH67</f>
        <v/>
      </c>
      <c r="CJ67" s="223">
        <f>CJ5+CJ42</f>
        <v/>
      </c>
      <c r="CK67" s="223">
        <f>CK5+CK42</f>
        <v/>
      </c>
      <c r="CL67" s="223">
        <f>CJ67+CK67</f>
        <v/>
      </c>
      <c r="CM67" s="223">
        <f>CL67-CI67</f>
        <v/>
      </c>
      <c r="CN67" s="224">
        <f>IF(CI67=0,"",CL67/CI67)</f>
        <v/>
      </c>
      <c r="CO67" s="6" t="n"/>
      <c r="CP67" s="225">
        <f>CP5+CP42</f>
        <v/>
      </c>
      <c r="CQ67" s="225">
        <f>CQ5+CQ42</f>
        <v/>
      </c>
      <c r="CR67" s="225">
        <f>CP67+CQ67</f>
        <v/>
      </c>
      <c r="CS67" s="225">
        <f>CS5+CS42</f>
        <v/>
      </c>
      <c r="CT67" s="225">
        <f>CT5+CT42</f>
        <v/>
      </c>
      <c r="CU67" s="225">
        <f>CS67+CT67</f>
        <v/>
      </c>
      <c r="CV67" s="225">
        <f>CU67-CR67</f>
        <v/>
      </c>
      <c r="CW67" s="226">
        <f>IF(CR67=0,"",CU67/CR67)</f>
        <v/>
      </c>
      <c r="CX67" s="11" t="n"/>
      <c r="CY67" s="223">
        <f>CY5+CY42</f>
        <v/>
      </c>
      <c r="CZ67" s="223">
        <f>CZ5+CZ42</f>
        <v/>
      </c>
      <c r="DA67" s="223">
        <f>CY67+CZ67</f>
        <v/>
      </c>
      <c r="DB67" s="223">
        <f>DB5+DB42</f>
        <v/>
      </c>
      <c r="DC67" s="223">
        <f>DC5+DC42</f>
        <v/>
      </c>
      <c r="DD67" s="223">
        <f>DB67+DC67</f>
        <v/>
      </c>
      <c r="DE67" s="223">
        <f>DD67-DA67</f>
        <v/>
      </c>
      <c r="DF67" s="224">
        <f>IF(DA67=0,"",DD67/DA67)</f>
        <v/>
      </c>
      <c r="DG67" s="6" t="n"/>
      <c r="DH67" s="225">
        <f>DH5+DH42</f>
        <v/>
      </c>
      <c r="DI67" s="225">
        <f>DI5+DI42</f>
        <v/>
      </c>
      <c r="DJ67" s="225">
        <f>DH67+DI67</f>
        <v/>
      </c>
      <c r="DK67" s="225">
        <f>DK5+DK42</f>
        <v/>
      </c>
      <c r="DL67" s="225">
        <f>DL5+DL42</f>
        <v/>
      </c>
      <c r="DM67" s="225">
        <f>DK67+DL67</f>
        <v/>
      </c>
      <c r="DN67" s="225">
        <f>DM67-DJ67</f>
        <v/>
      </c>
      <c r="DO67" s="226">
        <f>IF(DJ67=0,"",DM67/DJ67)</f>
        <v/>
      </c>
      <c r="DP67" s="11" t="n"/>
      <c r="DQ67" s="223">
        <f>DQ5+DQ42</f>
        <v/>
      </c>
      <c r="DR67" s="223">
        <f>DR5+DR42</f>
        <v/>
      </c>
      <c r="DS67" s="223">
        <f>DQ67+DR67</f>
        <v/>
      </c>
      <c r="DT67" s="223">
        <f>DT5+DT42</f>
        <v/>
      </c>
      <c r="DU67" s="223">
        <f>DU5+DU42</f>
        <v/>
      </c>
      <c r="DV67" s="223">
        <f>DT67+DU67</f>
        <v/>
      </c>
      <c r="DW67" s="223">
        <f>DV67-DS67</f>
        <v/>
      </c>
      <c r="DX67" s="224">
        <f>IF(DS67=0,"",DV67/DS67)</f>
        <v/>
      </c>
      <c r="DY67" s="6" t="n"/>
      <c r="DZ67" s="225">
        <f>DZ5+DZ42</f>
        <v/>
      </c>
      <c r="EA67" s="225">
        <f>EA5+EA42</f>
        <v/>
      </c>
      <c r="EB67" s="225">
        <f>DZ67+EA67</f>
        <v/>
      </c>
      <c r="EC67" s="225">
        <f>EC5+EC42</f>
        <v/>
      </c>
      <c r="ED67" s="225">
        <f>ED5+ED42</f>
        <v/>
      </c>
      <c r="EE67" s="225">
        <f>EC67+ED67</f>
        <v/>
      </c>
      <c r="EF67" s="225">
        <f>EE67-EB67</f>
        <v/>
      </c>
      <c r="EG67" s="226">
        <f>IF(EB67=0,"",EE67/EB67)</f>
        <v/>
      </c>
      <c r="EH67" s="11" t="n"/>
      <c r="EI67" s="223">
        <f>EI5+EI42</f>
        <v/>
      </c>
      <c r="EJ67" s="223">
        <f>EJ5+EJ42</f>
        <v/>
      </c>
      <c r="EK67" s="223">
        <f>EI67+EJ67</f>
        <v/>
      </c>
      <c r="EL67" s="223">
        <f>EL5+EL42</f>
        <v/>
      </c>
      <c r="EM67" s="223">
        <f>EM5+EM42</f>
        <v/>
      </c>
      <c r="EN67" s="223">
        <f>EL67+EM67</f>
        <v/>
      </c>
      <c r="EO67" s="223">
        <f>EN67-EK67</f>
        <v/>
      </c>
      <c r="EP67" s="224">
        <f>IF(EK67=0,"",EN67/EK67)</f>
        <v/>
      </c>
      <c r="EQ67" s="6" t="n"/>
      <c r="ER67" s="225">
        <f>ER5+ER42</f>
        <v/>
      </c>
      <c r="ES67" s="225">
        <f>ES5+ES42</f>
        <v/>
      </c>
      <c r="ET67" s="225">
        <f>ER67+ES67</f>
        <v/>
      </c>
      <c r="EU67" s="225">
        <f>EU5+EU42</f>
        <v/>
      </c>
      <c r="EV67" s="225">
        <f>EV5+EV42</f>
        <v/>
      </c>
      <c r="EW67" s="225">
        <f>EU67+EV67</f>
        <v/>
      </c>
      <c r="EX67" s="225">
        <f>EW67-ET67</f>
        <v/>
      </c>
      <c r="EY67" s="226">
        <f>IF(ET67=0,"",EW67/ET67)</f>
        <v/>
      </c>
      <c r="EZ67" s="11" t="n"/>
      <c r="FA67" s="223">
        <f>FA5+FA42</f>
        <v/>
      </c>
      <c r="FB67" s="223">
        <f>FB5+FB42</f>
        <v/>
      </c>
      <c r="FC67" s="223">
        <f>FA67+FB67</f>
        <v/>
      </c>
      <c r="FD67" s="223">
        <f>FD5+FD42</f>
        <v/>
      </c>
      <c r="FE67" s="223">
        <f>FE5+FE42</f>
        <v/>
      </c>
      <c r="FF67" s="223">
        <f>FD67+FE67</f>
        <v/>
      </c>
      <c r="FG67" s="223">
        <f>FF67-FC67</f>
        <v/>
      </c>
      <c r="FH67" s="224">
        <f>IF(FC67=0,"",FF67/FC67)</f>
        <v/>
      </c>
      <c r="FI67" s="6" t="n"/>
      <c r="FJ67" s="225">
        <f>FJ5+FJ42</f>
        <v/>
      </c>
      <c r="FK67" s="225">
        <f>FK5+FK42</f>
        <v/>
      </c>
      <c r="FL67" s="225">
        <f>FJ67+FK67</f>
        <v/>
      </c>
      <c r="FM67" s="225">
        <f>FM5+FM42</f>
        <v/>
      </c>
      <c r="FN67" s="225">
        <f>FN5+FN42</f>
        <v/>
      </c>
      <c r="FO67" s="225">
        <f>FM67+FN67</f>
        <v/>
      </c>
      <c r="FP67" s="225">
        <f>FO67-FL67</f>
        <v/>
      </c>
      <c r="FQ67" s="226">
        <f>IF(FL67=0,"",FO67/FL67)</f>
        <v/>
      </c>
      <c r="FR67" s="11" t="n"/>
      <c r="FS67" s="223">
        <f>FS5+FS42</f>
        <v/>
      </c>
      <c r="FT67" s="223">
        <f>FT5+FT42</f>
        <v/>
      </c>
      <c r="FU67" s="223">
        <f>FS67+FT67</f>
        <v/>
      </c>
      <c r="FV67" s="223">
        <f>FV5+FV42</f>
        <v/>
      </c>
      <c r="FW67" s="223">
        <f>FW5+FW42</f>
        <v/>
      </c>
      <c r="FX67" s="223">
        <f>FV67+FW67</f>
        <v/>
      </c>
      <c r="FY67" s="223">
        <f>FX67-FU67</f>
        <v/>
      </c>
      <c r="FZ67" s="224">
        <f>IF(FU67=0,"",FX67/FU67)</f>
        <v/>
      </c>
      <c r="GA67" s="6" t="n"/>
      <c r="GB67" s="225">
        <f>GB5+GB42</f>
        <v/>
      </c>
      <c r="GC67" s="225">
        <f>GC5+GC42</f>
        <v/>
      </c>
      <c r="GD67" s="225">
        <f>GB67+GC67</f>
        <v/>
      </c>
      <c r="GE67" s="225">
        <f>GE5+GE42</f>
        <v/>
      </c>
      <c r="GF67" s="225">
        <f>GF5+GF42</f>
        <v/>
      </c>
      <c r="GG67" s="225">
        <f>GE67+GF67</f>
        <v/>
      </c>
      <c r="GH67" s="225">
        <f>GG67-GD67</f>
        <v/>
      </c>
      <c r="GI67" s="226">
        <f>IF(GD67=0,"",GG67/GD67)</f>
        <v/>
      </c>
      <c r="GJ67" s="11" t="n"/>
      <c r="GK67" s="223">
        <f>GK5+GK42</f>
        <v/>
      </c>
      <c r="GL67" s="223">
        <f>GL5+GL42</f>
        <v/>
      </c>
      <c r="GM67" s="223">
        <f>GK67+GL67</f>
        <v/>
      </c>
      <c r="GN67" s="223">
        <f>GN5+GN42</f>
        <v/>
      </c>
      <c r="GO67" s="223">
        <f>GO5+GO42</f>
        <v/>
      </c>
      <c r="GP67" s="223">
        <f>GN67+GO67</f>
        <v/>
      </c>
      <c r="GQ67" s="223">
        <f>GP67-GM67</f>
        <v/>
      </c>
      <c r="GR67" s="224">
        <f>IF(GM67=0,"",GP67/GM67)</f>
        <v/>
      </c>
      <c r="GS67" s="6" t="n"/>
      <c r="GT67" s="225">
        <f>GT5+GT42</f>
        <v/>
      </c>
      <c r="GU67" s="225">
        <f>GU5+GU42</f>
        <v/>
      </c>
      <c r="GV67" s="225">
        <f>GT67+GU67</f>
        <v/>
      </c>
      <c r="GW67" s="225">
        <f>GW5+GW42</f>
        <v/>
      </c>
      <c r="GX67" s="225">
        <f>GX5+GX42</f>
        <v/>
      </c>
      <c r="GY67" s="225">
        <f>GW67+GX67</f>
        <v/>
      </c>
      <c r="GZ67" s="225">
        <f>GY67-GV67</f>
        <v/>
      </c>
      <c r="HA67" s="226">
        <f>IF(GV67=0,"",GY67/GV67)</f>
        <v/>
      </c>
      <c r="HB67" s="11" t="n"/>
      <c r="HC67" s="223">
        <f>GT67</f>
        <v/>
      </c>
      <c r="HD67" s="223">
        <f>GU67</f>
        <v/>
      </c>
      <c r="HE67" s="223">
        <f>HC67+HD67</f>
        <v/>
      </c>
    </row>
  </sheetData>
  <mergeCells count="28">
    <mergeCell ref="AW3:BE3"/>
    <mergeCell ref="A1:HE1"/>
    <mergeCell ref="CG3:CO3"/>
    <mergeCell ref="DH3:DP3"/>
    <mergeCell ref="B3:B4"/>
    <mergeCell ref="FJ3:FR3"/>
    <mergeCell ref="HC3:HE3"/>
    <mergeCell ref="BO3:BW3"/>
    <mergeCell ref="DQ3:DY3"/>
    <mergeCell ref="CP3:CX3"/>
    <mergeCell ref="A3:A4"/>
    <mergeCell ref="M3:U3"/>
    <mergeCell ref="FS3:GA3"/>
    <mergeCell ref="D3:L3"/>
    <mergeCell ref="BX3:CF3"/>
    <mergeCell ref="DZ3:EH3"/>
    <mergeCell ref="GK3:GS3"/>
    <mergeCell ref="FA3:FI3"/>
    <mergeCell ref="V3:AD3"/>
    <mergeCell ref="GB3:GJ3"/>
    <mergeCell ref="AN3:AV3"/>
    <mergeCell ref="CY3:DG3"/>
    <mergeCell ref="C3:C4"/>
    <mergeCell ref="ER3:EZ3"/>
    <mergeCell ref="EI3:EQ3"/>
    <mergeCell ref="GT3:HB3"/>
    <mergeCell ref="BF3:BN3"/>
    <mergeCell ref="AE3:A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157"/>
  <sheetViews>
    <sheetView showGridLines="0" zoomScaleNormal="100" workbookViewId="0">
      <pane xSplit="3" ySplit="4" topLeftCell="J5" activePane="bottomRight" state="frozen"/>
      <selection pane="topRight" activeCell="A1" sqref="A1"/>
      <selection pane="bottomLeft" activeCell="A1" sqref="A1"/>
      <selection pane="bottomRight" activeCell="J5" sqref="J5"/>
    </sheetView>
  </sheetViews>
  <sheetFormatPr baseColWidth="8" defaultRowHeight="16.5" outlineLevelRow="1"/>
  <cols>
    <col width="8.875" customWidth="1" style="150" min="1" max="1"/>
    <col hidden="1" width="8.625" customWidth="1" style="150" min="2" max="2"/>
    <col width="17.25" customWidth="1" style="150" min="3" max="3"/>
    <col hidden="1" outlineLevel="1" width="10" customWidth="1" style="150" min="4" max="5"/>
    <col hidden="1" collapsed="1" width="10" customWidth="1" style="150" min="6" max="6"/>
    <col hidden="1" outlineLevel="1" width="10" customWidth="1" style="150" min="7" max="8"/>
    <col hidden="1" collapsed="1" width="10" customWidth="1" style="150" min="9" max="9"/>
    <col width="10" customWidth="1" style="150" min="10" max="10"/>
    <col hidden="1" width="7" customWidth="1" style="150" min="11" max="11"/>
    <col width="48.125" customWidth="1" style="150" min="12" max="12"/>
    <col hidden="1" outlineLevel="1" width="10" customWidth="1" style="150" min="13" max="14"/>
    <col hidden="1" collapsed="1" width="10" customWidth="1" style="150" min="15" max="15"/>
    <col hidden="1" outlineLevel="1" width="10" customWidth="1" style="150" min="16" max="17"/>
    <col hidden="1" collapsed="1" width="10" customWidth="1" style="150" min="18" max="18"/>
    <col width="10" customWidth="1" style="150" min="19" max="19"/>
    <col hidden="1" width="7" customWidth="1" style="150" min="20" max="20"/>
    <col width="48.125" customWidth="1" style="150" min="21" max="21"/>
    <col hidden="1" outlineLevel="1" width="10" customWidth="1" style="150" min="22" max="23"/>
    <col hidden="1" collapsed="1" width="10" customWidth="1" style="150" min="24" max="24"/>
    <col hidden="1" outlineLevel="1" width="10" customWidth="1" style="150" min="25" max="26"/>
    <col hidden="1" collapsed="1" width="10" customWidth="1" style="150" min="27" max="27"/>
    <col width="10" customWidth="1" style="150" min="28" max="28"/>
    <col hidden="1" width="7" customWidth="1" style="150" min="29" max="29"/>
    <col width="48.125" customWidth="1" style="150" min="30" max="30"/>
    <col hidden="1" outlineLevel="1" width="10" customWidth="1" style="150" min="31" max="32"/>
    <col hidden="1" collapsed="1" width="10" customWidth="1" style="150" min="33" max="33"/>
    <col hidden="1" outlineLevel="1" width="10" customWidth="1" style="150" min="34" max="35"/>
    <col hidden="1" collapsed="1" width="10" customWidth="1" style="150" min="36" max="36"/>
    <col width="10" customWidth="1" style="150" min="37" max="37"/>
    <col hidden="1" width="7" customWidth="1" style="150" min="38" max="38"/>
    <col width="48.125" customWidth="1" style="150" min="39" max="39"/>
    <col hidden="1" outlineLevel="1" width="10" customWidth="1" style="150" min="40" max="41"/>
    <col hidden="1" collapsed="1" width="10" customWidth="1" style="150" min="42" max="42"/>
    <col hidden="1" outlineLevel="1" width="10" customWidth="1" style="150" min="43" max="44"/>
    <col hidden="1" collapsed="1" width="10" customWidth="1" style="150" min="45" max="45"/>
    <col width="10" customWidth="1" style="150" min="46" max="46"/>
    <col hidden="1" width="7" customWidth="1" style="150" min="47" max="47"/>
    <col width="48.125" customWidth="1" style="150" min="48" max="48"/>
    <col hidden="1" outlineLevel="1" width="10" customWidth="1" style="150" min="49" max="50"/>
    <col collapsed="1" width="10" customWidth="1" style="150" min="51" max="51"/>
    <col hidden="1" outlineLevel="1" width="10" customWidth="1" style="150" min="52" max="53"/>
    <col collapsed="1" width="10" customWidth="1" style="150" min="54" max="54"/>
    <col width="10" customWidth="1" style="150" min="55" max="55"/>
    <col width="7" customWidth="1" style="150" min="56" max="56"/>
    <col width="10" customWidth="1" style="150" min="57" max="57"/>
    <col hidden="1" outlineLevel="1" width="10" customWidth="1" style="150" min="58" max="59"/>
    <col collapsed="1" width="10" customWidth="1" style="150" min="60" max="60"/>
    <col hidden="1" outlineLevel="1" width="10" customWidth="1" style="150" min="61" max="62"/>
    <col collapsed="1" width="10" customWidth="1" style="150" min="63" max="63"/>
    <col width="10" customWidth="1" style="150" min="64" max="64"/>
    <col width="7" customWidth="1" style="150" min="65" max="65"/>
    <col width="10" customWidth="1" style="150" min="66" max="66"/>
    <col hidden="1" outlineLevel="1" width="10" customWidth="1" style="150" min="67" max="68"/>
    <col collapsed="1" width="10" customWidth="1" style="150" min="69" max="69"/>
    <col hidden="1" outlineLevel="1" width="10" customWidth="1" style="150" min="70" max="71"/>
    <col collapsed="1" width="10" customWidth="1" style="150" min="72" max="72"/>
    <col width="10" customWidth="1" style="150" min="73" max="73"/>
    <col width="7" customWidth="1" style="150" min="74" max="74"/>
    <col width="10" customWidth="1" style="150" min="75" max="75"/>
    <col hidden="1" outlineLevel="1" width="10" customWidth="1" style="150" min="76" max="77"/>
    <col collapsed="1" width="10" customWidth="1" style="150" min="78" max="78"/>
    <col hidden="1" outlineLevel="1" width="10" customWidth="1" style="150" min="79" max="80"/>
    <col collapsed="1" width="10" customWidth="1" style="150" min="81" max="81"/>
    <col width="10" customWidth="1" style="150" min="82" max="82"/>
    <col width="7" customWidth="1" style="150" min="83" max="83"/>
    <col width="10" customWidth="1" style="150" min="84" max="84"/>
    <col hidden="1" outlineLevel="1" width="10" customWidth="1" style="150" min="85" max="86"/>
    <col collapsed="1" width="10" customWidth="1" style="150" min="87" max="87"/>
    <col hidden="1" outlineLevel="1" width="10" customWidth="1" style="150" min="88" max="89"/>
    <col collapsed="1" width="10" customWidth="1" style="150" min="90" max="90"/>
    <col width="10" customWidth="1" style="150" min="91" max="91"/>
    <col width="7" customWidth="1" style="150" min="92" max="92"/>
    <col width="10" customWidth="1" style="150" min="93" max="93"/>
    <col hidden="1" outlineLevel="1" width="10" customWidth="1" style="150" min="94" max="95"/>
    <col collapsed="1" width="10" customWidth="1" style="150" min="96" max="96"/>
    <col hidden="1" outlineLevel="1" width="10" customWidth="1" style="150" min="97" max="98"/>
    <col collapsed="1" width="10" customWidth="1" style="150" min="99" max="99"/>
    <col width="10" customWidth="1" style="150" min="100" max="100"/>
    <col width="7" customWidth="1" style="150" min="101" max="101"/>
    <col width="10" customWidth="1" style="150" min="102" max="102"/>
    <col hidden="1" outlineLevel="1" width="10" customWidth="1" style="150" min="103" max="104"/>
    <col collapsed="1" width="10" customWidth="1" style="150" min="105" max="105"/>
    <col hidden="1" outlineLevel="1" width="10" customWidth="1" style="150" min="106" max="107"/>
    <col collapsed="1" width="10" customWidth="1" style="150" min="108" max="108"/>
    <col width="10" customWidth="1" style="150" min="109" max="109"/>
    <col width="7" customWidth="1" style="150" min="110" max="110"/>
    <col width="10" customWidth="1" style="150" min="111" max="111"/>
    <col hidden="1" outlineLevel="1" width="10" customWidth="1" style="150" min="112" max="113"/>
    <col collapsed="1" width="10" customWidth="1" style="150" min="114" max="114"/>
    <col hidden="1" outlineLevel="1" width="10" customWidth="1" style="150" min="115" max="116"/>
    <col collapsed="1" width="10" customWidth="1" style="150" min="117" max="117"/>
    <col width="10" customWidth="1" style="150" min="118" max="118"/>
    <col width="7" customWidth="1" style="150" min="119" max="119"/>
    <col width="10" customWidth="1" style="150" min="120" max="120"/>
    <col hidden="1" outlineLevel="1" width="10" customWidth="1" style="150" min="121" max="122"/>
    <col collapsed="1" width="10" customWidth="1" style="150" min="123" max="123"/>
    <col hidden="1" outlineLevel="1" width="10" customWidth="1" style="150" min="124" max="125"/>
    <col collapsed="1" width="10" customWidth="1" style="150" min="126" max="126"/>
    <col width="10" customWidth="1" style="150" min="127" max="127"/>
    <col width="7" customWidth="1" style="150" min="128" max="128"/>
    <col width="10" customWidth="1" style="150" min="129" max="129"/>
    <col hidden="1" outlineLevel="1" width="10" customWidth="1" style="150" min="130" max="131"/>
    <col collapsed="1" width="10" customWidth="1" style="150" min="132" max="132"/>
    <col hidden="1" outlineLevel="1" width="10" customWidth="1" style="150" min="133" max="134"/>
    <col collapsed="1" width="10" customWidth="1" style="150" min="135" max="135"/>
    <col width="10" customWidth="1" style="150" min="136" max="136"/>
    <col width="7" customWidth="1" style="150" min="137" max="137"/>
    <col width="10" customWidth="1" style="150" min="138" max="138"/>
    <col hidden="1" outlineLevel="1" width="10" customWidth="1" style="150" min="139" max="140"/>
    <col collapsed="1" width="10" customWidth="1" style="150" min="141" max="141"/>
    <col hidden="1" outlineLevel="1" width="10" customWidth="1" style="150" min="142" max="143"/>
    <col collapsed="1" width="10" customWidth="1" style="150" min="144" max="144"/>
    <col width="10" customWidth="1" style="150" min="145" max="145"/>
    <col width="7" customWidth="1" style="150" min="146" max="146"/>
    <col width="10" customWidth="1" style="150" min="147" max="147"/>
    <col hidden="1" outlineLevel="1" width="10" customWidth="1" style="150" min="148" max="149"/>
    <col collapsed="1" width="10" customWidth="1" style="150" min="150" max="150"/>
    <col hidden="1" outlineLevel="1" width="10" customWidth="1" style="150" min="151" max="152"/>
    <col collapsed="1" width="10" customWidth="1" style="150" min="153" max="153"/>
    <col width="10" customWidth="1" style="150" min="154" max="154"/>
    <col width="7" customWidth="1" style="150" min="155" max="155"/>
    <col width="10" customWidth="1" style="150" min="156" max="156"/>
    <col hidden="1" outlineLevel="1" width="10" customWidth="1" style="150" min="157" max="158"/>
    <col collapsed="1" width="10" customWidth="1" style="150" min="159" max="159"/>
    <col hidden="1" outlineLevel="1" width="10" customWidth="1" style="150" min="160" max="161"/>
    <col collapsed="1" width="10" customWidth="1" style="150" min="162" max="162"/>
    <col width="10" customWidth="1" style="150" min="163" max="163"/>
    <col width="7" customWidth="1" style="150" min="164" max="164"/>
    <col width="10" customWidth="1" style="150" min="165" max="165"/>
    <col hidden="1" outlineLevel="1" width="10" customWidth="1" style="150" min="166" max="167"/>
    <col collapsed="1" width="10" customWidth="1" style="150" min="168" max="168"/>
    <col hidden="1" outlineLevel="1" width="10" customWidth="1" style="150" min="169" max="170"/>
    <col collapsed="1" width="10" customWidth="1" style="150" min="171" max="171"/>
    <col width="10" customWidth="1" style="150" min="172" max="172"/>
    <col width="7" customWidth="1" style="150" min="173" max="173"/>
    <col width="10" customWidth="1" style="150" min="174" max="174"/>
    <col hidden="1" outlineLevel="1" width="10" customWidth="1" style="150" min="175" max="176"/>
    <col collapsed="1" width="10" customWidth="1" style="150" min="177" max="177"/>
    <col hidden="1" outlineLevel="1" width="10" customWidth="1" style="150" min="178" max="179"/>
    <col collapsed="1" width="10" customWidth="1" style="150" min="180" max="180"/>
    <col width="10" customWidth="1" style="150" min="181" max="181"/>
    <col width="7" customWidth="1" style="150" min="182" max="182"/>
    <col width="10" customWidth="1" style="150" min="183" max="183"/>
    <col hidden="1" outlineLevel="1" width="10" customWidth="1" style="150" min="184" max="185"/>
    <col collapsed="1" width="10" customWidth="1" style="150" min="186" max="186"/>
    <col hidden="1" outlineLevel="1" width="10" customWidth="1" style="150" min="187" max="188"/>
    <col collapsed="1" width="10" customWidth="1" style="150" min="189" max="189"/>
    <col width="10" customWidth="1" style="150" min="190" max="190"/>
    <col width="7" customWidth="1" style="150" min="191" max="191"/>
    <col width="10" customWidth="1" style="150" min="192" max="192"/>
    <col hidden="1" outlineLevel="1" width="10" customWidth="1" style="150" min="193" max="194"/>
    <col collapsed="1" width="10" customWidth="1" style="150" min="195" max="195"/>
    <col hidden="1" outlineLevel="1" width="10" customWidth="1" style="150" min="196" max="197"/>
    <col collapsed="1" width="10" customWidth="1" style="150" min="198" max="198"/>
    <col width="10" customWidth="1" style="150" min="199" max="199"/>
    <col width="7" customWidth="1" style="150" min="200" max="200"/>
    <col width="10" customWidth="1" style="150" min="201" max="201"/>
    <col hidden="1" outlineLevel="1" width="10" customWidth="1" style="150" min="202" max="203"/>
    <col collapsed="1" width="10" customWidth="1" style="150" min="204" max="204"/>
    <col hidden="1" outlineLevel="1" width="10" customWidth="1" style="150" min="205" max="206"/>
    <col collapsed="1" width="10" customWidth="1" style="150" min="207" max="207"/>
    <col width="10" customWidth="1" style="150" min="208" max="208"/>
    <col width="7" customWidth="1" style="150" min="209" max="209"/>
    <col width="10" customWidth="1" style="150" min="210" max="210"/>
    <col hidden="1" outlineLevel="1" width="10" customWidth="1" style="150" min="211" max="212"/>
    <col collapsed="1" width="10" customWidth="1" style="150" min="213" max="213"/>
  </cols>
  <sheetData>
    <row r="1" ht="24" customHeight="1" s="150">
      <c r="A1" s="151" t="n"/>
    </row>
    <row r="2" ht="14.1" customHeight="1" s="150">
      <c r="A2" s="1" t="n"/>
    </row>
    <row r="3" ht="20.1" customHeight="1" s="150">
      <c r="A3" s="147" t="n"/>
      <c r="B3" s="147" t="n"/>
      <c r="C3" s="147" t="n"/>
      <c r="D3" s="147" t="n"/>
      <c r="E3" s="220" t="n"/>
      <c r="F3" s="220" t="n"/>
      <c r="G3" s="220" t="n"/>
      <c r="H3" s="220" t="n"/>
      <c r="I3" s="220" t="n"/>
      <c r="J3" s="220" t="n"/>
      <c r="K3" s="220" t="n"/>
      <c r="L3" s="221" t="n"/>
      <c r="M3" s="147" t="n"/>
      <c r="N3" s="220" t="n"/>
      <c r="O3" s="220" t="n"/>
      <c r="P3" s="220" t="n"/>
      <c r="Q3" s="220" t="n"/>
      <c r="R3" s="220" t="n"/>
      <c r="S3" s="220" t="n"/>
      <c r="T3" s="220" t="n"/>
      <c r="U3" s="221" t="n"/>
      <c r="V3" s="149" t="n"/>
      <c r="W3" s="220" t="n"/>
      <c r="X3" s="220" t="n"/>
      <c r="Y3" s="220" t="n"/>
      <c r="Z3" s="220" t="n"/>
      <c r="AA3" s="220" t="n"/>
      <c r="AB3" s="220" t="n"/>
      <c r="AC3" s="220" t="n"/>
      <c r="AD3" s="221" t="n"/>
      <c r="AE3" s="147" t="n"/>
      <c r="AF3" s="220" t="n"/>
      <c r="AG3" s="220" t="n"/>
      <c r="AH3" s="220" t="n"/>
      <c r="AI3" s="220" t="n"/>
      <c r="AJ3" s="220" t="n"/>
      <c r="AK3" s="220" t="n"/>
      <c r="AL3" s="220" t="n"/>
      <c r="AM3" s="221" t="n"/>
      <c r="AN3" s="149" t="n"/>
      <c r="AO3" s="220" t="n"/>
      <c r="AP3" s="220" t="n"/>
      <c r="AQ3" s="220" t="n"/>
      <c r="AR3" s="220" t="n"/>
      <c r="AS3" s="220" t="n"/>
      <c r="AT3" s="220" t="n"/>
      <c r="AU3" s="220" t="n"/>
      <c r="AV3" s="221" t="n"/>
      <c r="AW3" s="147" t="n"/>
      <c r="AX3" s="220" t="n"/>
      <c r="AY3" s="220" t="n"/>
      <c r="AZ3" s="220" t="n"/>
      <c r="BA3" s="220" t="n"/>
      <c r="BB3" s="220" t="n"/>
      <c r="BC3" s="220" t="n"/>
      <c r="BD3" s="220" t="n"/>
      <c r="BE3" s="221" t="n"/>
      <c r="BF3" s="149" t="n"/>
      <c r="BG3" s="220" t="n"/>
      <c r="BH3" s="220" t="n"/>
      <c r="BI3" s="220" t="n"/>
      <c r="BJ3" s="220" t="n"/>
      <c r="BK3" s="220" t="n"/>
      <c r="BL3" s="220" t="n"/>
      <c r="BM3" s="220" t="n"/>
      <c r="BN3" s="221" t="n"/>
      <c r="BO3" s="147" t="n"/>
      <c r="BP3" s="220" t="n"/>
      <c r="BQ3" s="220" t="n"/>
      <c r="BR3" s="220" t="n"/>
      <c r="BS3" s="220" t="n"/>
      <c r="BT3" s="220" t="n"/>
      <c r="BU3" s="220" t="n"/>
      <c r="BV3" s="220" t="n"/>
      <c r="BW3" s="221" t="n"/>
      <c r="BX3" s="149" t="n"/>
      <c r="BY3" s="220" t="n"/>
      <c r="BZ3" s="220" t="n"/>
      <c r="CA3" s="220" t="n"/>
      <c r="CB3" s="220" t="n"/>
      <c r="CC3" s="220" t="n"/>
      <c r="CD3" s="220" t="n"/>
      <c r="CE3" s="220" t="n"/>
      <c r="CF3" s="221" t="n"/>
      <c r="CG3" s="147" t="n"/>
      <c r="CH3" s="220" t="n"/>
      <c r="CI3" s="220" t="n"/>
      <c r="CJ3" s="220" t="n"/>
      <c r="CK3" s="220" t="n"/>
      <c r="CL3" s="220" t="n"/>
      <c r="CM3" s="220" t="n"/>
      <c r="CN3" s="220" t="n"/>
      <c r="CO3" s="221" t="n"/>
      <c r="CP3" s="149" t="n"/>
      <c r="CQ3" s="220" t="n"/>
      <c r="CR3" s="220" t="n"/>
      <c r="CS3" s="220" t="n"/>
      <c r="CT3" s="220" t="n"/>
      <c r="CU3" s="220" t="n"/>
      <c r="CV3" s="220" t="n"/>
      <c r="CW3" s="220" t="n"/>
      <c r="CX3" s="221" t="n"/>
      <c r="CY3" s="147" t="n"/>
      <c r="CZ3" s="220" t="n"/>
      <c r="DA3" s="220" t="n"/>
      <c r="DB3" s="220" t="n"/>
      <c r="DC3" s="220" t="n"/>
      <c r="DD3" s="220" t="n"/>
      <c r="DE3" s="220" t="n"/>
      <c r="DF3" s="220" t="n"/>
      <c r="DG3" s="221" t="n"/>
      <c r="DH3" s="149" t="n"/>
      <c r="DI3" s="220" t="n"/>
      <c r="DJ3" s="220" t="n"/>
      <c r="DK3" s="220" t="n"/>
      <c r="DL3" s="220" t="n"/>
      <c r="DM3" s="220" t="n"/>
      <c r="DN3" s="220" t="n"/>
      <c r="DO3" s="220" t="n"/>
      <c r="DP3" s="221" t="n"/>
      <c r="DQ3" s="147" t="n"/>
      <c r="DR3" s="220" t="n"/>
      <c r="DS3" s="220" t="n"/>
      <c r="DT3" s="220" t="n"/>
      <c r="DU3" s="220" t="n"/>
      <c r="DV3" s="220" t="n"/>
      <c r="DW3" s="220" t="n"/>
      <c r="DX3" s="220" t="n"/>
      <c r="DY3" s="221" t="n"/>
      <c r="DZ3" s="149" t="n"/>
      <c r="EA3" s="220" t="n"/>
      <c r="EB3" s="220" t="n"/>
      <c r="EC3" s="220" t="n"/>
      <c r="ED3" s="220" t="n"/>
      <c r="EE3" s="220" t="n"/>
      <c r="EF3" s="220" t="n"/>
      <c r="EG3" s="220" t="n"/>
      <c r="EH3" s="221" t="n"/>
      <c r="EI3" s="147" t="n"/>
      <c r="EJ3" s="220" t="n"/>
      <c r="EK3" s="220" t="n"/>
      <c r="EL3" s="220" t="n"/>
      <c r="EM3" s="220" t="n"/>
      <c r="EN3" s="220" t="n"/>
      <c r="EO3" s="220" t="n"/>
      <c r="EP3" s="220" t="n"/>
      <c r="EQ3" s="221" t="n"/>
      <c r="ER3" s="149" t="n"/>
      <c r="ES3" s="220" t="n"/>
      <c r="ET3" s="220" t="n"/>
      <c r="EU3" s="220" t="n"/>
      <c r="EV3" s="220" t="n"/>
      <c r="EW3" s="220" t="n"/>
      <c r="EX3" s="220" t="n"/>
      <c r="EY3" s="220" t="n"/>
      <c r="EZ3" s="221" t="n"/>
      <c r="FA3" s="147" t="n"/>
      <c r="FB3" s="220" t="n"/>
      <c r="FC3" s="220" t="n"/>
      <c r="FD3" s="220" t="n"/>
      <c r="FE3" s="220" t="n"/>
      <c r="FF3" s="220" t="n"/>
      <c r="FG3" s="220" t="n"/>
      <c r="FH3" s="220" t="n"/>
      <c r="FI3" s="221" t="n"/>
      <c r="FJ3" s="149" t="n"/>
      <c r="FK3" s="220" t="n"/>
      <c r="FL3" s="220" t="n"/>
      <c r="FM3" s="220" t="n"/>
      <c r="FN3" s="220" t="n"/>
      <c r="FO3" s="220" t="n"/>
      <c r="FP3" s="220" t="n"/>
      <c r="FQ3" s="220" t="n"/>
      <c r="FR3" s="221" t="n"/>
      <c r="FS3" s="147" t="n"/>
      <c r="FT3" s="220" t="n"/>
      <c r="FU3" s="220" t="n"/>
      <c r="FV3" s="220" t="n"/>
      <c r="FW3" s="220" t="n"/>
      <c r="FX3" s="220" t="n"/>
      <c r="FY3" s="220" t="n"/>
      <c r="FZ3" s="220" t="n"/>
      <c r="GA3" s="221" t="n"/>
      <c r="GB3" s="149" t="n"/>
      <c r="GC3" s="220" t="n"/>
      <c r="GD3" s="220" t="n"/>
      <c r="GE3" s="220" t="n"/>
      <c r="GF3" s="220" t="n"/>
      <c r="GG3" s="220" t="n"/>
      <c r="GH3" s="220" t="n"/>
      <c r="GI3" s="220" t="n"/>
      <c r="GJ3" s="221" t="n"/>
      <c r="GK3" s="147" t="n"/>
      <c r="GL3" s="220" t="n"/>
      <c r="GM3" s="220" t="n"/>
      <c r="GN3" s="220" t="n"/>
      <c r="GO3" s="220" t="n"/>
      <c r="GP3" s="220" t="n"/>
      <c r="GQ3" s="220" t="n"/>
      <c r="GR3" s="220" t="n"/>
      <c r="GS3" s="221" t="n"/>
      <c r="GT3" s="149" t="n"/>
      <c r="GU3" s="220" t="n"/>
      <c r="GV3" s="220" t="n"/>
      <c r="GW3" s="220" t="n"/>
      <c r="GX3" s="220" t="n"/>
      <c r="GY3" s="220" t="n"/>
      <c r="GZ3" s="220" t="n"/>
      <c r="HA3" s="220" t="n"/>
      <c r="HB3" s="221" t="n"/>
      <c r="HC3" s="147" t="n"/>
      <c r="HD3" s="220" t="n"/>
      <c r="HE3" s="221" t="n"/>
    </row>
    <row r="4" ht="33.95" customHeight="1" s="150">
      <c r="A4" s="222" t="n"/>
      <c r="B4" s="222" t="n"/>
      <c r="C4" s="222" t="n"/>
      <c r="D4" s="2" t="n"/>
      <c r="E4" s="2" t="n"/>
      <c r="F4" s="3" t="n"/>
      <c r="G4" s="2" t="n"/>
      <c r="H4" s="2" t="n"/>
      <c r="I4" s="3" t="n"/>
      <c r="J4" s="3" t="n"/>
      <c r="K4" s="3" t="n"/>
      <c r="L4" s="3" t="n"/>
      <c r="M4" s="2" t="n"/>
      <c r="N4" s="2" t="n"/>
      <c r="O4" s="3" t="n"/>
      <c r="P4" s="2" t="n"/>
      <c r="Q4" s="2" t="n"/>
      <c r="R4" s="3" t="n"/>
      <c r="S4" s="3" t="n"/>
      <c r="T4" s="3" t="n"/>
      <c r="U4" s="3" t="n"/>
      <c r="V4" s="4" t="n"/>
      <c r="W4" s="4" t="n"/>
      <c r="X4" s="5" t="n"/>
      <c r="Y4" s="4" t="n"/>
      <c r="Z4" s="4" t="n"/>
      <c r="AA4" s="5" t="n"/>
      <c r="AB4" s="5" t="n"/>
      <c r="AC4" s="5" t="n"/>
      <c r="AD4" s="5" t="n"/>
      <c r="AE4" s="2" t="n"/>
      <c r="AF4" s="2" t="n"/>
      <c r="AG4" s="3" t="n"/>
      <c r="AH4" s="2" t="n"/>
      <c r="AI4" s="2" t="n"/>
      <c r="AJ4" s="3" t="n"/>
      <c r="AK4" s="3" t="n"/>
      <c r="AL4" s="3" t="n"/>
      <c r="AM4" s="3" t="n"/>
      <c r="AN4" s="4" t="n"/>
      <c r="AO4" s="4" t="n"/>
      <c r="AP4" s="5" t="n"/>
      <c r="AQ4" s="4" t="n"/>
      <c r="AR4" s="4" t="n"/>
      <c r="AS4" s="5" t="n"/>
      <c r="AT4" s="5" t="n"/>
      <c r="AU4" s="5" t="n"/>
      <c r="AV4" s="5" t="n"/>
      <c r="AW4" s="2" t="n"/>
      <c r="AX4" s="2" t="n"/>
      <c r="AY4" s="3" t="n"/>
      <c r="AZ4" s="2" t="n"/>
      <c r="BA4" s="2" t="n"/>
      <c r="BB4" s="3" t="n"/>
      <c r="BC4" s="3" t="n"/>
      <c r="BD4" s="3" t="n"/>
      <c r="BE4" s="3" t="n"/>
      <c r="BF4" s="4" t="n"/>
      <c r="BG4" s="4" t="n"/>
      <c r="BH4" s="5" t="n"/>
      <c r="BI4" s="4" t="n"/>
      <c r="BJ4" s="4" t="n"/>
      <c r="BK4" s="5" t="n"/>
      <c r="BL4" s="5" t="n"/>
      <c r="BM4" s="5" t="n"/>
      <c r="BN4" s="5" t="n"/>
      <c r="BO4" s="2" t="n"/>
      <c r="BP4" s="2" t="n"/>
      <c r="BQ4" s="3" t="n"/>
      <c r="BR4" s="2" t="n"/>
      <c r="BS4" s="2" t="n"/>
      <c r="BT4" s="3" t="n"/>
      <c r="BU4" s="3" t="n"/>
      <c r="BV4" s="3" t="n"/>
      <c r="BW4" s="3" t="n"/>
      <c r="BX4" s="4" t="n"/>
      <c r="BY4" s="4" t="n"/>
      <c r="BZ4" s="5" t="n"/>
      <c r="CA4" s="4" t="n"/>
      <c r="CB4" s="4" t="n"/>
      <c r="CC4" s="5" t="n"/>
      <c r="CD4" s="5" t="n"/>
      <c r="CE4" s="5" t="n"/>
      <c r="CF4" s="5" t="n"/>
      <c r="CG4" s="2" t="n"/>
      <c r="CH4" s="2" t="n"/>
      <c r="CI4" s="3" t="n"/>
      <c r="CJ4" s="2" t="n"/>
      <c r="CK4" s="2" t="n"/>
      <c r="CL4" s="3" t="n"/>
      <c r="CM4" s="3" t="n"/>
      <c r="CN4" s="3" t="n"/>
      <c r="CO4" s="3" t="n"/>
      <c r="CP4" s="4" t="n"/>
      <c r="CQ4" s="4" t="n"/>
      <c r="CR4" s="5" t="n"/>
      <c r="CS4" s="4" t="n"/>
      <c r="CT4" s="4" t="n"/>
      <c r="CU4" s="5" t="n"/>
      <c r="CV4" s="5" t="n"/>
      <c r="CW4" s="5" t="n"/>
      <c r="CX4" s="5" t="n"/>
      <c r="CY4" s="2" t="n"/>
      <c r="CZ4" s="2" t="n"/>
      <c r="DA4" s="3" t="n"/>
      <c r="DB4" s="2" t="n"/>
      <c r="DC4" s="2" t="n"/>
      <c r="DD4" s="3" t="n"/>
      <c r="DE4" s="3" t="n"/>
      <c r="DF4" s="3" t="n"/>
      <c r="DG4" s="3" t="n"/>
      <c r="DH4" s="4" t="n"/>
      <c r="DI4" s="4" t="n"/>
      <c r="DJ4" s="5" t="n"/>
      <c r="DK4" s="4" t="n"/>
      <c r="DL4" s="4" t="n"/>
      <c r="DM4" s="5" t="n"/>
      <c r="DN4" s="5" t="n"/>
      <c r="DO4" s="5" t="n"/>
      <c r="DP4" s="5" t="n"/>
      <c r="DQ4" s="2" t="n"/>
      <c r="DR4" s="2" t="n"/>
      <c r="DS4" s="3" t="n"/>
      <c r="DT4" s="2" t="n"/>
      <c r="DU4" s="2" t="n"/>
      <c r="DV4" s="3" t="n"/>
      <c r="DW4" s="3" t="n"/>
      <c r="DX4" s="3" t="n"/>
      <c r="DY4" s="3" t="n"/>
      <c r="DZ4" s="4" t="n"/>
      <c r="EA4" s="4" t="n"/>
      <c r="EB4" s="5" t="n"/>
      <c r="EC4" s="4" t="n"/>
      <c r="ED4" s="4" t="n"/>
      <c r="EE4" s="5" t="n"/>
      <c r="EF4" s="5" t="n"/>
      <c r="EG4" s="5" t="n"/>
      <c r="EH4" s="5" t="n"/>
      <c r="EI4" s="2" t="n"/>
      <c r="EJ4" s="2" t="n"/>
      <c r="EK4" s="3" t="n"/>
      <c r="EL4" s="2" t="n"/>
      <c r="EM4" s="2" t="n"/>
      <c r="EN4" s="3" t="n"/>
      <c r="EO4" s="3" t="n"/>
      <c r="EP4" s="3" t="n"/>
      <c r="EQ4" s="3" t="n"/>
      <c r="ER4" s="4" t="n"/>
      <c r="ES4" s="4" t="n"/>
      <c r="ET4" s="5" t="n"/>
      <c r="EU4" s="4" t="n"/>
      <c r="EV4" s="4" t="n"/>
      <c r="EW4" s="5" t="n"/>
      <c r="EX4" s="5" t="n"/>
      <c r="EY4" s="5" t="n"/>
      <c r="EZ4" s="5" t="n"/>
      <c r="FA4" s="2" t="n"/>
      <c r="FB4" s="2" t="n"/>
      <c r="FC4" s="3" t="n"/>
      <c r="FD4" s="2" t="n"/>
      <c r="FE4" s="2" t="n"/>
      <c r="FF4" s="3" t="n"/>
      <c r="FG4" s="3" t="n"/>
      <c r="FH4" s="3" t="n"/>
      <c r="FI4" s="3" t="n"/>
      <c r="FJ4" s="4" t="n"/>
      <c r="FK4" s="4" t="n"/>
      <c r="FL4" s="5" t="n"/>
      <c r="FM4" s="4" t="n"/>
      <c r="FN4" s="4" t="n"/>
      <c r="FO4" s="5" t="n"/>
      <c r="FP4" s="5" t="n"/>
      <c r="FQ4" s="5" t="n"/>
      <c r="FR4" s="5" t="n"/>
      <c r="FS4" s="2" t="n"/>
      <c r="FT4" s="2" t="n"/>
      <c r="FU4" s="3" t="n"/>
      <c r="FV4" s="2" t="n"/>
      <c r="FW4" s="2" t="n"/>
      <c r="FX4" s="3" t="n"/>
      <c r="FY4" s="3" t="n"/>
      <c r="FZ4" s="3" t="n"/>
      <c r="GA4" s="3" t="n"/>
      <c r="GB4" s="4" t="n"/>
      <c r="GC4" s="4" t="n"/>
      <c r="GD4" s="5" t="n"/>
      <c r="GE4" s="4" t="n"/>
      <c r="GF4" s="4" t="n"/>
      <c r="GG4" s="5" t="n"/>
      <c r="GH4" s="5" t="n"/>
      <c r="GI4" s="5" t="n"/>
      <c r="GJ4" s="5" t="n"/>
      <c r="GK4" s="2" t="n"/>
      <c r="GL4" s="2" t="n"/>
      <c r="GM4" s="3" t="n"/>
      <c r="GN4" s="2" t="n"/>
      <c r="GO4" s="2" t="n"/>
      <c r="GP4" s="3" t="n"/>
      <c r="GQ4" s="3" t="n"/>
      <c r="GR4" s="3" t="n"/>
      <c r="GS4" s="3" t="n"/>
      <c r="GT4" s="4" t="n"/>
      <c r="GU4" s="4" t="n"/>
      <c r="GV4" s="5" t="n"/>
      <c r="GW4" s="4" t="n"/>
      <c r="GX4" s="4" t="n"/>
      <c r="GY4" s="5" t="n"/>
      <c r="GZ4" s="5" t="n"/>
      <c r="HA4" s="5" t="n"/>
      <c r="HB4" s="5" t="n"/>
      <c r="HC4" s="3" t="n"/>
      <c r="HD4" s="3" t="n"/>
      <c r="HE4" s="3" t="n"/>
    </row>
    <row r="5" ht="15" customHeight="1" s="150">
      <c r="A5" s="6" t="n"/>
      <c r="B5" s="6" t="n"/>
      <c r="C5" s="6" t="n"/>
      <c r="D5" s="223">
        <f>SUM(D6,D34,D63,D82)</f>
        <v/>
      </c>
      <c r="E5" s="223">
        <f>SUM(E6,E34,E63,E82)</f>
        <v/>
      </c>
      <c r="F5" s="223">
        <f>D5+E5</f>
        <v/>
      </c>
      <c r="G5" s="223">
        <f>SUM(G6,G34,G63,G82)</f>
        <v/>
      </c>
      <c r="H5" s="223">
        <f>SUM(H6,H34,H63,H82)</f>
        <v/>
      </c>
      <c r="I5" s="223">
        <f>G5+H5</f>
        <v/>
      </c>
      <c r="J5" s="223">
        <f>I5-F5</f>
        <v/>
      </c>
      <c r="K5" s="224">
        <f>IF(F5=0,"",I5/F5)</f>
        <v/>
      </c>
      <c r="L5" s="6" t="n"/>
      <c r="M5" s="223">
        <f>SUM(M6,M34,M63,M82)</f>
        <v/>
      </c>
      <c r="N5" s="223">
        <f>SUM(N6,N34,N63,N82)</f>
        <v/>
      </c>
      <c r="O5" s="223">
        <f>M5+N5</f>
        <v/>
      </c>
      <c r="P5" s="223">
        <f>SUM(P6,P34,P63,P82)</f>
        <v/>
      </c>
      <c r="Q5" s="223">
        <f>SUM(Q6,Q34,Q63,Q82)</f>
        <v/>
      </c>
      <c r="R5" s="223">
        <f>P5+Q5</f>
        <v/>
      </c>
      <c r="S5" s="223">
        <f>R5-O5</f>
        <v/>
      </c>
      <c r="T5" s="224">
        <f>IF(O5=0,"",R5/O5)</f>
        <v/>
      </c>
      <c r="U5" s="6" t="n"/>
      <c r="V5" s="225">
        <f>SUM(V6,V34,V63,V82)</f>
        <v/>
      </c>
      <c r="W5" s="225">
        <f>SUM(W6,W34,W63,W82)</f>
        <v/>
      </c>
      <c r="X5" s="225">
        <f>V5+W5</f>
        <v/>
      </c>
      <c r="Y5" s="225">
        <f>SUM(Y6,Y34,Y63,Y82)</f>
        <v/>
      </c>
      <c r="Z5" s="225">
        <f>SUM(Z6,Z34,Z63,Z82)</f>
        <v/>
      </c>
      <c r="AA5" s="225">
        <f>Y5+Z5</f>
        <v/>
      </c>
      <c r="AB5" s="225">
        <f>AA5-X5</f>
        <v/>
      </c>
      <c r="AC5" s="226">
        <f>IF(X5=0,"",AA5/X5)</f>
        <v/>
      </c>
      <c r="AD5" s="11" t="n"/>
      <c r="AE5" s="223">
        <f>SUM(AE6,AE34,AE63,AE82)</f>
        <v/>
      </c>
      <c r="AF5" s="223">
        <f>SUM(AF6,AF34,AF63,AF82)</f>
        <v/>
      </c>
      <c r="AG5" s="223">
        <f>AE5+AF5</f>
        <v/>
      </c>
      <c r="AH5" s="223">
        <f>SUM(AH6,AH34,AH63,AH82)</f>
        <v/>
      </c>
      <c r="AI5" s="223">
        <f>SUM(AI6,AI34,AI63,AI82)</f>
        <v/>
      </c>
      <c r="AJ5" s="223">
        <f>AH5+AI5</f>
        <v/>
      </c>
      <c r="AK5" s="223">
        <f>AJ5-AG5</f>
        <v/>
      </c>
      <c r="AL5" s="224">
        <f>IF(AG5=0,"",AJ5/AG5)</f>
        <v/>
      </c>
      <c r="AM5" s="6" t="n"/>
      <c r="AN5" s="225">
        <f>SUM(AN6,AN34,AN63,AN82)</f>
        <v/>
      </c>
      <c r="AO5" s="225">
        <f>SUM(AO6,AO34,AO63,AO82)</f>
        <v/>
      </c>
      <c r="AP5" s="225">
        <f>AN5+AO5</f>
        <v/>
      </c>
      <c r="AQ5" s="225">
        <f>SUM(AQ6,AQ34,AQ63,AQ82)</f>
        <v/>
      </c>
      <c r="AR5" s="225">
        <f>SUM(AR6,AR34,AR63,AR82)</f>
        <v/>
      </c>
      <c r="AS5" s="225">
        <f>AQ5+AR5</f>
        <v/>
      </c>
      <c r="AT5" s="225">
        <f>AS5-AP5</f>
        <v/>
      </c>
      <c r="AU5" s="226">
        <f>IF(AP5=0,"",AS5/AP5)</f>
        <v/>
      </c>
      <c r="AV5" s="11" t="n"/>
      <c r="AW5" s="223">
        <f>SUM(AW6,AW34,AW63,AW82)</f>
        <v/>
      </c>
      <c r="AX5" s="223">
        <f>SUM(AX6,AX34,AX63,AX82)</f>
        <v/>
      </c>
      <c r="AY5" s="223">
        <f>AW5+AX5</f>
        <v/>
      </c>
      <c r="AZ5" s="223">
        <f>SUM(AZ6,AZ34,AZ63,AZ82)</f>
        <v/>
      </c>
      <c r="BA5" s="223">
        <f>SUM(BA6,BA34,BA63,BA82)</f>
        <v/>
      </c>
      <c r="BB5" s="223">
        <f>AZ5+BA5</f>
        <v/>
      </c>
      <c r="BC5" s="223">
        <f>BB5-AY5</f>
        <v/>
      </c>
      <c r="BD5" s="224">
        <f>IF(AY5=0,"",BB5/AY5)</f>
        <v/>
      </c>
      <c r="BE5" s="6" t="n"/>
      <c r="BF5" s="225">
        <f>SUM(BF6,BF34,BF63,BF82)</f>
        <v/>
      </c>
      <c r="BG5" s="225">
        <f>SUM(BG6,BG34,BG63,BG82)</f>
        <v/>
      </c>
      <c r="BH5" s="225">
        <f>BF5+BG5</f>
        <v/>
      </c>
      <c r="BI5" s="225">
        <f>SUM(BI6,BI34,BI63,BI82)</f>
        <v/>
      </c>
      <c r="BJ5" s="225">
        <f>SUM(BJ6,BJ34,BJ63,BJ82)</f>
        <v/>
      </c>
      <c r="BK5" s="225">
        <f>BI5+BJ5</f>
        <v/>
      </c>
      <c r="BL5" s="225">
        <f>BK5-BH5</f>
        <v/>
      </c>
      <c r="BM5" s="226">
        <f>IF(BH5=0,"",BK5/BH5)</f>
        <v/>
      </c>
      <c r="BN5" s="11" t="n"/>
      <c r="BO5" s="223">
        <f>SUM(BO6,BO34,BO63,BO82)</f>
        <v/>
      </c>
      <c r="BP5" s="223">
        <f>SUM(BP6,BP34,BP63,BP82)</f>
        <v/>
      </c>
      <c r="BQ5" s="223">
        <f>BO5+BP5</f>
        <v/>
      </c>
      <c r="BR5" s="223">
        <f>SUM(BR6,BR34,BR63,BR82)</f>
        <v/>
      </c>
      <c r="BS5" s="223">
        <f>SUM(BS6,BS34,BS63,BS82)</f>
        <v/>
      </c>
      <c r="BT5" s="223">
        <f>BR5+BS5</f>
        <v/>
      </c>
      <c r="BU5" s="223">
        <f>BT5-BQ5</f>
        <v/>
      </c>
      <c r="BV5" s="224">
        <f>IF(BQ5=0,"",BT5/BQ5)</f>
        <v/>
      </c>
      <c r="BW5" s="6" t="n"/>
      <c r="BX5" s="225">
        <f>SUM(BX6,BX34,BX63,BX82)</f>
        <v/>
      </c>
      <c r="BY5" s="225">
        <f>SUM(BY6,BY34,BY63,BY82)</f>
        <v/>
      </c>
      <c r="BZ5" s="225">
        <f>BX5+BY5</f>
        <v/>
      </c>
      <c r="CA5" s="225">
        <f>SUM(CA6,CA34,CA63,CA82)</f>
        <v/>
      </c>
      <c r="CB5" s="225">
        <f>SUM(CB6,CB34,CB63,CB82)</f>
        <v/>
      </c>
      <c r="CC5" s="225">
        <f>CA5+CB5</f>
        <v/>
      </c>
      <c r="CD5" s="225">
        <f>CC5-BZ5</f>
        <v/>
      </c>
      <c r="CE5" s="226">
        <f>IF(BZ5=0,"",CC5/BZ5)</f>
        <v/>
      </c>
      <c r="CF5" s="11" t="n"/>
      <c r="CG5" s="223">
        <f>SUM(CG6,CG34,CG63,CG82)</f>
        <v/>
      </c>
      <c r="CH5" s="223">
        <f>SUM(CH6,CH34,CH63,CH82)</f>
        <v/>
      </c>
      <c r="CI5" s="223">
        <f>CG5+CH5</f>
        <v/>
      </c>
      <c r="CJ5" s="223">
        <f>SUM(CJ6,CJ34,CJ63,CJ82)</f>
        <v/>
      </c>
      <c r="CK5" s="223">
        <f>SUM(CK6,CK34,CK63,CK82)</f>
        <v/>
      </c>
      <c r="CL5" s="223">
        <f>CJ5+CK5</f>
        <v/>
      </c>
      <c r="CM5" s="223">
        <f>CL5-CI5</f>
        <v/>
      </c>
      <c r="CN5" s="224">
        <f>IF(CI5=0,"",CL5/CI5)</f>
        <v/>
      </c>
      <c r="CO5" s="6" t="n"/>
      <c r="CP5" s="225">
        <f>SUM(CP6,CP34,CP63,CP82)</f>
        <v/>
      </c>
      <c r="CQ5" s="225">
        <f>SUM(CQ6,CQ34,CQ63,CQ82)</f>
        <v/>
      </c>
      <c r="CR5" s="225">
        <f>CP5+CQ5</f>
        <v/>
      </c>
      <c r="CS5" s="225">
        <f>SUM(CS6,CS34,CS63,CS82)</f>
        <v/>
      </c>
      <c r="CT5" s="225">
        <f>SUM(CT6,CT34,CT63,CT82)</f>
        <v/>
      </c>
      <c r="CU5" s="225">
        <f>CS5+CT5</f>
        <v/>
      </c>
      <c r="CV5" s="225">
        <f>CU5-CR5</f>
        <v/>
      </c>
      <c r="CW5" s="226">
        <f>IF(CR5=0,"",CU5/CR5)</f>
        <v/>
      </c>
      <c r="CX5" s="11" t="n"/>
      <c r="CY5" s="223">
        <f>SUM(CY6,CY34,CY63,CY82)</f>
        <v/>
      </c>
      <c r="CZ5" s="223">
        <f>SUM(CZ6,CZ34,CZ63,CZ82)</f>
        <v/>
      </c>
      <c r="DA5" s="223">
        <f>CY5+CZ5</f>
        <v/>
      </c>
      <c r="DB5" s="223">
        <f>SUM(DB6,DB34,DB63,DB82)</f>
        <v/>
      </c>
      <c r="DC5" s="223">
        <f>SUM(DC6,DC34,DC63,DC82)</f>
        <v/>
      </c>
      <c r="DD5" s="223">
        <f>DB5+DC5</f>
        <v/>
      </c>
      <c r="DE5" s="223">
        <f>DD5-DA5</f>
        <v/>
      </c>
      <c r="DF5" s="224">
        <f>IF(DA5=0,"",DD5/DA5)</f>
        <v/>
      </c>
      <c r="DG5" s="6" t="n"/>
      <c r="DH5" s="225">
        <f>SUM(DH6,DH34,DH63,DH82)</f>
        <v/>
      </c>
      <c r="DI5" s="225">
        <f>SUM(DI6,DI34,DI63,DI82)</f>
        <v/>
      </c>
      <c r="DJ5" s="225">
        <f>DH5+DI5</f>
        <v/>
      </c>
      <c r="DK5" s="225">
        <f>SUM(DK6,DK34,DK63,DK82)</f>
        <v/>
      </c>
      <c r="DL5" s="225">
        <f>SUM(DL6,DL34,DL63,DL82)</f>
        <v/>
      </c>
      <c r="DM5" s="225">
        <f>DK5+DL5</f>
        <v/>
      </c>
      <c r="DN5" s="225">
        <f>DM5-DJ5</f>
        <v/>
      </c>
      <c r="DO5" s="226">
        <f>IF(DJ5=0,"",DM5/DJ5)</f>
        <v/>
      </c>
      <c r="DP5" s="11" t="n"/>
      <c r="DQ5" s="223">
        <f>SUM(DQ6,DQ34,DQ63,DQ82)</f>
        <v/>
      </c>
      <c r="DR5" s="223">
        <f>SUM(DR6,DR34,DR63,DR82)</f>
        <v/>
      </c>
      <c r="DS5" s="223">
        <f>DQ5+DR5</f>
        <v/>
      </c>
      <c r="DT5" s="223">
        <f>SUM(DT6,DT34,DT63,DT82)</f>
        <v/>
      </c>
      <c r="DU5" s="223">
        <f>SUM(DU6,DU34,DU63,DU82)</f>
        <v/>
      </c>
      <c r="DV5" s="223">
        <f>DT5+DU5</f>
        <v/>
      </c>
      <c r="DW5" s="223">
        <f>DV5-DS5</f>
        <v/>
      </c>
      <c r="DX5" s="224">
        <f>IF(DS5=0,"",DV5/DS5)</f>
        <v/>
      </c>
      <c r="DY5" s="6" t="n"/>
      <c r="DZ5" s="225">
        <f>SUM(DZ6,DZ34,DZ63,DZ82)</f>
        <v/>
      </c>
      <c r="EA5" s="225">
        <f>SUM(EA6,EA34,EA63,EA82)</f>
        <v/>
      </c>
      <c r="EB5" s="225">
        <f>DZ5+EA5</f>
        <v/>
      </c>
      <c r="EC5" s="225">
        <f>SUM(EC6,EC34,EC63,EC82)</f>
        <v/>
      </c>
      <c r="ED5" s="225">
        <f>SUM(ED6,ED34,ED63,ED82)</f>
        <v/>
      </c>
      <c r="EE5" s="225">
        <f>EC5+ED5</f>
        <v/>
      </c>
      <c r="EF5" s="225">
        <f>EE5-EB5</f>
        <v/>
      </c>
      <c r="EG5" s="226">
        <f>IF(EB5=0,"",EE5/EB5)</f>
        <v/>
      </c>
      <c r="EH5" s="11" t="n"/>
      <c r="EI5" s="223">
        <f>SUM(EI6,EI34,EI63,EI82)</f>
        <v/>
      </c>
      <c r="EJ5" s="223">
        <f>SUM(EJ6,EJ34,EJ63,EJ82)</f>
        <v/>
      </c>
      <c r="EK5" s="223">
        <f>EI5+EJ5</f>
        <v/>
      </c>
      <c r="EL5" s="223">
        <f>SUM(EL6,EL34,EL63,EL82)</f>
        <v/>
      </c>
      <c r="EM5" s="223">
        <f>SUM(EM6,EM34,EM63,EM82)</f>
        <v/>
      </c>
      <c r="EN5" s="223">
        <f>EL5+EM5</f>
        <v/>
      </c>
      <c r="EO5" s="223">
        <f>EN5-EK5</f>
        <v/>
      </c>
      <c r="EP5" s="224">
        <f>IF(EK5=0,"",EN5/EK5)</f>
        <v/>
      </c>
      <c r="EQ5" s="6" t="n"/>
      <c r="ER5" s="225">
        <f>SUM(ER6,ER34,ER63,ER82)</f>
        <v/>
      </c>
      <c r="ES5" s="225">
        <f>SUM(ES6,ES34,ES63,ES82)</f>
        <v/>
      </c>
      <c r="ET5" s="225">
        <f>ER5+ES5</f>
        <v/>
      </c>
      <c r="EU5" s="225">
        <f>SUM(EU6,EU34,EU63,EU82)</f>
        <v/>
      </c>
      <c r="EV5" s="225">
        <f>SUM(EV6,EV34,EV63,EV82)</f>
        <v/>
      </c>
      <c r="EW5" s="225">
        <f>EU5+EV5</f>
        <v/>
      </c>
      <c r="EX5" s="225">
        <f>EW5-ET5</f>
        <v/>
      </c>
      <c r="EY5" s="226">
        <f>IF(ET5=0,"",EW5/ET5)</f>
        <v/>
      </c>
      <c r="EZ5" s="11" t="n"/>
      <c r="FA5" s="223">
        <f>SUM(FA6,FA34,FA63,FA82)</f>
        <v/>
      </c>
      <c r="FB5" s="223">
        <f>SUM(FB6,FB34,FB63,FB82)</f>
        <v/>
      </c>
      <c r="FC5" s="223">
        <f>FA5+FB5</f>
        <v/>
      </c>
      <c r="FD5" s="223">
        <f>SUM(FD6,FD34,FD63,FD82)</f>
        <v/>
      </c>
      <c r="FE5" s="223">
        <f>SUM(FE6,FE34,FE63,FE82)</f>
        <v/>
      </c>
      <c r="FF5" s="223">
        <f>FD5+FE5</f>
        <v/>
      </c>
      <c r="FG5" s="223">
        <f>FF5-FC5</f>
        <v/>
      </c>
      <c r="FH5" s="224">
        <f>IF(FC5=0,"",FF5/FC5)</f>
        <v/>
      </c>
      <c r="FI5" s="6" t="n"/>
      <c r="FJ5" s="225">
        <f>SUM(FJ6,FJ34,FJ63,FJ82)</f>
        <v/>
      </c>
      <c r="FK5" s="225">
        <f>SUM(FK6,FK34,FK63,FK82)</f>
        <v/>
      </c>
      <c r="FL5" s="225">
        <f>FJ5+FK5</f>
        <v/>
      </c>
      <c r="FM5" s="225">
        <f>SUM(FM6,FM34,FM63,FM82)</f>
        <v/>
      </c>
      <c r="FN5" s="225">
        <f>SUM(FN6,FN34,FN63,FN82)</f>
        <v/>
      </c>
      <c r="FO5" s="225">
        <f>FM5+FN5</f>
        <v/>
      </c>
      <c r="FP5" s="225">
        <f>FO5-FL5</f>
        <v/>
      </c>
      <c r="FQ5" s="226">
        <f>IF(FL5=0,"",FO5/FL5)</f>
        <v/>
      </c>
      <c r="FR5" s="11" t="n"/>
      <c r="FS5" s="223">
        <f>SUM(FS6,FS34,FS63,FS82)</f>
        <v/>
      </c>
      <c r="FT5" s="223">
        <f>SUM(FT6,FT34,FT63,FT82)</f>
        <v/>
      </c>
      <c r="FU5" s="223">
        <f>FS5+FT5</f>
        <v/>
      </c>
      <c r="FV5" s="223">
        <f>SUM(FV6,FV34,FV63,FV82)</f>
        <v/>
      </c>
      <c r="FW5" s="223">
        <f>SUM(FW6,FW34,FW63,FW82)</f>
        <v/>
      </c>
      <c r="FX5" s="223">
        <f>FV5+FW5</f>
        <v/>
      </c>
      <c r="FY5" s="223">
        <f>FX5-FU5</f>
        <v/>
      </c>
      <c r="FZ5" s="224">
        <f>IF(FU5=0,"",FX5/FU5)</f>
        <v/>
      </c>
      <c r="GA5" s="6" t="n"/>
      <c r="GB5" s="225">
        <f>SUM(GB6,GB34,GB63,GB82)</f>
        <v/>
      </c>
      <c r="GC5" s="225">
        <f>SUM(GC6,GC34,GC63,GC82)</f>
        <v/>
      </c>
      <c r="GD5" s="225">
        <f>GB5+GC5</f>
        <v/>
      </c>
      <c r="GE5" s="225">
        <f>SUM(GE6,GE34,GE63,GE82)</f>
        <v/>
      </c>
      <c r="GF5" s="225">
        <f>SUM(GF6,GF34,GF63,GF82)</f>
        <v/>
      </c>
      <c r="GG5" s="225">
        <f>GE5+GF5</f>
        <v/>
      </c>
      <c r="GH5" s="225">
        <f>GG5-GD5</f>
        <v/>
      </c>
      <c r="GI5" s="226">
        <f>IF(GD5=0,"",GG5/GD5)</f>
        <v/>
      </c>
      <c r="GJ5" s="11" t="n"/>
      <c r="GK5" s="223">
        <f>SUM(GK6,GK34,GK63,GK82)</f>
        <v/>
      </c>
      <c r="GL5" s="223">
        <f>SUM(GL6,GL34,GL63,GL82)</f>
        <v/>
      </c>
      <c r="GM5" s="223">
        <f>GK5+GL5</f>
        <v/>
      </c>
      <c r="GN5" s="223">
        <f>SUM(GN6,GN34,GN63,GN82)</f>
        <v/>
      </c>
      <c r="GO5" s="223">
        <f>SUM(GO6,GO34,GO63,GO82)</f>
        <v/>
      </c>
      <c r="GP5" s="223">
        <f>GN5+GO5</f>
        <v/>
      </c>
      <c r="GQ5" s="223">
        <f>GP5-GM5</f>
        <v/>
      </c>
      <c r="GR5" s="224">
        <f>IF(GM5=0,"",GP5/GM5)</f>
        <v/>
      </c>
      <c r="GS5" s="6" t="n"/>
      <c r="GT5" s="225">
        <f>SUM(GT6,GT34,GT63,GT82)</f>
        <v/>
      </c>
      <c r="GU5" s="225">
        <f>SUM(GU6,GU34,GU63,GU82)</f>
        <v/>
      </c>
      <c r="GV5" s="225">
        <f>GT5+GU5</f>
        <v/>
      </c>
      <c r="GW5" s="225">
        <f>SUM(GW6,GW34,GW63,GW82)</f>
        <v/>
      </c>
      <c r="GX5" s="225">
        <f>SUM(GX6,GX34,GX63,GX82)</f>
        <v/>
      </c>
      <c r="GY5" s="225">
        <f>GW5+GX5</f>
        <v/>
      </c>
      <c r="GZ5" s="225">
        <f>GY5-GV5</f>
        <v/>
      </c>
      <c r="HA5" s="226">
        <f>IF(GV5=0,"",GY5/GV5)</f>
        <v/>
      </c>
      <c r="HB5" s="11" t="n"/>
      <c r="HC5" s="223">
        <f>GT5</f>
        <v/>
      </c>
      <c r="HD5" s="223">
        <f>GU5</f>
        <v/>
      </c>
      <c r="HE5" s="223">
        <f>HC5+HD5</f>
        <v/>
      </c>
    </row>
    <row r="6" ht="15" customHeight="1" s="150">
      <c r="A6" s="12" t="n"/>
      <c r="B6" s="12" t="n"/>
      <c r="C6" s="12" t="n"/>
      <c r="D6" s="240">
        <f>SUM(D7,D11,D13,D16,D18,D20)</f>
        <v/>
      </c>
      <c r="E6" s="240">
        <f>SUM(E7,E11,E13,E16,E18,E20)</f>
        <v/>
      </c>
      <c r="F6" s="240">
        <f>D6+E6</f>
        <v/>
      </c>
      <c r="G6" s="240">
        <f>SUM(G7,G11,G13,G16,G18,G20)</f>
        <v/>
      </c>
      <c r="H6" s="240">
        <f>SUM(H7,H11,H13,H16,H18,H20)</f>
        <v/>
      </c>
      <c r="I6" s="240">
        <f>G6+H6</f>
        <v/>
      </c>
      <c r="J6" s="240">
        <f>I6-F6</f>
        <v/>
      </c>
      <c r="K6" s="241">
        <f>IF(F6=0,"",I6/F6)</f>
        <v/>
      </c>
      <c r="L6" s="12" t="n"/>
      <c r="M6" s="240">
        <f>SUM(M7,M11,M13,M16,M18,M20)</f>
        <v/>
      </c>
      <c r="N6" s="240">
        <f>SUM(N7,N11,N13,N16,N18,N20)</f>
        <v/>
      </c>
      <c r="O6" s="240">
        <f>M6+N6</f>
        <v/>
      </c>
      <c r="P6" s="240">
        <f>SUM(P7,P11,P13,P16,P18,P20)</f>
        <v/>
      </c>
      <c r="Q6" s="240">
        <f>SUM(Q7,Q11,Q13,Q16,Q18,Q20)</f>
        <v/>
      </c>
      <c r="R6" s="240">
        <f>P6+Q6</f>
        <v/>
      </c>
      <c r="S6" s="240">
        <f>R6-O6</f>
        <v/>
      </c>
      <c r="T6" s="241">
        <f>IF(O6=0,"",R6/O6)</f>
        <v/>
      </c>
      <c r="U6" s="12" t="n"/>
      <c r="V6" s="242">
        <f>SUM(V7,V11,V13,V16,V18,V20)</f>
        <v/>
      </c>
      <c r="W6" s="242">
        <f>SUM(W7,W11,W13,W16,W18,W20)</f>
        <v/>
      </c>
      <c r="X6" s="242">
        <f>V6+W6</f>
        <v/>
      </c>
      <c r="Y6" s="242">
        <f>SUM(Y7,Y11,Y13,Y16,Y18,Y20)</f>
        <v/>
      </c>
      <c r="Z6" s="242">
        <f>SUM(Z7,Z11,Z13,Z16,Z18,Z20)</f>
        <v/>
      </c>
      <c r="AA6" s="242">
        <f>Y6+Z6</f>
        <v/>
      </c>
      <c r="AB6" s="242">
        <f>AA6-X6</f>
        <v/>
      </c>
      <c r="AC6" s="243">
        <f>IF(X6=0,"",AA6/X6)</f>
        <v/>
      </c>
      <c r="AD6" s="17" t="n"/>
      <c r="AE6" s="240">
        <f>SUM(AE7,AE11,AE13,AE16,AE18,AE20)</f>
        <v/>
      </c>
      <c r="AF6" s="240">
        <f>SUM(AF7,AF11,AF13,AF16,AF18,AF20)</f>
        <v/>
      </c>
      <c r="AG6" s="240">
        <f>AE6+AF6</f>
        <v/>
      </c>
      <c r="AH6" s="240">
        <f>SUM(AH7,AH11,AH13,AH16,AH18,AH20)</f>
        <v/>
      </c>
      <c r="AI6" s="240">
        <f>SUM(AI7,AI11,AI13,AI16,AI18,AI20)</f>
        <v/>
      </c>
      <c r="AJ6" s="240">
        <f>AH6+AI6</f>
        <v/>
      </c>
      <c r="AK6" s="240">
        <f>AJ6-AG6</f>
        <v/>
      </c>
      <c r="AL6" s="241">
        <f>IF(AG6=0,"",AJ6/AG6)</f>
        <v/>
      </c>
      <c r="AM6" s="12" t="n"/>
      <c r="AN6" s="242">
        <f>SUM(AN7,AN11,AN13,AN16,AN18,AN20)</f>
        <v/>
      </c>
      <c r="AO6" s="242">
        <f>SUM(AO7,AO11,AO13,AO16,AO18,AO20)</f>
        <v/>
      </c>
      <c r="AP6" s="242">
        <f>AN6+AO6</f>
        <v/>
      </c>
      <c r="AQ6" s="242">
        <f>SUM(AQ7,AQ11,AQ13,AQ16,AQ18,AQ20)</f>
        <v/>
      </c>
      <c r="AR6" s="242">
        <f>SUM(AR7,AR11,AR13,AR16,AR18,AR20)</f>
        <v/>
      </c>
      <c r="AS6" s="242">
        <f>AQ6+AR6</f>
        <v/>
      </c>
      <c r="AT6" s="242">
        <f>AS6-AP6</f>
        <v/>
      </c>
      <c r="AU6" s="243">
        <f>IF(AP6=0,"",AS6/AP6)</f>
        <v/>
      </c>
      <c r="AV6" s="17" t="n"/>
      <c r="AW6" s="240">
        <f>SUM(AW7,AW11,AW13,AW16,AW18,AW20)</f>
        <v/>
      </c>
      <c r="AX6" s="240">
        <f>SUM(AX7,AX11,AX13,AX16,AX18,AX20)</f>
        <v/>
      </c>
      <c r="AY6" s="240">
        <f>AW6+AX6</f>
        <v/>
      </c>
      <c r="AZ6" s="240">
        <f>SUM(AZ7,AZ11,AZ13,AZ16,AZ18,AZ20)</f>
        <v/>
      </c>
      <c r="BA6" s="240">
        <f>SUM(BA7,BA11,BA13,BA16,BA18,BA20)</f>
        <v/>
      </c>
      <c r="BB6" s="240">
        <f>AZ6+BA6</f>
        <v/>
      </c>
      <c r="BC6" s="240">
        <f>BB6-AY6</f>
        <v/>
      </c>
      <c r="BD6" s="241">
        <f>IF(AY6=0,"",BB6/AY6)</f>
        <v/>
      </c>
      <c r="BE6" s="12" t="n"/>
      <c r="BF6" s="242">
        <f>SUM(BF7,BF11,BF13,BF16,BF18,BF20)</f>
        <v/>
      </c>
      <c r="BG6" s="242">
        <f>SUM(BG7,BG11,BG13,BG16,BG18,BG20)</f>
        <v/>
      </c>
      <c r="BH6" s="242">
        <f>BF6+BG6</f>
        <v/>
      </c>
      <c r="BI6" s="242">
        <f>SUM(BI7,BI11,BI13,BI16,BI18,BI20)</f>
        <v/>
      </c>
      <c r="BJ6" s="242">
        <f>SUM(BJ7,BJ11,BJ13,BJ16,BJ18,BJ20)</f>
        <v/>
      </c>
      <c r="BK6" s="242">
        <f>BI6+BJ6</f>
        <v/>
      </c>
      <c r="BL6" s="242">
        <f>BK6-BH6</f>
        <v/>
      </c>
      <c r="BM6" s="243">
        <f>IF(BH6=0,"",BK6/BH6)</f>
        <v/>
      </c>
      <c r="BN6" s="17" t="n"/>
      <c r="BO6" s="240">
        <f>SUM(BO7,BO11,BO13,BO16,BO18,BO20)</f>
        <v/>
      </c>
      <c r="BP6" s="240">
        <f>SUM(BP7,BP11,BP13,BP16,BP18,BP20)</f>
        <v/>
      </c>
      <c r="BQ6" s="240">
        <f>BO6+BP6</f>
        <v/>
      </c>
      <c r="BR6" s="240">
        <f>SUM(BR7,BR11,BR13,BR16,BR18,BR20)</f>
        <v/>
      </c>
      <c r="BS6" s="240">
        <f>SUM(BS7,BS11,BS13,BS16,BS18,BS20)</f>
        <v/>
      </c>
      <c r="BT6" s="240">
        <f>BR6+BS6</f>
        <v/>
      </c>
      <c r="BU6" s="240">
        <f>BT6-BQ6</f>
        <v/>
      </c>
      <c r="BV6" s="241">
        <f>IF(BQ6=0,"",BT6/BQ6)</f>
        <v/>
      </c>
      <c r="BW6" s="12" t="n"/>
      <c r="BX6" s="242">
        <f>SUM(BX7,BX11,BX13,BX16,BX18,BX20)</f>
        <v/>
      </c>
      <c r="BY6" s="242">
        <f>SUM(BY7,BY11,BY13,BY16,BY18,BY20)</f>
        <v/>
      </c>
      <c r="BZ6" s="242">
        <f>BX6+BY6</f>
        <v/>
      </c>
      <c r="CA6" s="242">
        <f>SUM(CA7,CA11,CA13,CA16,CA18,CA20)</f>
        <v/>
      </c>
      <c r="CB6" s="242">
        <f>SUM(CB7,CB11,CB13,CB16,CB18,CB20)</f>
        <v/>
      </c>
      <c r="CC6" s="242">
        <f>CA6+CB6</f>
        <v/>
      </c>
      <c r="CD6" s="242">
        <f>CC6-BZ6</f>
        <v/>
      </c>
      <c r="CE6" s="243">
        <f>IF(BZ6=0,"",CC6/BZ6)</f>
        <v/>
      </c>
      <c r="CF6" s="17" t="n"/>
      <c r="CG6" s="240">
        <f>SUM(CG7,CG11,CG13,CG16,CG18,CG20)</f>
        <v/>
      </c>
      <c r="CH6" s="240">
        <f>SUM(CH7,CH11,CH13,CH16,CH18,CH20)</f>
        <v/>
      </c>
      <c r="CI6" s="240">
        <f>CG6+CH6</f>
        <v/>
      </c>
      <c r="CJ6" s="240">
        <f>SUM(CJ7,CJ11,CJ13,CJ16,CJ18,CJ20)</f>
        <v/>
      </c>
      <c r="CK6" s="240">
        <f>SUM(CK7,CK11,CK13,CK16,CK18,CK20)</f>
        <v/>
      </c>
      <c r="CL6" s="240">
        <f>CJ6+CK6</f>
        <v/>
      </c>
      <c r="CM6" s="240">
        <f>CL6-CI6</f>
        <v/>
      </c>
      <c r="CN6" s="241">
        <f>IF(CI6=0,"",CL6/CI6)</f>
        <v/>
      </c>
      <c r="CO6" s="12" t="n"/>
      <c r="CP6" s="242">
        <f>SUM(CP7,CP11,CP13,CP16,CP18,CP20)</f>
        <v/>
      </c>
      <c r="CQ6" s="242">
        <f>SUM(CQ7,CQ11,CQ13,CQ16,CQ18,CQ20)</f>
        <v/>
      </c>
      <c r="CR6" s="242">
        <f>CP6+CQ6</f>
        <v/>
      </c>
      <c r="CS6" s="242">
        <f>SUM(CS7,CS11,CS13,CS16,CS18,CS20)</f>
        <v/>
      </c>
      <c r="CT6" s="242">
        <f>SUM(CT7,CT11,CT13,CT16,CT18,CT20)</f>
        <v/>
      </c>
      <c r="CU6" s="242">
        <f>CS6+CT6</f>
        <v/>
      </c>
      <c r="CV6" s="242">
        <f>CU6-CR6</f>
        <v/>
      </c>
      <c r="CW6" s="243">
        <f>IF(CR6=0,"",CU6/CR6)</f>
        <v/>
      </c>
      <c r="CX6" s="17" t="n"/>
      <c r="CY6" s="240">
        <f>SUM(CY7,CY11,CY13,CY16,CY18,CY20)</f>
        <v/>
      </c>
      <c r="CZ6" s="240">
        <f>SUM(CZ7,CZ11,CZ13,CZ16,CZ18,CZ20)</f>
        <v/>
      </c>
      <c r="DA6" s="240">
        <f>CY6+CZ6</f>
        <v/>
      </c>
      <c r="DB6" s="240">
        <f>SUM(DB7,DB11,DB13,DB16,DB18,DB20)</f>
        <v/>
      </c>
      <c r="DC6" s="240">
        <f>SUM(DC7,DC11,DC13,DC16,DC18,DC20)</f>
        <v/>
      </c>
      <c r="DD6" s="240">
        <f>DB6+DC6</f>
        <v/>
      </c>
      <c r="DE6" s="240">
        <f>DD6-DA6</f>
        <v/>
      </c>
      <c r="DF6" s="241">
        <f>IF(DA6=0,"",DD6/DA6)</f>
        <v/>
      </c>
      <c r="DG6" s="12" t="n"/>
      <c r="DH6" s="242">
        <f>SUM(DH7,DH11,DH13,DH16,DH18,DH20)</f>
        <v/>
      </c>
      <c r="DI6" s="242">
        <f>SUM(DI7,DI11,DI13,DI16,DI18,DI20)</f>
        <v/>
      </c>
      <c r="DJ6" s="242">
        <f>DH6+DI6</f>
        <v/>
      </c>
      <c r="DK6" s="242">
        <f>SUM(DK7,DK11,DK13,DK16,DK18,DK20)</f>
        <v/>
      </c>
      <c r="DL6" s="242">
        <f>SUM(DL7,DL11,DL13,DL16,DL18,DL20)</f>
        <v/>
      </c>
      <c r="DM6" s="242">
        <f>DK6+DL6</f>
        <v/>
      </c>
      <c r="DN6" s="242">
        <f>DM6-DJ6</f>
        <v/>
      </c>
      <c r="DO6" s="243">
        <f>IF(DJ6=0,"",DM6/DJ6)</f>
        <v/>
      </c>
      <c r="DP6" s="17" t="n"/>
      <c r="DQ6" s="240">
        <f>SUM(DQ7,DQ11,DQ13,DQ16,DQ18,DQ20)</f>
        <v/>
      </c>
      <c r="DR6" s="240">
        <f>SUM(DR7,DR11,DR13,DR16,DR18,DR20)</f>
        <v/>
      </c>
      <c r="DS6" s="240">
        <f>DQ6+DR6</f>
        <v/>
      </c>
      <c r="DT6" s="240">
        <f>SUM(DT7,DT11,DT13,DT16,DT18,DT20)</f>
        <v/>
      </c>
      <c r="DU6" s="240">
        <f>SUM(DU7,DU11,DU13,DU16,DU18,DU20)</f>
        <v/>
      </c>
      <c r="DV6" s="240">
        <f>DT6+DU6</f>
        <v/>
      </c>
      <c r="DW6" s="240">
        <f>DV6-DS6</f>
        <v/>
      </c>
      <c r="DX6" s="241">
        <f>IF(DS6=0,"",DV6/DS6)</f>
        <v/>
      </c>
      <c r="DY6" s="12" t="n"/>
      <c r="DZ6" s="242">
        <f>SUM(DZ7,DZ11,DZ13,DZ16,DZ18,DZ20)</f>
        <v/>
      </c>
      <c r="EA6" s="242">
        <f>SUM(EA7,EA11,EA13,EA16,EA18,EA20)</f>
        <v/>
      </c>
      <c r="EB6" s="242">
        <f>DZ6+EA6</f>
        <v/>
      </c>
      <c r="EC6" s="242">
        <f>SUM(EC7,EC11,EC13,EC16,EC18,EC20)</f>
        <v/>
      </c>
      <c r="ED6" s="242">
        <f>SUM(ED7,ED11,ED13,ED16,ED18,ED20)</f>
        <v/>
      </c>
      <c r="EE6" s="242">
        <f>EC6+ED6</f>
        <v/>
      </c>
      <c r="EF6" s="242">
        <f>EE6-EB6</f>
        <v/>
      </c>
      <c r="EG6" s="243">
        <f>IF(EB6=0,"",EE6/EB6)</f>
        <v/>
      </c>
      <c r="EH6" s="17" t="n"/>
      <c r="EI6" s="240">
        <f>SUM(EI7,EI11,EI13,EI16,EI18,EI20)</f>
        <v/>
      </c>
      <c r="EJ6" s="240">
        <f>SUM(EJ7,EJ11,EJ13,EJ16,EJ18,EJ20)</f>
        <v/>
      </c>
      <c r="EK6" s="240">
        <f>EI6+EJ6</f>
        <v/>
      </c>
      <c r="EL6" s="240">
        <f>SUM(EL7,EL11,EL13,EL16,EL18,EL20)</f>
        <v/>
      </c>
      <c r="EM6" s="240">
        <f>SUM(EM7,EM11,EM13,EM16,EM18,EM20)</f>
        <v/>
      </c>
      <c r="EN6" s="240">
        <f>EL6+EM6</f>
        <v/>
      </c>
      <c r="EO6" s="240">
        <f>EN6-EK6</f>
        <v/>
      </c>
      <c r="EP6" s="241">
        <f>IF(EK6=0,"",EN6/EK6)</f>
        <v/>
      </c>
      <c r="EQ6" s="12" t="n"/>
      <c r="ER6" s="242">
        <f>SUM(ER7,ER11,ER13,ER16,ER18,ER20)</f>
        <v/>
      </c>
      <c r="ES6" s="242">
        <f>SUM(ES7,ES11,ES13,ES16,ES18,ES20)</f>
        <v/>
      </c>
      <c r="ET6" s="242">
        <f>ER6+ES6</f>
        <v/>
      </c>
      <c r="EU6" s="242">
        <f>SUM(EU7,EU11,EU13,EU16,EU18,EU20)</f>
        <v/>
      </c>
      <c r="EV6" s="242">
        <f>SUM(EV7,EV11,EV13,EV16,EV18,EV20)</f>
        <v/>
      </c>
      <c r="EW6" s="242">
        <f>EU6+EV6</f>
        <v/>
      </c>
      <c r="EX6" s="242">
        <f>EW6-ET6</f>
        <v/>
      </c>
      <c r="EY6" s="243">
        <f>IF(ET6=0,"",EW6/ET6)</f>
        <v/>
      </c>
      <c r="EZ6" s="17" t="n"/>
      <c r="FA6" s="240">
        <f>SUM(FA7,FA11,FA13,FA16,FA18,FA20)</f>
        <v/>
      </c>
      <c r="FB6" s="240">
        <f>SUM(FB7,FB11,FB13,FB16,FB18,FB20)</f>
        <v/>
      </c>
      <c r="FC6" s="240">
        <f>FA6+FB6</f>
        <v/>
      </c>
      <c r="FD6" s="240">
        <f>SUM(FD7,FD11,FD13,FD16,FD18,FD20)</f>
        <v/>
      </c>
      <c r="FE6" s="240">
        <f>SUM(FE7,FE11,FE13,FE16,FE18,FE20)</f>
        <v/>
      </c>
      <c r="FF6" s="240">
        <f>FD6+FE6</f>
        <v/>
      </c>
      <c r="FG6" s="240">
        <f>FF6-FC6</f>
        <v/>
      </c>
      <c r="FH6" s="241">
        <f>IF(FC6=0,"",FF6/FC6)</f>
        <v/>
      </c>
      <c r="FI6" s="12" t="n"/>
      <c r="FJ6" s="242">
        <f>SUM(FJ7,FJ11,FJ13,FJ16,FJ18,FJ20)</f>
        <v/>
      </c>
      <c r="FK6" s="242">
        <f>SUM(FK7,FK11,FK13,FK16,FK18,FK20)</f>
        <v/>
      </c>
      <c r="FL6" s="242">
        <f>FJ6+FK6</f>
        <v/>
      </c>
      <c r="FM6" s="242">
        <f>SUM(FM7,FM11,FM13,FM16,FM18,FM20)</f>
        <v/>
      </c>
      <c r="FN6" s="242">
        <f>SUM(FN7,FN11,FN13,FN16,FN18,FN20)</f>
        <v/>
      </c>
      <c r="FO6" s="242">
        <f>FM6+FN6</f>
        <v/>
      </c>
      <c r="FP6" s="242">
        <f>FO6-FL6</f>
        <v/>
      </c>
      <c r="FQ6" s="243">
        <f>IF(FL6=0,"",FO6/FL6)</f>
        <v/>
      </c>
      <c r="FR6" s="17" t="n"/>
      <c r="FS6" s="240">
        <f>SUM(FS7,FS11,FS13,FS16,FS18,FS20)</f>
        <v/>
      </c>
      <c r="FT6" s="240">
        <f>SUM(FT7,FT11,FT13,FT16,FT18,FT20)</f>
        <v/>
      </c>
      <c r="FU6" s="240">
        <f>FS6+FT6</f>
        <v/>
      </c>
      <c r="FV6" s="240">
        <f>SUM(FV7,FV11,FV13,FV16,FV18,FV20)</f>
        <v/>
      </c>
      <c r="FW6" s="240">
        <f>SUM(FW7,FW11,FW13,FW16,FW18,FW20)</f>
        <v/>
      </c>
      <c r="FX6" s="240">
        <f>FV6+FW6</f>
        <v/>
      </c>
      <c r="FY6" s="240">
        <f>FX6-FU6</f>
        <v/>
      </c>
      <c r="FZ6" s="241">
        <f>IF(FU6=0,"",FX6/FU6)</f>
        <v/>
      </c>
      <c r="GA6" s="12" t="n"/>
      <c r="GB6" s="242">
        <f>SUM(GB7,GB11,GB13,GB16,GB18,GB20)</f>
        <v/>
      </c>
      <c r="GC6" s="242">
        <f>SUM(GC7,GC11,GC13,GC16,GC18,GC20)</f>
        <v/>
      </c>
      <c r="GD6" s="242">
        <f>GB6+GC6</f>
        <v/>
      </c>
      <c r="GE6" s="242">
        <f>SUM(GE7,GE11,GE13,GE16,GE18,GE20)</f>
        <v/>
      </c>
      <c r="GF6" s="242">
        <f>SUM(GF7,GF11,GF13,GF16,GF18,GF20)</f>
        <v/>
      </c>
      <c r="GG6" s="242">
        <f>GE6+GF6</f>
        <v/>
      </c>
      <c r="GH6" s="242">
        <f>GG6-GD6</f>
        <v/>
      </c>
      <c r="GI6" s="243">
        <f>IF(GD6=0,"",GG6/GD6)</f>
        <v/>
      </c>
      <c r="GJ6" s="17" t="n"/>
      <c r="GK6" s="240">
        <f>SUM(GK7,GK11,GK13,GK16,GK18,GK20)</f>
        <v/>
      </c>
      <c r="GL6" s="240">
        <f>SUM(GL7,GL11,GL13,GL16,GL18,GL20)</f>
        <v/>
      </c>
      <c r="GM6" s="240">
        <f>GK6+GL6</f>
        <v/>
      </c>
      <c r="GN6" s="240">
        <f>SUM(GN7,GN11,GN13,GN16,GN18,GN20)</f>
        <v/>
      </c>
      <c r="GO6" s="240">
        <f>SUM(GO7,GO11,GO13,GO16,GO18,GO20)</f>
        <v/>
      </c>
      <c r="GP6" s="240">
        <f>GN6+GO6</f>
        <v/>
      </c>
      <c r="GQ6" s="240">
        <f>GP6-GM6</f>
        <v/>
      </c>
      <c r="GR6" s="241">
        <f>IF(GM6=0,"",GP6/GM6)</f>
        <v/>
      </c>
      <c r="GS6" s="12" t="n"/>
      <c r="GT6" s="242">
        <f>SUM(GT7,GT11,GT13,GT16,GT18,GT20)</f>
        <v/>
      </c>
      <c r="GU6" s="242">
        <f>SUM(GU7,GU11,GU13,GU16,GU18,GU20)</f>
        <v/>
      </c>
      <c r="GV6" s="242">
        <f>GT6+GU6</f>
        <v/>
      </c>
      <c r="GW6" s="242">
        <f>SUM(GW7,GW11,GW13,GW16,GW18,GW20)</f>
        <v/>
      </c>
      <c r="GX6" s="242">
        <f>SUM(GX7,GX11,GX13,GX16,GX18,GX20)</f>
        <v/>
      </c>
      <c r="GY6" s="242">
        <f>GW6+GX6</f>
        <v/>
      </c>
      <c r="GZ6" s="242">
        <f>GY6-GV6</f>
        <v/>
      </c>
      <c r="HA6" s="243">
        <f>IF(GV6=0,"",GY6/GV6)</f>
        <v/>
      </c>
      <c r="HB6" s="17" t="n"/>
      <c r="HC6" s="240">
        <f>GT6</f>
        <v/>
      </c>
      <c r="HD6" s="240">
        <f>GU6</f>
        <v/>
      </c>
      <c r="HE6" s="240">
        <f>HC6+HD6</f>
        <v/>
      </c>
    </row>
    <row r="7" ht="15" customHeight="1" s="150">
      <c r="A7" s="18" t="n"/>
      <c r="B7" s="18" t="n"/>
      <c r="C7" s="18" t="n"/>
      <c r="D7" s="227">
        <f>SUM(D8:D10)</f>
        <v/>
      </c>
      <c r="E7" s="227">
        <f>SUM(E8:E10)</f>
        <v/>
      </c>
      <c r="F7" s="227">
        <f>D7+E7</f>
        <v/>
      </c>
      <c r="G7" s="227">
        <f>SUM(G8:G10)</f>
        <v/>
      </c>
      <c r="H7" s="227">
        <f>SUM(H8:H10)</f>
        <v/>
      </c>
      <c r="I7" s="227">
        <f>G7+H7</f>
        <v/>
      </c>
      <c r="J7" s="228">
        <f>I7-F7</f>
        <v/>
      </c>
      <c r="K7" s="229">
        <f>IF(F7=0,"",I7/F7)</f>
        <v/>
      </c>
      <c r="L7" s="18" t="n"/>
      <c r="M7" s="227">
        <f>SUM(M8:M10)</f>
        <v/>
      </c>
      <c r="N7" s="227">
        <f>SUM(N8:N10)</f>
        <v/>
      </c>
      <c r="O7" s="227">
        <f>M7+N7</f>
        <v/>
      </c>
      <c r="P7" s="227">
        <f>SUM(P8:P10)</f>
        <v/>
      </c>
      <c r="Q7" s="227">
        <f>SUM(Q8:Q10)</f>
        <v/>
      </c>
      <c r="R7" s="227">
        <f>P7+Q7</f>
        <v/>
      </c>
      <c r="S7" s="228">
        <f>R7-O7</f>
        <v/>
      </c>
      <c r="T7" s="229">
        <f>IF(O7=0,"",R7/O7)</f>
        <v/>
      </c>
      <c r="U7" s="18" t="n"/>
      <c r="V7" s="230">
        <f>SUM(V8:V10)</f>
        <v/>
      </c>
      <c r="W7" s="230">
        <f>SUM(W8:W10)</f>
        <v/>
      </c>
      <c r="X7" s="230">
        <f>V7+W7</f>
        <v/>
      </c>
      <c r="Y7" s="230">
        <f>SUM(Y8:Y10)</f>
        <v/>
      </c>
      <c r="Z7" s="230">
        <f>SUM(Z8:Z10)</f>
        <v/>
      </c>
      <c r="AA7" s="230">
        <f>Y7+Z7</f>
        <v/>
      </c>
      <c r="AB7" s="231">
        <f>AA7-X7</f>
        <v/>
      </c>
      <c r="AC7" s="232">
        <f>IF(X7=0,"",AA7/X7)</f>
        <v/>
      </c>
      <c r="AD7" s="25" t="n"/>
      <c r="AE7" s="227">
        <f>SUM(AE8:AE10)</f>
        <v/>
      </c>
      <c r="AF7" s="227">
        <f>SUM(AF8:AF10)</f>
        <v/>
      </c>
      <c r="AG7" s="227">
        <f>AE7+AF7</f>
        <v/>
      </c>
      <c r="AH7" s="227">
        <f>SUM(AH8:AH10)</f>
        <v/>
      </c>
      <c r="AI7" s="227">
        <f>SUM(AI8:AI10)</f>
        <v/>
      </c>
      <c r="AJ7" s="227">
        <f>AH7+AI7</f>
        <v/>
      </c>
      <c r="AK7" s="228">
        <f>AJ7-AG7</f>
        <v/>
      </c>
      <c r="AL7" s="229">
        <f>IF(AG7=0,"",AJ7/AG7)</f>
        <v/>
      </c>
      <c r="AM7" s="18" t="n"/>
      <c r="AN7" s="230">
        <f>SUM(AN8:AN10)</f>
        <v/>
      </c>
      <c r="AO7" s="230">
        <f>SUM(AO8:AO10)</f>
        <v/>
      </c>
      <c r="AP7" s="230">
        <f>AN7+AO7</f>
        <v/>
      </c>
      <c r="AQ7" s="230">
        <f>SUM(AQ8:AQ10)</f>
        <v/>
      </c>
      <c r="AR7" s="230">
        <f>SUM(AR8:AR10)</f>
        <v/>
      </c>
      <c r="AS7" s="230">
        <f>AQ7+AR7</f>
        <v/>
      </c>
      <c r="AT7" s="231">
        <f>AS7-AP7</f>
        <v/>
      </c>
      <c r="AU7" s="232">
        <f>IF(AP7=0,"",AS7/AP7)</f>
        <v/>
      </c>
      <c r="AV7" s="25" t="n"/>
      <c r="AW7" s="227">
        <f>SUM(AW8:AW10)</f>
        <v/>
      </c>
      <c r="AX7" s="227">
        <f>SUM(AX8:AX10)</f>
        <v/>
      </c>
      <c r="AY7" s="227">
        <f>AW7+AX7</f>
        <v/>
      </c>
      <c r="AZ7" s="227">
        <f>SUM(AZ8:AZ10)</f>
        <v/>
      </c>
      <c r="BA7" s="227">
        <f>SUM(BA8:BA10)</f>
        <v/>
      </c>
      <c r="BB7" s="227">
        <f>AZ7+BA7</f>
        <v/>
      </c>
      <c r="BC7" s="228">
        <f>BB7-AY7</f>
        <v/>
      </c>
      <c r="BD7" s="229">
        <f>IF(AY7=0,"",BB7/AY7)</f>
        <v/>
      </c>
      <c r="BE7" s="18" t="n"/>
      <c r="BF7" s="230">
        <f>SUM(BF8:BF10)</f>
        <v/>
      </c>
      <c r="BG7" s="230">
        <f>SUM(BG8:BG10)</f>
        <v/>
      </c>
      <c r="BH7" s="230">
        <f>BF7+BG7</f>
        <v/>
      </c>
      <c r="BI7" s="230">
        <f>SUM(BI8:BI10)</f>
        <v/>
      </c>
      <c r="BJ7" s="230">
        <f>SUM(BJ8:BJ10)</f>
        <v/>
      </c>
      <c r="BK7" s="230">
        <f>BI7+BJ7</f>
        <v/>
      </c>
      <c r="BL7" s="231">
        <f>BK7-BH7</f>
        <v/>
      </c>
      <c r="BM7" s="232">
        <f>IF(BH7=0,"",BK7/BH7)</f>
        <v/>
      </c>
      <c r="BN7" s="25" t="n"/>
      <c r="BO7" s="227">
        <f>SUM(BO8:BO10)</f>
        <v/>
      </c>
      <c r="BP7" s="227">
        <f>SUM(BP8:BP10)</f>
        <v/>
      </c>
      <c r="BQ7" s="227">
        <f>BO7+BP7</f>
        <v/>
      </c>
      <c r="BR7" s="227">
        <f>SUM(BR8:BR10)</f>
        <v/>
      </c>
      <c r="BS7" s="227">
        <f>SUM(BS8:BS10)</f>
        <v/>
      </c>
      <c r="BT7" s="227">
        <f>BR7+BS7</f>
        <v/>
      </c>
      <c r="BU7" s="228">
        <f>BT7-BQ7</f>
        <v/>
      </c>
      <c r="BV7" s="229">
        <f>IF(BQ7=0,"",BT7/BQ7)</f>
        <v/>
      </c>
      <c r="BW7" s="18" t="n"/>
      <c r="BX7" s="230">
        <f>SUM(BX8:BX10)</f>
        <v/>
      </c>
      <c r="BY7" s="230">
        <f>SUM(BY8:BY10)</f>
        <v/>
      </c>
      <c r="BZ7" s="230">
        <f>BX7+BY7</f>
        <v/>
      </c>
      <c r="CA7" s="230">
        <f>SUM(CA8:CA10)</f>
        <v/>
      </c>
      <c r="CB7" s="230">
        <f>SUM(CB8:CB10)</f>
        <v/>
      </c>
      <c r="CC7" s="230">
        <f>CA7+CB7</f>
        <v/>
      </c>
      <c r="CD7" s="231">
        <f>CC7-BZ7</f>
        <v/>
      </c>
      <c r="CE7" s="232">
        <f>IF(BZ7=0,"",CC7/BZ7)</f>
        <v/>
      </c>
      <c r="CF7" s="25" t="n"/>
      <c r="CG7" s="227">
        <f>SUM(CG8:CG10)</f>
        <v/>
      </c>
      <c r="CH7" s="227">
        <f>SUM(CH8:CH10)</f>
        <v/>
      </c>
      <c r="CI7" s="227">
        <f>CG7+CH7</f>
        <v/>
      </c>
      <c r="CJ7" s="227">
        <f>SUM(CJ8:CJ10)</f>
        <v/>
      </c>
      <c r="CK7" s="227">
        <f>SUM(CK8:CK10)</f>
        <v/>
      </c>
      <c r="CL7" s="227">
        <f>CJ7+CK7</f>
        <v/>
      </c>
      <c r="CM7" s="228">
        <f>CL7-CI7</f>
        <v/>
      </c>
      <c r="CN7" s="229">
        <f>IF(CI7=0,"",CL7/CI7)</f>
        <v/>
      </c>
      <c r="CO7" s="18" t="n"/>
      <c r="CP7" s="230">
        <f>SUM(CP8:CP10)</f>
        <v/>
      </c>
      <c r="CQ7" s="230">
        <f>SUM(CQ8:CQ10)</f>
        <v/>
      </c>
      <c r="CR7" s="230">
        <f>CP7+CQ7</f>
        <v/>
      </c>
      <c r="CS7" s="230">
        <f>SUM(CS8:CS10)</f>
        <v/>
      </c>
      <c r="CT7" s="230">
        <f>SUM(CT8:CT10)</f>
        <v/>
      </c>
      <c r="CU7" s="230">
        <f>CS7+CT7</f>
        <v/>
      </c>
      <c r="CV7" s="231">
        <f>CU7-CR7</f>
        <v/>
      </c>
      <c r="CW7" s="232">
        <f>IF(CR7=0,"",CU7/CR7)</f>
        <v/>
      </c>
      <c r="CX7" s="25" t="n"/>
      <c r="CY7" s="227">
        <f>SUM(CY8:CY10)</f>
        <v/>
      </c>
      <c r="CZ7" s="227">
        <f>SUM(CZ8:CZ10)</f>
        <v/>
      </c>
      <c r="DA7" s="227">
        <f>CY7+CZ7</f>
        <v/>
      </c>
      <c r="DB7" s="227">
        <f>SUM(DB8:DB10)</f>
        <v/>
      </c>
      <c r="DC7" s="227">
        <f>SUM(DC8:DC10)</f>
        <v/>
      </c>
      <c r="DD7" s="227">
        <f>DB7+DC7</f>
        <v/>
      </c>
      <c r="DE7" s="228">
        <f>DD7-DA7</f>
        <v/>
      </c>
      <c r="DF7" s="229">
        <f>IF(DA7=0,"",DD7/DA7)</f>
        <v/>
      </c>
      <c r="DG7" s="18" t="n"/>
      <c r="DH7" s="230">
        <f>SUM(DH8:DH10)</f>
        <v/>
      </c>
      <c r="DI7" s="230">
        <f>SUM(DI8:DI10)</f>
        <v/>
      </c>
      <c r="DJ7" s="230">
        <f>DH7+DI7</f>
        <v/>
      </c>
      <c r="DK7" s="230">
        <f>SUM(DK8:DK10)</f>
        <v/>
      </c>
      <c r="DL7" s="230">
        <f>SUM(DL8:DL10)</f>
        <v/>
      </c>
      <c r="DM7" s="230">
        <f>DK7+DL7</f>
        <v/>
      </c>
      <c r="DN7" s="231">
        <f>DM7-DJ7</f>
        <v/>
      </c>
      <c r="DO7" s="232">
        <f>IF(DJ7=0,"",DM7/DJ7)</f>
        <v/>
      </c>
      <c r="DP7" s="25" t="n"/>
      <c r="DQ7" s="227">
        <f>SUM(DQ8:DQ10)</f>
        <v/>
      </c>
      <c r="DR7" s="227">
        <f>SUM(DR8:DR10)</f>
        <v/>
      </c>
      <c r="DS7" s="227">
        <f>DQ7+DR7</f>
        <v/>
      </c>
      <c r="DT7" s="227">
        <f>SUM(DT8:DT10)</f>
        <v/>
      </c>
      <c r="DU7" s="227">
        <f>SUM(DU8:DU10)</f>
        <v/>
      </c>
      <c r="DV7" s="227">
        <f>DT7+DU7</f>
        <v/>
      </c>
      <c r="DW7" s="228">
        <f>DV7-DS7</f>
        <v/>
      </c>
      <c r="DX7" s="229">
        <f>IF(DS7=0,"",DV7/DS7)</f>
        <v/>
      </c>
      <c r="DY7" s="18" t="n"/>
      <c r="DZ7" s="230">
        <f>SUM(DZ8:DZ10)</f>
        <v/>
      </c>
      <c r="EA7" s="230">
        <f>SUM(EA8:EA10)</f>
        <v/>
      </c>
      <c r="EB7" s="230">
        <f>DZ7+EA7</f>
        <v/>
      </c>
      <c r="EC7" s="230">
        <f>SUM(EC8:EC10)</f>
        <v/>
      </c>
      <c r="ED7" s="230">
        <f>SUM(ED8:ED10)</f>
        <v/>
      </c>
      <c r="EE7" s="230">
        <f>EC7+ED7</f>
        <v/>
      </c>
      <c r="EF7" s="231">
        <f>EE7-EB7</f>
        <v/>
      </c>
      <c r="EG7" s="232">
        <f>IF(EB7=0,"",EE7/EB7)</f>
        <v/>
      </c>
      <c r="EH7" s="25" t="n"/>
      <c r="EI7" s="227">
        <f>SUM(EI8:EI10)</f>
        <v/>
      </c>
      <c r="EJ7" s="227">
        <f>SUM(EJ8:EJ10)</f>
        <v/>
      </c>
      <c r="EK7" s="227">
        <f>EI7+EJ7</f>
        <v/>
      </c>
      <c r="EL7" s="227">
        <f>SUM(EL8:EL10)</f>
        <v/>
      </c>
      <c r="EM7" s="227">
        <f>SUM(EM8:EM10)</f>
        <v/>
      </c>
      <c r="EN7" s="227">
        <f>EL7+EM7</f>
        <v/>
      </c>
      <c r="EO7" s="228">
        <f>EN7-EK7</f>
        <v/>
      </c>
      <c r="EP7" s="229">
        <f>IF(EK7=0,"",EN7/EK7)</f>
        <v/>
      </c>
      <c r="EQ7" s="18" t="n"/>
      <c r="ER7" s="230">
        <f>SUM(ER8:ER10)</f>
        <v/>
      </c>
      <c r="ES7" s="230">
        <f>SUM(ES8:ES10)</f>
        <v/>
      </c>
      <c r="ET7" s="230">
        <f>ER7+ES7</f>
        <v/>
      </c>
      <c r="EU7" s="230">
        <f>SUM(EU8:EU10)</f>
        <v/>
      </c>
      <c r="EV7" s="230">
        <f>SUM(EV8:EV10)</f>
        <v/>
      </c>
      <c r="EW7" s="230">
        <f>EU7+EV7</f>
        <v/>
      </c>
      <c r="EX7" s="231">
        <f>EW7-ET7</f>
        <v/>
      </c>
      <c r="EY7" s="232">
        <f>IF(ET7=0,"",EW7/ET7)</f>
        <v/>
      </c>
      <c r="EZ7" s="25" t="n"/>
      <c r="FA7" s="227">
        <f>SUM(FA8:FA10)</f>
        <v/>
      </c>
      <c r="FB7" s="227">
        <f>SUM(FB8:FB10)</f>
        <v/>
      </c>
      <c r="FC7" s="227">
        <f>FA7+FB7</f>
        <v/>
      </c>
      <c r="FD7" s="227">
        <f>SUM(FD8:FD10)</f>
        <v/>
      </c>
      <c r="FE7" s="227">
        <f>SUM(FE8:FE10)</f>
        <v/>
      </c>
      <c r="FF7" s="227">
        <f>FD7+FE7</f>
        <v/>
      </c>
      <c r="FG7" s="228">
        <f>FF7-FC7</f>
        <v/>
      </c>
      <c r="FH7" s="229">
        <f>IF(FC7=0,"",FF7/FC7)</f>
        <v/>
      </c>
      <c r="FI7" s="18" t="n"/>
      <c r="FJ7" s="230">
        <f>SUM(FJ8:FJ10)</f>
        <v/>
      </c>
      <c r="FK7" s="230">
        <f>SUM(FK8:FK10)</f>
        <v/>
      </c>
      <c r="FL7" s="230">
        <f>FJ7+FK7</f>
        <v/>
      </c>
      <c r="FM7" s="230">
        <f>SUM(FM8:FM10)</f>
        <v/>
      </c>
      <c r="FN7" s="230">
        <f>SUM(FN8:FN10)</f>
        <v/>
      </c>
      <c r="FO7" s="230">
        <f>FM7+FN7</f>
        <v/>
      </c>
      <c r="FP7" s="231">
        <f>FO7-FL7</f>
        <v/>
      </c>
      <c r="FQ7" s="232">
        <f>IF(FL7=0,"",FO7/FL7)</f>
        <v/>
      </c>
      <c r="FR7" s="25" t="n"/>
      <c r="FS7" s="227">
        <f>SUM(FS8:FS10)</f>
        <v/>
      </c>
      <c r="FT7" s="227">
        <f>SUM(FT8:FT10)</f>
        <v/>
      </c>
      <c r="FU7" s="227">
        <f>FS7+FT7</f>
        <v/>
      </c>
      <c r="FV7" s="227">
        <f>SUM(FV8:FV10)</f>
        <v/>
      </c>
      <c r="FW7" s="227">
        <f>SUM(FW8:FW10)</f>
        <v/>
      </c>
      <c r="FX7" s="227">
        <f>FV7+FW7</f>
        <v/>
      </c>
      <c r="FY7" s="228">
        <f>FX7-FU7</f>
        <v/>
      </c>
      <c r="FZ7" s="229">
        <f>IF(FU7=0,"",FX7/FU7)</f>
        <v/>
      </c>
      <c r="GA7" s="18" t="n"/>
      <c r="GB7" s="230">
        <f>SUM(GB8:GB10)</f>
        <v/>
      </c>
      <c r="GC7" s="230">
        <f>SUM(GC8:GC10)</f>
        <v/>
      </c>
      <c r="GD7" s="230">
        <f>GB7+GC7</f>
        <v/>
      </c>
      <c r="GE7" s="230">
        <f>SUM(GE8:GE10)</f>
        <v/>
      </c>
      <c r="GF7" s="230">
        <f>SUM(GF8:GF10)</f>
        <v/>
      </c>
      <c r="GG7" s="230">
        <f>GE7+GF7</f>
        <v/>
      </c>
      <c r="GH7" s="231">
        <f>GG7-GD7</f>
        <v/>
      </c>
      <c r="GI7" s="232">
        <f>IF(GD7=0,"",GG7/GD7)</f>
        <v/>
      </c>
      <c r="GJ7" s="25" t="n"/>
      <c r="GK7" s="227">
        <f>SUM(GK8:GK10)</f>
        <v/>
      </c>
      <c r="GL7" s="227">
        <f>SUM(GL8:GL10)</f>
        <v/>
      </c>
      <c r="GM7" s="227">
        <f>GK7+GL7</f>
        <v/>
      </c>
      <c r="GN7" s="227">
        <f>SUM(GN8:GN10)</f>
        <v/>
      </c>
      <c r="GO7" s="227">
        <f>SUM(GO8:GO10)</f>
        <v/>
      </c>
      <c r="GP7" s="227">
        <f>GN7+GO7</f>
        <v/>
      </c>
      <c r="GQ7" s="228">
        <f>GP7-GM7</f>
        <v/>
      </c>
      <c r="GR7" s="229">
        <f>IF(GM7=0,"",GP7/GM7)</f>
        <v/>
      </c>
      <c r="GS7" s="18" t="n"/>
      <c r="GT7" s="230">
        <f>SUM(GT8:GT10)</f>
        <v/>
      </c>
      <c r="GU7" s="230">
        <f>SUM(GU8:GU10)</f>
        <v/>
      </c>
      <c r="GV7" s="230">
        <f>GT7+GU7</f>
        <v/>
      </c>
      <c r="GW7" s="230">
        <f>SUM(GW8:GW10)</f>
        <v/>
      </c>
      <c r="GX7" s="230">
        <f>SUM(GX8:GX10)</f>
        <v/>
      </c>
      <c r="GY7" s="230">
        <f>GW7+GX7</f>
        <v/>
      </c>
      <c r="GZ7" s="231">
        <f>GY7-GV7</f>
        <v/>
      </c>
      <c r="HA7" s="232">
        <f>IF(GV7=0,"",GY7/GV7)</f>
        <v/>
      </c>
      <c r="HB7" s="25" t="n"/>
      <c r="HC7" s="227">
        <f>GT7</f>
        <v/>
      </c>
      <c r="HD7" s="227">
        <f>GU7</f>
        <v/>
      </c>
      <c r="HE7" s="227">
        <f>HC7+HD7</f>
        <v/>
      </c>
    </row>
    <row r="8" outlineLevel="1" ht="24" customHeight="1" s="150">
      <c r="A8" s="26" t="n"/>
      <c r="B8" s="26" t="n"/>
      <c r="C8" s="26" t="n"/>
      <c r="D8" s="233" t="n"/>
      <c r="E8" s="233" t="n"/>
      <c r="F8" s="233">
        <f>D8+E8</f>
        <v/>
      </c>
      <c r="G8" s="233" t="n"/>
      <c r="H8" s="233" t="n"/>
      <c r="I8" s="233">
        <f>G8+H8</f>
        <v/>
      </c>
      <c r="J8" s="234">
        <f>I8-F8</f>
        <v/>
      </c>
      <c r="K8" s="235">
        <f>IF(F8=0,"",I8/F8)</f>
        <v/>
      </c>
      <c r="L8" s="26" t="n"/>
      <c r="M8" s="233" t="n"/>
      <c r="N8" s="233" t="n"/>
      <c r="O8" s="233">
        <f>M8+N8</f>
        <v/>
      </c>
      <c r="P8" s="233" t="n"/>
      <c r="Q8" s="233" t="n"/>
      <c r="R8" s="233">
        <f>P8+Q8</f>
        <v/>
      </c>
      <c r="S8" s="238">
        <f>R8-O8</f>
        <v/>
      </c>
      <c r="T8" s="235">
        <f>IF(O8=0,"",R8/O8)</f>
        <v/>
      </c>
      <c r="U8" s="26" t="n"/>
      <c r="V8" s="236">
        <f>D8+M8</f>
        <v/>
      </c>
      <c r="W8" s="236">
        <f>E8+N8</f>
        <v/>
      </c>
      <c r="X8" s="236">
        <f>V8+W8</f>
        <v/>
      </c>
      <c r="Y8" s="236">
        <f>G8+P8</f>
        <v/>
      </c>
      <c r="Z8" s="236">
        <f>H8+Q8</f>
        <v/>
      </c>
      <c r="AA8" s="236">
        <f>Y8+Z8</f>
        <v/>
      </c>
      <c r="AB8" s="234">
        <f>AA8-X8</f>
        <v/>
      </c>
      <c r="AC8" s="237">
        <f>IF(X8=0,"",AA8/X8)</f>
        <v/>
      </c>
      <c r="AD8" s="33" t="n"/>
      <c r="AE8" s="233" t="n"/>
      <c r="AF8" s="233" t="n"/>
      <c r="AG8" s="233">
        <f>AE8+AF8</f>
        <v/>
      </c>
      <c r="AH8" s="233" t="n"/>
      <c r="AI8" s="233" t="n"/>
      <c r="AJ8" s="233">
        <f>AH8+AI8</f>
        <v/>
      </c>
      <c r="AK8" s="238">
        <f>AJ8-AG8</f>
        <v/>
      </c>
      <c r="AL8" s="235">
        <f>IF(AG8=0,"",AJ8/AG8)</f>
        <v/>
      </c>
      <c r="AM8" s="26" t="n"/>
      <c r="AN8" s="236">
        <f>V8+AE8</f>
        <v/>
      </c>
      <c r="AO8" s="236">
        <f>W8+AF8</f>
        <v/>
      </c>
      <c r="AP8" s="236">
        <f>AN8+AO8</f>
        <v/>
      </c>
      <c r="AQ8" s="236">
        <f>Y8+AH8</f>
        <v/>
      </c>
      <c r="AR8" s="236">
        <f>Z8+AI8</f>
        <v/>
      </c>
      <c r="AS8" s="236">
        <f>AQ8+AR8</f>
        <v/>
      </c>
      <c r="AT8" s="234">
        <f>AS8-AP8</f>
        <v/>
      </c>
      <c r="AU8" s="237">
        <f>IF(AP8=0,"",AS8/AP8)</f>
        <v/>
      </c>
      <c r="AV8" s="44" t="n"/>
      <c r="AW8" s="233" t="n"/>
      <c r="AX8" s="233" t="n"/>
      <c r="AY8" s="233">
        <f>AW8+AX8</f>
        <v/>
      </c>
      <c r="AZ8" s="233" t="n"/>
      <c r="BA8" s="233" t="n"/>
      <c r="BB8" s="233">
        <f>AZ8+BA8</f>
        <v/>
      </c>
      <c r="BC8" s="238">
        <f>BB8-AY8</f>
        <v/>
      </c>
      <c r="BD8" s="235">
        <f>IF(AY8=0,"",BB8/AY8)</f>
        <v/>
      </c>
      <c r="BE8" s="26" t="n"/>
      <c r="BF8" s="236">
        <f>AN8+AW8</f>
        <v/>
      </c>
      <c r="BG8" s="236">
        <f>AO8+AX8</f>
        <v/>
      </c>
      <c r="BH8" s="236">
        <f>BF8+BG8</f>
        <v/>
      </c>
      <c r="BI8" s="236">
        <f>AQ8+AZ8</f>
        <v/>
      </c>
      <c r="BJ8" s="236">
        <f>AR8+BA8</f>
        <v/>
      </c>
      <c r="BK8" s="236">
        <f>BI8+BJ8</f>
        <v/>
      </c>
      <c r="BL8" s="239">
        <f>BK8-BH8</f>
        <v/>
      </c>
      <c r="BM8" s="237">
        <f>IF(BH8=0,"",BK8/BH8)</f>
        <v/>
      </c>
      <c r="BN8" s="33" t="n"/>
      <c r="BO8" s="233" t="n"/>
      <c r="BP8" s="233" t="n"/>
      <c r="BQ8" s="233">
        <f>BO8+BP8</f>
        <v/>
      </c>
      <c r="BR8" s="233" t="n"/>
      <c r="BS8" s="233" t="n"/>
      <c r="BT8" s="233">
        <f>BR8+BS8</f>
        <v/>
      </c>
      <c r="BU8" s="238">
        <f>BT8-BQ8</f>
        <v/>
      </c>
      <c r="BV8" s="235">
        <f>IF(BQ8=0,"",BT8/BQ8)</f>
        <v/>
      </c>
      <c r="BW8" s="26" t="n"/>
      <c r="BX8" s="236">
        <f>BF8+BO8</f>
        <v/>
      </c>
      <c r="BY8" s="236">
        <f>BG8+BP8</f>
        <v/>
      </c>
      <c r="BZ8" s="236">
        <f>BX8+BY8</f>
        <v/>
      </c>
      <c r="CA8" s="236">
        <f>BI8+BR8</f>
        <v/>
      </c>
      <c r="CB8" s="236">
        <f>BJ8+BS8</f>
        <v/>
      </c>
      <c r="CC8" s="236">
        <f>CA8+CB8</f>
        <v/>
      </c>
      <c r="CD8" s="239">
        <f>CC8-BZ8</f>
        <v/>
      </c>
      <c r="CE8" s="237">
        <f>IF(BZ8=0,"",CC8/BZ8)</f>
        <v/>
      </c>
      <c r="CF8" s="33" t="n"/>
      <c r="CG8" s="233" t="n"/>
      <c r="CH8" s="233" t="n"/>
      <c r="CI8" s="233">
        <f>CG8+CH8</f>
        <v/>
      </c>
      <c r="CJ8" s="233" t="n"/>
      <c r="CK8" s="233" t="n"/>
      <c r="CL8" s="233">
        <f>CJ8+CK8</f>
        <v/>
      </c>
      <c r="CM8" s="238">
        <f>CL8-CI8</f>
        <v/>
      </c>
      <c r="CN8" s="235">
        <f>IF(CI8=0,"",CL8/CI8)</f>
        <v/>
      </c>
      <c r="CO8" s="26" t="n"/>
      <c r="CP8" s="236">
        <f>BX8+CG8</f>
        <v/>
      </c>
      <c r="CQ8" s="236">
        <f>BY8+CH8</f>
        <v/>
      </c>
      <c r="CR8" s="236">
        <f>CP8+CQ8</f>
        <v/>
      </c>
      <c r="CS8" s="236">
        <f>CA8+CJ8</f>
        <v/>
      </c>
      <c r="CT8" s="236">
        <f>CB8+CK8</f>
        <v/>
      </c>
      <c r="CU8" s="236">
        <f>CS8+CT8</f>
        <v/>
      </c>
      <c r="CV8" s="239">
        <f>CU8-CR8</f>
        <v/>
      </c>
      <c r="CW8" s="237">
        <f>IF(CR8=0,"",CU8/CR8)</f>
        <v/>
      </c>
      <c r="CX8" s="33" t="n"/>
      <c r="CY8" s="233" t="n"/>
      <c r="CZ8" s="233" t="n"/>
      <c r="DA8" s="233">
        <f>CY8+CZ8</f>
        <v/>
      </c>
      <c r="DB8" s="233" t="n"/>
      <c r="DC8" s="233" t="n"/>
      <c r="DD8" s="233">
        <f>DB8+DC8</f>
        <v/>
      </c>
      <c r="DE8" s="238">
        <f>DD8-DA8</f>
        <v/>
      </c>
      <c r="DF8" s="235">
        <f>IF(DA8=0,"",DD8/DA8)</f>
        <v/>
      </c>
      <c r="DG8" s="26" t="n"/>
      <c r="DH8" s="236">
        <f>CP8+CY8</f>
        <v/>
      </c>
      <c r="DI8" s="236">
        <f>CQ8+CZ8</f>
        <v/>
      </c>
      <c r="DJ8" s="236">
        <f>DH8+DI8</f>
        <v/>
      </c>
      <c r="DK8" s="236">
        <f>CS8+DB8</f>
        <v/>
      </c>
      <c r="DL8" s="236">
        <f>CT8+DC8</f>
        <v/>
      </c>
      <c r="DM8" s="236">
        <f>DK8+DL8</f>
        <v/>
      </c>
      <c r="DN8" s="239">
        <f>DM8-DJ8</f>
        <v/>
      </c>
      <c r="DO8" s="237">
        <f>IF(DJ8=0,"",DM8/DJ8)</f>
        <v/>
      </c>
      <c r="DP8" s="33" t="n"/>
      <c r="DQ8" s="233" t="n"/>
      <c r="DR8" s="233" t="n"/>
      <c r="DS8" s="233">
        <f>DQ8+DR8</f>
        <v/>
      </c>
      <c r="DT8" s="233" t="n"/>
      <c r="DU8" s="233" t="n"/>
      <c r="DV8" s="233">
        <f>DT8+DU8</f>
        <v/>
      </c>
      <c r="DW8" s="238">
        <f>DV8-DS8</f>
        <v/>
      </c>
      <c r="DX8" s="235">
        <f>IF(DS8=0,"",DV8/DS8)</f>
        <v/>
      </c>
      <c r="DY8" s="26" t="n"/>
      <c r="DZ8" s="236">
        <f>DH8+DQ8</f>
        <v/>
      </c>
      <c r="EA8" s="236">
        <f>DI8+DR8</f>
        <v/>
      </c>
      <c r="EB8" s="236">
        <f>DZ8+EA8</f>
        <v/>
      </c>
      <c r="EC8" s="236">
        <f>DK8+DT8</f>
        <v/>
      </c>
      <c r="ED8" s="236">
        <f>DL8+DU8</f>
        <v/>
      </c>
      <c r="EE8" s="236">
        <f>EC8+ED8</f>
        <v/>
      </c>
      <c r="EF8" s="239">
        <f>EE8-EB8</f>
        <v/>
      </c>
      <c r="EG8" s="237">
        <f>IF(EB8=0,"",EE8/EB8)</f>
        <v/>
      </c>
      <c r="EH8" s="33" t="n"/>
      <c r="EI8" s="233" t="n"/>
      <c r="EJ8" s="233" t="n"/>
      <c r="EK8" s="233">
        <f>EI8+EJ8</f>
        <v/>
      </c>
      <c r="EL8" s="233" t="n"/>
      <c r="EM8" s="233" t="n"/>
      <c r="EN8" s="233">
        <f>EL8+EM8</f>
        <v/>
      </c>
      <c r="EO8" s="238">
        <f>EN8-EK8</f>
        <v/>
      </c>
      <c r="EP8" s="235">
        <f>IF(EK8=0,"",EN8/EK8)</f>
        <v/>
      </c>
      <c r="EQ8" s="26" t="n"/>
      <c r="ER8" s="236">
        <f>DZ8+EI8</f>
        <v/>
      </c>
      <c r="ES8" s="236">
        <f>EA8+EJ8</f>
        <v/>
      </c>
      <c r="ET8" s="236">
        <f>ER8+ES8</f>
        <v/>
      </c>
      <c r="EU8" s="236">
        <f>EC8+EL8</f>
        <v/>
      </c>
      <c r="EV8" s="236">
        <f>ED8+EM8</f>
        <v/>
      </c>
      <c r="EW8" s="236">
        <f>EU8+EV8</f>
        <v/>
      </c>
      <c r="EX8" s="239">
        <f>EW8-ET8</f>
        <v/>
      </c>
      <c r="EY8" s="237">
        <f>IF(ET8=0,"",EW8/ET8)</f>
        <v/>
      </c>
      <c r="EZ8" s="33" t="n"/>
      <c r="FA8" s="233" t="n"/>
      <c r="FB8" s="233" t="n"/>
      <c r="FC8" s="233">
        <f>FA8+FB8</f>
        <v/>
      </c>
      <c r="FD8" s="233" t="n"/>
      <c r="FE8" s="233" t="n"/>
      <c r="FF8" s="233">
        <f>FD8+FE8</f>
        <v/>
      </c>
      <c r="FG8" s="238">
        <f>FF8-FC8</f>
        <v/>
      </c>
      <c r="FH8" s="235">
        <f>IF(FC8=0,"",FF8/FC8)</f>
        <v/>
      </c>
      <c r="FI8" s="26" t="n"/>
      <c r="FJ8" s="236">
        <f>ER8+FA8</f>
        <v/>
      </c>
      <c r="FK8" s="236">
        <f>ES8+FB8</f>
        <v/>
      </c>
      <c r="FL8" s="236">
        <f>FJ8+FK8</f>
        <v/>
      </c>
      <c r="FM8" s="236">
        <f>EU8+FD8</f>
        <v/>
      </c>
      <c r="FN8" s="236">
        <f>EV8+FE8</f>
        <v/>
      </c>
      <c r="FO8" s="236">
        <f>FM8+FN8</f>
        <v/>
      </c>
      <c r="FP8" s="239">
        <f>FO8-FL8</f>
        <v/>
      </c>
      <c r="FQ8" s="237">
        <f>IF(FL8=0,"",FO8/FL8)</f>
        <v/>
      </c>
      <c r="FR8" s="33" t="n"/>
      <c r="FS8" s="233" t="n"/>
      <c r="FT8" s="233" t="n"/>
      <c r="FU8" s="233">
        <f>FS8+FT8</f>
        <v/>
      </c>
      <c r="FV8" s="233" t="n"/>
      <c r="FW8" s="233" t="n"/>
      <c r="FX8" s="233">
        <f>FV8+FW8</f>
        <v/>
      </c>
      <c r="FY8" s="238">
        <f>FX8-FU8</f>
        <v/>
      </c>
      <c r="FZ8" s="235">
        <f>IF(FU8=0,"",FX8/FU8)</f>
        <v/>
      </c>
      <c r="GA8" s="26" t="n"/>
      <c r="GB8" s="236">
        <f>FJ8+FS8</f>
        <v/>
      </c>
      <c r="GC8" s="236">
        <f>FK8+FT8</f>
        <v/>
      </c>
      <c r="GD8" s="236">
        <f>GB8+GC8</f>
        <v/>
      </c>
      <c r="GE8" s="236">
        <f>FM8+FV8</f>
        <v/>
      </c>
      <c r="GF8" s="236">
        <f>FN8+FW8</f>
        <v/>
      </c>
      <c r="GG8" s="236">
        <f>GE8+GF8</f>
        <v/>
      </c>
      <c r="GH8" s="239">
        <f>GG8-GD8</f>
        <v/>
      </c>
      <c r="GI8" s="237">
        <f>IF(GD8=0,"",GG8/GD8)</f>
        <v/>
      </c>
      <c r="GJ8" s="33" t="n"/>
      <c r="GK8" s="233" t="n"/>
      <c r="GL8" s="233" t="n"/>
      <c r="GM8" s="233">
        <f>GK8+GL8</f>
        <v/>
      </c>
      <c r="GN8" s="233" t="n"/>
      <c r="GO8" s="233" t="n"/>
      <c r="GP8" s="233">
        <f>GN8+GO8</f>
        <v/>
      </c>
      <c r="GQ8" s="238">
        <f>GP8-GM8</f>
        <v/>
      </c>
      <c r="GR8" s="235">
        <f>IF(GM8=0,"",GP8/GM8)</f>
        <v/>
      </c>
      <c r="GS8" s="26" t="n"/>
      <c r="GT8" s="236">
        <f>GB8+GK8</f>
        <v/>
      </c>
      <c r="GU8" s="236">
        <f>GC8+GL8</f>
        <v/>
      </c>
      <c r="GV8" s="236">
        <f>GT8+GU8</f>
        <v/>
      </c>
      <c r="GW8" s="236">
        <f>GE8+GN8</f>
        <v/>
      </c>
      <c r="GX8" s="236">
        <f>GF8+GO8</f>
        <v/>
      </c>
      <c r="GY8" s="236">
        <f>GW8+GX8</f>
        <v/>
      </c>
      <c r="GZ8" s="239">
        <f>GY8-GV8</f>
        <v/>
      </c>
      <c r="HA8" s="237">
        <f>IF(GV8=0,"",GY8/GV8)</f>
        <v/>
      </c>
      <c r="HB8" s="33" t="n"/>
      <c r="HC8" s="233">
        <f>GT8</f>
        <v/>
      </c>
      <c r="HD8" s="233">
        <f>GU8</f>
        <v/>
      </c>
      <c r="HE8" s="233">
        <f>HC8+HD8</f>
        <v/>
      </c>
    </row>
    <row r="9" outlineLevel="1" ht="15" customHeight="1" s="150">
      <c r="A9" s="26" t="n"/>
      <c r="B9" s="26" t="n"/>
      <c r="C9" s="26" t="n"/>
      <c r="D9" s="233" t="n"/>
      <c r="E9" s="233" t="n"/>
      <c r="F9" s="233">
        <f>D9+E9</f>
        <v/>
      </c>
      <c r="G9" s="233" t="n"/>
      <c r="H9" s="233" t="n"/>
      <c r="I9" s="233">
        <f>G9+H9</f>
        <v/>
      </c>
      <c r="J9" s="238">
        <f>I9-F9</f>
        <v/>
      </c>
      <c r="K9" s="235">
        <f>IF(F9=0,"",I9/F9)</f>
        <v/>
      </c>
      <c r="L9" s="26" t="n"/>
      <c r="M9" s="233" t="n"/>
      <c r="N9" s="233" t="n"/>
      <c r="O9" s="233">
        <f>M9+N9</f>
        <v/>
      </c>
      <c r="P9" s="233" t="n"/>
      <c r="Q9" s="233" t="n"/>
      <c r="R9" s="233">
        <f>P9+Q9</f>
        <v/>
      </c>
      <c r="S9" s="238">
        <f>R9-O9</f>
        <v/>
      </c>
      <c r="T9" s="235">
        <f>IF(O9=0,"",R9/O9)</f>
        <v/>
      </c>
      <c r="U9" s="26" t="n"/>
      <c r="V9" s="236">
        <f>D9+M9</f>
        <v/>
      </c>
      <c r="W9" s="236">
        <f>E9+N9</f>
        <v/>
      </c>
      <c r="X9" s="236">
        <f>V9+W9</f>
        <v/>
      </c>
      <c r="Y9" s="236">
        <f>G9+P9</f>
        <v/>
      </c>
      <c r="Z9" s="236">
        <f>H9+Q9</f>
        <v/>
      </c>
      <c r="AA9" s="236">
        <f>Y9+Z9</f>
        <v/>
      </c>
      <c r="AB9" s="239">
        <f>AA9-X9</f>
        <v/>
      </c>
      <c r="AC9" s="237">
        <f>IF(X9=0,"",AA9/X9)</f>
        <v/>
      </c>
      <c r="AD9" s="33" t="n"/>
      <c r="AE9" s="233" t="n"/>
      <c r="AF9" s="233" t="n"/>
      <c r="AG9" s="233">
        <f>AE9+AF9</f>
        <v/>
      </c>
      <c r="AH9" s="233" t="n"/>
      <c r="AI9" s="233" t="n"/>
      <c r="AJ9" s="233">
        <f>AH9+AI9</f>
        <v/>
      </c>
      <c r="AK9" s="238">
        <f>AJ9-AG9</f>
        <v/>
      </c>
      <c r="AL9" s="235">
        <f>IF(AG9=0,"",AJ9/AG9)</f>
        <v/>
      </c>
      <c r="AM9" s="26" t="n"/>
      <c r="AN9" s="236">
        <f>V9+AE9</f>
        <v/>
      </c>
      <c r="AO9" s="236">
        <f>W9+AF9</f>
        <v/>
      </c>
      <c r="AP9" s="236">
        <f>AN9+AO9</f>
        <v/>
      </c>
      <c r="AQ9" s="236">
        <f>Y9+AH9</f>
        <v/>
      </c>
      <c r="AR9" s="236">
        <f>Z9+AI9</f>
        <v/>
      </c>
      <c r="AS9" s="236">
        <f>AQ9+AR9</f>
        <v/>
      </c>
      <c r="AT9" s="239">
        <f>AS9-AP9</f>
        <v/>
      </c>
      <c r="AU9" s="237">
        <f>IF(AP9=0,"",AS9/AP9)</f>
        <v/>
      </c>
      <c r="AV9" s="33" t="n"/>
      <c r="AW9" s="233" t="n"/>
      <c r="AX9" s="233" t="n"/>
      <c r="AY9" s="233">
        <f>AW9+AX9</f>
        <v/>
      </c>
      <c r="AZ9" s="233" t="n"/>
      <c r="BA9" s="233" t="n"/>
      <c r="BB9" s="233">
        <f>AZ9+BA9</f>
        <v/>
      </c>
      <c r="BC9" s="238">
        <f>BB9-AY9</f>
        <v/>
      </c>
      <c r="BD9" s="235">
        <f>IF(AY9=0,"",BB9/AY9)</f>
        <v/>
      </c>
      <c r="BE9" s="26" t="n"/>
      <c r="BF9" s="236">
        <f>AN9+AW9</f>
        <v/>
      </c>
      <c r="BG9" s="236">
        <f>AO9+AX9</f>
        <v/>
      </c>
      <c r="BH9" s="236">
        <f>BF9+BG9</f>
        <v/>
      </c>
      <c r="BI9" s="236">
        <f>AQ9+AZ9</f>
        <v/>
      </c>
      <c r="BJ9" s="236">
        <f>AR9+BA9</f>
        <v/>
      </c>
      <c r="BK9" s="236">
        <f>BI9+BJ9</f>
        <v/>
      </c>
      <c r="BL9" s="239">
        <f>BK9-BH9</f>
        <v/>
      </c>
      <c r="BM9" s="237">
        <f>IF(BH9=0,"",BK9/BH9)</f>
        <v/>
      </c>
      <c r="BN9" s="33" t="n"/>
      <c r="BO9" s="233" t="n"/>
      <c r="BP9" s="233" t="n"/>
      <c r="BQ9" s="233">
        <f>BO9+BP9</f>
        <v/>
      </c>
      <c r="BR9" s="233" t="n"/>
      <c r="BS9" s="233" t="n"/>
      <c r="BT9" s="233">
        <f>BR9+BS9</f>
        <v/>
      </c>
      <c r="BU9" s="238">
        <f>BT9-BQ9</f>
        <v/>
      </c>
      <c r="BV9" s="235">
        <f>IF(BQ9=0,"",BT9/BQ9)</f>
        <v/>
      </c>
      <c r="BW9" s="26" t="n"/>
      <c r="BX9" s="236">
        <f>BF9+BO9</f>
        <v/>
      </c>
      <c r="BY9" s="236">
        <f>BG9+BP9</f>
        <v/>
      </c>
      <c r="BZ9" s="236">
        <f>BX9+BY9</f>
        <v/>
      </c>
      <c r="CA9" s="236">
        <f>BI9+BR9</f>
        <v/>
      </c>
      <c r="CB9" s="236">
        <f>BJ9+BS9</f>
        <v/>
      </c>
      <c r="CC9" s="236">
        <f>CA9+CB9</f>
        <v/>
      </c>
      <c r="CD9" s="239">
        <f>CC9-BZ9</f>
        <v/>
      </c>
      <c r="CE9" s="237">
        <f>IF(BZ9=0,"",CC9/BZ9)</f>
        <v/>
      </c>
      <c r="CF9" s="33" t="n"/>
      <c r="CG9" s="233" t="n"/>
      <c r="CH9" s="233" t="n"/>
      <c r="CI9" s="233">
        <f>CG9+CH9</f>
        <v/>
      </c>
      <c r="CJ9" s="233" t="n"/>
      <c r="CK9" s="233" t="n"/>
      <c r="CL9" s="233">
        <f>CJ9+CK9</f>
        <v/>
      </c>
      <c r="CM9" s="238">
        <f>CL9-CI9</f>
        <v/>
      </c>
      <c r="CN9" s="235">
        <f>IF(CI9=0,"",CL9/CI9)</f>
        <v/>
      </c>
      <c r="CO9" s="26" t="n"/>
      <c r="CP9" s="236">
        <f>BX9+CG9</f>
        <v/>
      </c>
      <c r="CQ9" s="236">
        <f>BY9+CH9</f>
        <v/>
      </c>
      <c r="CR9" s="236">
        <f>CP9+CQ9</f>
        <v/>
      </c>
      <c r="CS9" s="236">
        <f>CA9+CJ9</f>
        <v/>
      </c>
      <c r="CT9" s="236">
        <f>CB9+CK9</f>
        <v/>
      </c>
      <c r="CU9" s="236">
        <f>CS9+CT9</f>
        <v/>
      </c>
      <c r="CV9" s="239">
        <f>CU9-CR9</f>
        <v/>
      </c>
      <c r="CW9" s="237">
        <f>IF(CR9=0,"",CU9/CR9)</f>
        <v/>
      </c>
      <c r="CX9" s="33" t="n"/>
      <c r="CY9" s="233" t="n"/>
      <c r="CZ9" s="233" t="n"/>
      <c r="DA9" s="233">
        <f>CY9+CZ9</f>
        <v/>
      </c>
      <c r="DB9" s="233" t="n"/>
      <c r="DC9" s="233" t="n"/>
      <c r="DD9" s="233">
        <f>DB9+DC9</f>
        <v/>
      </c>
      <c r="DE9" s="238">
        <f>DD9-DA9</f>
        <v/>
      </c>
      <c r="DF9" s="235">
        <f>IF(DA9=0,"",DD9/DA9)</f>
        <v/>
      </c>
      <c r="DG9" s="26" t="n"/>
      <c r="DH9" s="236">
        <f>CP9+CY9</f>
        <v/>
      </c>
      <c r="DI9" s="236">
        <f>CQ9+CZ9</f>
        <v/>
      </c>
      <c r="DJ9" s="236">
        <f>DH9+DI9</f>
        <v/>
      </c>
      <c r="DK9" s="236">
        <f>CS9+DB9</f>
        <v/>
      </c>
      <c r="DL9" s="236">
        <f>CT9+DC9</f>
        <v/>
      </c>
      <c r="DM9" s="236">
        <f>DK9+DL9</f>
        <v/>
      </c>
      <c r="DN9" s="239">
        <f>DM9-DJ9</f>
        <v/>
      </c>
      <c r="DO9" s="237">
        <f>IF(DJ9=0,"",DM9/DJ9)</f>
        <v/>
      </c>
      <c r="DP9" s="33" t="n"/>
      <c r="DQ9" s="233" t="n"/>
      <c r="DR9" s="233" t="n"/>
      <c r="DS9" s="233">
        <f>DQ9+DR9</f>
        <v/>
      </c>
      <c r="DT9" s="233" t="n"/>
      <c r="DU9" s="233" t="n"/>
      <c r="DV9" s="233">
        <f>DT9+DU9</f>
        <v/>
      </c>
      <c r="DW9" s="238">
        <f>DV9-DS9</f>
        <v/>
      </c>
      <c r="DX9" s="235">
        <f>IF(DS9=0,"",DV9/DS9)</f>
        <v/>
      </c>
      <c r="DY9" s="26" t="n"/>
      <c r="DZ9" s="236">
        <f>DH9+DQ9</f>
        <v/>
      </c>
      <c r="EA9" s="236">
        <f>DI9+DR9</f>
        <v/>
      </c>
      <c r="EB9" s="236">
        <f>DZ9+EA9</f>
        <v/>
      </c>
      <c r="EC9" s="236">
        <f>DK9+DT9</f>
        <v/>
      </c>
      <c r="ED9" s="236">
        <f>DL9+DU9</f>
        <v/>
      </c>
      <c r="EE9" s="236">
        <f>EC9+ED9</f>
        <v/>
      </c>
      <c r="EF9" s="239">
        <f>EE9-EB9</f>
        <v/>
      </c>
      <c r="EG9" s="237">
        <f>IF(EB9=0,"",EE9/EB9)</f>
        <v/>
      </c>
      <c r="EH9" s="33" t="n"/>
      <c r="EI9" s="233" t="n"/>
      <c r="EJ9" s="233" t="n"/>
      <c r="EK9" s="233">
        <f>EI9+EJ9</f>
        <v/>
      </c>
      <c r="EL9" s="233" t="n"/>
      <c r="EM9" s="233" t="n"/>
      <c r="EN9" s="233">
        <f>EL9+EM9</f>
        <v/>
      </c>
      <c r="EO9" s="238">
        <f>EN9-EK9</f>
        <v/>
      </c>
      <c r="EP9" s="235">
        <f>IF(EK9=0,"",EN9/EK9)</f>
        <v/>
      </c>
      <c r="EQ9" s="26" t="n"/>
      <c r="ER9" s="236">
        <f>DZ9+EI9</f>
        <v/>
      </c>
      <c r="ES9" s="236">
        <f>EA9+EJ9</f>
        <v/>
      </c>
      <c r="ET9" s="236">
        <f>ER9+ES9</f>
        <v/>
      </c>
      <c r="EU9" s="236">
        <f>EC9+EL9</f>
        <v/>
      </c>
      <c r="EV9" s="236">
        <f>ED9+EM9</f>
        <v/>
      </c>
      <c r="EW9" s="236">
        <f>EU9+EV9</f>
        <v/>
      </c>
      <c r="EX9" s="239">
        <f>EW9-ET9</f>
        <v/>
      </c>
      <c r="EY9" s="237">
        <f>IF(ET9=0,"",EW9/ET9)</f>
        <v/>
      </c>
      <c r="EZ9" s="33" t="n"/>
      <c r="FA9" s="233" t="n"/>
      <c r="FB9" s="233" t="n"/>
      <c r="FC9" s="233">
        <f>FA9+FB9</f>
        <v/>
      </c>
      <c r="FD9" s="233" t="n"/>
      <c r="FE9" s="233" t="n"/>
      <c r="FF9" s="233">
        <f>FD9+FE9</f>
        <v/>
      </c>
      <c r="FG9" s="238">
        <f>FF9-FC9</f>
        <v/>
      </c>
      <c r="FH9" s="235">
        <f>IF(FC9=0,"",FF9/FC9)</f>
        <v/>
      </c>
      <c r="FI9" s="26" t="n"/>
      <c r="FJ9" s="236">
        <f>ER9+FA9</f>
        <v/>
      </c>
      <c r="FK9" s="236">
        <f>ES9+FB9</f>
        <v/>
      </c>
      <c r="FL9" s="236">
        <f>FJ9+FK9</f>
        <v/>
      </c>
      <c r="FM9" s="236">
        <f>EU9+FD9</f>
        <v/>
      </c>
      <c r="FN9" s="236">
        <f>EV9+FE9</f>
        <v/>
      </c>
      <c r="FO9" s="236">
        <f>FM9+FN9</f>
        <v/>
      </c>
      <c r="FP9" s="239">
        <f>FO9-FL9</f>
        <v/>
      </c>
      <c r="FQ9" s="237">
        <f>IF(FL9=0,"",FO9/FL9)</f>
        <v/>
      </c>
      <c r="FR9" s="33" t="n"/>
      <c r="FS9" s="233" t="n"/>
      <c r="FT9" s="233" t="n"/>
      <c r="FU9" s="233">
        <f>FS9+FT9</f>
        <v/>
      </c>
      <c r="FV9" s="233" t="n"/>
      <c r="FW9" s="233" t="n"/>
      <c r="FX9" s="233">
        <f>FV9+FW9</f>
        <v/>
      </c>
      <c r="FY9" s="238">
        <f>FX9-FU9</f>
        <v/>
      </c>
      <c r="FZ9" s="235">
        <f>IF(FU9=0,"",FX9/FU9)</f>
        <v/>
      </c>
      <c r="GA9" s="26" t="n"/>
      <c r="GB9" s="236">
        <f>FJ9+FS9</f>
        <v/>
      </c>
      <c r="GC9" s="236">
        <f>FK9+FT9</f>
        <v/>
      </c>
      <c r="GD9" s="236">
        <f>GB9+GC9</f>
        <v/>
      </c>
      <c r="GE9" s="236">
        <f>FM9+FV9</f>
        <v/>
      </c>
      <c r="GF9" s="236">
        <f>FN9+FW9</f>
        <v/>
      </c>
      <c r="GG9" s="236">
        <f>GE9+GF9</f>
        <v/>
      </c>
      <c r="GH9" s="239">
        <f>GG9-GD9</f>
        <v/>
      </c>
      <c r="GI9" s="237">
        <f>IF(GD9=0,"",GG9/GD9)</f>
        <v/>
      </c>
      <c r="GJ9" s="33" t="n"/>
      <c r="GK9" s="233" t="n"/>
      <c r="GL9" s="233" t="n"/>
      <c r="GM9" s="233">
        <f>GK9+GL9</f>
        <v/>
      </c>
      <c r="GN9" s="233" t="n"/>
      <c r="GO9" s="233" t="n"/>
      <c r="GP9" s="233">
        <f>GN9+GO9</f>
        <v/>
      </c>
      <c r="GQ9" s="238">
        <f>GP9-GM9</f>
        <v/>
      </c>
      <c r="GR9" s="235">
        <f>IF(GM9=0,"",GP9/GM9)</f>
        <v/>
      </c>
      <c r="GS9" s="26" t="n"/>
      <c r="GT9" s="236">
        <f>GB9+GK9</f>
        <v/>
      </c>
      <c r="GU9" s="236">
        <f>GC9+GL9</f>
        <v/>
      </c>
      <c r="GV9" s="236">
        <f>GT9+GU9</f>
        <v/>
      </c>
      <c r="GW9" s="236">
        <f>GE9+GN9</f>
        <v/>
      </c>
      <c r="GX9" s="236">
        <f>GF9+GO9</f>
        <v/>
      </c>
      <c r="GY9" s="236">
        <f>GW9+GX9</f>
        <v/>
      </c>
      <c r="GZ9" s="239">
        <f>GY9-GV9</f>
        <v/>
      </c>
      <c r="HA9" s="237">
        <f>IF(GV9=0,"",GY9/GV9)</f>
        <v/>
      </c>
      <c r="HB9" s="33" t="n"/>
      <c r="HC9" s="233">
        <f>GT9</f>
        <v/>
      </c>
      <c r="HD9" s="233">
        <f>GU9</f>
        <v/>
      </c>
      <c r="HE9" s="233">
        <f>HC9+HD9</f>
        <v/>
      </c>
    </row>
    <row r="10" outlineLevel="1" ht="15" customHeight="1" s="150">
      <c r="A10" s="26" t="n"/>
      <c r="B10" s="26" t="n"/>
      <c r="C10" s="26" t="n"/>
      <c r="D10" s="233" t="n"/>
      <c r="E10" s="233" t="n"/>
      <c r="F10" s="233">
        <f>D10+E10</f>
        <v/>
      </c>
      <c r="G10" s="233" t="n"/>
      <c r="H10" s="233" t="n"/>
      <c r="I10" s="233">
        <f>G10+H10</f>
        <v/>
      </c>
      <c r="J10" s="238">
        <f>I10-F10</f>
        <v/>
      </c>
      <c r="K10" s="235">
        <f>IF(F10=0,"",I10/F10)</f>
        <v/>
      </c>
      <c r="L10" s="26" t="n"/>
      <c r="M10" s="233" t="n"/>
      <c r="N10" s="233" t="n"/>
      <c r="O10" s="233">
        <f>M10+N10</f>
        <v/>
      </c>
      <c r="P10" s="233" t="n"/>
      <c r="Q10" s="233" t="n"/>
      <c r="R10" s="233">
        <f>P10+Q10</f>
        <v/>
      </c>
      <c r="S10" s="238">
        <f>R10-O10</f>
        <v/>
      </c>
      <c r="T10" s="235">
        <f>IF(O10=0,"",R10/O10)</f>
        <v/>
      </c>
      <c r="U10" s="26" t="n"/>
      <c r="V10" s="236">
        <f>D10+M10</f>
        <v/>
      </c>
      <c r="W10" s="236">
        <f>E10+N10</f>
        <v/>
      </c>
      <c r="X10" s="236">
        <f>V10+W10</f>
        <v/>
      </c>
      <c r="Y10" s="236">
        <f>G10+P10</f>
        <v/>
      </c>
      <c r="Z10" s="236">
        <f>H10+Q10</f>
        <v/>
      </c>
      <c r="AA10" s="236">
        <f>Y10+Z10</f>
        <v/>
      </c>
      <c r="AB10" s="239">
        <f>AA10-X10</f>
        <v/>
      </c>
      <c r="AC10" s="237">
        <f>IF(X10=0,"",AA10/X10)</f>
        <v/>
      </c>
      <c r="AD10" s="33" t="n"/>
      <c r="AE10" s="233" t="n"/>
      <c r="AF10" s="233" t="n"/>
      <c r="AG10" s="233">
        <f>AE10+AF10</f>
        <v/>
      </c>
      <c r="AH10" s="233" t="n"/>
      <c r="AI10" s="233" t="n"/>
      <c r="AJ10" s="233">
        <f>AH10+AI10</f>
        <v/>
      </c>
      <c r="AK10" s="238">
        <f>AJ10-AG10</f>
        <v/>
      </c>
      <c r="AL10" s="235">
        <f>IF(AG10=0,"",AJ10/AG10)</f>
        <v/>
      </c>
      <c r="AM10" s="26" t="n"/>
      <c r="AN10" s="236">
        <f>V10+AE10</f>
        <v/>
      </c>
      <c r="AO10" s="236">
        <f>W10+AF10</f>
        <v/>
      </c>
      <c r="AP10" s="236">
        <f>AN10+AO10</f>
        <v/>
      </c>
      <c r="AQ10" s="236">
        <f>Y10+AH10</f>
        <v/>
      </c>
      <c r="AR10" s="236">
        <f>Z10+AI10</f>
        <v/>
      </c>
      <c r="AS10" s="236">
        <f>AQ10+AR10</f>
        <v/>
      </c>
      <c r="AT10" s="239">
        <f>AS10-AP10</f>
        <v/>
      </c>
      <c r="AU10" s="237">
        <f>IF(AP10=0,"",AS10/AP10)</f>
        <v/>
      </c>
      <c r="AV10" s="33" t="n"/>
      <c r="AW10" s="233" t="n"/>
      <c r="AX10" s="233" t="n"/>
      <c r="AY10" s="233">
        <f>AW10+AX10</f>
        <v/>
      </c>
      <c r="AZ10" s="233" t="n"/>
      <c r="BA10" s="233" t="n"/>
      <c r="BB10" s="233">
        <f>AZ10+BA10</f>
        <v/>
      </c>
      <c r="BC10" s="238">
        <f>BB10-AY10</f>
        <v/>
      </c>
      <c r="BD10" s="235">
        <f>IF(AY10=0,"",BB10/AY10)</f>
        <v/>
      </c>
      <c r="BE10" s="26" t="n"/>
      <c r="BF10" s="236">
        <f>AN10+AW10</f>
        <v/>
      </c>
      <c r="BG10" s="236">
        <f>AO10+AX10</f>
        <v/>
      </c>
      <c r="BH10" s="236">
        <f>BF10+BG10</f>
        <v/>
      </c>
      <c r="BI10" s="236">
        <f>AQ10+AZ10</f>
        <v/>
      </c>
      <c r="BJ10" s="236">
        <f>AR10+BA10</f>
        <v/>
      </c>
      <c r="BK10" s="236">
        <f>BI10+BJ10</f>
        <v/>
      </c>
      <c r="BL10" s="239">
        <f>BK10-BH10</f>
        <v/>
      </c>
      <c r="BM10" s="237">
        <f>IF(BH10=0,"",BK10/BH10)</f>
        <v/>
      </c>
      <c r="BN10" s="33" t="n"/>
      <c r="BO10" s="233" t="n"/>
      <c r="BP10" s="233" t="n"/>
      <c r="BQ10" s="233">
        <f>BO10+BP10</f>
        <v/>
      </c>
      <c r="BR10" s="233" t="n"/>
      <c r="BS10" s="233" t="n"/>
      <c r="BT10" s="233">
        <f>BR10+BS10</f>
        <v/>
      </c>
      <c r="BU10" s="238">
        <f>BT10-BQ10</f>
        <v/>
      </c>
      <c r="BV10" s="235">
        <f>IF(BQ10=0,"",BT10/BQ10)</f>
        <v/>
      </c>
      <c r="BW10" s="26" t="n"/>
      <c r="BX10" s="236">
        <f>BF10+BO10</f>
        <v/>
      </c>
      <c r="BY10" s="236">
        <f>BG10+BP10</f>
        <v/>
      </c>
      <c r="BZ10" s="236">
        <f>BX10+BY10</f>
        <v/>
      </c>
      <c r="CA10" s="236">
        <f>BI10+BR10</f>
        <v/>
      </c>
      <c r="CB10" s="236">
        <f>BJ10+BS10</f>
        <v/>
      </c>
      <c r="CC10" s="236">
        <f>CA10+CB10</f>
        <v/>
      </c>
      <c r="CD10" s="239">
        <f>CC10-BZ10</f>
        <v/>
      </c>
      <c r="CE10" s="237">
        <f>IF(BZ10=0,"",CC10/BZ10)</f>
        <v/>
      </c>
      <c r="CF10" s="33" t="n"/>
      <c r="CG10" s="233" t="n"/>
      <c r="CH10" s="233" t="n"/>
      <c r="CI10" s="233">
        <f>CG10+CH10</f>
        <v/>
      </c>
      <c r="CJ10" s="233" t="n"/>
      <c r="CK10" s="233" t="n"/>
      <c r="CL10" s="233">
        <f>CJ10+CK10</f>
        <v/>
      </c>
      <c r="CM10" s="238">
        <f>CL10-CI10</f>
        <v/>
      </c>
      <c r="CN10" s="235">
        <f>IF(CI10=0,"",CL10/CI10)</f>
        <v/>
      </c>
      <c r="CO10" s="26" t="n"/>
      <c r="CP10" s="236">
        <f>BX10+CG10</f>
        <v/>
      </c>
      <c r="CQ10" s="236">
        <f>BY10+CH10</f>
        <v/>
      </c>
      <c r="CR10" s="236">
        <f>CP10+CQ10</f>
        <v/>
      </c>
      <c r="CS10" s="236">
        <f>CA10+CJ10</f>
        <v/>
      </c>
      <c r="CT10" s="236">
        <f>CB10+CK10</f>
        <v/>
      </c>
      <c r="CU10" s="236">
        <f>CS10+CT10</f>
        <v/>
      </c>
      <c r="CV10" s="239">
        <f>CU10-CR10</f>
        <v/>
      </c>
      <c r="CW10" s="237">
        <f>IF(CR10=0,"",CU10/CR10)</f>
        <v/>
      </c>
      <c r="CX10" s="33" t="n"/>
      <c r="CY10" s="233" t="n"/>
      <c r="CZ10" s="233" t="n"/>
      <c r="DA10" s="233">
        <f>CY10+CZ10</f>
        <v/>
      </c>
      <c r="DB10" s="233" t="n"/>
      <c r="DC10" s="233" t="n"/>
      <c r="DD10" s="233">
        <f>DB10+DC10</f>
        <v/>
      </c>
      <c r="DE10" s="238">
        <f>DD10-DA10</f>
        <v/>
      </c>
      <c r="DF10" s="235">
        <f>IF(DA10=0,"",DD10/DA10)</f>
        <v/>
      </c>
      <c r="DG10" s="26" t="n"/>
      <c r="DH10" s="236">
        <f>CP10+CY10</f>
        <v/>
      </c>
      <c r="DI10" s="236">
        <f>CQ10+CZ10</f>
        <v/>
      </c>
      <c r="DJ10" s="236">
        <f>DH10+DI10</f>
        <v/>
      </c>
      <c r="DK10" s="236">
        <f>CS10+DB10</f>
        <v/>
      </c>
      <c r="DL10" s="236">
        <f>CT10+DC10</f>
        <v/>
      </c>
      <c r="DM10" s="236">
        <f>DK10+DL10</f>
        <v/>
      </c>
      <c r="DN10" s="239">
        <f>DM10-DJ10</f>
        <v/>
      </c>
      <c r="DO10" s="237">
        <f>IF(DJ10=0,"",DM10/DJ10)</f>
        <v/>
      </c>
      <c r="DP10" s="33" t="n"/>
      <c r="DQ10" s="233" t="n"/>
      <c r="DR10" s="233" t="n"/>
      <c r="DS10" s="233">
        <f>DQ10+DR10</f>
        <v/>
      </c>
      <c r="DT10" s="233" t="n"/>
      <c r="DU10" s="233" t="n"/>
      <c r="DV10" s="233">
        <f>DT10+DU10</f>
        <v/>
      </c>
      <c r="DW10" s="238">
        <f>DV10-DS10</f>
        <v/>
      </c>
      <c r="DX10" s="235">
        <f>IF(DS10=0,"",DV10/DS10)</f>
        <v/>
      </c>
      <c r="DY10" s="26" t="n"/>
      <c r="DZ10" s="236">
        <f>DH10+DQ10</f>
        <v/>
      </c>
      <c r="EA10" s="236">
        <f>DI10+DR10</f>
        <v/>
      </c>
      <c r="EB10" s="236">
        <f>DZ10+EA10</f>
        <v/>
      </c>
      <c r="EC10" s="236">
        <f>DK10+DT10</f>
        <v/>
      </c>
      <c r="ED10" s="236">
        <f>DL10+DU10</f>
        <v/>
      </c>
      <c r="EE10" s="236">
        <f>EC10+ED10</f>
        <v/>
      </c>
      <c r="EF10" s="239">
        <f>EE10-EB10</f>
        <v/>
      </c>
      <c r="EG10" s="237">
        <f>IF(EB10=0,"",EE10/EB10)</f>
        <v/>
      </c>
      <c r="EH10" s="33" t="n"/>
      <c r="EI10" s="233" t="n"/>
      <c r="EJ10" s="233" t="n"/>
      <c r="EK10" s="233">
        <f>EI10+EJ10</f>
        <v/>
      </c>
      <c r="EL10" s="233" t="n"/>
      <c r="EM10" s="233" t="n"/>
      <c r="EN10" s="233">
        <f>EL10+EM10</f>
        <v/>
      </c>
      <c r="EO10" s="238">
        <f>EN10-EK10</f>
        <v/>
      </c>
      <c r="EP10" s="235">
        <f>IF(EK10=0,"",EN10/EK10)</f>
        <v/>
      </c>
      <c r="EQ10" s="26" t="n"/>
      <c r="ER10" s="236">
        <f>DZ10+EI10</f>
        <v/>
      </c>
      <c r="ES10" s="236">
        <f>EA10+EJ10</f>
        <v/>
      </c>
      <c r="ET10" s="236">
        <f>ER10+ES10</f>
        <v/>
      </c>
      <c r="EU10" s="236">
        <f>EC10+EL10</f>
        <v/>
      </c>
      <c r="EV10" s="236">
        <f>ED10+EM10</f>
        <v/>
      </c>
      <c r="EW10" s="236">
        <f>EU10+EV10</f>
        <v/>
      </c>
      <c r="EX10" s="239">
        <f>EW10-ET10</f>
        <v/>
      </c>
      <c r="EY10" s="237">
        <f>IF(ET10=0,"",EW10/ET10)</f>
        <v/>
      </c>
      <c r="EZ10" s="33" t="n"/>
      <c r="FA10" s="233" t="n"/>
      <c r="FB10" s="233" t="n"/>
      <c r="FC10" s="233">
        <f>FA10+FB10</f>
        <v/>
      </c>
      <c r="FD10" s="233" t="n"/>
      <c r="FE10" s="233" t="n"/>
      <c r="FF10" s="233">
        <f>FD10+FE10</f>
        <v/>
      </c>
      <c r="FG10" s="238">
        <f>FF10-FC10</f>
        <v/>
      </c>
      <c r="FH10" s="235">
        <f>IF(FC10=0,"",FF10/FC10)</f>
        <v/>
      </c>
      <c r="FI10" s="26" t="n"/>
      <c r="FJ10" s="236">
        <f>ER10+FA10</f>
        <v/>
      </c>
      <c r="FK10" s="236">
        <f>ES10+FB10</f>
        <v/>
      </c>
      <c r="FL10" s="236">
        <f>FJ10+FK10</f>
        <v/>
      </c>
      <c r="FM10" s="236">
        <f>EU10+FD10</f>
        <v/>
      </c>
      <c r="FN10" s="236">
        <f>EV10+FE10</f>
        <v/>
      </c>
      <c r="FO10" s="236">
        <f>FM10+FN10</f>
        <v/>
      </c>
      <c r="FP10" s="239">
        <f>FO10-FL10</f>
        <v/>
      </c>
      <c r="FQ10" s="237">
        <f>IF(FL10=0,"",FO10/FL10)</f>
        <v/>
      </c>
      <c r="FR10" s="33" t="n"/>
      <c r="FS10" s="233" t="n"/>
      <c r="FT10" s="233" t="n"/>
      <c r="FU10" s="233">
        <f>FS10+FT10</f>
        <v/>
      </c>
      <c r="FV10" s="233" t="n"/>
      <c r="FW10" s="233" t="n"/>
      <c r="FX10" s="233">
        <f>FV10+FW10</f>
        <v/>
      </c>
      <c r="FY10" s="238">
        <f>FX10-FU10</f>
        <v/>
      </c>
      <c r="FZ10" s="235">
        <f>IF(FU10=0,"",FX10/FU10)</f>
        <v/>
      </c>
      <c r="GA10" s="26" t="n"/>
      <c r="GB10" s="236">
        <f>FJ10+FS10</f>
        <v/>
      </c>
      <c r="GC10" s="236">
        <f>FK10+FT10</f>
        <v/>
      </c>
      <c r="GD10" s="236">
        <f>GB10+GC10</f>
        <v/>
      </c>
      <c r="GE10" s="236">
        <f>FM10+FV10</f>
        <v/>
      </c>
      <c r="GF10" s="236">
        <f>FN10+FW10</f>
        <v/>
      </c>
      <c r="GG10" s="236">
        <f>GE10+GF10</f>
        <v/>
      </c>
      <c r="GH10" s="239">
        <f>GG10-GD10</f>
        <v/>
      </c>
      <c r="GI10" s="237">
        <f>IF(GD10=0,"",GG10/GD10)</f>
        <v/>
      </c>
      <c r="GJ10" s="33" t="n"/>
      <c r="GK10" s="233" t="n"/>
      <c r="GL10" s="233" t="n"/>
      <c r="GM10" s="233">
        <f>GK10+GL10</f>
        <v/>
      </c>
      <c r="GN10" s="233" t="n"/>
      <c r="GO10" s="233" t="n"/>
      <c r="GP10" s="233">
        <f>GN10+GO10</f>
        <v/>
      </c>
      <c r="GQ10" s="238">
        <f>GP10-GM10</f>
        <v/>
      </c>
      <c r="GR10" s="235">
        <f>IF(GM10=0,"",GP10/GM10)</f>
        <v/>
      </c>
      <c r="GS10" s="26" t="n"/>
      <c r="GT10" s="236">
        <f>GB10+GK10</f>
        <v/>
      </c>
      <c r="GU10" s="236">
        <f>GC10+GL10</f>
        <v/>
      </c>
      <c r="GV10" s="236">
        <f>GT10+GU10</f>
        <v/>
      </c>
      <c r="GW10" s="236">
        <f>GE10+GN10</f>
        <v/>
      </c>
      <c r="GX10" s="236">
        <f>GF10+GO10</f>
        <v/>
      </c>
      <c r="GY10" s="236">
        <f>GW10+GX10</f>
        <v/>
      </c>
      <c r="GZ10" s="239">
        <f>GY10-GV10</f>
        <v/>
      </c>
      <c r="HA10" s="237">
        <f>IF(GV10=0,"",GY10/GV10)</f>
        <v/>
      </c>
      <c r="HB10" s="33" t="n"/>
      <c r="HC10" s="233">
        <f>GT10</f>
        <v/>
      </c>
      <c r="HD10" s="233">
        <f>GU10</f>
        <v/>
      </c>
      <c r="HE10" s="233">
        <f>HC10+HD10</f>
        <v/>
      </c>
    </row>
    <row r="11" ht="15" customHeight="1" s="150">
      <c r="A11" s="18" t="n"/>
      <c r="B11" s="18" t="n"/>
      <c r="C11" s="18" t="n"/>
      <c r="D11" s="227">
        <f>D12</f>
        <v/>
      </c>
      <c r="E11" s="227">
        <f>E12</f>
        <v/>
      </c>
      <c r="F11" s="227">
        <f>D11+E11</f>
        <v/>
      </c>
      <c r="G11" s="227">
        <f>G12</f>
        <v/>
      </c>
      <c r="H11" s="227">
        <f>H12</f>
        <v/>
      </c>
      <c r="I11" s="227">
        <f>G11+H11</f>
        <v/>
      </c>
      <c r="J11" s="228">
        <f>I11-F11</f>
        <v/>
      </c>
      <c r="K11" s="229">
        <f>IF(F11=0,"",I11/F11)</f>
        <v/>
      </c>
      <c r="L11" s="18" t="n"/>
      <c r="M11" s="227">
        <f>M12</f>
        <v/>
      </c>
      <c r="N11" s="227">
        <f>N12</f>
        <v/>
      </c>
      <c r="O11" s="227">
        <f>M11+N11</f>
        <v/>
      </c>
      <c r="P11" s="227">
        <f>P12</f>
        <v/>
      </c>
      <c r="Q11" s="227">
        <f>Q12</f>
        <v/>
      </c>
      <c r="R11" s="227">
        <f>P11+Q11</f>
        <v/>
      </c>
      <c r="S11" s="228">
        <f>R11-O11</f>
        <v/>
      </c>
      <c r="T11" s="229">
        <f>IF(O11=0,"",R11/O11)</f>
        <v/>
      </c>
      <c r="U11" s="18" t="n"/>
      <c r="V11" s="230">
        <f>V12</f>
        <v/>
      </c>
      <c r="W11" s="230">
        <f>W12</f>
        <v/>
      </c>
      <c r="X11" s="230">
        <f>V11+W11</f>
        <v/>
      </c>
      <c r="Y11" s="230">
        <f>Y12</f>
        <v/>
      </c>
      <c r="Z11" s="230">
        <f>Z12</f>
        <v/>
      </c>
      <c r="AA11" s="230">
        <f>Y11+Z11</f>
        <v/>
      </c>
      <c r="AB11" s="231">
        <f>AA11-X11</f>
        <v/>
      </c>
      <c r="AC11" s="232">
        <f>IF(X11=0,"",AA11/X11)</f>
        <v/>
      </c>
      <c r="AD11" s="25" t="n"/>
      <c r="AE11" s="227">
        <f>AE12</f>
        <v/>
      </c>
      <c r="AF11" s="227">
        <f>AF12</f>
        <v/>
      </c>
      <c r="AG11" s="227">
        <f>AE11+AF11</f>
        <v/>
      </c>
      <c r="AH11" s="227">
        <f>AH12</f>
        <v/>
      </c>
      <c r="AI11" s="227">
        <f>AI12</f>
        <v/>
      </c>
      <c r="AJ11" s="227">
        <f>AH11+AI11</f>
        <v/>
      </c>
      <c r="AK11" s="228">
        <f>AJ11-AG11</f>
        <v/>
      </c>
      <c r="AL11" s="229">
        <f>IF(AG11=0,"",AJ11/AG11)</f>
        <v/>
      </c>
      <c r="AM11" s="18" t="n"/>
      <c r="AN11" s="230">
        <f>AN12</f>
        <v/>
      </c>
      <c r="AO11" s="230">
        <f>AO12</f>
        <v/>
      </c>
      <c r="AP11" s="230">
        <f>AN11+AO11</f>
        <v/>
      </c>
      <c r="AQ11" s="230">
        <f>AQ12</f>
        <v/>
      </c>
      <c r="AR11" s="230">
        <f>AR12</f>
        <v/>
      </c>
      <c r="AS11" s="230">
        <f>AQ11+AR11</f>
        <v/>
      </c>
      <c r="AT11" s="231">
        <f>AS11-AP11</f>
        <v/>
      </c>
      <c r="AU11" s="232">
        <f>IF(AP11=0,"",AS11/AP11)</f>
        <v/>
      </c>
      <c r="AV11" s="25" t="n"/>
      <c r="AW11" s="227">
        <f>AW12</f>
        <v/>
      </c>
      <c r="AX11" s="227">
        <f>AX12</f>
        <v/>
      </c>
      <c r="AY11" s="227">
        <f>AW11+AX11</f>
        <v/>
      </c>
      <c r="AZ11" s="227">
        <f>AZ12</f>
        <v/>
      </c>
      <c r="BA11" s="227">
        <f>BA12</f>
        <v/>
      </c>
      <c r="BB11" s="227">
        <f>AZ11+BA11</f>
        <v/>
      </c>
      <c r="BC11" s="228">
        <f>BB11-AY11</f>
        <v/>
      </c>
      <c r="BD11" s="229">
        <f>IF(AY11=0,"",BB11/AY11)</f>
        <v/>
      </c>
      <c r="BE11" s="18" t="n"/>
      <c r="BF11" s="230">
        <f>BF12</f>
        <v/>
      </c>
      <c r="BG11" s="230">
        <f>BG12</f>
        <v/>
      </c>
      <c r="BH11" s="230">
        <f>BF11+BG11</f>
        <v/>
      </c>
      <c r="BI11" s="230">
        <f>BI12</f>
        <v/>
      </c>
      <c r="BJ11" s="230">
        <f>BJ12</f>
        <v/>
      </c>
      <c r="BK11" s="230">
        <f>BI11+BJ11</f>
        <v/>
      </c>
      <c r="BL11" s="231">
        <f>BK11-BH11</f>
        <v/>
      </c>
      <c r="BM11" s="232">
        <f>IF(BH11=0,"",BK11/BH11)</f>
        <v/>
      </c>
      <c r="BN11" s="25" t="n"/>
      <c r="BO11" s="227">
        <f>BO12</f>
        <v/>
      </c>
      <c r="BP11" s="227">
        <f>BP12</f>
        <v/>
      </c>
      <c r="BQ11" s="227">
        <f>BO11+BP11</f>
        <v/>
      </c>
      <c r="BR11" s="227">
        <f>BR12</f>
        <v/>
      </c>
      <c r="BS11" s="227">
        <f>BS12</f>
        <v/>
      </c>
      <c r="BT11" s="227">
        <f>BR11+BS11</f>
        <v/>
      </c>
      <c r="BU11" s="228">
        <f>BT11-BQ11</f>
        <v/>
      </c>
      <c r="BV11" s="229">
        <f>IF(BQ11=0,"",BT11/BQ11)</f>
        <v/>
      </c>
      <c r="BW11" s="18" t="n"/>
      <c r="BX11" s="230">
        <f>BX12</f>
        <v/>
      </c>
      <c r="BY11" s="230">
        <f>BY12</f>
        <v/>
      </c>
      <c r="BZ11" s="230">
        <f>BX11+BY11</f>
        <v/>
      </c>
      <c r="CA11" s="230">
        <f>CA12</f>
        <v/>
      </c>
      <c r="CB11" s="230">
        <f>CB12</f>
        <v/>
      </c>
      <c r="CC11" s="230">
        <f>CA11+CB11</f>
        <v/>
      </c>
      <c r="CD11" s="231">
        <f>CC11-BZ11</f>
        <v/>
      </c>
      <c r="CE11" s="232">
        <f>IF(BZ11=0,"",CC11/BZ11)</f>
        <v/>
      </c>
      <c r="CF11" s="25" t="n"/>
      <c r="CG11" s="227">
        <f>CG12</f>
        <v/>
      </c>
      <c r="CH11" s="227">
        <f>CH12</f>
        <v/>
      </c>
      <c r="CI11" s="227">
        <f>CG11+CH11</f>
        <v/>
      </c>
      <c r="CJ11" s="227">
        <f>CJ12</f>
        <v/>
      </c>
      <c r="CK11" s="227">
        <f>CK12</f>
        <v/>
      </c>
      <c r="CL11" s="227">
        <f>CJ11+CK11</f>
        <v/>
      </c>
      <c r="CM11" s="228">
        <f>CL11-CI11</f>
        <v/>
      </c>
      <c r="CN11" s="229">
        <f>IF(CI11=0,"",CL11/CI11)</f>
        <v/>
      </c>
      <c r="CO11" s="18" t="n"/>
      <c r="CP11" s="230">
        <f>CP12</f>
        <v/>
      </c>
      <c r="CQ11" s="230">
        <f>CQ12</f>
        <v/>
      </c>
      <c r="CR11" s="230">
        <f>CP11+CQ11</f>
        <v/>
      </c>
      <c r="CS11" s="230">
        <f>CS12</f>
        <v/>
      </c>
      <c r="CT11" s="230">
        <f>CT12</f>
        <v/>
      </c>
      <c r="CU11" s="230">
        <f>CS11+CT11</f>
        <v/>
      </c>
      <c r="CV11" s="231">
        <f>CU11-CR11</f>
        <v/>
      </c>
      <c r="CW11" s="232">
        <f>IF(CR11=0,"",CU11/CR11)</f>
        <v/>
      </c>
      <c r="CX11" s="25" t="n"/>
      <c r="CY11" s="227">
        <f>CY12</f>
        <v/>
      </c>
      <c r="CZ11" s="227">
        <f>CZ12</f>
        <v/>
      </c>
      <c r="DA11" s="227">
        <f>CY11+CZ11</f>
        <v/>
      </c>
      <c r="DB11" s="227">
        <f>DB12</f>
        <v/>
      </c>
      <c r="DC11" s="227">
        <f>DC12</f>
        <v/>
      </c>
      <c r="DD11" s="227">
        <f>DB11+DC11</f>
        <v/>
      </c>
      <c r="DE11" s="228">
        <f>DD11-DA11</f>
        <v/>
      </c>
      <c r="DF11" s="229">
        <f>IF(DA11=0,"",DD11/DA11)</f>
        <v/>
      </c>
      <c r="DG11" s="18" t="n"/>
      <c r="DH11" s="230">
        <f>DH12</f>
        <v/>
      </c>
      <c r="DI11" s="230">
        <f>DI12</f>
        <v/>
      </c>
      <c r="DJ11" s="230">
        <f>DH11+DI11</f>
        <v/>
      </c>
      <c r="DK11" s="230">
        <f>DK12</f>
        <v/>
      </c>
      <c r="DL11" s="230">
        <f>DL12</f>
        <v/>
      </c>
      <c r="DM11" s="230">
        <f>DK11+DL11</f>
        <v/>
      </c>
      <c r="DN11" s="231">
        <f>DM11-DJ11</f>
        <v/>
      </c>
      <c r="DO11" s="232">
        <f>IF(DJ11=0,"",DM11/DJ11)</f>
        <v/>
      </c>
      <c r="DP11" s="25" t="n"/>
      <c r="DQ11" s="227">
        <f>DQ12</f>
        <v/>
      </c>
      <c r="DR11" s="227">
        <f>DR12</f>
        <v/>
      </c>
      <c r="DS11" s="227">
        <f>DQ11+DR11</f>
        <v/>
      </c>
      <c r="DT11" s="227">
        <f>DT12</f>
        <v/>
      </c>
      <c r="DU11" s="227">
        <f>DU12</f>
        <v/>
      </c>
      <c r="DV11" s="227">
        <f>DT11+DU11</f>
        <v/>
      </c>
      <c r="DW11" s="228">
        <f>DV11-DS11</f>
        <v/>
      </c>
      <c r="DX11" s="229">
        <f>IF(DS11=0,"",DV11/DS11)</f>
        <v/>
      </c>
      <c r="DY11" s="18" t="n"/>
      <c r="DZ11" s="230">
        <f>DZ12</f>
        <v/>
      </c>
      <c r="EA11" s="230">
        <f>EA12</f>
        <v/>
      </c>
      <c r="EB11" s="230">
        <f>DZ11+EA11</f>
        <v/>
      </c>
      <c r="EC11" s="230">
        <f>EC12</f>
        <v/>
      </c>
      <c r="ED11" s="230">
        <f>ED12</f>
        <v/>
      </c>
      <c r="EE11" s="230">
        <f>EC11+ED11</f>
        <v/>
      </c>
      <c r="EF11" s="231">
        <f>EE11-EB11</f>
        <v/>
      </c>
      <c r="EG11" s="232">
        <f>IF(EB11=0,"",EE11/EB11)</f>
        <v/>
      </c>
      <c r="EH11" s="25" t="n"/>
      <c r="EI11" s="227">
        <f>EI12</f>
        <v/>
      </c>
      <c r="EJ11" s="227">
        <f>EJ12</f>
        <v/>
      </c>
      <c r="EK11" s="227">
        <f>EI11+EJ11</f>
        <v/>
      </c>
      <c r="EL11" s="227">
        <f>EL12</f>
        <v/>
      </c>
      <c r="EM11" s="227">
        <f>EM12</f>
        <v/>
      </c>
      <c r="EN11" s="227">
        <f>EL11+EM11</f>
        <v/>
      </c>
      <c r="EO11" s="228">
        <f>EN11-EK11</f>
        <v/>
      </c>
      <c r="EP11" s="229">
        <f>IF(EK11=0,"",EN11/EK11)</f>
        <v/>
      </c>
      <c r="EQ11" s="18" t="n"/>
      <c r="ER11" s="230">
        <f>ER12</f>
        <v/>
      </c>
      <c r="ES11" s="230">
        <f>ES12</f>
        <v/>
      </c>
      <c r="ET11" s="230">
        <f>ER11+ES11</f>
        <v/>
      </c>
      <c r="EU11" s="230">
        <f>EU12</f>
        <v/>
      </c>
      <c r="EV11" s="230">
        <f>EV12</f>
        <v/>
      </c>
      <c r="EW11" s="230">
        <f>EU11+EV11</f>
        <v/>
      </c>
      <c r="EX11" s="231">
        <f>EW11-ET11</f>
        <v/>
      </c>
      <c r="EY11" s="232">
        <f>IF(ET11=0,"",EW11/ET11)</f>
        <v/>
      </c>
      <c r="EZ11" s="25" t="n"/>
      <c r="FA11" s="227">
        <f>FA12</f>
        <v/>
      </c>
      <c r="FB11" s="227">
        <f>FB12</f>
        <v/>
      </c>
      <c r="FC11" s="227">
        <f>FA11+FB11</f>
        <v/>
      </c>
      <c r="FD11" s="227">
        <f>FD12</f>
        <v/>
      </c>
      <c r="FE11" s="227">
        <f>FE12</f>
        <v/>
      </c>
      <c r="FF11" s="227">
        <f>FD11+FE11</f>
        <v/>
      </c>
      <c r="FG11" s="228">
        <f>FF11-FC11</f>
        <v/>
      </c>
      <c r="FH11" s="229">
        <f>IF(FC11=0,"",FF11/FC11)</f>
        <v/>
      </c>
      <c r="FI11" s="18" t="n"/>
      <c r="FJ11" s="230">
        <f>FJ12</f>
        <v/>
      </c>
      <c r="FK11" s="230">
        <f>FK12</f>
        <v/>
      </c>
      <c r="FL11" s="230">
        <f>FJ11+FK11</f>
        <v/>
      </c>
      <c r="FM11" s="230">
        <f>FM12</f>
        <v/>
      </c>
      <c r="FN11" s="230">
        <f>FN12</f>
        <v/>
      </c>
      <c r="FO11" s="230">
        <f>FM11+FN11</f>
        <v/>
      </c>
      <c r="FP11" s="231">
        <f>FO11-FL11</f>
        <v/>
      </c>
      <c r="FQ11" s="232">
        <f>IF(FL11=0,"",FO11/FL11)</f>
        <v/>
      </c>
      <c r="FR11" s="25" t="n"/>
      <c r="FS11" s="227">
        <f>FS12</f>
        <v/>
      </c>
      <c r="FT11" s="227">
        <f>FT12</f>
        <v/>
      </c>
      <c r="FU11" s="227">
        <f>FS11+FT11</f>
        <v/>
      </c>
      <c r="FV11" s="227">
        <f>FV12</f>
        <v/>
      </c>
      <c r="FW11" s="227">
        <f>FW12</f>
        <v/>
      </c>
      <c r="FX11" s="227">
        <f>FV11+FW11</f>
        <v/>
      </c>
      <c r="FY11" s="228">
        <f>FX11-FU11</f>
        <v/>
      </c>
      <c r="FZ11" s="229">
        <f>IF(FU11=0,"",FX11/FU11)</f>
        <v/>
      </c>
      <c r="GA11" s="18" t="n"/>
      <c r="GB11" s="230">
        <f>GB12</f>
        <v/>
      </c>
      <c r="GC11" s="230">
        <f>GC12</f>
        <v/>
      </c>
      <c r="GD11" s="230">
        <f>GB11+GC11</f>
        <v/>
      </c>
      <c r="GE11" s="230">
        <f>GE12</f>
        <v/>
      </c>
      <c r="GF11" s="230">
        <f>GF12</f>
        <v/>
      </c>
      <c r="GG11" s="230">
        <f>GE11+GF11</f>
        <v/>
      </c>
      <c r="GH11" s="231">
        <f>GG11-GD11</f>
        <v/>
      </c>
      <c r="GI11" s="232">
        <f>IF(GD11=0,"",GG11/GD11)</f>
        <v/>
      </c>
      <c r="GJ11" s="25" t="n"/>
      <c r="GK11" s="227">
        <f>GK12</f>
        <v/>
      </c>
      <c r="GL11" s="227">
        <f>GL12</f>
        <v/>
      </c>
      <c r="GM11" s="227">
        <f>GK11+GL11</f>
        <v/>
      </c>
      <c r="GN11" s="227">
        <f>GN12</f>
        <v/>
      </c>
      <c r="GO11" s="227">
        <f>GO12</f>
        <v/>
      </c>
      <c r="GP11" s="227">
        <f>GN11+GO11</f>
        <v/>
      </c>
      <c r="GQ11" s="228">
        <f>GP11-GM11</f>
        <v/>
      </c>
      <c r="GR11" s="229">
        <f>IF(GM11=0,"",GP11/GM11)</f>
        <v/>
      </c>
      <c r="GS11" s="18" t="n"/>
      <c r="GT11" s="230">
        <f>GT12</f>
        <v/>
      </c>
      <c r="GU11" s="230">
        <f>GU12</f>
        <v/>
      </c>
      <c r="GV11" s="230">
        <f>GT11+GU11</f>
        <v/>
      </c>
      <c r="GW11" s="230">
        <f>GW12</f>
        <v/>
      </c>
      <c r="GX11" s="230">
        <f>GX12</f>
        <v/>
      </c>
      <c r="GY11" s="230">
        <f>GW11+GX11</f>
        <v/>
      </c>
      <c r="GZ11" s="231">
        <f>GY11-GV11</f>
        <v/>
      </c>
      <c r="HA11" s="232">
        <f>IF(GV11=0,"",GY11/GV11)</f>
        <v/>
      </c>
      <c r="HB11" s="25" t="n"/>
      <c r="HC11" s="227">
        <f>GT11</f>
        <v/>
      </c>
      <c r="HD11" s="227">
        <f>GU11</f>
        <v/>
      </c>
      <c r="HE11" s="227">
        <f>HC11+HD11</f>
        <v/>
      </c>
    </row>
    <row r="12" outlineLevel="1" ht="15" customHeight="1" s="150">
      <c r="A12" s="26" t="n"/>
      <c r="B12" s="26" t="n"/>
      <c r="C12" s="26" t="n"/>
      <c r="D12" s="233" t="n"/>
      <c r="E12" s="233" t="n"/>
      <c r="F12" s="233">
        <f>D12+E12</f>
        <v/>
      </c>
      <c r="G12" s="233" t="n"/>
      <c r="H12" s="233" t="n"/>
      <c r="I12" s="233">
        <f>G12+H12</f>
        <v/>
      </c>
      <c r="J12" s="238">
        <f>I12-F12</f>
        <v/>
      </c>
      <c r="K12" s="235">
        <f>IF(F12=0,"",I12/F12)</f>
        <v/>
      </c>
      <c r="L12" s="26" t="n"/>
      <c r="M12" s="233" t="n"/>
      <c r="N12" s="233" t="n"/>
      <c r="O12" s="233">
        <f>M12+N12</f>
        <v/>
      </c>
      <c r="P12" s="233" t="n"/>
      <c r="Q12" s="233" t="n"/>
      <c r="R12" s="233">
        <f>P12+Q12</f>
        <v/>
      </c>
      <c r="S12" s="234">
        <f>R12-O12</f>
        <v/>
      </c>
      <c r="T12" s="235">
        <f>IF(O12=0,"",R12/O12)</f>
        <v/>
      </c>
      <c r="U12" s="26" t="n"/>
      <c r="V12" s="236">
        <f>D12+M12</f>
        <v/>
      </c>
      <c r="W12" s="236">
        <f>E12+N12</f>
        <v/>
      </c>
      <c r="X12" s="236">
        <f>V12+W12</f>
        <v/>
      </c>
      <c r="Y12" s="236">
        <f>G12+P12</f>
        <v/>
      </c>
      <c r="Z12" s="236">
        <f>H12+Q12</f>
        <v/>
      </c>
      <c r="AA12" s="236">
        <f>Y12+Z12</f>
        <v/>
      </c>
      <c r="AB12" s="234">
        <f>AA12-X12</f>
        <v/>
      </c>
      <c r="AC12" s="237">
        <f>IF(X12=0,"",AA12/X12)</f>
        <v/>
      </c>
      <c r="AD12" s="33" t="n"/>
      <c r="AE12" s="233" t="n"/>
      <c r="AF12" s="233" t="n"/>
      <c r="AG12" s="233">
        <f>AE12+AF12</f>
        <v/>
      </c>
      <c r="AH12" s="233" t="n"/>
      <c r="AI12" s="233" t="n"/>
      <c r="AJ12" s="233">
        <f>AH12+AI12</f>
        <v/>
      </c>
      <c r="AK12" s="234">
        <f>AJ12-AG12</f>
        <v/>
      </c>
      <c r="AL12" s="235">
        <f>IF(AG12=0,"",AJ12/AG12)</f>
        <v/>
      </c>
      <c r="AM12" s="26" t="n"/>
      <c r="AN12" s="236">
        <f>V12+AE12</f>
        <v/>
      </c>
      <c r="AO12" s="236">
        <f>W12+AF12</f>
        <v/>
      </c>
      <c r="AP12" s="236">
        <f>AN12+AO12</f>
        <v/>
      </c>
      <c r="AQ12" s="236">
        <f>Y12+AH12</f>
        <v/>
      </c>
      <c r="AR12" s="236">
        <f>Z12+AI12</f>
        <v/>
      </c>
      <c r="AS12" s="236">
        <f>AQ12+AR12</f>
        <v/>
      </c>
      <c r="AT12" s="234">
        <f>AS12-AP12</f>
        <v/>
      </c>
      <c r="AU12" s="237">
        <f>IF(AP12=0,"",AS12/AP12)</f>
        <v/>
      </c>
      <c r="AV12" s="33" t="n"/>
      <c r="AW12" s="233" t="n"/>
      <c r="AX12" s="233" t="n"/>
      <c r="AY12" s="233">
        <f>AW12+AX12</f>
        <v/>
      </c>
      <c r="AZ12" s="233" t="n"/>
      <c r="BA12" s="233" t="n"/>
      <c r="BB12" s="233">
        <f>AZ12+BA12</f>
        <v/>
      </c>
      <c r="BC12" s="238">
        <f>BB12-AY12</f>
        <v/>
      </c>
      <c r="BD12" s="235">
        <f>IF(AY12=0,"",BB12/AY12)</f>
        <v/>
      </c>
      <c r="BE12" s="26" t="n"/>
      <c r="BF12" s="236">
        <f>AN12+AW12</f>
        <v/>
      </c>
      <c r="BG12" s="236">
        <f>AO12+AX12</f>
        <v/>
      </c>
      <c r="BH12" s="236">
        <f>BF12+BG12</f>
        <v/>
      </c>
      <c r="BI12" s="236">
        <f>AQ12+AZ12</f>
        <v/>
      </c>
      <c r="BJ12" s="236">
        <f>AR12+BA12</f>
        <v/>
      </c>
      <c r="BK12" s="236">
        <f>BI12+BJ12</f>
        <v/>
      </c>
      <c r="BL12" s="239">
        <f>BK12-BH12</f>
        <v/>
      </c>
      <c r="BM12" s="237">
        <f>IF(BH12=0,"",BK12/BH12)</f>
        <v/>
      </c>
      <c r="BN12" s="33" t="n"/>
      <c r="BO12" s="233" t="n"/>
      <c r="BP12" s="233" t="n"/>
      <c r="BQ12" s="233">
        <f>BO12+BP12</f>
        <v/>
      </c>
      <c r="BR12" s="233" t="n"/>
      <c r="BS12" s="233" t="n"/>
      <c r="BT12" s="233">
        <f>BR12+BS12</f>
        <v/>
      </c>
      <c r="BU12" s="238">
        <f>BT12-BQ12</f>
        <v/>
      </c>
      <c r="BV12" s="235">
        <f>IF(BQ12=0,"",BT12/BQ12)</f>
        <v/>
      </c>
      <c r="BW12" s="26" t="n"/>
      <c r="BX12" s="236">
        <f>BF12+BO12</f>
        <v/>
      </c>
      <c r="BY12" s="236">
        <f>BG12+BP12</f>
        <v/>
      </c>
      <c r="BZ12" s="236">
        <f>BX12+BY12</f>
        <v/>
      </c>
      <c r="CA12" s="236">
        <f>BI12+BR12</f>
        <v/>
      </c>
      <c r="CB12" s="236">
        <f>BJ12+BS12</f>
        <v/>
      </c>
      <c r="CC12" s="236">
        <f>CA12+CB12</f>
        <v/>
      </c>
      <c r="CD12" s="239">
        <f>CC12-BZ12</f>
        <v/>
      </c>
      <c r="CE12" s="237">
        <f>IF(BZ12=0,"",CC12/BZ12)</f>
        <v/>
      </c>
      <c r="CF12" s="33" t="n"/>
      <c r="CG12" s="233" t="n"/>
      <c r="CH12" s="233" t="n"/>
      <c r="CI12" s="233">
        <f>CG12+CH12</f>
        <v/>
      </c>
      <c r="CJ12" s="233" t="n"/>
      <c r="CK12" s="233" t="n"/>
      <c r="CL12" s="233">
        <f>CJ12+CK12</f>
        <v/>
      </c>
      <c r="CM12" s="238">
        <f>CL12-CI12</f>
        <v/>
      </c>
      <c r="CN12" s="235">
        <f>IF(CI12=0,"",CL12/CI12)</f>
        <v/>
      </c>
      <c r="CO12" s="26" t="n"/>
      <c r="CP12" s="236">
        <f>BX12+CG12</f>
        <v/>
      </c>
      <c r="CQ12" s="236">
        <f>BY12+CH12</f>
        <v/>
      </c>
      <c r="CR12" s="236">
        <f>CP12+CQ12</f>
        <v/>
      </c>
      <c r="CS12" s="236">
        <f>CA12+CJ12</f>
        <v/>
      </c>
      <c r="CT12" s="236">
        <f>CB12+CK12</f>
        <v/>
      </c>
      <c r="CU12" s="236">
        <f>CS12+CT12</f>
        <v/>
      </c>
      <c r="CV12" s="239">
        <f>CU12-CR12</f>
        <v/>
      </c>
      <c r="CW12" s="237">
        <f>IF(CR12=0,"",CU12/CR12)</f>
        <v/>
      </c>
      <c r="CX12" s="33" t="n"/>
      <c r="CY12" s="233" t="n"/>
      <c r="CZ12" s="233" t="n"/>
      <c r="DA12" s="233">
        <f>CY12+CZ12</f>
        <v/>
      </c>
      <c r="DB12" s="233" t="n"/>
      <c r="DC12" s="233" t="n"/>
      <c r="DD12" s="233">
        <f>DB12+DC12</f>
        <v/>
      </c>
      <c r="DE12" s="238">
        <f>DD12-DA12</f>
        <v/>
      </c>
      <c r="DF12" s="235">
        <f>IF(DA12=0,"",DD12/DA12)</f>
        <v/>
      </c>
      <c r="DG12" s="26" t="n"/>
      <c r="DH12" s="236">
        <f>CP12+CY12</f>
        <v/>
      </c>
      <c r="DI12" s="236">
        <f>CQ12+CZ12</f>
        <v/>
      </c>
      <c r="DJ12" s="236">
        <f>DH12+DI12</f>
        <v/>
      </c>
      <c r="DK12" s="236">
        <f>CS12+DB12</f>
        <v/>
      </c>
      <c r="DL12" s="236">
        <f>CT12+DC12</f>
        <v/>
      </c>
      <c r="DM12" s="236">
        <f>DK12+DL12</f>
        <v/>
      </c>
      <c r="DN12" s="239">
        <f>DM12-DJ12</f>
        <v/>
      </c>
      <c r="DO12" s="237">
        <f>IF(DJ12=0,"",DM12/DJ12)</f>
        <v/>
      </c>
      <c r="DP12" s="33" t="n"/>
      <c r="DQ12" s="233" t="n"/>
      <c r="DR12" s="233" t="n"/>
      <c r="DS12" s="233">
        <f>DQ12+DR12</f>
        <v/>
      </c>
      <c r="DT12" s="233" t="n"/>
      <c r="DU12" s="233" t="n"/>
      <c r="DV12" s="233">
        <f>DT12+DU12</f>
        <v/>
      </c>
      <c r="DW12" s="238">
        <f>DV12-DS12</f>
        <v/>
      </c>
      <c r="DX12" s="235">
        <f>IF(DS12=0,"",DV12/DS12)</f>
        <v/>
      </c>
      <c r="DY12" s="26" t="n"/>
      <c r="DZ12" s="236">
        <f>DH12+DQ12</f>
        <v/>
      </c>
      <c r="EA12" s="236">
        <f>DI12+DR12</f>
        <v/>
      </c>
      <c r="EB12" s="236">
        <f>DZ12+EA12</f>
        <v/>
      </c>
      <c r="EC12" s="236">
        <f>DK12+DT12</f>
        <v/>
      </c>
      <c r="ED12" s="236">
        <f>DL12+DU12</f>
        <v/>
      </c>
      <c r="EE12" s="236">
        <f>EC12+ED12</f>
        <v/>
      </c>
      <c r="EF12" s="239">
        <f>EE12-EB12</f>
        <v/>
      </c>
      <c r="EG12" s="237">
        <f>IF(EB12=0,"",EE12/EB12)</f>
        <v/>
      </c>
      <c r="EH12" s="33" t="n"/>
      <c r="EI12" s="233" t="n"/>
      <c r="EJ12" s="233" t="n"/>
      <c r="EK12" s="233">
        <f>EI12+EJ12</f>
        <v/>
      </c>
      <c r="EL12" s="233" t="n"/>
      <c r="EM12" s="233" t="n"/>
      <c r="EN12" s="233">
        <f>EL12+EM12</f>
        <v/>
      </c>
      <c r="EO12" s="238">
        <f>EN12-EK12</f>
        <v/>
      </c>
      <c r="EP12" s="235">
        <f>IF(EK12=0,"",EN12/EK12)</f>
        <v/>
      </c>
      <c r="EQ12" s="26" t="n"/>
      <c r="ER12" s="236">
        <f>DZ12+EI12</f>
        <v/>
      </c>
      <c r="ES12" s="236">
        <f>EA12+EJ12</f>
        <v/>
      </c>
      <c r="ET12" s="236">
        <f>ER12+ES12</f>
        <v/>
      </c>
      <c r="EU12" s="236">
        <f>EC12+EL12</f>
        <v/>
      </c>
      <c r="EV12" s="236">
        <f>ED12+EM12</f>
        <v/>
      </c>
      <c r="EW12" s="236">
        <f>EU12+EV12</f>
        <v/>
      </c>
      <c r="EX12" s="239">
        <f>EW12-ET12</f>
        <v/>
      </c>
      <c r="EY12" s="237">
        <f>IF(ET12=0,"",EW12/ET12)</f>
        <v/>
      </c>
      <c r="EZ12" s="33" t="n"/>
      <c r="FA12" s="233" t="n"/>
      <c r="FB12" s="233" t="n"/>
      <c r="FC12" s="233">
        <f>FA12+FB12</f>
        <v/>
      </c>
      <c r="FD12" s="233" t="n"/>
      <c r="FE12" s="233" t="n"/>
      <c r="FF12" s="233">
        <f>FD12+FE12</f>
        <v/>
      </c>
      <c r="FG12" s="238">
        <f>FF12-FC12</f>
        <v/>
      </c>
      <c r="FH12" s="235">
        <f>IF(FC12=0,"",FF12/FC12)</f>
        <v/>
      </c>
      <c r="FI12" s="26" t="n"/>
      <c r="FJ12" s="236">
        <f>ER12+FA12</f>
        <v/>
      </c>
      <c r="FK12" s="236">
        <f>ES12+FB12</f>
        <v/>
      </c>
      <c r="FL12" s="236">
        <f>FJ12+FK12</f>
        <v/>
      </c>
      <c r="FM12" s="236">
        <f>EU12+FD12</f>
        <v/>
      </c>
      <c r="FN12" s="236">
        <f>EV12+FE12</f>
        <v/>
      </c>
      <c r="FO12" s="236">
        <f>FM12+FN12</f>
        <v/>
      </c>
      <c r="FP12" s="239">
        <f>FO12-FL12</f>
        <v/>
      </c>
      <c r="FQ12" s="237">
        <f>IF(FL12=0,"",FO12/FL12)</f>
        <v/>
      </c>
      <c r="FR12" s="33" t="n"/>
      <c r="FS12" s="233" t="n"/>
      <c r="FT12" s="233" t="n"/>
      <c r="FU12" s="233">
        <f>FS12+FT12</f>
        <v/>
      </c>
      <c r="FV12" s="233" t="n"/>
      <c r="FW12" s="233" t="n"/>
      <c r="FX12" s="233">
        <f>FV12+FW12</f>
        <v/>
      </c>
      <c r="FY12" s="238">
        <f>FX12-FU12</f>
        <v/>
      </c>
      <c r="FZ12" s="235">
        <f>IF(FU12=0,"",FX12/FU12)</f>
        <v/>
      </c>
      <c r="GA12" s="26" t="n"/>
      <c r="GB12" s="236">
        <f>FJ12+FS12</f>
        <v/>
      </c>
      <c r="GC12" s="236">
        <f>FK12+FT12</f>
        <v/>
      </c>
      <c r="GD12" s="236">
        <f>GB12+GC12</f>
        <v/>
      </c>
      <c r="GE12" s="236">
        <f>FM12+FV12</f>
        <v/>
      </c>
      <c r="GF12" s="236">
        <f>FN12+FW12</f>
        <v/>
      </c>
      <c r="GG12" s="236">
        <f>GE12+GF12</f>
        <v/>
      </c>
      <c r="GH12" s="239">
        <f>GG12-GD12</f>
        <v/>
      </c>
      <c r="GI12" s="237">
        <f>IF(GD12=0,"",GG12/GD12)</f>
        <v/>
      </c>
      <c r="GJ12" s="33" t="n"/>
      <c r="GK12" s="233" t="n"/>
      <c r="GL12" s="233" t="n"/>
      <c r="GM12" s="233">
        <f>GK12+GL12</f>
        <v/>
      </c>
      <c r="GN12" s="233" t="n"/>
      <c r="GO12" s="233" t="n"/>
      <c r="GP12" s="233">
        <f>GN12+GO12</f>
        <v/>
      </c>
      <c r="GQ12" s="238">
        <f>GP12-GM12</f>
        <v/>
      </c>
      <c r="GR12" s="235">
        <f>IF(GM12=0,"",GP12/GM12)</f>
        <v/>
      </c>
      <c r="GS12" s="26" t="n"/>
      <c r="GT12" s="236">
        <f>GB12+GK12</f>
        <v/>
      </c>
      <c r="GU12" s="236">
        <f>GC12+GL12</f>
        <v/>
      </c>
      <c r="GV12" s="236">
        <f>GT12+GU12</f>
        <v/>
      </c>
      <c r="GW12" s="236">
        <f>GE12+GN12</f>
        <v/>
      </c>
      <c r="GX12" s="236">
        <f>GF12+GO12</f>
        <v/>
      </c>
      <c r="GY12" s="236">
        <f>GW12+GX12</f>
        <v/>
      </c>
      <c r="GZ12" s="239">
        <f>GY12-GV12</f>
        <v/>
      </c>
      <c r="HA12" s="237">
        <f>IF(GV12=0,"",GY12/GV12)</f>
        <v/>
      </c>
      <c r="HB12" s="33" t="n"/>
      <c r="HC12" s="233">
        <f>GT12</f>
        <v/>
      </c>
      <c r="HD12" s="233">
        <f>GU12</f>
        <v/>
      </c>
      <c r="HE12" s="233">
        <f>HC12+HD12</f>
        <v/>
      </c>
    </row>
    <row r="13" ht="15" customHeight="1" s="150">
      <c r="A13" s="18" t="n"/>
      <c r="B13" s="18" t="n"/>
      <c r="C13" s="18" t="n"/>
      <c r="D13" s="227">
        <f>SUM(D14:D15)</f>
        <v/>
      </c>
      <c r="E13" s="227">
        <f>SUM(E14:E15)</f>
        <v/>
      </c>
      <c r="F13" s="227">
        <f>D13+E13</f>
        <v/>
      </c>
      <c r="G13" s="227">
        <f>SUM(G14:G15)</f>
        <v/>
      </c>
      <c r="H13" s="227">
        <f>SUM(H14:H15)</f>
        <v/>
      </c>
      <c r="I13" s="227">
        <f>G13+H13</f>
        <v/>
      </c>
      <c r="J13" s="228">
        <f>I13-F13</f>
        <v/>
      </c>
      <c r="K13" s="229">
        <f>IF(F13=0,"",I13/F13)</f>
        <v/>
      </c>
      <c r="L13" s="18" t="n"/>
      <c r="M13" s="227">
        <f>SUM(M14:M15)</f>
        <v/>
      </c>
      <c r="N13" s="227">
        <f>SUM(N14:N15)</f>
        <v/>
      </c>
      <c r="O13" s="227">
        <f>M13+N13</f>
        <v/>
      </c>
      <c r="P13" s="227">
        <f>SUM(P14:P15)</f>
        <v/>
      </c>
      <c r="Q13" s="227">
        <f>SUM(Q14:Q15)</f>
        <v/>
      </c>
      <c r="R13" s="227">
        <f>P13+Q13</f>
        <v/>
      </c>
      <c r="S13" s="228">
        <f>R13-O13</f>
        <v/>
      </c>
      <c r="T13" s="229">
        <f>IF(O13=0,"",R13/O13)</f>
        <v/>
      </c>
      <c r="U13" s="18" t="n"/>
      <c r="V13" s="230">
        <f>SUM(V14:V15)</f>
        <v/>
      </c>
      <c r="W13" s="230">
        <f>SUM(W14:W15)</f>
        <v/>
      </c>
      <c r="X13" s="230">
        <f>V13+W13</f>
        <v/>
      </c>
      <c r="Y13" s="230">
        <f>SUM(Y14:Y15)</f>
        <v/>
      </c>
      <c r="Z13" s="230">
        <f>SUM(Z14:Z15)</f>
        <v/>
      </c>
      <c r="AA13" s="230">
        <f>Y13+Z13</f>
        <v/>
      </c>
      <c r="AB13" s="231">
        <f>AA13-X13</f>
        <v/>
      </c>
      <c r="AC13" s="232">
        <f>IF(X13=0,"",AA13/X13)</f>
        <v/>
      </c>
      <c r="AD13" s="25" t="n"/>
      <c r="AE13" s="227">
        <f>SUM(AE14:AE15)</f>
        <v/>
      </c>
      <c r="AF13" s="227">
        <f>SUM(AF14:AF15)</f>
        <v/>
      </c>
      <c r="AG13" s="227">
        <f>AE13+AF13</f>
        <v/>
      </c>
      <c r="AH13" s="227">
        <f>SUM(AH14:AH15)</f>
        <v/>
      </c>
      <c r="AI13" s="227">
        <f>SUM(AI14:AI15)</f>
        <v/>
      </c>
      <c r="AJ13" s="227">
        <f>AH13+AI13</f>
        <v/>
      </c>
      <c r="AK13" s="228">
        <f>AJ13-AG13</f>
        <v/>
      </c>
      <c r="AL13" s="229">
        <f>IF(AG13=0,"",AJ13/AG13)</f>
        <v/>
      </c>
      <c r="AM13" s="18" t="n"/>
      <c r="AN13" s="230">
        <f>SUM(AN14:AN15)</f>
        <v/>
      </c>
      <c r="AO13" s="230">
        <f>SUM(AO14:AO15)</f>
        <v/>
      </c>
      <c r="AP13" s="230">
        <f>AN13+AO13</f>
        <v/>
      </c>
      <c r="AQ13" s="230">
        <f>SUM(AQ14:AQ15)</f>
        <v/>
      </c>
      <c r="AR13" s="230">
        <f>SUM(AR14:AR15)</f>
        <v/>
      </c>
      <c r="AS13" s="230">
        <f>AQ13+AR13</f>
        <v/>
      </c>
      <c r="AT13" s="231">
        <f>AS13-AP13</f>
        <v/>
      </c>
      <c r="AU13" s="232">
        <f>IF(AP13=0,"",AS13/AP13)</f>
        <v/>
      </c>
      <c r="AV13" s="25" t="n"/>
      <c r="AW13" s="227">
        <f>SUM(AW14:AW15)</f>
        <v/>
      </c>
      <c r="AX13" s="227">
        <f>SUM(AX14:AX15)</f>
        <v/>
      </c>
      <c r="AY13" s="227">
        <f>AW13+AX13</f>
        <v/>
      </c>
      <c r="AZ13" s="227">
        <f>SUM(AZ14:AZ15)</f>
        <v/>
      </c>
      <c r="BA13" s="227">
        <f>SUM(BA14:BA15)</f>
        <v/>
      </c>
      <c r="BB13" s="227">
        <f>AZ13+BA13</f>
        <v/>
      </c>
      <c r="BC13" s="228">
        <f>BB13-AY13</f>
        <v/>
      </c>
      <c r="BD13" s="229">
        <f>IF(AY13=0,"",BB13/AY13)</f>
        <v/>
      </c>
      <c r="BE13" s="18" t="n"/>
      <c r="BF13" s="230">
        <f>SUM(BF14:BF15)</f>
        <v/>
      </c>
      <c r="BG13" s="230">
        <f>SUM(BG14:BG15)</f>
        <v/>
      </c>
      <c r="BH13" s="230">
        <f>BF13+BG13</f>
        <v/>
      </c>
      <c r="BI13" s="230">
        <f>SUM(BI14:BI15)</f>
        <v/>
      </c>
      <c r="BJ13" s="230">
        <f>SUM(BJ14:BJ15)</f>
        <v/>
      </c>
      <c r="BK13" s="230">
        <f>BI13+BJ13</f>
        <v/>
      </c>
      <c r="BL13" s="231">
        <f>BK13-BH13</f>
        <v/>
      </c>
      <c r="BM13" s="232">
        <f>IF(BH13=0,"",BK13/BH13)</f>
        <v/>
      </c>
      <c r="BN13" s="25" t="n"/>
      <c r="BO13" s="227">
        <f>SUM(BO14:BO15)</f>
        <v/>
      </c>
      <c r="BP13" s="227">
        <f>SUM(BP14:BP15)</f>
        <v/>
      </c>
      <c r="BQ13" s="227">
        <f>BO13+BP13</f>
        <v/>
      </c>
      <c r="BR13" s="227">
        <f>SUM(BR14:BR15)</f>
        <v/>
      </c>
      <c r="BS13" s="227">
        <f>SUM(BS14:BS15)</f>
        <v/>
      </c>
      <c r="BT13" s="227">
        <f>BR13+BS13</f>
        <v/>
      </c>
      <c r="BU13" s="228">
        <f>BT13-BQ13</f>
        <v/>
      </c>
      <c r="BV13" s="229">
        <f>IF(BQ13=0,"",BT13/BQ13)</f>
        <v/>
      </c>
      <c r="BW13" s="18" t="n"/>
      <c r="BX13" s="230">
        <f>SUM(BX14:BX15)</f>
        <v/>
      </c>
      <c r="BY13" s="230">
        <f>SUM(BY14:BY15)</f>
        <v/>
      </c>
      <c r="BZ13" s="230">
        <f>BX13+BY13</f>
        <v/>
      </c>
      <c r="CA13" s="230">
        <f>SUM(CA14:CA15)</f>
        <v/>
      </c>
      <c r="CB13" s="230">
        <f>SUM(CB14:CB15)</f>
        <v/>
      </c>
      <c r="CC13" s="230">
        <f>CA13+CB13</f>
        <v/>
      </c>
      <c r="CD13" s="231">
        <f>CC13-BZ13</f>
        <v/>
      </c>
      <c r="CE13" s="232">
        <f>IF(BZ13=0,"",CC13/BZ13)</f>
        <v/>
      </c>
      <c r="CF13" s="25" t="n"/>
      <c r="CG13" s="227">
        <f>SUM(CG14:CG15)</f>
        <v/>
      </c>
      <c r="CH13" s="227">
        <f>SUM(CH14:CH15)</f>
        <v/>
      </c>
      <c r="CI13" s="227">
        <f>CG13+CH13</f>
        <v/>
      </c>
      <c r="CJ13" s="227">
        <f>SUM(CJ14:CJ15)</f>
        <v/>
      </c>
      <c r="CK13" s="227">
        <f>SUM(CK14:CK15)</f>
        <v/>
      </c>
      <c r="CL13" s="227">
        <f>CJ13+CK13</f>
        <v/>
      </c>
      <c r="CM13" s="228">
        <f>CL13-CI13</f>
        <v/>
      </c>
      <c r="CN13" s="229">
        <f>IF(CI13=0,"",CL13/CI13)</f>
        <v/>
      </c>
      <c r="CO13" s="18" t="n"/>
      <c r="CP13" s="230">
        <f>SUM(CP14:CP15)</f>
        <v/>
      </c>
      <c r="CQ13" s="230">
        <f>SUM(CQ14:CQ15)</f>
        <v/>
      </c>
      <c r="CR13" s="230">
        <f>CP13+CQ13</f>
        <v/>
      </c>
      <c r="CS13" s="230">
        <f>SUM(CS14:CS15)</f>
        <v/>
      </c>
      <c r="CT13" s="230">
        <f>SUM(CT14:CT15)</f>
        <v/>
      </c>
      <c r="CU13" s="230">
        <f>CS13+CT13</f>
        <v/>
      </c>
      <c r="CV13" s="231">
        <f>CU13-CR13</f>
        <v/>
      </c>
      <c r="CW13" s="232">
        <f>IF(CR13=0,"",CU13/CR13)</f>
        <v/>
      </c>
      <c r="CX13" s="25" t="n"/>
      <c r="CY13" s="227">
        <f>SUM(CY14:CY15)</f>
        <v/>
      </c>
      <c r="CZ13" s="227">
        <f>SUM(CZ14:CZ15)</f>
        <v/>
      </c>
      <c r="DA13" s="227">
        <f>CY13+CZ13</f>
        <v/>
      </c>
      <c r="DB13" s="227">
        <f>SUM(DB14:DB15)</f>
        <v/>
      </c>
      <c r="DC13" s="227">
        <f>SUM(DC14:DC15)</f>
        <v/>
      </c>
      <c r="DD13" s="227">
        <f>DB13+DC13</f>
        <v/>
      </c>
      <c r="DE13" s="228">
        <f>DD13-DA13</f>
        <v/>
      </c>
      <c r="DF13" s="229">
        <f>IF(DA13=0,"",DD13/DA13)</f>
        <v/>
      </c>
      <c r="DG13" s="18" t="n"/>
      <c r="DH13" s="230">
        <f>SUM(DH14:DH15)</f>
        <v/>
      </c>
      <c r="DI13" s="230">
        <f>SUM(DI14:DI15)</f>
        <v/>
      </c>
      <c r="DJ13" s="230">
        <f>DH13+DI13</f>
        <v/>
      </c>
      <c r="DK13" s="230">
        <f>SUM(DK14:DK15)</f>
        <v/>
      </c>
      <c r="DL13" s="230">
        <f>SUM(DL14:DL15)</f>
        <v/>
      </c>
      <c r="DM13" s="230">
        <f>DK13+DL13</f>
        <v/>
      </c>
      <c r="DN13" s="231">
        <f>DM13-DJ13</f>
        <v/>
      </c>
      <c r="DO13" s="232">
        <f>IF(DJ13=0,"",DM13/DJ13)</f>
        <v/>
      </c>
      <c r="DP13" s="25" t="n"/>
      <c r="DQ13" s="227">
        <f>SUM(DQ14:DQ15)</f>
        <v/>
      </c>
      <c r="DR13" s="227">
        <f>SUM(DR14:DR15)</f>
        <v/>
      </c>
      <c r="DS13" s="227">
        <f>DQ13+DR13</f>
        <v/>
      </c>
      <c r="DT13" s="227">
        <f>SUM(DT14:DT15)</f>
        <v/>
      </c>
      <c r="DU13" s="227">
        <f>SUM(DU14:DU15)</f>
        <v/>
      </c>
      <c r="DV13" s="227">
        <f>DT13+DU13</f>
        <v/>
      </c>
      <c r="DW13" s="228">
        <f>DV13-DS13</f>
        <v/>
      </c>
      <c r="DX13" s="229">
        <f>IF(DS13=0,"",DV13/DS13)</f>
        <v/>
      </c>
      <c r="DY13" s="18" t="n"/>
      <c r="DZ13" s="230">
        <f>SUM(DZ14:DZ15)</f>
        <v/>
      </c>
      <c r="EA13" s="230">
        <f>SUM(EA14:EA15)</f>
        <v/>
      </c>
      <c r="EB13" s="230">
        <f>DZ13+EA13</f>
        <v/>
      </c>
      <c r="EC13" s="230">
        <f>SUM(EC14:EC15)</f>
        <v/>
      </c>
      <c r="ED13" s="230">
        <f>SUM(ED14:ED15)</f>
        <v/>
      </c>
      <c r="EE13" s="230">
        <f>EC13+ED13</f>
        <v/>
      </c>
      <c r="EF13" s="231">
        <f>EE13-EB13</f>
        <v/>
      </c>
      <c r="EG13" s="232">
        <f>IF(EB13=0,"",EE13/EB13)</f>
        <v/>
      </c>
      <c r="EH13" s="25" t="n"/>
      <c r="EI13" s="227">
        <f>SUM(EI14:EI15)</f>
        <v/>
      </c>
      <c r="EJ13" s="227">
        <f>SUM(EJ14:EJ15)</f>
        <v/>
      </c>
      <c r="EK13" s="227">
        <f>EI13+EJ13</f>
        <v/>
      </c>
      <c r="EL13" s="227">
        <f>SUM(EL14:EL15)</f>
        <v/>
      </c>
      <c r="EM13" s="227">
        <f>SUM(EM14:EM15)</f>
        <v/>
      </c>
      <c r="EN13" s="227">
        <f>EL13+EM13</f>
        <v/>
      </c>
      <c r="EO13" s="228">
        <f>EN13-EK13</f>
        <v/>
      </c>
      <c r="EP13" s="229">
        <f>IF(EK13=0,"",EN13/EK13)</f>
        <v/>
      </c>
      <c r="EQ13" s="18" t="n"/>
      <c r="ER13" s="230">
        <f>SUM(ER14:ER15)</f>
        <v/>
      </c>
      <c r="ES13" s="230">
        <f>SUM(ES14:ES15)</f>
        <v/>
      </c>
      <c r="ET13" s="230">
        <f>ER13+ES13</f>
        <v/>
      </c>
      <c r="EU13" s="230">
        <f>SUM(EU14:EU15)</f>
        <v/>
      </c>
      <c r="EV13" s="230">
        <f>SUM(EV14:EV15)</f>
        <v/>
      </c>
      <c r="EW13" s="230">
        <f>EU13+EV13</f>
        <v/>
      </c>
      <c r="EX13" s="231">
        <f>EW13-ET13</f>
        <v/>
      </c>
      <c r="EY13" s="232">
        <f>IF(ET13=0,"",EW13/ET13)</f>
        <v/>
      </c>
      <c r="EZ13" s="25" t="n"/>
      <c r="FA13" s="227">
        <f>SUM(FA14:FA15)</f>
        <v/>
      </c>
      <c r="FB13" s="227">
        <f>SUM(FB14:FB15)</f>
        <v/>
      </c>
      <c r="FC13" s="227">
        <f>FA13+FB13</f>
        <v/>
      </c>
      <c r="FD13" s="227">
        <f>SUM(FD14:FD15)</f>
        <v/>
      </c>
      <c r="FE13" s="227">
        <f>SUM(FE14:FE15)</f>
        <v/>
      </c>
      <c r="FF13" s="227">
        <f>FD13+FE13</f>
        <v/>
      </c>
      <c r="FG13" s="228">
        <f>FF13-FC13</f>
        <v/>
      </c>
      <c r="FH13" s="229">
        <f>IF(FC13=0,"",FF13/FC13)</f>
        <v/>
      </c>
      <c r="FI13" s="18" t="n"/>
      <c r="FJ13" s="230">
        <f>SUM(FJ14:FJ15)</f>
        <v/>
      </c>
      <c r="FK13" s="230">
        <f>SUM(FK14:FK15)</f>
        <v/>
      </c>
      <c r="FL13" s="230">
        <f>FJ13+FK13</f>
        <v/>
      </c>
      <c r="FM13" s="230">
        <f>SUM(FM14:FM15)</f>
        <v/>
      </c>
      <c r="FN13" s="230">
        <f>SUM(FN14:FN15)</f>
        <v/>
      </c>
      <c r="FO13" s="230">
        <f>FM13+FN13</f>
        <v/>
      </c>
      <c r="FP13" s="231">
        <f>FO13-FL13</f>
        <v/>
      </c>
      <c r="FQ13" s="232">
        <f>IF(FL13=0,"",FO13/FL13)</f>
        <v/>
      </c>
      <c r="FR13" s="25" t="n"/>
      <c r="FS13" s="227">
        <f>SUM(FS14:FS15)</f>
        <v/>
      </c>
      <c r="FT13" s="227">
        <f>SUM(FT14:FT15)</f>
        <v/>
      </c>
      <c r="FU13" s="227">
        <f>FS13+FT13</f>
        <v/>
      </c>
      <c r="FV13" s="227">
        <f>SUM(FV14:FV15)</f>
        <v/>
      </c>
      <c r="FW13" s="227">
        <f>SUM(FW14:FW15)</f>
        <v/>
      </c>
      <c r="FX13" s="227">
        <f>FV13+FW13</f>
        <v/>
      </c>
      <c r="FY13" s="228">
        <f>FX13-FU13</f>
        <v/>
      </c>
      <c r="FZ13" s="229">
        <f>IF(FU13=0,"",FX13/FU13)</f>
        <v/>
      </c>
      <c r="GA13" s="18" t="n"/>
      <c r="GB13" s="230">
        <f>SUM(GB14:GB15)</f>
        <v/>
      </c>
      <c r="GC13" s="230">
        <f>SUM(GC14:GC15)</f>
        <v/>
      </c>
      <c r="GD13" s="230">
        <f>GB13+GC13</f>
        <v/>
      </c>
      <c r="GE13" s="230">
        <f>SUM(GE14:GE15)</f>
        <v/>
      </c>
      <c r="GF13" s="230">
        <f>SUM(GF14:GF15)</f>
        <v/>
      </c>
      <c r="GG13" s="230">
        <f>GE13+GF13</f>
        <v/>
      </c>
      <c r="GH13" s="231">
        <f>GG13-GD13</f>
        <v/>
      </c>
      <c r="GI13" s="232">
        <f>IF(GD13=0,"",GG13/GD13)</f>
        <v/>
      </c>
      <c r="GJ13" s="25" t="n"/>
      <c r="GK13" s="227">
        <f>SUM(GK14:GK15)</f>
        <v/>
      </c>
      <c r="GL13" s="227">
        <f>SUM(GL14:GL15)</f>
        <v/>
      </c>
      <c r="GM13" s="227">
        <f>GK13+GL13</f>
        <v/>
      </c>
      <c r="GN13" s="227">
        <f>SUM(GN14:GN15)</f>
        <v/>
      </c>
      <c r="GO13" s="227">
        <f>SUM(GO14:GO15)</f>
        <v/>
      </c>
      <c r="GP13" s="227">
        <f>GN13+GO13</f>
        <v/>
      </c>
      <c r="GQ13" s="228">
        <f>GP13-GM13</f>
        <v/>
      </c>
      <c r="GR13" s="229">
        <f>IF(GM13=0,"",GP13/GM13)</f>
        <v/>
      </c>
      <c r="GS13" s="18" t="n"/>
      <c r="GT13" s="230">
        <f>SUM(GT14:GT15)</f>
        <v/>
      </c>
      <c r="GU13" s="230">
        <f>SUM(GU14:GU15)</f>
        <v/>
      </c>
      <c r="GV13" s="230">
        <f>GT13+GU13</f>
        <v/>
      </c>
      <c r="GW13" s="230">
        <f>SUM(GW14:GW15)</f>
        <v/>
      </c>
      <c r="GX13" s="230">
        <f>SUM(GX14:GX15)</f>
        <v/>
      </c>
      <c r="GY13" s="230">
        <f>GW13+GX13</f>
        <v/>
      </c>
      <c r="GZ13" s="231">
        <f>GY13-GV13</f>
        <v/>
      </c>
      <c r="HA13" s="232">
        <f>IF(GV13=0,"",GY13/GV13)</f>
        <v/>
      </c>
      <c r="HB13" s="25" t="n"/>
      <c r="HC13" s="227">
        <f>GT13</f>
        <v/>
      </c>
      <c r="HD13" s="227">
        <f>GU13</f>
        <v/>
      </c>
      <c r="HE13" s="227">
        <f>HC13+HD13</f>
        <v/>
      </c>
    </row>
    <row r="14" outlineLevel="1" ht="81" customHeight="1" s="150">
      <c r="A14" s="26" t="n"/>
      <c r="B14" s="26" t="n"/>
      <c r="C14" s="26" t="n"/>
      <c r="D14" s="233" t="n"/>
      <c r="E14" s="233" t="n"/>
      <c r="F14" s="233">
        <f>D14+E14</f>
        <v/>
      </c>
      <c r="G14" s="233" t="n"/>
      <c r="H14" s="233" t="n"/>
      <c r="I14" s="233">
        <f>G14+H14</f>
        <v/>
      </c>
      <c r="J14" s="238">
        <f>I14-F14</f>
        <v/>
      </c>
      <c r="K14" s="235">
        <f>IF(F14=0,"",I14/F14)</f>
        <v/>
      </c>
      <c r="L14" s="42" t="n"/>
      <c r="M14" s="233" t="n"/>
      <c r="N14" s="233" t="n"/>
      <c r="O14" s="233">
        <f>M14+N14</f>
        <v/>
      </c>
      <c r="P14" s="233" t="n"/>
      <c r="Q14" s="233" t="n"/>
      <c r="R14" s="233">
        <f>P14+Q14</f>
        <v/>
      </c>
      <c r="S14" s="234">
        <f>R14-O14</f>
        <v/>
      </c>
      <c r="T14" s="235">
        <f>IF(O14=0,"",R14/O14)</f>
        <v/>
      </c>
      <c r="U14" s="42" t="n"/>
      <c r="V14" s="236">
        <f>D14+M14</f>
        <v/>
      </c>
      <c r="W14" s="236">
        <f>E14+N14</f>
        <v/>
      </c>
      <c r="X14" s="236">
        <f>V14+W14</f>
        <v/>
      </c>
      <c r="Y14" s="236">
        <f>G14+P14</f>
        <v/>
      </c>
      <c r="Z14" s="236">
        <f>H14+Q14</f>
        <v/>
      </c>
      <c r="AA14" s="236">
        <f>Y14+Z14</f>
        <v/>
      </c>
      <c r="AB14" s="234">
        <f>AA14-X14</f>
        <v/>
      </c>
      <c r="AC14" s="237">
        <f>IF(X14=0,"",AA14/X14)</f>
        <v/>
      </c>
      <c r="AD14" s="44" t="n"/>
      <c r="AE14" s="233" t="n"/>
      <c r="AF14" s="233" t="n"/>
      <c r="AG14" s="233">
        <f>AE14+AF14</f>
        <v/>
      </c>
      <c r="AH14" s="233" t="n"/>
      <c r="AI14" s="233" t="n"/>
      <c r="AJ14" s="233">
        <f>AH14+AI14</f>
        <v/>
      </c>
      <c r="AK14" s="238">
        <f>AJ14-AG14</f>
        <v/>
      </c>
      <c r="AL14" s="235">
        <f>IF(AG14=0,"",AJ14/AG14)</f>
        <v/>
      </c>
      <c r="AM14" s="42" t="n"/>
      <c r="AN14" s="236">
        <f>V14+AE14</f>
        <v/>
      </c>
      <c r="AO14" s="236">
        <f>W14+AF14</f>
        <v/>
      </c>
      <c r="AP14" s="236">
        <f>AN14+AO14</f>
        <v/>
      </c>
      <c r="AQ14" s="236">
        <f>Y14+AH14</f>
        <v/>
      </c>
      <c r="AR14" s="236">
        <f>Z14+AI14</f>
        <v/>
      </c>
      <c r="AS14" s="236">
        <f>AQ14+AR14</f>
        <v/>
      </c>
      <c r="AT14" s="234">
        <f>AS14-AP14</f>
        <v/>
      </c>
      <c r="AU14" s="237">
        <f>IF(AP14=0,"",AS14/AP14)</f>
        <v/>
      </c>
      <c r="AV14" s="44" t="n"/>
      <c r="AW14" s="233" t="n"/>
      <c r="AX14" s="233" t="n"/>
      <c r="AY14" s="233">
        <f>AW14+AX14</f>
        <v/>
      </c>
      <c r="AZ14" s="233" t="n"/>
      <c r="BA14" s="233" t="n"/>
      <c r="BB14" s="233">
        <f>AZ14+BA14</f>
        <v/>
      </c>
      <c r="BC14" s="238">
        <f>BB14-AY14</f>
        <v/>
      </c>
      <c r="BD14" s="235">
        <f>IF(AY14=0,"",BB14/AY14)</f>
        <v/>
      </c>
      <c r="BE14" s="26" t="n"/>
      <c r="BF14" s="236">
        <f>AN14+AW14</f>
        <v/>
      </c>
      <c r="BG14" s="236">
        <f>AO14+AX14</f>
        <v/>
      </c>
      <c r="BH14" s="236">
        <f>BF14+BG14</f>
        <v/>
      </c>
      <c r="BI14" s="236">
        <f>AQ14+AZ14</f>
        <v/>
      </c>
      <c r="BJ14" s="236">
        <f>AR14+BA14</f>
        <v/>
      </c>
      <c r="BK14" s="236">
        <f>BI14+BJ14</f>
        <v/>
      </c>
      <c r="BL14" s="239">
        <f>BK14-BH14</f>
        <v/>
      </c>
      <c r="BM14" s="237">
        <f>IF(BH14=0,"",BK14/BH14)</f>
        <v/>
      </c>
      <c r="BN14" s="33" t="n"/>
      <c r="BO14" s="233" t="n"/>
      <c r="BP14" s="233" t="n"/>
      <c r="BQ14" s="233">
        <f>BO14+BP14</f>
        <v/>
      </c>
      <c r="BR14" s="233" t="n"/>
      <c r="BS14" s="233" t="n"/>
      <c r="BT14" s="233">
        <f>BR14+BS14</f>
        <v/>
      </c>
      <c r="BU14" s="238">
        <f>BT14-BQ14</f>
        <v/>
      </c>
      <c r="BV14" s="235">
        <f>IF(BQ14=0,"",BT14/BQ14)</f>
        <v/>
      </c>
      <c r="BW14" s="26" t="n"/>
      <c r="BX14" s="236">
        <f>BF14+BO14</f>
        <v/>
      </c>
      <c r="BY14" s="236">
        <f>BG14+BP14</f>
        <v/>
      </c>
      <c r="BZ14" s="236">
        <f>BX14+BY14</f>
        <v/>
      </c>
      <c r="CA14" s="236">
        <f>BI14+BR14</f>
        <v/>
      </c>
      <c r="CB14" s="236">
        <f>BJ14+BS14</f>
        <v/>
      </c>
      <c r="CC14" s="236">
        <f>CA14+CB14</f>
        <v/>
      </c>
      <c r="CD14" s="239">
        <f>CC14-BZ14</f>
        <v/>
      </c>
      <c r="CE14" s="237">
        <f>IF(BZ14=0,"",CC14/BZ14)</f>
        <v/>
      </c>
      <c r="CF14" s="33" t="n"/>
      <c r="CG14" s="233" t="n"/>
      <c r="CH14" s="233" t="n"/>
      <c r="CI14" s="233">
        <f>CG14+CH14</f>
        <v/>
      </c>
      <c r="CJ14" s="233" t="n"/>
      <c r="CK14" s="233" t="n"/>
      <c r="CL14" s="233">
        <f>CJ14+CK14</f>
        <v/>
      </c>
      <c r="CM14" s="238">
        <f>CL14-CI14</f>
        <v/>
      </c>
      <c r="CN14" s="235">
        <f>IF(CI14=0,"",CL14/CI14)</f>
        <v/>
      </c>
      <c r="CO14" s="26" t="n"/>
      <c r="CP14" s="236">
        <f>BX14+CG14</f>
        <v/>
      </c>
      <c r="CQ14" s="236">
        <f>BY14+CH14</f>
        <v/>
      </c>
      <c r="CR14" s="236">
        <f>CP14+CQ14</f>
        <v/>
      </c>
      <c r="CS14" s="236">
        <f>CA14+CJ14</f>
        <v/>
      </c>
      <c r="CT14" s="236">
        <f>CB14+CK14</f>
        <v/>
      </c>
      <c r="CU14" s="236">
        <f>CS14+CT14</f>
        <v/>
      </c>
      <c r="CV14" s="239">
        <f>CU14-CR14</f>
        <v/>
      </c>
      <c r="CW14" s="237">
        <f>IF(CR14=0,"",CU14/CR14)</f>
        <v/>
      </c>
      <c r="CX14" s="33" t="n"/>
      <c r="CY14" s="233" t="n"/>
      <c r="CZ14" s="233" t="n"/>
      <c r="DA14" s="233">
        <f>CY14+CZ14</f>
        <v/>
      </c>
      <c r="DB14" s="233" t="n"/>
      <c r="DC14" s="233" t="n"/>
      <c r="DD14" s="233">
        <f>DB14+DC14</f>
        <v/>
      </c>
      <c r="DE14" s="238">
        <f>DD14-DA14</f>
        <v/>
      </c>
      <c r="DF14" s="235">
        <f>IF(DA14=0,"",DD14/DA14)</f>
        <v/>
      </c>
      <c r="DG14" s="26" t="n"/>
      <c r="DH14" s="236">
        <f>CP14+CY14</f>
        <v/>
      </c>
      <c r="DI14" s="236">
        <f>CQ14+CZ14</f>
        <v/>
      </c>
      <c r="DJ14" s="236">
        <f>DH14+DI14</f>
        <v/>
      </c>
      <c r="DK14" s="236">
        <f>CS14+DB14</f>
        <v/>
      </c>
      <c r="DL14" s="236">
        <f>CT14+DC14</f>
        <v/>
      </c>
      <c r="DM14" s="236">
        <f>DK14+DL14</f>
        <v/>
      </c>
      <c r="DN14" s="239">
        <f>DM14-DJ14</f>
        <v/>
      </c>
      <c r="DO14" s="237">
        <f>IF(DJ14=0,"",DM14/DJ14)</f>
        <v/>
      </c>
      <c r="DP14" s="33" t="n"/>
      <c r="DQ14" s="233" t="n"/>
      <c r="DR14" s="233" t="n"/>
      <c r="DS14" s="233">
        <f>DQ14+DR14</f>
        <v/>
      </c>
      <c r="DT14" s="233" t="n"/>
      <c r="DU14" s="233" t="n"/>
      <c r="DV14" s="233">
        <f>DT14+DU14</f>
        <v/>
      </c>
      <c r="DW14" s="238">
        <f>DV14-DS14</f>
        <v/>
      </c>
      <c r="DX14" s="235">
        <f>IF(DS14=0,"",DV14/DS14)</f>
        <v/>
      </c>
      <c r="DY14" s="26" t="n"/>
      <c r="DZ14" s="236">
        <f>DH14+DQ14</f>
        <v/>
      </c>
      <c r="EA14" s="236">
        <f>DI14+DR14</f>
        <v/>
      </c>
      <c r="EB14" s="236">
        <f>DZ14+EA14</f>
        <v/>
      </c>
      <c r="EC14" s="236">
        <f>DK14+DT14</f>
        <v/>
      </c>
      <c r="ED14" s="236">
        <f>DL14+DU14</f>
        <v/>
      </c>
      <c r="EE14" s="236">
        <f>EC14+ED14</f>
        <v/>
      </c>
      <c r="EF14" s="239">
        <f>EE14-EB14</f>
        <v/>
      </c>
      <c r="EG14" s="237">
        <f>IF(EB14=0,"",EE14/EB14)</f>
        <v/>
      </c>
      <c r="EH14" s="33" t="n"/>
      <c r="EI14" s="233" t="n"/>
      <c r="EJ14" s="233" t="n"/>
      <c r="EK14" s="233">
        <f>EI14+EJ14</f>
        <v/>
      </c>
      <c r="EL14" s="233" t="n"/>
      <c r="EM14" s="233" t="n"/>
      <c r="EN14" s="233">
        <f>EL14+EM14</f>
        <v/>
      </c>
      <c r="EO14" s="238">
        <f>EN14-EK14</f>
        <v/>
      </c>
      <c r="EP14" s="235">
        <f>IF(EK14=0,"",EN14/EK14)</f>
        <v/>
      </c>
      <c r="EQ14" s="26" t="n"/>
      <c r="ER14" s="236">
        <f>DZ14+EI14</f>
        <v/>
      </c>
      <c r="ES14" s="236">
        <f>EA14+EJ14</f>
        <v/>
      </c>
      <c r="ET14" s="236">
        <f>ER14+ES14</f>
        <v/>
      </c>
      <c r="EU14" s="236">
        <f>EC14+EL14</f>
        <v/>
      </c>
      <c r="EV14" s="236">
        <f>ED14+EM14</f>
        <v/>
      </c>
      <c r="EW14" s="236">
        <f>EU14+EV14</f>
        <v/>
      </c>
      <c r="EX14" s="239">
        <f>EW14-ET14</f>
        <v/>
      </c>
      <c r="EY14" s="237">
        <f>IF(ET14=0,"",EW14/ET14)</f>
        <v/>
      </c>
      <c r="EZ14" s="33" t="n"/>
      <c r="FA14" s="233" t="n"/>
      <c r="FB14" s="233" t="n"/>
      <c r="FC14" s="233">
        <f>FA14+FB14</f>
        <v/>
      </c>
      <c r="FD14" s="233" t="n"/>
      <c r="FE14" s="233" t="n"/>
      <c r="FF14" s="233">
        <f>FD14+FE14</f>
        <v/>
      </c>
      <c r="FG14" s="238">
        <f>FF14-FC14</f>
        <v/>
      </c>
      <c r="FH14" s="235">
        <f>IF(FC14=0,"",FF14/FC14)</f>
        <v/>
      </c>
      <c r="FI14" s="26" t="n"/>
      <c r="FJ14" s="236">
        <f>ER14+FA14</f>
        <v/>
      </c>
      <c r="FK14" s="236">
        <f>ES14+FB14</f>
        <v/>
      </c>
      <c r="FL14" s="236">
        <f>FJ14+FK14</f>
        <v/>
      </c>
      <c r="FM14" s="236">
        <f>EU14+FD14</f>
        <v/>
      </c>
      <c r="FN14" s="236">
        <f>EV14+FE14</f>
        <v/>
      </c>
      <c r="FO14" s="236">
        <f>FM14+FN14</f>
        <v/>
      </c>
      <c r="FP14" s="239">
        <f>FO14-FL14</f>
        <v/>
      </c>
      <c r="FQ14" s="237">
        <f>IF(FL14=0,"",FO14/FL14)</f>
        <v/>
      </c>
      <c r="FR14" s="33" t="n"/>
      <c r="FS14" s="233" t="n"/>
      <c r="FT14" s="233" t="n"/>
      <c r="FU14" s="233">
        <f>FS14+FT14</f>
        <v/>
      </c>
      <c r="FV14" s="233" t="n"/>
      <c r="FW14" s="233" t="n"/>
      <c r="FX14" s="233">
        <f>FV14+FW14</f>
        <v/>
      </c>
      <c r="FY14" s="238">
        <f>FX14-FU14</f>
        <v/>
      </c>
      <c r="FZ14" s="235">
        <f>IF(FU14=0,"",FX14/FU14)</f>
        <v/>
      </c>
      <c r="GA14" s="26" t="n"/>
      <c r="GB14" s="236">
        <f>FJ14+FS14</f>
        <v/>
      </c>
      <c r="GC14" s="236">
        <f>FK14+FT14</f>
        <v/>
      </c>
      <c r="GD14" s="236">
        <f>GB14+GC14</f>
        <v/>
      </c>
      <c r="GE14" s="236">
        <f>FM14+FV14</f>
        <v/>
      </c>
      <c r="GF14" s="236">
        <f>FN14+FW14</f>
        <v/>
      </c>
      <c r="GG14" s="236">
        <f>GE14+GF14</f>
        <v/>
      </c>
      <c r="GH14" s="239">
        <f>GG14-GD14</f>
        <v/>
      </c>
      <c r="GI14" s="237">
        <f>IF(GD14=0,"",GG14/GD14)</f>
        <v/>
      </c>
      <c r="GJ14" s="33" t="n"/>
      <c r="GK14" s="233" t="n"/>
      <c r="GL14" s="233" t="n"/>
      <c r="GM14" s="233">
        <f>GK14+GL14</f>
        <v/>
      </c>
      <c r="GN14" s="233" t="n"/>
      <c r="GO14" s="233" t="n"/>
      <c r="GP14" s="233">
        <f>GN14+GO14</f>
        <v/>
      </c>
      <c r="GQ14" s="238">
        <f>GP14-GM14</f>
        <v/>
      </c>
      <c r="GR14" s="235">
        <f>IF(GM14=0,"",GP14/GM14)</f>
        <v/>
      </c>
      <c r="GS14" s="26" t="n"/>
      <c r="GT14" s="236">
        <f>GB14+GK14</f>
        <v/>
      </c>
      <c r="GU14" s="236">
        <f>GC14+GL14</f>
        <v/>
      </c>
      <c r="GV14" s="236">
        <f>GT14+GU14</f>
        <v/>
      </c>
      <c r="GW14" s="236">
        <f>GE14+GN14</f>
        <v/>
      </c>
      <c r="GX14" s="236">
        <f>GF14+GO14</f>
        <v/>
      </c>
      <c r="GY14" s="236">
        <f>GW14+GX14</f>
        <v/>
      </c>
      <c r="GZ14" s="239">
        <f>GY14-GV14</f>
        <v/>
      </c>
      <c r="HA14" s="237">
        <f>IF(GV14=0,"",GY14/GV14)</f>
        <v/>
      </c>
      <c r="HB14" s="33" t="n"/>
      <c r="HC14" s="233">
        <f>GT14</f>
        <v/>
      </c>
      <c r="HD14" s="233">
        <f>GU14</f>
        <v/>
      </c>
      <c r="HE14" s="233">
        <f>HC14+HD14</f>
        <v/>
      </c>
    </row>
    <row r="15" outlineLevel="1" ht="24" customHeight="1" s="150">
      <c r="A15" s="26" t="n"/>
      <c r="B15" s="26" t="n"/>
      <c r="C15" s="26" t="n"/>
      <c r="D15" s="233" t="n"/>
      <c r="E15" s="233" t="n"/>
      <c r="F15" s="233">
        <f>D15+E15</f>
        <v/>
      </c>
      <c r="G15" s="233" t="n"/>
      <c r="H15" s="233" t="n"/>
      <c r="I15" s="233">
        <f>G15+H15</f>
        <v/>
      </c>
      <c r="J15" s="234">
        <f>I15-F15</f>
        <v/>
      </c>
      <c r="K15" s="235">
        <f>IF(F15=0,"",I15/F15)</f>
        <v/>
      </c>
      <c r="L15" s="42" t="n"/>
      <c r="M15" s="233" t="n"/>
      <c r="N15" s="233" t="n"/>
      <c r="O15" s="233">
        <f>M15+N15</f>
        <v/>
      </c>
      <c r="P15" s="233" t="n"/>
      <c r="Q15" s="233" t="n"/>
      <c r="R15" s="233">
        <f>P15+Q15</f>
        <v/>
      </c>
      <c r="S15" s="234">
        <f>R15-O15</f>
        <v/>
      </c>
      <c r="T15" s="235">
        <f>IF(O15=0,"",R15/O15)</f>
        <v/>
      </c>
      <c r="U15" s="26" t="n"/>
      <c r="V15" s="236">
        <f>D15+M15</f>
        <v/>
      </c>
      <c r="W15" s="236">
        <f>E15+N15</f>
        <v/>
      </c>
      <c r="X15" s="236">
        <f>V15+W15</f>
        <v/>
      </c>
      <c r="Y15" s="236">
        <f>G15+P15</f>
        <v/>
      </c>
      <c r="Z15" s="236">
        <f>H15+Q15</f>
        <v/>
      </c>
      <c r="AA15" s="236">
        <f>Y15+Z15</f>
        <v/>
      </c>
      <c r="AB15" s="234">
        <f>AA15-X15</f>
        <v/>
      </c>
      <c r="AC15" s="237">
        <f>IF(X15=0,"",AA15/X15)</f>
        <v/>
      </c>
      <c r="AD15" s="33" t="n"/>
      <c r="AE15" s="233" t="n"/>
      <c r="AF15" s="233" t="n"/>
      <c r="AG15" s="233">
        <f>AE15+AF15</f>
        <v/>
      </c>
      <c r="AH15" s="233" t="n"/>
      <c r="AI15" s="233" t="n"/>
      <c r="AJ15" s="233">
        <f>AH15+AI15</f>
        <v/>
      </c>
      <c r="AK15" s="234">
        <f>AJ15-AG15</f>
        <v/>
      </c>
      <c r="AL15" s="235">
        <f>IF(AG15=0,"",AJ15/AG15)</f>
        <v/>
      </c>
      <c r="AM15" s="26" t="n"/>
      <c r="AN15" s="236">
        <f>V15+AE15</f>
        <v/>
      </c>
      <c r="AO15" s="236">
        <f>W15+AF15</f>
        <v/>
      </c>
      <c r="AP15" s="236">
        <f>AN15+AO15</f>
        <v/>
      </c>
      <c r="AQ15" s="236">
        <f>Y15+AH15</f>
        <v/>
      </c>
      <c r="AR15" s="236">
        <f>Z15+AI15</f>
        <v/>
      </c>
      <c r="AS15" s="236">
        <f>AQ15+AR15</f>
        <v/>
      </c>
      <c r="AT15" s="234">
        <f>AS15-AP15</f>
        <v/>
      </c>
      <c r="AU15" s="237">
        <f>IF(AP15=0,"",AS15/AP15)</f>
        <v/>
      </c>
      <c r="AV15" s="33" t="n"/>
      <c r="AW15" s="233" t="n"/>
      <c r="AX15" s="233" t="n"/>
      <c r="AY15" s="233">
        <f>AW15+AX15</f>
        <v/>
      </c>
      <c r="AZ15" s="233" t="n"/>
      <c r="BA15" s="233" t="n"/>
      <c r="BB15" s="233">
        <f>AZ15+BA15</f>
        <v/>
      </c>
      <c r="BC15" s="238">
        <f>BB15-AY15</f>
        <v/>
      </c>
      <c r="BD15" s="235">
        <f>IF(AY15=0,"",BB15/AY15)</f>
        <v/>
      </c>
      <c r="BE15" s="26" t="n"/>
      <c r="BF15" s="236">
        <f>AN15+AW15</f>
        <v/>
      </c>
      <c r="BG15" s="236">
        <f>AO15+AX15</f>
        <v/>
      </c>
      <c r="BH15" s="236">
        <f>BF15+BG15</f>
        <v/>
      </c>
      <c r="BI15" s="236">
        <f>AQ15+AZ15</f>
        <v/>
      </c>
      <c r="BJ15" s="236">
        <f>AR15+BA15</f>
        <v/>
      </c>
      <c r="BK15" s="236">
        <f>BI15+BJ15</f>
        <v/>
      </c>
      <c r="BL15" s="239">
        <f>BK15-BH15</f>
        <v/>
      </c>
      <c r="BM15" s="237">
        <f>IF(BH15=0,"",BK15/BH15)</f>
        <v/>
      </c>
      <c r="BN15" s="33" t="n"/>
      <c r="BO15" s="233" t="n"/>
      <c r="BP15" s="233" t="n"/>
      <c r="BQ15" s="233">
        <f>BO15+BP15</f>
        <v/>
      </c>
      <c r="BR15" s="233" t="n"/>
      <c r="BS15" s="233" t="n"/>
      <c r="BT15" s="233">
        <f>BR15+BS15</f>
        <v/>
      </c>
      <c r="BU15" s="238">
        <f>BT15-BQ15</f>
        <v/>
      </c>
      <c r="BV15" s="235">
        <f>IF(BQ15=0,"",BT15/BQ15)</f>
        <v/>
      </c>
      <c r="BW15" s="26" t="n"/>
      <c r="BX15" s="236">
        <f>BF15+BO15</f>
        <v/>
      </c>
      <c r="BY15" s="236">
        <f>BG15+BP15</f>
        <v/>
      </c>
      <c r="BZ15" s="236">
        <f>BX15+BY15</f>
        <v/>
      </c>
      <c r="CA15" s="236">
        <f>BI15+BR15</f>
        <v/>
      </c>
      <c r="CB15" s="236">
        <f>BJ15+BS15</f>
        <v/>
      </c>
      <c r="CC15" s="236">
        <f>CA15+CB15</f>
        <v/>
      </c>
      <c r="CD15" s="239">
        <f>CC15-BZ15</f>
        <v/>
      </c>
      <c r="CE15" s="237">
        <f>IF(BZ15=0,"",CC15/BZ15)</f>
        <v/>
      </c>
      <c r="CF15" s="33" t="n"/>
      <c r="CG15" s="233" t="n"/>
      <c r="CH15" s="233" t="n"/>
      <c r="CI15" s="233">
        <f>CG15+CH15</f>
        <v/>
      </c>
      <c r="CJ15" s="233" t="n"/>
      <c r="CK15" s="233" t="n"/>
      <c r="CL15" s="233">
        <f>CJ15+CK15</f>
        <v/>
      </c>
      <c r="CM15" s="238">
        <f>CL15-CI15</f>
        <v/>
      </c>
      <c r="CN15" s="235">
        <f>IF(CI15=0,"",CL15/CI15)</f>
        <v/>
      </c>
      <c r="CO15" s="26" t="n"/>
      <c r="CP15" s="236">
        <f>BX15+CG15</f>
        <v/>
      </c>
      <c r="CQ15" s="236">
        <f>BY15+CH15</f>
        <v/>
      </c>
      <c r="CR15" s="236">
        <f>CP15+CQ15</f>
        <v/>
      </c>
      <c r="CS15" s="236">
        <f>CA15+CJ15</f>
        <v/>
      </c>
      <c r="CT15" s="236">
        <f>CB15+CK15</f>
        <v/>
      </c>
      <c r="CU15" s="236">
        <f>CS15+CT15</f>
        <v/>
      </c>
      <c r="CV15" s="239">
        <f>CU15-CR15</f>
        <v/>
      </c>
      <c r="CW15" s="237">
        <f>IF(CR15=0,"",CU15/CR15)</f>
        <v/>
      </c>
      <c r="CX15" s="33" t="n"/>
      <c r="CY15" s="233" t="n"/>
      <c r="CZ15" s="233" t="n"/>
      <c r="DA15" s="233">
        <f>CY15+CZ15</f>
        <v/>
      </c>
      <c r="DB15" s="233" t="n"/>
      <c r="DC15" s="233" t="n"/>
      <c r="DD15" s="233">
        <f>DB15+DC15</f>
        <v/>
      </c>
      <c r="DE15" s="238">
        <f>DD15-DA15</f>
        <v/>
      </c>
      <c r="DF15" s="235">
        <f>IF(DA15=0,"",DD15/DA15)</f>
        <v/>
      </c>
      <c r="DG15" s="26" t="n"/>
      <c r="DH15" s="236">
        <f>CP15+CY15</f>
        <v/>
      </c>
      <c r="DI15" s="236">
        <f>CQ15+CZ15</f>
        <v/>
      </c>
      <c r="DJ15" s="236">
        <f>DH15+DI15</f>
        <v/>
      </c>
      <c r="DK15" s="236">
        <f>CS15+DB15</f>
        <v/>
      </c>
      <c r="DL15" s="236">
        <f>CT15+DC15</f>
        <v/>
      </c>
      <c r="DM15" s="236">
        <f>DK15+DL15</f>
        <v/>
      </c>
      <c r="DN15" s="239">
        <f>DM15-DJ15</f>
        <v/>
      </c>
      <c r="DO15" s="237">
        <f>IF(DJ15=0,"",DM15/DJ15)</f>
        <v/>
      </c>
      <c r="DP15" s="33" t="n"/>
      <c r="DQ15" s="233" t="n"/>
      <c r="DR15" s="233" t="n"/>
      <c r="DS15" s="233">
        <f>DQ15+DR15</f>
        <v/>
      </c>
      <c r="DT15" s="233" t="n"/>
      <c r="DU15" s="233" t="n"/>
      <c r="DV15" s="233">
        <f>DT15+DU15</f>
        <v/>
      </c>
      <c r="DW15" s="238">
        <f>DV15-DS15</f>
        <v/>
      </c>
      <c r="DX15" s="235">
        <f>IF(DS15=0,"",DV15/DS15)</f>
        <v/>
      </c>
      <c r="DY15" s="26" t="n"/>
      <c r="DZ15" s="236">
        <f>DH15+DQ15</f>
        <v/>
      </c>
      <c r="EA15" s="236">
        <f>DI15+DR15</f>
        <v/>
      </c>
      <c r="EB15" s="236">
        <f>DZ15+EA15</f>
        <v/>
      </c>
      <c r="EC15" s="236">
        <f>DK15+DT15</f>
        <v/>
      </c>
      <c r="ED15" s="236">
        <f>DL15+DU15</f>
        <v/>
      </c>
      <c r="EE15" s="236">
        <f>EC15+ED15</f>
        <v/>
      </c>
      <c r="EF15" s="239">
        <f>EE15-EB15</f>
        <v/>
      </c>
      <c r="EG15" s="237">
        <f>IF(EB15=0,"",EE15/EB15)</f>
        <v/>
      </c>
      <c r="EH15" s="33" t="n"/>
      <c r="EI15" s="233" t="n"/>
      <c r="EJ15" s="233" t="n"/>
      <c r="EK15" s="233">
        <f>EI15+EJ15</f>
        <v/>
      </c>
      <c r="EL15" s="233" t="n"/>
      <c r="EM15" s="233" t="n"/>
      <c r="EN15" s="233">
        <f>EL15+EM15</f>
        <v/>
      </c>
      <c r="EO15" s="238">
        <f>EN15-EK15</f>
        <v/>
      </c>
      <c r="EP15" s="235">
        <f>IF(EK15=0,"",EN15/EK15)</f>
        <v/>
      </c>
      <c r="EQ15" s="26" t="n"/>
      <c r="ER15" s="236">
        <f>DZ15+EI15</f>
        <v/>
      </c>
      <c r="ES15" s="236">
        <f>EA15+EJ15</f>
        <v/>
      </c>
      <c r="ET15" s="236">
        <f>ER15+ES15</f>
        <v/>
      </c>
      <c r="EU15" s="236">
        <f>EC15+EL15</f>
        <v/>
      </c>
      <c r="EV15" s="236">
        <f>ED15+EM15</f>
        <v/>
      </c>
      <c r="EW15" s="236">
        <f>EU15+EV15</f>
        <v/>
      </c>
      <c r="EX15" s="239">
        <f>EW15-ET15</f>
        <v/>
      </c>
      <c r="EY15" s="237">
        <f>IF(ET15=0,"",EW15/ET15)</f>
        <v/>
      </c>
      <c r="EZ15" s="33" t="n"/>
      <c r="FA15" s="233" t="n"/>
      <c r="FB15" s="233" t="n"/>
      <c r="FC15" s="233">
        <f>FA15+FB15</f>
        <v/>
      </c>
      <c r="FD15" s="233" t="n"/>
      <c r="FE15" s="233" t="n"/>
      <c r="FF15" s="233">
        <f>FD15+FE15</f>
        <v/>
      </c>
      <c r="FG15" s="238">
        <f>FF15-FC15</f>
        <v/>
      </c>
      <c r="FH15" s="235">
        <f>IF(FC15=0,"",FF15/FC15)</f>
        <v/>
      </c>
      <c r="FI15" s="26" t="n"/>
      <c r="FJ15" s="236">
        <f>ER15+FA15</f>
        <v/>
      </c>
      <c r="FK15" s="236">
        <f>ES15+FB15</f>
        <v/>
      </c>
      <c r="FL15" s="236">
        <f>FJ15+FK15</f>
        <v/>
      </c>
      <c r="FM15" s="236">
        <f>EU15+FD15</f>
        <v/>
      </c>
      <c r="FN15" s="236">
        <f>EV15+FE15</f>
        <v/>
      </c>
      <c r="FO15" s="236">
        <f>FM15+FN15</f>
        <v/>
      </c>
      <c r="FP15" s="239">
        <f>FO15-FL15</f>
        <v/>
      </c>
      <c r="FQ15" s="237">
        <f>IF(FL15=0,"",FO15/FL15)</f>
        <v/>
      </c>
      <c r="FR15" s="33" t="n"/>
      <c r="FS15" s="233" t="n"/>
      <c r="FT15" s="233" t="n"/>
      <c r="FU15" s="233">
        <f>FS15+FT15</f>
        <v/>
      </c>
      <c r="FV15" s="233" t="n"/>
      <c r="FW15" s="233" t="n"/>
      <c r="FX15" s="233">
        <f>FV15+FW15</f>
        <v/>
      </c>
      <c r="FY15" s="238">
        <f>FX15-FU15</f>
        <v/>
      </c>
      <c r="FZ15" s="235">
        <f>IF(FU15=0,"",FX15/FU15)</f>
        <v/>
      </c>
      <c r="GA15" s="26" t="n"/>
      <c r="GB15" s="236">
        <f>FJ15+FS15</f>
        <v/>
      </c>
      <c r="GC15" s="236">
        <f>FK15+FT15</f>
        <v/>
      </c>
      <c r="GD15" s="236">
        <f>GB15+GC15</f>
        <v/>
      </c>
      <c r="GE15" s="236">
        <f>FM15+FV15</f>
        <v/>
      </c>
      <c r="GF15" s="236">
        <f>FN15+FW15</f>
        <v/>
      </c>
      <c r="GG15" s="236">
        <f>GE15+GF15</f>
        <v/>
      </c>
      <c r="GH15" s="239">
        <f>GG15-GD15</f>
        <v/>
      </c>
      <c r="GI15" s="237">
        <f>IF(GD15=0,"",GG15/GD15)</f>
        <v/>
      </c>
      <c r="GJ15" s="33" t="n"/>
      <c r="GK15" s="233" t="n"/>
      <c r="GL15" s="233" t="n"/>
      <c r="GM15" s="233">
        <f>GK15+GL15</f>
        <v/>
      </c>
      <c r="GN15" s="233" t="n"/>
      <c r="GO15" s="233" t="n"/>
      <c r="GP15" s="233">
        <f>GN15+GO15</f>
        <v/>
      </c>
      <c r="GQ15" s="238">
        <f>GP15-GM15</f>
        <v/>
      </c>
      <c r="GR15" s="235">
        <f>IF(GM15=0,"",GP15/GM15)</f>
        <v/>
      </c>
      <c r="GS15" s="26" t="n"/>
      <c r="GT15" s="236">
        <f>GB15+GK15</f>
        <v/>
      </c>
      <c r="GU15" s="236">
        <f>GC15+GL15</f>
        <v/>
      </c>
      <c r="GV15" s="236">
        <f>GT15+GU15</f>
        <v/>
      </c>
      <c r="GW15" s="236">
        <f>GE15+GN15</f>
        <v/>
      </c>
      <c r="GX15" s="236">
        <f>GF15+GO15</f>
        <v/>
      </c>
      <c r="GY15" s="236">
        <f>GW15+GX15</f>
        <v/>
      </c>
      <c r="GZ15" s="239">
        <f>GY15-GV15</f>
        <v/>
      </c>
      <c r="HA15" s="237">
        <f>IF(GV15=0,"",GY15/GV15)</f>
        <v/>
      </c>
      <c r="HB15" s="33" t="n"/>
      <c r="HC15" s="233">
        <f>GT15</f>
        <v/>
      </c>
      <c r="HD15" s="233">
        <f>GU15</f>
        <v/>
      </c>
      <c r="HE15" s="233">
        <f>HC15+HD15</f>
        <v/>
      </c>
    </row>
    <row r="16" ht="15" customHeight="1" s="150">
      <c r="A16" s="18" t="n"/>
      <c r="B16" s="18" t="n"/>
      <c r="C16" s="18" t="n"/>
      <c r="D16" s="227">
        <f>D17</f>
        <v/>
      </c>
      <c r="E16" s="227">
        <f>E17</f>
        <v/>
      </c>
      <c r="F16" s="227">
        <f>D16+E16</f>
        <v/>
      </c>
      <c r="G16" s="227">
        <f>G17</f>
        <v/>
      </c>
      <c r="H16" s="227">
        <f>H17</f>
        <v/>
      </c>
      <c r="I16" s="227">
        <f>G16+H16</f>
        <v/>
      </c>
      <c r="J16" s="228">
        <f>I16-F16</f>
        <v/>
      </c>
      <c r="K16" s="229">
        <f>IF(F16=0,"",I16/F16)</f>
        <v/>
      </c>
      <c r="L16" s="18" t="n"/>
      <c r="M16" s="227">
        <f>M17</f>
        <v/>
      </c>
      <c r="N16" s="227">
        <f>N17</f>
        <v/>
      </c>
      <c r="O16" s="227">
        <f>M16+N16</f>
        <v/>
      </c>
      <c r="P16" s="227">
        <f>P17</f>
        <v/>
      </c>
      <c r="Q16" s="227">
        <f>Q17</f>
        <v/>
      </c>
      <c r="R16" s="227">
        <f>P16+Q16</f>
        <v/>
      </c>
      <c r="S16" s="228">
        <f>R16-O16</f>
        <v/>
      </c>
      <c r="T16" s="229">
        <f>IF(O16=0,"",R16/O16)</f>
        <v/>
      </c>
      <c r="U16" s="18" t="n"/>
      <c r="V16" s="230">
        <f>V17</f>
        <v/>
      </c>
      <c r="W16" s="230">
        <f>W17</f>
        <v/>
      </c>
      <c r="X16" s="230">
        <f>V16+W16</f>
        <v/>
      </c>
      <c r="Y16" s="230">
        <f>Y17</f>
        <v/>
      </c>
      <c r="Z16" s="230">
        <f>Z17</f>
        <v/>
      </c>
      <c r="AA16" s="230">
        <f>Y16+Z16</f>
        <v/>
      </c>
      <c r="AB16" s="231">
        <f>AA16-X16</f>
        <v/>
      </c>
      <c r="AC16" s="232">
        <f>IF(X16=0,"",AA16/X16)</f>
        <v/>
      </c>
      <c r="AD16" s="25" t="n"/>
      <c r="AE16" s="227">
        <f>AE17</f>
        <v/>
      </c>
      <c r="AF16" s="227">
        <f>AF17</f>
        <v/>
      </c>
      <c r="AG16" s="227">
        <f>AE16+AF16</f>
        <v/>
      </c>
      <c r="AH16" s="227">
        <f>AH17</f>
        <v/>
      </c>
      <c r="AI16" s="227">
        <f>AI17</f>
        <v/>
      </c>
      <c r="AJ16" s="227">
        <f>AH16+AI16</f>
        <v/>
      </c>
      <c r="AK16" s="228">
        <f>AJ16-AG16</f>
        <v/>
      </c>
      <c r="AL16" s="229">
        <f>IF(AG16=0,"",AJ16/AG16)</f>
        <v/>
      </c>
      <c r="AM16" s="18" t="n"/>
      <c r="AN16" s="230">
        <f>AN17</f>
        <v/>
      </c>
      <c r="AO16" s="230">
        <f>AO17</f>
        <v/>
      </c>
      <c r="AP16" s="230">
        <f>AN16+AO16</f>
        <v/>
      </c>
      <c r="AQ16" s="230">
        <f>AQ17</f>
        <v/>
      </c>
      <c r="AR16" s="230">
        <f>AR17</f>
        <v/>
      </c>
      <c r="AS16" s="230">
        <f>AQ16+AR16</f>
        <v/>
      </c>
      <c r="AT16" s="231">
        <f>AS16-AP16</f>
        <v/>
      </c>
      <c r="AU16" s="232">
        <f>IF(AP16=0,"",AS16/AP16)</f>
        <v/>
      </c>
      <c r="AV16" s="25" t="n"/>
      <c r="AW16" s="227">
        <f>AW17</f>
        <v/>
      </c>
      <c r="AX16" s="227">
        <f>AX17</f>
        <v/>
      </c>
      <c r="AY16" s="227">
        <f>AW16+AX16</f>
        <v/>
      </c>
      <c r="AZ16" s="227">
        <f>AZ17</f>
        <v/>
      </c>
      <c r="BA16" s="227">
        <f>BA17</f>
        <v/>
      </c>
      <c r="BB16" s="227">
        <f>AZ16+BA16</f>
        <v/>
      </c>
      <c r="BC16" s="228">
        <f>BB16-AY16</f>
        <v/>
      </c>
      <c r="BD16" s="229">
        <f>IF(AY16=0,"",BB16/AY16)</f>
        <v/>
      </c>
      <c r="BE16" s="18" t="n"/>
      <c r="BF16" s="230">
        <f>BF17</f>
        <v/>
      </c>
      <c r="BG16" s="230">
        <f>BG17</f>
        <v/>
      </c>
      <c r="BH16" s="230">
        <f>BF16+BG16</f>
        <v/>
      </c>
      <c r="BI16" s="230">
        <f>BI17</f>
        <v/>
      </c>
      <c r="BJ16" s="230">
        <f>BJ17</f>
        <v/>
      </c>
      <c r="BK16" s="230">
        <f>BI16+BJ16</f>
        <v/>
      </c>
      <c r="BL16" s="231">
        <f>BK16-BH16</f>
        <v/>
      </c>
      <c r="BM16" s="232">
        <f>IF(BH16=0,"",BK16/BH16)</f>
        <v/>
      </c>
      <c r="BN16" s="25" t="n"/>
      <c r="BO16" s="227">
        <f>BO17</f>
        <v/>
      </c>
      <c r="BP16" s="227">
        <f>BP17</f>
        <v/>
      </c>
      <c r="BQ16" s="227">
        <f>BO16+BP16</f>
        <v/>
      </c>
      <c r="BR16" s="227">
        <f>BR17</f>
        <v/>
      </c>
      <c r="BS16" s="227">
        <f>BS17</f>
        <v/>
      </c>
      <c r="BT16" s="227">
        <f>BR16+BS16</f>
        <v/>
      </c>
      <c r="BU16" s="228">
        <f>BT16-BQ16</f>
        <v/>
      </c>
      <c r="BV16" s="229">
        <f>IF(BQ16=0,"",BT16/BQ16)</f>
        <v/>
      </c>
      <c r="BW16" s="18" t="n"/>
      <c r="BX16" s="230">
        <f>BX17</f>
        <v/>
      </c>
      <c r="BY16" s="230">
        <f>BY17</f>
        <v/>
      </c>
      <c r="BZ16" s="230">
        <f>BX16+BY16</f>
        <v/>
      </c>
      <c r="CA16" s="230">
        <f>CA17</f>
        <v/>
      </c>
      <c r="CB16" s="230">
        <f>CB17</f>
        <v/>
      </c>
      <c r="CC16" s="230">
        <f>CA16+CB16</f>
        <v/>
      </c>
      <c r="CD16" s="231">
        <f>CC16-BZ16</f>
        <v/>
      </c>
      <c r="CE16" s="232">
        <f>IF(BZ16=0,"",CC16/BZ16)</f>
        <v/>
      </c>
      <c r="CF16" s="25" t="n"/>
      <c r="CG16" s="227">
        <f>CG17</f>
        <v/>
      </c>
      <c r="CH16" s="227">
        <f>CH17</f>
        <v/>
      </c>
      <c r="CI16" s="227">
        <f>CG16+CH16</f>
        <v/>
      </c>
      <c r="CJ16" s="227">
        <f>CJ17</f>
        <v/>
      </c>
      <c r="CK16" s="227">
        <f>CK17</f>
        <v/>
      </c>
      <c r="CL16" s="227">
        <f>CJ16+CK16</f>
        <v/>
      </c>
      <c r="CM16" s="228">
        <f>CL16-CI16</f>
        <v/>
      </c>
      <c r="CN16" s="229">
        <f>IF(CI16=0,"",CL16/CI16)</f>
        <v/>
      </c>
      <c r="CO16" s="18" t="n"/>
      <c r="CP16" s="230">
        <f>CP17</f>
        <v/>
      </c>
      <c r="CQ16" s="230">
        <f>CQ17</f>
        <v/>
      </c>
      <c r="CR16" s="230">
        <f>CP16+CQ16</f>
        <v/>
      </c>
      <c r="CS16" s="230">
        <f>CS17</f>
        <v/>
      </c>
      <c r="CT16" s="230">
        <f>CT17</f>
        <v/>
      </c>
      <c r="CU16" s="230">
        <f>CS16+CT16</f>
        <v/>
      </c>
      <c r="CV16" s="231">
        <f>CU16-CR16</f>
        <v/>
      </c>
      <c r="CW16" s="232">
        <f>IF(CR16=0,"",CU16/CR16)</f>
        <v/>
      </c>
      <c r="CX16" s="25" t="n"/>
      <c r="CY16" s="227">
        <f>CY17</f>
        <v/>
      </c>
      <c r="CZ16" s="227">
        <f>CZ17</f>
        <v/>
      </c>
      <c r="DA16" s="227">
        <f>CY16+CZ16</f>
        <v/>
      </c>
      <c r="DB16" s="227">
        <f>DB17</f>
        <v/>
      </c>
      <c r="DC16" s="227">
        <f>DC17</f>
        <v/>
      </c>
      <c r="DD16" s="227">
        <f>DB16+DC16</f>
        <v/>
      </c>
      <c r="DE16" s="228">
        <f>DD16-DA16</f>
        <v/>
      </c>
      <c r="DF16" s="229">
        <f>IF(DA16=0,"",DD16/DA16)</f>
        <v/>
      </c>
      <c r="DG16" s="18" t="n"/>
      <c r="DH16" s="230">
        <f>DH17</f>
        <v/>
      </c>
      <c r="DI16" s="230">
        <f>DI17</f>
        <v/>
      </c>
      <c r="DJ16" s="230">
        <f>DH16+DI16</f>
        <v/>
      </c>
      <c r="DK16" s="230">
        <f>DK17</f>
        <v/>
      </c>
      <c r="DL16" s="230">
        <f>DL17</f>
        <v/>
      </c>
      <c r="DM16" s="230">
        <f>DK16+DL16</f>
        <v/>
      </c>
      <c r="DN16" s="231">
        <f>DM16-DJ16</f>
        <v/>
      </c>
      <c r="DO16" s="232">
        <f>IF(DJ16=0,"",DM16/DJ16)</f>
        <v/>
      </c>
      <c r="DP16" s="25" t="n"/>
      <c r="DQ16" s="227">
        <f>DQ17</f>
        <v/>
      </c>
      <c r="DR16" s="227">
        <f>DR17</f>
        <v/>
      </c>
      <c r="DS16" s="227">
        <f>DQ16+DR16</f>
        <v/>
      </c>
      <c r="DT16" s="227">
        <f>DT17</f>
        <v/>
      </c>
      <c r="DU16" s="227">
        <f>DU17</f>
        <v/>
      </c>
      <c r="DV16" s="227">
        <f>DT16+DU16</f>
        <v/>
      </c>
      <c r="DW16" s="228">
        <f>DV16-DS16</f>
        <v/>
      </c>
      <c r="DX16" s="229">
        <f>IF(DS16=0,"",DV16/DS16)</f>
        <v/>
      </c>
      <c r="DY16" s="18" t="n"/>
      <c r="DZ16" s="230">
        <f>DZ17</f>
        <v/>
      </c>
      <c r="EA16" s="230">
        <f>EA17</f>
        <v/>
      </c>
      <c r="EB16" s="230">
        <f>DZ16+EA16</f>
        <v/>
      </c>
      <c r="EC16" s="230">
        <f>EC17</f>
        <v/>
      </c>
      <c r="ED16" s="230">
        <f>ED17</f>
        <v/>
      </c>
      <c r="EE16" s="230">
        <f>EC16+ED16</f>
        <v/>
      </c>
      <c r="EF16" s="231">
        <f>EE16-EB16</f>
        <v/>
      </c>
      <c r="EG16" s="232">
        <f>IF(EB16=0,"",EE16/EB16)</f>
        <v/>
      </c>
      <c r="EH16" s="25" t="n"/>
      <c r="EI16" s="227">
        <f>EI17</f>
        <v/>
      </c>
      <c r="EJ16" s="227">
        <f>EJ17</f>
        <v/>
      </c>
      <c r="EK16" s="227">
        <f>EI16+EJ16</f>
        <v/>
      </c>
      <c r="EL16" s="227">
        <f>EL17</f>
        <v/>
      </c>
      <c r="EM16" s="227">
        <f>EM17</f>
        <v/>
      </c>
      <c r="EN16" s="227">
        <f>EL16+EM16</f>
        <v/>
      </c>
      <c r="EO16" s="228">
        <f>EN16-EK16</f>
        <v/>
      </c>
      <c r="EP16" s="229">
        <f>IF(EK16=0,"",EN16/EK16)</f>
        <v/>
      </c>
      <c r="EQ16" s="18" t="n"/>
      <c r="ER16" s="230">
        <f>ER17</f>
        <v/>
      </c>
      <c r="ES16" s="230">
        <f>ES17</f>
        <v/>
      </c>
      <c r="ET16" s="230">
        <f>ER16+ES16</f>
        <v/>
      </c>
      <c r="EU16" s="230">
        <f>EU17</f>
        <v/>
      </c>
      <c r="EV16" s="230">
        <f>EV17</f>
        <v/>
      </c>
      <c r="EW16" s="230">
        <f>EU16+EV16</f>
        <v/>
      </c>
      <c r="EX16" s="231">
        <f>EW16-ET16</f>
        <v/>
      </c>
      <c r="EY16" s="232">
        <f>IF(ET16=0,"",EW16/ET16)</f>
        <v/>
      </c>
      <c r="EZ16" s="25" t="n"/>
      <c r="FA16" s="227">
        <f>FA17</f>
        <v/>
      </c>
      <c r="FB16" s="227">
        <f>FB17</f>
        <v/>
      </c>
      <c r="FC16" s="227">
        <f>FA16+FB16</f>
        <v/>
      </c>
      <c r="FD16" s="227">
        <f>FD17</f>
        <v/>
      </c>
      <c r="FE16" s="227">
        <f>FE17</f>
        <v/>
      </c>
      <c r="FF16" s="227">
        <f>FD16+FE16</f>
        <v/>
      </c>
      <c r="FG16" s="228">
        <f>FF16-FC16</f>
        <v/>
      </c>
      <c r="FH16" s="229">
        <f>IF(FC16=0,"",FF16/FC16)</f>
        <v/>
      </c>
      <c r="FI16" s="18" t="n"/>
      <c r="FJ16" s="230">
        <f>FJ17</f>
        <v/>
      </c>
      <c r="FK16" s="230">
        <f>FK17</f>
        <v/>
      </c>
      <c r="FL16" s="230">
        <f>FJ16+FK16</f>
        <v/>
      </c>
      <c r="FM16" s="230">
        <f>FM17</f>
        <v/>
      </c>
      <c r="FN16" s="230">
        <f>FN17</f>
        <v/>
      </c>
      <c r="FO16" s="230">
        <f>FM16+FN16</f>
        <v/>
      </c>
      <c r="FP16" s="231">
        <f>FO16-FL16</f>
        <v/>
      </c>
      <c r="FQ16" s="232">
        <f>IF(FL16=0,"",FO16/FL16)</f>
        <v/>
      </c>
      <c r="FR16" s="25" t="n"/>
      <c r="FS16" s="227">
        <f>FS17</f>
        <v/>
      </c>
      <c r="FT16" s="227">
        <f>FT17</f>
        <v/>
      </c>
      <c r="FU16" s="227">
        <f>FS16+FT16</f>
        <v/>
      </c>
      <c r="FV16" s="227">
        <f>FV17</f>
        <v/>
      </c>
      <c r="FW16" s="227">
        <f>FW17</f>
        <v/>
      </c>
      <c r="FX16" s="227">
        <f>FV16+FW16</f>
        <v/>
      </c>
      <c r="FY16" s="228">
        <f>FX16-FU16</f>
        <v/>
      </c>
      <c r="FZ16" s="229">
        <f>IF(FU16=0,"",FX16/FU16)</f>
        <v/>
      </c>
      <c r="GA16" s="18" t="n"/>
      <c r="GB16" s="230">
        <f>GB17</f>
        <v/>
      </c>
      <c r="GC16" s="230">
        <f>GC17</f>
        <v/>
      </c>
      <c r="GD16" s="230">
        <f>GB16+GC16</f>
        <v/>
      </c>
      <c r="GE16" s="230">
        <f>GE17</f>
        <v/>
      </c>
      <c r="GF16" s="230">
        <f>GF17</f>
        <v/>
      </c>
      <c r="GG16" s="230">
        <f>GE16+GF16</f>
        <v/>
      </c>
      <c r="GH16" s="231">
        <f>GG16-GD16</f>
        <v/>
      </c>
      <c r="GI16" s="232">
        <f>IF(GD16=0,"",GG16/GD16)</f>
        <v/>
      </c>
      <c r="GJ16" s="25" t="n"/>
      <c r="GK16" s="227">
        <f>GK17</f>
        <v/>
      </c>
      <c r="GL16" s="227">
        <f>GL17</f>
        <v/>
      </c>
      <c r="GM16" s="227">
        <f>GK16+GL16</f>
        <v/>
      </c>
      <c r="GN16" s="227">
        <f>GN17</f>
        <v/>
      </c>
      <c r="GO16" s="227">
        <f>GO17</f>
        <v/>
      </c>
      <c r="GP16" s="227">
        <f>GN16+GO16</f>
        <v/>
      </c>
      <c r="GQ16" s="228">
        <f>GP16-GM16</f>
        <v/>
      </c>
      <c r="GR16" s="229">
        <f>IF(GM16=0,"",GP16/GM16)</f>
        <v/>
      </c>
      <c r="GS16" s="18" t="n"/>
      <c r="GT16" s="230">
        <f>GT17</f>
        <v/>
      </c>
      <c r="GU16" s="230">
        <f>GU17</f>
        <v/>
      </c>
      <c r="GV16" s="230">
        <f>GT16+GU16</f>
        <v/>
      </c>
      <c r="GW16" s="230">
        <f>GW17</f>
        <v/>
      </c>
      <c r="GX16" s="230">
        <f>GX17</f>
        <v/>
      </c>
      <c r="GY16" s="230">
        <f>GW16+GX16</f>
        <v/>
      </c>
      <c r="GZ16" s="231">
        <f>GY16-GV16</f>
        <v/>
      </c>
      <c r="HA16" s="232">
        <f>IF(GV16=0,"",GY16/GV16)</f>
        <v/>
      </c>
      <c r="HB16" s="25" t="n"/>
      <c r="HC16" s="227">
        <f>GT16</f>
        <v/>
      </c>
      <c r="HD16" s="227">
        <f>GU16</f>
        <v/>
      </c>
      <c r="HE16" s="227">
        <f>HC16+HD16</f>
        <v/>
      </c>
    </row>
    <row r="17" outlineLevel="1" ht="15" customHeight="1" s="150">
      <c r="A17" s="26" t="n"/>
      <c r="B17" s="26" t="n"/>
      <c r="C17" s="26" t="n"/>
      <c r="D17" s="233" t="n"/>
      <c r="E17" s="233" t="n"/>
      <c r="F17" s="233">
        <f>D17+E17</f>
        <v/>
      </c>
      <c r="G17" s="233" t="n"/>
      <c r="H17" s="233" t="n"/>
      <c r="I17" s="233">
        <f>G17+H17</f>
        <v/>
      </c>
      <c r="J17" s="238">
        <f>I17-F17</f>
        <v/>
      </c>
      <c r="K17" s="235">
        <f>IF(F17=0,"",I17/F17)</f>
        <v/>
      </c>
      <c r="L17" s="26" t="n"/>
      <c r="M17" s="233" t="n"/>
      <c r="N17" s="233" t="n"/>
      <c r="O17" s="233">
        <f>M17+N17</f>
        <v/>
      </c>
      <c r="P17" s="233" t="n"/>
      <c r="Q17" s="233" t="n"/>
      <c r="R17" s="233">
        <f>P17+Q17</f>
        <v/>
      </c>
      <c r="S17" s="238">
        <f>R17-O17</f>
        <v/>
      </c>
      <c r="T17" s="235">
        <f>IF(O17=0,"",R17/O17)</f>
        <v/>
      </c>
      <c r="U17" s="26" t="n"/>
      <c r="V17" s="236">
        <f>D17+M17</f>
        <v/>
      </c>
      <c r="W17" s="236">
        <f>E17+N17</f>
        <v/>
      </c>
      <c r="X17" s="236">
        <f>V17+W17</f>
        <v/>
      </c>
      <c r="Y17" s="236">
        <f>G17+P17</f>
        <v/>
      </c>
      <c r="Z17" s="236">
        <f>H17+Q17</f>
        <v/>
      </c>
      <c r="AA17" s="236">
        <f>Y17+Z17</f>
        <v/>
      </c>
      <c r="AB17" s="239">
        <f>AA17-X17</f>
        <v/>
      </c>
      <c r="AC17" s="237">
        <f>IF(X17=0,"",AA17/X17)</f>
        <v/>
      </c>
      <c r="AD17" s="33" t="n"/>
      <c r="AE17" s="233" t="n"/>
      <c r="AF17" s="233" t="n"/>
      <c r="AG17" s="233">
        <f>AE17+AF17</f>
        <v/>
      </c>
      <c r="AH17" s="233" t="n"/>
      <c r="AI17" s="233" t="n"/>
      <c r="AJ17" s="233">
        <f>AH17+AI17</f>
        <v/>
      </c>
      <c r="AK17" s="238">
        <f>AJ17-AG17</f>
        <v/>
      </c>
      <c r="AL17" s="235">
        <f>IF(AG17=0,"",AJ17/AG17)</f>
        <v/>
      </c>
      <c r="AM17" s="26" t="n"/>
      <c r="AN17" s="236">
        <f>V17+AE17</f>
        <v/>
      </c>
      <c r="AO17" s="236">
        <f>W17+AF17</f>
        <v/>
      </c>
      <c r="AP17" s="236">
        <f>AN17+AO17</f>
        <v/>
      </c>
      <c r="AQ17" s="236">
        <f>Y17+AH17</f>
        <v/>
      </c>
      <c r="AR17" s="236">
        <f>Z17+AI17</f>
        <v/>
      </c>
      <c r="AS17" s="236">
        <f>AQ17+AR17</f>
        <v/>
      </c>
      <c r="AT17" s="239">
        <f>AS17-AP17</f>
        <v/>
      </c>
      <c r="AU17" s="237">
        <f>IF(AP17=0,"",AS17/AP17)</f>
        <v/>
      </c>
      <c r="AV17" s="33" t="n"/>
      <c r="AW17" s="233" t="n"/>
      <c r="AX17" s="233" t="n"/>
      <c r="AY17" s="233">
        <f>AW17+AX17</f>
        <v/>
      </c>
      <c r="AZ17" s="233" t="n"/>
      <c r="BA17" s="233" t="n"/>
      <c r="BB17" s="233">
        <f>AZ17+BA17</f>
        <v/>
      </c>
      <c r="BC17" s="238">
        <f>BB17-AY17</f>
        <v/>
      </c>
      <c r="BD17" s="235">
        <f>IF(AY17=0,"",BB17/AY17)</f>
        <v/>
      </c>
      <c r="BE17" s="26" t="n"/>
      <c r="BF17" s="236">
        <f>AN17+AW17</f>
        <v/>
      </c>
      <c r="BG17" s="236">
        <f>AO17+AX17</f>
        <v/>
      </c>
      <c r="BH17" s="236">
        <f>BF17+BG17</f>
        <v/>
      </c>
      <c r="BI17" s="236">
        <f>AQ17+AZ17</f>
        <v/>
      </c>
      <c r="BJ17" s="236">
        <f>AR17+BA17</f>
        <v/>
      </c>
      <c r="BK17" s="236">
        <f>BI17+BJ17</f>
        <v/>
      </c>
      <c r="BL17" s="239">
        <f>BK17-BH17</f>
        <v/>
      </c>
      <c r="BM17" s="237">
        <f>IF(BH17=0,"",BK17/BH17)</f>
        <v/>
      </c>
      <c r="BN17" s="33" t="n"/>
      <c r="BO17" s="233" t="n"/>
      <c r="BP17" s="233" t="n"/>
      <c r="BQ17" s="233">
        <f>BO17+BP17</f>
        <v/>
      </c>
      <c r="BR17" s="233" t="n"/>
      <c r="BS17" s="233" t="n"/>
      <c r="BT17" s="233">
        <f>BR17+BS17</f>
        <v/>
      </c>
      <c r="BU17" s="238">
        <f>BT17-BQ17</f>
        <v/>
      </c>
      <c r="BV17" s="235">
        <f>IF(BQ17=0,"",BT17/BQ17)</f>
        <v/>
      </c>
      <c r="BW17" s="26" t="n"/>
      <c r="BX17" s="236">
        <f>BF17+BO17</f>
        <v/>
      </c>
      <c r="BY17" s="236">
        <f>BG17+BP17</f>
        <v/>
      </c>
      <c r="BZ17" s="236">
        <f>BX17+BY17</f>
        <v/>
      </c>
      <c r="CA17" s="236">
        <f>BI17+BR17</f>
        <v/>
      </c>
      <c r="CB17" s="236">
        <f>BJ17+BS17</f>
        <v/>
      </c>
      <c r="CC17" s="236">
        <f>CA17+CB17</f>
        <v/>
      </c>
      <c r="CD17" s="239">
        <f>CC17-BZ17</f>
        <v/>
      </c>
      <c r="CE17" s="237">
        <f>IF(BZ17=0,"",CC17/BZ17)</f>
        <v/>
      </c>
      <c r="CF17" s="33" t="n"/>
      <c r="CG17" s="233" t="n"/>
      <c r="CH17" s="233" t="n"/>
      <c r="CI17" s="233">
        <f>CG17+CH17</f>
        <v/>
      </c>
      <c r="CJ17" s="233" t="n"/>
      <c r="CK17" s="233" t="n"/>
      <c r="CL17" s="233">
        <f>CJ17+CK17</f>
        <v/>
      </c>
      <c r="CM17" s="238">
        <f>CL17-CI17</f>
        <v/>
      </c>
      <c r="CN17" s="235">
        <f>IF(CI17=0,"",CL17/CI17)</f>
        <v/>
      </c>
      <c r="CO17" s="26" t="n"/>
      <c r="CP17" s="236">
        <f>BX17+CG17</f>
        <v/>
      </c>
      <c r="CQ17" s="236">
        <f>BY17+CH17</f>
        <v/>
      </c>
      <c r="CR17" s="236">
        <f>CP17+CQ17</f>
        <v/>
      </c>
      <c r="CS17" s="236">
        <f>CA17+CJ17</f>
        <v/>
      </c>
      <c r="CT17" s="236">
        <f>CB17+CK17</f>
        <v/>
      </c>
      <c r="CU17" s="236">
        <f>CS17+CT17</f>
        <v/>
      </c>
      <c r="CV17" s="239">
        <f>CU17-CR17</f>
        <v/>
      </c>
      <c r="CW17" s="237">
        <f>IF(CR17=0,"",CU17/CR17)</f>
        <v/>
      </c>
      <c r="CX17" s="33" t="n"/>
      <c r="CY17" s="233" t="n"/>
      <c r="CZ17" s="233" t="n"/>
      <c r="DA17" s="233">
        <f>CY17+CZ17</f>
        <v/>
      </c>
      <c r="DB17" s="233" t="n"/>
      <c r="DC17" s="233" t="n"/>
      <c r="DD17" s="233">
        <f>DB17+DC17</f>
        <v/>
      </c>
      <c r="DE17" s="238">
        <f>DD17-DA17</f>
        <v/>
      </c>
      <c r="DF17" s="235">
        <f>IF(DA17=0,"",DD17/DA17)</f>
        <v/>
      </c>
      <c r="DG17" s="26" t="n"/>
      <c r="DH17" s="236">
        <f>CP17+CY17</f>
        <v/>
      </c>
      <c r="DI17" s="236">
        <f>CQ17+CZ17</f>
        <v/>
      </c>
      <c r="DJ17" s="236">
        <f>DH17+DI17</f>
        <v/>
      </c>
      <c r="DK17" s="236">
        <f>CS17+DB17</f>
        <v/>
      </c>
      <c r="DL17" s="236">
        <f>CT17+DC17</f>
        <v/>
      </c>
      <c r="DM17" s="236">
        <f>DK17+DL17</f>
        <v/>
      </c>
      <c r="DN17" s="239">
        <f>DM17-DJ17</f>
        <v/>
      </c>
      <c r="DO17" s="237">
        <f>IF(DJ17=0,"",DM17/DJ17)</f>
        <v/>
      </c>
      <c r="DP17" s="33" t="n"/>
      <c r="DQ17" s="233" t="n"/>
      <c r="DR17" s="233" t="n"/>
      <c r="DS17" s="233">
        <f>DQ17+DR17</f>
        <v/>
      </c>
      <c r="DT17" s="233" t="n"/>
      <c r="DU17" s="233" t="n"/>
      <c r="DV17" s="233">
        <f>DT17+DU17</f>
        <v/>
      </c>
      <c r="DW17" s="238">
        <f>DV17-DS17</f>
        <v/>
      </c>
      <c r="DX17" s="235">
        <f>IF(DS17=0,"",DV17/DS17)</f>
        <v/>
      </c>
      <c r="DY17" s="26" t="n"/>
      <c r="DZ17" s="236">
        <f>DH17+DQ17</f>
        <v/>
      </c>
      <c r="EA17" s="236">
        <f>DI17+DR17</f>
        <v/>
      </c>
      <c r="EB17" s="236">
        <f>DZ17+EA17</f>
        <v/>
      </c>
      <c r="EC17" s="236">
        <f>DK17+DT17</f>
        <v/>
      </c>
      <c r="ED17" s="236">
        <f>DL17+DU17</f>
        <v/>
      </c>
      <c r="EE17" s="236">
        <f>EC17+ED17</f>
        <v/>
      </c>
      <c r="EF17" s="239">
        <f>EE17-EB17</f>
        <v/>
      </c>
      <c r="EG17" s="237">
        <f>IF(EB17=0,"",EE17/EB17)</f>
        <v/>
      </c>
      <c r="EH17" s="33" t="n"/>
      <c r="EI17" s="233" t="n"/>
      <c r="EJ17" s="233" t="n"/>
      <c r="EK17" s="233">
        <f>EI17+EJ17</f>
        <v/>
      </c>
      <c r="EL17" s="233" t="n"/>
      <c r="EM17" s="233" t="n"/>
      <c r="EN17" s="233">
        <f>EL17+EM17</f>
        <v/>
      </c>
      <c r="EO17" s="238">
        <f>EN17-EK17</f>
        <v/>
      </c>
      <c r="EP17" s="235">
        <f>IF(EK17=0,"",EN17/EK17)</f>
        <v/>
      </c>
      <c r="EQ17" s="26" t="n"/>
      <c r="ER17" s="236">
        <f>DZ17+EI17</f>
        <v/>
      </c>
      <c r="ES17" s="236">
        <f>EA17+EJ17</f>
        <v/>
      </c>
      <c r="ET17" s="236">
        <f>ER17+ES17</f>
        <v/>
      </c>
      <c r="EU17" s="236">
        <f>EC17+EL17</f>
        <v/>
      </c>
      <c r="EV17" s="236">
        <f>ED17+EM17</f>
        <v/>
      </c>
      <c r="EW17" s="236">
        <f>EU17+EV17</f>
        <v/>
      </c>
      <c r="EX17" s="239">
        <f>EW17-ET17</f>
        <v/>
      </c>
      <c r="EY17" s="237">
        <f>IF(ET17=0,"",EW17/ET17)</f>
        <v/>
      </c>
      <c r="EZ17" s="33" t="n"/>
      <c r="FA17" s="233" t="n"/>
      <c r="FB17" s="233" t="n"/>
      <c r="FC17" s="233">
        <f>FA17+FB17</f>
        <v/>
      </c>
      <c r="FD17" s="233" t="n"/>
      <c r="FE17" s="233" t="n"/>
      <c r="FF17" s="233">
        <f>FD17+FE17</f>
        <v/>
      </c>
      <c r="FG17" s="238">
        <f>FF17-FC17</f>
        <v/>
      </c>
      <c r="FH17" s="235">
        <f>IF(FC17=0,"",FF17/FC17)</f>
        <v/>
      </c>
      <c r="FI17" s="26" t="n"/>
      <c r="FJ17" s="236">
        <f>ER17+FA17</f>
        <v/>
      </c>
      <c r="FK17" s="236">
        <f>ES17+FB17</f>
        <v/>
      </c>
      <c r="FL17" s="236">
        <f>FJ17+FK17</f>
        <v/>
      </c>
      <c r="FM17" s="236">
        <f>EU17+FD17</f>
        <v/>
      </c>
      <c r="FN17" s="236">
        <f>EV17+FE17</f>
        <v/>
      </c>
      <c r="FO17" s="236">
        <f>FM17+FN17</f>
        <v/>
      </c>
      <c r="FP17" s="239">
        <f>FO17-FL17</f>
        <v/>
      </c>
      <c r="FQ17" s="237">
        <f>IF(FL17=0,"",FO17/FL17)</f>
        <v/>
      </c>
      <c r="FR17" s="33" t="n"/>
      <c r="FS17" s="233" t="n"/>
      <c r="FT17" s="233" t="n"/>
      <c r="FU17" s="233">
        <f>FS17+FT17</f>
        <v/>
      </c>
      <c r="FV17" s="233" t="n"/>
      <c r="FW17" s="233" t="n"/>
      <c r="FX17" s="233">
        <f>FV17+FW17</f>
        <v/>
      </c>
      <c r="FY17" s="238">
        <f>FX17-FU17</f>
        <v/>
      </c>
      <c r="FZ17" s="235">
        <f>IF(FU17=0,"",FX17/FU17)</f>
        <v/>
      </c>
      <c r="GA17" s="26" t="n"/>
      <c r="GB17" s="236">
        <f>FJ17+FS17</f>
        <v/>
      </c>
      <c r="GC17" s="236">
        <f>FK17+FT17</f>
        <v/>
      </c>
      <c r="GD17" s="236">
        <f>GB17+GC17</f>
        <v/>
      </c>
      <c r="GE17" s="236">
        <f>FM17+FV17</f>
        <v/>
      </c>
      <c r="GF17" s="236">
        <f>FN17+FW17</f>
        <v/>
      </c>
      <c r="GG17" s="236">
        <f>GE17+GF17</f>
        <v/>
      </c>
      <c r="GH17" s="239">
        <f>GG17-GD17</f>
        <v/>
      </c>
      <c r="GI17" s="237">
        <f>IF(GD17=0,"",GG17/GD17)</f>
        <v/>
      </c>
      <c r="GJ17" s="33" t="n"/>
      <c r="GK17" s="233" t="n"/>
      <c r="GL17" s="233" t="n"/>
      <c r="GM17" s="233">
        <f>GK17+GL17</f>
        <v/>
      </c>
      <c r="GN17" s="233" t="n"/>
      <c r="GO17" s="233" t="n"/>
      <c r="GP17" s="233">
        <f>GN17+GO17</f>
        <v/>
      </c>
      <c r="GQ17" s="238">
        <f>GP17-GM17</f>
        <v/>
      </c>
      <c r="GR17" s="235">
        <f>IF(GM17=0,"",GP17/GM17)</f>
        <v/>
      </c>
      <c r="GS17" s="26" t="n"/>
      <c r="GT17" s="236">
        <f>GB17+GK17</f>
        <v/>
      </c>
      <c r="GU17" s="236">
        <f>GC17+GL17</f>
        <v/>
      </c>
      <c r="GV17" s="236">
        <f>GT17+GU17</f>
        <v/>
      </c>
      <c r="GW17" s="236">
        <f>GE17+GN17</f>
        <v/>
      </c>
      <c r="GX17" s="236">
        <f>GF17+GO17</f>
        <v/>
      </c>
      <c r="GY17" s="236">
        <f>GW17+GX17</f>
        <v/>
      </c>
      <c r="GZ17" s="239">
        <f>GY17-GV17</f>
        <v/>
      </c>
      <c r="HA17" s="237">
        <f>IF(GV17=0,"",GY17/GV17)</f>
        <v/>
      </c>
      <c r="HB17" s="33" t="n"/>
      <c r="HC17" s="233">
        <f>GT17</f>
        <v/>
      </c>
      <c r="HD17" s="233">
        <f>GU17</f>
        <v/>
      </c>
      <c r="HE17" s="233">
        <f>HC17+HD17</f>
        <v/>
      </c>
    </row>
    <row r="18" ht="15" customHeight="1" s="150">
      <c r="A18" s="18" t="n"/>
      <c r="B18" s="18" t="n"/>
      <c r="C18" s="18" t="n"/>
      <c r="D18" s="227">
        <f>D19</f>
        <v/>
      </c>
      <c r="E18" s="227">
        <f>E19</f>
        <v/>
      </c>
      <c r="F18" s="227">
        <f>D18+E18</f>
        <v/>
      </c>
      <c r="G18" s="227">
        <f>G19</f>
        <v/>
      </c>
      <c r="H18" s="227">
        <f>H19</f>
        <v/>
      </c>
      <c r="I18" s="227">
        <f>G18+H18</f>
        <v/>
      </c>
      <c r="J18" s="228">
        <f>I18-F18</f>
        <v/>
      </c>
      <c r="K18" s="229">
        <f>IF(F18=0,"",I18/F18)</f>
        <v/>
      </c>
      <c r="L18" s="18" t="n"/>
      <c r="M18" s="227">
        <f>M19</f>
        <v/>
      </c>
      <c r="N18" s="227">
        <f>N19</f>
        <v/>
      </c>
      <c r="O18" s="227">
        <f>M18+N18</f>
        <v/>
      </c>
      <c r="P18" s="227">
        <f>P19</f>
        <v/>
      </c>
      <c r="Q18" s="227">
        <f>Q19</f>
        <v/>
      </c>
      <c r="R18" s="227">
        <f>P18+Q18</f>
        <v/>
      </c>
      <c r="S18" s="228">
        <f>R18-O18</f>
        <v/>
      </c>
      <c r="T18" s="229">
        <f>IF(O18=0,"",R18/O18)</f>
        <v/>
      </c>
      <c r="U18" s="18" t="n"/>
      <c r="V18" s="230">
        <f>V19</f>
        <v/>
      </c>
      <c r="W18" s="230">
        <f>W19</f>
        <v/>
      </c>
      <c r="X18" s="230">
        <f>V18+W18</f>
        <v/>
      </c>
      <c r="Y18" s="230">
        <f>Y19</f>
        <v/>
      </c>
      <c r="Z18" s="230">
        <f>Z19</f>
        <v/>
      </c>
      <c r="AA18" s="230">
        <f>Y18+Z18</f>
        <v/>
      </c>
      <c r="AB18" s="231">
        <f>AA18-X18</f>
        <v/>
      </c>
      <c r="AC18" s="232">
        <f>IF(X18=0,"",AA18/X18)</f>
        <v/>
      </c>
      <c r="AD18" s="25" t="n"/>
      <c r="AE18" s="227">
        <f>AE19</f>
        <v/>
      </c>
      <c r="AF18" s="227">
        <f>AF19</f>
        <v/>
      </c>
      <c r="AG18" s="227">
        <f>AE18+AF18</f>
        <v/>
      </c>
      <c r="AH18" s="227">
        <f>AH19</f>
        <v/>
      </c>
      <c r="AI18" s="227">
        <f>AI19</f>
        <v/>
      </c>
      <c r="AJ18" s="227">
        <f>AH18+AI18</f>
        <v/>
      </c>
      <c r="AK18" s="228">
        <f>AJ18-AG18</f>
        <v/>
      </c>
      <c r="AL18" s="229">
        <f>IF(AG18=0,"",AJ18/AG18)</f>
        <v/>
      </c>
      <c r="AM18" s="18" t="n"/>
      <c r="AN18" s="230">
        <f>AN19</f>
        <v/>
      </c>
      <c r="AO18" s="230">
        <f>AO19</f>
        <v/>
      </c>
      <c r="AP18" s="230">
        <f>AN18+AO18</f>
        <v/>
      </c>
      <c r="AQ18" s="230">
        <f>AQ19</f>
        <v/>
      </c>
      <c r="AR18" s="230">
        <f>AR19</f>
        <v/>
      </c>
      <c r="AS18" s="230">
        <f>AQ18+AR18</f>
        <v/>
      </c>
      <c r="AT18" s="231">
        <f>AS18-AP18</f>
        <v/>
      </c>
      <c r="AU18" s="232">
        <f>IF(AP18=0,"",AS18/AP18)</f>
        <v/>
      </c>
      <c r="AV18" s="25" t="n"/>
      <c r="AW18" s="227">
        <f>AW19</f>
        <v/>
      </c>
      <c r="AX18" s="227">
        <f>AX19</f>
        <v/>
      </c>
      <c r="AY18" s="227">
        <f>AW18+AX18</f>
        <v/>
      </c>
      <c r="AZ18" s="227">
        <f>AZ19</f>
        <v/>
      </c>
      <c r="BA18" s="227">
        <f>BA19</f>
        <v/>
      </c>
      <c r="BB18" s="227">
        <f>AZ18+BA18</f>
        <v/>
      </c>
      <c r="BC18" s="228">
        <f>BB18-AY18</f>
        <v/>
      </c>
      <c r="BD18" s="229">
        <f>IF(AY18=0,"",BB18/AY18)</f>
        <v/>
      </c>
      <c r="BE18" s="18" t="n"/>
      <c r="BF18" s="230">
        <f>BF19</f>
        <v/>
      </c>
      <c r="BG18" s="230">
        <f>BG19</f>
        <v/>
      </c>
      <c r="BH18" s="230">
        <f>BF18+BG18</f>
        <v/>
      </c>
      <c r="BI18" s="230">
        <f>BI19</f>
        <v/>
      </c>
      <c r="BJ18" s="230">
        <f>BJ19</f>
        <v/>
      </c>
      <c r="BK18" s="230">
        <f>BI18+BJ18</f>
        <v/>
      </c>
      <c r="BL18" s="231">
        <f>BK18-BH18</f>
        <v/>
      </c>
      <c r="BM18" s="232">
        <f>IF(BH18=0,"",BK18/BH18)</f>
        <v/>
      </c>
      <c r="BN18" s="25" t="n"/>
      <c r="BO18" s="227">
        <f>BO19</f>
        <v/>
      </c>
      <c r="BP18" s="227">
        <f>BP19</f>
        <v/>
      </c>
      <c r="BQ18" s="227">
        <f>BO18+BP18</f>
        <v/>
      </c>
      <c r="BR18" s="227">
        <f>BR19</f>
        <v/>
      </c>
      <c r="BS18" s="227">
        <f>BS19</f>
        <v/>
      </c>
      <c r="BT18" s="227">
        <f>BR18+BS18</f>
        <v/>
      </c>
      <c r="BU18" s="228">
        <f>BT18-BQ18</f>
        <v/>
      </c>
      <c r="BV18" s="229">
        <f>IF(BQ18=0,"",BT18/BQ18)</f>
        <v/>
      </c>
      <c r="BW18" s="18" t="n"/>
      <c r="BX18" s="230">
        <f>BX19</f>
        <v/>
      </c>
      <c r="BY18" s="230">
        <f>BY19</f>
        <v/>
      </c>
      <c r="BZ18" s="230">
        <f>BX18+BY18</f>
        <v/>
      </c>
      <c r="CA18" s="230">
        <f>CA19</f>
        <v/>
      </c>
      <c r="CB18" s="230">
        <f>CB19</f>
        <v/>
      </c>
      <c r="CC18" s="230">
        <f>CA18+CB18</f>
        <v/>
      </c>
      <c r="CD18" s="231">
        <f>CC18-BZ18</f>
        <v/>
      </c>
      <c r="CE18" s="232">
        <f>IF(BZ18=0,"",CC18/BZ18)</f>
        <v/>
      </c>
      <c r="CF18" s="25" t="n"/>
      <c r="CG18" s="227">
        <f>CG19</f>
        <v/>
      </c>
      <c r="CH18" s="227">
        <f>CH19</f>
        <v/>
      </c>
      <c r="CI18" s="227">
        <f>CG18+CH18</f>
        <v/>
      </c>
      <c r="CJ18" s="227">
        <f>CJ19</f>
        <v/>
      </c>
      <c r="CK18" s="227">
        <f>CK19</f>
        <v/>
      </c>
      <c r="CL18" s="227">
        <f>CJ18+CK18</f>
        <v/>
      </c>
      <c r="CM18" s="228">
        <f>CL18-CI18</f>
        <v/>
      </c>
      <c r="CN18" s="229">
        <f>IF(CI18=0,"",CL18/CI18)</f>
        <v/>
      </c>
      <c r="CO18" s="18" t="n"/>
      <c r="CP18" s="230">
        <f>CP19</f>
        <v/>
      </c>
      <c r="CQ18" s="230">
        <f>CQ19</f>
        <v/>
      </c>
      <c r="CR18" s="230">
        <f>CP18+CQ18</f>
        <v/>
      </c>
      <c r="CS18" s="230">
        <f>CS19</f>
        <v/>
      </c>
      <c r="CT18" s="230">
        <f>CT19</f>
        <v/>
      </c>
      <c r="CU18" s="230">
        <f>CS18+CT18</f>
        <v/>
      </c>
      <c r="CV18" s="231">
        <f>CU18-CR18</f>
        <v/>
      </c>
      <c r="CW18" s="232">
        <f>IF(CR18=0,"",CU18/CR18)</f>
        <v/>
      </c>
      <c r="CX18" s="25" t="n"/>
      <c r="CY18" s="227">
        <f>CY19</f>
        <v/>
      </c>
      <c r="CZ18" s="227">
        <f>CZ19</f>
        <v/>
      </c>
      <c r="DA18" s="227">
        <f>CY18+CZ18</f>
        <v/>
      </c>
      <c r="DB18" s="227">
        <f>DB19</f>
        <v/>
      </c>
      <c r="DC18" s="227">
        <f>DC19</f>
        <v/>
      </c>
      <c r="DD18" s="227">
        <f>DB18+DC18</f>
        <v/>
      </c>
      <c r="DE18" s="228">
        <f>DD18-DA18</f>
        <v/>
      </c>
      <c r="DF18" s="229">
        <f>IF(DA18=0,"",DD18/DA18)</f>
        <v/>
      </c>
      <c r="DG18" s="18" t="n"/>
      <c r="DH18" s="230">
        <f>DH19</f>
        <v/>
      </c>
      <c r="DI18" s="230">
        <f>DI19</f>
        <v/>
      </c>
      <c r="DJ18" s="230">
        <f>DH18+DI18</f>
        <v/>
      </c>
      <c r="DK18" s="230">
        <f>DK19</f>
        <v/>
      </c>
      <c r="DL18" s="230">
        <f>DL19</f>
        <v/>
      </c>
      <c r="DM18" s="230">
        <f>DK18+DL18</f>
        <v/>
      </c>
      <c r="DN18" s="231">
        <f>DM18-DJ18</f>
        <v/>
      </c>
      <c r="DO18" s="232">
        <f>IF(DJ18=0,"",DM18/DJ18)</f>
        <v/>
      </c>
      <c r="DP18" s="25" t="n"/>
      <c r="DQ18" s="227">
        <f>DQ19</f>
        <v/>
      </c>
      <c r="DR18" s="227">
        <f>DR19</f>
        <v/>
      </c>
      <c r="DS18" s="227">
        <f>DQ18+DR18</f>
        <v/>
      </c>
      <c r="DT18" s="227">
        <f>DT19</f>
        <v/>
      </c>
      <c r="DU18" s="227">
        <f>DU19</f>
        <v/>
      </c>
      <c r="DV18" s="227">
        <f>DT18+DU18</f>
        <v/>
      </c>
      <c r="DW18" s="228">
        <f>DV18-DS18</f>
        <v/>
      </c>
      <c r="DX18" s="229">
        <f>IF(DS18=0,"",DV18/DS18)</f>
        <v/>
      </c>
      <c r="DY18" s="18" t="n"/>
      <c r="DZ18" s="230">
        <f>DZ19</f>
        <v/>
      </c>
      <c r="EA18" s="230">
        <f>EA19</f>
        <v/>
      </c>
      <c r="EB18" s="230">
        <f>DZ18+EA18</f>
        <v/>
      </c>
      <c r="EC18" s="230">
        <f>EC19</f>
        <v/>
      </c>
      <c r="ED18" s="230">
        <f>ED19</f>
        <v/>
      </c>
      <c r="EE18" s="230">
        <f>EC18+ED18</f>
        <v/>
      </c>
      <c r="EF18" s="231">
        <f>EE18-EB18</f>
        <v/>
      </c>
      <c r="EG18" s="232">
        <f>IF(EB18=0,"",EE18/EB18)</f>
        <v/>
      </c>
      <c r="EH18" s="25" t="n"/>
      <c r="EI18" s="227">
        <f>EI19</f>
        <v/>
      </c>
      <c r="EJ18" s="227">
        <f>EJ19</f>
        <v/>
      </c>
      <c r="EK18" s="227">
        <f>EI18+EJ18</f>
        <v/>
      </c>
      <c r="EL18" s="227">
        <f>EL19</f>
        <v/>
      </c>
      <c r="EM18" s="227">
        <f>EM19</f>
        <v/>
      </c>
      <c r="EN18" s="227">
        <f>EL18+EM18</f>
        <v/>
      </c>
      <c r="EO18" s="228">
        <f>EN18-EK18</f>
        <v/>
      </c>
      <c r="EP18" s="229">
        <f>IF(EK18=0,"",EN18/EK18)</f>
        <v/>
      </c>
      <c r="EQ18" s="18" t="n"/>
      <c r="ER18" s="230">
        <f>ER19</f>
        <v/>
      </c>
      <c r="ES18" s="230">
        <f>ES19</f>
        <v/>
      </c>
      <c r="ET18" s="230">
        <f>ER18+ES18</f>
        <v/>
      </c>
      <c r="EU18" s="230">
        <f>EU19</f>
        <v/>
      </c>
      <c r="EV18" s="230">
        <f>EV19</f>
        <v/>
      </c>
      <c r="EW18" s="230">
        <f>EU18+EV18</f>
        <v/>
      </c>
      <c r="EX18" s="231">
        <f>EW18-ET18</f>
        <v/>
      </c>
      <c r="EY18" s="232">
        <f>IF(ET18=0,"",EW18/ET18)</f>
        <v/>
      </c>
      <c r="EZ18" s="25" t="n"/>
      <c r="FA18" s="227">
        <f>FA19</f>
        <v/>
      </c>
      <c r="FB18" s="227">
        <f>FB19</f>
        <v/>
      </c>
      <c r="FC18" s="227">
        <f>FA18+FB18</f>
        <v/>
      </c>
      <c r="FD18" s="227">
        <f>FD19</f>
        <v/>
      </c>
      <c r="FE18" s="227">
        <f>FE19</f>
        <v/>
      </c>
      <c r="FF18" s="227">
        <f>FD18+FE18</f>
        <v/>
      </c>
      <c r="FG18" s="228">
        <f>FF18-FC18</f>
        <v/>
      </c>
      <c r="FH18" s="229">
        <f>IF(FC18=0,"",FF18/FC18)</f>
        <v/>
      </c>
      <c r="FI18" s="18" t="n"/>
      <c r="FJ18" s="230">
        <f>FJ19</f>
        <v/>
      </c>
      <c r="FK18" s="230">
        <f>FK19</f>
        <v/>
      </c>
      <c r="FL18" s="230">
        <f>FJ18+FK18</f>
        <v/>
      </c>
      <c r="FM18" s="230">
        <f>FM19</f>
        <v/>
      </c>
      <c r="FN18" s="230">
        <f>FN19</f>
        <v/>
      </c>
      <c r="FO18" s="230">
        <f>FM18+FN18</f>
        <v/>
      </c>
      <c r="FP18" s="231">
        <f>FO18-FL18</f>
        <v/>
      </c>
      <c r="FQ18" s="232">
        <f>IF(FL18=0,"",FO18/FL18)</f>
        <v/>
      </c>
      <c r="FR18" s="25" t="n"/>
      <c r="FS18" s="227">
        <f>FS19</f>
        <v/>
      </c>
      <c r="FT18" s="227">
        <f>FT19</f>
        <v/>
      </c>
      <c r="FU18" s="227">
        <f>FS18+FT18</f>
        <v/>
      </c>
      <c r="FV18" s="227">
        <f>FV19</f>
        <v/>
      </c>
      <c r="FW18" s="227">
        <f>FW19</f>
        <v/>
      </c>
      <c r="FX18" s="227">
        <f>FV18+FW18</f>
        <v/>
      </c>
      <c r="FY18" s="228">
        <f>FX18-FU18</f>
        <v/>
      </c>
      <c r="FZ18" s="229">
        <f>IF(FU18=0,"",FX18/FU18)</f>
        <v/>
      </c>
      <c r="GA18" s="18" t="n"/>
      <c r="GB18" s="230">
        <f>GB19</f>
        <v/>
      </c>
      <c r="GC18" s="230">
        <f>GC19</f>
        <v/>
      </c>
      <c r="GD18" s="230">
        <f>GB18+GC18</f>
        <v/>
      </c>
      <c r="GE18" s="230">
        <f>GE19</f>
        <v/>
      </c>
      <c r="GF18" s="230">
        <f>GF19</f>
        <v/>
      </c>
      <c r="GG18" s="230">
        <f>GE18+GF18</f>
        <v/>
      </c>
      <c r="GH18" s="231">
        <f>GG18-GD18</f>
        <v/>
      </c>
      <c r="GI18" s="232">
        <f>IF(GD18=0,"",GG18/GD18)</f>
        <v/>
      </c>
      <c r="GJ18" s="25" t="n"/>
      <c r="GK18" s="227">
        <f>GK19</f>
        <v/>
      </c>
      <c r="GL18" s="227">
        <f>GL19</f>
        <v/>
      </c>
      <c r="GM18" s="227">
        <f>GK18+GL18</f>
        <v/>
      </c>
      <c r="GN18" s="227">
        <f>GN19</f>
        <v/>
      </c>
      <c r="GO18" s="227">
        <f>GO19</f>
        <v/>
      </c>
      <c r="GP18" s="227">
        <f>GN18+GO18</f>
        <v/>
      </c>
      <c r="GQ18" s="228">
        <f>GP18-GM18</f>
        <v/>
      </c>
      <c r="GR18" s="229">
        <f>IF(GM18=0,"",GP18/GM18)</f>
        <v/>
      </c>
      <c r="GS18" s="18" t="n"/>
      <c r="GT18" s="230">
        <f>GT19</f>
        <v/>
      </c>
      <c r="GU18" s="230">
        <f>GU19</f>
        <v/>
      </c>
      <c r="GV18" s="230">
        <f>GT18+GU18</f>
        <v/>
      </c>
      <c r="GW18" s="230">
        <f>GW19</f>
        <v/>
      </c>
      <c r="GX18" s="230">
        <f>GX19</f>
        <v/>
      </c>
      <c r="GY18" s="230">
        <f>GW18+GX18</f>
        <v/>
      </c>
      <c r="GZ18" s="231">
        <f>GY18-GV18</f>
        <v/>
      </c>
      <c r="HA18" s="232">
        <f>IF(GV18=0,"",GY18/GV18)</f>
        <v/>
      </c>
      <c r="HB18" s="25" t="n"/>
      <c r="HC18" s="227">
        <f>GT18</f>
        <v/>
      </c>
      <c r="HD18" s="227">
        <f>GU18</f>
        <v/>
      </c>
      <c r="HE18" s="227">
        <f>HC18+HD18</f>
        <v/>
      </c>
    </row>
    <row r="19" outlineLevel="1" ht="36" customHeight="1" s="150">
      <c r="A19" s="26" t="n"/>
      <c r="B19" s="26" t="n"/>
      <c r="C19" s="26" t="n"/>
      <c r="D19" s="233" t="n"/>
      <c r="E19" s="233" t="n"/>
      <c r="F19" s="233">
        <f>D19+E19</f>
        <v/>
      </c>
      <c r="G19" s="233" t="n"/>
      <c r="H19" s="233" t="n"/>
      <c r="I19" s="233">
        <f>G19+H19</f>
        <v/>
      </c>
      <c r="J19" s="234">
        <f>I19-F19</f>
        <v/>
      </c>
      <c r="K19" s="235">
        <f>IF(F19=0,"",I19/F19)</f>
        <v/>
      </c>
      <c r="L19" s="26" t="n"/>
      <c r="M19" s="233" t="n"/>
      <c r="N19" s="233" t="n"/>
      <c r="O19" s="233">
        <f>M19+N19</f>
        <v/>
      </c>
      <c r="P19" s="233" t="n"/>
      <c r="Q19" s="233" t="n"/>
      <c r="R19" s="233">
        <f>P19+Q19</f>
        <v/>
      </c>
      <c r="S19" s="234">
        <f>R19-O19</f>
        <v/>
      </c>
      <c r="T19" s="235">
        <f>IF(O19=0,"",R19/O19)</f>
        <v/>
      </c>
      <c r="U19" s="26" t="n"/>
      <c r="V19" s="236">
        <f>D19+M19</f>
        <v/>
      </c>
      <c r="W19" s="236">
        <f>E19+N19</f>
        <v/>
      </c>
      <c r="X19" s="236">
        <f>V19+W19</f>
        <v/>
      </c>
      <c r="Y19" s="236">
        <f>G19+P19</f>
        <v/>
      </c>
      <c r="Z19" s="236">
        <f>H19+Q19</f>
        <v/>
      </c>
      <c r="AA19" s="236">
        <f>Y19+Z19</f>
        <v/>
      </c>
      <c r="AB19" s="234">
        <f>AA19-X19</f>
        <v/>
      </c>
      <c r="AC19" s="237">
        <f>IF(X19=0,"",AA19/X19)</f>
        <v/>
      </c>
      <c r="AD19" s="44" t="n"/>
      <c r="AE19" s="233" t="n"/>
      <c r="AF19" s="233" t="n"/>
      <c r="AG19" s="233">
        <f>AE19+AF19</f>
        <v/>
      </c>
      <c r="AH19" s="233" t="n"/>
      <c r="AI19" s="233" t="n"/>
      <c r="AJ19" s="233">
        <f>AH19+AI19</f>
        <v/>
      </c>
      <c r="AK19" s="234">
        <f>AJ19-AG19</f>
        <v/>
      </c>
      <c r="AL19" s="235">
        <f>IF(AG19=0,"",AJ19/AG19)</f>
        <v/>
      </c>
      <c r="AM19" s="26" t="n"/>
      <c r="AN19" s="236">
        <f>V19+AE19</f>
        <v/>
      </c>
      <c r="AO19" s="236">
        <f>W19+AF19</f>
        <v/>
      </c>
      <c r="AP19" s="236">
        <f>AN19+AO19</f>
        <v/>
      </c>
      <c r="AQ19" s="236">
        <f>Y19+AH19</f>
        <v/>
      </c>
      <c r="AR19" s="236">
        <f>Z19+AI19</f>
        <v/>
      </c>
      <c r="AS19" s="236">
        <f>AQ19+AR19</f>
        <v/>
      </c>
      <c r="AT19" s="234">
        <f>AS19-AP19</f>
        <v/>
      </c>
      <c r="AU19" s="237">
        <f>IF(AP19=0,"",AS19/AP19)</f>
        <v/>
      </c>
      <c r="AV19" s="44" t="n"/>
      <c r="AW19" s="233" t="n"/>
      <c r="AX19" s="233" t="n"/>
      <c r="AY19" s="233">
        <f>AW19+AX19</f>
        <v/>
      </c>
      <c r="AZ19" s="233" t="n"/>
      <c r="BA19" s="233" t="n"/>
      <c r="BB19" s="233">
        <f>AZ19+BA19</f>
        <v/>
      </c>
      <c r="BC19" s="238">
        <f>BB19-AY19</f>
        <v/>
      </c>
      <c r="BD19" s="235">
        <f>IF(AY19=0,"",BB19/AY19)</f>
        <v/>
      </c>
      <c r="BE19" s="26" t="n"/>
      <c r="BF19" s="236">
        <f>AN19+AW19</f>
        <v/>
      </c>
      <c r="BG19" s="236">
        <f>AO19+AX19</f>
        <v/>
      </c>
      <c r="BH19" s="236">
        <f>BF19+BG19</f>
        <v/>
      </c>
      <c r="BI19" s="236">
        <f>AQ19+AZ19</f>
        <v/>
      </c>
      <c r="BJ19" s="236">
        <f>AR19+BA19</f>
        <v/>
      </c>
      <c r="BK19" s="236">
        <f>BI19+BJ19</f>
        <v/>
      </c>
      <c r="BL19" s="239">
        <f>BK19-BH19</f>
        <v/>
      </c>
      <c r="BM19" s="237">
        <f>IF(BH19=0,"",BK19/BH19)</f>
        <v/>
      </c>
      <c r="BN19" s="33" t="n"/>
      <c r="BO19" s="233" t="n"/>
      <c r="BP19" s="233" t="n"/>
      <c r="BQ19" s="233">
        <f>BO19+BP19</f>
        <v/>
      </c>
      <c r="BR19" s="233" t="n"/>
      <c r="BS19" s="233" t="n"/>
      <c r="BT19" s="233">
        <f>BR19+BS19</f>
        <v/>
      </c>
      <c r="BU19" s="238">
        <f>BT19-BQ19</f>
        <v/>
      </c>
      <c r="BV19" s="235">
        <f>IF(BQ19=0,"",BT19/BQ19)</f>
        <v/>
      </c>
      <c r="BW19" s="26" t="n"/>
      <c r="BX19" s="236">
        <f>BF19+BO19</f>
        <v/>
      </c>
      <c r="BY19" s="236">
        <f>BG19+BP19</f>
        <v/>
      </c>
      <c r="BZ19" s="236">
        <f>BX19+BY19</f>
        <v/>
      </c>
      <c r="CA19" s="236">
        <f>BI19+BR19</f>
        <v/>
      </c>
      <c r="CB19" s="236">
        <f>BJ19+BS19</f>
        <v/>
      </c>
      <c r="CC19" s="236">
        <f>CA19+CB19</f>
        <v/>
      </c>
      <c r="CD19" s="239">
        <f>CC19-BZ19</f>
        <v/>
      </c>
      <c r="CE19" s="237">
        <f>IF(BZ19=0,"",CC19/BZ19)</f>
        <v/>
      </c>
      <c r="CF19" s="33" t="n"/>
      <c r="CG19" s="233" t="n"/>
      <c r="CH19" s="233" t="n"/>
      <c r="CI19" s="233">
        <f>CG19+CH19</f>
        <v/>
      </c>
      <c r="CJ19" s="233" t="n"/>
      <c r="CK19" s="233" t="n"/>
      <c r="CL19" s="233">
        <f>CJ19+CK19</f>
        <v/>
      </c>
      <c r="CM19" s="238">
        <f>CL19-CI19</f>
        <v/>
      </c>
      <c r="CN19" s="235">
        <f>IF(CI19=0,"",CL19/CI19)</f>
        <v/>
      </c>
      <c r="CO19" s="26" t="n"/>
      <c r="CP19" s="236">
        <f>BX19+CG19</f>
        <v/>
      </c>
      <c r="CQ19" s="236">
        <f>BY19+CH19</f>
        <v/>
      </c>
      <c r="CR19" s="236">
        <f>CP19+CQ19</f>
        <v/>
      </c>
      <c r="CS19" s="236">
        <f>CA19+CJ19</f>
        <v/>
      </c>
      <c r="CT19" s="236">
        <f>CB19+CK19</f>
        <v/>
      </c>
      <c r="CU19" s="236">
        <f>CS19+CT19</f>
        <v/>
      </c>
      <c r="CV19" s="239">
        <f>CU19-CR19</f>
        <v/>
      </c>
      <c r="CW19" s="237">
        <f>IF(CR19=0,"",CU19/CR19)</f>
        <v/>
      </c>
      <c r="CX19" s="33" t="n"/>
      <c r="CY19" s="233" t="n"/>
      <c r="CZ19" s="233" t="n"/>
      <c r="DA19" s="233">
        <f>CY19+CZ19</f>
        <v/>
      </c>
      <c r="DB19" s="233" t="n"/>
      <c r="DC19" s="233" t="n"/>
      <c r="DD19" s="233">
        <f>DB19+DC19</f>
        <v/>
      </c>
      <c r="DE19" s="238">
        <f>DD19-DA19</f>
        <v/>
      </c>
      <c r="DF19" s="235">
        <f>IF(DA19=0,"",DD19/DA19)</f>
        <v/>
      </c>
      <c r="DG19" s="26" t="n"/>
      <c r="DH19" s="236">
        <f>CP19+CY19</f>
        <v/>
      </c>
      <c r="DI19" s="236">
        <f>CQ19+CZ19</f>
        <v/>
      </c>
      <c r="DJ19" s="236">
        <f>DH19+DI19</f>
        <v/>
      </c>
      <c r="DK19" s="236">
        <f>CS19+DB19</f>
        <v/>
      </c>
      <c r="DL19" s="236">
        <f>CT19+DC19</f>
        <v/>
      </c>
      <c r="DM19" s="236">
        <f>DK19+DL19</f>
        <v/>
      </c>
      <c r="DN19" s="239">
        <f>DM19-DJ19</f>
        <v/>
      </c>
      <c r="DO19" s="237">
        <f>IF(DJ19=0,"",DM19/DJ19)</f>
        <v/>
      </c>
      <c r="DP19" s="33" t="n"/>
      <c r="DQ19" s="233" t="n"/>
      <c r="DR19" s="233" t="n"/>
      <c r="DS19" s="233">
        <f>DQ19+DR19</f>
        <v/>
      </c>
      <c r="DT19" s="233" t="n"/>
      <c r="DU19" s="233" t="n"/>
      <c r="DV19" s="233">
        <f>DT19+DU19</f>
        <v/>
      </c>
      <c r="DW19" s="238">
        <f>DV19-DS19</f>
        <v/>
      </c>
      <c r="DX19" s="235">
        <f>IF(DS19=0,"",DV19/DS19)</f>
        <v/>
      </c>
      <c r="DY19" s="26" t="n"/>
      <c r="DZ19" s="236">
        <f>DH19+DQ19</f>
        <v/>
      </c>
      <c r="EA19" s="236">
        <f>DI19+DR19</f>
        <v/>
      </c>
      <c r="EB19" s="236">
        <f>DZ19+EA19</f>
        <v/>
      </c>
      <c r="EC19" s="236">
        <f>DK19+DT19</f>
        <v/>
      </c>
      <c r="ED19" s="236">
        <f>DL19+DU19</f>
        <v/>
      </c>
      <c r="EE19" s="236">
        <f>EC19+ED19</f>
        <v/>
      </c>
      <c r="EF19" s="239">
        <f>EE19-EB19</f>
        <v/>
      </c>
      <c r="EG19" s="237">
        <f>IF(EB19=0,"",EE19/EB19)</f>
        <v/>
      </c>
      <c r="EH19" s="33" t="n"/>
      <c r="EI19" s="233" t="n"/>
      <c r="EJ19" s="233" t="n"/>
      <c r="EK19" s="233">
        <f>EI19+EJ19</f>
        <v/>
      </c>
      <c r="EL19" s="233" t="n"/>
      <c r="EM19" s="233" t="n"/>
      <c r="EN19" s="233">
        <f>EL19+EM19</f>
        <v/>
      </c>
      <c r="EO19" s="238">
        <f>EN19-EK19</f>
        <v/>
      </c>
      <c r="EP19" s="235">
        <f>IF(EK19=0,"",EN19/EK19)</f>
        <v/>
      </c>
      <c r="EQ19" s="26" t="n"/>
      <c r="ER19" s="236">
        <f>DZ19+EI19</f>
        <v/>
      </c>
      <c r="ES19" s="236">
        <f>EA19+EJ19</f>
        <v/>
      </c>
      <c r="ET19" s="236">
        <f>ER19+ES19</f>
        <v/>
      </c>
      <c r="EU19" s="236">
        <f>EC19+EL19</f>
        <v/>
      </c>
      <c r="EV19" s="236">
        <f>ED19+EM19</f>
        <v/>
      </c>
      <c r="EW19" s="236">
        <f>EU19+EV19</f>
        <v/>
      </c>
      <c r="EX19" s="239">
        <f>EW19-ET19</f>
        <v/>
      </c>
      <c r="EY19" s="237">
        <f>IF(ET19=0,"",EW19/ET19)</f>
        <v/>
      </c>
      <c r="EZ19" s="33" t="n"/>
      <c r="FA19" s="233" t="n"/>
      <c r="FB19" s="233" t="n"/>
      <c r="FC19" s="233">
        <f>FA19+FB19</f>
        <v/>
      </c>
      <c r="FD19" s="233" t="n"/>
      <c r="FE19" s="233" t="n"/>
      <c r="FF19" s="233">
        <f>FD19+FE19</f>
        <v/>
      </c>
      <c r="FG19" s="238">
        <f>FF19-FC19</f>
        <v/>
      </c>
      <c r="FH19" s="235">
        <f>IF(FC19=0,"",FF19/FC19)</f>
        <v/>
      </c>
      <c r="FI19" s="26" t="n"/>
      <c r="FJ19" s="236">
        <f>ER19+FA19</f>
        <v/>
      </c>
      <c r="FK19" s="236">
        <f>ES19+FB19</f>
        <v/>
      </c>
      <c r="FL19" s="236">
        <f>FJ19+FK19</f>
        <v/>
      </c>
      <c r="FM19" s="236">
        <f>EU19+FD19</f>
        <v/>
      </c>
      <c r="FN19" s="236">
        <f>EV19+FE19</f>
        <v/>
      </c>
      <c r="FO19" s="236">
        <f>FM19+FN19</f>
        <v/>
      </c>
      <c r="FP19" s="239">
        <f>FO19-FL19</f>
        <v/>
      </c>
      <c r="FQ19" s="237">
        <f>IF(FL19=0,"",FO19/FL19)</f>
        <v/>
      </c>
      <c r="FR19" s="33" t="n"/>
      <c r="FS19" s="233" t="n"/>
      <c r="FT19" s="233" t="n"/>
      <c r="FU19" s="233">
        <f>FS19+FT19</f>
        <v/>
      </c>
      <c r="FV19" s="233" t="n"/>
      <c r="FW19" s="233" t="n"/>
      <c r="FX19" s="233">
        <f>FV19+FW19</f>
        <v/>
      </c>
      <c r="FY19" s="238">
        <f>FX19-FU19</f>
        <v/>
      </c>
      <c r="FZ19" s="235">
        <f>IF(FU19=0,"",FX19/FU19)</f>
        <v/>
      </c>
      <c r="GA19" s="26" t="n"/>
      <c r="GB19" s="236">
        <f>FJ19+FS19</f>
        <v/>
      </c>
      <c r="GC19" s="236">
        <f>FK19+FT19</f>
        <v/>
      </c>
      <c r="GD19" s="236">
        <f>GB19+GC19</f>
        <v/>
      </c>
      <c r="GE19" s="236">
        <f>FM19+FV19</f>
        <v/>
      </c>
      <c r="GF19" s="236">
        <f>FN19+FW19</f>
        <v/>
      </c>
      <c r="GG19" s="236">
        <f>GE19+GF19</f>
        <v/>
      </c>
      <c r="GH19" s="239">
        <f>GG19-GD19</f>
        <v/>
      </c>
      <c r="GI19" s="237">
        <f>IF(GD19=0,"",GG19/GD19)</f>
        <v/>
      </c>
      <c r="GJ19" s="33" t="n"/>
      <c r="GK19" s="233" t="n"/>
      <c r="GL19" s="233" t="n"/>
      <c r="GM19" s="233">
        <f>GK19+GL19</f>
        <v/>
      </c>
      <c r="GN19" s="233" t="n"/>
      <c r="GO19" s="233" t="n"/>
      <c r="GP19" s="233">
        <f>GN19+GO19</f>
        <v/>
      </c>
      <c r="GQ19" s="238">
        <f>GP19-GM19</f>
        <v/>
      </c>
      <c r="GR19" s="235">
        <f>IF(GM19=0,"",GP19/GM19)</f>
        <v/>
      </c>
      <c r="GS19" s="26" t="n"/>
      <c r="GT19" s="236">
        <f>GB19+GK19</f>
        <v/>
      </c>
      <c r="GU19" s="236">
        <f>GC19+GL19</f>
        <v/>
      </c>
      <c r="GV19" s="236">
        <f>GT19+GU19</f>
        <v/>
      </c>
      <c r="GW19" s="236">
        <f>GE19+GN19</f>
        <v/>
      </c>
      <c r="GX19" s="236">
        <f>GF19+GO19</f>
        <v/>
      </c>
      <c r="GY19" s="236">
        <f>GW19+GX19</f>
        <v/>
      </c>
      <c r="GZ19" s="239">
        <f>GY19-GV19</f>
        <v/>
      </c>
      <c r="HA19" s="237">
        <f>IF(GV19=0,"",GY19/GV19)</f>
        <v/>
      </c>
      <c r="HB19" s="33" t="n"/>
      <c r="HC19" s="233">
        <f>GT19</f>
        <v/>
      </c>
      <c r="HD19" s="233">
        <f>GU19</f>
        <v/>
      </c>
      <c r="HE19" s="233">
        <f>HC19+HD19</f>
        <v/>
      </c>
    </row>
    <row r="20" ht="15" customHeight="1" s="150">
      <c r="A20" s="18" t="n"/>
      <c r="B20" s="18" t="n"/>
      <c r="C20" s="18" t="n"/>
      <c r="D20" s="227">
        <f>SUM(D21:D33)</f>
        <v/>
      </c>
      <c r="E20" s="227">
        <f>SUM(E21:E33)</f>
        <v/>
      </c>
      <c r="F20" s="227">
        <f>D20+E20</f>
        <v/>
      </c>
      <c r="G20" s="227">
        <f>SUM(G21:G33)</f>
        <v/>
      </c>
      <c r="H20" s="227">
        <f>SUM(H21:H33)</f>
        <v/>
      </c>
      <c r="I20" s="227">
        <f>G20+H20</f>
        <v/>
      </c>
      <c r="J20" s="228">
        <f>I20-F20</f>
        <v/>
      </c>
      <c r="K20" s="229">
        <f>IF(F20=0,"",I20/F20)</f>
        <v/>
      </c>
      <c r="L20" s="18" t="n"/>
      <c r="M20" s="227">
        <f>SUM(M21:M33)</f>
        <v/>
      </c>
      <c r="N20" s="227">
        <f>SUM(N21:N33)</f>
        <v/>
      </c>
      <c r="O20" s="227">
        <f>M20+N20</f>
        <v/>
      </c>
      <c r="P20" s="227">
        <f>SUM(P21:P33)</f>
        <v/>
      </c>
      <c r="Q20" s="227">
        <f>SUM(Q21:Q33)</f>
        <v/>
      </c>
      <c r="R20" s="227">
        <f>P20+Q20</f>
        <v/>
      </c>
      <c r="S20" s="228">
        <f>R20-O20</f>
        <v/>
      </c>
      <c r="T20" s="229">
        <f>IF(O20=0,"",R20/O20)</f>
        <v/>
      </c>
      <c r="U20" s="18" t="n"/>
      <c r="V20" s="230">
        <f>SUM(V21:V33)</f>
        <v/>
      </c>
      <c r="W20" s="230">
        <f>SUM(W21:W33)</f>
        <v/>
      </c>
      <c r="X20" s="230">
        <f>V20+W20</f>
        <v/>
      </c>
      <c r="Y20" s="230">
        <f>SUM(Y21:Y33)</f>
        <v/>
      </c>
      <c r="Z20" s="230">
        <f>SUM(Z21:Z33)</f>
        <v/>
      </c>
      <c r="AA20" s="230">
        <f>Y20+Z20</f>
        <v/>
      </c>
      <c r="AB20" s="231">
        <f>AA20-X20</f>
        <v/>
      </c>
      <c r="AC20" s="232">
        <f>IF(X20=0,"",AA20/X20)</f>
        <v/>
      </c>
      <c r="AD20" s="25" t="n"/>
      <c r="AE20" s="227">
        <f>SUM(AE21:AE33)</f>
        <v/>
      </c>
      <c r="AF20" s="227">
        <f>SUM(AF21:AF33)</f>
        <v/>
      </c>
      <c r="AG20" s="227">
        <f>AE20+AF20</f>
        <v/>
      </c>
      <c r="AH20" s="227">
        <f>SUM(AH21:AH33)</f>
        <v/>
      </c>
      <c r="AI20" s="227">
        <f>SUM(AI21:AI33)</f>
        <v/>
      </c>
      <c r="AJ20" s="227">
        <f>AH20+AI20</f>
        <v/>
      </c>
      <c r="AK20" s="228">
        <f>AJ20-AG20</f>
        <v/>
      </c>
      <c r="AL20" s="229">
        <f>IF(AG20=0,"",AJ20/AG20)</f>
        <v/>
      </c>
      <c r="AM20" s="18" t="n"/>
      <c r="AN20" s="230">
        <f>SUM(AN21:AN33)</f>
        <v/>
      </c>
      <c r="AO20" s="230">
        <f>SUM(AO21:AO33)</f>
        <v/>
      </c>
      <c r="AP20" s="230">
        <f>AN20+AO20</f>
        <v/>
      </c>
      <c r="AQ20" s="230">
        <f>SUM(AQ21:AQ33)</f>
        <v/>
      </c>
      <c r="AR20" s="230">
        <f>SUM(AR21:AR33)</f>
        <v/>
      </c>
      <c r="AS20" s="230">
        <f>AQ20+AR20</f>
        <v/>
      </c>
      <c r="AT20" s="231">
        <f>AS20-AP20</f>
        <v/>
      </c>
      <c r="AU20" s="232">
        <f>IF(AP20=0,"",AS20/AP20)</f>
        <v/>
      </c>
      <c r="AV20" s="25" t="n"/>
      <c r="AW20" s="227">
        <f>SUM(AW21:AW33)</f>
        <v/>
      </c>
      <c r="AX20" s="227">
        <f>SUM(AX21:AX33)</f>
        <v/>
      </c>
      <c r="AY20" s="227">
        <f>AW20+AX20</f>
        <v/>
      </c>
      <c r="AZ20" s="227">
        <f>SUM(AZ21:AZ33)</f>
        <v/>
      </c>
      <c r="BA20" s="227">
        <f>SUM(BA21:BA33)</f>
        <v/>
      </c>
      <c r="BB20" s="227">
        <f>AZ20+BA20</f>
        <v/>
      </c>
      <c r="BC20" s="228">
        <f>BB20-AY20</f>
        <v/>
      </c>
      <c r="BD20" s="229">
        <f>IF(AY20=0,"",BB20/AY20)</f>
        <v/>
      </c>
      <c r="BE20" s="18" t="n"/>
      <c r="BF20" s="230">
        <f>SUM(BF21:BF33)</f>
        <v/>
      </c>
      <c r="BG20" s="230">
        <f>SUM(BG21:BG33)</f>
        <v/>
      </c>
      <c r="BH20" s="230">
        <f>BF20+BG20</f>
        <v/>
      </c>
      <c r="BI20" s="230">
        <f>SUM(BI21:BI33)</f>
        <v/>
      </c>
      <c r="BJ20" s="230">
        <f>SUM(BJ21:BJ33)</f>
        <v/>
      </c>
      <c r="BK20" s="230">
        <f>BI20+BJ20</f>
        <v/>
      </c>
      <c r="BL20" s="231">
        <f>BK20-BH20</f>
        <v/>
      </c>
      <c r="BM20" s="232">
        <f>IF(BH20=0,"",BK20/BH20)</f>
        <v/>
      </c>
      <c r="BN20" s="25" t="n"/>
      <c r="BO20" s="227">
        <f>SUM(BO21:BO33)</f>
        <v/>
      </c>
      <c r="BP20" s="227">
        <f>SUM(BP21:BP33)</f>
        <v/>
      </c>
      <c r="BQ20" s="227">
        <f>BO20+BP20</f>
        <v/>
      </c>
      <c r="BR20" s="227">
        <f>SUM(BR21:BR33)</f>
        <v/>
      </c>
      <c r="BS20" s="227">
        <f>SUM(BS21:BS33)</f>
        <v/>
      </c>
      <c r="BT20" s="227">
        <f>BR20+BS20</f>
        <v/>
      </c>
      <c r="BU20" s="228">
        <f>BT20-BQ20</f>
        <v/>
      </c>
      <c r="BV20" s="229">
        <f>IF(BQ20=0,"",BT20/BQ20)</f>
        <v/>
      </c>
      <c r="BW20" s="18" t="n"/>
      <c r="BX20" s="230">
        <f>SUM(BX21:BX33)</f>
        <v/>
      </c>
      <c r="BY20" s="230">
        <f>SUM(BY21:BY33)</f>
        <v/>
      </c>
      <c r="BZ20" s="230">
        <f>BX20+BY20</f>
        <v/>
      </c>
      <c r="CA20" s="230">
        <f>SUM(CA21:CA33)</f>
        <v/>
      </c>
      <c r="CB20" s="230">
        <f>SUM(CB21:CB33)</f>
        <v/>
      </c>
      <c r="CC20" s="230">
        <f>CA20+CB20</f>
        <v/>
      </c>
      <c r="CD20" s="231">
        <f>CC20-BZ20</f>
        <v/>
      </c>
      <c r="CE20" s="232">
        <f>IF(BZ20=0,"",CC20/BZ20)</f>
        <v/>
      </c>
      <c r="CF20" s="25" t="n"/>
      <c r="CG20" s="227">
        <f>SUM(CG21:CG33)</f>
        <v/>
      </c>
      <c r="CH20" s="227">
        <f>SUM(CH21:CH33)</f>
        <v/>
      </c>
      <c r="CI20" s="227">
        <f>CG20+CH20</f>
        <v/>
      </c>
      <c r="CJ20" s="227">
        <f>SUM(CJ21:CJ33)</f>
        <v/>
      </c>
      <c r="CK20" s="227">
        <f>SUM(CK21:CK33)</f>
        <v/>
      </c>
      <c r="CL20" s="227">
        <f>CJ20+CK20</f>
        <v/>
      </c>
      <c r="CM20" s="228">
        <f>CL20-CI20</f>
        <v/>
      </c>
      <c r="CN20" s="229">
        <f>IF(CI20=0,"",CL20/CI20)</f>
        <v/>
      </c>
      <c r="CO20" s="18" t="n"/>
      <c r="CP20" s="230">
        <f>SUM(CP21:CP33)</f>
        <v/>
      </c>
      <c r="CQ20" s="230">
        <f>SUM(CQ21:CQ33)</f>
        <v/>
      </c>
      <c r="CR20" s="230">
        <f>CP20+CQ20</f>
        <v/>
      </c>
      <c r="CS20" s="230">
        <f>SUM(CS21:CS33)</f>
        <v/>
      </c>
      <c r="CT20" s="230">
        <f>SUM(CT21:CT33)</f>
        <v/>
      </c>
      <c r="CU20" s="230">
        <f>CS20+CT20</f>
        <v/>
      </c>
      <c r="CV20" s="231">
        <f>CU20-CR20</f>
        <v/>
      </c>
      <c r="CW20" s="232">
        <f>IF(CR20=0,"",CU20/CR20)</f>
        <v/>
      </c>
      <c r="CX20" s="25" t="n"/>
      <c r="CY20" s="227">
        <f>SUM(CY21:CY33)</f>
        <v/>
      </c>
      <c r="CZ20" s="227">
        <f>SUM(CZ21:CZ33)</f>
        <v/>
      </c>
      <c r="DA20" s="227">
        <f>CY20+CZ20</f>
        <v/>
      </c>
      <c r="DB20" s="227">
        <f>SUM(DB21:DB33)</f>
        <v/>
      </c>
      <c r="DC20" s="227">
        <f>SUM(DC21:DC33)</f>
        <v/>
      </c>
      <c r="DD20" s="227">
        <f>DB20+DC20</f>
        <v/>
      </c>
      <c r="DE20" s="228">
        <f>DD20-DA20</f>
        <v/>
      </c>
      <c r="DF20" s="229">
        <f>IF(DA20=0,"",DD20/DA20)</f>
        <v/>
      </c>
      <c r="DG20" s="18" t="n"/>
      <c r="DH20" s="230">
        <f>SUM(DH21:DH33)</f>
        <v/>
      </c>
      <c r="DI20" s="230">
        <f>SUM(DI21:DI33)</f>
        <v/>
      </c>
      <c r="DJ20" s="230">
        <f>DH20+DI20</f>
        <v/>
      </c>
      <c r="DK20" s="230">
        <f>SUM(DK21:DK33)</f>
        <v/>
      </c>
      <c r="DL20" s="230">
        <f>SUM(DL21:DL33)</f>
        <v/>
      </c>
      <c r="DM20" s="230">
        <f>DK20+DL20</f>
        <v/>
      </c>
      <c r="DN20" s="231">
        <f>DM20-DJ20</f>
        <v/>
      </c>
      <c r="DO20" s="232">
        <f>IF(DJ20=0,"",DM20/DJ20)</f>
        <v/>
      </c>
      <c r="DP20" s="25" t="n"/>
      <c r="DQ20" s="227">
        <f>SUM(DQ21:DQ33)</f>
        <v/>
      </c>
      <c r="DR20" s="227">
        <f>SUM(DR21:DR33)</f>
        <v/>
      </c>
      <c r="DS20" s="227">
        <f>DQ20+DR20</f>
        <v/>
      </c>
      <c r="DT20" s="227">
        <f>SUM(DT21:DT33)</f>
        <v/>
      </c>
      <c r="DU20" s="227">
        <f>SUM(DU21:DU33)</f>
        <v/>
      </c>
      <c r="DV20" s="227">
        <f>DT20+DU20</f>
        <v/>
      </c>
      <c r="DW20" s="228">
        <f>DV20-DS20</f>
        <v/>
      </c>
      <c r="DX20" s="229">
        <f>IF(DS20=0,"",DV20/DS20)</f>
        <v/>
      </c>
      <c r="DY20" s="18" t="n"/>
      <c r="DZ20" s="230">
        <f>SUM(DZ21:DZ33)</f>
        <v/>
      </c>
      <c r="EA20" s="230">
        <f>SUM(EA21:EA33)</f>
        <v/>
      </c>
      <c r="EB20" s="230">
        <f>DZ20+EA20</f>
        <v/>
      </c>
      <c r="EC20" s="230">
        <f>SUM(EC21:EC33)</f>
        <v/>
      </c>
      <c r="ED20" s="230">
        <f>SUM(ED21:ED33)</f>
        <v/>
      </c>
      <c r="EE20" s="230">
        <f>EC20+ED20</f>
        <v/>
      </c>
      <c r="EF20" s="231">
        <f>EE20-EB20</f>
        <v/>
      </c>
      <c r="EG20" s="232">
        <f>IF(EB20=0,"",EE20/EB20)</f>
        <v/>
      </c>
      <c r="EH20" s="25" t="n"/>
      <c r="EI20" s="227">
        <f>SUM(EI21:EI33)</f>
        <v/>
      </c>
      <c r="EJ20" s="227">
        <f>SUM(EJ21:EJ33)</f>
        <v/>
      </c>
      <c r="EK20" s="227">
        <f>EI20+EJ20</f>
        <v/>
      </c>
      <c r="EL20" s="227">
        <f>SUM(EL21:EL33)</f>
        <v/>
      </c>
      <c r="EM20" s="227">
        <f>SUM(EM21:EM33)</f>
        <v/>
      </c>
      <c r="EN20" s="227">
        <f>EL20+EM20</f>
        <v/>
      </c>
      <c r="EO20" s="228">
        <f>EN20-EK20</f>
        <v/>
      </c>
      <c r="EP20" s="229">
        <f>IF(EK20=0,"",EN20/EK20)</f>
        <v/>
      </c>
      <c r="EQ20" s="18" t="n"/>
      <c r="ER20" s="230">
        <f>SUM(ER21:ER33)</f>
        <v/>
      </c>
      <c r="ES20" s="230">
        <f>SUM(ES21:ES33)</f>
        <v/>
      </c>
      <c r="ET20" s="230">
        <f>ER20+ES20</f>
        <v/>
      </c>
      <c r="EU20" s="230">
        <f>SUM(EU21:EU33)</f>
        <v/>
      </c>
      <c r="EV20" s="230">
        <f>SUM(EV21:EV33)</f>
        <v/>
      </c>
      <c r="EW20" s="230">
        <f>EU20+EV20</f>
        <v/>
      </c>
      <c r="EX20" s="231">
        <f>EW20-ET20</f>
        <v/>
      </c>
      <c r="EY20" s="232">
        <f>IF(ET20=0,"",EW20/ET20)</f>
        <v/>
      </c>
      <c r="EZ20" s="25" t="n"/>
      <c r="FA20" s="227">
        <f>SUM(FA21:FA33)</f>
        <v/>
      </c>
      <c r="FB20" s="227">
        <f>SUM(FB21:FB33)</f>
        <v/>
      </c>
      <c r="FC20" s="227">
        <f>FA20+FB20</f>
        <v/>
      </c>
      <c r="FD20" s="227">
        <f>SUM(FD21:FD33)</f>
        <v/>
      </c>
      <c r="FE20" s="227">
        <f>SUM(FE21:FE33)</f>
        <v/>
      </c>
      <c r="FF20" s="227">
        <f>FD20+FE20</f>
        <v/>
      </c>
      <c r="FG20" s="228">
        <f>FF20-FC20</f>
        <v/>
      </c>
      <c r="FH20" s="229">
        <f>IF(FC20=0,"",FF20/FC20)</f>
        <v/>
      </c>
      <c r="FI20" s="18" t="n"/>
      <c r="FJ20" s="230">
        <f>SUM(FJ21:FJ33)</f>
        <v/>
      </c>
      <c r="FK20" s="230">
        <f>SUM(FK21:FK33)</f>
        <v/>
      </c>
      <c r="FL20" s="230">
        <f>FJ20+FK20</f>
        <v/>
      </c>
      <c r="FM20" s="230">
        <f>SUM(FM21:FM33)</f>
        <v/>
      </c>
      <c r="FN20" s="230">
        <f>SUM(FN21:FN33)</f>
        <v/>
      </c>
      <c r="FO20" s="230">
        <f>FM20+FN20</f>
        <v/>
      </c>
      <c r="FP20" s="231">
        <f>FO20-FL20</f>
        <v/>
      </c>
      <c r="FQ20" s="232">
        <f>IF(FL20=0,"",FO20/FL20)</f>
        <v/>
      </c>
      <c r="FR20" s="25" t="n"/>
      <c r="FS20" s="227">
        <f>SUM(FS21:FS33)</f>
        <v/>
      </c>
      <c r="FT20" s="227">
        <f>SUM(FT21:FT33)</f>
        <v/>
      </c>
      <c r="FU20" s="227">
        <f>FS20+FT20</f>
        <v/>
      </c>
      <c r="FV20" s="227">
        <f>SUM(FV21:FV33)</f>
        <v/>
      </c>
      <c r="FW20" s="227">
        <f>SUM(FW21:FW33)</f>
        <v/>
      </c>
      <c r="FX20" s="227">
        <f>FV20+FW20</f>
        <v/>
      </c>
      <c r="FY20" s="228">
        <f>FX20-FU20</f>
        <v/>
      </c>
      <c r="FZ20" s="229">
        <f>IF(FU20=0,"",FX20/FU20)</f>
        <v/>
      </c>
      <c r="GA20" s="18" t="n"/>
      <c r="GB20" s="230">
        <f>SUM(GB21:GB33)</f>
        <v/>
      </c>
      <c r="GC20" s="230">
        <f>SUM(GC21:GC33)</f>
        <v/>
      </c>
      <c r="GD20" s="230">
        <f>GB20+GC20</f>
        <v/>
      </c>
      <c r="GE20" s="230">
        <f>SUM(GE21:GE33)</f>
        <v/>
      </c>
      <c r="GF20" s="230">
        <f>SUM(GF21:GF33)</f>
        <v/>
      </c>
      <c r="GG20" s="230">
        <f>GE20+GF20</f>
        <v/>
      </c>
      <c r="GH20" s="231">
        <f>GG20-GD20</f>
        <v/>
      </c>
      <c r="GI20" s="232">
        <f>IF(GD20=0,"",GG20/GD20)</f>
        <v/>
      </c>
      <c r="GJ20" s="25" t="n"/>
      <c r="GK20" s="227">
        <f>SUM(GK21:GK33)</f>
        <v/>
      </c>
      <c r="GL20" s="227">
        <f>SUM(GL21:GL33)</f>
        <v/>
      </c>
      <c r="GM20" s="227">
        <f>GK20+GL20</f>
        <v/>
      </c>
      <c r="GN20" s="227">
        <f>SUM(GN21:GN33)</f>
        <v/>
      </c>
      <c r="GO20" s="227">
        <f>SUM(GO21:GO33)</f>
        <v/>
      </c>
      <c r="GP20" s="227">
        <f>GN20+GO20</f>
        <v/>
      </c>
      <c r="GQ20" s="228">
        <f>GP20-GM20</f>
        <v/>
      </c>
      <c r="GR20" s="229">
        <f>IF(GM20=0,"",GP20/GM20)</f>
        <v/>
      </c>
      <c r="GS20" s="18" t="n"/>
      <c r="GT20" s="230">
        <f>SUM(GT21:GT33)</f>
        <v/>
      </c>
      <c r="GU20" s="230">
        <f>SUM(GU21:GU33)</f>
        <v/>
      </c>
      <c r="GV20" s="230">
        <f>GT20+GU20</f>
        <v/>
      </c>
      <c r="GW20" s="230">
        <f>SUM(GW21:GW33)</f>
        <v/>
      </c>
      <c r="GX20" s="230">
        <f>SUM(GX21:GX33)</f>
        <v/>
      </c>
      <c r="GY20" s="230">
        <f>GW20+GX20</f>
        <v/>
      </c>
      <c r="GZ20" s="231">
        <f>GY20-GV20</f>
        <v/>
      </c>
      <c r="HA20" s="232">
        <f>IF(GV20=0,"",GY20/GV20)</f>
        <v/>
      </c>
      <c r="HB20" s="25" t="n"/>
      <c r="HC20" s="227">
        <f>GT20</f>
        <v/>
      </c>
      <c r="HD20" s="227">
        <f>GU20</f>
        <v/>
      </c>
      <c r="HE20" s="227">
        <f>HC20+HD20</f>
        <v/>
      </c>
    </row>
    <row r="21" outlineLevel="1" ht="15" customHeight="1" s="150">
      <c r="A21" s="26" t="n"/>
      <c r="B21" s="26" t="n"/>
      <c r="C21" s="26" t="n"/>
      <c r="D21" s="233" t="n"/>
      <c r="E21" s="233" t="n"/>
      <c r="F21" s="233">
        <f>D21+E21</f>
        <v/>
      </c>
      <c r="G21" s="233" t="n"/>
      <c r="H21" s="233" t="n"/>
      <c r="I21" s="233">
        <f>G21+H21</f>
        <v/>
      </c>
      <c r="J21" s="238">
        <f>I21-F21</f>
        <v/>
      </c>
      <c r="K21" s="235">
        <f>IF(F21=0,"",I21/F21)</f>
        <v/>
      </c>
      <c r="L21" s="26" t="n"/>
      <c r="M21" s="233" t="n"/>
      <c r="N21" s="233" t="n"/>
      <c r="O21" s="233">
        <f>M21+N21</f>
        <v/>
      </c>
      <c r="P21" s="233" t="n"/>
      <c r="Q21" s="233" t="n"/>
      <c r="R21" s="233">
        <f>P21+Q21</f>
        <v/>
      </c>
      <c r="S21" s="238">
        <f>R21-O21</f>
        <v/>
      </c>
      <c r="T21" s="235">
        <f>IF(O21=0,"",R21/O21)</f>
        <v/>
      </c>
      <c r="U21" s="26" t="n"/>
      <c r="V21" s="236">
        <f>D21+M21</f>
        <v/>
      </c>
      <c r="W21" s="236">
        <f>E21+N21</f>
        <v/>
      </c>
      <c r="X21" s="236">
        <f>V21+W21</f>
        <v/>
      </c>
      <c r="Y21" s="236">
        <f>G21+P21</f>
        <v/>
      </c>
      <c r="Z21" s="236">
        <f>H21+Q21</f>
        <v/>
      </c>
      <c r="AA21" s="236">
        <f>Y21+Z21</f>
        <v/>
      </c>
      <c r="AB21" s="239">
        <f>AA21-X21</f>
        <v/>
      </c>
      <c r="AC21" s="237">
        <f>IF(X21=0,"",AA21/X21)</f>
        <v/>
      </c>
      <c r="AD21" s="33" t="n"/>
      <c r="AE21" s="233" t="n"/>
      <c r="AF21" s="233" t="n"/>
      <c r="AG21" s="233">
        <f>AE21+AF21</f>
        <v/>
      </c>
      <c r="AH21" s="233" t="n"/>
      <c r="AI21" s="233" t="n"/>
      <c r="AJ21" s="233">
        <f>AH21+AI21</f>
        <v/>
      </c>
      <c r="AK21" s="238">
        <f>AJ21-AG21</f>
        <v/>
      </c>
      <c r="AL21" s="235">
        <f>IF(AG21=0,"",AJ21/AG21)</f>
        <v/>
      </c>
      <c r="AM21" s="26" t="n"/>
      <c r="AN21" s="236">
        <f>V21+AE21</f>
        <v/>
      </c>
      <c r="AO21" s="236">
        <f>W21+AF21</f>
        <v/>
      </c>
      <c r="AP21" s="236">
        <f>AN21+AO21</f>
        <v/>
      </c>
      <c r="AQ21" s="236">
        <f>Y21+AH21</f>
        <v/>
      </c>
      <c r="AR21" s="236">
        <f>Z21+AI21</f>
        <v/>
      </c>
      <c r="AS21" s="236">
        <f>AQ21+AR21</f>
        <v/>
      </c>
      <c r="AT21" s="239">
        <f>AS21-AP21</f>
        <v/>
      </c>
      <c r="AU21" s="237">
        <f>IF(AP21=0,"",AS21/AP21)</f>
        <v/>
      </c>
      <c r="AV21" s="33" t="n"/>
      <c r="AW21" s="233" t="n"/>
      <c r="AX21" s="233" t="n"/>
      <c r="AY21" s="233">
        <f>AW21+AX21</f>
        <v/>
      </c>
      <c r="AZ21" s="233" t="n"/>
      <c r="BA21" s="233" t="n"/>
      <c r="BB21" s="233">
        <f>AZ21+BA21</f>
        <v/>
      </c>
      <c r="BC21" s="238">
        <f>BB21-AY21</f>
        <v/>
      </c>
      <c r="BD21" s="235">
        <f>IF(AY21=0,"",BB21/AY21)</f>
        <v/>
      </c>
      <c r="BE21" s="26" t="n"/>
      <c r="BF21" s="236">
        <f>AN21+AW21</f>
        <v/>
      </c>
      <c r="BG21" s="236">
        <f>AO21+AX21</f>
        <v/>
      </c>
      <c r="BH21" s="236">
        <f>BF21+BG21</f>
        <v/>
      </c>
      <c r="BI21" s="236">
        <f>AQ21+AZ21</f>
        <v/>
      </c>
      <c r="BJ21" s="236">
        <f>AR21+BA21</f>
        <v/>
      </c>
      <c r="BK21" s="236">
        <f>BI21+BJ21</f>
        <v/>
      </c>
      <c r="BL21" s="239">
        <f>BK21-BH21</f>
        <v/>
      </c>
      <c r="BM21" s="237">
        <f>IF(BH21=0,"",BK21/BH21)</f>
        <v/>
      </c>
      <c r="BN21" s="33" t="n"/>
      <c r="BO21" s="233" t="n"/>
      <c r="BP21" s="233" t="n"/>
      <c r="BQ21" s="233">
        <f>BO21+BP21</f>
        <v/>
      </c>
      <c r="BR21" s="233" t="n"/>
      <c r="BS21" s="233" t="n"/>
      <c r="BT21" s="233">
        <f>BR21+BS21</f>
        <v/>
      </c>
      <c r="BU21" s="238">
        <f>BT21-BQ21</f>
        <v/>
      </c>
      <c r="BV21" s="235">
        <f>IF(BQ21=0,"",BT21/BQ21)</f>
        <v/>
      </c>
      <c r="BW21" s="26" t="n"/>
      <c r="BX21" s="236">
        <f>BF21+BO21</f>
        <v/>
      </c>
      <c r="BY21" s="236">
        <f>BG21+BP21</f>
        <v/>
      </c>
      <c r="BZ21" s="236">
        <f>BX21+BY21</f>
        <v/>
      </c>
      <c r="CA21" s="236">
        <f>BI21+BR21</f>
        <v/>
      </c>
      <c r="CB21" s="236">
        <f>BJ21+BS21</f>
        <v/>
      </c>
      <c r="CC21" s="236">
        <f>CA21+CB21</f>
        <v/>
      </c>
      <c r="CD21" s="239">
        <f>CC21-BZ21</f>
        <v/>
      </c>
      <c r="CE21" s="237">
        <f>IF(BZ21=0,"",CC21/BZ21)</f>
        <v/>
      </c>
      <c r="CF21" s="33" t="n"/>
      <c r="CG21" s="233" t="n"/>
      <c r="CH21" s="233" t="n"/>
      <c r="CI21" s="233">
        <f>CG21+CH21</f>
        <v/>
      </c>
      <c r="CJ21" s="233" t="n"/>
      <c r="CK21" s="233" t="n"/>
      <c r="CL21" s="233">
        <f>CJ21+CK21</f>
        <v/>
      </c>
      <c r="CM21" s="238">
        <f>CL21-CI21</f>
        <v/>
      </c>
      <c r="CN21" s="235">
        <f>IF(CI21=0,"",CL21/CI21)</f>
        <v/>
      </c>
      <c r="CO21" s="26" t="n"/>
      <c r="CP21" s="236">
        <f>BX21+CG21</f>
        <v/>
      </c>
      <c r="CQ21" s="236">
        <f>BY21+CH21</f>
        <v/>
      </c>
      <c r="CR21" s="236">
        <f>CP21+CQ21</f>
        <v/>
      </c>
      <c r="CS21" s="236">
        <f>CA21+CJ21</f>
        <v/>
      </c>
      <c r="CT21" s="236">
        <f>CB21+CK21</f>
        <v/>
      </c>
      <c r="CU21" s="236">
        <f>CS21+CT21</f>
        <v/>
      </c>
      <c r="CV21" s="239">
        <f>CU21-CR21</f>
        <v/>
      </c>
      <c r="CW21" s="237">
        <f>IF(CR21=0,"",CU21/CR21)</f>
        <v/>
      </c>
      <c r="CX21" s="33" t="n"/>
      <c r="CY21" s="233" t="n"/>
      <c r="CZ21" s="233" t="n"/>
      <c r="DA21" s="233">
        <f>CY21+CZ21</f>
        <v/>
      </c>
      <c r="DB21" s="233" t="n"/>
      <c r="DC21" s="233" t="n"/>
      <c r="DD21" s="233">
        <f>DB21+DC21</f>
        <v/>
      </c>
      <c r="DE21" s="238">
        <f>DD21-DA21</f>
        <v/>
      </c>
      <c r="DF21" s="235">
        <f>IF(DA21=0,"",DD21/DA21)</f>
        <v/>
      </c>
      <c r="DG21" s="26" t="n"/>
      <c r="DH21" s="236">
        <f>CP21+CY21</f>
        <v/>
      </c>
      <c r="DI21" s="236">
        <f>CQ21+CZ21</f>
        <v/>
      </c>
      <c r="DJ21" s="236">
        <f>DH21+DI21</f>
        <v/>
      </c>
      <c r="DK21" s="236">
        <f>CS21+DB21</f>
        <v/>
      </c>
      <c r="DL21" s="236">
        <f>CT21+DC21</f>
        <v/>
      </c>
      <c r="DM21" s="236">
        <f>DK21+DL21</f>
        <v/>
      </c>
      <c r="DN21" s="239">
        <f>DM21-DJ21</f>
        <v/>
      </c>
      <c r="DO21" s="237">
        <f>IF(DJ21=0,"",DM21/DJ21)</f>
        <v/>
      </c>
      <c r="DP21" s="33" t="n"/>
      <c r="DQ21" s="233" t="n"/>
      <c r="DR21" s="233" t="n"/>
      <c r="DS21" s="233">
        <f>DQ21+DR21</f>
        <v/>
      </c>
      <c r="DT21" s="233" t="n"/>
      <c r="DU21" s="233" t="n"/>
      <c r="DV21" s="233">
        <f>DT21+DU21</f>
        <v/>
      </c>
      <c r="DW21" s="238">
        <f>DV21-DS21</f>
        <v/>
      </c>
      <c r="DX21" s="235">
        <f>IF(DS21=0,"",DV21/DS21)</f>
        <v/>
      </c>
      <c r="DY21" s="26" t="n"/>
      <c r="DZ21" s="236">
        <f>DH21+DQ21</f>
        <v/>
      </c>
      <c r="EA21" s="236">
        <f>DI21+DR21</f>
        <v/>
      </c>
      <c r="EB21" s="236">
        <f>DZ21+EA21</f>
        <v/>
      </c>
      <c r="EC21" s="236">
        <f>DK21+DT21</f>
        <v/>
      </c>
      <c r="ED21" s="236">
        <f>DL21+DU21</f>
        <v/>
      </c>
      <c r="EE21" s="236">
        <f>EC21+ED21</f>
        <v/>
      </c>
      <c r="EF21" s="239">
        <f>EE21-EB21</f>
        <v/>
      </c>
      <c r="EG21" s="237">
        <f>IF(EB21=0,"",EE21/EB21)</f>
        <v/>
      </c>
      <c r="EH21" s="33" t="n"/>
      <c r="EI21" s="233" t="n"/>
      <c r="EJ21" s="233" t="n"/>
      <c r="EK21" s="233">
        <f>EI21+EJ21</f>
        <v/>
      </c>
      <c r="EL21" s="233" t="n"/>
      <c r="EM21" s="233" t="n"/>
      <c r="EN21" s="233">
        <f>EL21+EM21</f>
        <v/>
      </c>
      <c r="EO21" s="238">
        <f>EN21-EK21</f>
        <v/>
      </c>
      <c r="EP21" s="235">
        <f>IF(EK21=0,"",EN21/EK21)</f>
        <v/>
      </c>
      <c r="EQ21" s="26" t="n"/>
      <c r="ER21" s="236">
        <f>DZ21+EI21</f>
        <v/>
      </c>
      <c r="ES21" s="236">
        <f>EA21+EJ21</f>
        <v/>
      </c>
      <c r="ET21" s="236">
        <f>ER21+ES21</f>
        <v/>
      </c>
      <c r="EU21" s="236">
        <f>EC21+EL21</f>
        <v/>
      </c>
      <c r="EV21" s="236">
        <f>ED21+EM21</f>
        <v/>
      </c>
      <c r="EW21" s="236">
        <f>EU21+EV21</f>
        <v/>
      </c>
      <c r="EX21" s="239">
        <f>EW21-ET21</f>
        <v/>
      </c>
      <c r="EY21" s="237">
        <f>IF(ET21=0,"",EW21/ET21)</f>
        <v/>
      </c>
      <c r="EZ21" s="33" t="n"/>
      <c r="FA21" s="233" t="n"/>
      <c r="FB21" s="233" t="n"/>
      <c r="FC21" s="233">
        <f>FA21+FB21</f>
        <v/>
      </c>
      <c r="FD21" s="233" t="n"/>
      <c r="FE21" s="233" t="n"/>
      <c r="FF21" s="233">
        <f>FD21+FE21</f>
        <v/>
      </c>
      <c r="FG21" s="238">
        <f>FF21-FC21</f>
        <v/>
      </c>
      <c r="FH21" s="235">
        <f>IF(FC21=0,"",FF21/FC21)</f>
        <v/>
      </c>
      <c r="FI21" s="26" t="n"/>
      <c r="FJ21" s="236">
        <f>ER21+FA21</f>
        <v/>
      </c>
      <c r="FK21" s="236">
        <f>ES21+FB21</f>
        <v/>
      </c>
      <c r="FL21" s="236">
        <f>FJ21+FK21</f>
        <v/>
      </c>
      <c r="FM21" s="236">
        <f>EU21+FD21</f>
        <v/>
      </c>
      <c r="FN21" s="236">
        <f>EV21+FE21</f>
        <v/>
      </c>
      <c r="FO21" s="236">
        <f>FM21+FN21</f>
        <v/>
      </c>
      <c r="FP21" s="239">
        <f>FO21-FL21</f>
        <v/>
      </c>
      <c r="FQ21" s="237">
        <f>IF(FL21=0,"",FO21/FL21)</f>
        <v/>
      </c>
      <c r="FR21" s="33" t="n"/>
      <c r="FS21" s="233" t="n"/>
      <c r="FT21" s="233" t="n"/>
      <c r="FU21" s="233">
        <f>FS21+FT21</f>
        <v/>
      </c>
      <c r="FV21" s="233" t="n"/>
      <c r="FW21" s="233" t="n"/>
      <c r="FX21" s="233">
        <f>FV21+FW21</f>
        <v/>
      </c>
      <c r="FY21" s="238">
        <f>FX21-FU21</f>
        <v/>
      </c>
      <c r="FZ21" s="235">
        <f>IF(FU21=0,"",FX21/FU21)</f>
        <v/>
      </c>
      <c r="GA21" s="26" t="n"/>
      <c r="GB21" s="236">
        <f>FJ21+FS21</f>
        <v/>
      </c>
      <c r="GC21" s="236">
        <f>FK21+FT21</f>
        <v/>
      </c>
      <c r="GD21" s="236">
        <f>GB21+GC21</f>
        <v/>
      </c>
      <c r="GE21" s="236">
        <f>FM21+FV21</f>
        <v/>
      </c>
      <c r="GF21" s="236">
        <f>FN21+FW21</f>
        <v/>
      </c>
      <c r="GG21" s="236">
        <f>GE21+GF21</f>
        <v/>
      </c>
      <c r="GH21" s="239">
        <f>GG21-GD21</f>
        <v/>
      </c>
      <c r="GI21" s="237">
        <f>IF(GD21=0,"",GG21/GD21)</f>
        <v/>
      </c>
      <c r="GJ21" s="33" t="n"/>
      <c r="GK21" s="233" t="n"/>
      <c r="GL21" s="233" t="n"/>
      <c r="GM21" s="233">
        <f>GK21+GL21</f>
        <v/>
      </c>
      <c r="GN21" s="233" t="n"/>
      <c r="GO21" s="233" t="n"/>
      <c r="GP21" s="233">
        <f>GN21+GO21</f>
        <v/>
      </c>
      <c r="GQ21" s="238">
        <f>GP21-GM21</f>
        <v/>
      </c>
      <c r="GR21" s="235">
        <f>IF(GM21=0,"",GP21/GM21)</f>
        <v/>
      </c>
      <c r="GS21" s="26" t="n"/>
      <c r="GT21" s="236">
        <f>GB21+GK21</f>
        <v/>
      </c>
      <c r="GU21" s="236">
        <f>GC21+GL21</f>
        <v/>
      </c>
      <c r="GV21" s="236">
        <f>GT21+GU21</f>
        <v/>
      </c>
      <c r="GW21" s="236">
        <f>GE21+GN21</f>
        <v/>
      </c>
      <c r="GX21" s="236">
        <f>GF21+GO21</f>
        <v/>
      </c>
      <c r="GY21" s="236">
        <f>GW21+GX21</f>
        <v/>
      </c>
      <c r="GZ21" s="239">
        <f>GY21-GV21</f>
        <v/>
      </c>
      <c r="HA21" s="237">
        <f>IF(GV21=0,"",GY21/GV21)</f>
        <v/>
      </c>
      <c r="HB21" s="33" t="n"/>
      <c r="HC21" s="233">
        <f>GT21</f>
        <v/>
      </c>
      <c r="HD21" s="233">
        <f>GU21</f>
        <v/>
      </c>
      <c r="HE21" s="233">
        <f>HC21+HD21</f>
        <v/>
      </c>
    </row>
    <row r="22" outlineLevel="1" ht="15" customHeight="1" s="150">
      <c r="A22" s="26" t="n"/>
      <c r="B22" s="26" t="n"/>
      <c r="C22" s="26" t="n"/>
      <c r="D22" s="233" t="n"/>
      <c r="E22" s="233" t="n"/>
      <c r="F22" s="233">
        <f>D22+E22</f>
        <v/>
      </c>
      <c r="G22" s="233" t="n"/>
      <c r="H22" s="233" t="n"/>
      <c r="I22" s="233">
        <f>G22+H22</f>
        <v/>
      </c>
      <c r="J22" s="238">
        <f>I22-F22</f>
        <v/>
      </c>
      <c r="K22" s="235">
        <f>IF(F22=0,"",I22/F22)</f>
        <v/>
      </c>
      <c r="L22" s="26" t="n"/>
      <c r="M22" s="233" t="n"/>
      <c r="N22" s="233" t="n"/>
      <c r="O22" s="233">
        <f>M22+N22</f>
        <v/>
      </c>
      <c r="P22" s="233" t="n"/>
      <c r="Q22" s="233" t="n"/>
      <c r="R22" s="233">
        <f>P22+Q22</f>
        <v/>
      </c>
      <c r="S22" s="238">
        <f>R22-O22</f>
        <v/>
      </c>
      <c r="T22" s="235">
        <f>IF(O22=0,"",R22/O22)</f>
        <v/>
      </c>
      <c r="U22" s="26" t="n"/>
      <c r="V22" s="236">
        <f>D22+M22</f>
        <v/>
      </c>
      <c r="W22" s="236">
        <f>E22+N22</f>
        <v/>
      </c>
      <c r="X22" s="236">
        <f>V22+W22</f>
        <v/>
      </c>
      <c r="Y22" s="236">
        <f>G22+P22</f>
        <v/>
      </c>
      <c r="Z22" s="236">
        <f>H22+Q22</f>
        <v/>
      </c>
      <c r="AA22" s="236">
        <f>Y22+Z22</f>
        <v/>
      </c>
      <c r="AB22" s="239">
        <f>AA22-X22</f>
        <v/>
      </c>
      <c r="AC22" s="237">
        <f>IF(X22=0,"",AA22/X22)</f>
        <v/>
      </c>
      <c r="AD22" s="33" t="n"/>
      <c r="AE22" s="233" t="n"/>
      <c r="AF22" s="233" t="n"/>
      <c r="AG22" s="233">
        <f>AE22+AF22</f>
        <v/>
      </c>
      <c r="AH22" s="233" t="n"/>
      <c r="AI22" s="233" t="n"/>
      <c r="AJ22" s="233">
        <f>AH22+AI22</f>
        <v/>
      </c>
      <c r="AK22" s="238">
        <f>AJ22-AG22</f>
        <v/>
      </c>
      <c r="AL22" s="235">
        <f>IF(AG22=0,"",AJ22/AG22)</f>
        <v/>
      </c>
      <c r="AM22" s="26" t="n"/>
      <c r="AN22" s="236">
        <f>V22+AE22</f>
        <v/>
      </c>
      <c r="AO22" s="236">
        <f>W22+AF22</f>
        <v/>
      </c>
      <c r="AP22" s="236">
        <f>AN22+AO22</f>
        <v/>
      </c>
      <c r="AQ22" s="236">
        <f>Y22+AH22</f>
        <v/>
      </c>
      <c r="AR22" s="236">
        <f>Z22+AI22</f>
        <v/>
      </c>
      <c r="AS22" s="236">
        <f>AQ22+AR22</f>
        <v/>
      </c>
      <c r="AT22" s="239">
        <f>AS22-AP22</f>
        <v/>
      </c>
      <c r="AU22" s="237">
        <f>IF(AP22=0,"",AS22/AP22)</f>
        <v/>
      </c>
      <c r="AV22" s="33" t="n"/>
      <c r="AW22" s="233" t="n"/>
      <c r="AX22" s="233" t="n"/>
      <c r="AY22" s="233">
        <f>AW22+AX22</f>
        <v/>
      </c>
      <c r="AZ22" s="233" t="n"/>
      <c r="BA22" s="233" t="n"/>
      <c r="BB22" s="233">
        <f>AZ22+BA22</f>
        <v/>
      </c>
      <c r="BC22" s="238">
        <f>BB22-AY22</f>
        <v/>
      </c>
      <c r="BD22" s="235">
        <f>IF(AY22=0,"",BB22/AY22)</f>
        <v/>
      </c>
      <c r="BE22" s="26" t="n"/>
      <c r="BF22" s="236">
        <f>AN22+AW22</f>
        <v/>
      </c>
      <c r="BG22" s="236">
        <f>AO22+AX22</f>
        <v/>
      </c>
      <c r="BH22" s="236">
        <f>BF22+BG22</f>
        <v/>
      </c>
      <c r="BI22" s="236">
        <f>AQ22+AZ22</f>
        <v/>
      </c>
      <c r="BJ22" s="236">
        <f>AR22+BA22</f>
        <v/>
      </c>
      <c r="BK22" s="236">
        <f>BI22+BJ22</f>
        <v/>
      </c>
      <c r="BL22" s="239">
        <f>BK22-BH22</f>
        <v/>
      </c>
      <c r="BM22" s="237">
        <f>IF(BH22=0,"",BK22/BH22)</f>
        <v/>
      </c>
      <c r="BN22" s="33" t="n"/>
      <c r="BO22" s="233" t="n"/>
      <c r="BP22" s="233" t="n"/>
      <c r="BQ22" s="233">
        <f>BO22+BP22</f>
        <v/>
      </c>
      <c r="BR22" s="233" t="n"/>
      <c r="BS22" s="233" t="n"/>
      <c r="BT22" s="233">
        <f>BR22+BS22</f>
        <v/>
      </c>
      <c r="BU22" s="238">
        <f>BT22-BQ22</f>
        <v/>
      </c>
      <c r="BV22" s="235">
        <f>IF(BQ22=0,"",BT22/BQ22)</f>
        <v/>
      </c>
      <c r="BW22" s="26" t="n"/>
      <c r="BX22" s="236">
        <f>BF22+BO22</f>
        <v/>
      </c>
      <c r="BY22" s="236">
        <f>BG22+BP22</f>
        <v/>
      </c>
      <c r="BZ22" s="236">
        <f>BX22+BY22</f>
        <v/>
      </c>
      <c r="CA22" s="236">
        <f>BI22+BR22</f>
        <v/>
      </c>
      <c r="CB22" s="236">
        <f>BJ22+BS22</f>
        <v/>
      </c>
      <c r="CC22" s="236">
        <f>CA22+CB22</f>
        <v/>
      </c>
      <c r="CD22" s="239">
        <f>CC22-BZ22</f>
        <v/>
      </c>
      <c r="CE22" s="237">
        <f>IF(BZ22=0,"",CC22/BZ22)</f>
        <v/>
      </c>
      <c r="CF22" s="33" t="n"/>
      <c r="CG22" s="233" t="n"/>
      <c r="CH22" s="233" t="n"/>
      <c r="CI22" s="233">
        <f>CG22+CH22</f>
        <v/>
      </c>
      <c r="CJ22" s="233" t="n"/>
      <c r="CK22" s="233" t="n"/>
      <c r="CL22" s="233">
        <f>CJ22+CK22</f>
        <v/>
      </c>
      <c r="CM22" s="238">
        <f>CL22-CI22</f>
        <v/>
      </c>
      <c r="CN22" s="235">
        <f>IF(CI22=0,"",CL22/CI22)</f>
        <v/>
      </c>
      <c r="CO22" s="26" t="n"/>
      <c r="CP22" s="236">
        <f>BX22+CG22</f>
        <v/>
      </c>
      <c r="CQ22" s="236">
        <f>BY22+CH22</f>
        <v/>
      </c>
      <c r="CR22" s="236">
        <f>CP22+CQ22</f>
        <v/>
      </c>
      <c r="CS22" s="236">
        <f>CA22+CJ22</f>
        <v/>
      </c>
      <c r="CT22" s="236">
        <f>CB22+CK22</f>
        <v/>
      </c>
      <c r="CU22" s="236">
        <f>CS22+CT22</f>
        <v/>
      </c>
      <c r="CV22" s="239">
        <f>CU22-CR22</f>
        <v/>
      </c>
      <c r="CW22" s="237">
        <f>IF(CR22=0,"",CU22/CR22)</f>
        <v/>
      </c>
      <c r="CX22" s="33" t="n"/>
      <c r="CY22" s="233" t="n"/>
      <c r="CZ22" s="233" t="n"/>
      <c r="DA22" s="233">
        <f>CY22+CZ22</f>
        <v/>
      </c>
      <c r="DB22" s="233" t="n"/>
      <c r="DC22" s="233" t="n"/>
      <c r="DD22" s="233">
        <f>DB22+DC22</f>
        <v/>
      </c>
      <c r="DE22" s="238">
        <f>DD22-DA22</f>
        <v/>
      </c>
      <c r="DF22" s="235">
        <f>IF(DA22=0,"",DD22/DA22)</f>
        <v/>
      </c>
      <c r="DG22" s="26" t="n"/>
      <c r="DH22" s="236">
        <f>CP22+CY22</f>
        <v/>
      </c>
      <c r="DI22" s="236">
        <f>CQ22+CZ22</f>
        <v/>
      </c>
      <c r="DJ22" s="236">
        <f>DH22+DI22</f>
        <v/>
      </c>
      <c r="DK22" s="236">
        <f>CS22+DB22</f>
        <v/>
      </c>
      <c r="DL22" s="236">
        <f>CT22+DC22</f>
        <v/>
      </c>
      <c r="DM22" s="236">
        <f>DK22+DL22</f>
        <v/>
      </c>
      <c r="DN22" s="239">
        <f>DM22-DJ22</f>
        <v/>
      </c>
      <c r="DO22" s="237">
        <f>IF(DJ22=0,"",DM22/DJ22)</f>
        <v/>
      </c>
      <c r="DP22" s="33" t="n"/>
      <c r="DQ22" s="233" t="n"/>
      <c r="DR22" s="233" t="n"/>
      <c r="DS22" s="233">
        <f>DQ22+DR22</f>
        <v/>
      </c>
      <c r="DT22" s="233" t="n"/>
      <c r="DU22" s="233" t="n"/>
      <c r="DV22" s="233">
        <f>DT22+DU22</f>
        <v/>
      </c>
      <c r="DW22" s="238">
        <f>DV22-DS22</f>
        <v/>
      </c>
      <c r="DX22" s="235">
        <f>IF(DS22=0,"",DV22/DS22)</f>
        <v/>
      </c>
      <c r="DY22" s="26" t="n"/>
      <c r="DZ22" s="236">
        <f>DH22+DQ22</f>
        <v/>
      </c>
      <c r="EA22" s="236">
        <f>DI22+DR22</f>
        <v/>
      </c>
      <c r="EB22" s="236">
        <f>DZ22+EA22</f>
        <v/>
      </c>
      <c r="EC22" s="236">
        <f>DK22+DT22</f>
        <v/>
      </c>
      <c r="ED22" s="236">
        <f>DL22+DU22</f>
        <v/>
      </c>
      <c r="EE22" s="236">
        <f>EC22+ED22</f>
        <v/>
      </c>
      <c r="EF22" s="239">
        <f>EE22-EB22</f>
        <v/>
      </c>
      <c r="EG22" s="237">
        <f>IF(EB22=0,"",EE22/EB22)</f>
        <v/>
      </c>
      <c r="EH22" s="33" t="n"/>
      <c r="EI22" s="233" t="n"/>
      <c r="EJ22" s="233" t="n"/>
      <c r="EK22" s="233">
        <f>EI22+EJ22</f>
        <v/>
      </c>
      <c r="EL22" s="233" t="n"/>
      <c r="EM22" s="233" t="n"/>
      <c r="EN22" s="233">
        <f>EL22+EM22</f>
        <v/>
      </c>
      <c r="EO22" s="238">
        <f>EN22-EK22</f>
        <v/>
      </c>
      <c r="EP22" s="235">
        <f>IF(EK22=0,"",EN22/EK22)</f>
        <v/>
      </c>
      <c r="EQ22" s="26" t="n"/>
      <c r="ER22" s="236">
        <f>DZ22+EI22</f>
        <v/>
      </c>
      <c r="ES22" s="236">
        <f>EA22+EJ22</f>
        <v/>
      </c>
      <c r="ET22" s="236">
        <f>ER22+ES22</f>
        <v/>
      </c>
      <c r="EU22" s="236">
        <f>EC22+EL22</f>
        <v/>
      </c>
      <c r="EV22" s="236">
        <f>ED22+EM22</f>
        <v/>
      </c>
      <c r="EW22" s="236">
        <f>EU22+EV22</f>
        <v/>
      </c>
      <c r="EX22" s="239">
        <f>EW22-ET22</f>
        <v/>
      </c>
      <c r="EY22" s="237">
        <f>IF(ET22=0,"",EW22/ET22)</f>
        <v/>
      </c>
      <c r="EZ22" s="33" t="n"/>
      <c r="FA22" s="233" t="n"/>
      <c r="FB22" s="233" t="n"/>
      <c r="FC22" s="233">
        <f>FA22+FB22</f>
        <v/>
      </c>
      <c r="FD22" s="233" t="n"/>
      <c r="FE22" s="233" t="n"/>
      <c r="FF22" s="233">
        <f>FD22+FE22</f>
        <v/>
      </c>
      <c r="FG22" s="238">
        <f>FF22-FC22</f>
        <v/>
      </c>
      <c r="FH22" s="235">
        <f>IF(FC22=0,"",FF22/FC22)</f>
        <v/>
      </c>
      <c r="FI22" s="26" t="n"/>
      <c r="FJ22" s="236">
        <f>ER22+FA22</f>
        <v/>
      </c>
      <c r="FK22" s="236">
        <f>ES22+FB22</f>
        <v/>
      </c>
      <c r="FL22" s="236">
        <f>FJ22+FK22</f>
        <v/>
      </c>
      <c r="FM22" s="236">
        <f>EU22+FD22</f>
        <v/>
      </c>
      <c r="FN22" s="236">
        <f>EV22+FE22</f>
        <v/>
      </c>
      <c r="FO22" s="236">
        <f>FM22+FN22</f>
        <v/>
      </c>
      <c r="FP22" s="239">
        <f>FO22-FL22</f>
        <v/>
      </c>
      <c r="FQ22" s="237">
        <f>IF(FL22=0,"",FO22/FL22)</f>
        <v/>
      </c>
      <c r="FR22" s="33" t="n"/>
      <c r="FS22" s="233" t="n"/>
      <c r="FT22" s="233" t="n"/>
      <c r="FU22" s="233">
        <f>FS22+FT22</f>
        <v/>
      </c>
      <c r="FV22" s="233" t="n"/>
      <c r="FW22" s="233" t="n"/>
      <c r="FX22" s="233">
        <f>FV22+FW22</f>
        <v/>
      </c>
      <c r="FY22" s="238">
        <f>FX22-FU22</f>
        <v/>
      </c>
      <c r="FZ22" s="235">
        <f>IF(FU22=0,"",FX22/FU22)</f>
        <v/>
      </c>
      <c r="GA22" s="26" t="n"/>
      <c r="GB22" s="236">
        <f>FJ22+FS22</f>
        <v/>
      </c>
      <c r="GC22" s="236">
        <f>FK22+FT22</f>
        <v/>
      </c>
      <c r="GD22" s="236">
        <f>GB22+GC22</f>
        <v/>
      </c>
      <c r="GE22" s="236">
        <f>FM22+FV22</f>
        <v/>
      </c>
      <c r="GF22" s="236">
        <f>FN22+FW22</f>
        <v/>
      </c>
      <c r="GG22" s="236">
        <f>GE22+GF22</f>
        <v/>
      </c>
      <c r="GH22" s="239">
        <f>GG22-GD22</f>
        <v/>
      </c>
      <c r="GI22" s="237">
        <f>IF(GD22=0,"",GG22/GD22)</f>
        <v/>
      </c>
      <c r="GJ22" s="33" t="n"/>
      <c r="GK22" s="233" t="n"/>
      <c r="GL22" s="233" t="n"/>
      <c r="GM22" s="233">
        <f>GK22+GL22</f>
        <v/>
      </c>
      <c r="GN22" s="233" t="n"/>
      <c r="GO22" s="233" t="n"/>
      <c r="GP22" s="233">
        <f>GN22+GO22</f>
        <v/>
      </c>
      <c r="GQ22" s="238">
        <f>GP22-GM22</f>
        <v/>
      </c>
      <c r="GR22" s="235">
        <f>IF(GM22=0,"",GP22/GM22)</f>
        <v/>
      </c>
      <c r="GS22" s="26" t="n"/>
      <c r="GT22" s="236">
        <f>GB22+GK22</f>
        <v/>
      </c>
      <c r="GU22" s="236">
        <f>GC22+GL22</f>
        <v/>
      </c>
      <c r="GV22" s="236">
        <f>GT22+GU22</f>
        <v/>
      </c>
      <c r="GW22" s="236">
        <f>GE22+GN22</f>
        <v/>
      </c>
      <c r="GX22" s="236">
        <f>GF22+GO22</f>
        <v/>
      </c>
      <c r="GY22" s="236">
        <f>GW22+GX22</f>
        <v/>
      </c>
      <c r="GZ22" s="239">
        <f>GY22-GV22</f>
        <v/>
      </c>
      <c r="HA22" s="237">
        <f>IF(GV22=0,"",GY22/GV22)</f>
        <v/>
      </c>
      <c r="HB22" s="33" t="n"/>
      <c r="HC22" s="233">
        <f>GT22</f>
        <v/>
      </c>
      <c r="HD22" s="233">
        <f>GU22</f>
        <v/>
      </c>
      <c r="HE22" s="233">
        <f>HC22+HD22</f>
        <v/>
      </c>
    </row>
    <row r="23" outlineLevel="1" ht="15" customHeight="1" s="150">
      <c r="A23" s="26" t="n"/>
      <c r="B23" s="26" t="n"/>
      <c r="C23" s="26" t="n"/>
      <c r="D23" s="233" t="n"/>
      <c r="E23" s="233" t="n"/>
      <c r="F23" s="233">
        <f>D23+E23</f>
        <v/>
      </c>
      <c r="G23" s="233" t="n"/>
      <c r="H23" s="233" t="n"/>
      <c r="I23" s="233">
        <f>G23+H23</f>
        <v/>
      </c>
      <c r="J23" s="238">
        <f>I23-F23</f>
        <v/>
      </c>
      <c r="K23" s="235">
        <f>IF(F23=0,"",I23/F23)</f>
        <v/>
      </c>
      <c r="L23" s="26" t="n"/>
      <c r="M23" s="233" t="n"/>
      <c r="N23" s="233" t="n"/>
      <c r="O23" s="233">
        <f>M23+N23</f>
        <v/>
      </c>
      <c r="P23" s="233" t="n"/>
      <c r="Q23" s="233" t="n"/>
      <c r="R23" s="233">
        <f>P23+Q23</f>
        <v/>
      </c>
      <c r="S23" s="238">
        <f>R23-O23</f>
        <v/>
      </c>
      <c r="T23" s="235">
        <f>IF(O23=0,"",R23/O23)</f>
        <v/>
      </c>
      <c r="U23" s="26" t="n"/>
      <c r="V23" s="236">
        <f>D23+M23</f>
        <v/>
      </c>
      <c r="W23" s="236">
        <f>E23+N23</f>
        <v/>
      </c>
      <c r="X23" s="236">
        <f>V23+W23</f>
        <v/>
      </c>
      <c r="Y23" s="236">
        <f>G23+P23</f>
        <v/>
      </c>
      <c r="Z23" s="236">
        <f>H23+Q23</f>
        <v/>
      </c>
      <c r="AA23" s="236">
        <f>Y23+Z23</f>
        <v/>
      </c>
      <c r="AB23" s="239">
        <f>AA23-X23</f>
        <v/>
      </c>
      <c r="AC23" s="237">
        <f>IF(X23=0,"",AA23/X23)</f>
        <v/>
      </c>
      <c r="AD23" s="33" t="n"/>
      <c r="AE23" s="233" t="n"/>
      <c r="AF23" s="233" t="n"/>
      <c r="AG23" s="233">
        <f>AE23+AF23</f>
        <v/>
      </c>
      <c r="AH23" s="233" t="n"/>
      <c r="AI23" s="233" t="n"/>
      <c r="AJ23" s="233">
        <f>AH23+AI23</f>
        <v/>
      </c>
      <c r="AK23" s="238">
        <f>AJ23-AG23</f>
        <v/>
      </c>
      <c r="AL23" s="235">
        <f>IF(AG23=0,"",AJ23/AG23)</f>
        <v/>
      </c>
      <c r="AM23" s="26" t="n"/>
      <c r="AN23" s="236">
        <f>V23+AE23</f>
        <v/>
      </c>
      <c r="AO23" s="236">
        <f>W23+AF23</f>
        <v/>
      </c>
      <c r="AP23" s="236">
        <f>AN23+AO23</f>
        <v/>
      </c>
      <c r="AQ23" s="236">
        <f>Y23+AH23</f>
        <v/>
      </c>
      <c r="AR23" s="236">
        <f>Z23+AI23</f>
        <v/>
      </c>
      <c r="AS23" s="236">
        <f>AQ23+AR23</f>
        <v/>
      </c>
      <c r="AT23" s="239">
        <f>AS23-AP23</f>
        <v/>
      </c>
      <c r="AU23" s="237">
        <f>IF(AP23=0,"",AS23/AP23)</f>
        <v/>
      </c>
      <c r="AV23" s="33" t="n"/>
      <c r="AW23" s="233" t="n"/>
      <c r="AX23" s="233" t="n"/>
      <c r="AY23" s="233">
        <f>AW23+AX23</f>
        <v/>
      </c>
      <c r="AZ23" s="233" t="n"/>
      <c r="BA23" s="233" t="n"/>
      <c r="BB23" s="233">
        <f>AZ23+BA23</f>
        <v/>
      </c>
      <c r="BC23" s="238">
        <f>BB23-AY23</f>
        <v/>
      </c>
      <c r="BD23" s="235">
        <f>IF(AY23=0,"",BB23/AY23)</f>
        <v/>
      </c>
      <c r="BE23" s="26" t="n"/>
      <c r="BF23" s="236">
        <f>AN23+AW23</f>
        <v/>
      </c>
      <c r="BG23" s="236">
        <f>AO23+AX23</f>
        <v/>
      </c>
      <c r="BH23" s="236">
        <f>BF23+BG23</f>
        <v/>
      </c>
      <c r="BI23" s="236">
        <f>AQ23+AZ23</f>
        <v/>
      </c>
      <c r="BJ23" s="236">
        <f>AR23+BA23</f>
        <v/>
      </c>
      <c r="BK23" s="236">
        <f>BI23+BJ23</f>
        <v/>
      </c>
      <c r="BL23" s="239">
        <f>BK23-BH23</f>
        <v/>
      </c>
      <c r="BM23" s="237">
        <f>IF(BH23=0,"",BK23/BH23)</f>
        <v/>
      </c>
      <c r="BN23" s="33" t="n"/>
      <c r="BO23" s="233" t="n"/>
      <c r="BP23" s="233" t="n"/>
      <c r="BQ23" s="233">
        <f>BO23+BP23</f>
        <v/>
      </c>
      <c r="BR23" s="233" t="n"/>
      <c r="BS23" s="233" t="n"/>
      <c r="BT23" s="233">
        <f>BR23+BS23</f>
        <v/>
      </c>
      <c r="BU23" s="238">
        <f>BT23-BQ23</f>
        <v/>
      </c>
      <c r="BV23" s="235">
        <f>IF(BQ23=0,"",BT23/BQ23)</f>
        <v/>
      </c>
      <c r="BW23" s="26" t="n"/>
      <c r="BX23" s="236">
        <f>BF23+BO23</f>
        <v/>
      </c>
      <c r="BY23" s="236">
        <f>BG23+BP23</f>
        <v/>
      </c>
      <c r="BZ23" s="236">
        <f>BX23+BY23</f>
        <v/>
      </c>
      <c r="CA23" s="236">
        <f>BI23+BR23</f>
        <v/>
      </c>
      <c r="CB23" s="236">
        <f>BJ23+BS23</f>
        <v/>
      </c>
      <c r="CC23" s="236">
        <f>CA23+CB23</f>
        <v/>
      </c>
      <c r="CD23" s="239">
        <f>CC23-BZ23</f>
        <v/>
      </c>
      <c r="CE23" s="237">
        <f>IF(BZ23=0,"",CC23/BZ23)</f>
        <v/>
      </c>
      <c r="CF23" s="33" t="n"/>
      <c r="CG23" s="233" t="n"/>
      <c r="CH23" s="233" t="n"/>
      <c r="CI23" s="233">
        <f>CG23+CH23</f>
        <v/>
      </c>
      <c r="CJ23" s="233" t="n"/>
      <c r="CK23" s="233" t="n"/>
      <c r="CL23" s="233">
        <f>CJ23+CK23</f>
        <v/>
      </c>
      <c r="CM23" s="238">
        <f>CL23-CI23</f>
        <v/>
      </c>
      <c r="CN23" s="235">
        <f>IF(CI23=0,"",CL23/CI23)</f>
        <v/>
      </c>
      <c r="CO23" s="26" t="n"/>
      <c r="CP23" s="236">
        <f>BX23+CG23</f>
        <v/>
      </c>
      <c r="CQ23" s="236">
        <f>BY23+CH23</f>
        <v/>
      </c>
      <c r="CR23" s="236">
        <f>CP23+CQ23</f>
        <v/>
      </c>
      <c r="CS23" s="236">
        <f>CA23+CJ23</f>
        <v/>
      </c>
      <c r="CT23" s="236">
        <f>CB23+CK23</f>
        <v/>
      </c>
      <c r="CU23" s="236">
        <f>CS23+CT23</f>
        <v/>
      </c>
      <c r="CV23" s="239">
        <f>CU23-CR23</f>
        <v/>
      </c>
      <c r="CW23" s="237">
        <f>IF(CR23=0,"",CU23/CR23)</f>
        <v/>
      </c>
      <c r="CX23" s="33" t="n"/>
      <c r="CY23" s="233" t="n"/>
      <c r="CZ23" s="233" t="n"/>
      <c r="DA23" s="233">
        <f>CY23+CZ23</f>
        <v/>
      </c>
      <c r="DB23" s="233" t="n"/>
      <c r="DC23" s="233" t="n"/>
      <c r="DD23" s="233">
        <f>DB23+DC23</f>
        <v/>
      </c>
      <c r="DE23" s="238">
        <f>DD23-DA23</f>
        <v/>
      </c>
      <c r="DF23" s="235">
        <f>IF(DA23=0,"",DD23/DA23)</f>
        <v/>
      </c>
      <c r="DG23" s="26" t="n"/>
      <c r="DH23" s="236">
        <f>CP23+CY23</f>
        <v/>
      </c>
      <c r="DI23" s="236">
        <f>CQ23+CZ23</f>
        <v/>
      </c>
      <c r="DJ23" s="236">
        <f>DH23+DI23</f>
        <v/>
      </c>
      <c r="DK23" s="236">
        <f>CS23+DB23</f>
        <v/>
      </c>
      <c r="DL23" s="236">
        <f>CT23+DC23</f>
        <v/>
      </c>
      <c r="DM23" s="236">
        <f>DK23+DL23</f>
        <v/>
      </c>
      <c r="DN23" s="239">
        <f>DM23-DJ23</f>
        <v/>
      </c>
      <c r="DO23" s="237">
        <f>IF(DJ23=0,"",DM23/DJ23)</f>
        <v/>
      </c>
      <c r="DP23" s="33" t="n"/>
      <c r="DQ23" s="233" t="n"/>
      <c r="DR23" s="233" t="n"/>
      <c r="DS23" s="233">
        <f>DQ23+DR23</f>
        <v/>
      </c>
      <c r="DT23" s="233" t="n"/>
      <c r="DU23" s="233" t="n"/>
      <c r="DV23" s="233">
        <f>DT23+DU23</f>
        <v/>
      </c>
      <c r="DW23" s="238">
        <f>DV23-DS23</f>
        <v/>
      </c>
      <c r="DX23" s="235">
        <f>IF(DS23=0,"",DV23/DS23)</f>
        <v/>
      </c>
      <c r="DY23" s="26" t="n"/>
      <c r="DZ23" s="236">
        <f>DH23+DQ23</f>
        <v/>
      </c>
      <c r="EA23" s="236">
        <f>DI23+DR23</f>
        <v/>
      </c>
      <c r="EB23" s="236">
        <f>DZ23+EA23</f>
        <v/>
      </c>
      <c r="EC23" s="236">
        <f>DK23+DT23</f>
        <v/>
      </c>
      <c r="ED23" s="236">
        <f>DL23+DU23</f>
        <v/>
      </c>
      <c r="EE23" s="236">
        <f>EC23+ED23</f>
        <v/>
      </c>
      <c r="EF23" s="239">
        <f>EE23-EB23</f>
        <v/>
      </c>
      <c r="EG23" s="237">
        <f>IF(EB23=0,"",EE23/EB23)</f>
        <v/>
      </c>
      <c r="EH23" s="33" t="n"/>
      <c r="EI23" s="233" t="n"/>
      <c r="EJ23" s="233" t="n"/>
      <c r="EK23" s="233">
        <f>EI23+EJ23</f>
        <v/>
      </c>
      <c r="EL23" s="233" t="n"/>
      <c r="EM23" s="233" t="n"/>
      <c r="EN23" s="233">
        <f>EL23+EM23</f>
        <v/>
      </c>
      <c r="EO23" s="238">
        <f>EN23-EK23</f>
        <v/>
      </c>
      <c r="EP23" s="235">
        <f>IF(EK23=0,"",EN23/EK23)</f>
        <v/>
      </c>
      <c r="EQ23" s="26" t="n"/>
      <c r="ER23" s="236">
        <f>DZ23+EI23</f>
        <v/>
      </c>
      <c r="ES23" s="236">
        <f>EA23+EJ23</f>
        <v/>
      </c>
      <c r="ET23" s="236">
        <f>ER23+ES23</f>
        <v/>
      </c>
      <c r="EU23" s="236">
        <f>EC23+EL23</f>
        <v/>
      </c>
      <c r="EV23" s="236">
        <f>ED23+EM23</f>
        <v/>
      </c>
      <c r="EW23" s="236">
        <f>EU23+EV23</f>
        <v/>
      </c>
      <c r="EX23" s="239">
        <f>EW23-ET23</f>
        <v/>
      </c>
      <c r="EY23" s="237">
        <f>IF(ET23=0,"",EW23/ET23)</f>
        <v/>
      </c>
      <c r="EZ23" s="33" t="n"/>
      <c r="FA23" s="233" t="n"/>
      <c r="FB23" s="233" t="n"/>
      <c r="FC23" s="233">
        <f>FA23+FB23</f>
        <v/>
      </c>
      <c r="FD23" s="233" t="n"/>
      <c r="FE23" s="233" t="n"/>
      <c r="FF23" s="233">
        <f>FD23+FE23</f>
        <v/>
      </c>
      <c r="FG23" s="238">
        <f>FF23-FC23</f>
        <v/>
      </c>
      <c r="FH23" s="235">
        <f>IF(FC23=0,"",FF23/FC23)</f>
        <v/>
      </c>
      <c r="FI23" s="26" t="n"/>
      <c r="FJ23" s="236">
        <f>ER23+FA23</f>
        <v/>
      </c>
      <c r="FK23" s="236">
        <f>ES23+FB23</f>
        <v/>
      </c>
      <c r="FL23" s="236">
        <f>FJ23+FK23</f>
        <v/>
      </c>
      <c r="FM23" s="236">
        <f>EU23+FD23</f>
        <v/>
      </c>
      <c r="FN23" s="236">
        <f>EV23+FE23</f>
        <v/>
      </c>
      <c r="FO23" s="236">
        <f>FM23+FN23</f>
        <v/>
      </c>
      <c r="FP23" s="239">
        <f>FO23-FL23</f>
        <v/>
      </c>
      <c r="FQ23" s="237">
        <f>IF(FL23=0,"",FO23/FL23)</f>
        <v/>
      </c>
      <c r="FR23" s="33" t="n"/>
      <c r="FS23" s="233" t="n"/>
      <c r="FT23" s="233" t="n"/>
      <c r="FU23" s="233">
        <f>FS23+FT23</f>
        <v/>
      </c>
      <c r="FV23" s="233" t="n"/>
      <c r="FW23" s="233" t="n"/>
      <c r="FX23" s="233">
        <f>FV23+FW23</f>
        <v/>
      </c>
      <c r="FY23" s="238">
        <f>FX23-FU23</f>
        <v/>
      </c>
      <c r="FZ23" s="235">
        <f>IF(FU23=0,"",FX23/FU23)</f>
        <v/>
      </c>
      <c r="GA23" s="26" t="n"/>
      <c r="GB23" s="236">
        <f>FJ23+FS23</f>
        <v/>
      </c>
      <c r="GC23" s="236">
        <f>FK23+FT23</f>
        <v/>
      </c>
      <c r="GD23" s="236">
        <f>GB23+GC23</f>
        <v/>
      </c>
      <c r="GE23" s="236">
        <f>FM23+FV23</f>
        <v/>
      </c>
      <c r="GF23" s="236">
        <f>FN23+FW23</f>
        <v/>
      </c>
      <c r="GG23" s="236">
        <f>GE23+GF23</f>
        <v/>
      </c>
      <c r="GH23" s="239">
        <f>GG23-GD23</f>
        <v/>
      </c>
      <c r="GI23" s="237">
        <f>IF(GD23=0,"",GG23/GD23)</f>
        <v/>
      </c>
      <c r="GJ23" s="33" t="n"/>
      <c r="GK23" s="233" t="n"/>
      <c r="GL23" s="233" t="n"/>
      <c r="GM23" s="233">
        <f>GK23+GL23</f>
        <v/>
      </c>
      <c r="GN23" s="233" t="n"/>
      <c r="GO23" s="233" t="n"/>
      <c r="GP23" s="233">
        <f>GN23+GO23</f>
        <v/>
      </c>
      <c r="GQ23" s="238">
        <f>GP23-GM23</f>
        <v/>
      </c>
      <c r="GR23" s="235">
        <f>IF(GM23=0,"",GP23/GM23)</f>
        <v/>
      </c>
      <c r="GS23" s="26" t="n"/>
      <c r="GT23" s="236">
        <f>GB23+GK23</f>
        <v/>
      </c>
      <c r="GU23" s="236">
        <f>GC23+GL23</f>
        <v/>
      </c>
      <c r="GV23" s="236">
        <f>GT23+GU23</f>
        <v/>
      </c>
      <c r="GW23" s="236">
        <f>GE23+GN23</f>
        <v/>
      </c>
      <c r="GX23" s="236">
        <f>GF23+GO23</f>
        <v/>
      </c>
      <c r="GY23" s="236">
        <f>GW23+GX23</f>
        <v/>
      </c>
      <c r="GZ23" s="239">
        <f>GY23-GV23</f>
        <v/>
      </c>
      <c r="HA23" s="237">
        <f>IF(GV23=0,"",GY23/GV23)</f>
        <v/>
      </c>
      <c r="HB23" s="33" t="n"/>
      <c r="HC23" s="233">
        <f>GT23</f>
        <v/>
      </c>
      <c r="HD23" s="233">
        <f>GU23</f>
        <v/>
      </c>
      <c r="HE23" s="233">
        <f>HC23+HD23</f>
        <v/>
      </c>
    </row>
    <row r="24" outlineLevel="1" ht="15" customHeight="1" s="150">
      <c r="A24" s="26" t="n"/>
      <c r="B24" s="26" t="n"/>
      <c r="C24" s="26" t="n"/>
      <c r="D24" s="233" t="n"/>
      <c r="E24" s="233" t="n"/>
      <c r="F24" s="233">
        <f>D24+E24</f>
        <v/>
      </c>
      <c r="G24" s="233" t="n"/>
      <c r="H24" s="233" t="n"/>
      <c r="I24" s="233">
        <f>G24+H24</f>
        <v/>
      </c>
      <c r="J24" s="238">
        <f>I24-F24</f>
        <v/>
      </c>
      <c r="K24" s="235">
        <f>IF(F24=0,"",I24/F24)</f>
        <v/>
      </c>
      <c r="L24" s="26" t="n"/>
      <c r="M24" s="233" t="n"/>
      <c r="N24" s="233" t="n"/>
      <c r="O24" s="233">
        <f>M24+N24</f>
        <v/>
      </c>
      <c r="P24" s="233" t="n"/>
      <c r="Q24" s="233" t="n"/>
      <c r="R24" s="233">
        <f>P24+Q24</f>
        <v/>
      </c>
      <c r="S24" s="238">
        <f>R24-O24</f>
        <v/>
      </c>
      <c r="T24" s="235">
        <f>IF(O24=0,"",R24/O24)</f>
        <v/>
      </c>
      <c r="U24" s="26" t="n"/>
      <c r="V24" s="236">
        <f>D24+M24</f>
        <v/>
      </c>
      <c r="W24" s="236">
        <f>E24+N24</f>
        <v/>
      </c>
      <c r="X24" s="236">
        <f>V24+W24</f>
        <v/>
      </c>
      <c r="Y24" s="236">
        <f>G24+P24</f>
        <v/>
      </c>
      <c r="Z24" s="236">
        <f>H24+Q24</f>
        <v/>
      </c>
      <c r="AA24" s="236">
        <f>Y24+Z24</f>
        <v/>
      </c>
      <c r="AB24" s="239">
        <f>AA24-X24</f>
        <v/>
      </c>
      <c r="AC24" s="237">
        <f>IF(X24=0,"",AA24/X24)</f>
        <v/>
      </c>
      <c r="AD24" s="33" t="n"/>
      <c r="AE24" s="233" t="n"/>
      <c r="AF24" s="233" t="n"/>
      <c r="AG24" s="233">
        <f>AE24+AF24</f>
        <v/>
      </c>
      <c r="AH24" s="233" t="n"/>
      <c r="AI24" s="233" t="n"/>
      <c r="AJ24" s="233">
        <f>AH24+AI24</f>
        <v/>
      </c>
      <c r="AK24" s="238">
        <f>AJ24-AG24</f>
        <v/>
      </c>
      <c r="AL24" s="235">
        <f>IF(AG24=0,"",AJ24/AG24)</f>
        <v/>
      </c>
      <c r="AM24" s="26" t="n"/>
      <c r="AN24" s="236">
        <f>V24+AE24</f>
        <v/>
      </c>
      <c r="AO24" s="236">
        <f>W24+AF24</f>
        <v/>
      </c>
      <c r="AP24" s="236">
        <f>AN24+AO24</f>
        <v/>
      </c>
      <c r="AQ24" s="236">
        <f>Y24+AH24</f>
        <v/>
      </c>
      <c r="AR24" s="236">
        <f>Z24+AI24</f>
        <v/>
      </c>
      <c r="AS24" s="236">
        <f>AQ24+AR24</f>
        <v/>
      </c>
      <c r="AT24" s="239">
        <f>AS24-AP24</f>
        <v/>
      </c>
      <c r="AU24" s="237">
        <f>IF(AP24=0,"",AS24/AP24)</f>
        <v/>
      </c>
      <c r="AV24" s="33" t="n"/>
      <c r="AW24" s="233" t="n"/>
      <c r="AX24" s="233" t="n"/>
      <c r="AY24" s="233">
        <f>AW24+AX24</f>
        <v/>
      </c>
      <c r="AZ24" s="233" t="n"/>
      <c r="BA24" s="233" t="n"/>
      <c r="BB24" s="233">
        <f>AZ24+BA24</f>
        <v/>
      </c>
      <c r="BC24" s="238">
        <f>BB24-AY24</f>
        <v/>
      </c>
      <c r="BD24" s="235">
        <f>IF(AY24=0,"",BB24/AY24)</f>
        <v/>
      </c>
      <c r="BE24" s="26" t="n"/>
      <c r="BF24" s="236">
        <f>AN24+AW24</f>
        <v/>
      </c>
      <c r="BG24" s="236">
        <f>AO24+AX24</f>
        <v/>
      </c>
      <c r="BH24" s="236">
        <f>BF24+BG24</f>
        <v/>
      </c>
      <c r="BI24" s="236">
        <f>AQ24+AZ24</f>
        <v/>
      </c>
      <c r="BJ24" s="236">
        <f>AR24+BA24</f>
        <v/>
      </c>
      <c r="BK24" s="236">
        <f>BI24+BJ24</f>
        <v/>
      </c>
      <c r="BL24" s="239">
        <f>BK24-BH24</f>
        <v/>
      </c>
      <c r="BM24" s="237">
        <f>IF(BH24=0,"",BK24/BH24)</f>
        <v/>
      </c>
      <c r="BN24" s="33" t="n"/>
      <c r="BO24" s="233" t="n"/>
      <c r="BP24" s="233" t="n"/>
      <c r="BQ24" s="233">
        <f>BO24+BP24</f>
        <v/>
      </c>
      <c r="BR24" s="233" t="n"/>
      <c r="BS24" s="233" t="n"/>
      <c r="BT24" s="233">
        <f>BR24+BS24</f>
        <v/>
      </c>
      <c r="BU24" s="238">
        <f>BT24-BQ24</f>
        <v/>
      </c>
      <c r="BV24" s="235">
        <f>IF(BQ24=0,"",BT24/BQ24)</f>
        <v/>
      </c>
      <c r="BW24" s="26" t="n"/>
      <c r="BX24" s="236">
        <f>BF24+BO24</f>
        <v/>
      </c>
      <c r="BY24" s="236">
        <f>BG24+BP24</f>
        <v/>
      </c>
      <c r="BZ24" s="236">
        <f>BX24+BY24</f>
        <v/>
      </c>
      <c r="CA24" s="236">
        <f>BI24+BR24</f>
        <v/>
      </c>
      <c r="CB24" s="236">
        <f>BJ24+BS24</f>
        <v/>
      </c>
      <c r="CC24" s="236">
        <f>CA24+CB24</f>
        <v/>
      </c>
      <c r="CD24" s="239">
        <f>CC24-BZ24</f>
        <v/>
      </c>
      <c r="CE24" s="237">
        <f>IF(BZ24=0,"",CC24/BZ24)</f>
        <v/>
      </c>
      <c r="CF24" s="33" t="n"/>
      <c r="CG24" s="233" t="n"/>
      <c r="CH24" s="233" t="n"/>
      <c r="CI24" s="233">
        <f>CG24+CH24</f>
        <v/>
      </c>
      <c r="CJ24" s="233" t="n"/>
      <c r="CK24" s="233" t="n"/>
      <c r="CL24" s="233">
        <f>CJ24+CK24</f>
        <v/>
      </c>
      <c r="CM24" s="238">
        <f>CL24-CI24</f>
        <v/>
      </c>
      <c r="CN24" s="235">
        <f>IF(CI24=0,"",CL24/CI24)</f>
        <v/>
      </c>
      <c r="CO24" s="26" t="n"/>
      <c r="CP24" s="236">
        <f>BX24+CG24</f>
        <v/>
      </c>
      <c r="CQ24" s="236">
        <f>BY24+CH24</f>
        <v/>
      </c>
      <c r="CR24" s="236">
        <f>CP24+CQ24</f>
        <v/>
      </c>
      <c r="CS24" s="236">
        <f>CA24+CJ24</f>
        <v/>
      </c>
      <c r="CT24" s="236">
        <f>CB24+CK24</f>
        <v/>
      </c>
      <c r="CU24" s="236">
        <f>CS24+CT24</f>
        <v/>
      </c>
      <c r="CV24" s="239">
        <f>CU24-CR24</f>
        <v/>
      </c>
      <c r="CW24" s="237">
        <f>IF(CR24=0,"",CU24/CR24)</f>
        <v/>
      </c>
      <c r="CX24" s="33" t="n"/>
      <c r="CY24" s="233" t="n"/>
      <c r="CZ24" s="233" t="n"/>
      <c r="DA24" s="233">
        <f>CY24+CZ24</f>
        <v/>
      </c>
      <c r="DB24" s="233" t="n"/>
      <c r="DC24" s="233" t="n"/>
      <c r="DD24" s="233">
        <f>DB24+DC24</f>
        <v/>
      </c>
      <c r="DE24" s="238">
        <f>DD24-DA24</f>
        <v/>
      </c>
      <c r="DF24" s="235">
        <f>IF(DA24=0,"",DD24/DA24)</f>
        <v/>
      </c>
      <c r="DG24" s="26" t="n"/>
      <c r="DH24" s="236">
        <f>CP24+CY24</f>
        <v/>
      </c>
      <c r="DI24" s="236">
        <f>CQ24+CZ24</f>
        <v/>
      </c>
      <c r="DJ24" s="236">
        <f>DH24+DI24</f>
        <v/>
      </c>
      <c r="DK24" s="236">
        <f>CS24+DB24</f>
        <v/>
      </c>
      <c r="DL24" s="236">
        <f>CT24+DC24</f>
        <v/>
      </c>
      <c r="DM24" s="236">
        <f>DK24+DL24</f>
        <v/>
      </c>
      <c r="DN24" s="239">
        <f>DM24-DJ24</f>
        <v/>
      </c>
      <c r="DO24" s="237">
        <f>IF(DJ24=0,"",DM24/DJ24)</f>
        <v/>
      </c>
      <c r="DP24" s="33" t="n"/>
      <c r="DQ24" s="233" t="n"/>
      <c r="DR24" s="233" t="n"/>
      <c r="DS24" s="233">
        <f>DQ24+DR24</f>
        <v/>
      </c>
      <c r="DT24" s="233" t="n"/>
      <c r="DU24" s="233" t="n"/>
      <c r="DV24" s="233">
        <f>DT24+DU24</f>
        <v/>
      </c>
      <c r="DW24" s="238">
        <f>DV24-DS24</f>
        <v/>
      </c>
      <c r="DX24" s="235">
        <f>IF(DS24=0,"",DV24/DS24)</f>
        <v/>
      </c>
      <c r="DY24" s="26" t="n"/>
      <c r="DZ24" s="236">
        <f>DH24+DQ24</f>
        <v/>
      </c>
      <c r="EA24" s="236">
        <f>DI24+DR24</f>
        <v/>
      </c>
      <c r="EB24" s="236">
        <f>DZ24+EA24</f>
        <v/>
      </c>
      <c r="EC24" s="236">
        <f>DK24+DT24</f>
        <v/>
      </c>
      <c r="ED24" s="236">
        <f>DL24+DU24</f>
        <v/>
      </c>
      <c r="EE24" s="236">
        <f>EC24+ED24</f>
        <v/>
      </c>
      <c r="EF24" s="239">
        <f>EE24-EB24</f>
        <v/>
      </c>
      <c r="EG24" s="237">
        <f>IF(EB24=0,"",EE24/EB24)</f>
        <v/>
      </c>
      <c r="EH24" s="33" t="n"/>
      <c r="EI24" s="233" t="n"/>
      <c r="EJ24" s="233" t="n"/>
      <c r="EK24" s="233">
        <f>EI24+EJ24</f>
        <v/>
      </c>
      <c r="EL24" s="233" t="n"/>
      <c r="EM24" s="233" t="n"/>
      <c r="EN24" s="233">
        <f>EL24+EM24</f>
        <v/>
      </c>
      <c r="EO24" s="238">
        <f>EN24-EK24</f>
        <v/>
      </c>
      <c r="EP24" s="235">
        <f>IF(EK24=0,"",EN24/EK24)</f>
        <v/>
      </c>
      <c r="EQ24" s="26" t="n"/>
      <c r="ER24" s="236">
        <f>DZ24+EI24</f>
        <v/>
      </c>
      <c r="ES24" s="236">
        <f>EA24+EJ24</f>
        <v/>
      </c>
      <c r="ET24" s="236">
        <f>ER24+ES24</f>
        <v/>
      </c>
      <c r="EU24" s="236">
        <f>EC24+EL24</f>
        <v/>
      </c>
      <c r="EV24" s="236">
        <f>ED24+EM24</f>
        <v/>
      </c>
      <c r="EW24" s="236">
        <f>EU24+EV24</f>
        <v/>
      </c>
      <c r="EX24" s="239">
        <f>EW24-ET24</f>
        <v/>
      </c>
      <c r="EY24" s="237">
        <f>IF(ET24=0,"",EW24/ET24)</f>
        <v/>
      </c>
      <c r="EZ24" s="33" t="n"/>
      <c r="FA24" s="233" t="n"/>
      <c r="FB24" s="233" t="n"/>
      <c r="FC24" s="233">
        <f>FA24+FB24</f>
        <v/>
      </c>
      <c r="FD24" s="233" t="n"/>
      <c r="FE24" s="233" t="n"/>
      <c r="FF24" s="233">
        <f>FD24+FE24</f>
        <v/>
      </c>
      <c r="FG24" s="238">
        <f>FF24-FC24</f>
        <v/>
      </c>
      <c r="FH24" s="235">
        <f>IF(FC24=0,"",FF24/FC24)</f>
        <v/>
      </c>
      <c r="FI24" s="26" t="n"/>
      <c r="FJ24" s="236">
        <f>ER24+FA24</f>
        <v/>
      </c>
      <c r="FK24" s="236">
        <f>ES24+FB24</f>
        <v/>
      </c>
      <c r="FL24" s="236">
        <f>FJ24+FK24</f>
        <v/>
      </c>
      <c r="FM24" s="236">
        <f>EU24+FD24</f>
        <v/>
      </c>
      <c r="FN24" s="236">
        <f>EV24+FE24</f>
        <v/>
      </c>
      <c r="FO24" s="236">
        <f>FM24+FN24</f>
        <v/>
      </c>
      <c r="FP24" s="239">
        <f>FO24-FL24</f>
        <v/>
      </c>
      <c r="FQ24" s="237">
        <f>IF(FL24=0,"",FO24/FL24)</f>
        <v/>
      </c>
      <c r="FR24" s="33" t="n"/>
      <c r="FS24" s="233" t="n"/>
      <c r="FT24" s="233" t="n"/>
      <c r="FU24" s="233">
        <f>FS24+FT24</f>
        <v/>
      </c>
      <c r="FV24" s="233" t="n"/>
      <c r="FW24" s="233" t="n"/>
      <c r="FX24" s="233">
        <f>FV24+FW24</f>
        <v/>
      </c>
      <c r="FY24" s="238">
        <f>FX24-FU24</f>
        <v/>
      </c>
      <c r="FZ24" s="235">
        <f>IF(FU24=0,"",FX24/FU24)</f>
        <v/>
      </c>
      <c r="GA24" s="26" t="n"/>
      <c r="GB24" s="236">
        <f>FJ24+FS24</f>
        <v/>
      </c>
      <c r="GC24" s="236">
        <f>FK24+FT24</f>
        <v/>
      </c>
      <c r="GD24" s="236">
        <f>GB24+GC24</f>
        <v/>
      </c>
      <c r="GE24" s="236">
        <f>FM24+FV24</f>
        <v/>
      </c>
      <c r="GF24" s="236">
        <f>FN24+FW24</f>
        <v/>
      </c>
      <c r="GG24" s="236">
        <f>GE24+GF24</f>
        <v/>
      </c>
      <c r="GH24" s="239">
        <f>GG24-GD24</f>
        <v/>
      </c>
      <c r="GI24" s="237">
        <f>IF(GD24=0,"",GG24/GD24)</f>
        <v/>
      </c>
      <c r="GJ24" s="33" t="n"/>
      <c r="GK24" s="233" t="n"/>
      <c r="GL24" s="233" t="n"/>
      <c r="GM24" s="233">
        <f>GK24+GL24</f>
        <v/>
      </c>
      <c r="GN24" s="233" t="n"/>
      <c r="GO24" s="233" t="n"/>
      <c r="GP24" s="233">
        <f>GN24+GO24</f>
        <v/>
      </c>
      <c r="GQ24" s="238">
        <f>GP24-GM24</f>
        <v/>
      </c>
      <c r="GR24" s="235">
        <f>IF(GM24=0,"",GP24/GM24)</f>
        <v/>
      </c>
      <c r="GS24" s="26" t="n"/>
      <c r="GT24" s="236">
        <f>GB24+GK24</f>
        <v/>
      </c>
      <c r="GU24" s="236">
        <f>GC24+GL24</f>
        <v/>
      </c>
      <c r="GV24" s="236">
        <f>GT24+GU24</f>
        <v/>
      </c>
      <c r="GW24" s="236">
        <f>GE24+GN24</f>
        <v/>
      </c>
      <c r="GX24" s="236">
        <f>GF24+GO24</f>
        <v/>
      </c>
      <c r="GY24" s="236">
        <f>GW24+GX24</f>
        <v/>
      </c>
      <c r="GZ24" s="239">
        <f>GY24-GV24</f>
        <v/>
      </c>
      <c r="HA24" s="237">
        <f>IF(GV24=0,"",GY24/GV24)</f>
        <v/>
      </c>
      <c r="HB24" s="33" t="n"/>
      <c r="HC24" s="233">
        <f>GT24</f>
        <v/>
      </c>
      <c r="HD24" s="233">
        <f>GU24</f>
        <v/>
      </c>
      <c r="HE24" s="233">
        <f>HC24+HD24</f>
        <v/>
      </c>
    </row>
    <row r="25" outlineLevel="1" ht="15" customHeight="1" s="150">
      <c r="A25" s="26" t="n"/>
      <c r="B25" s="26" t="n"/>
      <c r="C25" s="26" t="n"/>
      <c r="D25" s="233" t="n"/>
      <c r="E25" s="233" t="n"/>
      <c r="F25" s="233">
        <f>D25+E25</f>
        <v/>
      </c>
      <c r="G25" s="233" t="n"/>
      <c r="H25" s="233" t="n"/>
      <c r="I25" s="233">
        <f>G25+H25</f>
        <v/>
      </c>
      <c r="J25" s="238">
        <f>I25-F25</f>
        <v/>
      </c>
      <c r="K25" s="235">
        <f>IF(F25=0,"",I25/F25)</f>
        <v/>
      </c>
      <c r="L25" s="26" t="n"/>
      <c r="M25" s="233" t="n"/>
      <c r="N25" s="233" t="n"/>
      <c r="O25" s="233">
        <f>M25+N25</f>
        <v/>
      </c>
      <c r="P25" s="233" t="n"/>
      <c r="Q25" s="233" t="n"/>
      <c r="R25" s="233">
        <f>P25+Q25</f>
        <v/>
      </c>
      <c r="S25" s="238">
        <f>R25-O25</f>
        <v/>
      </c>
      <c r="T25" s="235">
        <f>IF(O25=0,"",R25/O25)</f>
        <v/>
      </c>
      <c r="U25" s="26" t="n"/>
      <c r="V25" s="236">
        <f>D25+M25</f>
        <v/>
      </c>
      <c r="W25" s="236">
        <f>E25+N25</f>
        <v/>
      </c>
      <c r="X25" s="236">
        <f>V25+W25</f>
        <v/>
      </c>
      <c r="Y25" s="236">
        <f>G25+P25</f>
        <v/>
      </c>
      <c r="Z25" s="236">
        <f>H25+Q25</f>
        <v/>
      </c>
      <c r="AA25" s="236">
        <f>Y25+Z25</f>
        <v/>
      </c>
      <c r="AB25" s="239">
        <f>AA25-X25</f>
        <v/>
      </c>
      <c r="AC25" s="237">
        <f>IF(X25=0,"",AA25/X25)</f>
        <v/>
      </c>
      <c r="AD25" s="33" t="n"/>
      <c r="AE25" s="233" t="n"/>
      <c r="AF25" s="233" t="n"/>
      <c r="AG25" s="233">
        <f>AE25+AF25</f>
        <v/>
      </c>
      <c r="AH25" s="233" t="n"/>
      <c r="AI25" s="233" t="n"/>
      <c r="AJ25" s="233">
        <f>AH25+AI25</f>
        <v/>
      </c>
      <c r="AK25" s="238">
        <f>AJ25-AG25</f>
        <v/>
      </c>
      <c r="AL25" s="235">
        <f>IF(AG25=0,"",AJ25/AG25)</f>
        <v/>
      </c>
      <c r="AM25" s="26" t="n"/>
      <c r="AN25" s="236">
        <f>V25+AE25</f>
        <v/>
      </c>
      <c r="AO25" s="236">
        <f>W25+AF25</f>
        <v/>
      </c>
      <c r="AP25" s="236">
        <f>AN25+AO25</f>
        <v/>
      </c>
      <c r="AQ25" s="236">
        <f>Y25+AH25</f>
        <v/>
      </c>
      <c r="AR25" s="236">
        <f>Z25+AI25</f>
        <v/>
      </c>
      <c r="AS25" s="236">
        <f>AQ25+AR25</f>
        <v/>
      </c>
      <c r="AT25" s="239">
        <f>AS25-AP25</f>
        <v/>
      </c>
      <c r="AU25" s="237">
        <f>IF(AP25=0,"",AS25/AP25)</f>
        <v/>
      </c>
      <c r="AV25" s="33" t="n"/>
      <c r="AW25" s="233" t="n"/>
      <c r="AX25" s="233" t="n"/>
      <c r="AY25" s="233">
        <f>AW25+AX25</f>
        <v/>
      </c>
      <c r="AZ25" s="233" t="n"/>
      <c r="BA25" s="233" t="n"/>
      <c r="BB25" s="233">
        <f>AZ25+BA25</f>
        <v/>
      </c>
      <c r="BC25" s="238">
        <f>BB25-AY25</f>
        <v/>
      </c>
      <c r="BD25" s="235">
        <f>IF(AY25=0,"",BB25/AY25)</f>
        <v/>
      </c>
      <c r="BE25" s="26" t="n"/>
      <c r="BF25" s="236">
        <f>AN25+AW25</f>
        <v/>
      </c>
      <c r="BG25" s="236">
        <f>AO25+AX25</f>
        <v/>
      </c>
      <c r="BH25" s="236">
        <f>BF25+BG25</f>
        <v/>
      </c>
      <c r="BI25" s="236">
        <f>AQ25+AZ25</f>
        <v/>
      </c>
      <c r="BJ25" s="236">
        <f>AR25+BA25</f>
        <v/>
      </c>
      <c r="BK25" s="236">
        <f>BI25+BJ25</f>
        <v/>
      </c>
      <c r="BL25" s="239">
        <f>BK25-BH25</f>
        <v/>
      </c>
      <c r="BM25" s="237">
        <f>IF(BH25=0,"",BK25/BH25)</f>
        <v/>
      </c>
      <c r="BN25" s="33" t="n"/>
      <c r="BO25" s="233" t="n"/>
      <c r="BP25" s="233" t="n"/>
      <c r="BQ25" s="233">
        <f>BO25+BP25</f>
        <v/>
      </c>
      <c r="BR25" s="233" t="n"/>
      <c r="BS25" s="233" t="n"/>
      <c r="BT25" s="233">
        <f>BR25+BS25</f>
        <v/>
      </c>
      <c r="BU25" s="238">
        <f>BT25-BQ25</f>
        <v/>
      </c>
      <c r="BV25" s="235">
        <f>IF(BQ25=0,"",BT25/BQ25)</f>
        <v/>
      </c>
      <c r="BW25" s="26" t="n"/>
      <c r="BX25" s="236">
        <f>BF25+BO25</f>
        <v/>
      </c>
      <c r="BY25" s="236">
        <f>BG25+BP25</f>
        <v/>
      </c>
      <c r="BZ25" s="236">
        <f>BX25+BY25</f>
        <v/>
      </c>
      <c r="CA25" s="236">
        <f>BI25+BR25</f>
        <v/>
      </c>
      <c r="CB25" s="236">
        <f>BJ25+BS25</f>
        <v/>
      </c>
      <c r="CC25" s="236">
        <f>CA25+CB25</f>
        <v/>
      </c>
      <c r="CD25" s="239">
        <f>CC25-BZ25</f>
        <v/>
      </c>
      <c r="CE25" s="237">
        <f>IF(BZ25=0,"",CC25/BZ25)</f>
        <v/>
      </c>
      <c r="CF25" s="33" t="n"/>
      <c r="CG25" s="233" t="n"/>
      <c r="CH25" s="233" t="n"/>
      <c r="CI25" s="233">
        <f>CG25+CH25</f>
        <v/>
      </c>
      <c r="CJ25" s="233" t="n"/>
      <c r="CK25" s="233" t="n"/>
      <c r="CL25" s="233">
        <f>CJ25+CK25</f>
        <v/>
      </c>
      <c r="CM25" s="238">
        <f>CL25-CI25</f>
        <v/>
      </c>
      <c r="CN25" s="235">
        <f>IF(CI25=0,"",CL25/CI25)</f>
        <v/>
      </c>
      <c r="CO25" s="26" t="n"/>
      <c r="CP25" s="236">
        <f>BX25+CG25</f>
        <v/>
      </c>
      <c r="CQ25" s="236">
        <f>BY25+CH25</f>
        <v/>
      </c>
      <c r="CR25" s="236">
        <f>CP25+CQ25</f>
        <v/>
      </c>
      <c r="CS25" s="236">
        <f>CA25+CJ25</f>
        <v/>
      </c>
      <c r="CT25" s="236">
        <f>CB25+CK25</f>
        <v/>
      </c>
      <c r="CU25" s="236">
        <f>CS25+CT25</f>
        <v/>
      </c>
      <c r="CV25" s="239">
        <f>CU25-CR25</f>
        <v/>
      </c>
      <c r="CW25" s="237">
        <f>IF(CR25=0,"",CU25/CR25)</f>
        <v/>
      </c>
      <c r="CX25" s="33" t="n"/>
      <c r="CY25" s="233" t="n"/>
      <c r="CZ25" s="233" t="n"/>
      <c r="DA25" s="233">
        <f>CY25+CZ25</f>
        <v/>
      </c>
      <c r="DB25" s="233" t="n"/>
      <c r="DC25" s="233" t="n"/>
      <c r="DD25" s="233">
        <f>DB25+DC25</f>
        <v/>
      </c>
      <c r="DE25" s="238">
        <f>DD25-DA25</f>
        <v/>
      </c>
      <c r="DF25" s="235">
        <f>IF(DA25=0,"",DD25/DA25)</f>
        <v/>
      </c>
      <c r="DG25" s="26" t="n"/>
      <c r="DH25" s="236">
        <f>CP25+CY25</f>
        <v/>
      </c>
      <c r="DI25" s="236">
        <f>CQ25+CZ25</f>
        <v/>
      </c>
      <c r="DJ25" s="236">
        <f>DH25+DI25</f>
        <v/>
      </c>
      <c r="DK25" s="236">
        <f>CS25+DB25</f>
        <v/>
      </c>
      <c r="DL25" s="236">
        <f>CT25+DC25</f>
        <v/>
      </c>
      <c r="DM25" s="236">
        <f>DK25+DL25</f>
        <v/>
      </c>
      <c r="DN25" s="239">
        <f>DM25-DJ25</f>
        <v/>
      </c>
      <c r="DO25" s="237">
        <f>IF(DJ25=0,"",DM25/DJ25)</f>
        <v/>
      </c>
      <c r="DP25" s="33" t="n"/>
      <c r="DQ25" s="233" t="n"/>
      <c r="DR25" s="233" t="n"/>
      <c r="DS25" s="233">
        <f>DQ25+DR25</f>
        <v/>
      </c>
      <c r="DT25" s="233" t="n"/>
      <c r="DU25" s="233" t="n"/>
      <c r="DV25" s="233">
        <f>DT25+DU25</f>
        <v/>
      </c>
      <c r="DW25" s="238">
        <f>DV25-DS25</f>
        <v/>
      </c>
      <c r="DX25" s="235">
        <f>IF(DS25=0,"",DV25/DS25)</f>
        <v/>
      </c>
      <c r="DY25" s="26" t="n"/>
      <c r="DZ25" s="236">
        <f>DH25+DQ25</f>
        <v/>
      </c>
      <c r="EA25" s="236">
        <f>DI25+DR25</f>
        <v/>
      </c>
      <c r="EB25" s="236">
        <f>DZ25+EA25</f>
        <v/>
      </c>
      <c r="EC25" s="236">
        <f>DK25+DT25</f>
        <v/>
      </c>
      <c r="ED25" s="236">
        <f>DL25+DU25</f>
        <v/>
      </c>
      <c r="EE25" s="236">
        <f>EC25+ED25</f>
        <v/>
      </c>
      <c r="EF25" s="239">
        <f>EE25-EB25</f>
        <v/>
      </c>
      <c r="EG25" s="237">
        <f>IF(EB25=0,"",EE25/EB25)</f>
        <v/>
      </c>
      <c r="EH25" s="33" t="n"/>
      <c r="EI25" s="233" t="n"/>
      <c r="EJ25" s="233" t="n"/>
      <c r="EK25" s="233">
        <f>EI25+EJ25</f>
        <v/>
      </c>
      <c r="EL25" s="233" t="n"/>
      <c r="EM25" s="233" t="n"/>
      <c r="EN25" s="233">
        <f>EL25+EM25</f>
        <v/>
      </c>
      <c r="EO25" s="238">
        <f>EN25-EK25</f>
        <v/>
      </c>
      <c r="EP25" s="235">
        <f>IF(EK25=0,"",EN25/EK25)</f>
        <v/>
      </c>
      <c r="EQ25" s="26" t="n"/>
      <c r="ER25" s="236">
        <f>DZ25+EI25</f>
        <v/>
      </c>
      <c r="ES25" s="236">
        <f>EA25+EJ25</f>
        <v/>
      </c>
      <c r="ET25" s="236">
        <f>ER25+ES25</f>
        <v/>
      </c>
      <c r="EU25" s="236">
        <f>EC25+EL25</f>
        <v/>
      </c>
      <c r="EV25" s="236">
        <f>ED25+EM25</f>
        <v/>
      </c>
      <c r="EW25" s="236">
        <f>EU25+EV25</f>
        <v/>
      </c>
      <c r="EX25" s="239">
        <f>EW25-ET25</f>
        <v/>
      </c>
      <c r="EY25" s="237">
        <f>IF(ET25=0,"",EW25/ET25)</f>
        <v/>
      </c>
      <c r="EZ25" s="33" t="n"/>
      <c r="FA25" s="233" t="n"/>
      <c r="FB25" s="233" t="n"/>
      <c r="FC25" s="233">
        <f>FA25+FB25</f>
        <v/>
      </c>
      <c r="FD25" s="233" t="n"/>
      <c r="FE25" s="233" t="n"/>
      <c r="FF25" s="233">
        <f>FD25+FE25</f>
        <v/>
      </c>
      <c r="FG25" s="238">
        <f>FF25-FC25</f>
        <v/>
      </c>
      <c r="FH25" s="235">
        <f>IF(FC25=0,"",FF25/FC25)</f>
        <v/>
      </c>
      <c r="FI25" s="26" t="n"/>
      <c r="FJ25" s="236">
        <f>ER25+FA25</f>
        <v/>
      </c>
      <c r="FK25" s="236">
        <f>ES25+FB25</f>
        <v/>
      </c>
      <c r="FL25" s="236">
        <f>FJ25+FK25</f>
        <v/>
      </c>
      <c r="FM25" s="236">
        <f>EU25+FD25</f>
        <v/>
      </c>
      <c r="FN25" s="236">
        <f>EV25+FE25</f>
        <v/>
      </c>
      <c r="FO25" s="236">
        <f>FM25+FN25</f>
        <v/>
      </c>
      <c r="FP25" s="239">
        <f>FO25-FL25</f>
        <v/>
      </c>
      <c r="FQ25" s="237">
        <f>IF(FL25=0,"",FO25/FL25)</f>
        <v/>
      </c>
      <c r="FR25" s="33" t="n"/>
      <c r="FS25" s="233" t="n"/>
      <c r="FT25" s="233" t="n"/>
      <c r="FU25" s="233">
        <f>FS25+FT25</f>
        <v/>
      </c>
      <c r="FV25" s="233" t="n"/>
      <c r="FW25" s="233" t="n"/>
      <c r="FX25" s="233">
        <f>FV25+FW25</f>
        <v/>
      </c>
      <c r="FY25" s="238">
        <f>FX25-FU25</f>
        <v/>
      </c>
      <c r="FZ25" s="235">
        <f>IF(FU25=0,"",FX25/FU25)</f>
        <v/>
      </c>
      <c r="GA25" s="26" t="n"/>
      <c r="GB25" s="236">
        <f>FJ25+FS25</f>
        <v/>
      </c>
      <c r="GC25" s="236">
        <f>FK25+FT25</f>
        <v/>
      </c>
      <c r="GD25" s="236">
        <f>GB25+GC25</f>
        <v/>
      </c>
      <c r="GE25" s="236">
        <f>FM25+FV25</f>
        <v/>
      </c>
      <c r="GF25" s="236">
        <f>FN25+FW25</f>
        <v/>
      </c>
      <c r="GG25" s="236">
        <f>GE25+GF25</f>
        <v/>
      </c>
      <c r="GH25" s="239">
        <f>GG25-GD25</f>
        <v/>
      </c>
      <c r="GI25" s="237">
        <f>IF(GD25=0,"",GG25/GD25)</f>
        <v/>
      </c>
      <c r="GJ25" s="33" t="n"/>
      <c r="GK25" s="233" t="n"/>
      <c r="GL25" s="233" t="n"/>
      <c r="GM25" s="233">
        <f>GK25+GL25</f>
        <v/>
      </c>
      <c r="GN25" s="233" t="n"/>
      <c r="GO25" s="233" t="n"/>
      <c r="GP25" s="233">
        <f>GN25+GO25</f>
        <v/>
      </c>
      <c r="GQ25" s="238">
        <f>GP25-GM25</f>
        <v/>
      </c>
      <c r="GR25" s="235">
        <f>IF(GM25=0,"",GP25/GM25)</f>
        <v/>
      </c>
      <c r="GS25" s="26" t="n"/>
      <c r="GT25" s="236">
        <f>GB25+GK25</f>
        <v/>
      </c>
      <c r="GU25" s="236">
        <f>GC25+GL25</f>
        <v/>
      </c>
      <c r="GV25" s="236">
        <f>GT25+GU25</f>
        <v/>
      </c>
      <c r="GW25" s="236">
        <f>GE25+GN25</f>
        <v/>
      </c>
      <c r="GX25" s="236">
        <f>GF25+GO25</f>
        <v/>
      </c>
      <c r="GY25" s="236">
        <f>GW25+GX25</f>
        <v/>
      </c>
      <c r="GZ25" s="239">
        <f>GY25-GV25</f>
        <v/>
      </c>
      <c r="HA25" s="237">
        <f>IF(GV25=0,"",GY25/GV25)</f>
        <v/>
      </c>
      <c r="HB25" s="33" t="n"/>
      <c r="HC25" s="233">
        <f>GT25</f>
        <v/>
      </c>
      <c r="HD25" s="233">
        <f>GU25</f>
        <v/>
      </c>
      <c r="HE25" s="233">
        <f>HC25+HD25</f>
        <v/>
      </c>
    </row>
    <row r="26" outlineLevel="1" ht="15" customHeight="1" s="150">
      <c r="A26" s="26" t="n"/>
      <c r="B26" s="26" t="n"/>
      <c r="C26" s="26" t="n"/>
      <c r="D26" s="233" t="n"/>
      <c r="E26" s="233" t="n"/>
      <c r="F26" s="233">
        <f>D26+E26</f>
        <v/>
      </c>
      <c r="G26" s="233" t="n"/>
      <c r="H26" s="233" t="n"/>
      <c r="I26" s="233">
        <f>G26+H26</f>
        <v/>
      </c>
      <c r="J26" s="238">
        <f>I26-F26</f>
        <v/>
      </c>
      <c r="K26" s="235">
        <f>IF(F26=0,"",I26/F26)</f>
        <v/>
      </c>
      <c r="L26" s="26" t="n"/>
      <c r="M26" s="233" t="n"/>
      <c r="N26" s="233" t="n"/>
      <c r="O26" s="233">
        <f>M26+N26</f>
        <v/>
      </c>
      <c r="P26" s="233" t="n"/>
      <c r="Q26" s="233" t="n"/>
      <c r="R26" s="233">
        <f>P26+Q26</f>
        <v/>
      </c>
      <c r="S26" s="238">
        <f>R26-O26</f>
        <v/>
      </c>
      <c r="T26" s="235">
        <f>IF(O26=0,"",R26/O26)</f>
        <v/>
      </c>
      <c r="U26" s="26" t="n"/>
      <c r="V26" s="236">
        <f>D26+M26</f>
        <v/>
      </c>
      <c r="W26" s="236">
        <f>E26+N26</f>
        <v/>
      </c>
      <c r="X26" s="236">
        <f>V26+W26</f>
        <v/>
      </c>
      <c r="Y26" s="236">
        <f>G26+P26</f>
        <v/>
      </c>
      <c r="Z26" s="236">
        <f>H26+Q26</f>
        <v/>
      </c>
      <c r="AA26" s="236">
        <f>Y26+Z26</f>
        <v/>
      </c>
      <c r="AB26" s="239">
        <f>AA26-X26</f>
        <v/>
      </c>
      <c r="AC26" s="237">
        <f>IF(X26=0,"",AA26/X26)</f>
        <v/>
      </c>
      <c r="AD26" s="33" t="n"/>
      <c r="AE26" s="233" t="n"/>
      <c r="AF26" s="233" t="n"/>
      <c r="AG26" s="233">
        <f>AE26+AF26</f>
        <v/>
      </c>
      <c r="AH26" s="233" t="n"/>
      <c r="AI26" s="233" t="n"/>
      <c r="AJ26" s="233">
        <f>AH26+AI26</f>
        <v/>
      </c>
      <c r="AK26" s="238">
        <f>AJ26-AG26</f>
        <v/>
      </c>
      <c r="AL26" s="235">
        <f>IF(AG26=0,"",AJ26/AG26)</f>
        <v/>
      </c>
      <c r="AM26" s="26" t="n"/>
      <c r="AN26" s="236">
        <f>V26+AE26</f>
        <v/>
      </c>
      <c r="AO26" s="236">
        <f>W26+AF26</f>
        <v/>
      </c>
      <c r="AP26" s="236">
        <f>AN26+AO26</f>
        <v/>
      </c>
      <c r="AQ26" s="236">
        <f>Y26+AH26</f>
        <v/>
      </c>
      <c r="AR26" s="236">
        <f>Z26+AI26</f>
        <v/>
      </c>
      <c r="AS26" s="236">
        <f>AQ26+AR26</f>
        <v/>
      </c>
      <c r="AT26" s="239">
        <f>AS26-AP26</f>
        <v/>
      </c>
      <c r="AU26" s="237">
        <f>IF(AP26=0,"",AS26/AP26)</f>
        <v/>
      </c>
      <c r="AV26" s="33" t="n"/>
      <c r="AW26" s="233" t="n"/>
      <c r="AX26" s="233" t="n"/>
      <c r="AY26" s="233">
        <f>AW26+AX26</f>
        <v/>
      </c>
      <c r="AZ26" s="233" t="n"/>
      <c r="BA26" s="233" t="n"/>
      <c r="BB26" s="233">
        <f>AZ26+BA26</f>
        <v/>
      </c>
      <c r="BC26" s="238">
        <f>BB26-AY26</f>
        <v/>
      </c>
      <c r="BD26" s="235">
        <f>IF(AY26=0,"",BB26/AY26)</f>
        <v/>
      </c>
      <c r="BE26" s="26" t="n"/>
      <c r="BF26" s="236">
        <f>AN26+AW26</f>
        <v/>
      </c>
      <c r="BG26" s="236">
        <f>AO26+AX26</f>
        <v/>
      </c>
      <c r="BH26" s="236">
        <f>BF26+BG26</f>
        <v/>
      </c>
      <c r="BI26" s="236">
        <f>AQ26+AZ26</f>
        <v/>
      </c>
      <c r="BJ26" s="236">
        <f>AR26+BA26</f>
        <v/>
      </c>
      <c r="BK26" s="236">
        <f>BI26+BJ26</f>
        <v/>
      </c>
      <c r="BL26" s="239">
        <f>BK26-BH26</f>
        <v/>
      </c>
      <c r="BM26" s="237">
        <f>IF(BH26=0,"",BK26/BH26)</f>
        <v/>
      </c>
      <c r="BN26" s="33" t="n"/>
      <c r="BO26" s="233" t="n"/>
      <c r="BP26" s="233" t="n"/>
      <c r="BQ26" s="233">
        <f>BO26+BP26</f>
        <v/>
      </c>
      <c r="BR26" s="233" t="n"/>
      <c r="BS26" s="233" t="n"/>
      <c r="BT26" s="233">
        <f>BR26+BS26</f>
        <v/>
      </c>
      <c r="BU26" s="238">
        <f>BT26-BQ26</f>
        <v/>
      </c>
      <c r="BV26" s="235">
        <f>IF(BQ26=0,"",BT26/BQ26)</f>
        <v/>
      </c>
      <c r="BW26" s="26" t="n"/>
      <c r="BX26" s="236">
        <f>BF26+BO26</f>
        <v/>
      </c>
      <c r="BY26" s="236">
        <f>BG26+BP26</f>
        <v/>
      </c>
      <c r="BZ26" s="236">
        <f>BX26+BY26</f>
        <v/>
      </c>
      <c r="CA26" s="236">
        <f>BI26+BR26</f>
        <v/>
      </c>
      <c r="CB26" s="236">
        <f>BJ26+BS26</f>
        <v/>
      </c>
      <c r="CC26" s="236">
        <f>CA26+CB26</f>
        <v/>
      </c>
      <c r="CD26" s="239">
        <f>CC26-BZ26</f>
        <v/>
      </c>
      <c r="CE26" s="237">
        <f>IF(BZ26=0,"",CC26/BZ26)</f>
        <v/>
      </c>
      <c r="CF26" s="33" t="n"/>
      <c r="CG26" s="233" t="n"/>
      <c r="CH26" s="233" t="n"/>
      <c r="CI26" s="233">
        <f>CG26+CH26</f>
        <v/>
      </c>
      <c r="CJ26" s="233" t="n"/>
      <c r="CK26" s="233" t="n"/>
      <c r="CL26" s="233">
        <f>CJ26+CK26</f>
        <v/>
      </c>
      <c r="CM26" s="238">
        <f>CL26-CI26</f>
        <v/>
      </c>
      <c r="CN26" s="235">
        <f>IF(CI26=0,"",CL26/CI26)</f>
        <v/>
      </c>
      <c r="CO26" s="26" t="n"/>
      <c r="CP26" s="236">
        <f>BX26+CG26</f>
        <v/>
      </c>
      <c r="CQ26" s="236">
        <f>BY26+CH26</f>
        <v/>
      </c>
      <c r="CR26" s="236">
        <f>CP26+CQ26</f>
        <v/>
      </c>
      <c r="CS26" s="236">
        <f>CA26+CJ26</f>
        <v/>
      </c>
      <c r="CT26" s="236">
        <f>CB26+CK26</f>
        <v/>
      </c>
      <c r="CU26" s="236">
        <f>CS26+CT26</f>
        <v/>
      </c>
      <c r="CV26" s="239">
        <f>CU26-CR26</f>
        <v/>
      </c>
      <c r="CW26" s="237">
        <f>IF(CR26=0,"",CU26/CR26)</f>
        <v/>
      </c>
      <c r="CX26" s="33" t="n"/>
      <c r="CY26" s="233" t="n"/>
      <c r="CZ26" s="233" t="n"/>
      <c r="DA26" s="233">
        <f>CY26+CZ26</f>
        <v/>
      </c>
      <c r="DB26" s="233" t="n"/>
      <c r="DC26" s="233" t="n"/>
      <c r="DD26" s="233">
        <f>DB26+DC26</f>
        <v/>
      </c>
      <c r="DE26" s="238">
        <f>DD26-DA26</f>
        <v/>
      </c>
      <c r="DF26" s="235">
        <f>IF(DA26=0,"",DD26/DA26)</f>
        <v/>
      </c>
      <c r="DG26" s="26" t="n"/>
      <c r="DH26" s="236">
        <f>CP26+CY26</f>
        <v/>
      </c>
      <c r="DI26" s="236">
        <f>CQ26+CZ26</f>
        <v/>
      </c>
      <c r="DJ26" s="236">
        <f>DH26+DI26</f>
        <v/>
      </c>
      <c r="DK26" s="236">
        <f>CS26+DB26</f>
        <v/>
      </c>
      <c r="DL26" s="236">
        <f>CT26+DC26</f>
        <v/>
      </c>
      <c r="DM26" s="236">
        <f>DK26+DL26</f>
        <v/>
      </c>
      <c r="DN26" s="239">
        <f>DM26-DJ26</f>
        <v/>
      </c>
      <c r="DO26" s="237">
        <f>IF(DJ26=0,"",DM26/DJ26)</f>
        <v/>
      </c>
      <c r="DP26" s="33" t="n"/>
      <c r="DQ26" s="233" t="n"/>
      <c r="DR26" s="233" t="n"/>
      <c r="DS26" s="233">
        <f>DQ26+DR26</f>
        <v/>
      </c>
      <c r="DT26" s="233" t="n"/>
      <c r="DU26" s="233" t="n"/>
      <c r="DV26" s="233">
        <f>DT26+DU26</f>
        <v/>
      </c>
      <c r="DW26" s="238">
        <f>DV26-DS26</f>
        <v/>
      </c>
      <c r="DX26" s="235">
        <f>IF(DS26=0,"",DV26/DS26)</f>
        <v/>
      </c>
      <c r="DY26" s="26" t="n"/>
      <c r="DZ26" s="236">
        <f>DH26+DQ26</f>
        <v/>
      </c>
      <c r="EA26" s="236">
        <f>DI26+DR26</f>
        <v/>
      </c>
      <c r="EB26" s="236">
        <f>DZ26+EA26</f>
        <v/>
      </c>
      <c r="EC26" s="236">
        <f>DK26+DT26</f>
        <v/>
      </c>
      <c r="ED26" s="236">
        <f>DL26+DU26</f>
        <v/>
      </c>
      <c r="EE26" s="236">
        <f>EC26+ED26</f>
        <v/>
      </c>
      <c r="EF26" s="239">
        <f>EE26-EB26</f>
        <v/>
      </c>
      <c r="EG26" s="237">
        <f>IF(EB26=0,"",EE26/EB26)</f>
        <v/>
      </c>
      <c r="EH26" s="33" t="n"/>
      <c r="EI26" s="233" t="n"/>
      <c r="EJ26" s="233" t="n"/>
      <c r="EK26" s="233">
        <f>EI26+EJ26</f>
        <v/>
      </c>
      <c r="EL26" s="233" t="n"/>
      <c r="EM26" s="233" t="n"/>
      <c r="EN26" s="233">
        <f>EL26+EM26</f>
        <v/>
      </c>
      <c r="EO26" s="238">
        <f>EN26-EK26</f>
        <v/>
      </c>
      <c r="EP26" s="235">
        <f>IF(EK26=0,"",EN26/EK26)</f>
        <v/>
      </c>
      <c r="EQ26" s="26" t="n"/>
      <c r="ER26" s="236">
        <f>DZ26+EI26</f>
        <v/>
      </c>
      <c r="ES26" s="236">
        <f>EA26+EJ26</f>
        <v/>
      </c>
      <c r="ET26" s="236">
        <f>ER26+ES26</f>
        <v/>
      </c>
      <c r="EU26" s="236">
        <f>EC26+EL26</f>
        <v/>
      </c>
      <c r="EV26" s="236">
        <f>ED26+EM26</f>
        <v/>
      </c>
      <c r="EW26" s="236">
        <f>EU26+EV26</f>
        <v/>
      </c>
      <c r="EX26" s="239">
        <f>EW26-ET26</f>
        <v/>
      </c>
      <c r="EY26" s="237">
        <f>IF(ET26=0,"",EW26/ET26)</f>
        <v/>
      </c>
      <c r="EZ26" s="33" t="n"/>
      <c r="FA26" s="233" t="n"/>
      <c r="FB26" s="233" t="n"/>
      <c r="FC26" s="233">
        <f>FA26+FB26</f>
        <v/>
      </c>
      <c r="FD26" s="233" t="n"/>
      <c r="FE26" s="233" t="n"/>
      <c r="FF26" s="233">
        <f>FD26+FE26</f>
        <v/>
      </c>
      <c r="FG26" s="238">
        <f>FF26-FC26</f>
        <v/>
      </c>
      <c r="FH26" s="235">
        <f>IF(FC26=0,"",FF26/FC26)</f>
        <v/>
      </c>
      <c r="FI26" s="26" t="n"/>
      <c r="FJ26" s="236">
        <f>ER26+FA26</f>
        <v/>
      </c>
      <c r="FK26" s="236">
        <f>ES26+FB26</f>
        <v/>
      </c>
      <c r="FL26" s="236">
        <f>FJ26+FK26</f>
        <v/>
      </c>
      <c r="FM26" s="236">
        <f>EU26+FD26</f>
        <v/>
      </c>
      <c r="FN26" s="236">
        <f>EV26+FE26</f>
        <v/>
      </c>
      <c r="FO26" s="236">
        <f>FM26+FN26</f>
        <v/>
      </c>
      <c r="FP26" s="239">
        <f>FO26-FL26</f>
        <v/>
      </c>
      <c r="FQ26" s="237">
        <f>IF(FL26=0,"",FO26/FL26)</f>
        <v/>
      </c>
      <c r="FR26" s="33" t="n"/>
      <c r="FS26" s="233" t="n"/>
      <c r="FT26" s="233" t="n"/>
      <c r="FU26" s="233">
        <f>FS26+FT26</f>
        <v/>
      </c>
      <c r="FV26" s="233" t="n"/>
      <c r="FW26" s="233" t="n"/>
      <c r="FX26" s="233">
        <f>FV26+FW26</f>
        <v/>
      </c>
      <c r="FY26" s="238">
        <f>FX26-FU26</f>
        <v/>
      </c>
      <c r="FZ26" s="235">
        <f>IF(FU26=0,"",FX26/FU26)</f>
        <v/>
      </c>
      <c r="GA26" s="26" t="n"/>
      <c r="GB26" s="236">
        <f>FJ26+FS26</f>
        <v/>
      </c>
      <c r="GC26" s="236">
        <f>FK26+FT26</f>
        <v/>
      </c>
      <c r="GD26" s="236">
        <f>GB26+GC26</f>
        <v/>
      </c>
      <c r="GE26" s="236">
        <f>FM26+FV26</f>
        <v/>
      </c>
      <c r="GF26" s="236">
        <f>FN26+FW26</f>
        <v/>
      </c>
      <c r="GG26" s="236">
        <f>GE26+GF26</f>
        <v/>
      </c>
      <c r="GH26" s="239">
        <f>GG26-GD26</f>
        <v/>
      </c>
      <c r="GI26" s="237">
        <f>IF(GD26=0,"",GG26/GD26)</f>
        <v/>
      </c>
      <c r="GJ26" s="33" t="n"/>
      <c r="GK26" s="233" t="n"/>
      <c r="GL26" s="233" t="n"/>
      <c r="GM26" s="233">
        <f>GK26+GL26</f>
        <v/>
      </c>
      <c r="GN26" s="233" t="n"/>
      <c r="GO26" s="233" t="n"/>
      <c r="GP26" s="233">
        <f>GN26+GO26</f>
        <v/>
      </c>
      <c r="GQ26" s="238">
        <f>GP26-GM26</f>
        <v/>
      </c>
      <c r="GR26" s="235">
        <f>IF(GM26=0,"",GP26/GM26)</f>
        <v/>
      </c>
      <c r="GS26" s="26" t="n"/>
      <c r="GT26" s="236">
        <f>GB26+GK26</f>
        <v/>
      </c>
      <c r="GU26" s="236">
        <f>GC26+GL26</f>
        <v/>
      </c>
      <c r="GV26" s="236">
        <f>GT26+GU26</f>
        <v/>
      </c>
      <c r="GW26" s="236">
        <f>GE26+GN26</f>
        <v/>
      </c>
      <c r="GX26" s="236">
        <f>GF26+GO26</f>
        <v/>
      </c>
      <c r="GY26" s="236">
        <f>GW26+GX26</f>
        <v/>
      </c>
      <c r="GZ26" s="239">
        <f>GY26-GV26</f>
        <v/>
      </c>
      <c r="HA26" s="237">
        <f>IF(GV26=0,"",GY26/GV26)</f>
        <v/>
      </c>
      <c r="HB26" s="33" t="n"/>
      <c r="HC26" s="233">
        <f>GT26</f>
        <v/>
      </c>
      <c r="HD26" s="233">
        <f>GU26</f>
        <v/>
      </c>
      <c r="HE26" s="233">
        <f>HC26+HD26</f>
        <v/>
      </c>
    </row>
    <row r="27" outlineLevel="1" ht="15" customHeight="1" s="150">
      <c r="A27" s="26" t="n"/>
      <c r="B27" s="26" t="n"/>
      <c r="C27" s="26" t="n"/>
      <c r="D27" s="233" t="n"/>
      <c r="E27" s="233" t="n"/>
      <c r="F27" s="233">
        <f>D27+E27</f>
        <v/>
      </c>
      <c r="G27" s="233" t="n"/>
      <c r="H27" s="233" t="n"/>
      <c r="I27" s="233">
        <f>G27+H27</f>
        <v/>
      </c>
      <c r="J27" s="238">
        <f>I27-F27</f>
        <v/>
      </c>
      <c r="K27" s="235">
        <f>IF(F27=0,"",I27/F27)</f>
        <v/>
      </c>
      <c r="L27" s="26" t="n"/>
      <c r="M27" s="233" t="n"/>
      <c r="N27" s="233" t="n"/>
      <c r="O27" s="233">
        <f>M27+N27</f>
        <v/>
      </c>
      <c r="P27" s="233" t="n"/>
      <c r="Q27" s="233" t="n"/>
      <c r="R27" s="233">
        <f>P27+Q27</f>
        <v/>
      </c>
      <c r="S27" s="238">
        <f>R27-O27</f>
        <v/>
      </c>
      <c r="T27" s="235">
        <f>IF(O27=0,"",R27/O27)</f>
        <v/>
      </c>
      <c r="U27" s="26" t="n"/>
      <c r="V27" s="236">
        <f>D27+M27</f>
        <v/>
      </c>
      <c r="W27" s="236">
        <f>E27+N27</f>
        <v/>
      </c>
      <c r="X27" s="236">
        <f>V27+W27</f>
        <v/>
      </c>
      <c r="Y27" s="236">
        <f>G27+P27</f>
        <v/>
      </c>
      <c r="Z27" s="236">
        <f>H27+Q27</f>
        <v/>
      </c>
      <c r="AA27" s="236">
        <f>Y27+Z27</f>
        <v/>
      </c>
      <c r="AB27" s="239">
        <f>AA27-X27</f>
        <v/>
      </c>
      <c r="AC27" s="237">
        <f>IF(X27=0,"",AA27/X27)</f>
        <v/>
      </c>
      <c r="AD27" s="33" t="n"/>
      <c r="AE27" s="233" t="n"/>
      <c r="AF27" s="233" t="n"/>
      <c r="AG27" s="233">
        <f>AE27+AF27</f>
        <v/>
      </c>
      <c r="AH27" s="233" t="n"/>
      <c r="AI27" s="233" t="n"/>
      <c r="AJ27" s="233">
        <f>AH27+AI27</f>
        <v/>
      </c>
      <c r="AK27" s="238">
        <f>AJ27-AG27</f>
        <v/>
      </c>
      <c r="AL27" s="235">
        <f>IF(AG27=0,"",AJ27/AG27)</f>
        <v/>
      </c>
      <c r="AM27" s="26" t="n"/>
      <c r="AN27" s="236">
        <f>V27+AE27</f>
        <v/>
      </c>
      <c r="AO27" s="236">
        <f>W27+AF27</f>
        <v/>
      </c>
      <c r="AP27" s="236">
        <f>AN27+AO27</f>
        <v/>
      </c>
      <c r="AQ27" s="236">
        <f>Y27+AH27</f>
        <v/>
      </c>
      <c r="AR27" s="236">
        <f>Z27+AI27</f>
        <v/>
      </c>
      <c r="AS27" s="236">
        <f>AQ27+AR27</f>
        <v/>
      </c>
      <c r="AT27" s="239">
        <f>AS27-AP27</f>
        <v/>
      </c>
      <c r="AU27" s="237">
        <f>IF(AP27=0,"",AS27/AP27)</f>
        <v/>
      </c>
      <c r="AV27" s="33" t="n"/>
      <c r="AW27" s="233" t="n"/>
      <c r="AX27" s="233" t="n"/>
      <c r="AY27" s="233">
        <f>AW27+AX27</f>
        <v/>
      </c>
      <c r="AZ27" s="233" t="n"/>
      <c r="BA27" s="233" t="n"/>
      <c r="BB27" s="233">
        <f>AZ27+BA27</f>
        <v/>
      </c>
      <c r="BC27" s="238">
        <f>BB27-AY27</f>
        <v/>
      </c>
      <c r="BD27" s="235">
        <f>IF(AY27=0,"",BB27/AY27)</f>
        <v/>
      </c>
      <c r="BE27" s="26" t="n"/>
      <c r="BF27" s="236">
        <f>AN27+AW27</f>
        <v/>
      </c>
      <c r="BG27" s="236">
        <f>AO27+AX27</f>
        <v/>
      </c>
      <c r="BH27" s="236">
        <f>BF27+BG27</f>
        <v/>
      </c>
      <c r="BI27" s="236">
        <f>AQ27+AZ27</f>
        <v/>
      </c>
      <c r="BJ27" s="236">
        <f>AR27+BA27</f>
        <v/>
      </c>
      <c r="BK27" s="236">
        <f>BI27+BJ27</f>
        <v/>
      </c>
      <c r="BL27" s="239">
        <f>BK27-BH27</f>
        <v/>
      </c>
      <c r="BM27" s="237">
        <f>IF(BH27=0,"",BK27/BH27)</f>
        <v/>
      </c>
      <c r="BN27" s="33" t="n"/>
      <c r="BO27" s="233" t="n"/>
      <c r="BP27" s="233" t="n"/>
      <c r="BQ27" s="233">
        <f>BO27+BP27</f>
        <v/>
      </c>
      <c r="BR27" s="233" t="n"/>
      <c r="BS27" s="233" t="n"/>
      <c r="BT27" s="233">
        <f>BR27+BS27</f>
        <v/>
      </c>
      <c r="BU27" s="238">
        <f>BT27-BQ27</f>
        <v/>
      </c>
      <c r="BV27" s="235">
        <f>IF(BQ27=0,"",BT27/BQ27)</f>
        <v/>
      </c>
      <c r="BW27" s="26" t="n"/>
      <c r="BX27" s="236">
        <f>BF27+BO27</f>
        <v/>
      </c>
      <c r="BY27" s="236">
        <f>BG27+BP27</f>
        <v/>
      </c>
      <c r="BZ27" s="236">
        <f>BX27+BY27</f>
        <v/>
      </c>
      <c r="CA27" s="236">
        <f>BI27+BR27</f>
        <v/>
      </c>
      <c r="CB27" s="236">
        <f>BJ27+BS27</f>
        <v/>
      </c>
      <c r="CC27" s="236">
        <f>CA27+CB27</f>
        <v/>
      </c>
      <c r="CD27" s="239">
        <f>CC27-BZ27</f>
        <v/>
      </c>
      <c r="CE27" s="237">
        <f>IF(BZ27=0,"",CC27/BZ27)</f>
        <v/>
      </c>
      <c r="CF27" s="33" t="n"/>
      <c r="CG27" s="233" t="n"/>
      <c r="CH27" s="233" t="n"/>
      <c r="CI27" s="233">
        <f>CG27+CH27</f>
        <v/>
      </c>
      <c r="CJ27" s="233" t="n"/>
      <c r="CK27" s="233" t="n"/>
      <c r="CL27" s="233">
        <f>CJ27+CK27</f>
        <v/>
      </c>
      <c r="CM27" s="238">
        <f>CL27-CI27</f>
        <v/>
      </c>
      <c r="CN27" s="235">
        <f>IF(CI27=0,"",CL27/CI27)</f>
        <v/>
      </c>
      <c r="CO27" s="26" t="n"/>
      <c r="CP27" s="236">
        <f>BX27+CG27</f>
        <v/>
      </c>
      <c r="CQ27" s="236">
        <f>BY27+CH27</f>
        <v/>
      </c>
      <c r="CR27" s="236">
        <f>CP27+CQ27</f>
        <v/>
      </c>
      <c r="CS27" s="236">
        <f>CA27+CJ27</f>
        <v/>
      </c>
      <c r="CT27" s="236">
        <f>CB27+CK27</f>
        <v/>
      </c>
      <c r="CU27" s="236">
        <f>CS27+CT27</f>
        <v/>
      </c>
      <c r="CV27" s="239">
        <f>CU27-CR27</f>
        <v/>
      </c>
      <c r="CW27" s="237">
        <f>IF(CR27=0,"",CU27/CR27)</f>
        <v/>
      </c>
      <c r="CX27" s="33" t="n"/>
      <c r="CY27" s="233" t="n"/>
      <c r="CZ27" s="233" t="n"/>
      <c r="DA27" s="233">
        <f>CY27+CZ27</f>
        <v/>
      </c>
      <c r="DB27" s="233" t="n"/>
      <c r="DC27" s="233" t="n"/>
      <c r="DD27" s="233">
        <f>DB27+DC27</f>
        <v/>
      </c>
      <c r="DE27" s="238">
        <f>DD27-DA27</f>
        <v/>
      </c>
      <c r="DF27" s="235">
        <f>IF(DA27=0,"",DD27/DA27)</f>
        <v/>
      </c>
      <c r="DG27" s="26" t="n"/>
      <c r="DH27" s="236">
        <f>CP27+CY27</f>
        <v/>
      </c>
      <c r="DI27" s="236">
        <f>CQ27+CZ27</f>
        <v/>
      </c>
      <c r="DJ27" s="236">
        <f>DH27+DI27</f>
        <v/>
      </c>
      <c r="DK27" s="236">
        <f>CS27+DB27</f>
        <v/>
      </c>
      <c r="DL27" s="236">
        <f>CT27+DC27</f>
        <v/>
      </c>
      <c r="DM27" s="236">
        <f>DK27+DL27</f>
        <v/>
      </c>
      <c r="DN27" s="239">
        <f>DM27-DJ27</f>
        <v/>
      </c>
      <c r="DO27" s="237">
        <f>IF(DJ27=0,"",DM27/DJ27)</f>
        <v/>
      </c>
      <c r="DP27" s="33" t="n"/>
      <c r="DQ27" s="233" t="n"/>
      <c r="DR27" s="233" t="n"/>
      <c r="DS27" s="233">
        <f>DQ27+DR27</f>
        <v/>
      </c>
      <c r="DT27" s="233" t="n"/>
      <c r="DU27" s="233" t="n"/>
      <c r="DV27" s="233">
        <f>DT27+DU27</f>
        <v/>
      </c>
      <c r="DW27" s="238">
        <f>DV27-DS27</f>
        <v/>
      </c>
      <c r="DX27" s="235">
        <f>IF(DS27=0,"",DV27/DS27)</f>
        <v/>
      </c>
      <c r="DY27" s="26" t="n"/>
      <c r="DZ27" s="236">
        <f>DH27+DQ27</f>
        <v/>
      </c>
      <c r="EA27" s="236">
        <f>DI27+DR27</f>
        <v/>
      </c>
      <c r="EB27" s="236">
        <f>DZ27+EA27</f>
        <v/>
      </c>
      <c r="EC27" s="236">
        <f>DK27+DT27</f>
        <v/>
      </c>
      <c r="ED27" s="236">
        <f>DL27+DU27</f>
        <v/>
      </c>
      <c r="EE27" s="236">
        <f>EC27+ED27</f>
        <v/>
      </c>
      <c r="EF27" s="239">
        <f>EE27-EB27</f>
        <v/>
      </c>
      <c r="EG27" s="237">
        <f>IF(EB27=0,"",EE27/EB27)</f>
        <v/>
      </c>
      <c r="EH27" s="33" t="n"/>
      <c r="EI27" s="233" t="n"/>
      <c r="EJ27" s="233" t="n"/>
      <c r="EK27" s="233">
        <f>EI27+EJ27</f>
        <v/>
      </c>
      <c r="EL27" s="233" t="n"/>
      <c r="EM27" s="233" t="n"/>
      <c r="EN27" s="233">
        <f>EL27+EM27</f>
        <v/>
      </c>
      <c r="EO27" s="238">
        <f>EN27-EK27</f>
        <v/>
      </c>
      <c r="EP27" s="235">
        <f>IF(EK27=0,"",EN27/EK27)</f>
        <v/>
      </c>
      <c r="EQ27" s="26" t="n"/>
      <c r="ER27" s="236">
        <f>DZ27+EI27</f>
        <v/>
      </c>
      <c r="ES27" s="236">
        <f>EA27+EJ27</f>
        <v/>
      </c>
      <c r="ET27" s="236">
        <f>ER27+ES27</f>
        <v/>
      </c>
      <c r="EU27" s="236">
        <f>EC27+EL27</f>
        <v/>
      </c>
      <c r="EV27" s="236">
        <f>ED27+EM27</f>
        <v/>
      </c>
      <c r="EW27" s="236">
        <f>EU27+EV27</f>
        <v/>
      </c>
      <c r="EX27" s="239">
        <f>EW27-ET27</f>
        <v/>
      </c>
      <c r="EY27" s="237">
        <f>IF(ET27=0,"",EW27/ET27)</f>
        <v/>
      </c>
      <c r="EZ27" s="33" t="n"/>
      <c r="FA27" s="233" t="n"/>
      <c r="FB27" s="233" t="n"/>
      <c r="FC27" s="233">
        <f>FA27+FB27</f>
        <v/>
      </c>
      <c r="FD27" s="233" t="n"/>
      <c r="FE27" s="233" t="n"/>
      <c r="FF27" s="233">
        <f>FD27+FE27</f>
        <v/>
      </c>
      <c r="FG27" s="238">
        <f>FF27-FC27</f>
        <v/>
      </c>
      <c r="FH27" s="235">
        <f>IF(FC27=0,"",FF27/FC27)</f>
        <v/>
      </c>
      <c r="FI27" s="26" t="n"/>
      <c r="FJ27" s="236">
        <f>ER27+FA27</f>
        <v/>
      </c>
      <c r="FK27" s="236">
        <f>ES27+FB27</f>
        <v/>
      </c>
      <c r="FL27" s="236">
        <f>FJ27+FK27</f>
        <v/>
      </c>
      <c r="FM27" s="236">
        <f>EU27+FD27</f>
        <v/>
      </c>
      <c r="FN27" s="236">
        <f>EV27+FE27</f>
        <v/>
      </c>
      <c r="FO27" s="236">
        <f>FM27+FN27</f>
        <v/>
      </c>
      <c r="FP27" s="239">
        <f>FO27-FL27</f>
        <v/>
      </c>
      <c r="FQ27" s="237">
        <f>IF(FL27=0,"",FO27/FL27)</f>
        <v/>
      </c>
      <c r="FR27" s="33" t="n"/>
      <c r="FS27" s="233" t="n"/>
      <c r="FT27" s="233" t="n"/>
      <c r="FU27" s="233">
        <f>FS27+FT27</f>
        <v/>
      </c>
      <c r="FV27" s="233" t="n"/>
      <c r="FW27" s="233" t="n"/>
      <c r="FX27" s="233">
        <f>FV27+FW27</f>
        <v/>
      </c>
      <c r="FY27" s="238">
        <f>FX27-FU27</f>
        <v/>
      </c>
      <c r="FZ27" s="235">
        <f>IF(FU27=0,"",FX27/FU27)</f>
        <v/>
      </c>
      <c r="GA27" s="26" t="n"/>
      <c r="GB27" s="236">
        <f>FJ27+FS27</f>
        <v/>
      </c>
      <c r="GC27" s="236">
        <f>FK27+FT27</f>
        <v/>
      </c>
      <c r="GD27" s="236">
        <f>GB27+GC27</f>
        <v/>
      </c>
      <c r="GE27" s="236">
        <f>FM27+FV27</f>
        <v/>
      </c>
      <c r="GF27" s="236">
        <f>FN27+FW27</f>
        <v/>
      </c>
      <c r="GG27" s="236">
        <f>GE27+GF27</f>
        <v/>
      </c>
      <c r="GH27" s="239">
        <f>GG27-GD27</f>
        <v/>
      </c>
      <c r="GI27" s="237">
        <f>IF(GD27=0,"",GG27/GD27)</f>
        <v/>
      </c>
      <c r="GJ27" s="33" t="n"/>
      <c r="GK27" s="233" t="n"/>
      <c r="GL27" s="233" t="n"/>
      <c r="GM27" s="233">
        <f>GK27+GL27</f>
        <v/>
      </c>
      <c r="GN27" s="233" t="n"/>
      <c r="GO27" s="233" t="n"/>
      <c r="GP27" s="233">
        <f>GN27+GO27</f>
        <v/>
      </c>
      <c r="GQ27" s="238">
        <f>GP27-GM27</f>
        <v/>
      </c>
      <c r="GR27" s="235">
        <f>IF(GM27=0,"",GP27/GM27)</f>
        <v/>
      </c>
      <c r="GS27" s="26" t="n"/>
      <c r="GT27" s="236">
        <f>GB27+GK27</f>
        <v/>
      </c>
      <c r="GU27" s="236">
        <f>GC27+GL27</f>
        <v/>
      </c>
      <c r="GV27" s="236">
        <f>GT27+GU27</f>
        <v/>
      </c>
      <c r="GW27" s="236">
        <f>GE27+GN27</f>
        <v/>
      </c>
      <c r="GX27" s="236">
        <f>GF27+GO27</f>
        <v/>
      </c>
      <c r="GY27" s="236">
        <f>GW27+GX27</f>
        <v/>
      </c>
      <c r="GZ27" s="239">
        <f>GY27-GV27</f>
        <v/>
      </c>
      <c r="HA27" s="237">
        <f>IF(GV27=0,"",GY27/GV27)</f>
        <v/>
      </c>
      <c r="HB27" s="33" t="n"/>
      <c r="HC27" s="233">
        <f>GT27</f>
        <v/>
      </c>
      <c r="HD27" s="233">
        <f>GU27</f>
        <v/>
      </c>
      <c r="HE27" s="233">
        <f>HC27+HD27</f>
        <v/>
      </c>
    </row>
    <row r="28" outlineLevel="1" ht="15" customHeight="1" s="150">
      <c r="A28" s="26" t="n"/>
      <c r="B28" s="26" t="n"/>
      <c r="C28" s="26" t="n"/>
      <c r="D28" s="233" t="n"/>
      <c r="E28" s="233" t="n"/>
      <c r="F28" s="233">
        <f>D28+E28</f>
        <v/>
      </c>
      <c r="G28" s="233" t="n"/>
      <c r="H28" s="233" t="n"/>
      <c r="I28" s="233">
        <f>G28+H28</f>
        <v/>
      </c>
      <c r="J28" s="238">
        <f>I28-F28</f>
        <v/>
      </c>
      <c r="K28" s="235">
        <f>IF(F28=0,"",I28/F28)</f>
        <v/>
      </c>
      <c r="L28" s="26" t="n"/>
      <c r="M28" s="233" t="n"/>
      <c r="N28" s="233" t="n"/>
      <c r="O28" s="233">
        <f>M28+N28</f>
        <v/>
      </c>
      <c r="P28" s="233" t="n"/>
      <c r="Q28" s="233" t="n"/>
      <c r="R28" s="233">
        <f>P28+Q28</f>
        <v/>
      </c>
      <c r="S28" s="238">
        <f>R28-O28</f>
        <v/>
      </c>
      <c r="T28" s="235">
        <f>IF(O28=0,"",R28/O28)</f>
        <v/>
      </c>
      <c r="U28" s="26" t="n"/>
      <c r="V28" s="236">
        <f>D28+M28</f>
        <v/>
      </c>
      <c r="W28" s="236">
        <f>E28+N28</f>
        <v/>
      </c>
      <c r="X28" s="236">
        <f>V28+W28</f>
        <v/>
      </c>
      <c r="Y28" s="236">
        <f>G28+P28</f>
        <v/>
      </c>
      <c r="Z28" s="236">
        <f>H28+Q28</f>
        <v/>
      </c>
      <c r="AA28" s="236">
        <f>Y28+Z28</f>
        <v/>
      </c>
      <c r="AB28" s="239">
        <f>AA28-X28</f>
        <v/>
      </c>
      <c r="AC28" s="237">
        <f>IF(X28=0,"",AA28/X28)</f>
        <v/>
      </c>
      <c r="AD28" s="33" t="n"/>
      <c r="AE28" s="233" t="n"/>
      <c r="AF28" s="233" t="n"/>
      <c r="AG28" s="233">
        <f>AE28+AF28</f>
        <v/>
      </c>
      <c r="AH28" s="233" t="n"/>
      <c r="AI28" s="233" t="n"/>
      <c r="AJ28" s="233">
        <f>AH28+AI28</f>
        <v/>
      </c>
      <c r="AK28" s="238">
        <f>AJ28-AG28</f>
        <v/>
      </c>
      <c r="AL28" s="235">
        <f>IF(AG28=0,"",AJ28/AG28)</f>
        <v/>
      </c>
      <c r="AM28" s="26" t="n"/>
      <c r="AN28" s="236">
        <f>V28+AE28</f>
        <v/>
      </c>
      <c r="AO28" s="236">
        <f>W28+AF28</f>
        <v/>
      </c>
      <c r="AP28" s="236">
        <f>AN28+AO28</f>
        <v/>
      </c>
      <c r="AQ28" s="236">
        <f>Y28+AH28</f>
        <v/>
      </c>
      <c r="AR28" s="236">
        <f>Z28+AI28</f>
        <v/>
      </c>
      <c r="AS28" s="236">
        <f>AQ28+AR28</f>
        <v/>
      </c>
      <c r="AT28" s="239">
        <f>AS28-AP28</f>
        <v/>
      </c>
      <c r="AU28" s="237">
        <f>IF(AP28=0,"",AS28/AP28)</f>
        <v/>
      </c>
      <c r="AV28" s="33" t="n"/>
      <c r="AW28" s="233" t="n"/>
      <c r="AX28" s="233" t="n"/>
      <c r="AY28" s="233">
        <f>AW28+AX28</f>
        <v/>
      </c>
      <c r="AZ28" s="233" t="n"/>
      <c r="BA28" s="233" t="n"/>
      <c r="BB28" s="233">
        <f>AZ28+BA28</f>
        <v/>
      </c>
      <c r="BC28" s="238">
        <f>BB28-AY28</f>
        <v/>
      </c>
      <c r="BD28" s="235">
        <f>IF(AY28=0,"",BB28/AY28)</f>
        <v/>
      </c>
      <c r="BE28" s="26" t="n"/>
      <c r="BF28" s="236">
        <f>AN28+AW28</f>
        <v/>
      </c>
      <c r="BG28" s="236">
        <f>AO28+AX28</f>
        <v/>
      </c>
      <c r="BH28" s="236">
        <f>BF28+BG28</f>
        <v/>
      </c>
      <c r="BI28" s="236">
        <f>AQ28+AZ28</f>
        <v/>
      </c>
      <c r="BJ28" s="236">
        <f>AR28+BA28</f>
        <v/>
      </c>
      <c r="BK28" s="236">
        <f>BI28+BJ28</f>
        <v/>
      </c>
      <c r="BL28" s="239">
        <f>BK28-BH28</f>
        <v/>
      </c>
      <c r="BM28" s="237">
        <f>IF(BH28=0,"",BK28/BH28)</f>
        <v/>
      </c>
      <c r="BN28" s="33" t="n"/>
      <c r="BO28" s="233" t="n"/>
      <c r="BP28" s="233" t="n"/>
      <c r="BQ28" s="233">
        <f>BO28+BP28</f>
        <v/>
      </c>
      <c r="BR28" s="233" t="n"/>
      <c r="BS28" s="233" t="n"/>
      <c r="BT28" s="233">
        <f>BR28+BS28</f>
        <v/>
      </c>
      <c r="BU28" s="238">
        <f>BT28-BQ28</f>
        <v/>
      </c>
      <c r="BV28" s="235">
        <f>IF(BQ28=0,"",BT28/BQ28)</f>
        <v/>
      </c>
      <c r="BW28" s="26" t="n"/>
      <c r="BX28" s="236">
        <f>BF28+BO28</f>
        <v/>
      </c>
      <c r="BY28" s="236">
        <f>BG28+BP28</f>
        <v/>
      </c>
      <c r="BZ28" s="236">
        <f>BX28+BY28</f>
        <v/>
      </c>
      <c r="CA28" s="236">
        <f>BI28+BR28</f>
        <v/>
      </c>
      <c r="CB28" s="236">
        <f>BJ28+BS28</f>
        <v/>
      </c>
      <c r="CC28" s="236">
        <f>CA28+CB28</f>
        <v/>
      </c>
      <c r="CD28" s="239">
        <f>CC28-BZ28</f>
        <v/>
      </c>
      <c r="CE28" s="237">
        <f>IF(BZ28=0,"",CC28/BZ28)</f>
        <v/>
      </c>
      <c r="CF28" s="33" t="n"/>
      <c r="CG28" s="233" t="n"/>
      <c r="CH28" s="233" t="n"/>
      <c r="CI28" s="233">
        <f>CG28+CH28</f>
        <v/>
      </c>
      <c r="CJ28" s="233" t="n"/>
      <c r="CK28" s="233" t="n"/>
      <c r="CL28" s="233">
        <f>CJ28+CK28</f>
        <v/>
      </c>
      <c r="CM28" s="238">
        <f>CL28-CI28</f>
        <v/>
      </c>
      <c r="CN28" s="235">
        <f>IF(CI28=0,"",CL28/CI28)</f>
        <v/>
      </c>
      <c r="CO28" s="26" t="n"/>
      <c r="CP28" s="236">
        <f>BX28+CG28</f>
        <v/>
      </c>
      <c r="CQ28" s="236">
        <f>BY28+CH28</f>
        <v/>
      </c>
      <c r="CR28" s="236">
        <f>CP28+CQ28</f>
        <v/>
      </c>
      <c r="CS28" s="236">
        <f>CA28+CJ28</f>
        <v/>
      </c>
      <c r="CT28" s="236">
        <f>CB28+CK28</f>
        <v/>
      </c>
      <c r="CU28" s="236">
        <f>CS28+CT28</f>
        <v/>
      </c>
      <c r="CV28" s="239">
        <f>CU28-CR28</f>
        <v/>
      </c>
      <c r="CW28" s="237">
        <f>IF(CR28=0,"",CU28/CR28)</f>
        <v/>
      </c>
      <c r="CX28" s="33" t="n"/>
      <c r="CY28" s="233" t="n"/>
      <c r="CZ28" s="233" t="n"/>
      <c r="DA28" s="233">
        <f>CY28+CZ28</f>
        <v/>
      </c>
      <c r="DB28" s="233" t="n"/>
      <c r="DC28" s="233" t="n"/>
      <c r="DD28" s="233">
        <f>DB28+DC28</f>
        <v/>
      </c>
      <c r="DE28" s="238">
        <f>DD28-DA28</f>
        <v/>
      </c>
      <c r="DF28" s="235">
        <f>IF(DA28=0,"",DD28/DA28)</f>
        <v/>
      </c>
      <c r="DG28" s="26" t="n"/>
      <c r="DH28" s="236">
        <f>CP28+CY28</f>
        <v/>
      </c>
      <c r="DI28" s="236">
        <f>CQ28+CZ28</f>
        <v/>
      </c>
      <c r="DJ28" s="236">
        <f>DH28+DI28</f>
        <v/>
      </c>
      <c r="DK28" s="236">
        <f>CS28+DB28</f>
        <v/>
      </c>
      <c r="DL28" s="236">
        <f>CT28+DC28</f>
        <v/>
      </c>
      <c r="DM28" s="236">
        <f>DK28+DL28</f>
        <v/>
      </c>
      <c r="DN28" s="239">
        <f>DM28-DJ28</f>
        <v/>
      </c>
      <c r="DO28" s="237">
        <f>IF(DJ28=0,"",DM28/DJ28)</f>
        <v/>
      </c>
      <c r="DP28" s="33" t="n"/>
      <c r="DQ28" s="233" t="n"/>
      <c r="DR28" s="233" t="n"/>
      <c r="DS28" s="233">
        <f>DQ28+DR28</f>
        <v/>
      </c>
      <c r="DT28" s="233" t="n"/>
      <c r="DU28" s="233" t="n"/>
      <c r="DV28" s="233">
        <f>DT28+DU28</f>
        <v/>
      </c>
      <c r="DW28" s="238">
        <f>DV28-DS28</f>
        <v/>
      </c>
      <c r="DX28" s="235">
        <f>IF(DS28=0,"",DV28/DS28)</f>
        <v/>
      </c>
      <c r="DY28" s="26" t="n"/>
      <c r="DZ28" s="236">
        <f>DH28+DQ28</f>
        <v/>
      </c>
      <c r="EA28" s="236">
        <f>DI28+DR28</f>
        <v/>
      </c>
      <c r="EB28" s="236">
        <f>DZ28+EA28</f>
        <v/>
      </c>
      <c r="EC28" s="236">
        <f>DK28+DT28</f>
        <v/>
      </c>
      <c r="ED28" s="236">
        <f>DL28+DU28</f>
        <v/>
      </c>
      <c r="EE28" s="236">
        <f>EC28+ED28</f>
        <v/>
      </c>
      <c r="EF28" s="239">
        <f>EE28-EB28</f>
        <v/>
      </c>
      <c r="EG28" s="237">
        <f>IF(EB28=0,"",EE28/EB28)</f>
        <v/>
      </c>
      <c r="EH28" s="33" t="n"/>
      <c r="EI28" s="233" t="n"/>
      <c r="EJ28" s="233" t="n"/>
      <c r="EK28" s="233">
        <f>EI28+EJ28</f>
        <v/>
      </c>
      <c r="EL28" s="233" t="n"/>
      <c r="EM28" s="233" t="n"/>
      <c r="EN28" s="233">
        <f>EL28+EM28</f>
        <v/>
      </c>
      <c r="EO28" s="238">
        <f>EN28-EK28</f>
        <v/>
      </c>
      <c r="EP28" s="235">
        <f>IF(EK28=0,"",EN28/EK28)</f>
        <v/>
      </c>
      <c r="EQ28" s="26" t="n"/>
      <c r="ER28" s="236">
        <f>DZ28+EI28</f>
        <v/>
      </c>
      <c r="ES28" s="236">
        <f>EA28+EJ28</f>
        <v/>
      </c>
      <c r="ET28" s="236">
        <f>ER28+ES28</f>
        <v/>
      </c>
      <c r="EU28" s="236">
        <f>EC28+EL28</f>
        <v/>
      </c>
      <c r="EV28" s="236">
        <f>ED28+EM28</f>
        <v/>
      </c>
      <c r="EW28" s="236">
        <f>EU28+EV28</f>
        <v/>
      </c>
      <c r="EX28" s="239">
        <f>EW28-ET28</f>
        <v/>
      </c>
      <c r="EY28" s="237">
        <f>IF(ET28=0,"",EW28/ET28)</f>
        <v/>
      </c>
      <c r="EZ28" s="33" t="n"/>
      <c r="FA28" s="233" t="n"/>
      <c r="FB28" s="233" t="n"/>
      <c r="FC28" s="233">
        <f>FA28+FB28</f>
        <v/>
      </c>
      <c r="FD28" s="233" t="n"/>
      <c r="FE28" s="233" t="n"/>
      <c r="FF28" s="233">
        <f>FD28+FE28</f>
        <v/>
      </c>
      <c r="FG28" s="238">
        <f>FF28-FC28</f>
        <v/>
      </c>
      <c r="FH28" s="235">
        <f>IF(FC28=0,"",FF28/FC28)</f>
        <v/>
      </c>
      <c r="FI28" s="26" t="n"/>
      <c r="FJ28" s="236">
        <f>ER28+FA28</f>
        <v/>
      </c>
      <c r="FK28" s="236">
        <f>ES28+FB28</f>
        <v/>
      </c>
      <c r="FL28" s="236">
        <f>FJ28+FK28</f>
        <v/>
      </c>
      <c r="FM28" s="236">
        <f>EU28+FD28</f>
        <v/>
      </c>
      <c r="FN28" s="236">
        <f>EV28+FE28</f>
        <v/>
      </c>
      <c r="FO28" s="236">
        <f>FM28+FN28</f>
        <v/>
      </c>
      <c r="FP28" s="239">
        <f>FO28-FL28</f>
        <v/>
      </c>
      <c r="FQ28" s="237">
        <f>IF(FL28=0,"",FO28/FL28)</f>
        <v/>
      </c>
      <c r="FR28" s="33" t="n"/>
      <c r="FS28" s="233" t="n"/>
      <c r="FT28" s="233" t="n"/>
      <c r="FU28" s="233">
        <f>FS28+FT28</f>
        <v/>
      </c>
      <c r="FV28" s="233" t="n"/>
      <c r="FW28" s="233" t="n"/>
      <c r="FX28" s="233">
        <f>FV28+FW28</f>
        <v/>
      </c>
      <c r="FY28" s="238">
        <f>FX28-FU28</f>
        <v/>
      </c>
      <c r="FZ28" s="235">
        <f>IF(FU28=0,"",FX28/FU28)</f>
        <v/>
      </c>
      <c r="GA28" s="26" t="n"/>
      <c r="GB28" s="236">
        <f>FJ28+FS28</f>
        <v/>
      </c>
      <c r="GC28" s="236">
        <f>FK28+FT28</f>
        <v/>
      </c>
      <c r="GD28" s="236">
        <f>GB28+GC28</f>
        <v/>
      </c>
      <c r="GE28" s="236">
        <f>FM28+FV28</f>
        <v/>
      </c>
      <c r="GF28" s="236">
        <f>FN28+FW28</f>
        <v/>
      </c>
      <c r="GG28" s="236">
        <f>GE28+GF28</f>
        <v/>
      </c>
      <c r="GH28" s="239">
        <f>GG28-GD28</f>
        <v/>
      </c>
      <c r="GI28" s="237">
        <f>IF(GD28=0,"",GG28/GD28)</f>
        <v/>
      </c>
      <c r="GJ28" s="33" t="n"/>
      <c r="GK28" s="233" t="n"/>
      <c r="GL28" s="233" t="n"/>
      <c r="GM28" s="233">
        <f>GK28+GL28</f>
        <v/>
      </c>
      <c r="GN28" s="233" t="n"/>
      <c r="GO28" s="233" t="n"/>
      <c r="GP28" s="233">
        <f>GN28+GO28</f>
        <v/>
      </c>
      <c r="GQ28" s="238">
        <f>GP28-GM28</f>
        <v/>
      </c>
      <c r="GR28" s="235">
        <f>IF(GM28=0,"",GP28/GM28)</f>
        <v/>
      </c>
      <c r="GS28" s="26" t="n"/>
      <c r="GT28" s="236">
        <f>GB28+GK28</f>
        <v/>
      </c>
      <c r="GU28" s="236">
        <f>GC28+GL28</f>
        <v/>
      </c>
      <c r="GV28" s="236">
        <f>GT28+GU28</f>
        <v/>
      </c>
      <c r="GW28" s="236">
        <f>GE28+GN28</f>
        <v/>
      </c>
      <c r="GX28" s="236">
        <f>GF28+GO28</f>
        <v/>
      </c>
      <c r="GY28" s="236">
        <f>GW28+GX28</f>
        <v/>
      </c>
      <c r="GZ28" s="239">
        <f>GY28-GV28</f>
        <v/>
      </c>
      <c r="HA28" s="237">
        <f>IF(GV28=0,"",GY28/GV28)</f>
        <v/>
      </c>
      <c r="HB28" s="33" t="n"/>
      <c r="HC28" s="233">
        <f>GT28</f>
        <v/>
      </c>
      <c r="HD28" s="233">
        <f>GU28</f>
        <v/>
      </c>
      <c r="HE28" s="233">
        <f>HC28+HD28</f>
        <v/>
      </c>
    </row>
    <row r="29" outlineLevel="1" ht="15" customHeight="1" s="150">
      <c r="A29" s="26" t="n"/>
      <c r="B29" s="26" t="n"/>
      <c r="C29" s="26" t="n"/>
      <c r="D29" s="233" t="n"/>
      <c r="E29" s="233" t="n"/>
      <c r="F29" s="233">
        <f>D29+E29</f>
        <v/>
      </c>
      <c r="G29" s="233" t="n"/>
      <c r="H29" s="233" t="n"/>
      <c r="I29" s="233">
        <f>G29+H29</f>
        <v/>
      </c>
      <c r="J29" s="238">
        <f>I29-F29</f>
        <v/>
      </c>
      <c r="K29" s="235">
        <f>IF(F29=0,"",I29/F29)</f>
        <v/>
      </c>
      <c r="L29" s="26" t="n"/>
      <c r="M29" s="233" t="n"/>
      <c r="N29" s="233" t="n"/>
      <c r="O29" s="233">
        <f>M29+N29</f>
        <v/>
      </c>
      <c r="P29" s="233" t="n"/>
      <c r="Q29" s="233" t="n"/>
      <c r="R29" s="233">
        <f>P29+Q29</f>
        <v/>
      </c>
      <c r="S29" s="238">
        <f>R29-O29</f>
        <v/>
      </c>
      <c r="T29" s="235">
        <f>IF(O29=0,"",R29/O29)</f>
        <v/>
      </c>
      <c r="U29" s="26" t="n"/>
      <c r="V29" s="236">
        <f>D29+M29</f>
        <v/>
      </c>
      <c r="W29" s="236">
        <f>E29+N29</f>
        <v/>
      </c>
      <c r="X29" s="236">
        <f>V29+W29</f>
        <v/>
      </c>
      <c r="Y29" s="236">
        <f>G29+P29</f>
        <v/>
      </c>
      <c r="Z29" s="236">
        <f>H29+Q29</f>
        <v/>
      </c>
      <c r="AA29" s="236">
        <f>Y29+Z29</f>
        <v/>
      </c>
      <c r="AB29" s="239">
        <f>AA29-X29</f>
        <v/>
      </c>
      <c r="AC29" s="237">
        <f>IF(X29=0,"",AA29/X29)</f>
        <v/>
      </c>
      <c r="AD29" s="33" t="n"/>
      <c r="AE29" s="233" t="n"/>
      <c r="AF29" s="233" t="n"/>
      <c r="AG29" s="233">
        <f>AE29+AF29</f>
        <v/>
      </c>
      <c r="AH29" s="233" t="n"/>
      <c r="AI29" s="233" t="n"/>
      <c r="AJ29" s="233">
        <f>AH29+AI29</f>
        <v/>
      </c>
      <c r="AK29" s="238">
        <f>AJ29-AG29</f>
        <v/>
      </c>
      <c r="AL29" s="235">
        <f>IF(AG29=0,"",AJ29/AG29)</f>
        <v/>
      </c>
      <c r="AM29" s="26" t="n"/>
      <c r="AN29" s="236">
        <f>V29+AE29</f>
        <v/>
      </c>
      <c r="AO29" s="236">
        <f>W29+AF29</f>
        <v/>
      </c>
      <c r="AP29" s="236">
        <f>AN29+AO29</f>
        <v/>
      </c>
      <c r="AQ29" s="236">
        <f>Y29+AH29</f>
        <v/>
      </c>
      <c r="AR29" s="236">
        <f>Z29+AI29</f>
        <v/>
      </c>
      <c r="AS29" s="236">
        <f>AQ29+AR29</f>
        <v/>
      </c>
      <c r="AT29" s="239">
        <f>AS29-AP29</f>
        <v/>
      </c>
      <c r="AU29" s="237">
        <f>IF(AP29=0,"",AS29/AP29)</f>
        <v/>
      </c>
      <c r="AV29" s="33" t="n"/>
      <c r="AW29" s="233" t="n"/>
      <c r="AX29" s="233" t="n"/>
      <c r="AY29" s="233">
        <f>AW29+AX29</f>
        <v/>
      </c>
      <c r="AZ29" s="233" t="n"/>
      <c r="BA29" s="233" t="n"/>
      <c r="BB29" s="233">
        <f>AZ29+BA29</f>
        <v/>
      </c>
      <c r="BC29" s="238">
        <f>BB29-AY29</f>
        <v/>
      </c>
      <c r="BD29" s="235">
        <f>IF(AY29=0,"",BB29/AY29)</f>
        <v/>
      </c>
      <c r="BE29" s="26" t="n"/>
      <c r="BF29" s="236">
        <f>AN29+AW29</f>
        <v/>
      </c>
      <c r="BG29" s="236">
        <f>AO29+AX29</f>
        <v/>
      </c>
      <c r="BH29" s="236">
        <f>BF29+BG29</f>
        <v/>
      </c>
      <c r="BI29" s="236">
        <f>AQ29+AZ29</f>
        <v/>
      </c>
      <c r="BJ29" s="236">
        <f>AR29+BA29</f>
        <v/>
      </c>
      <c r="BK29" s="236">
        <f>BI29+BJ29</f>
        <v/>
      </c>
      <c r="BL29" s="239">
        <f>BK29-BH29</f>
        <v/>
      </c>
      <c r="BM29" s="237">
        <f>IF(BH29=0,"",BK29/BH29)</f>
        <v/>
      </c>
      <c r="BN29" s="33" t="n"/>
      <c r="BO29" s="233" t="n"/>
      <c r="BP29" s="233" t="n"/>
      <c r="BQ29" s="233">
        <f>BO29+BP29</f>
        <v/>
      </c>
      <c r="BR29" s="233" t="n"/>
      <c r="BS29" s="233" t="n"/>
      <c r="BT29" s="233">
        <f>BR29+BS29</f>
        <v/>
      </c>
      <c r="BU29" s="238">
        <f>BT29-BQ29</f>
        <v/>
      </c>
      <c r="BV29" s="235">
        <f>IF(BQ29=0,"",BT29/BQ29)</f>
        <v/>
      </c>
      <c r="BW29" s="26" t="n"/>
      <c r="BX29" s="236">
        <f>BF29+BO29</f>
        <v/>
      </c>
      <c r="BY29" s="236">
        <f>BG29+BP29</f>
        <v/>
      </c>
      <c r="BZ29" s="236">
        <f>BX29+BY29</f>
        <v/>
      </c>
      <c r="CA29" s="236">
        <f>BI29+BR29</f>
        <v/>
      </c>
      <c r="CB29" s="236">
        <f>BJ29+BS29</f>
        <v/>
      </c>
      <c r="CC29" s="236">
        <f>CA29+CB29</f>
        <v/>
      </c>
      <c r="CD29" s="239">
        <f>CC29-BZ29</f>
        <v/>
      </c>
      <c r="CE29" s="237">
        <f>IF(BZ29=0,"",CC29/BZ29)</f>
        <v/>
      </c>
      <c r="CF29" s="33" t="n"/>
      <c r="CG29" s="233" t="n"/>
      <c r="CH29" s="233" t="n"/>
      <c r="CI29" s="233">
        <f>CG29+CH29</f>
        <v/>
      </c>
      <c r="CJ29" s="233" t="n"/>
      <c r="CK29" s="233" t="n"/>
      <c r="CL29" s="233">
        <f>CJ29+CK29</f>
        <v/>
      </c>
      <c r="CM29" s="238">
        <f>CL29-CI29</f>
        <v/>
      </c>
      <c r="CN29" s="235">
        <f>IF(CI29=0,"",CL29/CI29)</f>
        <v/>
      </c>
      <c r="CO29" s="26" t="n"/>
      <c r="CP29" s="236">
        <f>BX29+CG29</f>
        <v/>
      </c>
      <c r="CQ29" s="236">
        <f>BY29+CH29</f>
        <v/>
      </c>
      <c r="CR29" s="236">
        <f>CP29+CQ29</f>
        <v/>
      </c>
      <c r="CS29" s="236">
        <f>CA29+CJ29</f>
        <v/>
      </c>
      <c r="CT29" s="236">
        <f>CB29+CK29</f>
        <v/>
      </c>
      <c r="CU29" s="236">
        <f>CS29+CT29</f>
        <v/>
      </c>
      <c r="CV29" s="239">
        <f>CU29-CR29</f>
        <v/>
      </c>
      <c r="CW29" s="237">
        <f>IF(CR29=0,"",CU29/CR29)</f>
        <v/>
      </c>
      <c r="CX29" s="33" t="n"/>
      <c r="CY29" s="233" t="n"/>
      <c r="CZ29" s="233" t="n"/>
      <c r="DA29" s="233">
        <f>CY29+CZ29</f>
        <v/>
      </c>
      <c r="DB29" s="233" t="n"/>
      <c r="DC29" s="233" t="n"/>
      <c r="DD29" s="233">
        <f>DB29+DC29</f>
        <v/>
      </c>
      <c r="DE29" s="238">
        <f>DD29-DA29</f>
        <v/>
      </c>
      <c r="DF29" s="235">
        <f>IF(DA29=0,"",DD29/DA29)</f>
        <v/>
      </c>
      <c r="DG29" s="26" t="n"/>
      <c r="DH29" s="236">
        <f>CP29+CY29</f>
        <v/>
      </c>
      <c r="DI29" s="236">
        <f>CQ29+CZ29</f>
        <v/>
      </c>
      <c r="DJ29" s="236">
        <f>DH29+DI29</f>
        <v/>
      </c>
      <c r="DK29" s="236">
        <f>CS29+DB29</f>
        <v/>
      </c>
      <c r="DL29" s="236">
        <f>CT29+DC29</f>
        <v/>
      </c>
      <c r="DM29" s="236">
        <f>DK29+DL29</f>
        <v/>
      </c>
      <c r="DN29" s="239">
        <f>DM29-DJ29</f>
        <v/>
      </c>
      <c r="DO29" s="237">
        <f>IF(DJ29=0,"",DM29/DJ29)</f>
        <v/>
      </c>
      <c r="DP29" s="33" t="n"/>
      <c r="DQ29" s="233" t="n"/>
      <c r="DR29" s="233" t="n"/>
      <c r="DS29" s="233">
        <f>DQ29+DR29</f>
        <v/>
      </c>
      <c r="DT29" s="233" t="n"/>
      <c r="DU29" s="233" t="n"/>
      <c r="DV29" s="233">
        <f>DT29+DU29</f>
        <v/>
      </c>
      <c r="DW29" s="238">
        <f>DV29-DS29</f>
        <v/>
      </c>
      <c r="DX29" s="235">
        <f>IF(DS29=0,"",DV29/DS29)</f>
        <v/>
      </c>
      <c r="DY29" s="26" t="n"/>
      <c r="DZ29" s="236">
        <f>DH29+DQ29</f>
        <v/>
      </c>
      <c r="EA29" s="236">
        <f>DI29+DR29</f>
        <v/>
      </c>
      <c r="EB29" s="236">
        <f>DZ29+EA29</f>
        <v/>
      </c>
      <c r="EC29" s="236">
        <f>DK29+DT29</f>
        <v/>
      </c>
      <c r="ED29" s="236">
        <f>DL29+DU29</f>
        <v/>
      </c>
      <c r="EE29" s="236">
        <f>EC29+ED29</f>
        <v/>
      </c>
      <c r="EF29" s="239">
        <f>EE29-EB29</f>
        <v/>
      </c>
      <c r="EG29" s="237">
        <f>IF(EB29=0,"",EE29/EB29)</f>
        <v/>
      </c>
      <c r="EH29" s="33" t="n"/>
      <c r="EI29" s="233" t="n"/>
      <c r="EJ29" s="233" t="n"/>
      <c r="EK29" s="233">
        <f>EI29+EJ29</f>
        <v/>
      </c>
      <c r="EL29" s="233" t="n"/>
      <c r="EM29" s="233" t="n"/>
      <c r="EN29" s="233">
        <f>EL29+EM29</f>
        <v/>
      </c>
      <c r="EO29" s="238">
        <f>EN29-EK29</f>
        <v/>
      </c>
      <c r="EP29" s="235">
        <f>IF(EK29=0,"",EN29/EK29)</f>
        <v/>
      </c>
      <c r="EQ29" s="26" t="n"/>
      <c r="ER29" s="236">
        <f>DZ29+EI29</f>
        <v/>
      </c>
      <c r="ES29" s="236">
        <f>EA29+EJ29</f>
        <v/>
      </c>
      <c r="ET29" s="236">
        <f>ER29+ES29</f>
        <v/>
      </c>
      <c r="EU29" s="236">
        <f>EC29+EL29</f>
        <v/>
      </c>
      <c r="EV29" s="236">
        <f>ED29+EM29</f>
        <v/>
      </c>
      <c r="EW29" s="236">
        <f>EU29+EV29</f>
        <v/>
      </c>
      <c r="EX29" s="239">
        <f>EW29-ET29</f>
        <v/>
      </c>
      <c r="EY29" s="237">
        <f>IF(ET29=0,"",EW29/ET29)</f>
        <v/>
      </c>
      <c r="EZ29" s="33" t="n"/>
      <c r="FA29" s="233" t="n"/>
      <c r="FB29" s="233" t="n"/>
      <c r="FC29" s="233">
        <f>FA29+FB29</f>
        <v/>
      </c>
      <c r="FD29" s="233" t="n"/>
      <c r="FE29" s="233" t="n"/>
      <c r="FF29" s="233">
        <f>FD29+FE29</f>
        <v/>
      </c>
      <c r="FG29" s="238">
        <f>FF29-FC29</f>
        <v/>
      </c>
      <c r="FH29" s="235">
        <f>IF(FC29=0,"",FF29/FC29)</f>
        <v/>
      </c>
      <c r="FI29" s="26" t="n"/>
      <c r="FJ29" s="236">
        <f>ER29+FA29</f>
        <v/>
      </c>
      <c r="FK29" s="236">
        <f>ES29+FB29</f>
        <v/>
      </c>
      <c r="FL29" s="236">
        <f>FJ29+FK29</f>
        <v/>
      </c>
      <c r="FM29" s="236">
        <f>EU29+FD29</f>
        <v/>
      </c>
      <c r="FN29" s="236">
        <f>EV29+FE29</f>
        <v/>
      </c>
      <c r="FO29" s="236">
        <f>FM29+FN29</f>
        <v/>
      </c>
      <c r="FP29" s="239">
        <f>FO29-FL29</f>
        <v/>
      </c>
      <c r="FQ29" s="237">
        <f>IF(FL29=0,"",FO29/FL29)</f>
        <v/>
      </c>
      <c r="FR29" s="33" t="n"/>
      <c r="FS29" s="233" t="n"/>
      <c r="FT29" s="233" t="n"/>
      <c r="FU29" s="233">
        <f>FS29+FT29</f>
        <v/>
      </c>
      <c r="FV29" s="233" t="n"/>
      <c r="FW29" s="233" t="n"/>
      <c r="FX29" s="233">
        <f>FV29+FW29</f>
        <v/>
      </c>
      <c r="FY29" s="238">
        <f>FX29-FU29</f>
        <v/>
      </c>
      <c r="FZ29" s="235">
        <f>IF(FU29=0,"",FX29/FU29)</f>
        <v/>
      </c>
      <c r="GA29" s="26" t="n"/>
      <c r="GB29" s="236">
        <f>FJ29+FS29</f>
        <v/>
      </c>
      <c r="GC29" s="236">
        <f>FK29+FT29</f>
        <v/>
      </c>
      <c r="GD29" s="236">
        <f>GB29+GC29</f>
        <v/>
      </c>
      <c r="GE29" s="236">
        <f>FM29+FV29</f>
        <v/>
      </c>
      <c r="GF29" s="236">
        <f>FN29+FW29</f>
        <v/>
      </c>
      <c r="GG29" s="236">
        <f>GE29+GF29</f>
        <v/>
      </c>
      <c r="GH29" s="239">
        <f>GG29-GD29</f>
        <v/>
      </c>
      <c r="GI29" s="237">
        <f>IF(GD29=0,"",GG29/GD29)</f>
        <v/>
      </c>
      <c r="GJ29" s="33" t="n"/>
      <c r="GK29" s="233" t="n"/>
      <c r="GL29" s="233" t="n"/>
      <c r="GM29" s="233">
        <f>GK29+GL29</f>
        <v/>
      </c>
      <c r="GN29" s="233" t="n"/>
      <c r="GO29" s="233" t="n"/>
      <c r="GP29" s="233">
        <f>GN29+GO29</f>
        <v/>
      </c>
      <c r="GQ29" s="238">
        <f>GP29-GM29</f>
        <v/>
      </c>
      <c r="GR29" s="235">
        <f>IF(GM29=0,"",GP29/GM29)</f>
        <v/>
      </c>
      <c r="GS29" s="26" t="n"/>
      <c r="GT29" s="236">
        <f>GB29+GK29</f>
        <v/>
      </c>
      <c r="GU29" s="236">
        <f>GC29+GL29</f>
        <v/>
      </c>
      <c r="GV29" s="236">
        <f>GT29+GU29</f>
        <v/>
      </c>
      <c r="GW29" s="236">
        <f>GE29+GN29</f>
        <v/>
      </c>
      <c r="GX29" s="236">
        <f>GF29+GO29</f>
        <v/>
      </c>
      <c r="GY29" s="236">
        <f>GW29+GX29</f>
        <v/>
      </c>
      <c r="GZ29" s="239">
        <f>GY29-GV29</f>
        <v/>
      </c>
      <c r="HA29" s="237">
        <f>IF(GV29=0,"",GY29/GV29)</f>
        <v/>
      </c>
      <c r="HB29" s="33" t="n"/>
      <c r="HC29" s="233">
        <f>GT29</f>
        <v/>
      </c>
      <c r="HD29" s="233">
        <f>GU29</f>
        <v/>
      </c>
      <c r="HE29" s="233">
        <f>HC29+HD29</f>
        <v/>
      </c>
    </row>
    <row r="30" outlineLevel="1" ht="15" customHeight="1" s="150">
      <c r="A30" s="26" t="n"/>
      <c r="B30" s="26" t="n"/>
      <c r="C30" s="26" t="n"/>
      <c r="D30" s="233" t="n"/>
      <c r="E30" s="233" t="n"/>
      <c r="F30" s="233">
        <f>D30+E30</f>
        <v/>
      </c>
      <c r="G30" s="233" t="n"/>
      <c r="H30" s="233" t="n"/>
      <c r="I30" s="233">
        <f>G30+H30</f>
        <v/>
      </c>
      <c r="J30" s="238">
        <f>I30-F30</f>
        <v/>
      </c>
      <c r="K30" s="235">
        <f>IF(F30=0,"",I30/F30)</f>
        <v/>
      </c>
      <c r="L30" s="26" t="n"/>
      <c r="M30" s="233" t="n"/>
      <c r="N30" s="233" t="n"/>
      <c r="O30" s="233">
        <f>M30+N30</f>
        <v/>
      </c>
      <c r="P30" s="233" t="n"/>
      <c r="Q30" s="233" t="n"/>
      <c r="R30" s="233">
        <f>P30+Q30</f>
        <v/>
      </c>
      <c r="S30" s="234">
        <f>R30-O30</f>
        <v/>
      </c>
      <c r="T30" s="235">
        <f>IF(O30=0,"",R30/O30)</f>
        <v/>
      </c>
      <c r="U30" s="26" t="n"/>
      <c r="V30" s="236">
        <f>D30+M30</f>
        <v/>
      </c>
      <c r="W30" s="236">
        <f>E30+N30</f>
        <v/>
      </c>
      <c r="X30" s="236">
        <f>V30+W30</f>
        <v/>
      </c>
      <c r="Y30" s="236">
        <f>G30+P30</f>
        <v/>
      </c>
      <c r="Z30" s="236">
        <f>H30+Q30</f>
        <v/>
      </c>
      <c r="AA30" s="236">
        <f>Y30+Z30</f>
        <v/>
      </c>
      <c r="AB30" s="234">
        <f>AA30-X30</f>
        <v/>
      </c>
      <c r="AC30" s="237">
        <f>IF(X30=0,"",AA30/X30)</f>
        <v/>
      </c>
      <c r="AD30" s="33" t="n"/>
      <c r="AE30" s="233" t="n"/>
      <c r="AF30" s="233" t="n"/>
      <c r="AG30" s="233">
        <f>AE30+AF30</f>
        <v/>
      </c>
      <c r="AH30" s="233" t="n"/>
      <c r="AI30" s="233" t="n"/>
      <c r="AJ30" s="233">
        <f>AH30+AI30</f>
        <v/>
      </c>
      <c r="AK30" s="234">
        <f>AJ30-AG30</f>
        <v/>
      </c>
      <c r="AL30" s="235">
        <f>IF(AG30=0,"",AJ30/AG30)</f>
        <v/>
      </c>
      <c r="AM30" s="26" t="n"/>
      <c r="AN30" s="236">
        <f>V30+AE30</f>
        <v/>
      </c>
      <c r="AO30" s="236">
        <f>W30+AF30</f>
        <v/>
      </c>
      <c r="AP30" s="236">
        <f>AN30+AO30</f>
        <v/>
      </c>
      <c r="AQ30" s="236">
        <f>Y30+AH30</f>
        <v/>
      </c>
      <c r="AR30" s="236">
        <f>Z30+AI30</f>
        <v/>
      </c>
      <c r="AS30" s="236">
        <f>AQ30+AR30</f>
        <v/>
      </c>
      <c r="AT30" s="234">
        <f>AS30-AP30</f>
        <v/>
      </c>
      <c r="AU30" s="237">
        <f>IF(AP30=0,"",AS30/AP30)</f>
        <v/>
      </c>
      <c r="AV30" s="33" t="n"/>
      <c r="AW30" s="233" t="n"/>
      <c r="AX30" s="233" t="n"/>
      <c r="AY30" s="233">
        <f>AW30+AX30</f>
        <v/>
      </c>
      <c r="AZ30" s="233" t="n"/>
      <c r="BA30" s="233" t="n"/>
      <c r="BB30" s="233">
        <f>AZ30+BA30</f>
        <v/>
      </c>
      <c r="BC30" s="238">
        <f>BB30-AY30</f>
        <v/>
      </c>
      <c r="BD30" s="235">
        <f>IF(AY30=0,"",BB30/AY30)</f>
        <v/>
      </c>
      <c r="BE30" s="26" t="n"/>
      <c r="BF30" s="236">
        <f>AN30+AW30</f>
        <v/>
      </c>
      <c r="BG30" s="236">
        <f>AO30+AX30</f>
        <v/>
      </c>
      <c r="BH30" s="236">
        <f>BF30+BG30</f>
        <v/>
      </c>
      <c r="BI30" s="236">
        <f>AQ30+AZ30</f>
        <v/>
      </c>
      <c r="BJ30" s="236">
        <f>AR30+BA30</f>
        <v/>
      </c>
      <c r="BK30" s="236">
        <f>BI30+BJ30</f>
        <v/>
      </c>
      <c r="BL30" s="239">
        <f>BK30-BH30</f>
        <v/>
      </c>
      <c r="BM30" s="237">
        <f>IF(BH30=0,"",BK30/BH30)</f>
        <v/>
      </c>
      <c r="BN30" s="33" t="n"/>
      <c r="BO30" s="233" t="n"/>
      <c r="BP30" s="233" t="n"/>
      <c r="BQ30" s="233">
        <f>BO30+BP30</f>
        <v/>
      </c>
      <c r="BR30" s="233" t="n"/>
      <c r="BS30" s="233" t="n"/>
      <c r="BT30" s="233">
        <f>BR30+BS30</f>
        <v/>
      </c>
      <c r="BU30" s="238">
        <f>BT30-BQ30</f>
        <v/>
      </c>
      <c r="BV30" s="235">
        <f>IF(BQ30=0,"",BT30/BQ30)</f>
        <v/>
      </c>
      <c r="BW30" s="26" t="n"/>
      <c r="BX30" s="236">
        <f>BF30+BO30</f>
        <v/>
      </c>
      <c r="BY30" s="236">
        <f>BG30+BP30</f>
        <v/>
      </c>
      <c r="BZ30" s="236">
        <f>BX30+BY30</f>
        <v/>
      </c>
      <c r="CA30" s="236">
        <f>BI30+BR30</f>
        <v/>
      </c>
      <c r="CB30" s="236">
        <f>BJ30+BS30</f>
        <v/>
      </c>
      <c r="CC30" s="236">
        <f>CA30+CB30</f>
        <v/>
      </c>
      <c r="CD30" s="239">
        <f>CC30-BZ30</f>
        <v/>
      </c>
      <c r="CE30" s="237">
        <f>IF(BZ30=0,"",CC30/BZ30)</f>
        <v/>
      </c>
      <c r="CF30" s="33" t="n"/>
      <c r="CG30" s="233" t="n"/>
      <c r="CH30" s="233" t="n"/>
      <c r="CI30" s="233">
        <f>CG30+CH30</f>
        <v/>
      </c>
      <c r="CJ30" s="233" t="n"/>
      <c r="CK30" s="233" t="n"/>
      <c r="CL30" s="233">
        <f>CJ30+CK30</f>
        <v/>
      </c>
      <c r="CM30" s="238">
        <f>CL30-CI30</f>
        <v/>
      </c>
      <c r="CN30" s="235">
        <f>IF(CI30=0,"",CL30/CI30)</f>
        <v/>
      </c>
      <c r="CO30" s="26" t="n"/>
      <c r="CP30" s="236">
        <f>BX30+CG30</f>
        <v/>
      </c>
      <c r="CQ30" s="236">
        <f>BY30+CH30</f>
        <v/>
      </c>
      <c r="CR30" s="236">
        <f>CP30+CQ30</f>
        <v/>
      </c>
      <c r="CS30" s="236">
        <f>CA30+CJ30</f>
        <v/>
      </c>
      <c r="CT30" s="236">
        <f>CB30+CK30</f>
        <v/>
      </c>
      <c r="CU30" s="236">
        <f>CS30+CT30</f>
        <v/>
      </c>
      <c r="CV30" s="239">
        <f>CU30-CR30</f>
        <v/>
      </c>
      <c r="CW30" s="237">
        <f>IF(CR30=0,"",CU30/CR30)</f>
        <v/>
      </c>
      <c r="CX30" s="33" t="n"/>
      <c r="CY30" s="233" t="n"/>
      <c r="CZ30" s="233" t="n"/>
      <c r="DA30" s="233">
        <f>CY30+CZ30</f>
        <v/>
      </c>
      <c r="DB30" s="233" t="n"/>
      <c r="DC30" s="233" t="n"/>
      <c r="DD30" s="233">
        <f>DB30+DC30</f>
        <v/>
      </c>
      <c r="DE30" s="238">
        <f>DD30-DA30</f>
        <v/>
      </c>
      <c r="DF30" s="235">
        <f>IF(DA30=0,"",DD30/DA30)</f>
        <v/>
      </c>
      <c r="DG30" s="26" t="n"/>
      <c r="DH30" s="236">
        <f>CP30+CY30</f>
        <v/>
      </c>
      <c r="DI30" s="236">
        <f>CQ30+CZ30</f>
        <v/>
      </c>
      <c r="DJ30" s="236">
        <f>DH30+DI30</f>
        <v/>
      </c>
      <c r="DK30" s="236">
        <f>CS30+DB30</f>
        <v/>
      </c>
      <c r="DL30" s="236">
        <f>CT30+DC30</f>
        <v/>
      </c>
      <c r="DM30" s="236">
        <f>DK30+DL30</f>
        <v/>
      </c>
      <c r="DN30" s="239">
        <f>DM30-DJ30</f>
        <v/>
      </c>
      <c r="DO30" s="237">
        <f>IF(DJ30=0,"",DM30/DJ30)</f>
        <v/>
      </c>
      <c r="DP30" s="33" t="n"/>
      <c r="DQ30" s="233" t="n"/>
      <c r="DR30" s="233" t="n"/>
      <c r="DS30" s="233">
        <f>DQ30+DR30</f>
        <v/>
      </c>
      <c r="DT30" s="233" t="n"/>
      <c r="DU30" s="233" t="n"/>
      <c r="DV30" s="233">
        <f>DT30+DU30</f>
        <v/>
      </c>
      <c r="DW30" s="238">
        <f>DV30-DS30</f>
        <v/>
      </c>
      <c r="DX30" s="235">
        <f>IF(DS30=0,"",DV30/DS30)</f>
        <v/>
      </c>
      <c r="DY30" s="26" t="n"/>
      <c r="DZ30" s="236">
        <f>DH30+DQ30</f>
        <v/>
      </c>
      <c r="EA30" s="236">
        <f>DI30+DR30</f>
        <v/>
      </c>
      <c r="EB30" s="236">
        <f>DZ30+EA30</f>
        <v/>
      </c>
      <c r="EC30" s="236">
        <f>DK30+DT30</f>
        <v/>
      </c>
      <c r="ED30" s="236">
        <f>DL30+DU30</f>
        <v/>
      </c>
      <c r="EE30" s="236">
        <f>EC30+ED30</f>
        <v/>
      </c>
      <c r="EF30" s="239">
        <f>EE30-EB30</f>
        <v/>
      </c>
      <c r="EG30" s="237">
        <f>IF(EB30=0,"",EE30/EB30)</f>
        <v/>
      </c>
      <c r="EH30" s="33" t="n"/>
      <c r="EI30" s="233" t="n"/>
      <c r="EJ30" s="233" t="n"/>
      <c r="EK30" s="233">
        <f>EI30+EJ30</f>
        <v/>
      </c>
      <c r="EL30" s="233" t="n"/>
      <c r="EM30" s="233" t="n"/>
      <c r="EN30" s="233">
        <f>EL30+EM30</f>
        <v/>
      </c>
      <c r="EO30" s="238">
        <f>EN30-EK30</f>
        <v/>
      </c>
      <c r="EP30" s="235">
        <f>IF(EK30=0,"",EN30/EK30)</f>
        <v/>
      </c>
      <c r="EQ30" s="26" t="n"/>
      <c r="ER30" s="236">
        <f>DZ30+EI30</f>
        <v/>
      </c>
      <c r="ES30" s="236">
        <f>EA30+EJ30</f>
        <v/>
      </c>
      <c r="ET30" s="236">
        <f>ER30+ES30</f>
        <v/>
      </c>
      <c r="EU30" s="236">
        <f>EC30+EL30</f>
        <v/>
      </c>
      <c r="EV30" s="236">
        <f>ED30+EM30</f>
        <v/>
      </c>
      <c r="EW30" s="236">
        <f>EU30+EV30</f>
        <v/>
      </c>
      <c r="EX30" s="239">
        <f>EW30-ET30</f>
        <v/>
      </c>
      <c r="EY30" s="237">
        <f>IF(ET30=0,"",EW30/ET30)</f>
        <v/>
      </c>
      <c r="EZ30" s="33" t="n"/>
      <c r="FA30" s="233" t="n"/>
      <c r="FB30" s="233" t="n"/>
      <c r="FC30" s="233">
        <f>FA30+FB30</f>
        <v/>
      </c>
      <c r="FD30" s="233" t="n"/>
      <c r="FE30" s="233" t="n"/>
      <c r="FF30" s="233">
        <f>FD30+FE30</f>
        <v/>
      </c>
      <c r="FG30" s="238">
        <f>FF30-FC30</f>
        <v/>
      </c>
      <c r="FH30" s="235">
        <f>IF(FC30=0,"",FF30/FC30)</f>
        <v/>
      </c>
      <c r="FI30" s="26" t="n"/>
      <c r="FJ30" s="236">
        <f>ER30+FA30</f>
        <v/>
      </c>
      <c r="FK30" s="236">
        <f>ES30+FB30</f>
        <v/>
      </c>
      <c r="FL30" s="236">
        <f>FJ30+FK30</f>
        <v/>
      </c>
      <c r="FM30" s="236">
        <f>EU30+FD30</f>
        <v/>
      </c>
      <c r="FN30" s="236">
        <f>EV30+FE30</f>
        <v/>
      </c>
      <c r="FO30" s="236">
        <f>FM30+FN30</f>
        <v/>
      </c>
      <c r="FP30" s="239">
        <f>FO30-FL30</f>
        <v/>
      </c>
      <c r="FQ30" s="237">
        <f>IF(FL30=0,"",FO30/FL30)</f>
        <v/>
      </c>
      <c r="FR30" s="33" t="n"/>
      <c r="FS30" s="233" t="n"/>
      <c r="FT30" s="233" t="n"/>
      <c r="FU30" s="233">
        <f>FS30+FT30</f>
        <v/>
      </c>
      <c r="FV30" s="233" t="n"/>
      <c r="FW30" s="233" t="n"/>
      <c r="FX30" s="233">
        <f>FV30+FW30</f>
        <v/>
      </c>
      <c r="FY30" s="238">
        <f>FX30-FU30</f>
        <v/>
      </c>
      <c r="FZ30" s="235">
        <f>IF(FU30=0,"",FX30/FU30)</f>
        <v/>
      </c>
      <c r="GA30" s="26" t="n"/>
      <c r="GB30" s="236">
        <f>FJ30+FS30</f>
        <v/>
      </c>
      <c r="GC30" s="236">
        <f>FK30+FT30</f>
        <v/>
      </c>
      <c r="GD30" s="236">
        <f>GB30+GC30</f>
        <v/>
      </c>
      <c r="GE30" s="236">
        <f>FM30+FV30</f>
        <v/>
      </c>
      <c r="GF30" s="236">
        <f>FN30+FW30</f>
        <v/>
      </c>
      <c r="GG30" s="236">
        <f>GE30+GF30</f>
        <v/>
      </c>
      <c r="GH30" s="239">
        <f>GG30-GD30</f>
        <v/>
      </c>
      <c r="GI30" s="237">
        <f>IF(GD30=0,"",GG30/GD30)</f>
        <v/>
      </c>
      <c r="GJ30" s="33" t="n"/>
      <c r="GK30" s="233" t="n"/>
      <c r="GL30" s="233" t="n"/>
      <c r="GM30" s="233">
        <f>GK30+GL30</f>
        <v/>
      </c>
      <c r="GN30" s="233" t="n"/>
      <c r="GO30" s="233" t="n"/>
      <c r="GP30" s="233">
        <f>GN30+GO30</f>
        <v/>
      </c>
      <c r="GQ30" s="238">
        <f>GP30-GM30</f>
        <v/>
      </c>
      <c r="GR30" s="235">
        <f>IF(GM30=0,"",GP30/GM30)</f>
        <v/>
      </c>
      <c r="GS30" s="26" t="n"/>
      <c r="GT30" s="236">
        <f>GB30+GK30</f>
        <v/>
      </c>
      <c r="GU30" s="236">
        <f>GC30+GL30</f>
        <v/>
      </c>
      <c r="GV30" s="236">
        <f>GT30+GU30</f>
        <v/>
      </c>
      <c r="GW30" s="236">
        <f>GE30+GN30</f>
        <v/>
      </c>
      <c r="GX30" s="236">
        <f>GF30+GO30</f>
        <v/>
      </c>
      <c r="GY30" s="236">
        <f>GW30+GX30</f>
        <v/>
      </c>
      <c r="GZ30" s="239">
        <f>GY30-GV30</f>
        <v/>
      </c>
      <c r="HA30" s="237">
        <f>IF(GV30=0,"",GY30/GV30)</f>
        <v/>
      </c>
      <c r="HB30" s="33" t="n"/>
      <c r="HC30" s="233">
        <f>GT30</f>
        <v/>
      </c>
      <c r="HD30" s="233">
        <f>GU30</f>
        <v/>
      </c>
      <c r="HE30" s="233">
        <f>HC30+HD30</f>
        <v/>
      </c>
    </row>
    <row r="31" outlineLevel="1" ht="15" customHeight="1" s="150">
      <c r="A31" s="26" t="n"/>
      <c r="B31" s="26" t="n"/>
      <c r="C31" s="26" t="n"/>
      <c r="D31" s="233" t="n"/>
      <c r="E31" s="233" t="n"/>
      <c r="F31" s="233">
        <f>D31+E31</f>
        <v/>
      </c>
      <c r="G31" s="233" t="n"/>
      <c r="H31" s="233" t="n"/>
      <c r="I31" s="233">
        <f>G31+H31</f>
        <v/>
      </c>
      <c r="J31" s="238">
        <f>I31-F31</f>
        <v/>
      </c>
      <c r="K31" s="235">
        <f>IF(F31=0,"",I31/F31)</f>
        <v/>
      </c>
      <c r="L31" s="26" t="n"/>
      <c r="M31" s="233" t="n"/>
      <c r="N31" s="233" t="n"/>
      <c r="O31" s="233">
        <f>M31+N31</f>
        <v/>
      </c>
      <c r="P31" s="233" t="n"/>
      <c r="Q31" s="233" t="n"/>
      <c r="R31" s="233">
        <f>P31+Q31</f>
        <v/>
      </c>
      <c r="S31" s="238">
        <f>R31-O31</f>
        <v/>
      </c>
      <c r="T31" s="235">
        <f>IF(O31=0,"",R31/O31)</f>
        <v/>
      </c>
      <c r="U31" s="26" t="n"/>
      <c r="V31" s="236">
        <f>D31+M31</f>
        <v/>
      </c>
      <c r="W31" s="236">
        <f>E31+N31</f>
        <v/>
      </c>
      <c r="X31" s="236">
        <f>V31+W31</f>
        <v/>
      </c>
      <c r="Y31" s="236">
        <f>G31+P31</f>
        <v/>
      </c>
      <c r="Z31" s="236">
        <f>H31+Q31</f>
        <v/>
      </c>
      <c r="AA31" s="236">
        <f>Y31+Z31</f>
        <v/>
      </c>
      <c r="AB31" s="239">
        <f>AA31-X31</f>
        <v/>
      </c>
      <c r="AC31" s="237">
        <f>IF(X31=0,"",AA31/X31)</f>
        <v/>
      </c>
      <c r="AD31" s="33" t="n"/>
      <c r="AE31" s="233" t="n"/>
      <c r="AF31" s="233" t="n"/>
      <c r="AG31" s="233">
        <f>AE31+AF31</f>
        <v/>
      </c>
      <c r="AH31" s="233" t="n"/>
      <c r="AI31" s="233" t="n"/>
      <c r="AJ31" s="233">
        <f>AH31+AI31</f>
        <v/>
      </c>
      <c r="AK31" s="238">
        <f>AJ31-AG31</f>
        <v/>
      </c>
      <c r="AL31" s="235">
        <f>IF(AG31=0,"",AJ31/AG31)</f>
        <v/>
      </c>
      <c r="AM31" s="26" t="n"/>
      <c r="AN31" s="236">
        <f>V31+AE31</f>
        <v/>
      </c>
      <c r="AO31" s="236">
        <f>W31+AF31</f>
        <v/>
      </c>
      <c r="AP31" s="236">
        <f>AN31+AO31</f>
        <v/>
      </c>
      <c r="AQ31" s="236">
        <f>Y31+AH31</f>
        <v/>
      </c>
      <c r="AR31" s="236">
        <f>Z31+AI31</f>
        <v/>
      </c>
      <c r="AS31" s="236">
        <f>AQ31+AR31</f>
        <v/>
      </c>
      <c r="AT31" s="239">
        <f>AS31-AP31</f>
        <v/>
      </c>
      <c r="AU31" s="237">
        <f>IF(AP31=0,"",AS31/AP31)</f>
        <v/>
      </c>
      <c r="AV31" s="33" t="n"/>
      <c r="AW31" s="233" t="n"/>
      <c r="AX31" s="233" t="n"/>
      <c r="AY31" s="233">
        <f>AW31+AX31</f>
        <v/>
      </c>
      <c r="AZ31" s="233" t="n"/>
      <c r="BA31" s="233" t="n"/>
      <c r="BB31" s="233">
        <f>AZ31+BA31</f>
        <v/>
      </c>
      <c r="BC31" s="238">
        <f>BB31-AY31</f>
        <v/>
      </c>
      <c r="BD31" s="235">
        <f>IF(AY31=0,"",BB31/AY31)</f>
        <v/>
      </c>
      <c r="BE31" s="26" t="n"/>
      <c r="BF31" s="236">
        <f>AN31+AW31</f>
        <v/>
      </c>
      <c r="BG31" s="236">
        <f>AO31+AX31</f>
        <v/>
      </c>
      <c r="BH31" s="236">
        <f>BF31+BG31</f>
        <v/>
      </c>
      <c r="BI31" s="236">
        <f>AQ31+AZ31</f>
        <v/>
      </c>
      <c r="BJ31" s="236">
        <f>AR31+BA31</f>
        <v/>
      </c>
      <c r="BK31" s="236">
        <f>BI31+BJ31</f>
        <v/>
      </c>
      <c r="BL31" s="239">
        <f>BK31-BH31</f>
        <v/>
      </c>
      <c r="BM31" s="237">
        <f>IF(BH31=0,"",BK31/BH31)</f>
        <v/>
      </c>
      <c r="BN31" s="33" t="n"/>
      <c r="BO31" s="233" t="n"/>
      <c r="BP31" s="233" t="n"/>
      <c r="BQ31" s="233">
        <f>BO31+BP31</f>
        <v/>
      </c>
      <c r="BR31" s="233" t="n"/>
      <c r="BS31" s="233" t="n"/>
      <c r="BT31" s="233">
        <f>BR31+BS31</f>
        <v/>
      </c>
      <c r="BU31" s="238">
        <f>BT31-BQ31</f>
        <v/>
      </c>
      <c r="BV31" s="235">
        <f>IF(BQ31=0,"",BT31/BQ31)</f>
        <v/>
      </c>
      <c r="BW31" s="26" t="n"/>
      <c r="BX31" s="236">
        <f>BF31+BO31</f>
        <v/>
      </c>
      <c r="BY31" s="236">
        <f>BG31+BP31</f>
        <v/>
      </c>
      <c r="BZ31" s="236">
        <f>BX31+BY31</f>
        <v/>
      </c>
      <c r="CA31" s="236">
        <f>BI31+BR31</f>
        <v/>
      </c>
      <c r="CB31" s="236">
        <f>BJ31+BS31</f>
        <v/>
      </c>
      <c r="CC31" s="236">
        <f>CA31+CB31</f>
        <v/>
      </c>
      <c r="CD31" s="239">
        <f>CC31-BZ31</f>
        <v/>
      </c>
      <c r="CE31" s="237">
        <f>IF(BZ31=0,"",CC31/BZ31)</f>
        <v/>
      </c>
      <c r="CF31" s="33" t="n"/>
      <c r="CG31" s="233" t="n"/>
      <c r="CH31" s="233" t="n"/>
      <c r="CI31" s="233">
        <f>CG31+CH31</f>
        <v/>
      </c>
      <c r="CJ31" s="233" t="n"/>
      <c r="CK31" s="233" t="n"/>
      <c r="CL31" s="233">
        <f>CJ31+CK31</f>
        <v/>
      </c>
      <c r="CM31" s="238">
        <f>CL31-CI31</f>
        <v/>
      </c>
      <c r="CN31" s="235">
        <f>IF(CI31=0,"",CL31/CI31)</f>
        <v/>
      </c>
      <c r="CO31" s="26" t="n"/>
      <c r="CP31" s="236">
        <f>BX31+CG31</f>
        <v/>
      </c>
      <c r="CQ31" s="236">
        <f>BY31+CH31</f>
        <v/>
      </c>
      <c r="CR31" s="236">
        <f>CP31+CQ31</f>
        <v/>
      </c>
      <c r="CS31" s="236">
        <f>CA31+CJ31</f>
        <v/>
      </c>
      <c r="CT31" s="236">
        <f>CB31+CK31</f>
        <v/>
      </c>
      <c r="CU31" s="236">
        <f>CS31+CT31</f>
        <v/>
      </c>
      <c r="CV31" s="239">
        <f>CU31-CR31</f>
        <v/>
      </c>
      <c r="CW31" s="237">
        <f>IF(CR31=0,"",CU31/CR31)</f>
        <v/>
      </c>
      <c r="CX31" s="33" t="n"/>
      <c r="CY31" s="233" t="n"/>
      <c r="CZ31" s="233" t="n"/>
      <c r="DA31" s="233">
        <f>CY31+CZ31</f>
        <v/>
      </c>
      <c r="DB31" s="233" t="n"/>
      <c r="DC31" s="233" t="n"/>
      <c r="DD31" s="233">
        <f>DB31+DC31</f>
        <v/>
      </c>
      <c r="DE31" s="238">
        <f>DD31-DA31</f>
        <v/>
      </c>
      <c r="DF31" s="235">
        <f>IF(DA31=0,"",DD31/DA31)</f>
        <v/>
      </c>
      <c r="DG31" s="26" t="n"/>
      <c r="DH31" s="236">
        <f>CP31+CY31</f>
        <v/>
      </c>
      <c r="DI31" s="236">
        <f>CQ31+CZ31</f>
        <v/>
      </c>
      <c r="DJ31" s="236">
        <f>DH31+DI31</f>
        <v/>
      </c>
      <c r="DK31" s="236">
        <f>CS31+DB31</f>
        <v/>
      </c>
      <c r="DL31" s="236">
        <f>CT31+DC31</f>
        <v/>
      </c>
      <c r="DM31" s="236">
        <f>DK31+DL31</f>
        <v/>
      </c>
      <c r="DN31" s="239">
        <f>DM31-DJ31</f>
        <v/>
      </c>
      <c r="DO31" s="237">
        <f>IF(DJ31=0,"",DM31/DJ31)</f>
        <v/>
      </c>
      <c r="DP31" s="33" t="n"/>
      <c r="DQ31" s="233" t="n"/>
      <c r="DR31" s="233" t="n"/>
      <c r="DS31" s="233">
        <f>DQ31+DR31</f>
        <v/>
      </c>
      <c r="DT31" s="233" t="n"/>
      <c r="DU31" s="233" t="n"/>
      <c r="DV31" s="233">
        <f>DT31+DU31</f>
        <v/>
      </c>
      <c r="DW31" s="238">
        <f>DV31-DS31</f>
        <v/>
      </c>
      <c r="DX31" s="235">
        <f>IF(DS31=0,"",DV31/DS31)</f>
        <v/>
      </c>
      <c r="DY31" s="26" t="n"/>
      <c r="DZ31" s="236">
        <f>DH31+DQ31</f>
        <v/>
      </c>
      <c r="EA31" s="236">
        <f>DI31+DR31</f>
        <v/>
      </c>
      <c r="EB31" s="236">
        <f>DZ31+EA31</f>
        <v/>
      </c>
      <c r="EC31" s="236">
        <f>DK31+DT31</f>
        <v/>
      </c>
      <c r="ED31" s="236">
        <f>DL31+DU31</f>
        <v/>
      </c>
      <c r="EE31" s="236">
        <f>EC31+ED31</f>
        <v/>
      </c>
      <c r="EF31" s="239">
        <f>EE31-EB31</f>
        <v/>
      </c>
      <c r="EG31" s="237">
        <f>IF(EB31=0,"",EE31/EB31)</f>
        <v/>
      </c>
      <c r="EH31" s="33" t="n"/>
      <c r="EI31" s="233" t="n"/>
      <c r="EJ31" s="233" t="n"/>
      <c r="EK31" s="233">
        <f>EI31+EJ31</f>
        <v/>
      </c>
      <c r="EL31" s="233" t="n"/>
      <c r="EM31" s="233" t="n"/>
      <c r="EN31" s="233">
        <f>EL31+EM31</f>
        <v/>
      </c>
      <c r="EO31" s="238">
        <f>EN31-EK31</f>
        <v/>
      </c>
      <c r="EP31" s="235">
        <f>IF(EK31=0,"",EN31/EK31)</f>
        <v/>
      </c>
      <c r="EQ31" s="26" t="n"/>
      <c r="ER31" s="236">
        <f>DZ31+EI31</f>
        <v/>
      </c>
      <c r="ES31" s="236">
        <f>EA31+EJ31</f>
        <v/>
      </c>
      <c r="ET31" s="236">
        <f>ER31+ES31</f>
        <v/>
      </c>
      <c r="EU31" s="236">
        <f>EC31+EL31</f>
        <v/>
      </c>
      <c r="EV31" s="236">
        <f>ED31+EM31</f>
        <v/>
      </c>
      <c r="EW31" s="236">
        <f>EU31+EV31</f>
        <v/>
      </c>
      <c r="EX31" s="239">
        <f>EW31-ET31</f>
        <v/>
      </c>
      <c r="EY31" s="237">
        <f>IF(ET31=0,"",EW31/ET31)</f>
        <v/>
      </c>
      <c r="EZ31" s="33" t="n"/>
      <c r="FA31" s="233" t="n"/>
      <c r="FB31" s="233" t="n"/>
      <c r="FC31" s="233">
        <f>FA31+FB31</f>
        <v/>
      </c>
      <c r="FD31" s="233" t="n"/>
      <c r="FE31" s="233" t="n"/>
      <c r="FF31" s="233">
        <f>FD31+FE31</f>
        <v/>
      </c>
      <c r="FG31" s="238">
        <f>FF31-FC31</f>
        <v/>
      </c>
      <c r="FH31" s="235">
        <f>IF(FC31=0,"",FF31/FC31)</f>
        <v/>
      </c>
      <c r="FI31" s="26" t="n"/>
      <c r="FJ31" s="236">
        <f>ER31+FA31</f>
        <v/>
      </c>
      <c r="FK31" s="236">
        <f>ES31+FB31</f>
        <v/>
      </c>
      <c r="FL31" s="236">
        <f>FJ31+FK31</f>
        <v/>
      </c>
      <c r="FM31" s="236">
        <f>EU31+FD31</f>
        <v/>
      </c>
      <c r="FN31" s="236">
        <f>EV31+FE31</f>
        <v/>
      </c>
      <c r="FO31" s="236">
        <f>FM31+FN31</f>
        <v/>
      </c>
      <c r="FP31" s="239">
        <f>FO31-FL31</f>
        <v/>
      </c>
      <c r="FQ31" s="237">
        <f>IF(FL31=0,"",FO31/FL31)</f>
        <v/>
      </c>
      <c r="FR31" s="33" t="n"/>
      <c r="FS31" s="233" t="n"/>
      <c r="FT31" s="233" t="n"/>
      <c r="FU31" s="233">
        <f>FS31+FT31</f>
        <v/>
      </c>
      <c r="FV31" s="233" t="n"/>
      <c r="FW31" s="233" t="n"/>
      <c r="FX31" s="233">
        <f>FV31+FW31</f>
        <v/>
      </c>
      <c r="FY31" s="238">
        <f>FX31-FU31</f>
        <v/>
      </c>
      <c r="FZ31" s="235">
        <f>IF(FU31=0,"",FX31/FU31)</f>
        <v/>
      </c>
      <c r="GA31" s="26" t="n"/>
      <c r="GB31" s="236">
        <f>FJ31+FS31</f>
        <v/>
      </c>
      <c r="GC31" s="236">
        <f>FK31+FT31</f>
        <v/>
      </c>
      <c r="GD31" s="236">
        <f>GB31+GC31</f>
        <v/>
      </c>
      <c r="GE31" s="236">
        <f>FM31+FV31</f>
        <v/>
      </c>
      <c r="GF31" s="236">
        <f>FN31+FW31</f>
        <v/>
      </c>
      <c r="GG31" s="236">
        <f>GE31+GF31</f>
        <v/>
      </c>
      <c r="GH31" s="239">
        <f>GG31-GD31</f>
        <v/>
      </c>
      <c r="GI31" s="237">
        <f>IF(GD31=0,"",GG31/GD31)</f>
        <v/>
      </c>
      <c r="GJ31" s="33" t="n"/>
      <c r="GK31" s="233" t="n"/>
      <c r="GL31" s="233" t="n"/>
      <c r="GM31" s="233">
        <f>GK31+GL31</f>
        <v/>
      </c>
      <c r="GN31" s="233" t="n"/>
      <c r="GO31" s="233" t="n"/>
      <c r="GP31" s="233">
        <f>GN31+GO31</f>
        <v/>
      </c>
      <c r="GQ31" s="238">
        <f>GP31-GM31</f>
        <v/>
      </c>
      <c r="GR31" s="235">
        <f>IF(GM31=0,"",GP31/GM31)</f>
        <v/>
      </c>
      <c r="GS31" s="26" t="n"/>
      <c r="GT31" s="236">
        <f>GB31+GK31</f>
        <v/>
      </c>
      <c r="GU31" s="236">
        <f>GC31+GL31</f>
        <v/>
      </c>
      <c r="GV31" s="236">
        <f>GT31+GU31</f>
        <v/>
      </c>
      <c r="GW31" s="236">
        <f>GE31+GN31</f>
        <v/>
      </c>
      <c r="GX31" s="236">
        <f>GF31+GO31</f>
        <v/>
      </c>
      <c r="GY31" s="236">
        <f>GW31+GX31</f>
        <v/>
      </c>
      <c r="GZ31" s="239">
        <f>GY31-GV31</f>
        <v/>
      </c>
      <c r="HA31" s="237">
        <f>IF(GV31=0,"",GY31/GV31)</f>
        <v/>
      </c>
      <c r="HB31" s="33" t="n"/>
      <c r="HC31" s="233">
        <f>GT31</f>
        <v/>
      </c>
      <c r="HD31" s="233">
        <f>GU31</f>
        <v/>
      </c>
      <c r="HE31" s="233">
        <f>HC31+HD31</f>
        <v/>
      </c>
    </row>
    <row r="32" outlineLevel="1" ht="15" customHeight="1" s="150">
      <c r="A32" s="26" t="n"/>
      <c r="B32" s="26" t="n"/>
      <c r="C32" s="26" t="n"/>
      <c r="D32" s="233" t="n"/>
      <c r="E32" s="233" t="n"/>
      <c r="F32" s="233">
        <f>D32+E32</f>
        <v/>
      </c>
      <c r="G32" s="233" t="n"/>
      <c r="H32" s="233" t="n"/>
      <c r="I32" s="233">
        <f>G32+H32</f>
        <v/>
      </c>
      <c r="J32" s="238">
        <f>I32-F32</f>
        <v/>
      </c>
      <c r="K32" s="235">
        <f>IF(F32=0,"",I32/F32)</f>
        <v/>
      </c>
      <c r="L32" s="26" t="n"/>
      <c r="M32" s="233" t="n"/>
      <c r="N32" s="233" t="n"/>
      <c r="O32" s="233">
        <f>M32+N32</f>
        <v/>
      </c>
      <c r="P32" s="233" t="n"/>
      <c r="Q32" s="233" t="n"/>
      <c r="R32" s="233">
        <f>P32+Q32</f>
        <v/>
      </c>
      <c r="S32" s="238">
        <f>R32-O32</f>
        <v/>
      </c>
      <c r="T32" s="235">
        <f>IF(O32=0,"",R32/O32)</f>
        <v/>
      </c>
      <c r="U32" s="26" t="n"/>
      <c r="V32" s="236">
        <f>D32+M32</f>
        <v/>
      </c>
      <c r="W32" s="236">
        <f>E32+N32</f>
        <v/>
      </c>
      <c r="X32" s="236">
        <f>V32+W32</f>
        <v/>
      </c>
      <c r="Y32" s="236">
        <f>G32+P32</f>
        <v/>
      </c>
      <c r="Z32" s="236">
        <f>H32+Q32</f>
        <v/>
      </c>
      <c r="AA32" s="236">
        <f>Y32+Z32</f>
        <v/>
      </c>
      <c r="AB32" s="239">
        <f>AA32-X32</f>
        <v/>
      </c>
      <c r="AC32" s="237">
        <f>IF(X32=0,"",AA32/X32)</f>
        <v/>
      </c>
      <c r="AD32" s="33" t="n"/>
      <c r="AE32" s="233" t="n"/>
      <c r="AF32" s="233" t="n"/>
      <c r="AG32" s="233">
        <f>AE32+AF32</f>
        <v/>
      </c>
      <c r="AH32" s="233" t="n"/>
      <c r="AI32" s="233" t="n"/>
      <c r="AJ32" s="233">
        <f>AH32+AI32</f>
        <v/>
      </c>
      <c r="AK32" s="238">
        <f>AJ32-AG32</f>
        <v/>
      </c>
      <c r="AL32" s="235">
        <f>IF(AG32=0,"",AJ32/AG32)</f>
        <v/>
      </c>
      <c r="AM32" s="26" t="n"/>
      <c r="AN32" s="236">
        <f>V32+AE32</f>
        <v/>
      </c>
      <c r="AO32" s="236">
        <f>W32+AF32</f>
        <v/>
      </c>
      <c r="AP32" s="236">
        <f>AN32+AO32</f>
        <v/>
      </c>
      <c r="AQ32" s="236">
        <f>Y32+AH32</f>
        <v/>
      </c>
      <c r="AR32" s="236">
        <f>Z32+AI32</f>
        <v/>
      </c>
      <c r="AS32" s="236">
        <f>AQ32+AR32</f>
        <v/>
      </c>
      <c r="AT32" s="239">
        <f>AS32-AP32</f>
        <v/>
      </c>
      <c r="AU32" s="237">
        <f>IF(AP32=0,"",AS32/AP32)</f>
        <v/>
      </c>
      <c r="AV32" s="33" t="n"/>
      <c r="AW32" s="233" t="n"/>
      <c r="AX32" s="233" t="n"/>
      <c r="AY32" s="233">
        <f>AW32+AX32</f>
        <v/>
      </c>
      <c r="AZ32" s="233" t="n"/>
      <c r="BA32" s="233" t="n"/>
      <c r="BB32" s="233">
        <f>AZ32+BA32</f>
        <v/>
      </c>
      <c r="BC32" s="238">
        <f>BB32-AY32</f>
        <v/>
      </c>
      <c r="BD32" s="235">
        <f>IF(AY32=0,"",BB32/AY32)</f>
        <v/>
      </c>
      <c r="BE32" s="26" t="n"/>
      <c r="BF32" s="236">
        <f>AN32+AW32</f>
        <v/>
      </c>
      <c r="BG32" s="236">
        <f>AO32+AX32</f>
        <v/>
      </c>
      <c r="BH32" s="236">
        <f>BF32+BG32</f>
        <v/>
      </c>
      <c r="BI32" s="236">
        <f>AQ32+AZ32</f>
        <v/>
      </c>
      <c r="BJ32" s="236">
        <f>AR32+BA32</f>
        <v/>
      </c>
      <c r="BK32" s="236">
        <f>BI32+BJ32</f>
        <v/>
      </c>
      <c r="BL32" s="239">
        <f>BK32-BH32</f>
        <v/>
      </c>
      <c r="BM32" s="237">
        <f>IF(BH32=0,"",BK32/BH32)</f>
        <v/>
      </c>
      <c r="BN32" s="33" t="n"/>
      <c r="BO32" s="233" t="n"/>
      <c r="BP32" s="233" t="n"/>
      <c r="BQ32" s="233">
        <f>BO32+BP32</f>
        <v/>
      </c>
      <c r="BR32" s="233" t="n"/>
      <c r="BS32" s="233" t="n"/>
      <c r="BT32" s="233">
        <f>BR32+BS32</f>
        <v/>
      </c>
      <c r="BU32" s="238">
        <f>BT32-BQ32</f>
        <v/>
      </c>
      <c r="BV32" s="235">
        <f>IF(BQ32=0,"",BT32/BQ32)</f>
        <v/>
      </c>
      <c r="BW32" s="26" t="n"/>
      <c r="BX32" s="236">
        <f>BF32+BO32</f>
        <v/>
      </c>
      <c r="BY32" s="236">
        <f>BG32+BP32</f>
        <v/>
      </c>
      <c r="BZ32" s="236">
        <f>BX32+BY32</f>
        <v/>
      </c>
      <c r="CA32" s="236">
        <f>BI32+BR32</f>
        <v/>
      </c>
      <c r="CB32" s="236">
        <f>BJ32+BS32</f>
        <v/>
      </c>
      <c r="CC32" s="236">
        <f>CA32+CB32</f>
        <v/>
      </c>
      <c r="CD32" s="239">
        <f>CC32-BZ32</f>
        <v/>
      </c>
      <c r="CE32" s="237">
        <f>IF(BZ32=0,"",CC32/BZ32)</f>
        <v/>
      </c>
      <c r="CF32" s="33" t="n"/>
      <c r="CG32" s="233" t="n"/>
      <c r="CH32" s="233" t="n"/>
      <c r="CI32" s="233">
        <f>CG32+CH32</f>
        <v/>
      </c>
      <c r="CJ32" s="233" t="n"/>
      <c r="CK32" s="233" t="n"/>
      <c r="CL32" s="233">
        <f>CJ32+CK32</f>
        <v/>
      </c>
      <c r="CM32" s="238">
        <f>CL32-CI32</f>
        <v/>
      </c>
      <c r="CN32" s="235">
        <f>IF(CI32=0,"",CL32/CI32)</f>
        <v/>
      </c>
      <c r="CO32" s="26" t="n"/>
      <c r="CP32" s="236">
        <f>BX32+CG32</f>
        <v/>
      </c>
      <c r="CQ32" s="236">
        <f>BY32+CH32</f>
        <v/>
      </c>
      <c r="CR32" s="236">
        <f>CP32+CQ32</f>
        <v/>
      </c>
      <c r="CS32" s="236">
        <f>CA32+CJ32</f>
        <v/>
      </c>
      <c r="CT32" s="236">
        <f>CB32+CK32</f>
        <v/>
      </c>
      <c r="CU32" s="236">
        <f>CS32+CT32</f>
        <v/>
      </c>
      <c r="CV32" s="239">
        <f>CU32-CR32</f>
        <v/>
      </c>
      <c r="CW32" s="237">
        <f>IF(CR32=0,"",CU32/CR32)</f>
        <v/>
      </c>
      <c r="CX32" s="33" t="n"/>
      <c r="CY32" s="233" t="n"/>
      <c r="CZ32" s="233" t="n"/>
      <c r="DA32" s="233">
        <f>CY32+CZ32</f>
        <v/>
      </c>
      <c r="DB32" s="233" t="n"/>
      <c r="DC32" s="233" t="n"/>
      <c r="DD32" s="233">
        <f>DB32+DC32</f>
        <v/>
      </c>
      <c r="DE32" s="238">
        <f>DD32-DA32</f>
        <v/>
      </c>
      <c r="DF32" s="235">
        <f>IF(DA32=0,"",DD32/DA32)</f>
        <v/>
      </c>
      <c r="DG32" s="26" t="n"/>
      <c r="DH32" s="236">
        <f>CP32+CY32</f>
        <v/>
      </c>
      <c r="DI32" s="236">
        <f>CQ32+CZ32</f>
        <v/>
      </c>
      <c r="DJ32" s="236">
        <f>DH32+DI32</f>
        <v/>
      </c>
      <c r="DK32" s="236">
        <f>CS32+DB32</f>
        <v/>
      </c>
      <c r="DL32" s="236">
        <f>CT32+DC32</f>
        <v/>
      </c>
      <c r="DM32" s="236">
        <f>DK32+DL32</f>
        <v/>
      </c>
      <c r="DN32" s="239">
        <f>DM32-DJ32</f>
        <v/>
      </c>
      <c r="DO32" s="237">
        <f>IF(DJ32=0,"",DM32/DJ32)</f>
        <v/>
      </c>
      <c r="DP32" s="33" t="n"/>
      <c r="DQ32" s="233" t="n"/>
      <c r="DR32" s="233" t="n"/>
      <c r="DS32" s="233">
        <f>DQ32+DR32</f>
        <v/>
      </c>
      <c r="DT32" s="233" t="n"/>
      <c r="DU32" s="233" t="n"/>
      <c r="DV32" s="233">
        <f>DT32+DU32</f>
        <v/>
      </c>
      <c r="DW32" s="238">
        <f>DV32-DS32</f>
        <v/>
      </c>
      <c r="DX32" s="235">
        <f>IF(DS32=0,"",DV32/DS32)</f>
        <v/>
      </c>
      <c r="DY32" s="26" t="n"/>
      <c r="DZ32" s="236">
        <f>DH32+DQ32</f>
        <v/>
      </c>
      <c r="EA32" s="236">
        <f>DI32+DR32</f>
        <v/>
      </c>
      <c r="EB32" s="236">
        <f>DZ32+EA32</f>
        <v/>
      </c>
      <c r="EC32" s="236">
        <f>DK32+DT32</f>
        <v/>
      </c>
      <c r="ED32" s="236">
        <f>DL32+DU32</f>
        <v/>
      </c>
      <c r="EE32" s="236">
        <f>EC32+ED32</f>
        <v/>
      </c>
      <c r="EF32" s="239">
        <f>EE32-EB32</f>
        <v/>
      </c>
      <c r="EG32" s="237">
        <f>IF(EB32=0,"",EE32/EB32)</f>
        <v/>
      </c>
      <c r="EH32" s="33" t="n"/>
      <c r="EI32" s="233" t="n"/>
      <c r="EJ32" s="233" t="n"/>
      <c r="EK32" s="233">
        <f>EI32+EJ32</f>
        <v/>
      </c>
      <c r="EL32" s="233" t="n"/>
      <c r="EM32" s="233" t="n"/>
      <c r="EN32" s="233">
        <f>EL32+EM32</f>
        <v/>
      </c>
      <c r="EO32" s="238">
        <f>EN32-EK32</f>
        <v/>
      </c>
      <c r="EP32" s="235">
        <f>IF(EK32=0,"",EN32/EK32)</f>
        <v/>
      </c>
      <c r="EQ32" s="26" t="n"/>
      <c r="ER32" s="236">
        <f>DZ32+EI32</f>
        <v/>
      </c>
      <c r="ES32" s="236">
        <f>EA32+EJ32</f>
        <v/>
      </c>
      <c r="ET32" s="236">
        <f>ER32+ES32</f>
        <v/>
      </c>
      <c r="EU32" s="236">
        <f>EC32+EL32</f>
        <v/>
      </c>
      <c r="EV32" s="236">
        <f>ED32+EM32</f>
        <v/>
      </c>
      <c r="EW32" s="236">
        <f>EU32+EV32</f>
        <v/>
      </c>
      <c r="EX32" s="239">
        <f>EW32-ET32</f>
        <v/>
      </c>
      <c r="EY32" s="237">
        <f>IF(ET32=0,"",EW32/ET32)</f>
        <v/>
      </c>
      <c r="EZ32" s="33" t="n"/>
      <c r="FA32" s="233" t="n"/>
      <c r="FB32" s="233" t="n"/>
      <c r="FC32" s="233">
        <f>FA32+FB32</f>
        <v/>
      </c>
      <c r="FD32" s="233" t="n"/>
      <c r="FE32" s="233" t="n"/>
      <c r="FF32" s="233">
        <f>FD32+FE32</f>
        <v/>
      </c>
      <c r="FG32" s="238">
        <f>FF32-FC32</f>
        <v/>
      </c>
      <c r="FH32" s="235">
        <f>IF(FC32=0,"",FF32/FC32)</f>
        <v/>
      </c>
      <c r="FI32" s="26" t="n"/>
      <c r="FJ32" s="236">
        <f>ER32+FA32</f>
        <v/>
      </c>
      <c r="FK32" s="236">
        <f>ES32+FB32</f>
        <v/>
      </c>
      <c r="FL32" s="236">
        <f>FJ32+FK32</f>
        <v/>
      </c>
      <c r="FM32" s="236">
        <f>EU32+FD32</f>
        <v/>
      </c>
      <c r="FN32" s="236">
        <f>EV32+FE32</f>
        <v/>
      </c>
      <c r="FO32" s="236">
        <f>FM32+FN32</f>
        <v/>
      </c>
      <c r="FP32" s="239">
        <f>FO32-FL32</f>
        <v/>
      </c>
      <c r="FQ32" s="237">
        <f>IF(FL32=0,"",FO32/FL32)</f>
        <v/>
      </c>
      <c r="FR32" s="33" t="n"/>
      <c r="FS32" s="233" t="n"/>
      <c r="FT32" s="233" t="n"/>
      <c r="FU32" s="233">
        <f>FS32+FT32</f>
        <v/>
      </c>
      <c r="FV32" s="233" t="n"/>
      <c r="FW32" s="233" t="n"/>
      <c r="FX32" s="233">
        <f>FV32+FW32</f>
        <v/>
      </c>
      <c r="FY32" s="238">
        <f>FX32-FU32</f>
        <v/>
      </c>
      <c r="FZ32" s="235">
        <f>IF(FU32=0,"",FX32/FU32)</f>
        <v/>
      </c>
      <c r="GA32" s="26" t="n"/>
      <c r="GB32" s="236">
        <f>FJ32+FS32</f>
        <v/>
      </c>
      <c r="GC32" s="236">
        <f>FK32+FT32</f>
        <v/>
      </c>
      <c r="GD32" s="236">
        <f>GB32+GC32</f>
        <v/>
      </c>
      <c r="GE32" s="236">
        <f>FM32+FV32</f>
        <v/>
      </c>
      <c r="GF32" s="236">
        <f>FN32+FW32</f>
        <v/>
      </c>
      <c r="GG32" s="236">
        <f>GE32+GF32</f>
        <v/>
      </c>
      <c r="GH32" s="239">
        <f>GG32-GD32</f>
        <v/>
      </c>
      <c r="GI32" s="237">
        <f>IF(GD32=0,"",GG32/GD32)</f>
        <v/>
      </c>
      <c r="GJ32" s="33" t="n"/>
      <c r="GK32" s="233" t="n"/>
      <c r="GL32" s="233" t="n"/>
      <c r="GM32" s="233">
        <f>GK32+GL32</f>
        <v/>
      </c>
      <c r="GN32" s="233" t="n"/>
      <c r="GO32" s="233" t="n"/>
      <c r="GP32" s="233">
        <f>GN32+GO32</f>
        <v/>
      </c>
      <c r="GQ32" s="238">
        <f>GP32-GM32</f>
        <v/>
      </c>
      <c r="GR32" s="235">
        <f>IF(GM32=0,"",GP32/GM32)</f>
        <v/>
      </c>
      <c r="GS32" s="26" t="n"/>
      <c r="GT32" s="236">
        <f>GB32+GK32</f>
        <v/>
      </c>
      <c r="GU32" s="236">
        <f>GC32+GL32</f>
        <v/>
      </c>
      <c r="GV32" s="236">
        <f>GT32+GU32</f>
        <v/>
      </c>
      <c r="GW32" s="236">
        <f>GE32+GN32</f>
        <v/>
      </c>
      <c r="GX32" s="236">
        <f>GF32+GO32</f>
        <v/>
      </c>
      <c r="GY32" s="236">
        <f>GW32+GX32</f>
        <v/>
      </c>
      <c r="GZ32" s="239">
        <f>GY32-GV32</f>
        <v/>
      </c>
      <c r="HA32" s="237">
        <f>IF(GV32=0,"",GY32/GV32)</f>
        <v/>
      </c>
      <c r="HB32" s="33" t="n"/>
      <c r="HC32" s="233">
        <f>GT32</f>
        <v/>
      </c>
      <c r="HD32" s="233">
        <f>GU32</f>
        <v/>
      </c>
      <c r="HE32" s="233">
        <f>HC32+HD32</f>
        <v/>
      </c>
    </row>
    <row r="33" outlineLevel="1" ht="15" customHeight="1" s="150">
      <c r="A33" s="26" t="n"/>
      <c r="B33" s="26" t="n"/>
      <c r="C33" s="26" t="n"/>
      <c r="D33" s="233" t="n"/>
      <c r="E33" s="233" t="n"/>
      <c r="F33" s="233">
        <f>D33+E33</f>
        <v/>
      </c>
      <c r="G33" s="233" t="n"/>
      <c r="H33" s="233" t="n"/>
      <c r="I33" s="233">
        <f>G33+H33</f>
        <v/>
      </c>
      <c r="J33" s="238">
        <f>I33-F33</f>
        <v/>
      </c>
      <c r="K33" s="235">
        <f>IF(F33=0,"",I33/F33)</f>
        <v/>
      </c>
      <c r="L33" s="26" t="n"/>
      <c r="M33" s="233" t="n"/>
      <c r="N33" s="233" t="n"/>
      <c r="O33" s="233">
        <f>M33+N33</f>
        <v/>
      </c>
      <c r="P33" s="233" t="n"/>
      <c r="Q33" s="233" t="n"/>
      <c r="R33" s="233">
        <f>P33+Q33</f>
        <v/>
      </c>
      <c r="S33" s="238">
        <f>R33-O33</f>
        <v/>
      </c>
      <c r="T33" s="235">
        <f>IF(O33=0,"",R33/O33)</f>
        <v/>
      </c>
      <c r="U33" s="26" t="n"/>
      <c r="V33" s="236">
        <f>D33+M33</f>
        <v/>
      </c>
      <c r="W33" s="236">
        <f>E33+N33</f>
        <v/>
      </c>
      <c r="X33" s="236">
        <f>V33+W33</f>
        <v/>
      </c>
      <c r="Y33" s="236">
        <f>G33+P33</f>
        <v/>
      </c>
      <c r="Z33" s="236">
        <f>H33+Q33</f>
        <v/>
      </c>
      <c r="AA33" s="236">
        <f>Y33+Z33</f>
        <v/>
      </c>
      <c r="AB33" s="239">
        <f>AA33-X33</f>
        <v/>
      </c>
      <c r="AC33" s="237">
        <f>IF(X33=0,"",AA33/X33)</f>
        <v/>
      </c>
      <c r="AD33" s="33" t="n"/>
      <c r="AE33" s="233" t="n"/>
      <c r="AF33" s="233" t="n"/>
      <c r="AG33" s="233">
        <f>AE33+AF33</f>
        <v/>
      </c>
      <c r="AH33" s="233" t="n"/>
      <c r="AI33" s="233" t="n"/>
      <c r="AJ33" s="233">
        <f>AH33+AI33</f>
        <v/>
      </c>
      <c r="AK33" s="238">
        <f>AJ33-AG33</f>
        <v/>
      </c>
      <c r="AL33" s="235">
        <f>IF(AG33=0,"",AJ33/AG33)</f>
        <v/>
      </c>
      <c r="AM33" s="26" t="n"/>
      <c r="AN33" s="236">
        <f>V33+AE33</f>
        <v/>
      </c>
      <c r="AO33" s="236">
        <f>W33+AF33</f>
        <v/>
      </c>
      <c r="AP33" s="236">
        <f>AN33+AO33</f>
        <v/>
      </c>
      <c r="AQ33" s="236">
        <f>Y33+AH33</f>
        <v/>
      </c>
      <c r="AR33" s="236">
        <f>Z33+AI33</f>
        <v/>
      </c>
      <c r="AS33" s="236">
        <f>AQ33+AR33</f>
        <v/>
      </c>
      <c r="AT33" s="239">
        <f>AS33-AP33</f>
        <v/>
      </c>
      <c r="AU33" s="237">
        <f>IF(AP33=0,"",AS33/AP33)</f>
        <v/>
      </c>
      <c r="AV33" s="33" t="n"/>
      <c r="AW33" s="233" t="n"/>
      <c r="AX33" s="233" t="n"/>
      <c r="AY33" s="233">
        <f>AW33+AX33</f>
        <v/>
      </c>
      <c r="AZ33" s="233" t="n"/>
      <c r="BA33" s="233" t="n"/>
      <c r="BB33" s="233">
        <f>AZ33+BA33</f>
        <v/>
      </c>
      <c r="BC33" s="238">
        <f>BB33-AY33</f>
        <v/>
      </c>
      <c r="BD33" s="235">
        <f>IF(AY33=0,"",BB33/AY33)</f>
        <v/>
      </c>
      <c r="BE33" s="26" t="n"/>
      <c r="BF33" s="236">
        <f>AN33+AW33</f>
        <v/>
      </c>
      <c r="BG33" s="236">
        <f>AO33+AX33</f>
        <v/>
      </c>
      <c r="BH33" s="236">
        <f>BF33+BG33</f>
        <v/>
      </c>
      <c r="BI33" s="236">
        <f>AQ33+AZ33</f>
        <v/>
      </c>
      <c r="BJ33" s="236">
        <f>AR33+BA33</f>
        <v/>
      </c>
      <c r="BK33" s="236">
        <f>BI33+BJ33</f>
        <v/>
      </c>
      <c r="BL33" s="239">
        <f>BK33-BH33</f>
        <v/>
      </c>
      <c r="BM33" s="237">
        <f>IF(BH33=0,"",BK33/BH33)</f>
        <v/>
      </c>
      <c r="BN33" s="33" t="n"/>
      <c r="BO33" s="233" t="n"/>
      <c r="BP33" s="233" t="n"/>
      <c r="BQ33" s="233">
        <f>BO33+BP33</f>
        <v/>
      </c>
      <c r="BR33" s="233" t="n"/>
      <c r="BS33" s="233" t="n"/>
      <c r="BT33" s="233">
        <f>BR33+BS33</f>
        <v/>
      </c>
      <c r="BU33" s="238">
        <f>BT33-BQ33</f>
        <v/>
      </c>
      <c r="BV33" s="235">
        <f>IF(BQ33=0,"",BT33/BQ33)</f>
        <v/>
      </c>
      <c r="BW33" s="26" t="n"/>
      <c r="BX33" s="236">
        <f>BF33+BO33</f>
        <v/>
      </c>
      <c r="BY33" s="236">
        <f>BG33+BP33</f>
        <v/>
      </c>
      <c r="BZ33" s="236">
        <f>BX33+BY33</f>
        <v/>
      </c>
      <c r="CA33" s="236">
        <f>BI33+BR33</f>
        <v/>
      </c>
      <c r="CB33" s="236">
        <f>BJ33+BS33</f>
        <v/>
      </c>
      <c r="CC33" s="236">
        <f>CA33+CB33</f>
        <v/>
      </c>
      <c r="CD33" s="239">
        <f>CC33-BZ33</f>
        <v/>
      </c>
      <c r="CE33" s="237">
        <f>IF(BZ33=0,"",CC33/BZ33)</f>
        <v/>
      </c>
      <c r="CF33" s="33" t="n"/>
      <c r="CG33" s="233" t="n"/>
      <c r="CH33" s="233" t="n"/>
      <c r="CI33" s="233">
        <f>CG33+CH33</f>
        <v/>
      </c>
      <c r="CJ33" s="233" t="n"/>
      <c r="CK33" s="233" t="n"/>
      <c r="CL33" s="233">
        <f>CJ33+CK33</f>
        <v/>
      </c>
      <c r="CM33" s="238">
        <f>CL33-CI33</f>
        <v/>
      </c>
      <c r="CN33" s="235">
        <f>IF(CI33=0,"",CL33/CI33)</f>
        <v/>
      </c>
      <c r="CO33" s="26" t="n"/>
      <c r="CP33" s="236">
        <f>BX33+CG33</f>
        <v/>
      </c>
      <c r="CQ33" s="236">
        <f>BY33+CH33</f>
        <v/>
      </c>
      <c r="CR33" s="236">
        <f>CP33+CQ33</f>
        <v/>
      </c>
      <c r="CS33" s="236">
        <f>CA33+CJ33</f>
        <v/>
      </c>
      <c r="CT33" s="236">
        <f>CB33+CK33</f>
        <v/>
      </c>
      <c r="CU33" s="236">
        <f>CS33+CT33</f>
        <v/>
      </c>
      <c r="CV33" s="239">
        <f>CU33-CR33</f>
        <v/>
      </c>
      <c r="CW33" s="237">
        <f>IF(CR33=0,"",CU33/CR33)</f>
        <v/>
      </c>
      <c r="CX33" s="33" t="n"/>
      <c r="CY33" s="233" t="n"/>
      <c r="CZ33" s="233" t="n"/>
      <c r="DA33" s="233">
        <f>CY33+CZ33</f>
        <v/>
      </c>
      <c r="DB33" s="233" t="n"/>
      <c r="DC33" s="233" t="n"/>
      <c r="DD33" s="233">
        <f>DB33+DC33</f>
        <v/>
      </c>
      <c r="DE33" s="238">
        <f>DD33-DA33</f>
        <v/>
      </c>
      <c r="DF33" s="235">
        <f>IF(DA33=0,"",DD33/DA33)</f>
        <v/>
      </c>
      <c r="DG33" s="26" t="n"/>
      <c r="DH33" s="236">
        <f>CP33+CY33</f>
        <v/>
      </c>
      <c r="DI33" s="236">
        <f>CQ33+CZ33</f>
        <v/>
      </c>
      <c r="DJ33" s="236">
        <f>DH33+DI33</f>
        <v/>
      </c>
      <c r="DK33" s="236">
        <f>CS33+DB33</f>
        <v/>
      </c>
      <c r="DL33" s="236">
        <f>CT33+DC33</f>
        <v/>
      </c>
      <c r="DM33" s="236">
        <f>DK33+DL33</f>
        <v/>
      </c>
      <c r="DN33" s="239">
        <f>DM33-DJ33</f>
        <v/>
      </c>
      <c r="DO33" s="237">
        <f>IF(DJ33=0,"",DM33/DJ33)</f>
        <v/>
      </c>
      <c r="DP33" s="33" t="n"/>
      <c r="DQ33" s="233" t="n"/>
      <c r="DR33" s="233" t="n"/>
      <c r="DS33" s="233">
        <f>DQ33+DR33</f>
        <v/>
      </c>
      <c r="DT33" s="233" t="n"/>
      <c r="DU33" s="233" t="n"/>
      <c r="DV33" s="233">
        <f>DT33+DU33</f>
        <v/>
      </c>
      <c r="DW33" s="238">
        <f>DV33-DS33</f>
        <v/>
      </c>
      <c r="DX33" s="235">
        <f>IF(DS33=0,"",DV33/DS33)</f>
        <v/>
      </c>
      <c r="DY33" s="26" t="n"/>
      <c r="DZ33" s="236">
        <f>DH33+DQ33</f>
        <v/>
      </c>
      <c r="EA33" s="236">
        <f>DI33+DR33</f>
        <v/>
      </c>
      <c r="EB33" s="236">
        <f>DZ33+EA33</f>
        <v/>
      </c>
      <c r="EC33" s="236">
        <f>DK33+DT33</f>
        <v/>
      </c>
      <c r="ED33" s="236">
        <f>DL33+DU33</f>
        <v/>
      </c>
      <c r="EE33" s="236">
        <f>EC33+ED33</f>
        <v/>
      </c>
      <c r="EF33" s="239">
        <f>EE33-EB33</f>
        <v/>
      </c>
      <c r="EG33" s="237">
        <f>IF(EB33=0,"",EE33/EB33)</f>
        <v/>
      </c>
      <c r="EH33" s="33" t="n"/>
      <c r="EI33" s="233" t="n"/>
      <c r="EJ33" s="233" t="n"/>
      <c r="EK33" s="233">
        <f>EI33+EJ33</f>
        <v/>
      </c>
      <c r="EL33" s="233" t="n"/>
      <c r="EM33" s="233" t="n"/>
      <c r="EN33" s="233">
        <f>EL33+EM33</f>
        <v/>
      </c>
      <c r="EO33" s="238">
        <f>EN33-EK33</f>
        <v/>
      </c>
      <c r="EP33" s="235">
        <f>IF(EK33=0,"",EN33/EK33)</f>
        <v/>
      </c>
      <c r="EQ33" s="26" t="n"/>
      <c r="ER33" s="236">
        <f>DZ33+EI33</f>
        <v/>
      </c>
      <c r="ES33" s="236">
        <f>EA33+EJ33</f>
        <v/>
      </c>
      <c r="ET33" s="236">
        <f>ER33+ES33</f>
        <v/>
      </c>
      <c r="EU33" s="236">
        <f>EC33+EL33</f>
        <v/>
      </c>
      <c r="EV33" s="236">
        <f>ED33+EM33</f>
        <v/>
      </c>
      <c r="EW33" s="236">
        <f>EU33+EV33</f>
        <v/>
      </c>
      <c r="EX33" s="239">
        <f>EW33-ET33</f>
        <v/>
      </c>
      <c r="EY33" s="237">
        <f>IF(ET33=0,"",EW33/ET33)</f>
        <v/>
      </c>
      <c r="EZ33" s="33" t="n"/>
      <c r="FA33" s="233" t="n"/>
      <c r="FB33" s="233" t="n"/>
      <c r="FC33" s="233">
        <f>FA33+FB33</f>
        <v/>
      </c>
      <c r="FD33" s="233" t="n"/>
      <c r="FE33" s="233" t="n"/>
      <c r="FF33" s="233">
        <f>FD33+FE33</f>
        <v/>
      </c>
      <c r="FG33" s="238">
        <f>FF33-FC33</f>
        <v/>
      </c>
      <c r="FH33" s="235">
        <f>IF(FC33=0,"",FF33/FC33)</f>
        <v/>
      </c>
      <c r="FI33" s="26" t="n"/>
      <c r="FJ33" s="236">
        <f>ER33+FA33</f>
        <v/>
      </c>
      <c r="FK33" s="236">
        <f>ES33+FB33</f>
        <v/>
      </c>
      <c r="FL33" s="236">
        <f>FJ33+FK33</f>
        <v/>
      </c>
      <c r="FM33" s="236">
        <f>EU33+FD33</f>
        <v/>
      </c>
      <c r="FN33" s="236">
        <f>EV33+FE33</f>
        <v/>
      </c>
      <c r="FO33" s="236">
        <f>FM33+FN33</f>
        <v/>
      </c>
      <c r="FP33" s="239">
        <f>FO33-FL33</f>
        <v/>
      </c>
      <c r="FQ33" s="237">
        <f>IF(FL33=0,"",FO33/FL33)</f>
        <v/>
      </c>
      <c r="FR33" s="33" t="n"/>
      <c r="FS33" s="233" t="n"/>
      <c r="FT33" s="233" t="n"/>
      <c r="FU33" s="233">
        <f>FS33+FT33</f>
        <v/>
      </c>
      <c r="FV33" s="233" t="n"/>
      <c r="FW33" s="233" t="n"/>
      <c r="FX33" s="233">
        <f>FV33+FW33</f>
        <v/>
      </c>
      <c r="FY33" s="238">
        <f>FX33-FU33</f>
        <v/>
      </c>
      <c r="FZ33" s="235">
        <f>IF(FU33=0,"",FX33/FU33)</f>
        <v/>
      </c>
      <c r="GA33" s="26" t="n"/>
      <c r="GB33" s="236">
        <f>FJ33+FS33</f>
        <v/>
      </c>
      <c r="GC33" s="236">
        <f>FK33+FT33</f>
        <v/>
      </c>
      <c r="GD33" s="236">
        <f>GB33+GC33</f>
        <v/>
      </c>
      <c r="GE33" s="236">
        <f>FM33+FV33</f>
        <v/>
      </c>
      <c r="GF33" s="236">
        <f>FN33+FW33</f>
        <v/>
      </c>
      <c r="GG33" s="236">
        <f>GE33+GF33</f>
        <v/>
      </c>
      <c r="GH33" s="239">
        <f>GG33-GD33</f>
        <v/>
      </c>
      <c r="GI33" s="237">
        <f>IF(GD33=0,"",GG33/GD33)</f>
        <v/>
      </c>
      <c r="GJ33" s="33" t="n"/>
      <c r="GK33" s="233" t="n"/>
      <c r="GL33" s="233" t="n"/>
      <c r="GM33" s="233">
        <f>GK33+GL33</f>
        <v/>
      </c>
      <c r="GN33" s="233" t="n"/>
      <c r="GO33" s="233" t="n"/>
      <c r="GP33" s="233">
        <f>GN33+GO33</f>
        <v/>
      </c>
      <c r="GQ33" s="238">
        <f>GP33-GM33</f>
        <v/>
      </c>
      <c r="GR33" s="235">
        <f>IF(GM33=0,"",GP33/GM33)</f>
        <v/>
      </c>
      <c r="GS33" s="26" t="n"/>
      <c r="GT33" s="236">
        <f>GB33+GK33</f>
        <v/>
      </c>
      <c r="GU33" s="236">
        <f>GC33+GL33</f>
        <v/>
      </c>
      <c r="GV33" s="236">
        <f>GT33+GU33</f>
        <v/>
      </c>
      <c r="GW33" s="236">
        <f>GE33+GN33</f>
        <v/>
      </c>
      <c r="GX33" s="236">
        <f>GF33+GO33</f>
        <v/>
      </c>
      <c r="GY33" s="236">
        <f>GW33+GX33</f>
        <v/>
      </c>
      <c r="GZ33" s="239">
        <f>GY33-GV33</f>
        <v/>
      </c>
      <c r="HA33" s="237">
        <f>IF(GV33=0,"",GY33/GV33)</f>
        <v/>
      </c>
      <c r="HB33" s="33" t="n"/>
      <c r="HC33" s="233">
        <f>GT33</f>
        <v/>
      </c>
      <c r="HD33" s="233">
        <f>GU33</f>
        <v/>
      </c>
      <c r="HE33" s="233">
        <f>HC33+HD33</f>
        <v/>
      </c>
    </row>
    <row r="34" ht="15" customHeight="1" s="150">
      <c r="A34" s="12" t="n"/>
      <c r="B34" s="12" t="n"/>
      <c r="C34" s="12" t="n"/>
      <c r="D34" s="240">
        <f>SUM(D35,D39,D41,D45,D47)</f>
        <v/>
      </c>
      <c r="E34" s="240">
        <f>SUM(E35,E39,E41,E45,E47)</f>
        <v/>
      </c>
      <c r="F34" s="240">
        <f>D34+E34</f>
        <v/>
      </c>
      <c r="G34" s="240">
        <f>SUM(G35,G39,G41,G45,G47)</f>
        <v/>
      </c>
      <c r="H34" s="240">
        <f>SUM(H35,H39,H41,H45,H47)</f>
        <v/>
      </c>
      <c r="I34" s="240">
        <f>G34+H34</f>
        <v/>
      </c>
      <c r="J34" s="240">
        <f>I34-F34</f>
        <v/>
      </c>
      <c r="K34" s="241">
        <f>IF(F34=0,"",I34/F34)</f>
        <v/>
      </c>
      <c r="L34" s="12" t="n"/>
      <c r="M34" s="240">
        <f>SUM(M35,M39,M41,M45,M47)</f>
        <v/>
      </c>
      <c r="N34" s="240">
        <f>SUM(N35,N39,N41,N45,N47)</f>
        <v/>
      </c>
      <c r="O34" s="240">
        <f>M34+N34</f>
        <v/>
      </c>
      <c r="P34" s="240">
        <f>SUM(P35,P39,P41,P45,P47)</f>
        <v/>
      </c>
      <c r="Q34" s="240">
        <f>SUM(Q35,Q39,Q41,Q45,Q47)</f>
        <v/>
      </c>
      <c r="R34" s="240">
        <f>P34+Q34</f>
        <v/>
      </c>
      <c r="S34" s="240">
        <f>R34-O34</f>
        <v/>
      </c>
      <c r="T34" s="241">
        <f>IF(O34=0,"",R34/O34)</f>
        <v/>
      </c>
      <c r="U34" s="12" t="n"/>
      <c r="V34" s="242">
        <f>SUM(V35,V39,V41,V45,V47)</f>
        <v/>
      </c>
      <c r="W34" s="242">
        <f>SUM(W35,W39,W41,W45,W47)</f>
        <v/>
      </c>
      <c r="X34" s="242">
        <f>V34+W34</f>
        <v/>
      </c>
      <c r="Y34" s="242">
        <f>SUM(Y35,Y39,Y41,Y45,Y47)</f>
        <v/>
      </c>
      <c r="Z34" s="242">
        <f>SUM(Z35,Z39,Z41,Z45,Z47)</f>
        <v/>
      </c>
      <c r="AA34" s="242">
        <f>Y34+Z34</f>
        <v/>
      </c>
      <c r="AB34" s="242">
        <f>AA34-X34</f>
        <v/>
      </c>
      <c r="AC34" s="243">
        <f>IF(X34=0,"",AA34/X34)</f>
        <v/>
      </c>
      <c r="AD34" s="17" t="n"/>
      <c r="AE34" s="240">
        <f>SUM(AE35,AE39,AE41,AE45,AE47)</f>
        <v/>
      </c>
      <c r="AF34" s="240">
        <f>SUM(AF35,AF39,AF41,AF45,AF47)</f>
        <v/>
      </c>
      <c r="AG34" s="240">
        <f>AE34+AF34</f>
        <v/>
      </c>
      <c r="AH34" s="240">
        <f>SUM(AH35,AH39,AH41,AH45,AH47)</f>
        <v/>
      </c>
      <c r="AI34" s="240">
        <f>SUM(AI35,AI39,AI41,AI45,AI47)</f>
        <v/>
      </c>
      <c r="AJ34" s="240">
        <f>AH34+AI34</f>
        <v/>
      </c>
      <c r="AK34" s="240">
        <f>AJ34-AG34</f>
        <v/>
      </c>
      <c r="AL34" s="241">
        <f>IF(AG34=0,"",AJ34/AG34)</f>
        <v/>
      </c>
      <c r="AM34" s="12" t="n"/>
      <c r="AN34" s="242">
        <f>SUM(AN35,AN39,AN41,AN45,AN47)</f>
        <v/>
      </c>
      <c r="AO34" s="242">
        <f>SUM(AO35,AO39,AO41,AO45,AO47)</f>
        <v/>
      </c>
      <c r="AP34" s="242">
        <f>AN34+AO34</f>
        <v/>
      </c>
      <c r="AQ34" s="242">
        <f>SUM(AQ35,AQ39,AQ41,AQ45,AQ47)</f>
        <v/>
      </c>
      <c r="AR34" s="242">
        <f>SUM(AR35,AR39,AR41,AR45,AR47)</f>
        <v/>
      </c>
      <c r="AS34" s="242">
        <f>AQ34+AR34</f>
        <v/>
      </c>
      <c r="AT34" s="242">
        <f>AS34-AP34</f>
        <v/>
      </c>
      <c r="AU34" s="243">
        <f>IF(AP34=0,"",AS34/AP34)</f>
        <v/>
      </c>
      <c r="AV34" s="17" t="n"/>
      <c r="AW34" s="240">
        <f>SUM(AW35,AW39,AW41,AW45,AW47)</f>
        <v/>
      </c>
      <c r="AX34" s="240">
        <f>SUM(AX35,AX39,AX41,AX45,AX47)</f>
        <v/>
      </c>
      <c r="AY34" s="240">
        <f>AW34+AX34</f>
        <v/>
      </c>
      <c r="AZ34" s="240">
        <f>SUM(AZ35,AZ39,AZ41,AZ45,AZ47)</f>
        <v/>
      </c>
      <c r="BA34" s="240">
        <f>SUM(BA35,BA39,BA41,BA45,BA47)</f>
        <v/>
      </c>
      <c r="BB34" s="240">
        <f>AZ34+BA34</f>
        <v/>
      </c>
      <c r="BC34" s="240">
        <f>BB34-AY34</f>
        <v/>
      </c>
      <c r="BD34" s="241">
        <f>IF(AY34=0,"",BB34/AY34)</f>
        <v/>
      </c>
      <c r="BE34" s="12" t="n"/>
      <c r="BF34" s="242">
        <f>SUM(BF35,BF39,BF41,BF45,BF47)</f>
        <v/>
      </c>
      <c r="BG34" s="242">
        <f>SUM(BG35,BG39,BG41,BG45,BG47)</f>
        <v/>
      </c>
      <c r="BH34" s="242">
        <f>BF34+BG34</f>
        <v/>
      </c>
      <c r="BI34" s="242">
        <f>SUM(BI35,BI39,BI41,BI45,BI47)</f>
        <v/>
      </c>
      <c r="BJ34" s="242">
        <f>SUM(BJ35,BJ39,BJ41,BJ45,BJ47)</f>
        <v/>
      </c>
      <c r="BK34" s="242">
        <f>BI34+BJ34</f>
        <v/>
      </c>
      <c r="BL34" s="242">
        <f>BK34-BH34</f>
        <v/>
      </c>
      <c r="BM34" s="243">
        <f>IF(BH34=0,"",BK34/BH34)</f>
        <v/>
      </c>
      <c r="BN34" s="17" t="n"/>
      <c r="BO34" s="240">
        <f>SUM(BO35,BO39,BO41,BO45,BO47)</f>
        <v/>
      </c>
      <c r="BP34" s="240">
        <f>SUM(BP35,BP39,BP41,BP45,BP47)</f>
        <v/>
      </c>
      <c r="BQ34" s="240">
        <f>BO34+BP34</f>
        <v/>
      </c>
      <c r="BR34" s="240">
        <f>SUM(BR35,BR39,BR41,BR45,BR47)</f>
        <v/>
      </c>
      <c r="BS34" s="240">
        <f>SUM(BS35,BS39,BS41,BS45,BS47)</f>
        <v/>
      </c>
      <c r="BT34" s="240">
        <f>BR34+BS34</f>
        <v/>
      </c>
      <c r="BU34" s="240">
        <f>BT34-BQ34</f>
        <v/>
      </c>
      <c r="BV34" s="241">
        <f>IF(BQ34=0,"",BT34/BQ34)</f>
        <v/>
      </c>
      <c r="BW34" s="12" t="n"/>
      <c r="BX34" s="242">
        <f>SUM(BX35,BX39,BX41,BX45,BX47)</f>
        <v/>
      </c>
      <c r="BY34" s="242">
        <f>SUM(BY35,BY39,BY41,BY45,BY47)</f>
        <v/>
      </c>
      <c r="BZ34" s="242">
        <f>BX34+BY34</f>
        <v/>
      </c>
      <c r="CA34" s="242">
        <f>SUM(CA35,CA39,CA41,CA45,CA47)</f>
        <v/>
      </c>
      <c r="CB34" s="242">
        <f>SUM(CB35,CB39,CB41,CB45,CB47)</f>
        <v/>
      </c>
      <c r="CC34" s="242">
        <f>CA34+CB34</f>
        <v/>
      </c>
      <c r="CD34" s="242">
        <f>CC34-BZ34</f>
        <v/>
      </c>
      <c r="CE34" s="243">
        <f>IF(BZ34=0,"",CC34/BZ34)</f>
        <v/>
      </c>
      <c r="CF34" s="17" t="n"/>
      <c r="CG34" s="240">
        <f>SUM(CG35,CG39,CG41,CG45,CG47)</f>
        <v/>
      </c>
      <c r="CH34" s="240">
        <f>SUM(CH35,CH39,CH41,CH45,CH47)</f>
        <v/>
      </c>
      <c r="CI34" s="240">
        <f>CG34+CH34</f>
        <v/>
      </c>
      <c r="CJ34" s="240">
        <f>SUM(CJ35,CJ39,CJ41,CJ45,CJ47)</f>
        <v/>
      </c>
      <c r="CK34" s="240">
        <f>SUM(CK35,CK39,CK41,CK45,CK47)</f>
        <v/>
      </c>
      <c r="CL34" s="240">
        <f>CJ34+CK34</f>
        <v/>
      </c>
      <c r="CM34" s="240">
        <f>CL34-CI34</f>
        <v/>
      </c>
      <c r="CN34" s="241">
        <f>IF(CI34=0,"",CL34/CI34)</f>
        <v/>
      </c>
      <c r="CO34" s="12" t="n"/>
      <c r="CP34" s="242">
        <f>SUM(CP35,CP39,CP41,CP45,CP47)</f>
        <v/>
      </c>
      <c r="CQ34" s="242">
        <f>SUM(CQ35,CQ39,CQ41,CQ45,CQ47)</f>
        <v/>
      </c>
      <c r="CR34" s="242">
        <f>CP34+CQ34</f>
        <v/>
      </c>
      <c r="CS34" s="242">
        <f>SUM(CS35,CS39,CS41,CS45,CS47)</f>
        <v/>
      </c>
      <c r="CT34" s="242">
        <f>SUM(CT35,CT39,CT41,CT45,CT47)</f>
        <v/>
      </c>
      <c r="CU34" s="242">
        <f>CS34+CT34</f>
        <v/>
      </c>
      <c r="CV34" s="242">
        <f>CU34-CR34</f>
        <v/>
      </c>
      <c r="CW34" s="243">
        <f>IF(CR34=0,"",CU34/CR34)</f>
        <v/>
      </c>
      <c r="CX34" s="17" t="n"/>
      <c r="CY34" s="240">
        <f>SUM(CY35,CY39,CY41,CY45,CY47)</f>
        <v/>
      </c>
      <c r="CZ34" s="240">
        <f>SUM(CZ35,CZ39,CZ41,CZ45,CZ47)</f>
        <v/>
      </c>
      <c r="DA34" s="240">
        <f>CY34+CZ34</f>
        <v/>
      </c>
      <c r="DB34" s="240">
        <f>SUM(DB35,DB39,DB41,DB45,DB47)</f>
        <v/>
      </c>
      <c r="DC34" s="240">
        <f>SUM(DC35,DC39,DC41,DC45,DC47)</f>
        <v/>
      </c>
      <c r="DD34" s="240">
        <f>DB34+DC34</f>
        <v/>
      </c>
      <c r="DE34" s="240">
        <f>DD34-DA34</f>
        <v/>
      </c>
      <c r="DF34" s="241">
        <f>IF(DA34=0,"",DD34/DA34)</f>
        <v/>
      </c>
      <c r="DG34" s="12" t="n"/>
      <c r="DH34" s="242">
        <f>SUM(DH35,DH39,DH41,DH45,DH47)</f>
        <v/>
      </c>
      <c r="DI34" s="242">
        <f>SUM(DI35,DI39,DI41,DI45,DI47)</f>
        <v/>
      </c>
      <c r="DJ34" s="242">
        <f>DH34+DI34</f>
        <v/>
      </c>
      <c r="DK34" s="242">
        <f>SUM(DK35,DK39,DK41,DK45,DK47)</f>
        <v/>
      </c>
      <c r="DL34" s="242">
        <f>SUM(DL35,DL39,DL41,DL45,DL47)</f>
        <v/>
      </c>
      <c r="DM34" s="242">
        <f>DK34+DL34</f>
        <v/>
      </c>
      <c r="DN34" s="242">
        <f>DM34-DJ34</f>
        <v/>
      </c>
      <c r="DO34" s="243">
        <f>IF(DJ34=0,"",DM34/DJ34)</f>
        <v/>
      </c>
      <c r="DP34" s="17" t="n"/>
      <c r="DQ34" s="240">
        <f>SUM(DQ35,DQ39,DQ41,DQ45,DQ47)</f>
        <v/>
      </c>
      <c r="DR34" s="240">
        <f>SUM(DR35,DR39,DR41,DR45,DR47)</f>
        <v/>
      </c>
      <c r="DS34" s="240">
        <f>DQ34+DR34</f>
        <v/>
      </c>
      <c r="DT34" s="240">
        <f>SUM(DT35,DT39,DT41,DT45,DT47)</f>
        <v/>
      </c>
      <c r="DU34" s="240">
        <f>SUM(DU35,DU39,DU41,DU45,DU47)</f>
        <v/>
      </c>
      <c r="DV34" s="240">
        <f>DT34+DU34</f>
        <v/>
      </c>
      <c r="DW34" s="240">
        <f>DV34-DS34</f>
        <v/>
      </c>
      <c r="DX34" s="241">
        <f>IF(DS34=0,"",DV34/DS34)</f>
        <v/>
      </c>
      <c r="DY34" s="12" t="n"/>
      <c r="DZ34" s="242">
        <f>SUM(DZ35,DZ39,DZ41,DZ45,DZ47)</f>
        <v/>
      </c>
      <c r="EA34" s="242">
        <f>SUM(EA35,EA39,EA41,EA45,EA47)</f>
        <v/>
      </c>
      <c r="EB34" s="242">
        <f>DZ34+EA34</f>
        <v/>
      </c>
      <c r="EC34" s="242">
        <f>SUM(EC35,EC39,EC41,EC45,EC47)</f>
        <v/>
      </c>
      <c r="ED34" s="242">
        <f>SUM(ED35,ED39,ED41,ED45,ED47)</f>
        <v/>
      </c>
      <c r="EE34" s="242">
        <f>EC34+ED34</f>
        <v/>
      </c>
      <c r="EF34" s="242">
        <f>EE34-EB34</f>
        <v/>
      </c>
      <c r="EG34" s="243">
        <f>IF(EB34=0,"",EE34/EB34)</f>
        <v/>
      </c>
      <c r="EH34" s="17" t="n"/>
      <c r="EI34" s="240">
        <f>SUM(EI35,EI39,EI41,EI45,EI47)</f>
        <v/>
      </c>
      <c r="EJ34" s="240">
        <f>SUM(EJ35,EJ39,EJ41,EJ45,EJ47)</f>
        <v/>
      </c>
      <c r="EK34" s="240">
        <f>EI34+EJ34</f>
        <v/>
      </c>
      <c r="EL34" s="240">
        <f>SUM(EL35,EL39,EL41,EL45,EL47)</f>
        <v/>
      </c>
      <c r="EM34" s="240">
        <f>SUM(EM35,EM39,EM41,EM45,EM47)</f>
        <v/>
      </c>
      <c r="EN34" s="240">
        <f>EL34+EM34</f>
        <v/>
      </c>
      <c r="EO34" s="240">
        <f>EN34-EK34</f>
        <v/>
      </c>
      <c r="EP34" s="241">
        <f>IF(EK34=0,"",EN34/EK34)</f>
        <v/>
      </c>
      <c r="EQ34" s="12" t="n"/>
      <c r="ER34" s="242">
        <f>SUM(ER35,ER39,ER41,ER45,ER47)</f>
        <v/>
      </c>
      <c r="ES34" s="242">
        <f>SUM(ES35,ES39,ES41,ES45,ES47)</f>
        <v/>
      </c>
      <c r="ET34" s="242">
        <f>ER34+ES34</f>
        <v/>
      </c>
      <c r="EU34" s="242">
        <f>SUM(EU35,EU39,EU41,EU45,EU47)</f>
        <v/>
      </c>
      <c r="EV34" s="242">
        <f>SUM(EV35,EV39,EV41,EV45,EV47)</f>
        <v/>
      </c>
      <c r="EW34" s="242">
        <f>EU34+EV34</f>
        <v/>
      </c>
      <c r="EX34" s="242">
        <f>EW34-ET34</f>
        <v/>
      </c>
      <c r="EY34" s="243">
        <f>IF(ET34=0,"",EW34/ET34)</f>
        <v/>
      </c>
      <c r="EZ34" s="17" t="n"/>
      <c r="FA34" s="240">
        <f>SUM(FA35,FA39,FA41,FA45,FA47)</f>
        <v/>
      </c>
      <c r="FB34" s="240">
        <f>SUM(FB35,FB39,FB41,FB45,FB47)</f>
        <v/>
      </c>
      <c r="FC34" s="240">
        <f>FA34+FB34</f>
        <v/>
      </c>
      <c r="FD34" s="240">
        <f>SUM(FD35,FD39,FD41,FD45,FD47)</f>
        <v/>
      </c>
      <c r="FE34" s="240">
        <f>SUM(FE35,FE39,FE41,FE45,FE47)</f>
        <v/>
      </c>
      <c r="FF34" s="240">
        <f>FD34+FE34</f>
        <v/>
      </c>
      <c r="FG34" s="240">
        <f>FF34-FC34</f>
        <v/>
      </c>
      <c r="FH34" s="241">
        <f>IF(FC34=0,"",FF34/FC34)</f>
        <v/>
      </c>
      <c r="FI34" s="12" t="n"/>
      <c r="FJ34" s="242">
        <f>SUM(FJ35,FJ39,FJ41,FJ45,FJ47)</f>
        <v/>
      </c>
      <c r="FK34" s="242">
        <f>SUM(FK35,FK39,FK41,FK45,FK47)</f>
        <v/>
      </c>
      <c r="FL34" s="242">
        <f>FJ34+FK34</f>
        <v/>
      </c>
      <c r="FM34" s="242">
        <f>SUM(FM35,FM39,FM41,FM45,FM47)</f>
        <v/>
      </c>
      <c r="FN34" s="242">
        <f>SUM(FN35,FN39,FN41,FN45,FN47)</f>
        <v/>
      </c>
      <c r="FO34" s="242">
        <f>FM34+FN34</f>
        <v/>
      </c>
      <c r="FP34" s="242">
        <f>FO34-FL34</f>
        <v/>
      </c>
      <c r="FQ34" s="243">
        <f>IF(FL34=0,"",FO34/FL34)</f>
        <v/>
      </c>
      <c r="FR34" s="17" t="n"/>
      <c r="FS34" s="240">
        <f>SUM(FS35,FS39,FS41,FS45,FS47)</f>
        <v/>
      </c>
      <c r="FT34" s="240">
        <f>SUM(FT35,FT39,FT41,FT45,FT47)</f>
        <v/>
      </c>
      <c r="FU34" s="240">
        <f>FS34+FT34</f>
        <v/>
      </c>
      <c r="FV34" s="240">
        <f>SUM(FV35,FV39,FV41,FV45,FV47)</f>
        <v/>
      </c>
      <c r="FW34" s="240">
        <f>SUM(FW35,FW39,FW41,FW45,FW47)</f>
        <v/>
      </c>
      <c r="FX34" s="240">
        <f>FV34+FW34</f>
        <v/>
      </c>
      <c r="FY34" s="240">
        <f>FX34-FU34</f>
        <v/>
      </c>
      <c r="FZ34" s="241">
        <f>IF(FU34=0,"",FX34/FU34)</f>
        <v/>
      </c>
      <c r="GA34" s="12" t="n"/>
      <c r="GB34" s="242">
        <f>SUM(GB35,GB39,GB41,GB45,GB47)</f>
        <v/>
      </c>
      <c r="GC34" s="242">
        <f>SUM(GC35,GC39,GC41,GC45,GC47)</f>
        <v/>
      </c>
      <c r="GD34" s="242">
        <f>GB34+GC34</f>
        <v/>
      </c>
      <c r="GE34" s="242">
        <f>SUM(GE35,GE39,GE41,GE45,GE47)</f>
        <v/>
      </c>
      <c r="GF34" s="242">
        <f>SUM(GF35,GF39,GF41,GF45,GF47)</f>
        <v/>
      </c>
      <c r="GG34" s="242">
        <f>GE34+GF34</f>
        <v/>
      </c>
      <c r="GH34" s="242">
        <f>GG34-GD34</f>
        <v/>
      </c>
      <c r="GI34" s="243">
        <f>IF(GD34=0,"",GG34/GD34)</f>
        <v/>
      </c>
      <c r="GJ34" s="17" t="n"/>
      <c r="GK34" s="240">
        <f>SUM(GK35,GK39,GK41,GK45,GK47)</f>
        <v/>
      </c>
      <c r="GL34" s="240">
        <f>SUM(GL35,GL39,GL41,GL45,GL47)</f>
        <v/>
      </c>
      <c r="GM34" s="240">
        <f>GK34+GL34</f>
        <v/>
      </c>
      <c r="GN34" s="240">
        <f>SUM(GN35,GN39,GN41,GN45,GN47)</f>
        <v/>
      </c>
      <c r="GO34" s="240">
        <f>SUM(GO35,GO39,GO41,GO45,GO47)</f>
        <v/>
      </c>
      <c r="GP34" s="240">
        <f>GN34+GO34</f>
        <v/>
      </c>
      <c r="GQ34" s="240">
        <f>GP34-GM34</f>
        <v/>
      </c>
      <c r="GR34" s="241">
        <f>IF(GM34=0,"",GP34/GM34)</f>
        <v/>
      </c>
      <c r="GS34" s="12" t="n"/>
      <c r="GT34" s="242">
        <f>SUM(GT35,GT39,GT41,GT45,GT47)</f>
        <v/>
      </c>
      <c r="GU34" s="242">
        <f>SUM(GU35,GU39,GU41,GU45,GU47)</f>
        <v/>
      </c>
      <c r="GV34" s="242">
        <f>GT34+GU34</f>
        <v/>
      </c>
      <c r="GW34" s="242">
        <f>SUM(GW35,GW39,GW41,GW45,GW47)</f>
        <v/>
      </c>
      <c r="GX34" s="242">
        <f>SUM(GX35,GX39,GX41,GX45,GX47)</f>
        <v/>
      </c>
      <c r="GY34" s="242">
        <f>GW34+GX34</f>
        <v/>
      </c>
      <c r="GZ34" s="242">
        <f>GY34-GV34</f>
        <v/>
      </c>
      <c r="HA34" s="243">
        <f>IF(GV34=0,"",GY34/GV34)</f>
        <v/>
      </c>
      <c r="HB34" s="17" t="n"/>
      <c r="HC34" s="240">
        <f>GT34</f>
        <v/>
      </c>
      <c r="HD34" s="240">
        <f>GU34</f>
        <v/>
      </c>
      <c r="HE34" s="240">
        <f>HC34+HD34</f>
        <v/>
      </c>
    </row>
    <row r="35" ht="15" customHeight="1" s="150">
      <c r="A35" s="18" t="n"/>
      <c r="B35" s="18" t="n"/>
      <c r="C35" s="18" t="n"/>
      <c r="D35" s="227">
        <f>SUM(D36:D38)</f>
        <v/>
      </c>
      <c r="E35" s="227">
        <f>SUM(E36:E38)</f>
        <v/>
      </c>
      <c r="F35" s="227">
        <f>D35+E35</f>
        <v/>
      </c>
      <c r="G35" s="227">
        <f>SUM(G36:G38)</f>
        <v/>
      </c>
      <c r="H35" s="227">
        <f>SUM(H36:H38)</f>
        <v/>
      </c>
      <c r="I35" s="227">
        <f>G35+H35</f>
        <v/>
      </c>
      <c r="J35" s="228">
        <f>I35-F35</f>
        <v/>
      </c>
      <c r="K35" s="229">
        <f>IF(F35=0,"",I35/F35)</f>
        <v/>
      </c>
      <c r="L35" s="18" t="n"/>
      <c r="M35" s="227">
        <f>SUM(M36:M38)</f>
        <v/>
      </c>
      <c r="N35" s="227">
        <f>SUM(N36:N38)</f>
        <v/>
      </c>
      <c r="O35" s="227">
        <f>M35+N35</f>
        <v/>
      </c>
      <c r="P35" s="227">
        <f>SUM(P36:P38)</f>
        <v/>
      </c>
      <c r="Q35" s="227">
        <f>SUM(Q36:Q38)</f>
        <v/>
      </c>
      <c r="R35" s="227">
        <f>P35+Q35</f>
        <v/>
      </c>
      <c r="S35" s="228">
        <f>R35-O35</f>
        <v/>
      </c>
      <c r="T35" s="229">
        <f>IF(O35=0,"",R35/O35)</f>
        <v/>
      </c>
      <c r="U35" s="18" t="n"/>
      <c r="V35" s="230">
        <f>SUM(V36:V38)</f>
        <v/>
      </c>
      <c r="W35" s="230">
        <f>SUM(W36:W38)</f>
        <v/>
      </c>
      <c r="X35" s="230">
        <f>V35+W35</f>
        <v/>
      </c>
      <c r="Y35" s="230">
        <f>SUM(Y36:Y38)</f>
        <v/>
      </c>
      <c r="Z35" s="230">
        <f>SUM(Z36:Z38)</f>
        <v/>
      </c>
      <c r="AA35" s="230">
        <f>Y35+Z35</f>
        <v/>
      </c>
      <c r="AB35" s="231">
        <f>AA35-X35</f>
        <v/>
      </c>
      <c r="AC35" s="232">
        <f>IF(X35=0,"",AA35/X35)</f>
        <v/>
      </c>
      <c r="AD35" s="25" t="n"/>
      <c r="AE35" s="227">
        <f>SUM(AE36:AE38)</f>
        <v/>
      </c>
      <c r="AF35" s="227">
        <f>SUM(AF36:AF38)</f>
        <v/>
      </c>
      <c r="AG35" s="227">
        <f>AE35+AF35</f>
        <v/>
      </c>
      <c r="AH35" s="227">
        <f>SUM(AH36:AH38)</f>
        <v/>
      </c>
      <c r="AI35" s="227">
        <f>SUM(AI36:AI38)</f>
        <v/>
      </c>
      <c r="AJ35" s="227">
        <f>AH35+AI35</f>
        <v/>
      </c>
      <c r="AK35" s="228">
        <f>AJ35-AG35</f>
        <v/>
      </c>
      <c r="AL35" s="229">
        <f>IF(AG35=0,"",AJ35/AG35)</f>
        <v/>
      </c>
      <c r="AM35" s="18" t="n"/>
      <c r="AN35" s="230">
        <f>SUM(AN36:AN38)</f>
        <v/>
      </c>
      <c r="AO35" s="230">
        <f>SUM(AO36:AO38)</f>
        <v/>
      </c>
      <c r="AP35" s="230">
        <f>AN35+AO35</f>
        <v/>
      </c>
      <c r="AQ35" s="230">
        <f>SUM(AQ36:AQ38)</f>
        <v/>
      </c>
      <c r="AR35" s="230">
        <f>SUM(AR36:AR38)</f>
        <v/>
      </c>
      <c r="AS35" s="230">
        <f>AQ35+AR35</f>
        <v/>
      </c>
      <c r="AT35" s="231">
        <f>AS35-AP35</f>
        <v/>
      </c>
      <c r="AU35" s="232">
        <f>IF(AP35=0,"",AS35/AP35)</f>
        <v/>
      </c>
      <c r="AV35" s="25" t="n"/>
      <c r="AW35" s="227">
        <f>SUM(AW36:AW38)</f>
        <v/>
      </c>
      <c r="AX35" s="227">
        <f>SUM(AX36:AX38)</f>
        <v/>
      </c>
      <c r="AY35" s="227">
        <f>AW35+AX35</f>
        <v/>
      </c>
      <c r="AZ35" s="227">
        <f>SUM(AZ36:AZ38)</f>
        <v/>
      </c>
      <c r="BA35" s="227">
        <f>SUM(BA36:BA38)</f>
        <v/>
      </c>
      <c r="BB35" s="227">
        <f>AZ35+BA35</f>
        <v/>
      </c>
      <c r="BC35" s="228">
        <f>BB35-AY35</f>
        <v/>
      </c>
      <c r="BD35" s="229">
        <f>IF(AY35=0,"",BB35/AY35)</f>
        <v/>
      </c>
      <c r="BE35" s="18" t="n"/>
      <c r="BF35" s="230">
        <f>SUM(BF36:BF38)</f>
        <v/>
      </c>
      <c r="BG35" s="230">
        <f>SUM(BG36:BG38)</f>
        <v/>
      </c>
      <c r="BH35" s="230">
        <f>BF35+BG35</f>
        <v/>
      </c>
      <c r="BI35" s="230">
        <f>SUM(BI36:BI38)</f>
        <v/>
      </c>
      <c r="BJ35" s="230">
        <f>SUM(BJ36:BJ38)</f>
        <v/>
      </c>
      <c r="BK35" s="230">
        <f>BI35+BJ35</f>
        <v/>
      </c>
      <c r="BL35" s="231">
        <f>BK35-BH35</f>
        <v/>
      </c>
      <c r="BM35" s="232">
        <f>IF(BH35=0,"",BK35/BH35)</f>
        <v/>
      </c>
      <c r="BN35" s="25" t="n"/>
      <c r="BO35" s="227">
        <f>SUM(BO36:BO38)</f>
        <v/>
      </c>
      <c r="BP35" s="227">
        <f>SUM(BP36:BP38)</f>
        <v/>
      </c>
      <c r="BQ35" s="227">
        <f>BO35+BP35</f>
        <v/>
      </c>
      <c r="BR35" s="227">
        <f>SUM(BR36:BR38)</f>
        <v/>
      </c>
      <c r="BS35" s="227">
        <f>SUM(BS36:BS38)</f>
        <v/>
      </c>
      <c r="BT35" s="227">
        <f>BR35+BS35</f>
        <v/>
      </c>
      <c r="BU35" s="228">
        <f>BT35-BQ35</f>
        <v/>
      </c>
      <c r="BV35" s="229">
        <f>IF(BQ35=0,"",BT35/BQ35)</f>
        <v/>
      </c>
      <c r="BW35" s="18" t="n"/>
      <c r="BX35" s="230">
        <f>SUM(BX36:BX38)</f>
        <v/>
      </c>
      <c r="BY35" s="230">
        <f>SUM(BY36:BY38)</f>
        <v/>
      </c>
      <c r="BZ35" s="230">
        <f>BX35+BY35</f>
        <v/>
      </c>
      <c r="CA35" s="230">
        <f>SUM(CA36:CA38)</f>
        <v/>
      </c>
      <c r="CB35" s="230">
        <f>SUM(CB36:CB38)</f>
        <v/>
      </c>
      <c r="CC35" s="230">
        <f>CA35+CB35</f>
        <v/>
      </c>
      <c r="CD35" s="231">
        <f>CC35-BZ35</f>
        <v/>
      </c>
      <c r="CE35" s="232">
        <f>IF(BZ35=0,"",CC35/BZ35)</f>
        <v/>
      </c>
      <c r="CF35" s="25" t="n"/>
      <c r="CG35" s="227">
        <f>SUM(CG36:CG38)</f>
        <v/>
      </c>
      <c r="CH35" s="227">
        <f>SUM(CH36:CH38)</f>
        <v/>
      </c>
      <c r="CI35" s="227">
        <f>CG35+CH35</f>
        <v/>
      </c>
      <c r="CJ35" s="227">
        <f>SUM(CJ36:CJ38)</f>
        <v/>
      </c>
      <c r="CK35" s="227">
        <f>SUM(CK36:CK38)</f>
        <v/>
      </c>
      <c r="CL35" s="227">
        <f>CJ35+CK35</f>
        <v/>
      </c>
      <c r="CM35" s="228">
        <f>CL35-CI35</f>
        <v/>
      </c>
      <c r="CN35" s="229">
        <f>IF(CI35=0,"",CL35/CI35)</f>
        <v/>
      </c>
      <c r="CO35" s="18" t="n"/>
      <c r="CP35" s="230">
        <f>SUM(CP36:CP38)</f>
        <v/>
      </c>
      <c r="CQ35" s="230">
        <f>SUM(CQ36:CQ38)</f>
        <v/>
      </c>
      <c r="CR35" s="230">
        <f>CP35+CQ35</f>
        <v/>
      </c>
      <c r="CS35" s="230">
        <f>SUM(CS36:CS38)</f>
        <v/>
      </c>
      <c r="CT35" s="230">
        <f>SUM(CT36:CT38)</f>
        <v/>
      </c>
      <c r="CU35" s="230">
        <f>CS35+CT35</f>
        <v/>
      </c>
      <c r="CV35" s="231">
        <f>CU35-CR35</f>
        <v/>
      </c>
      <c r="CW35" s="232">
        <f>IF(CR35=0,"",CU35/CR35)</f>
        <v/>
      </c>
      <c r="CX35" s="25" t="n"/>
      <c r="CY35" s="227">
        <f>SUM(CY36:CY38)</f>
        <v/>
      </c>
      <c r="CZ35" s="227">
        <f>SUM(CZ36:CZ38)</f>
        <v/>
      </c>
      <c r="DA35" s="227">
        <f>CY35+CZ35</f>
        <v/>
      </c>
      <c r="DB35" s="227">
        <f>SUM(DB36:DB38)</f>
        <v/>
      </c>
      <c r="DC35" s="227">
        <f>SUM(DC36:DC38)</f>
        <v/>
      </c>
      <c r="DD35" s="227">
        <f>DB35+DC35</f>
        <v/>
      </c>
      <c r="DE35" s="228">
        <f>DD35-DA35</f>
        <v/>
      </c>
      <c r="DF35" s="229">
        <f>IF(DA35=0,"",DD35/DA35)</f>
        <v/>
      </c>
      <c r="DG35" s="18" t="n"/>
      <c r="DH35" s="230">
        <f>SUM(DH36:DH38)</f>
        <v/>
      </c>
      <c r="DI35" s="230">
        <f>SUM(DI36:DI38)</f>
        <v/>
      </c>
      <c r="DJ35" s="230">
        <f>DH35+DI35</f>
        <v/>
      </c>
      <c r="DK35" s="230">
        <f>SUM(DK36:DK38)</f>
        <v/>
      </c>
      <c r="DL35" s="230">
        <f>SUM(DL36:DL38)</f>
        <v/>
      </c>
      <c r="DM35" s="230">
        <f>DK35+DL35</f>
        <v/>
      </c>
      <c r="DN35" s="231">
        <f>DM35-DJ35</f>
        <v/>
      </c>
      <c r="DO35" s="232">
        <f>IF(DJ35=0,"",DM35/DJ35)</f>
        <v/>
      </c>
      <c r="DP35" s="25" t="n"/>
      <c r="DQ35" s="227">
        <f>SUM(DQ36:DQ38)</f>
        <v/>
      </c>
      <c r="DR35" s="227">
        <f>SUM(DR36:DR38)</f>
        <v/>
      </c>
      <c r="DS35" s="227">
        <f>DQ35+DR35</f>
        <v/>
      </c>
      <c r="DT35" s="227">
        <f>SUM(DT36:DT38)</f>
        <v/>
      </c>
      <c r="DU35" s="227">
        <f>SUM(DU36:DU38)</f>
        <v/>
      </c>
      <c r="DV35" s="227">
        <f>DT35+DU35</f>
        <v/>
      </c>
      <c r="DW35" s="228">
        <f>DV35-DS35</f>
        <v/>
      </c>
      <c r="DX35" s="229">
        <f>IF(DS35=0,"",DV35/DS35)</f>
        <v/>
      </c>
      <c r="DY35" s="18" t="n"/>
      <c r="DZ35" s="230">
        <f>SUM(DZ36:DZ38)</f>
        <v/>
      </c>
      <c r="EA35" s="230">
        <f>SUM(EA36:EA38)</f>
        <v/>
      </c>
      <c r="EB35" s="230">
        <f>DZ35+EA35</f>
        <v/>
      </c>
      <c r="EC35" s="230">
        <f>SUM(EC36:EC38)</f>
        <v/>
      </c>
      <c r="ED35" s="230">
        <f>SUM(ED36:ED38)</f>
        <v/>
      </c>
      <c r="EE35" s="230">
        <f>EC35+ED35</f>
        <v/>
      </c>
      <c r="EF35" s="231">
        <f>EE35-EB35</f>
        <v/>
      </c>
      <c r="EG35" s="232">
        <f>IF(EB35=0,"",EE35/EB35)</f>
        <v/>
      </c>
      <c r="EH35" s="25" t="n"/>
      <c r="EI35" s="227">
        <f>SUM(EI36:EI38)</f>
        <v/>
      </c>
      <c r="EJ35" s="227">
        <f>SUM(EJ36:EJ38)</f>
        <v/>
      </c>
      <c r="EK35" s="227">
        <f>EI35+EJ35</f>
        <v/>
      </c>
      <c r="EL35" s="227">
        <f>SUM(EL36:EL38)</f>
        <v/>
      </c>
      <c r="EM35" s="227">
        <f>SUM(EM36:EM38)</f>
        <v/>
      </c>
      <c r="EN35" s="227">
        <f>EL35+EM35</f>
        <v/>
      </c>
      <c r="EO35" s="228">
        <f>EN35-EK35</f>
        <v/>
      </c>
      <c r="EP35" s="229">
        <f>IF(EK35=0,"",EN35/EK35)</f>
        <v/>
      </c>
      <c r="EQ35" s="18" t="n"/>
      <c r="ER35" s="230">
        <f>SUM(ER36:ER38)</f>
        <v/>
      </c>
      <c r="ES35" s="230">
        <f>SUM(ES36:ES38)</f>
        <v/>
      </c>
      <c r="ET35" s="230">
        <f>ER35+ES35</f>
        <v/>
      </c>
      <c r="EU35" s="230">
        <f>SUM(EU36:EU38)</f>
        <v/>
      </c>
      <c r="EV35" s="230">
        <f>SUM(EV36:EV38)</f>
        <v/>
      </c>
      <c r="EW35" s="230">
        <f>EU35+EV35</f>
        <v/>
      </c>
      <c r="EX35" s="231">
        <f>EW35-ET35</f>
        <v/>
      </c>
      <c r="EY35" s="232">
        <f>IF(ET35=0,"",EW35/ET35)</f>
        <v/>
      </c>
      <c r="EZ35" s="25" t="n"/>
      <c r="FA35" s="227">
        <f>SUM(FA36:FA38)</f>
        <v/>
      </c>
      <c r="FB35" s="227">
        <f>SUM(FB36:FB38)</f>
        <v/>
      </c>
      <c r="FC35" s="227">
        <f>FA35+FB35</f>
        <v/>
      </c>
      <c r="FD35" s="227">
        <f>SUM(FD36:FD38)</f>
        <v/>
      </c>
      <c r="FE35" s="227">
        <f>SUM(FE36:FE38)</f>
        <v/>
      </c>
      <c r="FF35" s="227">
        <f>FD35+FE35</f>
        <v/>
      </c>
      <c r="FG35" s="228">
        <f>FF35-FC35</f>
        <v/>
      </c>
      <c r="FH35" s="229">
        <f>IF(FC35=0,"",FF35/FC35)</f>
        <v/>
      </c>
      <c r="FI35" s="18" t="n"/>
      <c r="FJ35" s="230">
        <f>SUM(FJ36:FJ38)</f>
        <v/>
      </c>
      <c r="FK35" s="230">
        <f>SUM(FK36:FK38)</f>
        <v/>
      </c>
      <c r="FL35" s="230">
        <f>FJ35+FK35</f>
        <v/>
      </c>
      <c r="FM35" s="230">
        <f>SUM(FM36:FM38)</f>
        <v/>
      </c>
      <c r="FN35" s="230">
        <f>SUM(FN36:FN38)</f>
        <v/>
      </c>
      <c r="FO35" s="230">
        <f>FM35+FN35</f>
        <v/>
      </c>
      <c r="FP35" s="231">
        <f>FO35-FL35</f>
        <v/>
      </c>
      <c r="FQ35" s="232">
        <f>IF(FL35=0,"",FO35/FL35)</f>
        <v/>
      </c>
      <c r="FR35" s="25" t="n"/>
      <c r="FS35" s="227">
        <f>SUM(FS36:FS38)</f>
        <v/>
      </c>
      <c r="FT35" s="227">
        <f>SUM(FT36:FT38)</f>
        <v/>
      </c>
      <c r="FU35" s="227">
        <f>FS35+FT35</f>
        <v/>
      </c>
      <c r="FV35" s="227">
        <f>SUM(FV36:FV38)</f>
        <v/>
      </c>
      <c r="FW35" s="227">
        <f>SUM(FW36:FW38)</f>
        <v/>
      </c>
      <c r="FX35" s="227">
        <f>FV35+FW35</f>
        <v/>
      </c>
      <c r="FY35" s="228">
        <f>FX35-FU35</f>
        <v/>
      </c>
      <c r="FZ35" s="229">
        <f>IF(FU35=0,"",FX35/FU35)</f>
        <v/>
      </c>
      <c r="GA35" s="18" t="n"/>
      <c r="GB35" s="230">
        <f>SUM(GB36:GB38)</f>
        <v/>
      </c>
      <c r="GC35" s="230">
        <f>SUM(GC36:GC38)</f>
        <v/>
      </c>
      <c r="GD35" s="230">
        <f>GB35+GC35</f>
        <v/>
      </c>
      <c r="GE35" s="230">
        <f>SUM(GE36:GE38)</f>
        <v/>
      </c>
      <c r="GF35" s="230">
        <f>SUM(GF36:GF38)</f>
        <v/>
      </c>
      <c r="GG35" s="230">
        <f>GE35+GF35</f>
        <v/>
      </c>
      <c r="GH35" s="231">
        <f>GG35-GD35</f>
        <v/>
      </c>
      <c r="GI35" s="232">
        <f>IF(GD35=0,"",GG35/GD35)</f>
        <v/>
      </c>
      <c r="GJ35" s="25" t="n"/>
      <c r="GK35" s="227">
        <f>SUM(GK36:GK38)</f>
        <v/>
      </c>
      <c r="GL35" s="227">
        <f>SUM(GL36:GL38)</f>
        <v/>
      </c>
      <c r="GM35" s="227">
        <f>GK35+GL35</f>
        <v/>
      </c>
      <c r="GN35" s="227">
        <f>SUM(GN36:GN38)</f>
        <v/>
      </c>
      <c r="GO35" s="227">
        <f>SUM(GO36:GO38)</f>
        <v/>
      </c>
      <c r="GP35" s="227">
        <f>GN35+GO35</f>
        <v/>
      </c>
      <c r="GQ35" s="228">
        <f>GP35-GM35</f>
        <v/>
      </c>
      <c r="GR35" s="229">
        <f>IF(GM35=0,"",GP35/GM35)</f>
        <v/>
      </c>
      <c r="GS35" s="18" t="n"/>
      <c r="GT35" s="230">
        <f>SUM(GT36:GT38)</f>
        <v/>
      </c>
      <c r="GU35" s="230">
        <f>SUM(GU36:GU38)</f>
        <v/>
      </c>
      <c r="GV35" s="230">
        <f>GT35+GU35</f>
        <v/>
      </c>
      <c r="GW35" s="230">
        <f>SUM(GW36:GW38)</f>
        <v/>
      </c>
      <c r="GX35" s="230">
        <f>SUM(GX36:GX38)</f>
        <v/>
      </c>
      <c r="GY35" s="230">
        <f>GW35+GX35</f>
        <v/>
      </c>
      <c r="GZ35" s="231">
        <f>GY35-GV35</f>
        <v/>
      </c>
      <c r="HA35" s="232">
        <f>IF(GV35=0,"",GY35/GV35)</f>
        <v/>
      </c>
      <c r="HB35" s="25" t="n"/>
      <c r="HC35" s="227">
        <f>GT35</f>
        <v/>
      </c>
      <c r="HD35" s="227">
        <f>GU35</f>
        <v/>
      </c>
      <c r="HE35" s="227">
        <f>HC35+HD35</f>
        <v/>
      </c>
    </row>
    <row r="36" outlineLevel="1" ht="24" customHeight="1" s="150">
      <c r="A36" s="26" t="n"/>
      <c r="B36" s="26" t="n"/>
      <c r="C36" s="26" t="n"/>
      <c r="D36" s="233" t="n"/>
      <c r="E36" s="233" t="n"/>
      <c r="F36" s="233">
        <f>D36+E36</f>
        <v/>
      </c>
      <c r="G36" s="233" t="n"/>
      <c r="H36" s="233" t="n"/>
      <c r="I36" s="233">
        <f>G36+H36</f>
        <v/>
      </c>
      <c r="J36" s="234">
        <f>I36-F36</f>
        <v/>
      </c>
      <c r="K36" s="235">
        <f>IF(F36=0,"",I36/F36)</f>
        <v/>
      </c>
      <c r="L36" s="26" t="n"/>
      <c r="M36" s="233" t="n"/>
      <c r="N36" s="233" t="n"/>
      <c r="O36" s="233">
        <f>M36+N36</f>
        <v/>
      </c>
      <c r="P36" s="233" t="n"/>
      <c r="Q36" s="233" t="n"/>
      <c r="R36" s="233">
        <f>P36+Q36</f>
        <v/>
      </c>
      <c r="S36" s="234">
        <f>R36-O36</f>
        <v/>
      </c>
      <c r="T36" s="235">
        <f>IF(O36=0,"",R36/O36)</f>
        <v/>
      </c>
      <c r="U36" s="42" t="n"/>
      <c r="V36" s="236">
        <f>D36+M36</f>
        <v/>
      </c>
      <c r="W36" s="236">
        <f>E36+N36</f>
        <v/>
      </c>
      <c r="X36" s="236">
        <f>V36+W36</f>
        <v/>
      </c>
      <c r="Y36" s="236">
        <f>G36+P36</f>
        <v/>
      </c>
      <c r="Z36" s="236">
        <f>H36+Q36</f>
        <v/>
      </c>
      <c r="AA36" s="236">
        <f>Y36+Z36</f>
        <v/>
      </c>
      <c r="AB36" s="234">
        <f>AA36-X36</f>
        <v/>
      </c>
      <c r="AC36" s="237">
        <f>IF(X36=0,"",AA36/X36)</f>
        <v/>
      </c>
      <c r="AD36" s="44" t="n"/>
      <c r="AE36" s="233" t="n"/>
      <c r="AF36" s="233" t="n"/>
      <c r="AG36" s="233">
        <f>AE36+AF36</f>
        <v/>
      </c>
      <c r="AH36" s="233" t="n"/>
      <c r="AI36" s="233" t="n"/>
      <c r="AJ36" s="233">
        <f>AH36+AI36</f>
        <v/>
      </c>
      <c r="AK36" s="238">
        <f>AJ36-AG36</f>
        <v/>
      </c>
      <c r="AL36" s="235">
        <f>IF(AG36=0,"",AJ36/AG36)</f>
        <v/>
      </c>
      <c r="AM36" s="26" t="n"/>
      <c r="AN36" s="236">
        <f>V36+AE36</f>
        <v/>
      </c>
      <c r="AO36" s="236">
        <f>W36+AF36</f>
        <v/>
      </c>
      <c r="AP36" s="236">
        <f>AN36+AO36</f>
        <v/>
      </c>
      <c r="AQ36" s="236">
        <f>Y36+AH36</f>
        <v/>
      </c>
      <c r="AR36" s="236">
        <f>Z36+AI36</f>
        <v/>
      </c>
      <c r="AS36" s="236">
        <f>AQ36+AR36</f>
        <v/>
      </c>
      <c r="AT36" s="234">
        <f>AS36-AP36</f>
        <v/>
      </c>
      <c r="AU36" s="237">
        <f>IF(AP36=0,"",AS36/AP36)</f>
        <v/>
      </c>
      <c r="AV36" s="44" t="n"/>
      <c r="AW36" s="233" t="n"/>
      <c r="AX36" s="233" t="n"/>
      <c r="AY36" s="233">
        <f>AW36+AX36</f>
        <v/>
      </c>
      <c r="AZ36" s="233" t="n"/>
      <c r="BA36" s="233" t="n"/>
      <c r="BB36" s="233">
        <f>AZ36+BA36</f>
        <v/>
      </c>
      <c r="BC36" s="238">
        <f>BB36-AY36</f>
        <v/>
      </c>
      <c r="BD36" s="235">
        <f>IF(AY36=0,"",BB36/AY36)</f>
        <v/>
      </c>
      <c r="BE36" s="26" t="n"/>
      <c r="BF36" s="236">
        <f>AN36+AW36</f>
        <v/>
      </c>
      <c r="BG36" s="236">
        <f>AO36+AX36</f>
        <v/>
      </c>
      <c r="BH36" s="236">
        <f>BF36+BG36</f>
        <v/>
      </c>
      <c r="BI36" s="236">
        <f>AQ36+AZ36</f>
        <v/>
      </c>
      <c r="BJ36" s="236">
        <f>AR36+BA36</f>
        <v/>
      </c>
      <c r="BK36" s="236">
        <f>BI36+BJ36</f>
        <v/>
      </c>
      <c r="BL36" s="239">
        <f>BK36-BH36</f>
        <v/>
      </c>
      <c r="BM36" s="237">
        <f>IF(BH36=0,"",BK36/BH36)</f>
        <v/>
      </c>
      <c r="BN36" s="33" t="n"/>
      <c r="BO36" s="233" t="n"/>
      <c r="BP36" s="233" t="n"/>
      <c r="BQ36" s="233">
        <f>BO36+BP36</f>
        <v/>
      </c>
      <c r="BR36" s="233" t="n"/>
      <c r="BS36" s="233" t="n"/>
      <c r="BT36" s="233">
        <f>BR36+BS36</f>
        <v/>
      </c>
      <c r="BU36" s="238">
        <f>BT36-BQ36</f>
        <v/>
      </c>
      <c r="BV36" s="235">
        <f>IF(BQ36=0,"",BT36/BQ36)</f>
        <v/>
      </c>
      <c r="BW36" s="26" t="n"/>
      <c r="BX36" s="236">
        <f>BF36+BO36</f>
        <v/>
      </c>
      <c r="BY36" s="236">
        <f>BG36+BP36</f>
        <v/>
      </c>
      <c r="BZ36" s="236">
        <f>BX36+BY36</f>
        <v/>
      </c>
      <c r="CA36" s="236">
        <f>BI36+BR36</f>
        <v/>
      </c>
      <c r="CB36" s="236">
        <f>BJ36+BS36</f>
        <v/>
      </c>
      <c r="CC36" s="236">
        <f>CA36+CB36</f>
        <v/>
      </c>
      <c r="CD36" s="239">
        <f>CC36-BZ36</f>
        <v/>
      </c>
      <c r="CE36" s="237">
        <f>IF(BZ36=0,"",CC36/BZ36)</f>
        <v/>
      </c>
      <c r="CF36" s="33" t="n"/>
      <c r="CG36" s="233" t="n"/>
      <c r="CH36" s="233" t="n"/>
      <c r="CI36" s="233">
        <f>CG36+CH36</f>
        <v/>
      </c>
      <c r="CJ36" s="233" t="n"/>
      <c r="CK36" s="233" t="n"/>
      <c r="CL36" s="233">
        <f>CJ36+CK36</f>
        <v/>
      </c>
      <c r="CM36" s="238">
        <f>CL36-CI36</f>
        <v/>
      </c>
      <c r="CN36" s="235">
        <f>IF(CI36=0,"",CL36/CI36)</f>
        <v/>
      </c>
      <c r="CO36" s="26" t="n"/>
      <c r="CP36" s="236">
        <f>BX36+CG36</f>
        <v/>
      </c>
      <c r="CQ36" s="236">
        <f>BY36+CH36</f>
        <v/>
      </c>
      <c r="CR36" s="236">
        <f>CP36+CQ36</f>
        <v/>
      </c>
      <c r="CS36" s="236">
        <f>CA36+CJ36</f>
        <v/>
      </c>
      <c r="CT36" s="236">
        <f>CB36+CK36</f>
        <v/>
      </c>
      <c r="CU36" s="236">
        <f>CS36+CT36</f>
        <v/>
      </c>
      <c r="CV36" s="239">
        <f>CU36-CR36</f>
        <v/>
      </c>
      <c r="CW36" s="237">
        <f>IF(CR36=0,"",CU36/CR36)</f>
        <v/>
      </c>
      <c r="CX36" s="33" t="n"/>
      <c r="CY36" s="233" t="n"/>
      <c r="CZ36" s="233" t="n"/>
      <c r="DA36" s="233">
        <f>CY36+CZ36</f>
        <v/>
      </c>
      <c r="DB36" s="233" t="n"/>
      <c r="DC36" s="233" t="n"/>
      <c r="DD36" s="233">
        <f>DB36+DC36</f>
        <v/>
      </c>
      <c r="DE36" s="238">
        <f>DD36-DA36</f>
        <v/>
      </c>
      <c r="DF36" s="235">
        <f>IF(DA36=0,"",DD36/DA36)</f>
        <v/>
      </c>
      <c r="DG36" s="26" t="n"/>
      <c r="DH36" s="236">
        <f>CP36+CY36</f>
        <v/>
      </c>
      <c r="DI36" s="236">
        <f>CQ36+CZ36</f>
        <v/>
      </c>
      <c r="DJ36" s="236">
        <f>DH36+DI36</f>
        <v/>
      </c>
      <c r="DK36" s="236">
        <f>CS36+DB36</f>
        <v/>
      </c>
      <c r="DL36" s="236">
        <f>CT36+DC36</f>
        <v/>
      </c>
      <c r="DM36" s="236">
        <f>DK36+DL36</f>
        <v/>
      </c>
      <c r="DN36" s="239">
        <f>DM36-DJ36</f>
        <v/>
      </c>
      <c r="DO36" s="237">
        <f>IF(DJ36=0,"",DM36/DJ36)</f>
        <v/>
      </c>
      <c r="DP36" s="33" t="n"/>
      <c r="DQ36" s="233" t="n"/>
      <c r="DR36" s="233" t="n"/>
      <c r="DS36" s="233">
        <f>DQ36+DR36</f>
        <v/>
      </c>
      <c r="DT36" s="233" t="n"/>
      <c r="DU36" s="233" t="n"/>
      <c r="DV36" s="233">
        <f>DT36+DU36</f>
        <v/>
      </c>
      <c r="DW36" s="238">
        <f>DV36-DS36</f>
        <v/>
      </c>
      <c r="DX36" s="235">
        <f>IF(DS36=0,"",DV36/DS36)</f>
        <v/>
      </c>
      <c r="DY36" s="26" t="n"/>
      <c r="DZ36" s="236">
        <f>DH36+DQ36</f>
        <v/>
      </c>
      <c r="EA36" s="236">
        <f>DI36+DR36</f>
        <v/>
      </c>
      <c r="EB36" s="236">
        <f>DZ36+EA36</f>
        <v/>
      </c>
      <c r="EC36" s="236">
        <f>DK36+DT36</f>
        <v/>
      </c>
      <c r="ED36" s="236">
        <f>DL36+DU36</f>
        <v/>
      </c>
      <c r="EE36" s="236">
        <f>EC36+ED36</f>
        <v/>
      </c>
      <c r="EF36" s="239">
        <f>EE36-EB36</f>
        <v/>
      </c>
      <c r="EG36" s="237">
        <f>IF(EB36=0,"",EE36/EB36)</f>
        <v/>
      </c>
      <c r="EH36" s="33" t="n"/>
      <c r="EI36" s="233" t="n"/>
      <c r="EJ36" s="233" t="n"/>
      <c r="EK36" s="233">
        <f>EI36+EJ36</f>
        <v/>
      </c>
      <c r="EL36" s="233" t="n"/>
      <c r="EM36" s="233" t="n"/>
      <c r="EN36" s="233">
        <f>EL36+EM36</f>
        <v/>
      </c>
      <c r="EO36" s="238">
        <f>EN36-EK36</f>
        <v/>
      </c>
      <c r="EP36" s="235">
        <f>IF(EK36=0,"",EN36/EK36)</f>
        <v/>
      </c>
      <c r="EQ36" s="26" t="n"/>
      <c r="ER36" s="236">
        <f>DZ36+EI36</f>
        <v/>
      </c>
      <c r="ES36" s="236">
        <f>EA36+EJ36</f>
        <v/>
      </c>
      <c r="ET36" s="236">
        <f>ER36+ES36</f>
        <v/>
      </c>
      <c r="EU36" s="236">
        <f>EC36+EL36</f>
        <v/>
      </c>
      <c r="EV36" s="236">
        <f>ED36+EM36</f>
        <v/>
      </c>
      <c r="EW36" s="236">
        <f>EU36+EV36</f>
        <v/>
      </c>
      <c r="EX36" s="239">
        <f>EW36-ET36</f>
        <v/>
      </c>
      <c r="EY36" s="237">
        <f>IF(ET36=0,"",EW36/ET36)</f>
        <v/>
      </c>
      <c r="EZ36" s="33" t="n"/>
      <c r="FA36" s="233" t="n"/>
      <c r="FB36" s="233" t="n"/>
      <c r="FC36" s="233">
        <f>FA36+FB36</f>
        <v/>
      </c>
      <c r="FD36" s="233" t="n"/>
      <c r="FE36" s="233" t="n"/>
      <c r="FF36" s="233">
        <f>FD36+FE36</f>
        <v/>
      </c>
      <c r="FG36" s="238">
        <f>FF36-FC36</f>
        <v/>
      </c>
      <c r="FH36" s="235">
        <f>IF(FC36=0,"",FF36/FC36)</f>
        <v/>
      </c>
      <c r="FI36" s="26" t="n"/>
      <c r="FJ36" s="236">
        <f>ER36+FA36</f>
        <v/>
      </c>
      <c r="FK36" s="236">
        <f>ES36+FB36</f>
        <v/>
      </c>
      <c r="FL36" s="236">
        <f>FJ36+FK36</f>
        <v/>
      </c>
      <c r="FM36" s="236">
        <f>EU36+FD36</f>
        <v/>
      </c>
      <c r="FN36" s="236">
        <f>EV36+FE36</f>
        <v/>
      </c>
      <c r="FO36" s="236">
        <f>FM36+FN36</f>
        <v/>
      </c>
      <c r="FP36" s="239">
        <f>FO36-FL36</f>
        <v/>
      </c>
      <c r="FQ36" s="237">
        <f>IF(FL36=0,"",FO36/FL36)</f>
        <v/>
      </c>
      <c r="FR36" s="33" t="n"/>
      <c r="FS36" s="233" t="n"/>
      <c r="FT36" s="233" t="n"/>
      <c r="FU36" s="233">
        <f>FS36+FT36</f>
        <v/>
      </c>
      <c r="FV36" s="233" t="n"/>
      <c r="FW36" s="233" t="n"/>
      <c r="FX36" s="233">
        <f>FV36+FW36</f>
        <v/>
      </c>
      <c r="FY36" s="238">
        <f>FX36-FU36</f>
        <v/>
      </c>
      <c r="FZ36" s="235">
        <f>IF(FU36=0,"",FX36/FU36)</f>
        <v/>
      </c>
      <c r="GA36" s="26" t="n"/>
      <c r="GB36" s="236">
        <f>FJ36+FS36</f>
        <v/>
      </c>
      <c r="GC36" s="236">
        <f>FK36+FT36</f>
        <v/>
      </c>
      <c r="GD36" s="236">
        <f>GB36+GC36</f>
        <v/>
      </c>
      <c r="GE36" s="236">
        <f>FM36+FV36</f>
        <v/>
      </c>
      <c r="GF36" s="236">
        <f>FN36+FW36</f>
        <v/>
      </c>
      <c r="GG36" s="236">
        <f>GE36+GF36</f>
        <v/>
      </c>
      <c r="GH36" s="239">
        <f>GG36-GD36</f>
        <v/>
      </c>
      <c r="GI36" s="237">
        <f>IF(GD36=0,"",GG36/GD36)</f>
        <v/>
      </c>
      <c r="GJ36" s="33" t="n"/>
      <c r="GK36" s="233" t="n"/>
      <c r="GL36" s="233" t="n"/>
      <c r="GM36" s="233">
        <f>GK36+GL36</f>
        <v/>
      </c>
      <c r="GN36" s="233" t="n"/>
      <c r="GO36" s="233" t="n"/>
      <c r="GP36" s="233">
        <f>GN36+GO36</f>
        <v/>
      </c>
      <c r="GQ36" s="238">
        <f>GP36-GM36</f>
        <v/>
      </c>
      <c r="GR36" s="235">
        <f>IF(GM36=0,"",GP36/GM36)</f>
        <v/>
      </c>
      <c r="GS36" s="26" t="n"/>
      <c r="GT36" s="236">
        <f>GB36+GK36</f>
        <v/>
      </c>
      <c r="GU36" s="236">
        <f>GC36+GL36</f>
        <v/>
      </c>
      <c r="GV36" s="236">
        <f>GT36+GU36</f>
        <v/>
      </c>
      <c r="GW36" s="236">
        <f>GE36+GN36</f>
        <v/>
      </c>
      <c r="GX36" s="236">
        <f>GF36+GO36</f>
        <v/>
      </c>
      <c r="GY36" s="236">
        <f>GW36+GX36</f>
        <v/>
      </c>
      <c r="GZ36" s="239">
        <f>GY36-GV36</f>
        <v/>
      </c>
      <c r="HA36" s="237">
        <f>IF(GV36=0,"",GY36/GV36)</f>
        <v/>
      </c>
      <c r="HB36" s="33" t="n"/>
      <c r="HC36" s="233">
        <f>GT36</f>
        <v/>
      </c>
      <c r="HD36" s="233">
        <f>GU36</f>
        <v/>
      </c>
      <c r="HE36" s="233">
        <f>HC36+HD36</f>
        <v/>
      </c>
    </row>
    <row r="37" outlineLevel="1" ht="15" customHeight="1" s="150">
      <c r="A37" s="26" t="n"/>
      <c r="B37" s="26" t="n"/>
      <c r="C37" s="26" t="n"/>
      <c r="D37" s="233" t="n"/>
      <c r="E37" s="233" t="n"/>
      <c r="F37" s="233">
        <f>D37+E37</f>
        <v/>
      </c>
      <c r="G37" s="233" t="n"/>
      <c r="H37" s="233" t="n"/>
      <c r="I37" s="233">
        <f>G37+H37</f>
        <v/>
      </c>
      <c r="J37" s="238">
        <f>I37-F37</f>
        <v/>
      </c>
      <c r="K37" s="235">
        <f>IF(F37=0,"",I37/F37)</f>
        <v/>
      </c>
      <c r="L37" s="26" t="n"/>
      <c r="M37" s="233" t="n"/>
      <c r="N37" s="233" t="n"/>
      <c r="O37" s="233">
        <f>M37+N37</f>
        <v/>
      </c>
      <c r="P37" s="233" t="n"/>
      <c r="Q37" s="233" t="n"/>
      <c r="R37" s="233">
        <f>P37+Q37</f>
        <v/>
      </c>
      <c r="S37" s="238">
        <f>R37-O37</f>
        <v/>
      </c>
      <c r="T37" s="235">
        <f>IF(O37=0,"",R37/O37)</f>
        <v/>
      </c>
      <c r="U37" s="26" t="n"/>
      <c r="V37" s="236">
        <f>D37+M37</f>
        <v/>
      </c>
      <c r="W37" s="236">
        <f>E37+N37</f>
        <v/>
      </c>
      <c r="X37" s="236">
        <f>V37+W37</f>
        <v/>
      </c>
      <c r="Y37" s="236">
        <f>G37+P37</f>
        <v/>
      </c>
      <c r="Z37" s="236">
        <f>H37+Q37</f>
        <v/>
      </c>
      <c r="AA37" s="236">
        <f>Y37+Z37</f>
        <v/>
      </c>
      <c r="AB37" s="239">
        <f>AA37-X37</f>
        <v/>
      </c>
      <c r="AC37" s="237">
        <f>IF(X37=0,"",AA37/X37)</f>
        <v/>
      </c>
      <c r="AD37" s="33" t="n"/>
      <c r="AE37" s="233" t="n"/>
      <c r="AF37" s="233" t="n"/>
      <c r="AG37" s="233">
        <f>AE37+AF37</f>
        <v/>
      </c>
      <c r="AH37" s="233" t="n"/>
      <c r="AI37" s="233" t="n"/>
      <c r="AJ37" s="233">
        <f>AH37+AI37</f>
        <v/>
      </c>
      <c r="AK37" s="238">
        <f>AJ37-AG37</f>
        <v/>
      </c>
      <c r="AL37" s="235">
        <f>IF(AG37=0,"",AJ37/AG37)</f>
        <v/>
      </c>
      <c r="AM37" s="26" t="n"/>
      <c r="AN37" s="236">
        <f>V37+AE37</f>
        <v/>
      </c>
      <c r="AO37" s="236">
        <f>W37+AF37</f>
        <v/>
      </c>
      <c r="AP37" s="236">
        <f>AN37+AO37</f>
        <v/>
      </c>
      <c r="AQ37" s="236">
        <f>Y37+AH37</f>
        <v/>
      </c>
      <c r="AR37" s="236">
        <f>Z37+AI37</f>
        <v/>
      </c>
      <c r="AS37" s="236">
        <f>AQ37+AR37</f>
        <v/>
      </c>
      <c r="AT37" s="239">
        <f>AS37-AP37</f>
        <v/>
      </c>
      <c r="AU37" s="237">
        <f>IF(AP37=0,"",AS37/AP37)</f>
        <v/>
      </c>
      <c r="AV37" s="33" t="n"/>
      <c r="AW37" s="233" t="n"/>
      <c r="AX37" s="233" t="n"/>
      <c r="AY37" s="233">
        <f>AW37+AX37</f>
        <v/>
      </c>
      <c r="AZ37" s="233" t="n"/>
      <c r="BA37" s="233" t="n"/>
      <c r="BB37" s="233">
        <f>AZ37+BA37</f>
        <v/>
      </c>
      <c r="BC37" s="238">
        <f>BB37-AY37</f>
        <v/>
      </c>
      <c r="BD37" s="235">
        <f>IF(AY37=0,"",BB37/AY37)</f>
        <v/>
      </c>
      <c r="BE37" s="26" t="n"/>
      <c r="BF37" s="236">
        <f>AN37+AW37</f>
        <v/>
      </c>
      <c r="BG37" s="236">
        <f>AO37+AX37</f>
        <v/>
      </c>
      <c r="BH37" s="236">
        <f>BF37+BG37</f>
        <v/>
      </c>
      <c r="BI37" s="236">
        <f>AQ37+AZ37</f>
        <v/>
      </c>
      <c r="BJ37" s="236">
        <f>AR37+BA37</f>
        <v/>
      </c>
      <c r="BK37" s="236">
        <f>BI37+BJ37</f>
        <v/>
      </c>
      <c r="BL37" s="239">
        <f>BK37-BH37</f>
        <v/>
      </c>
      <c r="BM37" s="237">
        <f>IF(BH37=0,"",BK37/BH37)</f>
        <v/>
      </c>
      <c r="BN37" s="33" t="n"/>
      <c r="BO37" s="233" t="n"/>
      <c r="BP37" s="233" t="n"/>
      <c r="BQ37" s="233">
        <f>BO37+BP37</f>
        <v/>
      </c>
      <c r="BR37" s="233" t="n"/>
      <c r="BS37" s="233" t="n"/>
      <c r="BT37" s="233">
        <f>BR37+BS37</f>
        <v/>
      </c>
      <c r="BU37" s="238">
        <f>BT37-BQ37</f>
        <v/>
      </c>
      <c r="BV37" s="235">
        <f>IF(BQ37=0,"",BT37/BQ37)</f>
        <v/>
      </c>
      <c r="BW37" s="26" t="n"/>
      <c r="BX37" s="236">
        <f>BF37+BO37</f>
        <v/>
      </c>
      <c r="BY37" s="236">
        <f>BG37+BP37</f>
        <v/>
      </c>
      <c r="BZ37" s="236">
        <f>BX37+BY37</f>
        <v/>
      </c>
      <c r="CA37" s="236">
        <f>BI37+BR37</f>
        <v/>
      </c>
      <c r="CB37" s="236">
        <f>BJ37+BS37</f>
        <v/>
      </c>
      <c r="CC37" s="236">
        <f>CA37+CB37</f>
        <v/>
      </c>
      <c r="CD37" s="239">
        <f>CC37-BZ37</f>
        <v/>
      </c>
      <c r="CE37" s="237">
        <f>IF(BZ37=0,"",CC37/BZ37)</f>
        <v/>
      </c>
      <c r="CF37" s="33" t="n"/>
      <c r="CG37" s="233" t="n"/>
      <c r="CH37" s="233" t="n"/>
      <c r="CI37" s="233">
        <f>CG37+CH37</f>
        <v/>
      </c>
      <c r="CJ37" s="233" t="n"/>
      <c r="CK37" s="233" t="n"/>
      <c r="CL37" s="233">
        <f>CJ37+CK37</f>
        <v/>
      </c>
      <c r="CM37" s="238">
        <f>CL37-CI37</f>
        <v/>
      </c>
      <c r="CN37" s="235">
        <f>IF(CI37=0,"",CL37/CI37)</f>
        <v/>
      </c>
      <c r="CO37" s="26" t="n"/>
      <c r="CP37" s="236">
        <f>BX37+CG37</f>
        <v/>
      </c>
      <c r="CQ37" s="236">
        <f>BY37+CH37</f>
        <v/>
      </c>
      <c r="CR37" s="236">
        <f>CP37+CQ37</f>
        <v/>
      </c>
      <c r="CS37" s="236">
        <f>CA37+CJ37</f>
        <v/>
      </c>
      <c r="CT37" s="236">
        <f>CB37+CK37</f>
        <v/>
      </c>
      <c r="CU37" s="236">
        <f>CS37+CT37</f>
        <v/>
      </c>
      <c r="CV37" s="239">
        <f>CU37-CR37</f>
        <v/>
      </c>
      <c r="CW37" s="237">
        <f>IF(CR37=0,"",CU37/CR37)</f>
        <v/>
      </c>
      <c r="CX37" s="33" t="n"/>
      <c r="CY37" s="233" t="n"/>
      <c r="CZ37" s="233" t="n"/>
      <c r="DA37" s="233">
        <f>CY37+CZ37</f>
        <v/>
      </c>
      <c r="DB37" s="233" t="n"/>
      <c r="DC37" s="233" t="n"/>
      <c r="DD37" s="233">
        <f>DB37+DC37</f>
        <v/>
      </c>
      <c r="DE37" s="238">
        <f>DD37-DA37</f>
        <v/>
      </c>
      <c r="DF37" s="235">
        <f>IF(DA37=0,"",DD37/DA37)</f>
        <v/>
      </c>
      <c r="DG37" s="26" t="n"/>
      <c r="DH37" s="236">
        <f>CP37+CY37</f>
        <v/>
      </c>
      <c r="DI37" s="236">
        <f>CQ37+CZ37</f>
        <v/>
      </c>
      <c r="DJ37" s="236">
        <f>DH37+DI37</f>
        <v/>
      </c>
      <c r="DK37" s="236">
        <f>CS37+DB37</f>
        <v/>
      </c>
      <c r="DL37" s="236">
        <f>CT37+DC37</f>
        <v/>
      </c>
      <c r="DM37" s="236">
        <f>DK37+DL37</f>
        <v/>
      </c>
      <c r="DN37" s="239">
        <f>DM37-DJ37</f>
        <v/>
      </c>
      <c r="DO37" s="237">
        <f>IF(DJ37=0,"",DM37/DJ37)</f>
        <v/>
      </c>
      <c r="DP37" s="33" t="n"/>
      <c r="DQ37" s="233" t="n"/>
      <c r="DR37" s="233" t="n"/>
      <c r="DS37" s="233">
        <f>DQ37+DR37</f>
        <v/>
      </c>
      <c r="DT37" s="233" t="n"/>
      <c r="DU37" s="233" t="n"/>
      <c r="DV37" s="233">
        <f>DT37+DU37</f>
        <v/>
      </c>
      <c r="DW37" s="238">
        <f>DV37-DS37</f>
        <v/>
      </c>
      <c r="DX37" s="235">
        <f>IF(DS37=0,"",DV37/DS37)</f>
        <v/>
      </c>
      <c r="DY37" s="26" t="n"/>
      <c r="DZ37" s="236">
        <f>DH37+DQ37</f>
        <v/>
      </c>
      <c r="EA37" s="236">
        <f>DI37+DR37</f>
        <v/>
      </c>
      <c r="EB37" s="236">
        <f>DZ37+EA37</f>
        <v/>
      </c>
      <c r="EC37" s="236">
        <f>DK37+DT37</f>
        <v/>
      </c>
      <c r="ED37" s="236">
        <f>DL37+DU37</f>
        <v/>
      </c>
      <c r="EE37" s="236">
        <f>EC37+ED37</f>
        <v/>
      </c>
      <c r="EF37" s="239">
        <f>EE37-EB37</f>
        <v/>
      </c>
      <c r="EG37" s="237">
        <f>IF(EB37=0,"",EE37/EB37)</f>
        <v/>
      </c>
      <c r="EH37" s="33" t="n"/>
      <c r="EI37" s="233" t="n"/>
      <c r="EJ37" s="233" t="n"/>
      <c r="EK37" s="233">
        <f>EI37+EJ37</f>
        <v/>
      </c>
      <c r="EL37" s="233" t="n"/>
      <c r="EM37" s="233" t="n"/>
      <c r="EN37" s="233">
        <f>EL37+EM37</f>
        <v/>
      </c>
      <c r="EO37" s="238">
        <f>EN37-EK37</f>
        <v/>
      </c>
      <c r="EP37" s="235">
        <f>IF(EK37=0,"",EN37/EK37)</f>
        <v/>
      </c>
      <c r="EQ37" s="26" t="n"/>
      <c r="ER37" s="236">
        <f>DZ37+EI37</f>
        <v/>
      </c>
      <c r="ES37" s="236">
        <f>EA37+EJ37</f>
        <v/>
      </c>
      <c r="ET37" s="236">
        <f>ER37+ES37</f>
        <v/>
      </c>
      <c r="EU37" s="236">
        <f>EC37+EL37</f>
        <v/>
      </c>
      <c r="EV37" s="236">
        <f>ED37+EM37</f>
        <v/>
      </c>
      <c r="EW37" s="236">
        <f>EU37+EV37</f>
        <v/>
      </c>
      <c r="EX37" s="239">
        <f>EW37-ET37</f>
        <v/>
      </c>
      <c r="EY37" s="237">
        <f>IF(ET37=0,"",EW37/ET37)</f>
        <v/>
      </c>
      <c r="EZ37" s="33" t="n"/>
      <c r="FA37" s="233" t="n"/>
      <c r="FB37" s="233" t="n"/>
      <c r="FC37" s="233">
        <f>FA37+FB37</f>
        <v/>
      </c>
      <c r="FD37" s="233" t="n"/>
      <c r="FE37" s="233" t="n"/>
      <c r="FF37" s="233">
        <f>FD37+FE37</f>
        <v/>
      </c>
      <c r="FG37" s="238">
        <f>FF37-FC37</f>
        <v/>
      </c>
      <c r="FH37" s="235">
        <f>IF(FC37=0,"",FF37/FC37)</f>
        <v/>
      </c>
      <c r="FI37" s="26" t="n"/>
      <c r="FJ37" s="236">
        <f>ER37+FA37</f>
        <v/>
      </c>
      <c r="FK37" s="236">
        <f>ES37+FB37</f>
        <v/>
      </c>
      <c r="FL37" s="236">
        <f>FJ37+FK37</f>
        <v/>
      </c>
      <c r="FM37" s="236">
        <f>EU37+FD37</f>
        <v/>
      </c>
      <c r="FN37" s="236">
        <f>EV37+FE37</f>
        <v/>
      </c>
      <c r="FO37" s="236">
        <f>FM37+FN37</f>
        <v/>
      </c>
      <c r="FP37" s="239">
        <f>FO37-FL37</f>
        <v/>
      </c>
      <c r="FQ37" s="237">
        <f>IF(FL37=0,"",FO37/FL37)</f>
        <v/>
      </c>
      <c r="FR37" s="33" t="n"/>
      <c r="FS37" s="233" t="n"/>
      <c r="FT37" s="233" t="n"/>
      <c r="FU37" s="233">
        <f>FS37+FT37</f>
        <v/>
      </c>
      <c r="FV37" s="233" t="n"/>
      <c r="FW37" s="233" t="n"/>
      <c r="FX37" s="233">
        <f>FV37+FW37</f>
        <v/>
      </c>
      <c r="FY37" s="238">
        <f>FX37-FU37</f>
        <v/>
      </c>
      <c r="FZ37" s="235">
        <f>IF(FU37=0,"",FX37/FU37)</f>
        <v/>
      </c>
      <c r="GA37" s="26" t="n"/>
      <c r="GB37" s="236">
        <f>FJ37+FS37</f>
        <v/>
      </c>
      <c r="GC37" s="236">
        <f>FK37+FT37</f>
        <v/>
      </c>
      <c r="GD37" s="236">
        <f>GB37+GC37</f>
        <v/>
      </c>
      <c r="GE37" s="236">
        <f>FM37+FV37</f>
        <v/>
      </c>
      <c r="GF37" s="236">
        <f>FN37+FW37</f>
        <v/>
      </c>
      <c r="GG37" s="236">
        <f>GE37+GF37</f>
        <v/>
      </c>
      <c r="GH37" s="239">
        <f>GG37-GD37</f>
        <v/>
      </c>
      <c r="GI37" s="237">
        <f>IF(GD37=0,"",GG37/GD37)</f>
        <v/>
      </c>
      <c r="GJ37" s="33" t="n"/>
      <c r="GK37" s="233" t="n"/>
      <c r="GL37" s="233" t="n"/>
      <c r="GM37" s="233">
        <f>GK37+GL37</f>
        <v/>
      </c>
      <c r="GN37" s="233" t="n"/>
      <c r="GO37" s="233" t="n"/>
      <c r="GP37" s="233">
        <f>GN37+GO37</f>
        <v/>
      </c>
      <c r="GQ37" s="238">
        <f>GP37-GM37</f>
        <v/>
      </c>
      <c r="GR37" s="235">
        <f>IF(GM37=0,"",GP37/GM37)</f>
        <v/>
      </c>
      <c r="GS37" s="26" t="n"/>
      <c r="GT37" s="236">
        <f>GB37+GK37</f>
        <v/>
      </c>
      <c r="GU37" s="236">
        <f>GC37+GL37</f>
        <v/>
      </c>
      <c r="GV37" s="236">
        <f>GT37+GU37</f>
        <v/>
      </c>
      <c r="GW37" s="236">
        <f>GE37+GN37</f>
        <v/>
      </c>
      <c r="GX37" s="236">
        <f>GF37+GO37</f>
        <v/>
      </c>
      <c r="GY37" s="236">
        <f>GW37+GX37</f>
        <v/>
      </c>
      <c r="GZ37" s="239">
        <f>GY37-GV37</f>
        <v/>
      </c>
      <c r="HA37" s="237">
        <f>IF(GV37=0,"",GY37/GV37)</f>
        <v/>
      </c>
      <c r="HB37" s="33" t="n"/>
      <c r="HC37" s="233">
        <f>GT37</f>
        <v/>
      </c>
      <c r="HD37" s="233">
        <f>GU37</f>
        <v/>
      </c>
      <c r="HE37" s="233">
        <f>HC37+HD37</f>
        <v/>
      </c>
    </row>
    <row r="38" outlineLevel="1" ht="15" customHeight="1" s="150">
      <c r="A38" s="26" t="n"/>
      <c r="B38" s="26" t="n"/>
      <c r="C38" s="26" t="n"/>
      <c r="D38" s="233" t="n"/>
      <c r="E38" s="233" t="n"/>
      <c r="F38" s="233">
        <f>D38+E38</f>
        <v/>
      </c>
      <c r="G38" s="233" t="n"/>
      <c r="H38" s="233" t="n"/>
      <c r="I38" s="233">
        <f>G38+H38</f>
        <v/>
      </c>
      <c r="J38" s="238">
        <f>I38-F38</f>
        <v/>
      </c>
      <c r="K38" s="235">
        <f>IF(F38=0,"",I38/F38)</f>
        <v/>
      </c>
      <c r="L38" s="26" t="n"/>
      <c r="M38" s="233" t="n"/>
      <c r="N38" s="233" t="n"/>
      <c r="O38" s="233">
        <f>M38+N38</f>
        <v/>
      </c>
      <c r="P38" s="233" t="n"/>
      <c r="Q38" s="233" t="n"/>
      <c r="R38" s="233">
        <f>P38+Q38</f>
        <v/>
      </c>
      <c r="S38" s="238">
        <f>R38-O38</f>
        <v/>
      </c>
      <c r="T38" s="235">
        <f>IF(O38=0,"",R38/O38)</f>
        <v/>
      </c>
      <c r="U38" s="26" t="n"/>
      <c r="V38" s="236">
        <f>D38+M38</f>
        <v/>
      </c>
      <c r="W38" s="236">
        <f>E38+N38</f>
        <v/>
      </c>
      <c r="X38" s="236">
        <f>V38+W38</f>
        <v/>
      </c>
      <c r="Y38" s="236">
        <f>G38+P38</f>
        <v/>
      </c>
      <c r="Z38" s="236">
        <f>H38+Q38</f>
        <v/>
      </c>
      <c r="AA38" s="236">
        <f>Y38+Z38</f>
        <v/>
      </c>
      <c r="AB38" s="239">
        <f>AA38-X38</f>
        <v/>
      </c>
      <c r="AC38" s="237">
        <f>IF(X38=0,"",AA38/X38)</f>
        <v/>
      </c>
      <c r="AD38" s="33" t="n"/>
      <c r="AE38" s="233" t="n"/>
      <c r="AF38" s="233" t="n"/>
      <c r="AG38" s="233">
        <f>AE38+AF38</f>
        <v/>
      </c>
      <c r="AH38" s="233" t="n"/>
      <c r="AI38" s="233" t="n"/>
      <c r="AJ38" s="233">
        <f>AH38+AI38</f>
        <v/>
      </c>
      <c r="AK38" s="238">
        <f>AJ38-AG38</f>
        <v/>
      </c>
      <c r="AL38" s="235">
        <f>IF(AG38=0,"",AJ38/AG38)</f>
        <v/>
      </c>
      <c r="AM38" s="26" t="n"/>
      <c r="AN38" s="236">
        <f>V38+AE38</f>
        <v/>
      </c>
      <c r="AO38" s="236">
        <f>W38+AF38</f>
        <v/>
      </c>
      <c r="AP38" s="236">
        <f>AN38+AO38</f>
        <v/>
      </c>
      <c r="AQ38" s="236">
        <f>Y38+AH38</f>
        <v/>
      </c>
      <c r="AR38" s="236">
        <f>Z38+AI38</f>
        <v/>
      </c>
      <c r="AS38" s="236">
        <f>AQ38+AR38</f>
        <v/>
      </c>
      <c r="AT38" s="239">
        <f>AS38-AP38</f>
        <v/>
      </c>
      <c r="AU38" s="237">
        <f>IF(AP38=0,"",AS38/AP38)</f>
        <v/>
      </c>
      <c r="AV38" s="33" t="n"/>
      <c r="AW38" s="233" t="n"/>
      <c r="AX38" s="233" t="n"/>
      <c r="AY38" s="233">
        <f>AW38+AX38</f>
        <v/>
      </c>
      <c r="AZ38" s="233" t="n"/>
      <c r="BA38" s="233" t="n"/>
      <c r="BB38" s="233">
        <f>AZ38+BA38</f>
        <v/>
      </c>
      <c r="BC38" s="238">
        <f>BB38-AY38</f>
        <v/>
      </c>
      <c r="BD38" s="235">
        <f>IF(AY38=0,"",BB38/AY38)</f>
        <v/>
      </c>
      <c r="BE38" s="26" t="n"/>
      <c r="BF38" s="236">
        <f>AN38+AW38</f>
        <v/>
      </c>
      <c r="BG38" s="236">
        <f>AO38+AX38</f>
        <v/>
      </c>
      <c r="BH38" s="236">
        <f>BF38+BG38</f>
        <v/>
      </c>
      <c r="BI38" s="236">
        <f>AQ38+AZ38</f>
        <v/>
      </c>
      <c r="BJ38" s="236">
        <f>AR38+BA38</f>
        <v/>
      </c>
      <c r="BK38" s="236">
        <f>BI38+BJ38</f>
        <v/>
      </c>
      <c r="BL38" s="239">
        <f>BK38-BH38</f>
        <v/>
      </c>
      <c r="BM38" s="237">
        <f>IF(BH38=0,"",BK38/BH38)</f>
        <v/>
      </c>
      <c r="BN38" s="33" t="n"/>
      <c r="BO38" s="233" t="n"/>
      <c r="BP38" s="233" t="n"/>
      <c r="BQ38" s="233">
        <f>BO38+BP38</f>
        <v/>
      </c>
      <c r="BR38" s="233" t="n"/>
      <c r="BS38" s="233" t="n"/>
      <c r="BT38" s="233">
        <f>BR38+BS38</f>
        <v/>
      </c>
      <c r="BU38" s="238">
        <f>BT38-BQ38</f>
        <v/>
      </c>
      <c r="BV38" s="235">
        <f>IF(BQ38=0,"",BT38/BQ38)</f>
        <v/>
      </c>
      <c r="BW38" s="26" t="n"/>
      <c r="BX38" s="236">
        <f>BF38+BO38</f>
        <v/>
      </c>
      <c r="BY38" s="236">
        <f>BG38+BP38</f>
        <v/>
      </c>
      <c r="BZ38" s="236">
        <f>BX38+BY38</f>
        <v/>
      </c>
      <c r="CA38" s="236">
        <f>BI38+BR38</f>
        <v/>
      </c>
      <c r="CB38" s="236">
        <f>BJ38+BS38</f>
        <v/>
      </c>
      <c r="CC38" s="236">
        <f>CA38+CB38</f>
        <v/>
      </c>
      <c r="CD38" s="239">
        <f>CC38-BZ38</f>
        <v/>
      </c>
      <c r="CE38" s="237">
        <f>IF(BZ38=0,"",CC38/BZ38)</f>
        <v/>
      </c>
      <c r="CF38" s="33" t="n"/>
      <c r="CG38" s="233" t="n"/>
      <c r="CH38" s="233" t="n"/>
      <c r="CI38" s="233">
        <f>CG38+CH38</f>
        <v/>
      </c>
      <c r="CJ38" s="233" t="n"/>
      <c r="CK38" s="233" t="n"/>
      <c r="CL38" s="233">
        <f>CJ38+CK38</f>
        <v/>
      </c>
      <c r="CM38" s="238">
        <f>CL38-CI38</f>
        <v/>
      </c>
      <c r="CN38" s="235">
        <f>IF(CI38=0,"",CL38/CI38)</f>
        <v/>
      </c>
      <c r="CO38" s="26" t="n"/>
      <c r="CP38" s="236">
        <f>BX38+CG38</f>
        <v/>
      </c>
      <c r="CQ38" s="236">
        <f>BY38+CH38</f>
        <v/>
      </c>
      <c r="CR38" s="236">
        <f>CP38+CQ38</f>
        <v/>
      </c>
      <c r="CS38" s="236">
        <f>CA38+CJ38</f>
        <v/>
      </c>
      <c r="CT38" s="236">
        <f>CB38+CK38</f>
        <v/>
      </c>
      <c r="CU38" s="236">
        <f>CS38+CT38</f>
        <v/>
      </c>
      <c r="CV38" s="239">
        <f>CU38-CR38</f>
        <v/>
      </c>
      <c r="CW38" s="237">
        <f>IF(CR38=0,"",CU38/CR38)</f>
        <v/>
      </c>
      <c r="CX38" s="33" t="n"/>
      <c r="CY38" s="233" t="n"/>
      <c r="CZ38" s="233" t="n"/>
      <c r="DA38" s="233">
        <f>CY38+CZ38</f>
        <v/>
      </c>
      <c r="DB38" s="233" t="n"/>
      <c r="DC38" s="233" t="n"/>
      <c r="DD38" s="233">
        <f>DB38+DC38</f>
        <v/>
      </c>
      <c r="DE38" s="238">
        <f>DD38-DA38</f>
        <v/>
      </c>
      <c r="DF38" s="235">
        <f>IF(DA38=0,"",DD38/DA38)</f>
        <v/>
      </c>
      <c r="DG38" s="26" t="n"/>
      <c r="DH38" s="236">
        <f>CP38+CY38</f>
        <v/>
      </c>
      <c r="DI38" s="236">
        <f>CQ38+CZ38</f>
        <v/>
      </c>
      <c r="DJ38" s="236">
        <f>DH38+DI38</f>
        <v/>
      </c>
      <c r="DK38" s="236">
        <f>CS38+DB38</f>
        <v/>
      </c>
      <c r="DL38" s="236">
        <f>CT38+DC38</f>
        <v/>
      </c>
      <c r="DM38" s="236">
        <f>DK38+DL38</f>
        <v/>
      </c>
      <c r="DN38" s="239">
        <f>DM38-DJ38</f>
        <v/>
      </c>
      <c r="DO38" s="237">
        <f>IF(DJ38=0,"",DM38/DJ38)</f>
        <v/>
      </c>
      <c r="DP38" s="33" t="n"/>
      <c r="DQ38" s="233" t="n"/>
      <c r="DR38" s="233" t="n"/>
      <c r="DS38" s="233">
        <f>DQ38+DR38</f>
        <v/>
      </c>
      <c r="DT38" s="233" t="n"/>
      <c r="DU38" s="233" t="n"/>
      <c r="DV38" s="233">
        <f>DT38+DU38</f>
        <v/>
      </c>
      <c r="DW38" s="238">
        <f>DV38-DS38</f>
        <v/>
      </c>
      <c r="DX38" s="235">
        <f>IF(DS38=0,"",DV38/DS38)</f>
        <v/>
      </c>
      <c r="DY38" s="26" t="n"/>
      <c r="DZ38" s="236">
        <f>DH38+DQ38</f>
        <v/>
      </c>
      <c r="EA38" s="236">
        <f>DI38+DR38</f>
        <v/>
      </c>
      <c r="EB38" s="236">
        <f>DZ38+EA38</f>
        <v/>
      </c>
      <c r="EC38" s="236">
        <f>DK38+DT38</f>
        <v/>
      </c>
      <c r="ED38" s="236">
        <f>DL38+DU38</f>
        <v/>
      </c>
      <c r="EE38" s="236">
        <f>EC38+ED38</f>
        <v/>
      </c>
      <c r="EF38" s="239">
        <f>EE38-EB38</f>
        <v/>
      </c>
      <c r="EG38" s="237">
        <f>IF(EB38=0,"",EE38/EB38)</f>
        <v/>
      </c>
      <c r="EH38" s="33" t="n"/>
      <c r="EI38" s="233" t="n"/>
      <c r="EJ38" s="233" t="n"/>
      <c r="EK38" s="233">
        <f>EI38+EJ38</f>
        <v/>
      </c>
      <c r="EL38" s="233" t="n"/>
      <c r="EM38" s="233" t="n"/>
      <c r="EN38" s="233">
        <f>EL38+EM38</f>
        <v/>
      </c>
      <c r="EO38" s="238">
        <f>EN38-EK38</f>
        <v/>
      </c>
      <c r="EP38" s="235">
        <f>IF(EK38=0,"",EN38/EK38)</f>
        <v/>
      </c>
      <c r="EQ38" s="26" t="n"/>
      <c r="ER38" s="236">
        <f>DZ38+EI38</f>
        <v/>
      </c>
      <c r="ES38" s="236">
        <f>EA38+EJ38</f>
        <v/>
      </c>
      <c r="ET38" s="236">
        <f>ER38+ES38</f>
        <v/>
      </c>
      <c r="EU38" s="236">
        <f>EC38+EL38</f>
        <v/>
      </c>
      <c r="EV38" s="236">
        <f>ED38+EM38</f>
        <v/>
      </c>
      <c r="EW38" s="236">
        <f>EU38+EV38</f>
        <v/>
      </c>
      <c r="EX38" s="239">
        <f>EW38-ET38</f>
        <v/>
      </c>
      <c r="EY38" s="237">
        <f>IF(ET38=0,"",EW38/ET38)</f>
        <v/>
      </c>
      <c r="EZ38" s="33" t="n"/>
      <c r="FA38" s="233" t="n"/>
      <c r="FB38" s="233" t="n"/>
      <c r="FC38" s="233">
        <f>FA38+FB38</f>
        <v/>
      </c>
      <c r="FD38" s="233" t="n"/>
      <c r="FE38" s="233" t="n"/>
      <c r="FF38" s="233">
        <f>FD38+FE38</f>
        <v/>
      </c>
      <c r="FG38" s="238">
        <f>FF38-FC38</f>
        <v/>
      </c>
      <c r="FH38" s="235">
        <f>IF(FC38=0,"",FF38/FC38)</f>
        <v/>
      </c>
      <c r="FI38" s="26" t="n"/>
      <c r="FJ38" s="236">
        <f>ER38+FA38</f>
        <v/>
      </c>
      <c r="FK38" s="236">
        <f>ES38+FB38</f>
        <v/>
      </c>
      <c r="FL38" s="236">
        <f>FJ38+FK38</f>
        <v/>
      </c>
      <c r="FM38" s="236">
        <f>EU38+FD38</f>
        <v/>
      </c>
      <c r="FN38" s="236">
        <f>EV38+FE38</f>
        <v/>
      </c>
      <c r="FO38" s="236">
        <f>FM38+FN38</f>
        <v/>
      </c>
      <c r="FP38" s="239">
        <f>FO38-FL38</f>
        <v/>
      </c>
      <c r="FQ38" s="237">
        <f>IF(FL38=0,"",FO38/FL38)</f>
        <v/>
      </c>
      <c r="FR38" s="33" t="n"/>
      <c r="FS38" s="233" t="n"/>
      <c r="FT38" s="233" t="n"/>
      <c r="FU38" s="233">
        <f>FS38+FT38</f>
        <v/>
      </c>
      <c r="FV38" s="233" t="n"/>
      <c r="FW38" s="233" t="n"/>
      <c r="FX38" s="233">
        <f>FV38+FW38</f>
        <v/>
      </c>
      <c r="FY38" s="238">
        <f>FX38-FU38</f>
        <v/>
      </c>
      <c r="FZ38" s="235">
        <f>IF(FU38=0,"",FX38/FU38)</f>
        <v/>
      </c>
      <c r="GA38" s="26" t="n"/>
      <c r="GB38" s="236">
        <f>FJ38+FS38</f>
        <v/>
      </c>
      <c r="GC38" s="236">
        <f>FK38+FT38</f>
        <v/>
      </c>
      <c r="GD38" s="236">
        <f>GB38+GC38</f>
        <v/>
      </c>
      <c r="GE38" s="236">
        <f>FM38+FV38</f>
        <v/>
      </c>
      <c r="GF38" s="236">
        <f>FN38+FW38</f>
        <v/>
      </c>
      <c r="GG38" s="236">
        <f>GE38+GF38</f>
        <v/>
      </c>
      <c r="GH38" s="239">
        <f>GG38-GD38</f>
        <v/>
      </c>
      <c r="GI38" s="237">
        <f>IF(GD38=0,"",GG38/GD38)</f>
        <v/>
      </c>
      <c r="GJ38" s="33" t="n"/>
      <c r="GK38" s="233" t="n"/>
      <c r="GL38" s="233" t="n"/>
      <c r="GM38" s="233">
        <f>GK38+GL38</f>
        <v/>
      </c>
      <c r="GN38" s="233" t="n"/>
      <c r="GO38" s="233" t="n"/>
      <c r="GP38" s="233">
        <f>GN38+GO38</f>
        <v/>
      </c>
      <c r="GQ38" s="238">
        <f>GP38-GM38</f>
        <v/>
      </c>
      <c r="GR38" s="235">
        <f>IF(GM38=0,"",GP38/GM38)</f>
        <v/>
      </c>
      <c r="GS38" s="26" t="n"/>
      <c r="GT38" s="236">
        <f>GB38+GK38</f>
        <v/>
      </c>
      <c r="GU38" s="236">
        <f>GC38+GL38</f>
        <v/>
      </c>
      <c r="GV38" s="236">
        <f>GT38+GU38</f>
        <v/>
      </c>
      <c r="GW38" s="236">
        <f>GE38+GN38</f>
        <v/>
      </c>
      <c r="GX38" s="236">
        <f>GF38+GO38</f>
        <v/>
      </c>
      <c r="GY38" s="236">
        <f>GW38+GX38</f>
        <v/>
      </c>
      <c r="GZ38" s="239">
        <f>GY38-GV38</f>
        <v/>
      </c>
      <c r="HA38" s="237">
        <f>IF(GV38=0,"",GY38/GV38)</f>
        <v/>
      </c>
      <c r="HB38" s="33" t="n"/>
      <c r="HC38" s="233">
        <f>GT38</f>
        <v/>
      </c>
      <c r="HD38" s="233">
        <f>GU38</f>
        <v/>
      </c>
      <c r="HE38" s="233">
        <f>HC38+HD38</f>
        <v/>
      </c>
    </row>
    <row r="39" ht="15" customHeight="1" s="150">
      <c r="A39" s="18" t="n"/>
      <c r="B39" s="18" t="n"/>
      <c r="C39" s="18" t="n"/>
      <c r="D39" s="227">
        <f>D40</f>
        <v/>
      </c>
      <c r="E39" s="227">
        <f>E40</f>
        <v/>
      </c>
      <c r="F39" s="227">
        <f>D39+E39</f>
        <v/>
      </c>
      <c r="G39" s="227">
        <f>G40</f>
        <v/>
      </c>
      <c r="H39" s="227">
        <f>H40</f>
        <v/>
      </c>
      <c r="I39" s="227">
        <f>G39+H39</f>
        <v/>
      </c>
      <c r="J39" s="228">
        <f>I39-F39</f>
        <v/>
      </c>
      <c r="K39" s="229">
        <f>IF(F39=0,"",I39/F39)</f>
        <v/>
      </c>
      <c r="L39" s="18" t="n"/>
      <c r="M39" s="227">
        <f>M40</f>
        <v/>
      </c>
      <c r="N39" s="227">
        <f>N40</f>
        <v/>
      </c>
      <c r="O39" s="227">
        <f>M39+N39</f>
        <v/>
      </c>
      <c r="P39" s="227">
        <f>P40</f>
        <v/>
      </c>
      <c r="Q39" s="227">
        <f>Q40</f>
        <v/>
      </c>
      <c r="R39" s="227">
        <f>P39+Q39</f>
        <v/>
      </c>
      <c r="S39" s="228">
        <f>R39-O39</f>
        <v/>
      </c>
      <c r="T39" s="229">
        <f>IF(O39=0,"",R39/O39)</f>
        <v/>
      </c>
      <c r="U39" s="18" t="n"/>
      <c r="V39" s="230">
        <f>V40</f>
        <v/>
      </c>
      <c r="W39" s="230">
        <f>W40</f>
        <v/>
      </c>
      <c r="X39" s="230">
        <f>V39+W39</f>
        <v/>
      </c>
      <c r="Y39" s="230">
        <f>Y40</f>
        <v/>
      </c>
      <c r="Z39" s="230">
        <f>Z40</f>
        <v/>
      </c>
      <c r="AA39" s="230">
        <f>Y39+Z39</f>
        <v/>
      </c>
      <c r="AB39" s="231">
        <f>AA39-X39</f>
        <v/>
      </c>
      <c r="AC39" s="232">
        <f>IF(X39=0,"",AA39/X39)</f>
        <v/>
      </c>
      <c r="AD39" s="25" t="n"/>
      <c r="AE39" s="227">
        <f>AE40</f>
        <v/>
      </c>
      <c r="AF39" s="227">
        <f>AF40</f>
        <v/>
      </c>
      <c r="AG39" s="227">
        <f>AE39+AF39</f>
        <v/>
      </c>
      <c r="AH39" s="227">
        <f>AH40</f>
        <v/>
      </c>
      <c r="AI39" s="227">
        <f>AI40</f>
        <v/>
      </c>
      <c r="AJ39" s="227">
        <f>AH39+AI39</f>
        <v/>
      </c>
      <c r="AK39" s="228">
        <f>AJ39-AG39</f>
        <v/>
      </c>
      <c r="AL39" s="229">
        <f>IF(AG39=0,"",AJ39/AG39)</f>
        <v/>
      </c>
      <c r="AM39" s="18" t="n"/>
      <c r="AN39" s="230">
        <f>AN40</f>
        <v/>
      </c>
      <c r="AO39" s="230">
        <f>AO40</f>
        <v/>
      </c>
      <c r="AP39" s="230">
        <f>AN39+AO39</f>
        <v/>
      </c>
      <c r="AQ39" s="230">
        <f>AQ40</f>
        <v/>
      </c>
      <c r="AR39" s="230">
        <f>AR40</f>
        <v/>
      </c>
      <c r="AS39" s="230">
        <f>AQ39+AR39</f>
        <v/>
      </c>
      <c r="AT39" s="231">
        <f>AS39-AP39</f>
        <v/>
      </c>
      <c r="AU39" s="232">
        <f>IF(AP39=0,"",AS39/AP39)</f>
        <v/>
      </c>
      <c r="AV39" s="25" t="n"/>
      <c r="AW39" s="227">
        <f>AW40</f>
        <v/>
      </c>
      <c r="AX39" s="227">
        <f>AX40</f>
        <v/>
      </c>
      <c r="AY39" s="227">
        <f>AW39+AX39</f>
        <v/>
      </c>
      <c r="AZ39" s="227">
        <f>AZ40</f>
        <v/>
      </c>
      <c r="BA39" s="227">
        <f>BA40</f>
        <v/>
      </c>
      <c r="BB39" s="227">
        <f>AZ39+BA39</f>
        <v/>
      </c>
      <c r="BC39" s="228">
        <f>BB39-AY39</f>
        <v/>
      </c>
      <c r="BD39" s="229">
        <f>IF(AY39=0,"",BB39/AY39)</f>
        <v/>
      </c>
      <c r="BE39" s="18" t="n"/>
      <c r="BF39" s="230">
        <f>BF40</f>
        <v/>
      </c>
      <c r="BG39" s="230">
        <f>BG40</f>
        <v/>
      </c>
      <c r="BH39" s="230">
        <f>BF39+BG39</f>
        <v/>
      </c>
      <c r="BI39" s="230">
        <f>BI40</f>
        <v/>
      </c>
      <c r="BJ39" s="230">
        <f>BJ40</f>
        <v/>
      </c>
      <c r="BK39" s="230">
        <f>BI39+BJ39</f>
        <v/>
      </c>
      <c r="BL39" s="231">
        <f>BK39-BH39</f>
        <v/>
      </c>
      <c r="BM39" s="232">
        <f>IF(BH39=0,"",BK39/BH39)</f>
        <v/>
      </c>
      <c r="BN39" s="25" t="n"/>
      <c r="BO39" s="227">
        <f>BO40</f>
        <v/>
      </c>
      <c r="BP39" s="227">
        <f>BP40</f>
        <v/>
      </c>
      <c r="BQ39" s="227">
        <f>BO39+BP39</f>
        <v/>
      </c>
      <c r="BR39" s="227">
        <f>BR40</f>
        <v/>
      </c>
      <c r="BS39" s="227">
        <f>BS40</f>
        <v/>
      </c>
      <c r="BT39" s="227">
        <f>BR39+BS39</f>
        <v/>
      </c>
      <c r="BU39" s="228">
        <f>BT39-BQ39</f>
        <v/>
      </c>
      <c r="BV39" s="229">
        <f>IF(BQ39=0,"",BT39/BQ39)</f>
        <v/>
      </c>
      <c r="BW39" s="18" t="n"/>
      <c r="BX39" s="230">
        <f>BX40</f>
        <v/>
      </c>
      <c r="BY39" s="230">
        <f>BY40</f>
        <v/>
      </c>
      <c r="BZ39" s="230">
        <f>BX39+BY39</f>
        <v/>
      </c>
      <c r="CA39" s="230">
        <f>CA40</f>
        <v/>
      </c>
      <c r="CB39" s="230">
        <f>CB40</f>
        <v/>
      </c>
      <c r="CC39" s="230">
        <f>CA39+CB39</f>
        <v/>
      </c>
      <c r="CD39" s="231">
        <f>CC39-BZ39</f>
        <v/>
      </c>
      <c r="CE39" s="232">
        <f>IF(BZ39=0,"",CC39/BZ39)</f>
        <v/>
      </c>
      <c r="CF39" s="25" t="n"/>
      <c r="CG39" s="227">
        <f>CG40</f>
        <v/>
      </c>
      <c r="CH39" s="227">
        <f>CH40</f>
        <v/>
      </c>
      <c r="CI39" s="227">
        <f>CG39+CH39</f>
        <v/>
      </c>
      <c r="CJ39" s="227">
        <f>CJ40</f>
        <v/>
      </c>
      <c r="CK39" s="227">
        <f>CK40</f>
        <v/>
      </c>
      <c r="CL39" s="227">
        <f>CJ39+CK39</f>
        <v/>
      </c>
      <c r="CM39" s="228">
        <f>CL39-CI39</f>
        <v/>
      </c>
      <c r="CN39" s="229">
        <f>IF(CI39=0,"",CL39/CI39)</f>
        <v/>
      </c>
      <c r="CO39" s="18" t="n"/>
      <c r="CP39" s="230">
        <f>CP40</f>
        <v/>
      </c>
      <c r="CQ39" s="230">
        <f>CQ40</f>
        <v/>
      </c>
      <c r="CR39" s="230">
        <f>CP39+CQ39</f>
        <v/>
      </c>
      <c r="CS39" s="230">
        <f>CS40</f>
        <v/>
      </c>
      <c r="CT39" s="230">
        <f>CT40</f>
        <v/>
      </c>
      <c r="CU39" s="230">
        <f>CS39+CT39</f>
        <v/>
      </c>
      <c r="CV39" s="231">
        <f>CU39-CR39</f>
        <v/>
      </c>
      <c r="CW39" s="232">
        <f>IF(CR39=0,"",CU39/CR39)</f>
        <v/>
      </c>
      <c r="CX39" s="25" t="n"/>
      <c r="CY39" s="227">
        <f>CY40</f>
        <v/>
      </c>
      <c r="CZ39" s="227">
        <f>CZ40</f>
        <v/>
      </c>
      <c r="DA39" s="227">
        <f>CY39+CZ39</f>
        <v/>
      </c>
      <c r="DB39" s="227">
        <f>DB40</f>
        <v/>
      </c>
      <c r="DC39" s="227">
        <f>DC40</f>
        <v/>
      </c>
      <c r="DD39" s="227">
        <f>DB39+DC39</f>
        <v/>
      </c>
      <c r="DE39" s="228">
        <f>DD39-DA39</f>
        <v/>
      </c>
      <c r="DF39" s="229">
        <f>IF(DA39=0,"",DD39/DA39)</f>
        <v/>
      </c>
      <c r="DG39" s="18" t="n"/>
      <c r="DH39" s="230">
        <f>DH40</f>
        <v/>
      </c>
      <c r="DI39" s="230">
        <f>DI40</f>
        <v/>
      </c>
      <c r="DJ39" s="230">
        <f>DH39+DI39</f>
        <v/>
      </c>
      <c r="DK39" s="230">
        <f>DK40</f>
        <v/>
      </c>
      <c r="DL39" s="230">
        <f>DL40</f>
        <v/>
      </c>
      <c r="DM39" s="230">
        <f>DK39+DL39</f>
        <v/>
      </c>
      <c r="DN39" s="231">
        <f>DM39-DJ39</f>
        <v/>
      </c>
      <c r="DO39" s="232">
        <f>IF(DJ39=0,"",DM39/DJ39)</f>
        <v/>
      </c>
      <c r="DP39" s="25" t="n"/>
      <c r="DQ39" s="227">
        <f>DQ40</f>
        <v/>
      </c>
      <c r="DR39" s="227">
        <f>DR40</f>
        <v/>
      </c>
      <c r="DS39" s="227">
        <f>DQ39+DR39</f>
        <v/>
      </c>
      <c r="DT39" s="227">
        <f>DT40</f>
        <v/>
      </c>
      <c r="DU39" s="227">
        <f>DU40</f>
        <v/>
      </c>
      <c r="DV39" s="227">
        <f>DT39+DU39</f>
        <v/>
      </c>
      <c r="DW39" s="228">
        <f>DV39-DS39</f>
        <v/>
      </c>
      <c r="DX39" s="229">
        <f>IF(DS39=0,"",DV39/DS39)</f>
        <v/>
      </c>
      <c r="DY39" s="18" t="n"/>
      <c r="DZ39" s="230">
        <f>DZ40</f>
        <v/>
      </c>
      <c r="EA39" s="230">
        <f>EA40</f>
        <v/>
      </c>
      <c r="EB39" s="230">
        <f>DZ39+EA39</f>
        <v/>
      </c>
      <c r="EC39" s="230">
        <f>EC40</f>
        <v/>
      </c>
      <c r="ED39" s="230">
        <f>ED40</f>
        <v/>
      </c>
      <c r="EE39" s="230">
        <f>EC39+ED39</f>
        <v/>
      </c>
      <c r="EF39" s="231">
        <f>EE39-EB39</f>
        <v/>
      </c>
      <c r="EG39" s="232">
        <f>IF(EB39=0,"",EE39/EB39)</f>
        <v/>
      </c>
      <c r="EH39" s="25" t="n"/>
      <c r="EI39" s="227">
        <f>EI40</f>
        <v/>
      </c>
      <c r="EJ39" s="227">
        <f>EJ40</f>
        <v/>
      </c>
      <c r="EK39" s="227">
        <f>EI39+EJ39</f>
        <v/>
      </c>
      <c r="EL39" s="227">
        <f>EL40</f>
        <v/>
      </c>
      <c r="EM39" s="227">
        <f>EM40</f>
        <v/>
      </c>
      <c r="EN39" s="227">
        <f>EL39+EM39</f>
        <v/>
      </c>
      <c r="EO39" s="228">
        <f>EN39-EK39</f>
        <v/>
      </c>
      <c r="EP39" s="229">
        <f>IF(EK39=0,"",EN39/EK39)</f>
        <v/>
      </c>
      <c r="EQ39" s="18" t="n"/>
      <c r="ER39" s="230">
        <f>ER40</f>
        <v/>
      </c>
      <c r="ES39" s="230">
        <f>ES40</f>
        <v/>
      </c>
      <c r="ET39" s="230">
        <f>ER39+ES39</f>
        <v/>
      </c>
      <c r="EU39" s="230">
        <f>EU40</f>
        <v/>
      </c>
      <c r="EV39" s="230">
        <f>EV40</f>
        <v/>
      </c>
      <c r="EW39" s="230">
        <f>EU39+EV39</f>
        <v/>
      </c>
      <c r="EX39" s="231">
        <f>EW39-ET39</f>
        <v/>
      </c>
      <c r="EY39" s="232">
        <f>IF(ET39=0,"",EW39/ET39)</f>
        <v/>
      </c>
      <c r="EZ39" s="25" t="n"/>
      <c r="FA39" s="227">
        <f>FA40</f>
        <v/>
      </c>
      <c r="FB39" s="227">
        <f>FB40</f>
        <v/>
      </c>
      <c r="FC39" s="227">
        <f>FA39+FB39</f>
        <v/>
      </c>
      <c r="FD39" s="227">
        <f>FD40</f>
        <v/>
      </c>
      <c r="FE39" s="227">
        <f>FE40</f>
        <v/>
      </c>
      <c r="FF39" s="227">
        <f>FD39+FE39</f>
        <v/>
      </c>
      <c r="FG39" s="228">
        <f>FF39-FC39</f>
        <v/>
      </c>
      <c r="FH39" s="229">
        <f>IF(FC39=0,"",FF39/FC39)</f>
        <v/>
      </c>
      <c r="FI39" s="18" t="n"/>
      <c r="FJ39" s="230">
        <f>FJ40</f>
        <v/>
      </c>
      <c r="FK39" s="230">
        <f>FK40</f>
        <v/>
      </c>
      <c r="FL39" s="230">
        <f>FJ39+FK39</f>
        <v/>
      </c>
      <c r="FM39" s="230">
        <f>FM40</f>
        <v/>
      </c>
      <c r="FN39" s="230">
        <f>FN40</f>
        <v/>
      </c>
      <c r="FO39" s="230">
        <f>FM39+FN39</f>
        <v/>
      </c>
      <c r="FP39" s="231">
        <f>FO39-FL39</f>
        <v/>
      </c>
      <c r="FQ39" s="232">
        <f>IF(FL39=0,"",FO39/FL39)</f>
        <v/>
      </c>
      <c r="FR39" s="25" t="n"/>
      <c r="FS39" s="227">
        <f>FS40</f>
        <v/>
      </c>
      <c r="FT39" s="227">
        <f>FT40</f>
        <v/>
      </c>
      <c r="FU39" s="227">
        <f>FS39+FT39</f>
        <v/>
      </c>
      <c r="FV39" s="227">
        <f>FV40</f>
        <v/>
      </c>
      <c r="FW39" s="227">
        <f>FW40</f>
        <v/>
      </c>
      <c r="FX39" s="227">
        <f>FV39+FW39</f>
        <v/>
      </c>
      <c r="FY39" s="228">
        <f>FX39-FU39</f>
        <v/>
      </c>
      <c r="FZ39" s="229">
        <f>IF(FU39=0,"",FX39/FU39)</f>
        <v/>
      </c>
      <c r="GA39" s="18" t="n"/>
      <c r="GB39" s="230">
        <f>GB40</f>
        <v/>
      </c>
      <c r="GC39" s="230">
        <f>GC40</f>
        <v/>
      </c>
      <c r="GD39" s="230">
        <f>GB39+GC39</f>
        <v/>
      </c>
      <c r="GE39" s="230">
        <f>GE40</f>
        <v/>
      </c>
      <c r="GF39" s="230">
        <f>GF40</f>
        <v/>
      </c>
      <c r="GG39" s="230">
        <f>GE39+GF39</f>
        <v/>
      </c>
      <c r="GH39" s="231">
        <f>GG39-GD39</f>
        <v/>
      </c>
      <c r="GI39" s="232">
        <f>IF(GD39=0,"",GG39/GD39)</f>
        <v/>
      </c>
      <c r="GJ39" s="25" t="n"/>
      <c r="GK39" s="227">
        <f>GK40</f>
        <v/>
      </c>
      <c r="GL39" s="227">
        <f>GL40</f>
        <v/>
      </c>
      <c r="GM39" s="227">
        <f>GK39+GL39</f>
        <v/>
      </c>
      <c r="GN39" s="227">
        <f>GN40</f>
        <v/>
      </c>
      <c r="GO39" s="227">
        <f>GO40</f>
        <v/>
      </c>
      <c r="GP39" s="227">
        <f>GN39+GO39</f>
        <v/>
      </c>
      <c r="GQ39" s="228">
        <f>GP39-GM39</f>
        <v/>
      </c>
      <c r="GR39" s="229">
        <f>IF(GM39=0,"",GP39/GM39)</f>
        <v/>
      </c>
      <c r="GS39" s="18" t="n"/>
      <c r="GT39" s="230">
        <f>GT40</f>
        <v/>
      </c>
      <c r="GU39" s="230">
        <f>GU40</f>
        <v/>
      </c>
      <c r="GV39" s="230">
        <f>GT39+GU39</f>
        <v/>
      </c>
      <c r="GW39" s="230">
        <f>GW40</f>
        <v/>
      </c>
      <c r="GX39" s="230">
        <f>GX40</f>
        <v/>
      </c>
      <c r="GY39" s="230">
        <f>GW39+GX39</f>
        <v/>
      </c>
      <c r="GZ39" s="231">
        <f>GY39-GV39</f>
        <v/>
      </c>
      <c r="HA39" s="232">
        <f>IF(GV39=0,"",GY39/GV39)</f>
        <v/>
      </c>
      <c r="HB39" s="25" t="n"/>
      <c r="HC39" s="227">
        <f>GT39</f>
        <v/>
      </c>
      <c r="HD39" s="227">
        <f>GU39</f>
        <v/>
      </c>
      <c r="HE39" s="227">
        <f>HC39+HD39</f>
        <v/>
      </c>
    </row>
    <row r="40" outlineLevel="1" ht="15" customHeight="1" s="150">
      <c r="A40" s="26" t="n"/>
      <c r="B40" s="26" t="n"/>
      <c r="C40" s="26" t="n"/>
      <c r="D40" s="233" t="n"/>
      <c r="E40" s="233" t="n"/>
      <c r="F40" s="233">
        <f>D40+E40</f>
        <v/>
      </c>
      <c r="G40" s="233" t="n"/>
      <c r="H40" s="233" t="n"/>
      <c r="I40" s="233">
        <f>G40+H40</f>
        <v/>
      </c>
      <c r="J40" s="238">
        <f>I40-F40</f>
        <v/>
      </c>
      <c r="K40" s="235">
        <f>IF(F40=0,"",I40/F40)</f>
        <v/>
      </c>
      <c r="L40" s="26" t="n"/>
      <c r="M40" s="233" t="n"/>
      <c r="N40" s="233" t="n"/>
      <c r="O40" s="233">
        <f>M40+N40</f>
        <v/>
      </c>
      <c r="P40" s="233" t="n"/>
      <c r="Q40" s="233" t="n"/>
      <c r="R40" s="233">
        <f>P40+Q40</f>
        <v/>
      </c>
      <c r="S40" s="238">
        <f>R40-O40</f>
        <v/>
      </c>
      <c r="T40" s="235">
        <f>IF(O40=0,"",R40/O40)</f>
        <v/>
      </c>
      <c r="U40" s="26" t="n"/>
      <c r="V40" s="236">
        <f>D40+M40</f>
        <v/>
      </c>
      <c r="W40" s="236">
        <f>E40+N40</f>
        <v/>
      </c>
      <c r="X40" s="236">
        <f>V40+W40</f>
        <v/>
      </c>
      <c r="Y40" s="236">
        <f>G40+P40</f>
        <v/>
      </c>
      <c r="Z40" s="236">
        <f>H40+Q40</f>
        <v/>
      </c>
      <c r="AA40" s="236">
        <f>Y40+Z40</f>
        <v/>
      </c>
      <c r="AB40" s="239">
        <f>AA40-X40</f>
        <v/>
      </c>
      <c r="AC40" s="237">
        <f>IF(X40=0,"",AA40/X40)</f>
        <v/>
      </c>
      <c r="AD40" s="33" t="n"/>
      <c r="AE40" s="233" t="n"/>
      <c r="AF40" s="233" t="n"/>
      <c r="AG40" s="233">
        <f>AE40+AF40</f>
        <v/>
      </c>
      <c r="AH40" s="233" t="n"/>
      <c r="AI40" s="233" t="n"/>
      <c r="AJ40" s="233">
        <f>AH40+AI40</f>
        <v/>
      </c>
      <c r="AK40" s="234">
        <f>AJ40-AG40</f>
        <v/>
      </c>
      <c r="AL40" s="235">
        <f>IF(AG40=0,"",AJ40/AG40)</f>
        <v/>
      </c>
      <c r="AM40" s="26" t="n"/>
      <c r="AN40" s="236">
        <f>V40+AE40</f>
        <v/>
      </c>
      <c r="AO40" s="236">
        <f>W40+AF40</f>
        <v/>
      </c>
      <c r="AP40" s="236">
        <f>AN40+AO40</f>
        <v/>
      </c>
      <c r="AQ40" s="236">
        <f>Y40+AH40</f>
        <v/>
      </c>
      <c r="AR40" s="236">
        <f>Z40+AI40</f>
        <v/>
      </c>
      <c r="AS40" s="236">
        <f>AQ40+AR40</f>
        <v/>
      </c>
      <c r="AT40" s="234">
        <f>AS40-AP40</f>
        <v/>
      </c>
      <c r="AU40" s="237">
        <f>IF(AP40=0,"",AS40/AP40)</f>
        <v/>
      </c>
      <c r="AV40" s="33" t="n"/>
      <c r="AW40" s="233" t="n"/>
      <c r="AX40" s="233" t="n"/>
      <c r="AY40" s="233">
        <f>AW40+AX40</f>
        <v/>
      </c>
      <c r="AZ40" s="233" t="n"/>
      <c r="BA40" s="233" t="n"/>
      <c r="BB40" s="233">
        <f>AZ40+BA40</f>
        <v/>
      </c>
      <c r="BC40" s="238">
        <f>BB40-AY40</f>
        <v/>
      </c>
      <c r="BD40" s="235">
        <f>IF(AY40=0,"",BB40/AY40)</f>
        <v/>
      </c>
      <c r="BE40" s="26" t="n"/>
      <c r="BF40" s="236">
        <f>AN40+AW40</f>
        <v/>
      </c>
      <c r="BG40" s="236">
        <f>AO40+AX40</f>
        <v/>
      </c>
      <c r="BH40" s="236">
        <f>BF40+BG40</f>
        <v/>
      </c>
      <c r="BI40" s="236">
        <f>AQ40+AZ40</f>
        <v/>
      </c>
      <c r="BJ40" s="236">
        <f>AR40+BA40</f>
        <v/>
      </c>
      <c r="BK40" s="236">
        <f>BI40+BJ40</f>
        <v/>
      </c>
      <c r="BL40" s="239">
        <f>BK40-BH40</f>
        <v/>
      </c>
      <c r="BM40" s="237">
        <f>IF(BH40=0,"",BK40/BH40)</f>
        <v/>
      </c>
      <c r="BN40" s="33" t="n"/>
      <c r="BO40" s="233" t="n"/>
      <c r="BP40" s="233" t="n"/>
      <c r="BQ40" s="233">
        <f>BO40+BP40</f>
        <v/>
      </c>
      <c r="BR40" s="233" t="n"/>
      <c r="BS40" s="233" t="n"/>
      <c r="BT40" s="233">
        <f>BR40+BS40</f>
        <v/>
      </c>
      <c r="BU40" s="238">
        <f>BT40-BQ40</f>
        <v/>
      </c>
      <c r="BV40" s="235">
        <f>IF(BQ40=0,"",BT40/BQ40)</f>
        <v/>
      </c>
      <c r="BW40" s="26" t="n"/>
      <c r="BX40" s="236">
        <f>BF40+BO40</f>
        <v/>
      </c>
      <c r="BY40" s="236">
        <f>BG40+BP40</f>
        <v/>
      </c>
      <c r="BZ40" s="236">
        <f>BX40+BY40</f>
        <v/>
      </c>
      <c r="CA40" s="236">
        <f>BI40+BR40</f>
        <v/>
      </c>
      <c r="CB40" s="236">
        <f>BJ40+BS40</f>
        <v/>
      </c>
      <c r="CC40" s="236">
        <f>CA40+CB40</f>
        <v/>
      </c>
      <c r="CD40" s="239">
        <f>CC40-BZ40</f>
        <v/>
      </c>
      <c r="CE40" s="237">
        <f>IF(BZ40=0,"",CC40/BZ40)</f>
        <v/>
      </c>
      <c r="CF40" s="33" t="n"/>
      <c r="CG40" s="233" t="n"/>
      <c r="CH40" s="233" t="n"/>
      <c r="CI40" s="233">
        <f>CG40+CH40</f>
        <v/>
      </c>
      <c r="CJ40" s="233" t="n"/>
      <c r="CK40" s="233" t="n"/>
      <c r="CL40" s="233">
        <f>CJ40+CK40</f>
        <v/>
      </c>
      <c r="CM40" s="238">
        <f>CL40-CI40</f>
        <v/>
      </c>
      <c r="CN40" s="235">
        <f>IF(CI40=0,"",CL40/CI40)</f>
        <v/>
      </c>
      <c r="CO40" s="26" t="n"/>
      <c r="CP40" s="236">
        <f>BX40+CG40</f>
        <v/>
      </c>
      <c r="CQ40" s="236">
        <f>BY40+CH40</f>
        <v/>
      </c>
      <c r="CR40" s="236">
        <f>CP40+CQ40</f>
        <v/>
      </c>
      <c r="CS40" s="236">
        <f>CA40+CJ40</f>
        <v/>
      </c>
      <c r="CT40" s="236">
        <f>CB40+CK40</f>
        <v/>
      </c>
      <c r="CU40" s="236">
        <f>CS40+CT40</f>
        <v/>
      </c>
      <c r="CV40" s="239">
        <f>CU40-CR40</f>
        <v/>
      </c>
      <c r="CW40" s="237">
        <f>IF(CR40=0,"",CU40/CR40)</f>
        <v/>
      </c>
      <c r="CX40" s="33" t="n"/>
      <c r="CY40" s="233" t="n"/>
      <c r="CZ40" s="233" t="n"/>
      <c r="DA40" s="233">
        <f>CY40+CZ40</f>
        <v/>
      </c>
      <c r="DB40" s="233" t="n"/>
      <c r="DC40" s="233" t="n"/>
      <c r="DD40" s="233">
        <f>DB40+DC40</f>
        <v/>
      </c>
      <c r="DE40" s="238">
        <f>DD40-DA40</f>
        <v/>
      </c>
      <c r="DF40" s="235">
        <f>IF(DA40=0,"",DD40/DA40)</f>
        <v/>
      </c>
      <c r="DG40" s="26" t="n"/>
      <c r="DH40" s="236">
        <f>CP40+CY40</f>
        <v/>
      </c>
      <c r="DI40" s="236">
        <f>CQ40+CZ40</f>
        <v/>
      </c>
      <c r="DJ40" s="236">
        <f>DH40+DI40</f>
        <v/>
      </c>
      <c r="DK40" s="236">
        <f>CS40+DB40</f>
        <v/>
      </c>
      <c r="DL40" s="236">
        <f>CT40+DC40</f>
        <v/>
      </c>
      <c r="DM40" s="236">
        <f>DK40+DL40</f>
        <v/>
      </c>
      <c r="DN40" s="239">
        <f>DM40-DJ40</f>
        <v/>
      </c>
      <c r="DO40" s="237">
        <f>IF(DJ40=0,"",DM40/DJ40)</f>
        <v/>
      </c>
      <c r="DP40" s="33" t="n"/>
      <c r="DQ40" s="233" t="n"/>
      <c r="DR40" s="233" t="n"/>
      <c r="DS40" s="233">
        <f>DQ40+DR40</f>
        <v/>
      </c>
      <c r="DT40" s="233" t="n"/>
      <c r="DU40" s="233" t="n"/>
      <c r="DV40" s="233">
        <f>DT40+DU40</f>
        <v/>
      </c>
      <c r="DW40" s="238">
        <f>DV40-DS40</f>
        <v/>
      </c>
      <c r="DX40" s="235">
        <f>IF(DS40=0,"",DV40/DS40)</f>
        <v/>
      </c>
      <c r="DY40" s="26" t="n"/>
      <c r="DZ40" s="236">
        <f>DH40+DQ40</f>
        <v/>
      </c>
      <c r="EA40" s="236">
        <f>DI40+DR40</f>
        <v/>
      </c>
      <c r="EB40" s="236">
        <f>DZ40+EA40</f>
        <v/>
      </c>
      <c r="EC40" s="236">
        <f>DK40+DT40</f>
        <v/>
      </c>
      <c r="ED40" s="236">
        <f>DL40+DU40</f>
        <v/>
      </c>
      <c r="EE40" s="236">
        <f>EC40+ED40</f>
        <v/>
      </c>
      <c r="EF40" s="239">
        <f>EE40-EB40</f>
        <v/>
      </c>
      <c r="EG40" s="237">
        <f>IF(EB40=0,"",EE40/EB40)</f>
        <v/>
      </c>
      <c r="EH40" s="33" t="n"/>
      <c r="EI40" s="233" t="n"/>
      <c r="EJ40" s="233" t="n"/>
      <c r="EK40" s="233">
        <f>EI40+EJ40</f>
        <v/>
      </c>
      <c r="EL40" s="233" t="n"/>
      <c r="EM40" s="233" t="n"/>
      <c r="EN40" s="233">
        <f>EL40+EM40</f>
        <v/>
      </c>
      <c r="EO40" s="238">
        <f>EN40-EK40</f>
        <v/>
      </c>
      <c r="EP40" s="235">
        <f>IF(EK40=0,"",EN40/EK40)</f>
        <v/>
      </c>
      <c r="EQ40" s="26" t="n"/>
      <c r="ER40" s="236">
        <f>DZ40+EI40</f>
        <v/>
      </c>
      <c r="ES40" s="236">
        <f>EA40+EJ40</f>
        <v/>
      </c>
      <c r="ET40" s="236">
        <f>ER40+ES40</f>
        <v/>
      </c>
      <c r="EU40" s="236">
        <f>EC40+EL40</f>
        <v/>
      </c>
      <c r="EV40" s="236">
        <f>ED40+EM40</f>
        <v/>
      </c>
      <c r="EW40" s="236">
        <f>EU40+EV40</f>
        <v/>
      </c>
      <c r="EX40" s="239">
        <f>EW40-ET40</f>
        <v/>
      </c>
      <c r="EY40" s="237">
        <f>IF(ET40=0,"",EW40/ET40)</f>
        <v/>
      </c>
      <c r="EZ40" s="33" t="n"/>
      <c r="FA40" s="233" t="n"/>
      <c r="FB40" s="233" t="n"/>
      <c r="FC40" s="233">
        <f>FA40+FB40</f>
        <v/>
      </c>
      <c r="FD40" s="233" t="n"/>
      <c r="FE40" s="233" t="n"/>
      <c r="FF40" s="233">
        <f>FD40+FE40</f>
        <v/>
      </c>
      <c r="FG40" s="238">
        <f>FF40-FC40</f>
        <v/>
      </c>
      <c r="FH40" s="235">
        <f>IF(FC40=0,"",FF40/FC40)</f>
        <v/>
      </c>
      <c r="FI40" s="26" t="n"/>
      <c r="FJ40" s="236">
        <f>ER40+FA40</f>
        <v/>
      </c>
      <c r="FK40" s="236">
        <f>ES40+FB40</f>
        <v/>
      </c>
      <c r="FL40" s="236">
        <f>FJ40+FK40</f>
        <v/>
      </c>
      <c r="FM40" s="236">
        <f>EU40+FD40</f>
        <v/>
      </c>
      <c r="FN40" s="236">
        <f>EV40+FE40</f>
        <v/>
      </c>
      <c r="FO40" s="236">
        <f>FM40+FN40</f>
        <v/>
      </c>
      <c r="FP40" s="239">
        <f>FO40-FL40</f>
        <v/>
      </c>
      <c r="FQ40" s="237">
        <f>IF(FL40=0,"",FO40/FL40)</f>
        <v/>
      </c>
      <c r="FR40" s="33" t="n"/>
      <c r="FS40" s="233" t="n"/>
      <c r="FT40" s="233" t="n"/>
      <c r="FU40" s="233">
        <f>FS40+FT40</f>
        <v/>
      </c>
      <c r="FV40" s="233" t="n"/>
      <c r="FW40" s="233" t="n"/>
      <c r="FX40" s="233">
        <f>FV40+FW40</f>
        <v/>
      </c>
      <c r="FY40" s="238">
        <f>FX40-FU40</f>
        <v/>
      </c>
      <c r="FZ40" s="235">
        <f>IF(FU40=0,"",FX40/FU40)</f>
        <v/>
      </c>
      <c r="GA40" s="26" t="n"/>
      <c r="GB40" s="236">
        <f>FJ40+FS40</f>
        <v/>
      </c>
      <c r="GC40" s="236">
        <f>FK40+FT40</f>
        <v/>
      </c>
      <c r="GD40" s="236">
        <f>GB40+GC40</f>
        <v/>
      </c>
      <c r="GE40" s="236">
        <f>FM40+FV40</f>
        <v/>
      </c>
      <c r="GF40" s="236">
        <f>FN40+FW40</f>
        <v/>
      </c>
      <c r="GG40" s="236">
        <f>GE40+GF40</f>
        <v/>
      </c>
      <c r="GH40" s="239">
        <f>GG40-GD40</f>
        <v/>
      </c>
      <c r="GI40" s="237">
        <f>IF(GD40=0,"",GG40/GD40)</f>
        <v/>
      </c>
      <c r="GJ40" s="33" t="n"/>
      <c r="GK40" s="233" t="n"/>
      <c r="GL40" s="233" t="n"/>
      <c r="GM40" s="233">
        <f>GK40+GL40</f>
        <v/>
      </c>
      <c r="GN40" s="233" t="n"/>
      <c r="GO40" s="233" t="n"/>
      <c r="GP40" s="233">
        <f>GN40+GO40</f>
        <v/>
      </c>
      <c r="GQ40" s="238">
        <f>GP40-GM40</f>
        <v/>
      </c>
      <c r="GR40" s="235">
        <f>IF(GM40=0,"",GP40/GM40)</f>
        <v/>
      </c>
      <c r="GS40" s="26" t="n"/>
      <c r="GT40" s="236">
        <f>GB40+GK40</f>
        <v/>
      </c>
      <c r="GU40" s="236">
        <f>GC40+GL40</f>
        <v/>
      </c>
      <c r="GV40" s="236">
        <f>GT40+GU40</f>
        <v/>
      </c>
      <c r="GW40" s="236">
        <f>GE40+GN40</f>
        <v/>
      </c>
      <c r="GX40" s="236">
        <f>GF40+GO40</f>
        <v/>
      </c>
      <c r="GY40" s="236">
        <f>GW40+GX40</f>
        <v/>
      </c>
      <c r="GZ40" s="239">
        <f>GY40-GV40</f>
        <v/>
      </c>
      <c r="HA40" s="237">
        <f>IF(GV40=0,"",GY40/GV40)</f>
        <v/>
      </c>
      <c r="HB40" s="33" t="n"/>
      <c r="HC40" s="233">
        <f>GT40</f>
        <v/>
      </c>
      <c r="HD40" s="233">
        <f>GU40</f>
        <v/>
      </c>
      <c r="HE40" s="233">
        <f>HC40+HD40</f>
        <v/>
      </c>
    </row>
    <row r="41" ht="15" customHeight="1" s="150">
      <c r="A41" s="18" t="n"/>
      <c r="B41" s="18" t="n"/>
      <c r="C41" s="18" t="n"/>
      <c r="D41" s="227">
        <f>SUM(D42:D44)</f>
        <v/>
      </c>
      <c r="E41" s="227">
        <f>SUM(E42:E44)</f>
        <v/>
      </c>
      <c r="F41" s="227">
        <f>D41+E41</f>
        <v/>
      </c>
      <c r="G41" s="227">
        <f>SUM(G42:G44)</f>
        <v/>
      </c>
      <c r="H41" s="227">
        <f>SUM(H42:H44)</f>
        <v/>
      </c>
      <c r="I41" s="227">
        <f>G41+H41</f>
        <v/>
      </c>
      <c r="J41" s="228">
        <f>I41-F41</f>
        <v/>
      </c>
      <c r="K41" s="229">
        <f>IF(F41=0,"",I41/F41)</f>
        <v/>
      </c>
      <c r="L41" s="18" t="n"/>
      <c r="M41" s="227">
        <f>SUM(M42:M44)</f>
        <v/>
      </c>
      <c r="N41" s="227">
        <f>SUM(N42:N44)</f>
        <v/>
      </c>
      <c r="O41" s="227">
        <f>M41+N41</f>
        <v/>
      </c>
      <c r="P41" s="227">
        <f>SUM(P42:P44)</f>
        <v/>
      </c>
      <c r="Q41" s="227">
        <f>SUM(Q42:Q44)</f>
        <v/>
      </c>
      <c r="R41" s="227">
        <f>P41+Q41</f>
        <v/>
      </c>
      <c r="S41" s="228">
        <f>R41-O41</f>
        <v/>
      </c>
      <c r="T41" s="229">
        <f>IF(O41=0,"",R41/O41)</f>
        <v/>
      </c>
      <c r="U41" s="18" t="n"/>
      <c r="V41" s="230">
        <f>SUM(V42:V44)</f>
        <v/>
      </c>
      <c r="W41" s="230">
        <f>SUM(W42:W44)</f>
        <v/>
      </c>
      <c r="X41" s="230">
        <f>V41+W41</f>
        <v/>
      </c>
      <c r="Y41" s="230">
        <f>SUM(Y42:Y44)</f>
        <v/>
      </c>
      <c r="Z41" s="230">
        <f>SUM(Z42:Z44)</f>
        <v/>
      </c>
      <c r="AA41" s="230">
        <f>Y41+Z41</f>
        <v/>
      </c>
      <c r="AB41" s="231">
        <f>AA41-X41</f>
        <v/>
      </c>
      <c r="AC41" s="232">
        <f>IF(X41=0,"",AA41/X41)</f>
        <v/>
      </c>
      <c r="AD41" s="25" t="n"/>
      <c r="AE41" s="227">
        <f>SUM(AE42:AE44)</f>
        <v/>
      </c>
      <c r="AF41" s="227">
        <f>SUM(AF42:AF44)</f>
        <v/>
      </c>
      <c r="AG41" s="227">
        <f>AE41+AF41</f>
        <v/>
      </c>
      <c r="AH41" s="227">
        <f>SUM(AH42:AH44)</f>
        <v/>
      </c>
      <c r="AI41" s="227">
        <f>SUM(AI42:AI44)</f>
        <v/>
      </c>
      <c r="AJ41" s="227">
        <f>AH41+AI41</f>
        <v/>
      </c>
      <c r="AK41" s="228">
        <f>AJ41-AG41</f>
        <v/>
      </c>
      <c r="AL41" s="229">
        <f>IF(AG41=0,"",AJ41/AG41)</f>
        <v/>
      </c>
      <c r="AM41" s="18" t="n"/>
      <c r="AN41" s="230">
        <f>SUM(AN42:AN44)</f>
        <v/>
      </c>
      <c r="AO41" s="230">
        <f>SUM(AO42:AO44)</f>
        <v/>
      </c>
      <c r="AP41" s="230">
        <f>AN41+AO41</f>
        <v/>
      </c>
      <c r="AQ41" s="230">
        <f>SUM(AQ42:AQ44)</f>
        <v/>
      </c>
      <c r="AR41" s="230">
        <f>SUM(AR42:AR44)</f>
        <v/>
      </c>
      <c r="AS41" s="230">
        <f>AQ41+AR41</f>
        <v/>
      </c>
      <c r="AT41" s="231">
        <f>AS41-AP41</f>
        <v/>
      </c>
      <c r="AU41" s="232">
        <f>IF(AP41=0,"",AS41/AP41)</f>
        <v/>
      </c>
      <c r="AV41" s="25" t="n"/>
      <c r="AW41" s="227">
        <f>SUM(AW42:AW44)</f>
        <v/>
      </c>
      <c r="AX41" s="227">
        <f>SUM(AX42:AX44)</f>
        <v/>
      </c>
      <c r="AY41" s="227">
        <f>AW41+AX41</f>
        <v/>
      </c>
      <c r="AZ41" s="227">
        <f>SUM(AZ42:AZ44)</f>
        <v/>
      </c>
      <c r="BA41" s="227">
        <f>SUM(BA42:BA44)</f>
        <v/>
      </c>
      <c r="BB41" s="227">
        <f>AZ41+BA41</f>
        <v/>
      </c>
      <c r="BC41" s="228">
        <f>BB41-AY41</f>
        <v/>
      </c>
      <c r="BD41" s="229">
        <f>IF(AY41=0,"",BB41/AY41)</f>
        <v/>
      </c>
      <c r="BE41" s="18" t="n"/>
      <c r="BF41" s="230">
        <f>SUM(BF42:BF44)</f>
        <v/>
      </c>
      <c r="BG41" s="230">
        <f>SUM(BG42:BG44)</f>
        <v/>
      </c>
      <c r="BH41" s="230">
        <f>BF41+BG41</f>
        <v/>
      </c>
      <c r="BI41" s="230">
        <f>SUM(BI42:BI44)</f>
        <v/>
      </c>
      <c r="BJ41" s="230">
        <f>SUM(BJ42:BJ44)</f>
        <v/>
      </c>
      <c r="BK41" s="230">
        <f>BI41+BJ41</f>
        <v/>
      </c>
      <c r="BL41" s="231">
        <f>BK41-BH41</f>
        <v/>
      </c>
      <c r="BM41" s="232">
        <f>IF(BH41=0,"",BK41/BH41)</f>
        <v/>
      </c>
      <c r="BN41" s="25" t="n"/>
      <c r="BO41" s="227">
        <f>SUM(BO42:BO44)</f>
        <v/>
      </c>
      <c r="BP41" s="227">
        <f>SUM(BP42:BP44)</f>
        <v/>
      </c>
      <c r="BQ41" s="227">
        <f>BO41+BP41</f>
        <v/>
      </c>
      <c r="BR41" s="227">
        <f>SUM(BR42:BR44)</f>
        <v/>
      </c>
      <c r="BS41" s="227">
        <f>SUM(BS42:BS44)</f>
        <v/>
      </c>
      <c r="BT41" s="227">
        <f>BR41+BS41</f>
        <v/>
      </c>
      <c r="BU41" s="228">
        <f>BT41-BQ41</f>
        <v/>
      </c>
      <c r="BV41" s="229">
        <f>IF(BQ41=0,"",BT41/BQ41)</f>
        <v/>
      </c>
      <c r="BW41" s="18" t="n"/>
      <c r="BX41" s="230">
        <f>SUM(BX42:BX44)</f>
        <v/>
      </c>
      <c r="BY41" s="230">
        <f>SUM(BY42:BY44)</f>
        <v/>
      </c>
      <c r="BZ41" s="230">
        <f>BX41+BY41</f>
        <v/>
      </c>
      <c r="CA41" s="230">
        <f>SUM(CA42:CA44)</f>
        <v/>
      </c>
      <c r="CB41" s="230">
        <f>SUM(CB42:CB44)</f>
        <v/>
      </c>
      <c r="CC41" s="230">
        <f>CA41+CB41</f>
        <v/>
      </c>
      <c r="CD41" s="231">
        <f>CC41-BZ41</f>
        <v/>
      </c>
      <c r="CE41" s="232">
        <f>IF(BZ41=0,"",CC41/BZ41)</f>
        <v/>
      </c>
      <c r="CF41" s="25" t="n"/>
      <c r="CG41" s="227">
        <f>SUM(CG42:CG44)</f>
        <v/>
      </c>
      <c r="CH41" s="227">
        <f>SUM(CH42:CH44)</f>
        <v/>
      </c>
      <c r="CI41" s="227">
        <f>CG41+CH41</f>
        <v/>
      </c>
      <c r="CJ41" s="227">
        <f>SUM(CJ42:CJ44)</f>
        <v/>
      </c>
      <c r="CK41" s="227">
        <f>SUM(CK42:CK44)</f>
        <v/>
      </c>
      <c r="CL41" s="227">
        <f>CJ41+CK41</f>
        <v/>
      </c>
      <c r="CM41" s="228">
        <f>CL41-CI41</f>
        <v/>
      </c>
      <c r="CN41" s="229">
        <f>IF(CI41=0,"",CL41/CI41)</f>
        <v/>
      </c>
      <c r="CO41" s="18" t="n"/>
      <c r="CP41" s="230">
        <f>SUM(CP42:CP44)</f>
        <v/>
      </c>
      <c r="CQ41" s="230">
        <f>SUM(CQ42:CQ44)</f>
        <v/>
      </c>
      <c r="CR41" s="230">
        <f>CP41+CQ41</f>
        <v/>
      </c>
      <c r="CS41" s="230">
        <f>SUM(CS42:CS44)</f>
        <v/>
      </c>
      <c r="CT41" s="230">
        <f>SUM(CT42:CT44)</f>
        <v/>
      </c>
      <c r="CU41" s="230">
        <f>CS41+CT41</f>
        <v/>
      </c>
      <c r="CV41" s="231">
        <f>CU41-CR41</f>
        <v/>
      </c>
      <c r="CW41" s="232">
        <f>IF(CR41=0,"",CU41/CR41)</f>
        <v/>
      </c>
      <c r="CX41" s="25" t="n"/>
      <c r="CY41" s="227">
        <f>SUM(CY42:CY44)</f>
        <v/>
      </c>
      <c r="CZ41" s="227">
        <f>SUM(CZ42:CZ44)</f>
        <v/>
      </c>
      <c r="DA41" s="227">
        <f>CY41+CZ41</f>
        <v/>
      </c>
      <c r="DB41" s="227">
        <f>SUM(DB42:DB44)</f>
        <v/>
      </c>
      <c r="DC41" s="227">
        <f>SUM(DC42:DC44)</f>
        <v/>
      </c>
      <c r="DD41" s="227">
        <f>DB41+DC41</f>
        <v/>
      </c>
      <c r="DE41" s="228">
        <f>DD41-DA41</f>
        <v/>
      </c>
      <c r="DF41" s="229">
        <f>IF(DA41=0,"",DD41/DA41)</f>
        <v/>
      </c>
      <c r="DG41" s="18" t="n"/>
      <c r="DH41" s="230">
        <f>SUM(DH42:DH44)</f>
        <v/>
      </c>
      <c r="DI41" s="230">
        <f>SUM(DI42:DI44)</f>
        <v/>
      </c>
      <c r="DJ41" s="230">
        <f>DH41+DI41</f>
        <v/>
      </c>
      <c r="DK41" s="230">
        <f>SUM(DK42:DK44)</f>
        <v/>
      </c>
      <c r="DL41" s="230">
        <f>SUM(DL42:DL44)</f>
        <v/>
      </c>
      <c r="DM41" s="230">
        <f>DK41+DL41</f>
        <v/>
      </c>
      <c r="DN41" s="231">
        <f>DM41-DJ41</f>
        <v/>
      </c>
      <c r="DO41" s="232">
        <f>IF(DJ41=0,"",DM41/DJ41)</f>
        <v/>
      </c>
      <c r="DP41" s="25" t="n"/>
      <c r="DQ41" s="227">
        <f>SUM(DQ42:DQ44)</f>
        <v/>
      </c>
      <c r="DR41" s="227">
        <f>SUM(DR42:DR44)</f>
        <v/>
      </c>
      <c r="DS41" s="227">
        <f>DQ41+DR41</f>
        <v/>
      </c>
      <c r="DT41" s="227">
        <f>SUM(DT42:DT44)</f>
        <v/>
      </c>
      <c r="DU41" s="227">
        <f>SUM(DU42:DU44)</f>
        <v/>
      </c>
      <c r="DV41" s="227">
        <f>DT41+DU41</f>
        <v/>
      </c>
      <c r="DW41" s="228">
        <f>DV41-DS41</f>
        <v/>
      </c>
      <c r="DX41" s="229">
        <f>IF(DS41=0,"",DV41/DS41)</f>
        <v/>
      </c>
      <c r="DY41" s="18" t="n"/>
      <c r="DZ41" s="230">
        <f>SUM(DZ42:DZ44)</f>
        <v/>
      </c>
      <c r="EA41" s="230">
        <f>SUM(EA42:EA44)</f>
        <v/>
      </c>
      <c r="EB41" s="230">
        <f>DZ41+EA41</f>
        <v/>
      </c>
      <c r="EC41" s="230">
        <f>SUM(EC42:EC44)</f>
        <v/>
      </c>
      <c r="ED41" s="230">
        <f>SUM(ED42:ED44)</f>
        <v/>
      </c>
      <c r="EE41" s="230">
        <f>EC41+ED41</f>
        <v/>
      </c>
      <c r="EF41" s="231">
        <f>EE41-EB41</f>
        <v/>
      </c>
      <c r="EG41" s="232">
        <f>IF(EB41=0,"",EE41/EB41)</f>
        <v/>
      </c>
      <c r="EH41" s="25" t="n"/>
      <c r="EI41" s="227">
        <f>SUM(EI42:EI44)</f>
        <v/>
      </c>
      <c r="EJ41" s="227">
        <f>SUM(EJ42:EJ44)</f>
        <v/>
      </c>
      <c r="EK41" s="227">
        <f>EI41+EJ41</f>
        <v/>
      </c>
      <c r="EL41" s="227">
        <f>SUM(EL42:EL44)</f>
        <v/>
      </c>
      <c r="EM41" s="227">
        <f>SUM(EM42:EM44)</f>
        <v/>
      </c>
      <c r="EN41" s="227">
        <f>EL41+EM41</f>
        <v/>
      </c>
      <c r="EO41" s="228">
        <f>EN41-EK41</f>
        <v/>
      </c>
      <c r="EP41" s="229">
        <f>IF(EK41=0,"",EN41/EK41)</f>
        <v/>
      </c>
      <c r="EQ41" s="18" t="n"/>
      <c r="ER41" s="230">
        <f>SUM(ER42:ER44)</f>
        <v/>
      </c>
      <c r="ES41" s="230">
        <f>SUM(ES42:ES44)</f>
        <v/>
      </c>
      <c r="ET41" s="230">
        <f>ER41+ES41</f>
        <v/>
      </c>
      <c r="EU41" s="230">
        <f>SUM(EU42:EU44)</f>
        <v/>
      </c>
      <c r="EV41" s="230">
        <f>SUM(EV42:EV44)</f>
        <v/>
      </c>
      <c r="EW41" s="230">
        <f>EU41+EV41</f>
        <v/>
      </c>
      <c r="EX41" s="231">
        <f>EW41-ET41</f>
        <v/>
      </c>
      <c r="EY41" s="232">
        <f>IF(ET41=0,"",EW41/ET41)</f>
        <v/>
      </c>
      <c r="EZ41" s="25" t="n"/>
      <c r="FA41" s="227">
        <f>SUM(FA42:FA44)</f>
        <v/>
      </c>
      <c r="FB41" s="227">
        <f>SUM(FB42:FB44)</f>
        <v/>
      </c>
      <c r="FC41" s="227">
        <f>FA41+FB41</f>
        <v/>
      </c>
      <c r="FD41" s="227">
        <f>SUM(FD42:FD44)</f>
        <v/>
      </c>
      <c r="FE41" s="227">
        <f>SUM(FE42:FE44)</f>
        <v/>
      </c>
      <c r="FF41" s="227">
        <f>FD41+FE41</f>
        <v/>
      </c>
      <c r="FG41" s="228">
        <f>FF41-FC41</f>
        <v/>
      </c>
      <c r="FH41" s="229">
        <f>IF(FC41=0,"",FF41/FC41)</f>
        <v/>
      </c>
      <c r="FI41" s="18" t="n"/>
      <c r="FJ41" s="230">
        <f>SUM(FJ42:FJ44)</f>
        <v/>
      </c>
      <c r="FK41" s="230">
        <f>SUM(FK42:FK44)</f>
        <v/>
      </c>
      <c r="FL41" s="230">
        <f>FJ41+FK41</f>
        <v/>
      </c>
      <c r="FM41" s="230">
        <f>SUM(FM42:FM44)</f>
        <v/>
      </c>
      <c r="FN41" s="230">
        <f>SUM(FN42:FN44)</f>
        <v/>
      </c>
      <c r="FO41" s="230">
        <f>FM41+FN41</f>
        <v/>
      </c>
      <c r="FP41" s="231">
        <f>FO41-FL41</f>
        <v/>
      </c>
      <c r="FQ41" s="232">
        <f>IF(FL41=0,"",FO41/FL41)</f>
        <v/>
      </c>
      <c r="FR41" s="25" t="n"/>
      <c r="FS41" s="227">
        <f>SUM(FS42:FS44)</f>
        <v/>
      </c>
      <c r="FT41" s="227">
        <f>SUM(FT42:FT44)</f>
        <v/>
      </c>
      <c r="FU41" s="227">
        <f>FS41+FT41</f>
        <v/>
      </c>
      <c r="FV41" s="227">
        <f>SUM(FV42:FV44)</f>
        <v/>
      </c>
      <c r="FW41" s="227">
        <f>SUM(FW42:FW44)</f>
        <v/>
      </c>
      <c r="FX41" s="227">
        <f>FV41+FW41</f>
        <v/>
      </c>
      <c r="FY41" s="228">
        <f>FX41-FU41</f>
        <v/>
      </c>
      <c r="FZ41" s="229">
        <f>IF(FU41=0,"",FX41/FU41)</f>
        <v/>
      </c>
      <c r="GA41" s="18" t="n"/>
      <c r="GB41" s="230">
        <f>SUM(GB42:GB44)</f>
        <v/>
      </c>
      <c r="GC41" s="230">
        <f>SUM(GC42:GC44)</f>
        <v/>
      </c>
      <c r="GD41" s="230">
        <f>GB41+GC41</f>
        <v/>
      </c>
      <c r="GE41" s="230">
        <f>SUM(GE42:GE44)</f>
        <v/>
      </c>
      <c r="GF41" s="230">
        <f>SUM(GF42:GF44)</f>
        <v/>
      </c>
      <c r="GG41" s="230">
        <f>GE41+GF41</f>
        <v/>
      </c>
      <c r="GH41" s="231">
        <f>GG41-GD41</f>
        <v/>
      </c>
      <c r="GI41" s="232">
        <f>IF(GD41=0,"",GG41/GD41)</f>
        <v/>
      </c>
      <c r="GJ41" s="25" t="n"/>
      <c r="GK41" s="227">
        <f>SUM(GK42:GK44)</f>
        <v/>
      </c>
      <c r="GL41" s="227">
        <f>SUM(GL42:GL44)</f>
        <v/>
      </c>
      <c r="GM41" s="227">
        <f>GK41+GL41</f>
        <v/>
      </c>
      <c r="GN41" s="227">
        <f>SUM(GN42:GN44)</f>
        <v/>
      </c>
      <c r="GO41" s="227">
        <f>SUM(GO42:GO44)</f>
        <v/>
      </c>
      <c r="GP41" s="227">
        <f>GN41+GO41</f>
        <v/>
      </c>
      <c r="GQ41" s="228">
        <f>GP41-GM41</f>
        <v/>
      </c>
      <c r="GR41" s="229">
        <f>IF(GM41=0,"",GP41/GM41)</f>
        <v/>
      </c>
      <c r="GS41" s="18" t="n"/>
      <c r="GT41" s="230">
        <f>SUM(GT42:GT44)</f>
        <v/>
      </c>
      <c r="GU41" s="230">
        <f>SUM(GU42:GU44)</f>
        <v/>
      </c>
      <c r="GV41" s="230">
        <f>GT41+GU41</f>
        <v/>
      </c>
      <c r="GW41" s="230">
        <f>SUM(GW42:GW44)</f>
        <v/>
      </c>
      <c r="GX41" s="230">
        <f>SUM(GX42:GX44)</f>
        <v/>
      </c>
      <c r="GY41" s="230">
        <f>GW41+GX41</f>
        <v/>
      </c>
      <c r="GZ41" s="231">
        <f>GY41-GV41</f>
        <v/>
      </c>
      <c r="HA41" s="232">
        <f>IF(GV41=0,"",GY41/GV41)</f>
        <v/>
      </c>
      <c r="HB41" s="25" t="n"/>
      <c r="HC41" s="227">
        <f>GT41</f>
        <v/>
      </c>
      <c r="HD41" s="227">
        <f>GU41</f>
        <v/>
      </c>
      <c r="HE41" s="227">
        <f>HC41+HD41</f>
        <v/>
      </c>
    </row>
    <row r="42" outlineLevel="1" ht="54.75" customHeight="1" s="150">
      <c r="A42" s="26" t="n"/>
      <c r="B42" s="26" t="n"/>
      <c r="C42" s="26" t="n"/>
      <c r="D42" s="233" t="n"/>
      <c r="E42" s="233" t="n"/>
      <c r="F42" s="233">
        <f>D42+E42</f>
        <v/>
      </c>
      <c r="G42" s="233" t="n"/>
      <c r="H42" s="233" t="n"/>
      <c r="I42" s="233">
        <f>G42+H42</f>
        <v/>
      </c>
      <c r="J42" s="238">
        <f>I42-F42</f>
        <v/>
      </c>
      <c r="K42" s="235">
        <f>IF(F42=0,"",I42/F42)</f>
        <v/>
      </c>
      <c r="L42" s="42" t="n"/>
      <c r="M42" s="233" t="n"/>
      <c r="N42" s="233" t="n"/>
      <c r="O42" s="233">
        <f>M42+N42</f>
        <v/>
      </c>
      <c r="P42" s="233" t="n"/>
      <c r="Q42" s="233" t="n"/>
      <c r="R42" s="233">
        <f>P42+Q42</f>
        <v/>
      </c>
      <c r="S42" s="238">
        <f>R42-O42</f>
        <v/>
      </c>
      <c r="T42" s="235">
        <f>IF(O42=0,"",R42/O42)</f>
        <v/>
      </c>
      <c r="U42" s="26" t="n"/>
      <c r="V42" s="236">
        <f>D42+M42</f>
        <v/>
      </c>
      <c r="W42" s="236">
        <f>E42+N42</f>
        <v/>
      </c>
      <c r="X42" s="236">
        <f>V42+W42</f>
        <v/>
      </c>
      <c r="Y42" s="236">
        <f>G42+P42</f>
        <v/>
      </c>
      <c r="Z42" s="236">
        <f>H42+Q42</f>
        <v/>
      </c>
      <c r="AA42" s="236">
        <f>Y42+Z42</f>
        <v/>
      </c>
      <c r="AB42" s="234">
        <f>AA42-X42</f>
        <v/>
      </c>
      <c r="AC42" s="237">
        <f>IF(X42=0,"",AA42/X42)</f>
        <v/>
      </c>
      <c r="AD42" s="44" t="n"/>
      <c r="AE42" s="233" t="n"/>
      <c r="AF42" s="233" t="n"/>
      <c r="AG42" s="233">
        <f>AE42+AF42</f>
        <v/>
      </c>
      <c r="AH42" s="233" t="n"/>
      <c r="AI42" s="233" t="n"/>
      <c r="AJ42" s="233">
        <f>AH42+AI42</f>
        <v/>
      </c>
      <c r="AK42" s="238">
        <f>AJ42-AG42</f>
        <v/>
      </c>
      <c r="AL42" s="235">
        <f>IF(AG42=0,"",AJ42/AG42)</f>
        <v/>
      </c>
      <c r="AM42" s="26" t="n"/>
      <c r="AN42" s="236">
        <f>V42+AE42</f>
        <v/>
      </c>
      <c r="AO42" s="236">
        <f>W42+AF42</f>
        <v/>
      </c>
      <c r="AP42" s="236">
        <f>AN42+AO42</f>
        <v/>
      </c>
      <c r="AQ42" s="236">
        <f>Y42+AH42</f>
        <v/>
      </c>
      <c r="AR42" s="236">
        <f>Z42+AI42</f>
        <v/>
      </c>
      <c r="AS42" s="236">
        <f>AQ42+AR42</f>
        <v/>
      </c>
      <c r="AT42" s="234">
        <f>AS42-AP42</f>
        <v/>
      </c>
      <c r="AU42" s="237">
        <f>IF(AP42=0,"",AS42/AP42)</f>
        <v/>
      </c>
      <c r="AV42" s="44" t="n"/>
      <c r="AW42" s="233" t="n"/>
      <c r="AX42" s="233" t="n"/>
      <c r="AY42" s="233">
        <f>AW42+AX42</f>
        <v/>
      </c>
      <c r="AZ42" s="233" t="n"/>
      <c r="BA42" s="233" t="n"/>
      <c r="BB42" s="233">
        <f>AZ42+BA42</f>
        <v/>
      </c>
      <c r="BC42" s="238">
        <f>BB42-AY42</f>
        <v/>
      </c>
      <c r="BD42" s="235">
        <f>IF(AY42=0,"",BB42/AY42)</f>
        <v/>
      </c>
      <c r="BE42" s="26" t="n"/>
      <c r="BF42" s="236">
        <f>AN42+AW42</f>
        <v/>
      </c>
      <c r="BG42" s="236">
        <f>AO42+AX42</f>
        <v/>
      </c>
      <c r="BH42" s="236">
        <f>BF42+BG42</f>
        <v/>
      </c>
      <c r="BI42" s="236">
        <f>AQ42+AZ42</f>
        <v/>
      </c>
      <c r="BJ42" s="236">
        <f>AR42+BA42</f>
        <v/>
      </c>
      <c r="BK42" s="236">
        <f>BI42+BJ42</f>
        <v/>
      </c>
      <c r="BL42" s="239">
        <f>BK42-BH42</f>
        <v/>
      </c>
      <c r="BM42" s="237">
        <f>IF(BH42=0,"",BK42/BH42)</f>
        <v/>
      </c>
      <c r="BN42" s="33" t="n"/>
      <c r="BO42" s="233" t="n"/>
      <c r="BP42" s="233" t="n"/>
      <c r="BQ42" s="233">
        <f>BO42+BP42</f>
        <v/>
      </c>
      <c r="BR42" s="233" t="n"/>
      <c r="BS42" s="233" t="n"/>
      <c r="BT42" s="233">
        <f>BR42+BS42</f>
        <v/>
      </c>
      <c r="BU42" s="238">
        <f>BT42-BQ42</f>
        <v/>
      </c>
      <c r="BV42" s="235">
        <f>IF(BQ42=0,"",BT42/BQ42)</f>
        <v/>
      </c>
      <c r="BW42" s="26" t="n"/>
      <c r="BX42" s="236">
        <f>BF42+BO42</f>
        <v/>
      </c>
      <c r="BY42" s="236">
        <f>BG42+BP42</f>
        <v/>
      </c>
      <c r="BZ42" s="236">
        <f>BX42+BY42</f>
        <v/>
      </c>
      <c r="CA42" s="236">
        <f>BI42+BR42</f>
        <v/>
      </c>
      <c r="CB42" s="236">
        <f>BJ42+BS42</f>
        <v/>
      </c>
      <c r="CC42" s="236">
        <f>CA42+CB42</f>
        <v/>
      </c>
      <c r="CD42" s="239">
        <f>CC42-BZ42</f>
        <v/>
      </c>
      <c r="CE42" s="237">
        <f>IF(BZ42=0,"",CC42/BZ42)</f>
        <v/>
      </c>
      <c r="CF42" s="33" t="n"/>
      <c r="CG42" s="233" t="n"/>
      <c r="CH42" s="233" t="n"/>
      <c r="CI42" s="233">
        <f>CG42+CH42</f>
        <v/>
      </c>
      <c r="CJ42" s="233" t="n"/>
      <c r="CK42" s="233" t="n"/>
      <c r="CL42" s="233">
        <f>CJ42+CK42</f>
        <v/>
      </c>
      <c r="CM42" s="238">
        <f>CL42-CI42</f>
        <v/>
      </c>
      <c r="CN42" s="235">
        <f>IF(CI42=0,"",CL42/CI42)</f>
        <v/>
      </c>
      <c r="CO42" s="26" t="n"/>
      <c r="CP42" s="236">
        <f>BX42+CG42</f>
        <v/>
      </c>
      <c r="CQ42" s="236">
        <f>BY42+CH42</f>
        <v/>
      </c>
      <c r="CR42" s="236">
        <f>CP42+CQ42</f>
        <v/>
      </c>
      <c r="CS42" s="236">
        <f>CA42+CJ42</f>
        <v/>
      </c>
      <c r="CT42" s="236">
        <f>CB42+CK42</f>
        <v/>
      </c>
      <c r="CU42" s="236">
        <f>CS42+CT42</f>
        <v/>
      </c>
      <c r="CV42" s="239">
        <f>CU42-CR42</f>
        <v/>
      </c>
      <c r="CW42" s="237">
        <f>IF(CR42=0,"",CU42/CR42)</f>
        <v/>
      </c>
      <c r="CX42" s="33" t="n"/>
      <c r="CY42" s="233" t="n"/>
      <c r="CZ42" s="233" t="n"/>
      <c r="DA42" s="233">
        <f>CY42+CZ42</f>
        <v/>
      </c>
      <c r="DB42" s="233" t="n"/>
      <c r="DC42" s="233" t="n"/>
      <c r="DD42" s="233">
        <f>DB42+DC42</f>
        <v/>
      </c>
      <c r="DE42" s="238">
        <f>DD42-DA42</f>
        <v/>
      </c>
      <c r="DF42" s="235">
        <f>IF(DA42=0,"",DD42/DA42)</f>
        <v/>
      </c>
      <c r="DG42" s="26" t="n"/>
      <c r="DH42" s="236">
        <f>CP42+CY42</f>
        <v/>
      </c>
      <c r="DI42" s="236">
        <f>CQ42+CZ42</f>
        <v/>
      </c>
      <c r="DJ42" s="236">
        <f>DH42+DI42</f>
        <v/>
      </c>
      <c r="DK42" s="236">
        <f>CS42+DB42</f>
        <v/>
      </c>
      <c r="DL42" s="236">
        <f>CT42+DC42</f>
        <v/>
      </c>
      <c r="DM42" s="236">
        <f>DK42+DL42</f>
        <v/>
      </c>
      <c r="DN42" s="239">
        <f>DM42-DJ42</f>
        <v/>
      </c>
      <c r="DO42" s="237">
        <f>IF(DJ42=0,"",DM42/DJ42)</f>
        <v/>
      </c>
      <c r="DP42" s="33" t="n"/>
      <c r="DQ42" s="233" t="n"/>
      <c r="DR42" s="233" t="n"/>
      <c r="DS42" s="233">
        <f>DQ42+DR42</f>
        <v/>
      </c>
      <c r="DT42" s="233" t="n"/>
      <c r="DU42" s="233" t="n"/>
      <c r="DV42" s="233">
        <f>DT42+DU42</f>
        <v/>
      </c>
      <c r="DW42" s="238">
        <f>DV42-DS42</f>
        <v/>
      </c>
      <c r="DX42" s="235">
        <f>IF(DS42=0,"",DV42/DS42)</f>
        <v/>
      </c>
      <c r="DY42" s="26" t="n"/>
      <c r="DZ42" s="236">
        <f>DH42+DQ42</f>
        <v/>
      </c>
      <c r="EA42" s="236">
        <f>DI42+DR42</f>
        <v/>
      </c>
      <c r="EB42" s="236">
        <f>DZ42+EA42</f>
        <v/>
      </c>
      <c r="EC42" s="236">
        <f>DK42+DT42</f>
        <v/>
      </c>
      <c r="ED42" s="236">
        <f>DL42+DU42</f>
        <v/>
      </c>
      <c r="EE42" s="236">
        <f>EC42+ED42</f>
        <v/>
      </c>
      <c r="EF42" s="239">
        <f>EE42-EB42</f>
        <v/>
      </c>
      <c r="EG42" s="237">
        <f>IF(EB42=0,"",EE42/EB42)</f>
        <v/>
      </c>
      <c r="EH42" s="33" t="n"/>
      <c r="EI42" s="233" t="n"/>
      <c r="EJ42" s="233" t="n"/>
      <c r="EK42" s="233">
        <f>EI42+EJ42</f>
        <v/>
      </c>
      <c r="EL42" s="233" t="n"/>
      <c r="EM42" s="233" t="n"/>
      <c r="EN42" s="233">
        <f>EL42+EM42</f>
        <v/>
      </c>
      <c r="EO42" s="238">
        <f>EN42-EK42</f>
        <v/>
      </c>
      <c r="EP42" s="235">
        <f>IF(EK42=0,"",EN42/EK42)</f>
        <v/>
      </c>
      <c r="EQ42" s="26" t="n"/>
      <c r="ER42" s="236">
        <f>DZ42+EI42</f>
        <v/>
      </c>
      <c r="ES42" s="236">
        <f>EA42+EJ42</f>
        <v/>
      </c>
      <c r="ET42" s="236">
        <f>ER42+ES42</f>
        <v/>
      </c>
      <c r="EU42" s="236">
        <f>EC42+EL42</f>
        <v/>
      </c>
      <c r="EV42" s="236">
        <f>ED42+EM42</f>
        <v/>
      </c>
      <c r="EW42" s="236">
        <f>EU42+EV42</f>
        <v/>
      </c>
      <c r="EX42" s="239">
        <f>EW42-ET42</f>
        <v/>
      </c>
      <c r="EY42" s="237">
        <f>IF(ET42=0,"",EW42/ET42)</f>
        <v/>
      </c>
      <c r="EZ42" s="33" t="n"/>
      <c r="FA42" s="233" t="n"/>
      <c r="FB42" s="233" t="n"/>
      <c r="FC42" s="233">
        <f>FA42+FB42</f>
        <v/>
      </c>
      <c r="FD42" s="233" t="n"/>
      <c r="FE42" s="233" t="n"/>
      <c r="FF42" s="233">
        <f>FD42+FE42</f>
        <v/>
      </c>
      <c r="FG42" s="238">
        <f>FF42-FC42</f>
        <v/>
      </c>
      <c r="FH42" s="235">
        <f>IF(FC42=0,"",FF42/FC42)</f>
        <v/>
      </c>
      <c r="FI42" s="26" t="n"/>
      <c r="FJ42" s="236">
        <f>ER42+FA42</f>
        <v/>
      </c>
      <c r="FK42" s="236">
        <f>ES42+FB42</f>
        <v/>
      </c>
      <c r="FL42" s="236">
        <f>FJ42+FK42</f>
        <v/>
      </c>
      <c r="FM42" s="236">
        <f>EU42+FD42</f>
        <v/>
      </c>
      <c r="FN42" s="236">
        <f>EV42+FE42</f>
        <v/>
      </c>
      <c r="FO42" s="236">
        <f>FM42+FN42</f>
        <v/>
      </c>
      <c r="FP42" s="239">
        <f>FO42-FL42</f>
        <v/>
      </c>
      <c r="FQ42" s="237">
        <f>IF(FL42=0,"",FO42/FL42)</f>
        <v/>
      </c>
      <c r="FR42" s="33" t="n"/>
      <c r="FS42" s="233" t="n"/>
      <c r="FT42" s="233" t="n"/>
      <c r="FU42" s="233">
        <f>FS42+FT42</f>
        <v/>
      </c>
      <c r="FV42" s="233" t="n"/>
      <c r="FW42" s="233" t="n"/>
      <c r="FX42" s="233">
        <f>FV42+FW42</f>
        <v/>
      </c>
      <c r="FY42" s="238">
        <f>FX42-FU42</f>
        <v/>
      </c>
      <c r="FZ42" s="235">
        <f>IF(FU42=0,"",FX42/FU42)</f>
        <v/>
      </c>
      <c r="GA42" s="26" t="n"/>
      <c r="GB42" s="236">
        <f>FJ42+FS42</f>
        <v/>
      </c>
      <c r="GC42" s="236">
        <f>FK42+FT42</f>
        <v/>
      </c>
      <c r="GD42" s="236">
        <f>GB42+GC42</f>
        <v/>
      </c>
      <c r="GE42" s="236">
        <f>FM42+FV42</f>
        <v/>
      </c>
      <c r="GF42" s="236">
        <f>FN42+FW42</f>
        <v/>
      </c>
      <c r="GG42" s="236">
        <f>GE42+GF42</f>
        <v/>
      </c>
      <c r="GH42" s="239">
        <f>GG42-GD42</f>
        <v/>
      </c>
      <c r="GI42" s="237">
        <f>IF(GD42=0,"",GG42/GD42)</f>
        <v/>
      </c>
      <c r="GJ42" s="33" t="n"/>
      <c r="GK42" s="233" t="n"/>
      <c r="GL42" s="233" t="n"/>
      <c r="GM42" s="233">
        <f>GK42+GL42</f>
        <v/>
      </c>
      <c r="GN42" s="233" t="n"/>
      <c r="GO42" s="233" t="n"/>
      <c r="GP42" s="233">
        <f>GN42+GO42</f>
        <v/>
      </c>
      <c r="GQ42" s="238">
        <f>GP42-GM42</f>
        <v/>
      </c>
      <c r="GR42" s="235">
        <f>IF(GM42=0,"",GP42/GM42)</f>
        <v/>
      </c>
      <c r="GS42" s="26" t="n"/>
      <c r="GT42" s="236">
        <f>GB42+GK42</f>
        <v/>
      </c>
      <c r="GU42" s="236">
        <f>GC42+GL42</f>
        <v/>
      </c>
      <c r="GV42" s="236">
        <f>GT42+GU42</f>
        <v/>
      </c>
      <c r="GW42" s="236">
        <f>GE42+GN42</f>
        <v/>
      </c>
      <c r="GX42" s="236">
        <f>GF42+GO42</f>
        <v/>
      </c>
      <c r="GY42" s="236">
        <f>GW42+GX42</f>
        <v/>
      </c>
      <c r="GZ42" s="239">
        <f>GY42-GV42</f>
        <v/>
      </c>
      <c r="HA42" s="237">
        <f>IF(GV42=0,"",GY42/GV42)</f>
        <v/>
      </c>
      <c r="HB42" s="33" t="n"/>
      <c r="HC42" s="233">
        <f>GT42</f>
        <v/>
      </c>
      <c r="HD42" s="233">
        <f>GU42</f>
        <v/>
      </c>
      <c r="HE42" s="233">
        <f>HC42+HD42</f>
        <v/>
      </c>
    </row>
    <row r="43" outlineLevel="1" ht="15" customHeight="1" s="150">
      <c r="A43" s="26" t="n"/>
      <c r="B43" s="26" t="n"/>
      <c r="C43" s="26" t="n"/>
      <c r="D43" s="233" t="n"/>
      <c r="E43" s="233" t="n"/>
      <c r="F43" s="233">
        <f>D43+E43</f>
        <v/>
      </c>
      <c r="G43" s="233" t="n"/>
      <c r="H43" s="233" t="n"/>
      <c r="I43" s="233">
        <f>G43+H43</f>
        <v/>
      </c>
      <c r="J43" s="238">
        <f>I43-F43</f>
        <v/>
      </c>
      <c r="K43" s="235">
        <f>IF(F43=0,"",I43/F43)</f>
        <v/>
      </c>
      <c r="L43" s="26" t="n"/>
      <c r="M43" s="233" t="n"/>
      <c r="N43" s="233" t="n"/>
      <c r="O43" s="233">
        <f>M43+N43</f>
        <v/>
      </c>
      <c r="P43" s="233" t="n"/>
      <c r="Q43" s="233" t="n"/>
      <c r="R43" s="233">
        <f>P43+Q43</f>
        <v/>
      </c>
      <c r="S43" s="238">
        <f>R43-O43</f>
        <v/>
      </c>
      <c r="T43" s="235">
        <f>IF(O43=0,"",R43/O43)</f>
        <v/>
      </c>
      <c r="U43" s="26" t="n"/>
      <c r="V43" s="236">
        <f>D43+M43</f>
        <v/>
      </c>
      <c r="W43" s="236">
        <f>E43+N43</f>
        <v/>
      </c>
      <c r="X43" s="236">
        <f>V43+W43</f>
        <v/>
      </c>
      <c r="Y43" s="236">
        <f>G43+P43</f>
        <v/>
      </c>
      <c r="Z43" s="236">
        <f>H43+Q43</f>
        <v/>
      </c>
      <c r="AA43" s="236">
        <f>Y43+Z43</f>
        <v/>
      </c>
      <c r="AB43" s="234">
        <f>AA43-X43</f>
        <v/>
      </c>
      <c r="AC43" s="237">
        <f>IF(X43=0,"",AA43/X43)</f>
        <v/>
      </c>
      <c r="AD43" s="33" t="n"/>
      <c r="AE43" s="233" t="n"/>
      <c r="AF43" s="233" t="n"/>
      <c r="AG43" s="233">
        <f>AE43+AF43</f>
        <v/>
      </c>
      <c r="AH43" s="233" t="n"/>
      <c r="AI43" s="233" t="n"/>
      <c r="AJ43" s="233">
        <f>AH43+AI43</f>
        <v/>
      </c>
      <c r="AK43" s="238">
        <f>AJ43-AG43</f>
        <v/>
      </c>
      <c r="AL43" s="235">
        <f>IF(AG43=0,"",AJ43/AG43)</f>
        <v/>
      </c>
      <c r="AM43" s="26" t="n"/>
      <c r="AN43" s="236">
        <f>V43+AE43</f>
        <v/>
      </c>
      <c r="AO43" s="236">
        <f>W43+AF43</f>
        <v/>
      </c>
      <c r="AP43" s="236">
        <f>AN43+AO43</f>
        <v/>
      </c>
      <c r="AQ43" s="236">
        <f>Y43+AH43</f>
        <v/>
      </c>
      <c r="AR43" s="236">
        <f>Z43+AI43</f>
        <v/>
      </c>
      <c r="AS43" s="236">
        <f>AQ43+AR43</f>
        <v/>
      </c>
      <c r="AT43" s="234">
        <f>AS43-AP43</f>
        <v/>
      </c>
      <c r="AU43" s="237">
        <f>IF(AP43=0,"",AS43/AP43)</f>
        <v/>
      </c>
      <c r="AV43" s="33" t="n"/>
      <c r="AW43" s="233" t="n"/>
      <c r="AX43" s="233" t="n"/>
      <c r="AY43" s="233">
        <f>AW43+AX43</f>
        <v/>
      </c>
      <c r="AZ43" s="233" t="n"/>
      <c r="BA43" s="233" t="n"/>
      <c r="BB43" s="233">
        <f>AZ43+BA43</f>
        <v/>
      </c>
      <c r="BC43" s="238">
        <f>BB43-AY43</f>
        <v/>
      </c>
      <c r="BD43" s="235">
        <f>IF(AY43=0,"",BB43/AY43)</f>
        <v/>
      </c>
      <c r="BE43" s="26" t="n"/>
      <c r="BF43" s="236">
        <f>AN43+AW43</f>
        <v/>
      </c>
      <c r="BG43" s="236">
        <f>AO43+AX43</f>
        <v/>
      </c>
      <c r="BH43" s="236">
        <f>BF43+BG43</f>
        <v/>
      </c>
      <c r="BI43" s="236">
        <f>AQ43+AZ43</f>
        <v/>
      </c>
      <c r="BJ43" s="236">
        <f>AR43+BA43</f>
        <v/>
      </c>
      <c r="BK43" s="236">
        <f>BI43+BJ43</f>
        <v/>
      </c>
      <c r="BL43" s="239">
        <f>BK43-BH43</f>
        <v/>
      </c>
      <c r="BM43" s="237">
        <f>IF(BH43=0,"",BK43/BH43)</f>
        <v/>
      </c>
      <c r="BN43" s="33" t="n"/>
      <c r="BO43" s="233" t="n"/>
      <c r="BP43" s="233" t="n"/>
      <c r="BQ43" s="233">
        <f>BO43+BP43</f>
        <v/>
      </c>
      <c r="BR43" s="233" t="n"/>
      <c r="BS43" s="233" t="n"/>
      <c r="BT43" s="233">
        <f>BR43+BS43</f>
        <v/>
      </c>
      <c r="BU43" s="238">
        <f>BT43-BQ43</f>
        <v/>
      </c>
      <c r="BV43" s="235">
        <f>IF(BQ43=0,"",BT43/BQ43)</f>
        <v/>
      </c>
      <c r="BW43" s="26" t="n"/>
      <c r="BX43" s="236">
        <f>BF43+BO43</f>
        <v/>
      </c>
      <c r="BY43" s="236">
        <f>BG43+BP43</f>
        <v/>
      </c>
      <c r="BZ43" s="236">
        <f>BX43+BY43</f>
        <v/>
      </c>
      <c r="CA43" s="236">
        <f>BI43+BR43</f>
        <v/>
      </c>
      <c r="CB43" s="236">
        <f>BJ43+BS43</f>
        <v/>
      </c>
      <c r="CC43" s="236">
        <f>CA43+CB43</f>
        <v/>
      </c>
      <c r="CD43" s="239">
        <f>CC43-BZ43</f>
        <v/>
      </c>
      <c r="CE43" s="237">
        <f>IF(BZ43=0,"",CC43/BZ43)</f>
        <v/>
      </c>
      <c r="CF43" s="33" t="n"/>
      <c r="CG43" s="233" t="n"/>
      <c r="CH43" s="233" t="n"/>
      <c r="CI43" s="233">
        <f>CG43+CH43</f>
        <v/>
      </c>
      <c r="CJ43" s="233" t="n"/>
      <c r="CK43" s="233" t="n"/>
      <c r="CL43" s="233">
        <f>CJ43+CK43</f>
        <v/>
      </c>
      <c r="CM43" s="238">
        <f>CL43-CI43</f>
        <v/>
      </c>
      <c r="CN43" s="235">
        <f>IF(CI43=0,"",CL43/CI43)</f>
        <v/>
      </c>
      <c r="CO43" s="26" t="n"/>
      <c r="CP43" s="236">
        <f>BX43+CG43</f>
        <v/>
      </c>
      <c r="CQ43" s="236">
        <f>BY43+CH43</f>
        <v/>
      </c>
      <c r="CR43" s="236">
        <f>CP43+CQ43</f>
        <v/>
      </c>
      <c r="CS43" s="236">
        <f>CA43+CJ43</f>
        <v/>
      </c>
      <c r="CT43" s="236">
        <f>CB43+CK43</f>
        <v/>
      </c>
      <c r="CU43" s="236">
        <f>CS43+CT43</f>
        <v/>
      </c>
      <c r="CV43" s="239">
        <f>CU43-CR43</f>
        <v/>
      </c>
      <c r="CW43" s="237">
        <f>IF(CR43=0,"",CU43/CR43)</f>
        <v/>
      </c>
      <c r="CX43" s="33" t="n"/>
      <c r="CY43" s="233" t="n"/>
      <c r="CZ43" s="233" t="n"/>
      <c r="DA43" s="233">
        <f>CY43+CZ43</f>
        <v/>
      </c>
      <c r="DB43" s="233" t="n"/>
      <c r="DC43" s="233" t="n"/>
      <c r="DD43" s="233">
        <f>DB43+DC43</f>
        <v/>
      </c>
      <c r="DE43" s="238">
        <f>DD43-DA43</f>
        <v/>
      </c>
      <c r="DF43" s="235">
        <f>IF(DA43=0,"",DD43/DA43)</f>
        <v/>
      </c>
      <c r="DG43" s="26" t="n"/>
      <c r="DH43" s="236">
        <f>CP43+CY43</f>
        <v/>
      </c>
      <c r="DI43" s="236">
        <f>CQ43+CZ43</f>
        <v/>
      </c>
      <c r="DJ43" s="236">
        <f>DH43+DI43</f>
        <v/>
      </c>
      <c r="DK43" s="236">
        <f>CS43+DB43</f>
        <v/>
      </c>
      <c r="DL43" s="236">
        <f>CT43+DC43</f>
        <v/>
      </c>
      <c r="DM43" s="236">
        <f>DK43+DL43</f>
        <v/>
      </c>
      <c r="DN43" s="239">
        <f>DM43-DJ43</f>
        <v/>
      </c>
      <c r="DO43" s="237">
        <f>IF(DJ43=0,"",DM43/DJ43)</f>
        <v/>
      </c>
      <c r="DP43" s="33" t="n"/>
      <c r="DQ43" s="233" t="n"/>
      <c r="DR43" s="233" t="n"/>
      <c r="DS43" s="233">
        <f>DQ43+DR43</f>
        <v/>
      </c>
      <c r="DT43" s="233" t="n"/>
      <c r="DU43" s="233" t="n"/>
      <c r="DV43" s="233">
        <f>DT43+DU43</f>
        <v/>
      </c>
      <c r="DW43" s="238">
        <f>DV43-DS43</f>
        <v/>
      </c>
      <c r="DX43" s="235">
        <f>IF(DS43=0,"",DV43/DS43)</f>
        <v/>
      </c>
      <c r="DY43" s="26" t="n"/>
      <c r="DZ43" s="236">
        <f>DH43+DQ43</f>
        <v/>
      </c>
      <c r="EA43" s="236">
        <f>DI43+DR43</f>
        <v/>
      </c>
      <c r="EB43" s="236">
        <f>DZ43+EA43</f>
        <v/>
      </c>
      <c r="EC43" s="236">
        <f>DK43+DT43</f>
        <v/>
      </c>
      <c r="ED43" s="236">
        <f>DL43+DU43</f>
        <v/>
      </c>
      <c r="EE43" s="236">
        <f>EC43+ED43</f>
        <v/>
      </c>
      <c r="EF43" s="239">
        <f>EE43-EB43</f>
        <v/>
      </c>
      <c r="EG43" s="237">
        <f>IF(EB43=0,"",EE43/EB43)</f>
        <v/>
      </c>
      <c r="EH43" s="33" t="n"/>
      <c r="EI43" s="233" t="n"/>
      <c r="EJ43" s="233" t="n"/>
      <c r="EK43" s="233">
        <f>EI43+EJ43</f>
        <v/>
      </c>
      <c r="EL43" s="233" t="n"/>
      <c r="EM43" s="233" t="n"/>
      <c r="EN43" s="233">
        <f>EL43+EM43</f>
        <v/>
      </c>
      <c r="EO43" s="238">
        <f>EN43-EK43</f>
        <v/>
      </c>
      <c r="EP43" s="235">
        <f>IF(EK43=0,"",EN43/EK43)</f>
        <v/>
      </c>
      <c r="EQ43" s="26" t="n"/>
      <c r="ER43" s="236">
        <f>DZ43+EI43</f>
        <v/>
      </c>
      <c r="ES43" s="236">
        <f>EA43+EJ43</f>
        <v/>
      </c>
      <c r="ET43" s="236">
        <f>ER43+ES43</f>
        <v/>
      </c>
      <c r="EU43" s="236">
        <f>EC43+EL43</f>
        <v/>
      </c>
      <c r="EV43" s="236">
        <f>ED43+EM43</f>
        <v/>
      </c>
      <c r="EW43" s="236">
        <f>EU43+EV43</f>
        <v/>
      </c>
      <c r="EX43" s="239">
        <f>EW43-ET43</f>
        <v/>
      </c>
      <c r="EY43" s="237">
        <f>IF(ET43=0,"",EW43/ET43)</f>
        <v/>
      </c>
      <c r="EZ43" s="33" t="n"/>
      <c r="FA43" s="233" t="n"/>
      <c r="FB43" s="233" t="n"/>
      <c r="FC43" s="233">
        <f>FA43+FB43</f>
        <v/>
      </c>
      <c r="FD43" s="233" t="n"/>
      <c r="FE43" s="233" t="n"/>
      <c r="FF43" s="233">
        <f>FD43+FE43</f>
        <v/>
      </c>
      <c r="FG43" s="238">
        <f>FF43-FC43</f>
        <v/>
      </c>
      <c r="FH43" s="235">
        <f>IF(FC43=0,"",FF43/FC43)</f>
        <v/>
      </c>
      <c r="FI43" s="26" t="n"/>
      <c r="FJ43" s="236">
        <f>ER43+FA43</f>
        <v/>
      </c>
      <c r="FK43" s="236">
        <f>ES43+FB43</f>
        <v/>
      </c>
      <c r="FL43" s="236">
        <f>FJ43+FK43</f>
        <v/>
      </c>
      <c r="FM43" s="236">
        <f>EU43+FD43</f>
        <v/>
      </c>
      <c r="FN43" s="236">
        <f>EV43+FE43</f>
        <v/>
      </c>
      <c r="FO43" s="236">
        <f>FM43+FN43</f>
        <v/>
      </c>
      <c r="FP43" s="239">
        <f>FO43-FL43</f>
        <v/>
      </c>
      <c r="FQ43" s="237">
        <f>IF(FL43=0,"",FO43/FL43)</f>
        <v/>
      </c>
      <c r="FR43" s="33" t="n"/>
      <c r="FS43" s="233" t="n"/>
      <c r="FT43" s="233" t="n"/>
      <c r="FU43" s="233">
        <f>FS43+FT43</f>
        <v/>
      </c>
      <c r="FV43" s="233" t="n"/>
      <c r="FW43" s="233" t="n"/>
      <c r="FX43" s="233">
        <f>FV43+FW43</f>
        <v/>
      </c>
      <c r="FY43" s="238">
        <f>FX43-FU43</f>
        <v/>
      </c>
      <c r="FZ43" s="235">
        <f>IF(FU43=0,"",FX43/FU43)</f>
        <v/>
      </c>
      <c r="GA43" s="26" t="n"/>
      <c r="GB43" s="236">
        <f>FJ43+FS43</f>
        <v/>
      </c>
      <c r="GC43" s="236">
        <f>FK43+FT43</f>
        <v/>
      </c>
      <c r="GD43" s="236">
        <f>GB43+GC43</f>
        <v/>
      </c>
      <c r="GE43" s="236">
        <f>FM43+FV43</f>
        <v/>
      </c>
      <c r="GF43" s="236">
        <f>FN43+FW43</f>
        <v/>
      </c>
      <c r="GG43" s="236">
        <f>GE43+GF43</f>
        <v/>
      </c>
      <c r="GH43" s="239">
        <f>GG43-GD43</f>
        <v/>
      </c>
      <c r="GI43" s="237">
        <f>IF(GD43=0,"",GG43/GD43)</f>
        <v/>
      </c>
      <c r="GJ43" s="33" t="n"/>
      <c r="GK43" s="233" t="n"/>
      <c r="GL43" s="233" t="n"/>
      <c r="GM43" s="233">
        <f>GK43+GL43</f>
        <v/>
      </c>
      <c r="GN43" s="233" t="n"/>
      <c r="GO43" s="233" t="n"/>
      <c r="GP43" s="233">
        <f>GN43+GO43</f>
        <v/>
      </c>
      <c r="GQ43" s="238">
        <f>GP43-GM43</f>
        <v/>
      </c>
      <c r="GR43" s="235">
        <f>IF(GM43=0,"",GP43/GM43)</f>
        <v/>
      </c>
      <c r="GS43" s="26" t="n"/>
      <c r="GT43" s="236">
        <f>GB43+GK43</f>
        <v/>
      </c>
      <c r="GU43" s="236">
        <f>GC43+GL43</f>
        <v/>
      </c>
      <c r="GV43" s="236">
        <f>GT43+GU43</f>
        <v/>
      </c>
      <c r="GW43" s="236">
        <f>GE43+GN43</f>
        <v/>
      </c>
      <c r="GX43" s="236">
        <f>GF43+GO43</f>
        <v/>
      </c>
      <c r="GY43" s="236">
        <f>GW43+GX43</f>
        <v/>
      </c>
      <c r="GZ43" s="239">
        <f>GY43-GV43</f>
        <v/>
      </c>
      <c r="HA43" s="237">
        <f>IF(GV43=0,"",GY43/GV43)</f>
        <v/>
      </c>
      <c r="HB43" s="33" t="n"/>
      <c r="HC43" s="233">
        <f>GT43</f>
        <v/>
      </c>
      <c r="HD43" s="233">
        <f>GU43</f>
        <v/>
      </c>
      <c r="HE43" s="233">
        <f>HC43+HD43</f>
        <v/>
      </c>
    </row>
    <row r="44" outlineLevel="1" ht="64.5" customHeight="1" s="150">
      <c r="A44" s="26" t="n"/>
      <c r="B44" s="26" t="n"/>
      <c r="C44" s="26" t="n"/>
      <c r="D44" s="233" t="n"/>
      <c r="E44" s="233" t="n"/>
      <c r="F44" s="233">
        <f>D44+E44</f>
        <v/>
      </c>
      <c r="G44" s="233" t="n"/>
      <c r="H44" s="233" t="n"/>
      <c r="I44" s="233">
        <f>G44+H44</f>
        <v/>
      </c>
      <c r="J44" s="234">
        <f>I44-F44</f>
        <v/>
      </c>
      <c r="K44" s="235">
        <f>IF(F44=0,"",I44/F44)</f>
        <v/>
      </c>
      <c r="L44" s="42" t="n"/>
      <c r="M44" s="233" t="n"/>
      <c r="N44" s="233" t="n"/>
      <c r="O44" s="233">
        <f>M44+N44</f>
        <v/>
      </c>
      <c r="P44" s="233" t="n"/>
      <c r="Q44" s="233" t="n"/>
      <c r="R44" s="233">
        <f>P44+Q44</f>
        <v/>
      </c>
      <c r="S44" s="234">
        <f>R44-O44</f>
        <v/>
      </c>
      <c r="T44" s="235">
        <f>IF(O44=0,"",R44/O44)</f>
        <v/>
      </c>
      <c r="U44" s="42" t="n"/>
      <c r="V44" s="236">
        <f>D44+M44</f>
        <v/>
      </c>
      <c r="W44" s="236">
        <f>E44+N44</f>
        <v/>
      </c>
      <c r="X44" s="236">
        <f>V44+W44</f>
        <v/>
      </c>
      <c r="Y44" s="236">
        <f>G44+P44</f>
        <v/>
      </c>
      <c r="Z44" s="236">
        <f>H44+Q44</f>
        <v/>
      </c>
      <c r="AA44" s="236">
        <f>Y44+Z44</f>
        <v/>
      </c>
      <c r="AB44" s="234">
        <f>AA44-X44</f>
        <v/>
      </c>
      <c r="AC44" s="237">
        <f>IF(X44=0,"",AA44/X44)</f>
        <v/>
      </c>
      <c r="AD44" s="44" t="n"/>
      <c r="AE44" s="233" t="n"/>
      <c r="AF44" s="233" t="n"/>
      <c r="AG44" s="233">
        <f>AE44+AF44</f>
        <v/>
      </c>
      <c r="AH44" s="233" t="n"/>
      <c r="AI44" s="233" t="n"/>
      <c r="AJ44" s="233">
        <f>AH44+AI44</f>
        <v/>
      </c>
      <c r="AK44" s="234">
        <f>AJ44-AG44</f>
        <v/>
      </c>
      <c r="AL44" s="235">
        <f>IF(AG44=0,"",AJ44/AG44)</f>
        <v/>
      </c>
      <c r="AM44" s="42" t="n"/>
      <c r="AN44" s="236">
        <f>V44+AE44</f>
        <v/>
      </c>
      <c r="AO44" s="236">
        <f>W44+AF44</f>
        <v/>
      </c>
      <c r="AP44" s="236">
        <f>AN44+AO44</f>
        <v/>
      </c>
      <c r="AQ44" s="236">
        <f>Y44+AH44</f>
        <v/>
      </c>
      <c r="AR44" s="236">
        <f>Z44+AI44</f>
        <v/>
      </c>
      <c r="AS44" s="236">
        <f>AQ44+AR44</f>
        <v/>
      </c>
      <c r="AT44" s="239">
        <f>AS44-AP44</f>
        <v/>
      </c>
      <c r="AU44" s="237">
        <f>IF(AP44=0,"",AS44/AP44)</f>
        <v/>
      </c>
      <c r="AV44" s="44" t="n"/>
      <c r="AW44" s="233" t="n"/>
      <c r="AX44" s="233" t="n"/>
      <c r="AY44" s="233">
        <f>AW44+AX44</f>
        <v/>
      </c>
      <c r="AZ44" s="233" t="n"/>
      <c r="BA44" s="233" t="n"/>
      <c r="BB44" s="233">
        <f>AZ44+BA44</f>
        <v/>
      </c>
      <c r="BC44" s="238">
        <f>BB44-AY44</f>
        <v/>
      </c>
      <c r="BD44" s="235">
        <f>IF(AY44=0,"",BB44/AY44)</f>
        <v/>
      </c>
      <c r="BE44" s="26" t="n"/>
      <c r="BF44" s="236">
        <f>AN44+AW44</f>
        <v/>
      </c>
      <c r="BG44" s="236">
        <f>AO44+AX44</f>
        <v/>
      </c>
      <c r="BH44" s="236">
        <f>BF44+BG44</f>
        <v/>
      </c>
      <c r="BI44" s="236">
        <f>AQ44+AZ44</f>
        <v/>
      </c>
      <c r="BJ44" s="236">
        <f>AR44+BA44</f>
        <v/>
      </c>
      <c r="BK44" s="236">
        <f>BI44+BJ44</f>
        <v/>
      </c>
      <c r="BL44" s="239">
        <f>BK44-BH44</f>
        <v/>
      </c>
      <c r="BM44" s="237">
        <f>IF(BH44=0,"",BK44/BH44)</f>
        <v/>
      </c>
      <c r="BN44" s="33" t="n"/>
      <c r="BO44" s="233" t="n"/>
      <c r="BP44" s="233" t="n"/>
      <c r="BQ44" s="233">
        <f>BO44+BP44</f>
        <v/>
      </c>
      <c r="BR44" s="233" t="n"/>
      <c r="BS44" s="233" t="n"/>
      <c r="BT44" s="233">
        <f>BR44+BS44</f>
        <v/>
      </c>
      <c r="BU44" s="238">
        <f>BT44-BQ44</f>
        <v/>
      </c>
      <c r="BV44" s="235">
        <f>IF(BQ44=0,"",BT44/BQ44)</f>
        <v/>
      </c>
      <c r="BW44" s="26" t="n"/>
      <c r="BX44" s="236">
        <f>BF44+BO44</f>
        <v/>
      </c>
      <c r="BY44" s="236">
        <f>BG44+BP44</f>
        <v/>
      </c>
      <c r="BZ44" s="236">
        <f>BX44+BY44</f>
        <v/>
      </c>
      <c r="CA44" s="236">
        <f>BI44+BR44</f>
        <v/>
      </c>
      <c r="CB44" s="236">
        <f>BJ44+BS44</f>
        <v/>
      </c>
      <c r="CC44" s="236">
        <f>CA44+CB44</f>
        <v/>
      </c>
      <c r="CD44" s="239">
        <f>CC44-BZ44</f>
        <v/>
      </c>
      <c r="CE44" s="237">
        <f>IF(BZ44=0,"",CC44/BZ44)</f>
        <v/>
      </c>
      <c r="CF44" s="33" t="n"/>
      <c r="CG44" s="233" t="n"/>
      <c r="CH44" s="233" t="n"/>
      <c r="CI44" s="233">
        <f>CG44+CH44</f>
        <v/>
      </c>
      <c r="CJ44" s="233" t="n"/>
      <c r="CK44" s="233" t="n"/>
      <c r="CL44" s="233">
        <f>CJ44+CK44</f>
        <v/>
      </c>
      <c r="CM44" s="238">
        <f>CL44-CI44</f>
        <v/>
      </c>
      <c r="CN44" s="235">
        <f>IF(CI44=0,"",CL44/CI44)</f>
        <v/>
      </c>
      <c r="CO44" s="26" t="n"/>
      <c r="CP44" s="236">
        <f>BX44+CG44</f>
        <v/>
      </c>
      <c r="CQ44" s="236">
        <f>BY44+CH44</f>
        <v/>
      </c>
      <c r="CR44" s="236">
        <f>CP44+CQ44</f>
        <v/>
      </c>
      <c r="CS44" s="236">
        <f>CA44+CJ44</f>
        <v/>
      </c>
      <c r="CT44" s="236">
        <f>CB44+CK44</f>
        <v/>
      </c>
      <c r="CU44" s="236">
        <f>CS44+CT44</f>
        <v/>
      </c>
      <c r="CV44" s="239">
        <f>CU44-CR44</f>
        <v/>
      </c>
      <c r="CW44" s="237">
        <f>IF(CR44=0,"",CU44/CR44)</f>
        <v/>
      </c>
      <c r="CX44" s="33" t="n"/>
      <c r="CY44" s="233" t="n"/>
      <c r="CZ44" s="233" t="n"/>
      <c r="DA44" s="233">
        <f>CY44+CZ44</f>
        <v/>
      </c>
      <c r="DB44" s="233" t="n"/>
      <c r="DC44" s="233" t="n"/>
      <c r="DD44" s="233">
        <f>DB44+DC44</f>
        <v/>
      </c>
      <c r="DE44" s="238">
        <f>DD44-DA44</f>
        <v/>
      </c>
      <c r="DF44" s="235">
        <f>IF(DA44=0,"",DD44/DA44)</f>
        <v/>
      </c>
      <c r="DG44" s="26" t="n"/>
      <c r="DH44" s="236">
        <f>CP44+CY44</f>
        <v/>
      </c>
      <c r="DI44" s="236">
        <f>CQ44+CZ44</f>
        <v/>
      </c>
      <c r="DJ44" s="236">
        <f>DH44+DI44</f>
        <v/>
      </c>
      <c r="DK44" s="236">
        <f>CS44+DB44</f>
        <v/>
      </c>
      <c r="DL44" s="236">
        <f>CT44+DC44</f>
        <v/>
      </c>
      <c r="DM44" s="236">
        <f>DK44+DL44</f>
        <v/>
      </c>
      <c r="DN44" s="239">
        <f>DM44-DJ44</f>
        <v/>
      </c>
      <c r="DO44" s="237">
        <f>IF(DJ44=0,"",DM44/DJ44)</f>
        <v/>
      </c>
      <c r="DP44" s="33" t="n"/>
      <c r="DQ44" s="233" t="n"/>
      <c r="DR44" s="233" t="n"/>
      <c r="DS44" s="233">
        <f>DQ44+DR44</f>
        <v/>
      </c>
      <c r="DT44" s="233" t="n"/>
      <c r="DU44" s="233" t="n"/>
      <c r="DV44" s="233">
        <f>DT44+DU44</f>
        <v/>
      </c>
      <c r="DW44" s="238">
        <f>DV44-DS44</f>
        <v/>
      </c>
      <c r="DX44" s="235">
        <f>IF(DS44=0,"",DV44/DS44)</f>
        <v/>
      </c>
      <c r="DY44" s="26" t="n"/>
      <c r="DZ44" s="236">
        <f>DH44+DQ44</f>
        <v/>
      </c>
      <c r="EA44" s="236">
        <f>DI44+DR44</f>
        <v/>
      </c>
      <c r="EB44" s="236">
        <f>DZ44+EA44</f>
        <v/>
      </c>
      <c r="EC44" s="236">
        <f>DK44+DT44</f>
        <v/>
      </c>
      <c r="ED44" s="236">
        <f>DL44+DU44</f>
        <v/>
      </c>
      <c r="EE44" s="236">
        <f>EC44+ED44</f>
        <v/>
      </c>
      <c r="EF44" s="239">
        <f>EE44-EB44</f>
        <v/>
      </c>
      <c r="EG44" s="237">
        <f>IF(EB44=0,"",EE44/EB44)</f>
        <v/>
      </c>
      <c r="EH44" s="33" t="n"/>
      <c r="EI44" s="233" t="n"/>
      <c r="EJ44" s="233" t="n"/>
      <c r="EK44" s="233">
        <f>EI44+EJ44</f>
        <v/>
      </c>
      <c r="EL44" s="233" t="n"/>
      <c r="EM44" s="233" t="n"/>
      <c r="EN44" s="233">
        <f>EL44+EM44</f>
        <v/>
      </c>
      <c r="EO44" s="238">
        <f>EN44-EK44</f>
        <v/>
      </c>
      <c r="EP44" s="235">
        <f>IF(EK44=0,"",EN44/EK44)</f>
        <v/>
      </c>
      <c r="EQ44" s="26" t="n"/>
      <c r="ER44" s="236">
        <f>DZ44+EI44</f>
        <v/>
      </c>
      <c r="ES44" s="236">
        <f>EA44+EJ44</f>
        <v/>
      </c>
      <c r="ET44" s="236">
        <f>ER44+ES44</f>
        <v/>
      </c>
      <c r="EU44" s="236">
        <f>EC44+EL44</f>
        <v/>
      </c>
      <c r="EV44" s="236">
        <f>ED44+EM44</f>
        <v/>
      </c>
      <c r="EW44" s="236">
        <f>EU44+EV44</f>
        <v/>
      </c>
      <c r="EX44" s="239">
        <f>EW44-ET44</f>
        <v/>
      </c>
      <c r="EY44" s="237">
        <f>IF(ET44=0,"",EW44/ET44)</f>
        <v/>
      </c>
      <c r="EZ44" s="33" t="n"/>
      <c r="FA44" s="233" t="n"/>
      <c r="FB44" s="233" t="n"/>
      <c r="FC44" s="233">
        <f>FA44+FB44</f>
        <v/>
      </c>
      <c r="FD44" s="233" t="n"/>
      <c r="FE44" s="233" t="n"/>
      <c r="FF44" s="233">
        <f>FD44+FE44</f>
        <v/>
      </c>
      <c r="FG44" s="238">
        <f>FF44-FC44</f>
        <v/>
      </c>
      <c r="FH44" s="235">
        <f>IF(FC44=0,"",FF44/FC44)</f>
        <v/>
      </c>
      <c r="FI44" s="26" t="n"/>
      <c r="FJ44" s="236">
        <f>ER44+FA44</f>
        <v/>
      </c>
      <c r="FK44" s="236">
        <f>ES44+FB44</f>
        <v/>
      </c>
      <c r="FL44" s="236">
        <f>FJ44+FK44</f>
        <v/>
      </c>
      <c r="FM44" s="236">
        <f>EU44+FD44</f>
        <v/>
      </c>
      <c r="FN44" s="236">
        <f>EV44+FE44</f>
        <v/>
      </c>
      <c r="FO44" s="236">
        <f>FM44+FN44</f>
        <v/>
      </c>
      <c r="FP44" s="239">
        <f>FO44-FL44</f>
        <v/>
      </c>
      <c r="FQ44" s="237">
        <f>IF(FL44=0,"",FO44/FL44)</f>
        <v/>
      </c>
      <c r="FR44" s="33" t="n"/>
      <c r="FS44" s="233" t="n"/>
      <c r="FT44" s="233" t="n"/>
      <c r="FU44" s="233">
        <f>FS44+FT44</f>
        <v/>
      </c>
      <c r="FV44" s="233" t="n"/>
      <c r="FW44" s="233" t="n"/>
      <c r="FX44" s="233">
        <f>FV44+FW44</f>
        <v/>
      </c>
      <c r="FY44" s="238">
        <f>FX44-FU44</f>
        <v/>
      </c>
      <c r="FZ44" s="235">
        <f>IF(FU44=0,"",FX44/FU44)</f>
        <v/>
      </c>
      <c r="GA44" s="26" t="n"/>
      <c r="GB44" s="236">
        <f>FJ44+FS44</f>
        <v/>
      </c>
      <c r="GC44" s="236">
        <f>FK44+FT44</f>
        <v/>
      </c>
      <c r="GD44" s="236">
        <f>GB44+GC44</f>
        <v/>
      </c>
      <c r="GE44" s="236">
        <f>FM44+FV44</f>
        <v/>
      </c>
      <c r="GF44" s="236">
        <f>FN44+FW44</f>
        <v/>
      </c>
      <c r="GG44" s="236">
        <f>GE44+GF44</f>
        <v/>
      </c>
      <c r="GH44" s="239">
        <f>GG44-GD44</f>
        <v/>
      </c>
      <c r="GI44" s="237">
        <f>IF(GD44=0,"",GG44/GD44)</f>
        <v/>
      </c>
      <c r="GJ44" s="33" t="n"/>
      <c r="GK44" s="233" t="n"/>
      <c r="GL44" s="233" t="n"/>
      <c r="GM44" s="233">
        <f>GK44+GL44</f>
        <v/>
      </c>
      <c r="GN44" s="233" t="n"/>
      <c r="GO44" s="233" t="n"/>
      <c r="GP44" s="233">
        <f>GN44+GO44</f>
        <v/>
      </c>
      <c r="GQ44" s="238">
        <f>GP44-GM44</f>
        <v/>
      </c>
      <c r="GR44" s="235">
        <f>IF(GM44=0,"",GP44/GM44)</f>
        <v/>
      </c>
      <c r="GS44" s="26" t="n"/>
      <c r="GT44" s="236">
        <f>GB44+GK44</f>
        <v/>
      </c>
      <c r="GU44" s="236">
        <f>GC44+GL44</f>
        <v/>
      </c>
      <c r="GV44" s="236">
        <f>GT44+GU44</f>
        <v/>
      </c>
      <c r="GW44" s="236">
        <f>GE44+GN44</f>
        <v/>
      </c>
      <c r="GX44" s="236">
        <f>GF44+GO44</f>
        <v/>
      </c>
      <c r="GY44" s="236">
        <f>GW44+GX44</f>
        <v/>
      </c>
      <c r="GZ44" s="239">
        <f>GY44-GV44</f>
        <v/>
      </c>
      <c r="HA44" s="237">
        <f>IF(GV44=0,"",GY44/GV44)</f>
        <v/>
      </c>
      <c r="HB44" s="33" t="n"/>
      <c r="HC44" s="233">
        <f>GT44</f>
        <v/>
      </c>
      <c r="HD44" s="233">
        <f>GU44</f>
        <v/>
      </c>
      <c r="HE44" s="233">
        <f>HC44+HD44</f>
        <v/>
      </c>
    </row>
    <row r="45" ht="15" customHeight="1" s="150">
      <c r="A45" s="18" t="n"/>
      <c r="B45" s="18" t="n"/>
      <c r="C45" s="18" t="n"/>
      <c r="D45" s="227">
        <f>D46</f>
        <v/>
      </c>
      <c r="E45" s="227">
        <f>E46</f>
        <v/>
      </c>
      <c r="F45" s="227">
        <f>D45+E45</f>
        <v/>
      </c>
      <c r="G45" s="227">
        <f>G46</f>
        <v/>
      </c>
      <c r="H45" s="227">
        <f>H46</f>
        <v/>
      </c>
      <c r="I45" s="227">
        <f>G45+H45</f>
        <v/>
      </c>
      <c r="J45" s="228">
        <f>I45-F45</f>
        <v/>
      </c>
      <c r="K45" s="229">
        <f>IF(F45=0,"",I45/F45)</f>
        <v/>
      </c>
      <c r="L45" s="18" t="n"/>
      <c r="M45" s="227">
        <f>M46</f>
        <v/>
      </c>
      <c r="N45" s="227">
        <f>N46</f>
        <v/>
      </c>
      <c r="O45" s="227">
        <f>M45+N45</f>
        <v/>
      </c>
      <c r="P45" s="227">
        <f>P46</f>
        <v/>
      </c>
      <c r="Q45" s="227">
        <f>Q46</f>
        <v/>
      </c>
      <c r="R45" s="227">
        <f>P45+Q45</f>
        <v/>
      </c>
      <c r="S45" s="228">
        <f>R45-O45</f>
        <v/>
      </c>
      <c r="T45" s="229">
        <f>IF(O45=0,"",R45/O45)</f>
        <v/>
      </c>
      <c r="U45" s="18" t="n"/>
      <c r="V45" s="230">
        <f>V46</f>
        <v/>
      </c>
      <c r="W45" s="230">
        <f>W46</f>
        <v/>
      </c>
      <c r="X45" s="230">
        <f>V45+W45</f>
        <v/>
      </c>
      <c r="Y45" s="230">
        <f>Y46</f>
        <v/>
      </c>
      <c r="Z45" s="230">
        <f>Z46</f>
        <v/>
      </c>
      <c r="AA45" s="230">
        <f>Y45+Z45</f>
        <v/>
      </c>
      <c r="AB45" s="231">
        <f>AA45-X45</f>
        <v/>
      </c>
      <c r="AC45" s="232">
        <f>IF(X45=0,"",AA45/X45)</f>
        <v/>
      </c>
      <c r="AD45" s="25" t="n"/>
      <c r="AE45" s="227">
        <f>AE46</f>
        <v/>
      </c>
      <c r="AF45" s="227">
        <f>AF46</f>
        <v/>
      </c>
      <c r="AG45" s="227">
        <f>AE45+AF45</f>
        <v/>
      </c>
      <c r="AH45" s="227">
        <f>AH46</f>
        <v/>
      </c>
      <c r="AI45" s="227">
        <f>AI46</f>
        <v/>
      </c>
      <c r="AJ45" s="227">
        <f>AH45+AI45</f>
        <v/>
      </c>
      <c r="AK45" s="228">
        <f>AJ45-AG45</f>
        <v/>
      </c>
      <c r="AL45" s="229">
        <f>IF(AG45=0,"",AJ45/AG45)</f>
        <v/>
      </c>
      <c r="AM45" s="18" t="n"/>
      <c r="AN45" s="230">
        <f>AN46</f>
        <v/>
      </c>
      <c r="AO45" s="230">
        <f>AO46</f>
        <v/>
      </c>
      <c r="AP45" s="230">
        <f>AN45+AO45</f>
        <v/>
      </c>
      <c r="AQ45" s="230">
        <f>AQ46</f>
        <v/>
      </c>
      <c r="AR45" s="230">
        <f>AR46</f>
        <v/>
      </c>
      <c r="AS45" s="230">
        <f>AQ45+AR45</f>
        <v/>
      </c>
      <c r="AT45" s="231">
        <f>AS45-AP45</f>
        <v/>
      </c>
      <c r="AU45" s="232">
        <f>IF(AP45=0,"",AS45/AP45)</f>
        <v/>
      </c>
      <c r="AV45" s="25" t="n"/>
      <c r="AW45" s="227">
        <f>AW46</f>
        <v/>
      </c>
      <c r="AX45" s="227">
        <f>AX46</f>
        <v/>
      </c>
      <c r="AY45" s="227">
        <f>AW45+AX45</f>
        <v/>
      </c>
      <c r="AZ45" s="227">
        <f>AZ46</f>
        <v/>
      </c>
      <c r="BA45" s="227">
        <f>BA46</f>
        <v/>
      </c>
      <c r="BB45" s="227">
        <f>AZ45+BA45</f>
        <v/>
      </c>
      <c r="BC45" s="228">
        <f>BB45-AY45</f>
        <v/>
      </c>
      <c r="BD45" s="229">
        <f>IF(AY45=0,"",BB45/AY45)</f>
        <v/>
      </c>
      <c r="BE45" s="18" t="n"/>
      <c r="BF45" s="230">
        <f>BF46</f>
        <v/>
      </c>
      <c r="BG45" s="230">
        <f>BG46</f>
        <v/>
      </c>
      <c r="BH45" s="230">
        <f>BF45+BG45</f>
        <v/>
      </c>
      <c r="BI45" s="230">
        <f>BI46</f>
        <v/>
      </c>
      <c r="BJ45" s="230">
        <f>BJ46</f>
        <v/>
      </c>
      <c r="BK45" s="230">
        <f>BI45+BJ45</f>
        <v/>
      </c>
      <c r="BL45" s="231">
        <f>BK45-BH45</f>
        <v/>
      </c>
      <c r="BM45" s="232">
        <f>IF(BH45=0,"",BK45/BH45)</f>
        <v/>
      </c>
      <c r="BN45" s="25" t="n"/>
      <c r="BO45" s="227">
        <f>BO46</f>
        <v/>
      </c>
      <c r="BP45" s="227">
        <f>BP46</f>
        <v/>
      </c>
      <c r="BQ45" s="227">
        <f>BO45+BP45</f>
        <v/>
      </c>
      <c r="BR45" s="227">
        <f>BR46</f>
        <v/>
      </c>
      <c r="BS45" s="227">
        <f>BS46</f>
        <v/>
      </c>
      <c r="BT45" s="227">
        <f>BR45+BS45</f>
        <v/>
      </c>
      <c r="BU45" s="228">
        <f>BT45-BQ45</f>
        <v/>
      </c>
      <c r="BV45" s="229">
        <f>IF(BQ45=0,"",BT45/BQ45)</f>
        <v/>
      </c>
      <c r="BW45" s="18" t="n"/>
      <c r="BX45" s="230">
        <f>BX46</f>
        <v/>
      </c>
      <c r="BY45" s="230">
        <f>BY46</f>
        <v/>
      </c>
      <c r="BZ45" s="230">
        <f>BX45+BY45</f>
        <v/>
      </c>
      <c r="CA45" s="230">
        <f>CA46</f>
        <v/>
      </c>
      <c r="CB45" s="230">
        <f>CB46</f>
        <v/>
      </c>
      <c r="CC45" s="230">
        <f>CA45+CB45</f>
        <v/>
      </c>
      <c r="CD45" s="231">
        <f>CC45-BZ45</f>
        <v/>
      </c>
      <c r="CE45" s="232">
        <f>IF(BZ45=0,"",CC45/BZ45)</f>
        <v/>
      </c>
      <c r="CF45" s="25" t="n"/>
      <c r="CG45" s="227">
        <f>CG46</f>
        <v/>
      </c>
      <c r="CH45" s="227">
        <f>CH46</f>
        <v/>
      </c>
      <c r="CI45" s="227">
        <f>CG45+CH45</f>
        <v/>
      </c>
      <c r="CJ45" s="227">
        <f>CJ46</f>
        <v/>
      </c>
      <c r="CK45" s="227">
        <f>CK46</f>
        <v/>
      </c>
      <c r="CL45" s="227">
        <f>CJ45+CK45</f>
        <v/>
      </c>
      <c r="CM45" s="228">
        <f>CL45-CI45</f>
        <v/>
      </c>
      <c r="CN45" s="229">
        <f>IF(CI45=0,"",CL45/CI45)</f>
        <v/>
      </c>
      <c r="CO45" s="18" t="n"/>
      <c r="CP45" s="230">
        <f>CP46</f>
        <v/>
      </c>
      <c r="CQ45" s="230">
        <f>CQ46</f>
        <v/>
      </c>
      <c r="CR45" s="230">
        <f>CP45+CQ45</f>
        <v/>
      </c>
      <c r="CS45" s="230">
        <f>CS46</f>
        <v/>
      </c>
      <c r="CT45" s="230">
        <f>CT46</f>
        <v/>
      </c>
      <c r="CU45" s="230">
        <f>CS45+CT45</f>
        <v/>
      </c>
      <c r="CV45" s="231">
        <f>CU45-CR45</f>
        <v/>
      </c>
      <c r="CW45" s="232">
        <f>IF(CR45=0,"",CU45/CR45)</f>
        <v/>
      </c>
      <c r="CX45" s="25" t="n"/>
      <c r="CY45" s="227">
        <f>CY46</f>
        <v/>
      </c>
      <c r="CZ45" s="227">
        <f>CZ46</f>
        <v/>
      </c>
      <c r="DA45" s="227">
        <f>CY45+CZ45</f>
        <v/>
      </c>
      <c r="DB45" s="227">
        <f>DB46</f>
        <v/>
      </c>
      <c r="DC45" s="227">
        <f>DC46</f>
        <v/>
      </c>
      <c r="DD45" s="227">
        <f>DB45+DC45</f>
        <v/>
      </c>
      <c r="DE45" s="228">
        <f>DD45-DA45</f>
        <v/>
      </c>
      <c r="DF45" s="229">
        <f>IF(DA45=0,"",DD45/DA45)</f>
        <v/>
      </c>
      <c r="DG45" s="18" t="n"/>
      <c r="DH45" s="230">
        <f>DH46</f>
        <v/>
      </c>
      <c r="DI45" s="230">
        <f>DI46</f>
        <v/>
      </c>
      <c r="DJ45" s="230">
        <f>DH45+DI45</f>
        <v/>
      </c>
      <c r="DK45" s="230">
        <f>DK46</f>
        <v/>
      </c>
      <c r="DL45" s="230">
        <f>DL46</f>
        <v/>
      </c>
      <c r="DM45" s="230">
        <f>DK45+DL45</f>
        <v/>
      </c>
      <c r="DN45" s="231">
        <f>DM45-DJ45</f>
        <v/>
      </c>
      <c r="DO45" s="232">
        <f>IF(DJ45=0,"",DM45/DJ45)</f>
        <v/>
      </c>
      <c r="DP45" s="25" t="n"/>
      <c r="DQ45" s="227">
        <f>DQ46</f>
        <v/>
      </c>
      <c r="DR45" s="227">
        <f>DR46</f>
        <v/>
      </c>
      <c r="DS45" s="227">
        <f>DQ45+DR45</f>
        <v/>
      </c>
      <c r="DT45" s="227">
        <f>DT46</f>
        <v/>
      </c>
      <c r="DU45" s="227">
        <f>DU46</f>
        <v/>
      </c>
      <c r="DV45" s="227">
        <f>DT45+DU45</f>
        <v/>
      </c>
      <c r="DW45" s="228">
        <f>DV45-DS45</f>
        <v/>
      </c>
      <c r="DX45" s="229">
        <f>IF(DS45=0,"",DV45/DS45)</f>
        <v/>
      </c>
      <c r="DY45" s="18" t="n"/>
      <c r="DZ45" s="230">
        <f>DZ46</f>
        <v/>
      </c>
      <c r="EA45" s="230">
        <f>EA46</f>
        <v/>
      </c>
      <c r="EB45" s="230">
        <f>DZ45+EA45</f>
        <v/>
      </c>
      <c r="EC45" s="230">
        <f>EC46</f>
        <v/>
      </c>
      <c r="ED45" s="230">
        <f>ED46</f>
        <v/>
      </c>
      <c r="EE45" s="230">
        <f>EC45+ED45</f>
        <v/>
      </c>
      <c r="EF45" s="231">
        <f>EE45-EB45</f>
        <v/>
      </c>
      <c r="EG45" s="232">
        <f>IF(EB45=0,"",EE45/EB45)</f>
        <v/>
      </c>
      <c r="EH45" s="25" t="n"/>
      <c r="EI45" s="227">
        <f>EI46</f>
        <v/>
      </c>
      <c r="EJ45" s="227">
        <f>EJ46</f>
        <v/>
      </c>
      <c r="EK45" s="227">
        <f>EI45+EJ45</f>
        <v/>
      </c>
      <c r="EL45" s="227">
        <f>EL46</f>
        <v/>
      </c>
      <c r="EM45" s="227">
        <f>EM46</f>
        <v/>
      </c>
      <c r="EN45" s="227">
        <f>EL45+EM45</f>
        <v/>
      </c>
      <c r="EO45" s="228">
        <f>EN45-EK45</f>
        <v/>
      </c>
      <c r="EP45" s="229">
        <f>IF(EK45=0,"",EN45/EK45)</f>
        <v/>
      </c>
      <c r="EQ45" s="18" t="n"/>
      <c r="ER45" s="230">
        <f>ER46</f>
        <v/>
      </c>
      <c r="ES45" s="230">
        <f>ES46</f>
        <v/>
      </c>
      <c r="ET45" s="230">
        <f>ER45+ES45</f>
        <v/>
      </c>
      <c r="EU45" s="230">
        <f>EU46</f>
        <v/>
      </c>
      <c r="EV45" s="230">
        <f>EV46</f>
        <v/>
      </c>
      <c r="EW45" s="230">
        <f>EU45+EV45</f>
        <v/>
      </c>
      <c r="EX45" s="231">
        <f>EW45-ET45</f>
        <v/>
      </c>
      <c r="EY45" s="232">
        <f>IF(ET45=0,"",EW45/ET45)</f>
        <v/>
      </c>
      <c r="EZ45" s="25" t="n"/>
      <c r="FA45" s="227">
        <f>FA46</f>
        <v/>
      </c>
      <c r="FB45" s="227">
        <f>FB46</f>
        <v/>
      </c>
      <c r="FC45" s="227">
        <f>FA45+FB45</f>
        <v/>
      </c>
      <c r="FD45" s="227">
        <f>FD46</f>
        <v/>
      </c>
      <c r="FE45" s="227">
        <f>FE46</f>
        <v/>
      </c>
      <c r="FF45" s="227">
        <f>FD45+FE45</f>
        <v/>
      </c>
      <c r="FG45" s="228">
        <f>FF45-FC45</f>
        <v/>
      </c>
      <c r="FH45" s="229">
        <f>IF(FC45=0,"",FF45/FC45)</f>
        <v/>
      </c>
      <c r="FI45" s="18" t="n"/>
      <c r="FJ45" s="230">
        <f>FJ46</f>
        <v/>
      </c>
      <c r="FK45" s="230">
        <f>FK46</f>
        <v/>
      </c>
      <c r="FL45" s="230">
        <f>FJ45+FK45</f>
        <v/>
      </c>
      <c r="FM45" s="230">
        <f>FM46</f>
        <v/>
      </c>
      <c r="FN45" s="230">
        <f>FN46</f>
        <v/>
      </c>
      <c r="FO45" s="230">
        <f>FM45+FN45</f>
        <v/>
      </c>
      <c r="FP45" s="231">
        <f>FO45-FL45</f>
        <v/>
      </c>
      <c r="FQ45" s="232">
        <f>IF(FL45=0,"",FO45/FL45)</f>
        <v/>
      </c>
      <c r="FR45" s="25" t="n"/>
      <c r="FS45" s="227">
        <f>FS46</f>
        <v/>
      </c>
      <c r="FT45" s="227">
        <f>FT46</f>
        <v/>
      </c>
      <c r="FU45" s="227">
        <f>FS45+FT45</f>
        <v/>
      </c>
      <c r="FV45" s="227">
        <f>FV46</f>
        <v/>
      </c>
      <c r="FW45" s="227">
        <f>FW46</f>
        <v/>
      </c>
      <c r="FX45" s="227">
        <f>FV45+FW45</f>
        <v/>
      </c>
      <c r="FY45" s="228">
        <f>FX45-FU45</f>
        <v/>
      </c>
      <c r="FZ45" s="229">
        <f>IF(FU45=0,"",FX45/FU45)</f>
        <v/>
      </c>
      <c r="GA45" s="18" t="n"/>
      <c r="GB45" s="230">
        <f>GB46</f>
        <v/>
      </c>
      <c r="GC45" s="230">
        <f>GC46</f>
        <v/>
      </c>
      <c r="GD45" s="230">
        <f>GB45+GC45</f>
        <v/>
      </c>
      <c r="GE45" s="230">
        <f>GE46</f>
        <v/>
      </c>
      <c r="GF45" s="230">
        <f>GF46</f>
        <v/>
      </c>
      <c r="GG45" s="230">
        <f>GE45+GF45</f>
        <v/>
      </c>
      <c r="GH45" s="231">
        <f>GG45-GD45</f>
        <v/>
      </c>
      <c r="GI45" s="232">
        <f>IF(GD45=0,"",GG45/GD45)</f>
        <v/>
      </c>
      <c r="GJ45" s="25" t="n"/>
      <c r="GK45" s="227">
        <f>GK46</f>
        <v/>
      </c>
      <c r="GL45" s="227">
        <f>GL46</f>
        <v/>
      </c>
      <c r="GM45" s="227">
        <f>GK45+GL45</f>
        <v/>
      </c>
      <c r="GN45" s="227">
        <f>GN46</f>
        <v/>
      </c>
      <c r="GO45" s="227">
        <f>GO46</f>
        <v/>
      </c>
      <c r="GP45" s="227">
        <f>GN45+GO45</f>
        <v/>
      </c>
      <c r="GQ45" s="228">
        <f>GP45-GM45</f>
        <v/>
      </c>
      <c r="GR45" s="229">
        <f>IF(GM45=0,"",GP45/GM45)</f>
        <v/>
      </c>
      <c r="GS45" s="18" t="n"/>
      <c r="GT45" s="230">
        <f>GT46</f>
        <v/>
      </c>
      <c r="GU45" s="230">
        <f>GU46</f>
        <v/>
      </c>
      <c r="GV45" s="230">
        <f>GT45+GU45</f>
        <v/>
      </c>
      <c r="GW45" s="230">
        <f>GW46</f>
        <v/>
      </c>
      <c r="GX45" s="230">
        <f>GX46</f>
        <v/>
      </c>
      <c r="GY45" s="230">
        <f>GW45+GX45</f>
        <v/>
      </c>
      <c r="GZ45" s="231">
        <f>GY45-GV45</f>
        <v/>
      </c>
      <c r="HA45" s="232">
        <f>IF(GV45=0,"",GY45/GV45)</f>
        <v/>
      </c>
      <c r="HB45" s="25" t="n"/>
      <c r="HC45" s="227">
        <f>GT45</f>
        <v/>
      </c>
      <c r="HD45" s="227">
        <f>GU45</f>
        <v/>
      </c>
      <c r="HE45" s="227">
        <f>HC45+HD45</f>
        <v/>
      </c>
    </row>
    <row r="46" outlineLevel="1" ht="15" customHeight="1" s="150">
      <c r="A46" s="26" t="n"/>
      <c r="B46" s="26" t="n"/>
      <c r="C46" s="26" t="n"/>
      <c r="D46" s="233" t="n"/>
      <c r="E46" s="233" t="n"/>
      <c r="F46" s="233">
        <f>D46+E46</f>
        <v/>
      </c>
      <c r="G46" s="233" t="n"/>
      <c r="H46" s="233" t="n"/>
      <c r="I46" s="233">
        <f>G46+H46</f>
        <v/>
      </c>
      <c r="J46" s="238">
        <f>I46-F46</f>
        <v/>
      </c>
      <c r="K46" s="235">
        <f>IF(F46=0,"",I46/F46)</f>
        <v/>
      </c>
      <c r="L46" s="26" t="n"/>
      <c r="M46" s="233" t="n"/>
      <c r="N46" s="233" t="n"/>
      <c r="O46" s="233">
        <f>M46+N46</f>
        <v/>
      </c>
      <c r="P46" s="233" t="n"/>
      <c r="Q46" s="233" t="n"/>
      <c r="R46" s="233">
        <f>P46+Q46</f>
        <v/>
      </c>
      <c r="S46" s="238">
        <f>R46-O46</f>
        <v/>
      </c>
      <c r="T46" s="235">
        <f>IF(O46=0,"",R46/O46)</f>
        <v/>
      </c>
      <c r="U46" s="26" t="n"/>
      <c r="V46" s="236">
        <f>D46+M46</f>
        <v/>
      </c>
      <c r="W46" s="236">
        <f>E46+N46</f>
        <v/>
      </c>
      <c r="X46" s="236">
        <f>V46+W46</f>
        <v/>
      </c>
      <c r="Y46" s="236">
        <f>G46+P46</f>
        <v/>
      </c>
      <c r="Z46" s="236">
        <f>H46+Q46</f>
        <v/>
      </c>
      <c r="AA46" s="236">
        <f>Y46+Z46</f>
        <v/>
      </c>
      <c r="AB46" s="239">
        <f>AA46-X46</f>
        <v/>
      </c>
      <c r="AC46" s="237">
        <f>IF(X46=0,"",AA46/X46)</f>
        <v/>
      </c>
      <c r="AD46" s="33" t="n"/>
      <c r="AE46" s="233" t="n"/>
      <c r="AF46" s="233" t="n"/>
      <c r="AG46" s="233">
        <f>AE46+AF46</f>
        <v/>
      </c>
      <c r="AH46" s="233" t="n"/>
      <c r="AI46" s="233" t="n"/>
      <c r="AJ46" s="233">
        <f>AH46+AI46</f>
        <v/>
      </c>
      <c r="AK46" s="238">
        <f>AJ46-AG46</f>
        <v/>
      </c>
      <c r="AL46" s="235">
        <f>IF(AG46=0,"",AJ46/AG46)</f>
        <v/>
      </c>
      <c r="AM46" s="26" t="n"/>
      <c r="AN46" s="236">
        <f>V46+AE46</f>
        <v/>
      </c>
      <c r="AO46" s="236">
        <f>W46+AF46</f>
        <v/>
      </c>
      <c r="AP46" s="236">
        <f>AN46+AO46</f>
        <v/>
      </c>
      <c r="AQ46" s="236">
        <f>Y46+AH46</f>
        <v/>
      </c>
      <c r="AR46" s="236">
        <f>Z46+AI46</f>
        <v/>
      </c>
      <c r="AS46" s="236">
        <f>AQ46+AR46</f>
        <v/>
      </c>
      <c r="AT46" s="234">
        <f>AS46-AP46</f>
        <v/>
      </c>
      <c r="AU46" s="237">
        <f>IF(AP46=0,"",AS46/AP46)</f>
        <v/>
      </c>
      <c r="AV46" s="33" t="n"/>
      <c r="AW46" s="233" t="n"/>
      <c r="AX46" s="233" t="n"/>
      <c r="AY46" s="233">
        <f>AW46+AX46</f>
        <v/>
      </c>
      <c r="AZ46" s="233" t="n"/>
      <c r="BA46" s="233" t="n"/>
      <c r="BB46" s="233">
        <f>AZ46+BA46</f>
        <v/>
      </c>
      <c r="BC46" s="238">
        <f>BB46-AY46</f>
        <v/>
      </c>
      <c r="BD46" s="235">
        <f>IF(AY46=0,"",BB46/AY46)</f>
        <v/>
      </c>
      <c r="BE46" s="26" t="n"/>
      <c r="BF46" s="236">
        <f>AN46+AW46</f>
        <v/>
      </c>
      <c r="BG46" s="236">
        <f>AO46+AX46</f>
        <v/>
      </c>
      <c r="BH46" s="236">
        <f>BF46+BG46</f>
        <v/>
      </c>
      <c r="BI46" s="236">
        <f>AQ46+AZ46</f>
        <v/>
      </c>
      <c r="BJ46" s="236">
        <f>AR46+BA46</f>
        <v/>
      </c>
      <c r="BK46" s="236">
        <f>BI46+BJ46</f>
        <v/>
      </c>
      <c r="BL46" s="239">
        <f>BK46-BH46</f>
        <v/>
      </c>
      <c r="BM46" s="237">
        <f>IF(BH46=0,"",BK46/BH46)</f>
        <v/>
      </c>
      <c r="BN46" s="33" t="n"/>
      <c r="BO46" s="233" t="n"/>
      <c r="BP46" s="233" t="n"/>
      <c r="BQ46" s="233">
        <f>BO46+BP46</f>
        <v/>
      </c>
      <c r="BR46" s="233" t="n"/>
      <c r="BS46" s="233" t="n"/>
      <c r="BT46" s="233">
        <f>BR46+BS46</f>
        <v/>
      </c>
      <c r="BU46" s="238">
        <f>BT46-BQ46</f>
        <v/>
      </c>
      <c r="BV46" s="235">
        <f>IF(BQ46=0,"",BT46/BQ46)</f>
        <v/>
      </c>
      <c r="BW46" s="26" t="n"/>
      <c r="BX46" s="236">
        <f>BF46+BO46</f>
        <v/>
      </c>
      <c r="BY46" s="236">
        <f>BG46+BP46</f>
        <v/>
      </c>
      <c r="BZ46" s="236">
        <f>BX46+BY46</f>
        <v/>
      </c>
      <c r="CA46" s="236">
        <f>BI46+BR46</f>
        <v/>
      </c>
      <c r="CB46" s="236">
        <f>BJ46+BS46</f>
        <v/>
      </c>
      <c r="CC46" s="236">
        <f>CA46+CB46</f>
        <v/>
      </c>
      <c r="CD46" s="239">
        <f>CC46-BZ46</f>
        <v/>
      </c>
      <c r="CE46" s="237">
        <f>IF(BZ46=0,"",CC46/BZ46)</f>
        <v/>
      </c>
      <c r="CF46" s="33" t="n"/>
      <c r="CG46" s="233" t="n"/>
      <c r="CH46" s="233" t="n"/>
      <c r="CI46" s="233">
        <f>CG46+CH46</f>
        <v/>
      </c>
      <c r="CJ46" s="233" t="n"/>
      <c r="CK46" s="233" t="n"/>
      <c r="CL46" s="233">
        <f>CJ46+CK46</f>
        <v/>
      </c>
      <c r="CM46" s="238">
        <f>CL46-CI46</f>
        <v/>
      </c>
      <c r="CN46" s="235">
        <f>IF(CI46=0,"",CL46/CI46)</f>
        <v/>
      </c>
      <c r="CO46" s="26" t="n"/>
      <c r="CP46" s="236">
        <f>BX46+CG46</f>
        <v/>
      </c>
      <c r="CQ46" s="236">
        <f>BY46+CH46</f>
        <v/>
      </c>
      <c r="CR46" s="236">
        <f>CP46+CQ46</f>
        <v/>
      </c>
      <c r="CS46" s="236">
        <f>CA46+CJ46</f>
        <v/>
      </c>
      <c r="CT46" s="236">
        <f>CB46+CK46</f>
        <v/>
      </c>
      <c r="CU46" s="236">
        <f>CS46+CT46</f>
        <v/>
      </c>
      <c r="CV46" s="239">
        <f>CU46-CR46</f>
        <v/>
      </c>
      <c r="CW46" s="237">
        <f>IF(CR46=0,"",CU46/CR46)</f>
        <v/>
      </c>
      <c r="CX46" s="33" t="n"/>
      <c r="CY46" s="233" t="n"/>
      <c r="CZ46" s="233" t="n"/>
      <c r="DA46" s="233">
        <f>CY46+CZ46</f>
        <v/>
      </c>
      <c r="DB46" s="233" t="n"/>
      <c r="DC46" s="233" t="n"/>
      <c r="DD46" s="233">
        <f>DB46+DC46</f>
        <v/>
      </c>
      <c r="DE46" s="238">
        <f>DD46-DA46</f>
        <v/>
      </c>
      <c r="DF46" s="235">
        <f>IF(DA46=0,"",DD46/DA46)</f>
        <v/>
      </c>
      <c r="DG46" s="26" t="n"/>
      <c r="DH46" s="236">
        <f>CP46+CY46</f>
        <v/>
      </c>
      <c r="DI46" s="236">
        <f>CQ46+CZ46</f>
        <v/>
      </c>
      <c r="DJ46" s="236">
        <f>DH46+DI46</f>
        <v/>
      </c>
      <c r="DK46" s="236">
        <f>CS46+DB46</f>
        <v/>
      </c>
      <c r="DL46" s="236">
        <f>CT46+DC46</f>
        <v/>
      </c>
      <c r="DM46" s="236">
        <f>DK46+DL46</f>
        <v/>
      </c>
      <c r="DN46" s="239">
        <f>DM46-DJ46</f>
        <v/>
      </c>
      <c r="DO46" s="237">
        <f>IF(DJ46=0,"",DM46/DJ46)</f>
        <v/>
      </c>
      <c r="DP46" s="33" t="n"/>
      <c r="DQ46" s="233" t="n"/>
      <c r="DR46" s="233" t="n"/>
      <c r="DS46" s="233">
        <f>DQ46+DR46</f>
        <v/>
      </c>
      <c r="DT46" s="233" t="n"/>
      <c r="DU46" s="233" t="n"/>
      <c r="DV46" s="233">
        <f>DT46+DU46</f>
        <v/>
      </c>
      <c r="DW46" s="238">
        <f>DV46-DS46</f>
        <v/>
      </c>
      <c r="DX46" s="235">
        <f>IF(DS46=0,"",DV46/DS46)</f>
        <v/>
      </c>
      <c r="DY46" s="26" t="n"/>
      <c r="DZ46" s="236">
        <f>DH46+DQ46</f>
        <v/>
      </c>
      <c r="EA46" s="236">
        <f>DI46+DR46</f>
        <v/>
      </c>
      <c r="EB46" s="236">
        <f>DZ46+EA46</f>
        <v/>
      </c>
      <c r="EC46" s="236">
        <f>DK46+DT46</f>
        <v/>
      </c>
      <c r="ED46" s="236">
        <f>DL46+DU46</f>
        <v/>
      </c>
      <c r="EE46" s="236">
        <f>EC46+ED46</f>
        <v/>
      </c>
      <c r="EF46" s="239">
        <f>EE46-EB46</f>
        <v/>
      </c>
      <c r="EG46" s="237">
        <f>IF(EB46=0,"",EE46/EB46)</f>
        <v/>
      </c>
      <c r="EH46" s="33" t="n"/>
      <c r="EI46" s="233" t="n"/>
      <c r="EJ46" s="233" t="n"/>
      <c r="EK46" s="233">
        <f>EI46+EJ46</f>
        <v/>
      </c>
      <c r="EL46" s="233" t="n"/>
      <c r="EM46" s="233" t="n"/>
      <c r="EN46" s="233">
        <f>EL46+EM46</f>
        <v/>
      </c>
      <c r="EO46" s="238">
        <f>EN46-EK46</f>
        <v/>
      </c>
      <c r="EP46" s="235">
        <f>IF(EK46=0,"",EN46/EK46)</f>
        <v/>
      </c>
      <c r="EQ46" s="26" t="n"/>
      <c r="ER46" s="236">
        <f>DZ46+EI46</f>
        <v/>
      </c>
      <c r="ES46" s="236">
        <f>EA46+EJ46</f>
        <v/>
      </c>
      <c r="ET46" s="236">
        <f>ER46+ES46</f>
        <v/>
      </c>
      <c r="EU46" s="236">
        <f>EC46+EL46</f>
        <v/>
      </c>
      <c r="EV46" s="236">
        <f>ED46+EM46</f>
        <v/>
      </c>
      <c r="EW46" s="236">
        <f>EU46+EV46</f>
        <v/>
      </c>
      <c r="EX46" s="239">
        <f>EW46-ET46</f>
        <v/>
      </c>
      <c r="EY46" s="237">
        <f>IF(ET46=0,"",EW46/ET46)</f>
        <v/>
      </c>
      <c r="EZ46" s="33" t="n"/>
      <c r="FA46" s="233" t="n"/>
      <c r="FB46" s="233" t="n"/>
      <c r="FC46" s="233">
        <f>FA46+FB46</f>
        <v/>
      </c>
      <c r="FD46" s="233" t="n"/>
      <c r="FE46" s="233" t="n"/>
      <c r="FF46" s="233">
        <f>FD46+FE46</f>
        <v/>
      </c>
      <c r="FG46" s="238">
        <f>FF46-FC46</f>
        <v/>
      </c>
      <c r="FH46" s="235">
        <f>IF(FC46=0,"",FF46/FC46)</f>
        <v/>
      </c>
      <c r="FI46" s="26" t="n"/>
      <c r="FJ46" s="236">
        <f>ER46+FA46</f>
        <v/>
      </c>
      <c r="FK46" s="236">
        <f>ES46+FB46</f>
        <v/>
      </c>
      <c r="FL46" s="236">
        <f>FJ46+FK46</f>
        <v/>
      </c>
      <c r="FM46" s="236">
        <f>EU46+FD46</f>
        <v/>
      </c>
      <c r="FN46" s="236">
        <f>EV46+FE46</f>
        <v/>
      </c>
      <c r="FO46" s="236">
        <f>FM46+FN46</f>
        <v/>
      </c>
      <c r="FP46" s="239">
        <f>FO46-FL46</f>
        <v/>
      </c>
      <c r="FQ46" s="237">
        <f>IF(FL46=0,"",FO46/FL46)</f>
        <v/>
      </c>
      <c r="FR46" s="33" t="n"/>
      <c r="FS46" s="233" t="n"/>
      <c r="FT46" s="233" t="n"/>
      <c r="FU46" s="233">
        <f>FS46+FT46</f>
        <v/>
      </c>
      <c r="FV46" s="233" t="n"/>
      <c r="FW46" s="233" t="n"/>
      <c r="FX46" s="233">
        <f>FV46+FW46</f>
        <v/>
      </c>
      <c r="FY46" s="238">
        <f>FX46-FU46</f>
        <v/>
      </c>
      <c r="FZ46" s="235">
        <f>IF(FU46=0,"",FX46/FU46)</f>
        <v/>
      </c>
      <c r="GA46" s="26" t="n"/>
      <c r="GB46" s="236">
        <f>FJ46+FS46</f>
        <v/>
      </c>
      <c r="GC46" s="236">
        <f>FK46+FT46</f>
        <v/>
      </c>
      <c r="GD46" s="236">
        <f>GB46+GC46</f>
        <v/>
      </c>
      <c r="GE46" s="236">
        <f>FM46+FV46</f>
        <v/>
      </c>
      <c r="GF46" s="236">
        <f>FN46+FW46</f>
        <v/>
      </c>
      <c r="GG46" s="236">
        <f>GE46+GF46</f>
        <v/>
      </c>
      <c r="GH46" s="239">
        <f>GG46-GD46</f>
        <v/>
      </c>
      <c r="GI46" s="237">
        <f>IF(GD46=0,"",GG46/GD46)</f>
        <v/>
      </c>
      <c r="GJ46" s="33" t="n"/>
      <c r="GK46" s="233" t="n"/>
      <c r="GL46" s="233" t="n"/>
      <c r="GM46" s="233">
        <f>GK46+GL46</f>
        <v/>
      </c>
      <c r="GN46" s="233" t="n"/>
      <c r="GO46" s="233" t="n"/>
      <c r="GP46" s="233">
        <f>GN46+GO46</f>
        <v/>
      </c>
      <c r="GQ46" s="238">
        <f>GP46-GM46</f>
        <v/>
      </c>
      <c r="GR46" s="235">
        <f>IF(GM46=0,"",GP46/GM46)</f>
        <v/>
      </c>
      <c r="GS46" s="26" t="n"/>
      <c r="GT46" s="236">
        <f>GB46+GK46</f>
        <v/>
      </c>
      <c r="GU46" s="236">
        <f>GC46+GL46</f>
        <v/>
      </c>
      <c r="GV46" s="236">
        <f>GT46+GU46</f>
        <v/>
      </c>
      <c r="GW46" s="236">
        <f>GE46+GN46</f>
        <v/>
      </c>
      <c r="GX46" s="236">
        <f>GF46+GO46</f>
        <v/>
      </c>
      <c r="GY46" s="236">
        <f>GW46+GX46</f>
        <v/>
      </c>
      <c r="GZ46" s="239">
        <f>GY46-GV46</f>
        <v/>
      </c>
      <c r="HA46" s="237">
        <f>IF(GV46=0,"",GY46/GV46)</f>
        <v/>
      </c>
      <c r="HB46" s="33" t="n"/>
      <c r="HC46" s="233">
        <f>GT46</f>
        <v/>
      </c>
      <c r="HD46" s="233">
        <f>GU46</f>
        <v/>
      </c>
      <c r="HE46" s="233">
        <f>HC46+HD46</f>
        <v/>
      </c>
    </row>
    <row r="47" ht="15" customHeight="1" s="150">
      <c r="A47" s="18" t="n"/>
      <c r="B47" s="18" t="n"/>
      <c r="C47" s="18" t="n"/>
      <c r="D47" s="227">
        <f>SUM(D48:D62)</f>
        <v/>
      </c>
      <c r="E47" s="227">
        <f>SUM(E48:E62)</f>
        <v/>
      </c>
      <c r="F47" s="227">
        <f>D47+E47</f>
        <v/>
      </c>
      <c r="G47" s="227">
        <f>SUM(G48:G62)</f>
        <v/>
      </c>
      <c r="H47" s="227">
        <f>SUM(H48:H62)</f>
        <v/>
      </c>
      <c r="I47" s="227">
        <f>G47+H47</f>
        <v/>
      </c>
      <c r="J47" s="228">
        <f>I47-F47</f>
        <v/>
      </c>
      <c r="K47" s="229">
        <f>IF(F47=0,"",I47/F47)</f>
        <v/>
      </c>
      <c r="L47" s="18" t="n"/>
      <c r="M47" s="227">
        <f>SUM(M48:M62)</f>
        <v/>
      </c>
      <c r="N47" s="227">
        <f>SUM(N48:N62)</f>
        <v/>
      </c>
      <c r="O47" s="227">
        <f>M47+N47</f>
        <v/>
      </c>
      <c r="P47" s="227">
        <f>SUM(P48:P62)</f>
        <v/>
      </c>
      <c r="Q47" s="227">
        <f>SUM(Q48:Q62)</f>
        <v/>
      </c>
      <c r="R47" s="227">
        <f>P47+Q47</f>
        <v/>
      </c>
      <c r="S47" s="228">
        <f>R47-O47</f>
        <v/>
      </c>
      <c r="T47" s="229">
        <f>IF(O47=0,"",R47/O47)</f>
        <v/>
      </c>
      <c r="U47" s="18" t="n"/>
      <c r="V47" s="230">
        <f>SUM(V48:V62)</f>
        <v/>
      </c>
      <c r="W47" s="230">
        <f>SUM(W48:W62)</f>
        <v/>
      </c>
      <c r="X47" s="230">
        <f>V47+W47</f>
        <v/>
      </c>
      <c r="Y47" s="230">
        <f>SUM(Y48:Y62)</f>
        <v/>
      </c>
      <c r="Z47" s="230">
        <f>SUM(Z48:Z62)</f>
        <v/>
      </c>
      <c r="AA47" s="230">
        <f>Y47+Z47</f>
        <v/>
      </c>
      <c r="AB47" s="231">
        <f>AA47-X47</f>
        <v/>
      </c>
      <c r="AC47" s="232">
        <f>IF(X47=0,"",AA47/X47)</f>
        <v/>
      </c>
      <c r="AD47" s="25" t="n"/>
      <c r="AE47" s="227">
        <f>SUM(AE48:AE62)</f>
        <v/>
      </c>
      <c r="AF47" s="227">
        <f>SUM(AF48:AF62)</f>
        <v/>
      </c>
      <c r="AG47" s="227">
        <f>AE47+AF47</f>
        <v/>
      </c>
      <c r="AH47" s="227">
        <f>SUM(AH48:AH62)</f>
        <v/>
      </c>
      <c r="AI47" s="227">
        <f>SUM(AI48:AI62)</f>
        <v/>
      </c>
      <c r="AJ47" s="227">
        <f>AH47+AI47</f>
        <v/>
      </c>
      <c r="AK47" s="228">
        <f>AJ47-AG47</f>
        <v/>
      </c>
      <c r="AL47" s="229">
        <f>IF(AG47=0,"",AJ47/AG47)</f>
        <v/>
      </c>
      <c r="AM47" s="18" t="n"/>
      <c r="AN47" s="230">
        <f>SUM(AN48:AN62)</f>
        <v/>
      </c>
      <c r="AO47" s="230">
        <f>SUM(AO48:AO62)</f>
        <v/>
      </c>
      <c r="AP47" s="230">
        <f>AN47+AO47</f>
        <v/>
      </c>
      <c r="AQ47" s="230">
        <f>SUM(AQ48:AQ62)</f>
        <v/>
      </c>
      <c r="AR47" s="230">
        <f>SUM(AR48:AR62)</f>
        <v/>
      </c>
      <c r="AS47" s="230">
        <f>AQ47+AR47</f>
        <v/>
      </c>
      <c r="AT47" s="231">
        <f>AS47-AP47</f>
        <v/>
      </c>
      <c r="AU47" s="232">
        <f>IF(AP47=0,"",AS47/AP47)</f>
        <v/>
      </c>
      <c r="AV47" s="25" t="n"/>
      <c r="AW47" s="227">
        <f>SUM(AW48:AW62)</f>
        <v/>
      </c>
      <c r="AX47" s="227">
        <f>SUM(AX48:AX62)</f>
        <v/>
      </c>
      <c r="AY47" s="227">
        <f>AW47+AX47</f>
        <v/>
      </c>
      <c r="AZ47" s="227">
        <f>SUM(AZ48:AZ62)</f>
        <v/>
      </c>
      <c r="BA47" s="227">
        <f>SUM(BA48:BA62)</f>
        <v/>
      </c>
      <c r="BB47" s="227">
        <f>AZ47+BA47</f>
        <v/>
      </c>
      <c r="BC47" s="228">
        <f>BB47-AY47</f>
        <v/>
      </c>
      <c r="BD47" s="229">
        <f>IF(AY47=0,"",BB47/AY47)</f>
        <v/>
      </c>
      <c r="BE47" s="18" t="n"/>
      <c r="BF47" s="230">
        <f>SUM(BF48:BF62)</f>
        <v/>
      </c>
      <c r="BG47" s="230">
        <f>SUM(BG48:BG62)</f>
        <v/>
      </c>
      <c r="BH47" s="230">
        <f>BF47+BG47</f>
        <v/>
      </c>
      <c r="BI47" s="230">
        <f>SUM(BI48:BI62)</f>
        <v/>
      </c>
      <c r="BJ47" s="230">
        <f>SUM(BJ48:BJ62)</f>
        <v/>
      </c>
      <c r="BK47" s="230">
        <f>BI47+BJ47</f>
        <v/>
      </c>
      <c r="BL47" s="231">
        <f>BK47-BH47</f>
        <v/>
      </c>
      <c r="BM47" s="232">
        <f>IF(BH47=0,"",BK47/BH47)</f>
        <v/>
      </c>
      <c r="BN47" s="25" t="n"/>
      <c r="BO47" s="227">
        <f>SUM(BO48:BO62)</f>
        <v/>
      </c>
      <c r="BP47" s="227">
        <f>SUM(BP48:BP62)</f>
        <v/>
      </c>
      <c r="BQ47" s="227">
        <f>BO47+BP47</f>
        <v/>
      </c>
      <c r="BR47" s="227">
        <f>SUM(BR48:BR62)</f>
        <v/>
      </c>
      <c r="BS47" s="227">
        <f>SUM(BS48:BS62)</f>
        <v/>
      </c>
      <c r="BT47" s="227">
        <f>BR47+BS47</f>
        <v/>
      </c>
      <c r="BU47" s="228">
        <f>BT47-BQ47</f>
        <v/>
      </c>
      <c r="BV47" s="229">
        <f>IF(BQ47=0,"",BT47/BQ47)</f>
        <v/>
      </c>
      <c r="BW47" s="18" t="n"/>
      <c r="BX47" s="230">
        <f>SUM(BX48:BX62)</f>
        <v/>
      </c>
      <c r="BY47" s="230">
        <f>SUM(BY48:BY62)</f>
        <v/>
      </c>
      <c r="BZ47" s="230">
        <f>BX47+BY47</f>
        <v/>
      </c>
      <c r="CA47" s="230">
        <f>SUM(CA48:CA62)</f>
        <v/>
      </c>
      <c r="CB47" s="230">
        <f>SUM(CB48:CB62)</f>
        <v/>
      </c>
      <c r="CC47" s="230">
        <f>CA47+CB47</f>
        <v/>
      </c>
      <c r="CD47" s="231">
        <f>CC47-BZ47</f>
        <v/>
      </c>
      <c r="CE47" s="232">
        <f>IF(BZ47=0,"",CC47/BZ47)</f>
        <v/>
      </c>
      <c r="CF47" s="25" t="n"/>
      <c r="CG47" s="227">
        <f>SUM(CG48:CG62)</f>
        <v/>
      </c>
      <c r="CH47" s="227">
        <f>SUM(CH48:CH62)</f>
        <v/>
      </c>
      <c r="CI47" s="227">
        <f>CG47+CH47</f>
        <v/>
      </c>
      <c r="CJ47" s="227">
        <f>SUM(CJ48:CJ62)</f>
        <v/>
      </c>
      <c r="CK47" s="227">
        <f>SUM(CK48:CK62)</f>
        <v/>
      </c>
      <c r="CL47" s="227">
        <f>CJ47+CK47</f>
        <v/>
      </c>
      <c r="CM47" s="228">
        <f>CL47-CI47</f>
        <v/>
      </c>
      <c r="CN47" s="229">
        <f>IF(CI47=0,"",CL47/CI47)</f>
        <v/>
      </c>
      <c r="CO47" s="18" t="n"/>
      <c r="CP47" s="230">
        <f>SUM(CP48:CP62)</f>
        <v/>
      </c>
      <c r="CQ47" s="230">
        <f>SUM(CQ48:CQ62)</f>
        <v/>
      </c>
      <c r="CR47" s="230">
        <f>CP47+CQ47</f>
        <v/>
      </c>
      <c r="CS47" s="230">
        <f>SUM(CS48:CS62)</f>
        <v/>
      </c>
      <c r="CT47" s="230">
        <f>SUM(CT48:CT62)</f>
        <v/>
      </c>
      <c r="CU47" s="230">
        <f>CS47+CT47</f>
        <v/>
      </c>
      <c r="CV47" s="231">
        <f>CU47-CR47</f>
        <v/>
      </c>
      <c r="CW47" s="232">
        <f>IF(CR47=0,"",CU47/CR47)</f>
        <v/>
      </c>
      <c r="CX47" s="25" t="n"/>
      <c r="CY47" s="227">
        <f>SUM(CY48:CY62)</f>
        <v/>
      </c>
      <c r="CZ47" s="227">
        <f>SUM(CZ48:CZ62)</f>
        <v/>
      </c>
      <c r="DA47" s="227">
        <f>CY47+CZ47</f>
        <v/>
      </c>
      <c r="DB47" s="227">
        <f>SUM(DB48:DB62)</f>
        <v/>
      </c>
      <c r="DC47" s="227">
        <f>SUM(DC48:DC62)</f>
        <v/>
      </c>
      <c r="DD47" s="227">
        <f>DB47+DC47</f>
        <v/>
      </c>
      <c r="DE47" s="228">
        <f>DD47-DA47</f>
        <v/>
      </c>
      <c r="DF47" s="229">
        <f>IF(DA47=0,"",DD47/DA47)</f>
        <v/>
      </c>
      <c r="DG47" s="18" t="n"/>
      <c r="DH47" s="230">
        <f>SUM(DH48:DH62)</f>
        <v/>
      </c>
      <c r="DI47" s="230">
        <f>SUM(DI48:DI62)</f>
        <v/>
      </c>
      <c r="DJ47" s="230">
        <f>DH47+DI47</f>
        <v/>
      </c>
      <c r="DK47" s="230">
        <f>SUM(DK48:DK62)</f>
        <v/>
      </c>
      <c r="DL47" s="230">
        <f>SUM(DL48:DL62)</f>
        <v/>
      </c>
      <c r="DM47" s="230">
        <f>DK47+DL47</f>
        <v/>
      </c>
      <c r="DN47" s="231">
        <f>DM47-DJ47</f>
        <v/>
      </c>
      <c r="DO47" s="232">
        <f>IF(DJ47=0,"",DM47/DJ47)</f>
        <v/>
      </c>
      <c r="DP47" s="25" t="n"/>
      <c r="DQ47" s="227">
        <f>SUM(DQ48:DQ62)</f>
        <v/>
      </c>
      <c r="DR47" s="227">
        <f>SUM(DR48:DR62)</f>
        <v/>
      </c>
      <c r="DS47" s="227">
        <f>DQ47+DR47</f>
        <v/>
      </c>
      <c r="DT47" s="227">
        <f>SUM(DT48:DT62)</f>
        <v/>
      </c>
      <c r="DU47" s="227">
        <f>SUM(DU48:DU62)</f>
        <v/>
      </c>
      <c r="DV47" s="227">
        <f>DT47+DU47</f>
        <v/>
      </c>
      <c r="DW47" s="228">
        <f>DV47-DS47</f>
        <v/>
      </c>
      <c r="DX47" s="229">
        <f>IF(DS47=0,"",DV47/DS47)</f>
        <v/>
      </c>
      <c r="DY47" s="18" t="n"/>
      <c r="DZ47" s="230">
        <f>SUM(DZ48:DZ62)</f>
        <v/>
      </c>
      <c r="EA47" s="230">
        <f>SUM(EA48:EA62)</f>
        <v/>
      </c>
      <c r="EB47" s="230">
        <f>DZ47+EA47</f>
        <v/>
      </c>
      <c r="EC47" s="230">
        <f>SUM(EC48:EC62)</f>
        <v/>
      </c>
      <c r="ED47" s="230">
        <f>SUM(ED48:ED62)</f>
        <v/>
      </c>
      <c r="EE47" s="230">
        <f>EC47+ED47</f>
        <v/>
      </c>
      <c r="EF47" s="231">
        <f>EE47-EB47</f>
        <v/>
      </c>
      <c r="EG47" s="232">
        <f>IF(EB47=0,"",EE47/EB47)</f>
        <v/>
      </c>
      <c r="EH47" s="25" t="n"/>
      <c r="EI47" s="227">
        <f>SUM(EI48:EI62)</f>
        <v/>
      </c>
      <c r="EJ47" s="227">
        <f>SUM(EJ48:EJ62)</f>
        <v/>
      </c>
      <c r="EK47" s="227">
        <f>EI47+EJ47</f>
        <v/>
      </c>
      <c r="EL47" s="227">
        <f>SUM(EL48:EL62)</f>
        <v/>
      </c>
      <c r="EM47" s="227">
        <f>SUM(EM48:EM62)</f>
        <v/>
      </c>
      <c r="EN47" s="227">
        <f>EL47+EM47</f>
        <v/>
      </c>
      <c r="EO47" s="228">
        <f>EN47-EK47</f>
        <v/>
      </c>
      <c r="EP47" s="229">
        <f>IF(EK47=0,"",EN47/EK47)</f>
        <v/>
      </c>
      <c r="EQ47" s="18" t="n"/>
      <c r="ER47" s="230">
        <f>SUM(ER48:ER62)</f>
        <v/>
      </c>
      <c r="ES47" s="230">
        <f>SUM(ES48:ES62)</f>
        <v/>
      </c>
      <c r="ET47" s="230">
        <f>ER47+ES47</f>
        <v/>
      </c>
      <c r="EU47" s="230">
        <f>SUM(EU48:EU62)</f>
        <v/>
      </c>
      <c r="EV47" s="230">
        <f>SUM(EV48:EV62)</f>
        <v/>
      </c>
      <c r="EW47" s="230">
        <f>EU47+EV47</f>
        <v/>
      </c>
      <c r="EX47" s="231">
        <f>EW47-ET47</f>
        <v/>
      </c>
      <c r="EY47" s="232">
        <f>IF(ET47=0,"",EW47/ET47)</f>
        <v/>
      </c>
      <c r="EZ47" s="25" t="n"/>
      <c r="FA47" s="227">
        <f>SUM(FA48:FA62)</f>
        <v/>
      </c>
      <c r="FB47" s="227">
        <f>SUM(FB48:FB62)</f>
        <v/>
      </c>
      <c r="FC47" s="227">
        <f>FA47+FB47</f>
        <v/>
      </c>
      <c r="FD47" s="227">
        <f>SUM(FD48:FD62)</f>
        <v/>
      </c>
      <c r="FE47" s="227">
        <f>SUM(FE48:FE62)</f>
        <v/>
      </c>
      <c r="FF47" s="227">
        <f>FD47+FE47</f>
        <v/>
      </c>
      <c r="FG47" s="228">
        <f>FF47-FC47</f>
        <v/>
      </c>
      <c r="FH47" s="229">
        <f>IF(FC47=0,"",FF47/FC47)</f>
        <v/>
      </c>
      <c r="FI47" s="18" t="n"/>
      <c r="FJ47" s="230">
        <f>SUM(FJ48:FJ62)</f>
        <v/>
      </c>
      <c r="FK47" s="230">
        <f>SUM(FK48:FK62)</f>
        <v/>
      </c>
      <c r="FL47" s="230">
        <f>FJ47+FK47</f>
        <v/>
      </c>
      <c r="FM47" s="230">
        <f>SUM(FM48:FM62)</f>
        <v/>
      </c>
      <c r="FN47" s="230">
        <f>SUM(FN48:FN62)</f>
        <v/>
      </c>
      <c r="FO47" s="230">
        <f>FM47+FN47</f>
        <v/>
      </c>
      <c r="FP47" s="231">
        <f>FO47-FL47</f>
        <v/>
      </c>
      <c r="FQ47" s="232">
        <f>IF(FL47=0,"",FO47/FL47)</f>
        <v/>
      </c>
      <c r="FR47" s="25" t="n"/>
      <c r="FS47" s="227">
        <f>SUM(FS48:FS62)</f>
        <v/>
      </c>
      <c r="FT47" s="227">
        <f>SUM(FT48:FT62)</f>
        <v/>
      </c>
      <c r="FU47" s="227">
        <f>FS47+FT47</f>
        <v/>
      </c>
      <c r="FV47" s="227">
        <f>SUM(FV48:FV62)</f>
        <v/>
      </c>
      <c r="FW47" s="227">
        <f>SUM(FW48:FW62)</f>
        <v/>
      </c>
      <c r="FX47" s="227">
        <f>FV47+FW47</f>
        <v/>
      </c>
      <c r="FY47" s="228">
        <f>FX47-FU47</f>
        <v/>
      </c>
      <c r="FZ47" s="229">
        <f>IF(FU47=0,"",FX47/FU47)</f>
        <v/>
      </c>
      <c r="GA47" s="18" t="n"/>
      <c r="GB47" s="230">
        <f>SUM(GB48:GB62)</f>
        <v/>
      </c>
      <c r="GC47" s="230">
        <f>SUM(GC48:GC62)</f>
        <v/>
      </c>
      <c r="GD47" s="230">
        <f>GB47+GC47</f>
        <v/>
      </c>
      <c r="GE47" s="230">
        <f>SUM(GE48:GE62)</f>
        <v/>
      </c>
      <c r="GF47" s="230">
        <f>SUM(GF48:GF62)</f>
        <v/>
      </c>
      <c r="GG47" s="230">
        <f>GE47+GF47</f>
        <v/>
      </c>
      <c r="GH47" s="231">
        <f>GG47-GD47</f>
        <v/>
      </c>
      <c r="GI47" s="232">
        <f>IF(GD47=0,"",GG47/GD47)</f>
        <v/>
      </c>
      <c r="GJ47" s="25" t="n"/>
      <c r="GK47" s="227">
        <f>SUM(GK48:GK62)</f>
        <v/>
      </c>
      <c r="GL47" s="227">
        <f>SUM(GL48:GL62)</f>
        <v/>
      </c>
      <c r="GM47" s="227">
        <f>GK47+GL47</f>
        <v/>
      </c>
      <c r="GN47" s="227">
        <f>SUM(GN48:GN62)</f>
        <v/>
      </c>
      <c r="GO47" s="227">
        <f>SUM(GO48:GO62)</f>
        <v/>
      </c>
      <c r="GP47" s="227">
        <f>GN47+GO47</f>
        <v/>
      </c>
      <c r="GQ47" s="228">
        <f>GP47-GM47</f>
        <v/>
      </c>
      <c r="GR47" s="229">
        <f>IF(GM47=0,"",GP47/GM47)</f>
        <v/>
      </c>
      <c r="GS47" s="18" t="n"/>
      <c r="GT47" s="230">
        <f>SUM(GT48:GT62)</f>
        <v/>
      </c>
      <c r="GU47" s="230">
        <f>SUM(GU48:GU62)</f>
        <v/>
      </c>
      <c r="GV47" s="230">
        <f>GT47+GU47</f>
        <v/>
      </c>
      <c r="GW47" s="230">
        <f>SUM(GW48:GW62)</f>
        <v/>
      </c>
      <c r="GX47" s="230">
        <f>SUM(GX48:GX62)</f>
        <v/>
      </c>
      <c r="GY47" s="230">
        <f>GW47+GX47</f>
        <v/>
      </c>
      <c r="GZ47" s="231">
        <f>GY47-GV47</f>
        <v/>
      </c>
      <c r="HA47" s="232">
        <f>IF(GV47=0,"",GY47/GV47)</f>
        <v/>
      </c>
      <c r="HB47" s="25" t="n"/>
      <c r="HC47" s="227">
        <f>GT47</f>
        <v/>
      </c>
      <c r="HD47" s="227">
        <f>GU47</f>
        <v/>
      </c>
      <c r="HE47" s="227">
        <f>HC47+HD47</f>
        <v/>
      </c>
    </row>
    <row r="48" outlineLevel="1" ht="15" customHeight="1" s="150">
      <c r="A48" s="26" t="n"/>
      <c r="B48" s="26" t="n"/>
      <c r="C48" s="26" t="n"/>
      <c r="D48" s="233" t="n"/>
      <c r="E48" s="233" t="n"/>
      <c r="F48" s="233">
        <f>D48+E48</f>
        <v/>
      </c>
      <c r="G48" s="233" t="n"/>
      <c r="H48" s="233" t="n"/>
      <c r="I48" s="233">
        <f>G48+H48</f>
        <v/>
      </c>
      <c r="J48" s="238">
        <f>I48-F48</f>
        <v/>
      </c>
      <c r="K48" s="235">
        <f>IF(F48=0,"",I48/F48)</f>
        <v/>
      </c>
      <c r="L48" s="26" t="n"/>
      <c r="M48" s="233" t="n"/>
      <c r="N48" s="233" t="n"/>
      <c r="O48" s="233">
        <f>M48+N48</f>
        <v/>
      </c>
      <c r="P48" s="233" t="n"/>
      <c r="Q48" s="233" t="n"/>
      <c r="R48" s="233">
        <f>P48+Q48</f>
        <v/>
      </c>
      <c r="S48" s="238">
        <f>R48-O48</f>
        <v/>
      </c>
      <c r="T48" s="235">
        <f>IF(O48=0,"",R48/O48)</f>
        <v/>
      </c>
      <c r="U48" s="26" t="n"/>
      <c r="V48" s="236">
        <f>D48+M48</f>
        <v/>
      </c>
      <c r="W48" s="236">
        <f>E48+N48</f>
        <v/>
      </c>
      <c r="X48" s="236">
        <f>V48+W48</f>
        <v/>
      </c>
      <c r="Y48" s="236">
        <f>G48+P48</f>
        <v/>
      </c>
      <c r="Z48" s="236">
        <f>H48+Q48</f>
        <v/>
      </c>
      <c r="AA48" s="236">
        <f>Y48+Z48</f>
        <v/>
      </c>
      <c r="AB48" s="239">
        <f>AA48-X48</f>
        <v/>
      </c>
      <c r="AC48" s="237">
        <f>IF(X48=0,"",AA48/X48)</f>
        <v/>
      </c>
      <c r="AD48" s="33" t="n"/>
      <c r="AE48" s="233" t="n"/>
      <c r="AF48" s="233" t="n"/>
      <c r="AG48" s="233">
        <f>AE48+AF48</f>
        <v/>
      </c>
      <c r="AH48" s="233" t="n"/>
      <c r="AI48" s="233" t="n"/>
      <c r="AJ48" s="233">
        <f>AH48+AI48</f>
        <v/>
      </c>
      <c r="AK48" s="238">
        <f>AJ48-AG48</f>
        <v/>
      </c>
      <c r="AL48" s="235">
        <f>IF(AG48=0,"",AJ48/AG48)</f>
        <v/>
      </c>
      <c r="AM48" s="26" t="n"/>
      <c r="AN48" s="236">
        <f>V48+AE48</f>
        <v/>
      </c>
      <c r="AO48" s="236">
        <f>W48+AF48</f>
        <v/>
      </c>
      <c r="AP48" s="236">
        <f>AN48+AO48</f>
        <v/>
      </c>
      <c r="AQ48" s="236">
        <f>Y48+AH48</f>
        <v/>
      </c>
      <c r="AR48" s="236">
        <f>Z48+AI48</f>
        <v/>
      </c>
      <c r="AS48" s="236">
        <f>AQ48+AR48</f>
        <v/>
      </c>
      <c r="AT48" s="239">
        <f>AS48-AP48</f>
        <v/>
      </c>
      <c r="AU48" s="237">
        <f>IF(AP48=0,"",AS48/AP48)</f>
        <v/>
      </c>
      <c r="AV48" s="33" t="n"/>
      <c r="AW48" s="233" t="n"/>
      <c r="AX48" s="233" t="n"/>
      <c r="AY48" s="233">
        <f>AW48+AX48</f>
        <v/>
      </c>
      <c r="AZ48" s="233" t="n"/>
      <c r="BA48" s="233" t="n"/>
      <c r="BB48" s="233">
        <f>AZ48+BA48</f>
        <v/>
      </c>
      <c r="BC48" s="238">
        <f>BB48-AY48</f>
        <v/>
      </c>
      <c r="BD48" s="235">
        <f>IF(AY48=0,"",BB48/AY48)</f>
        <v/>
      </c>
      <c r="BE48" s="26" t="n"/>
      <c r="BF48" s="236">
        <f>AN48+AW48</f>
        <v/>
      </c>
      <c r="BG48" s="236">
        <f>AO48+AX48</f>
        <v/>
      </c>
      <c r="BH48" s="236">
        <f>BF48+BG48</f>
        <v/>
      </c>
      <c r="BI48" s="236">
        <f>AQ48+AZ48</f>
        <v/>
      </c>
      <c r="BJ48" s="236">
        <f>AR48+BA48</f>
        <v/>
      </c>
      <c r="BK48" s="236">
        <f>BI48+BJ48</f>
        <v/>
      </c>
      <c r="BL48" s="239">
        <f>BK48-BH48</f>
        <v/>
      </c>
      <c r="BM48" s="237">
        <f>IF(BH48=0,"",BK48/BH48)</f>
        <v/>
      </c>
      <c r="BN48" s="33" t="n"/>
      <c r="BO48" s="233" t="n"/>
      <c r="BP48" s="233" t="n"/>
      <c r="BQ48" s="233">
        <f>BO48+BP48</f>
        <v/>
      </c>
      <c r="BR48" s="233" t="n"/>
      <c r="BS48" s="233" t="n"/>
      <c r="BT48" s="233">
        <f>BR48+BS48</f>
        <v/>
      </c>
      <c r="BU48" s="238">
        <f>BT48-BQ48</f>
        <v/>
      </c>
      <c r="BV48" s="235">
        <f>IF(BQ48=0,"",BT48/BQ48)</f>
        <v/>
      </c>
      <c r="BW48" s="26" t="n"/>
      <c r="BX48" s="236">
        <f>BF48+BO48</f>
        <v/>
      </c>
      <c r="BY48" s="236">
        <f>BG48+BP48</f>
        <v/>
      </c>
      <c r="BZ48" s="236">
        <f>BX48+BY48</f>
        <v/>
      </c>
      <c r="CA48" s="236">
        <f>BI48+BR48</f>
        <v/>
      </c>
      <c r="CB48" s="236">
        <f>BJ48+BS48</f>
        <v/>
      </c>
      <c r="CC48" s="236">
        <f>CA48+CB48</f>
        <v/>
      </c>
      <c r="CD48" s="239">
        <f>CC48-BZ48</f>
        <v/>
      </c>
      <c r="CE48" s="237">
        <f>IF(BZ48=0,"",CC48/BZ48)</f>
        <v/>
      </c>
      <c r="CF48" s="33" t="n"/>
      <c r="CG48" s="233" t="n"/>
      <c r="CH48" s="233" t="n"/>
      <c r="CI48" s="233">
        <f>CG48+CH48</f>
        <v/>
      </c>
      <c r="CJ48" s="233" t="n"/>
      <c r="CK48" s="233" t="n"/>
      <c r="CL48" s="233">
        <f>CJ48+CK48</f>
        <v/>
      </c>
      <c r="CM48" s="238">
        <f>CL48-CI48</f>
        <v/>
      </c>
      <c r="CN48" s="235">
        <f>IF(CI48=0,"",CL48/CI48)</f>
        <v/>
      </c>
      <c r="CO48" s="26" t="n"/>
      <c r="CP48" s="236">
        <f>BX48+CG48</f>
        <v/>
      </c>
      <c r="CQ48" s="236">
        <f>BY48+CH48</f>
        <v/>
      </c>
      <c r="CR48" s="236">
        <f>CP48+CQ48</f>
        <v/>
      </c>
      <c r="CS48" s="236">
        <f>CA48+CJ48</f>
        <v/>
      </c>
      <c r="CT48" s="236">
        <f>CB48+CK48</f>
        <v/>
      </c>
      <c r="CU48" s="236">
        <f>CS48+CT48</f>
        <v/>
      </c>
      <c r="CV48" s="239">
        <f>CU48-CR48</f>
        <v/>
      </c>
      <c r="CW48" s="237">
        <f>IF(CR48=0,"",CU48/CR48)</f>
        <v/>
      </c>
      <c r="CX48" s="33" t="n"/>
      <c r="CY48" s="233" t="n"/>
      <c r="CZ48" s="233" t="n"/>
      <c r="DA48" s="233">
        <f>CY48+CZ48</f>
        <v/>
      </c>
      <c r="DB48" s="233" t="n"/>
      <c r="DC48" s="233" t="n"/>
      <c r="DD48" s="233">
        <f>DB48+DC48</f>
        <v/>
      </c>
      <c r="DE48" s="238">
        <f>DD48-DA48</f>
        <v/>
      </c>
      <c r="DF48" s="235">
        <f>IF(DA48=0,"",DD48/DA48)</f>
        <v/>
      </c>
      <c r="DG48" s="26" t="n"/>
      <c r="DH48" s="236">
        <f>CP48+CY48</f>
        <v/>
      </c>
      <c r="DI48" s="236">
        <f>CQ48+CZ48</f>
        <v/>
      </c>
      <c r="DJ48" s="236">
        <f>DH48+DI48</f>
        <v/>
      </c>
      <c r="DK48" s="236">
        <f>CS48+DB48</f>
        <v/>
      </c>
      <c r="DL48" s="236">
        <f>CT48+DC48</f>
        <v/>
      </c>
      <c r="DM48" s="236">
        <f>DK48+DL48</f>
        <v/>
      </c>
      <c r="DN48" s="239">
        <f>DM48-DJ48</f>
        <v/>
      </c>
      <c r="DO48" s="237">
        <f>IF(DJ48=0,"",DM48/DJ48)</f>
        <v/>
      </c>
      <c r="DP48" s="33" t="n"/>
      <c r="DQ48" s="233" t="n"/>
      <c r="DR48" s="233" t="n"/>
      <c r="DS48" s="233">
        <f>DQ48+DR48</f>
        <v/>
      </c>
      <c r="DT48" s="233" t="n"/>
      <c r="DU48" s="233" t="n"/>
      <c r="DV48" s="233">
        <f>DT48+DU48</f>
        <v/>
      </c>
      <c r="DW48" s="238">
        <f>DV48-DS48</f>
        <v/>
      </c>
      <c r="DX48" s="235">
        <f>IF(DS48=0,"",DV48/DS48)</f>
        <v/>
      </c>
      <c r="DY48" s="26" t="n"/>
      <c r="DZ48" s="236">
        <f>DH48+DQ48</f>
        <v/>
      </c>
      <c r="EA48" s="236">
        <f>DI48+DR48</f>
        <v/>
      </c>
      <c r="EB48" s="236">
        <f>DZ48+EA48</f>
        <v/>
      </c>
      <c r="EC48" s="236">
        <f>DK48+DT48</f>
        <v/>
      </c>
      <c r="ED48" s="236">
        <f>DL48+DU48</f>
        <v/>
      </c>
      <c r="EE48" s="236">
        <f>EC48+ED48</f>
        <v/>
      </c>
      <c r="EF48" s="239">
        <f>EE48-EB48</f>
        <v/>
      </c>
      <c r="EG48" s="237">
        <f>IF(EB48=0,"",EE48/EB48)</f>
        <v/>
      </c>
      <c r="EH48" s="33" t="n"/>
      <c r="EI48" s="233" t="n"/>
      <c r="EJ48" s="233" t="n"/>
      <c r="EK48" s="233">
        <f>EI48+EJ48</f>
        <v/>
      </c>
      <c r="EL48" s="233" t="n"/>
      <c r="EM48" s="233" t="n"/>
      <c r="EN48" s="233">
        <f>EL48+EM48</f>
        <v/>
      </c>
      <c r="EO48" s="238">
        <f>EN48-EK48</f>
        <v/>
      </c>
      <c r="EP48" s="235">
        <f>IF(EK48=0,"",EN48/EK48)</f>
        <v/>
      </c>
      <c r="EQ48" s="26" t="n"/>
      <c r="ER48" s="236">
        <f>DZ48+EI48</f>
        <v/>
      </c>
      <c r="ES48" s="236">
        <f>EA48+EJ48</f>
        <v/>
      </c>
      <c r="ET48" s="236">
        <f>ER48+ES48</f>
        <v/>
      </c>
      <c r="EU48" s="236">
        <f>EC48+EL48</f>
        <v/>
      </c>
      <c r="EV48" s="236">
        <f>ED48+EM48</f>
        <v/>
      </c>
      <c r="EW48" s="236">
        <f>EU48+EV48</f>
        <v/>
      </c>
      <c r="EX48" s="239">
        <f>EW48-ET48</f>
        <v/>
      </c>
      <c r="EY48" s="237">
        <f>IF(ET48=0,"",EW48/ET48)</f>
        <v/>
      </c>
      <c r="EZ48" s="33" t="n"/>
      <c r="FA48" s="233" t="n"/>
      <c r="FB48" s="233" t="n"/>
      <c r="FC48" s="233">
        <f>FA48+FB48</f>
        <v/>
      </c>
      <c r="FD48" s="233" t="n"/>
      <c r="FE48" s="233" t="n"/>
      <c r="FF48" s="233">
        <f>FD48+FE48</f>
        <v/>
      </c>
      <c r="FG48" s="238">
        <f>FF48-FC48</f>
        <v/>
      </c>
      <c r="FH48" s="235">
        <f>IF(FC48=0,"",FF48/FC48)</f>
        <v/>
      </c>
      <c r="FI48" s="26" t="n"/>
      <c r="FJ48" s="236">
        <f>ER48+FA48</f>
        <v/>
      </c>
      <c r="FK48" s="236">
        <f>ES48+FB48</f>
        <v/>
      </c>
      <c r="FL48" s="236">
        <f>FJ48+FK48</f>
        <v/>
      </c>
      <c r="FM48" s="236">
        <f>EU48+FD48</f>
        <v/>
      </c>
      <c r="FN48" s="236">
        <f>EV48+FE48</f>
        <v/>
      </c>
      <c r="FO48" s="236">
        <f>FM48+FN48</f>
        <v/>
      </c>
      <c r="FP48" s="239">
        <f>FO48-FL48</f>
        <v/>
      </c>
      <c r="FQ48" s="237">
        <f>IF(FL48=0,"",FO48/FL48)</f>
        <v/>
      </c>
      <c r="FR48" s="33" t="n"/>
      <c r="FS48" s="233" t="n"/>
      <c r="FT48" s="233" t="n"/>
      <c r="FU48" s="233">
        <f>FS48+FT48</f>
        <v/>
      </c>
      <c r="FV48" s="233" t="n"/>
      <c r="FW48" s="233" t="n"/>
      <c r="FX48" s="233">
        <f>FV48+FW48</f>
        <v/>
      </c>
      <c r="FY48" s="238">
        <f>FX48-FU48</f>
        <v/>
      </c>
      <c r="FZ48" s="235">
        <f>IF(FU48=0,"",FX48/FU48)</f>
        <v/>
      </c>
      <c r="GA48" s="26" t="n"/>
      <c r="GB48" s="236">
        <f>FJ48+FS48</f>
        <v/>
      </c>
      <c r="GC48" s="236">
        <f>FK48+FT48</f>
        <v/>
      </c>
      <c r="GD48" s="236">
        <f>GB48+GC48</f>
        <v/>
      </c>
      <c r="GE48" s="236">
        <f>FM48+FV48</f>
        <v/>
      </c>
      <c r="GF48" s="236">
        <f>FN48+FW48</f>
        <v/>
      </c>
      <c r="GG48" s="236">
        <f>GE48+GF48</f>
        <v/>
      </c>
      <c r="GH48" s="239">
        <f>GG48-GD48</f>
        <v/>
      </c>
      <c r="GI48" s="237">
        <f>IF(GD48=0,"",GG48/GD48)</f>
        <v/>
      </c>
      <c r="GJ48" s="33" t="n"/>
      <c r="GK48" s="233" t="n"/>
      <c r="GL48" s="233" t="n"/>
      <c r="GM48" s="233">
        <f>GK48+GL48</f>
        <v/>
      </c>
      <c r="GN48" s="233" t="n"/>
      <c r="GO48" s="233" t="n"/>
      <c r="GP48" s="233">
        <f>GN48+GO48</f>
        <v/>
      </c>
      <c r="GQ48" s="238">
        <f>GP48-GM48</f>
        <v/>
      </c>
      <c r="GR48" s="235">
        <f>IF(GM48=0,"",GP48/GM48)</f>
        <v/>
      </c>
      <c r="GS48" s="26" t="n"/>
      <c r="GT48" s="236">
        <f>GB48+GK48</f>
        <v/>
      </c>
      <c r="GU48" s="236">
        <f>GC48+GL48</f>
        <v/>
      </c>
      <c r="GV48" s="236">
        <f>GT48+GU48</f>
        <v/>
      </c>
      <c r="GW48" s="236">
        <f>GE48+GN48</f>
        <v/>
      </c>
      <c r="GX48" s="236">
        <f>GF48+GO48</f>
        <v/>
      </c>
      <c r="GY48" s="236">
        <f>GW48+GX48</f>
        <v/>
      </c>
      <c r="GZ48" s="239">
        <f>GY48-GV48</f>
        <v/>
      </c>
      <c r="HA48" s="237">
        <f>IF(GV48=0,"",GY48/GV48)</f>
        <v/>
      </c>
      <c r="HB48" s="33" t="n"/>
      <c r="HC48" s="233">
        <f>GT48</f>
        <v/>
      </c>
      <c r="HD48" s="233">
        <f>GU48</f>
        <v/>
      </c>
      <c r="HE48" s="233">
        <f>HC48+HD48</f>
        <v/>
      </c>
    </row>
    <row r="49" outlineLevel="1" ht="15" customHeight="1" s="150">
      <c r="A49" s="26" t="n"/>
      <c r="B49" s="26" t="n"/>
      <c r="C49" s="26" t="n"/>
      <c r="D49" s="233" t="n"/>
      <c r="E49" s="233" t="n"/>
      <c r="F49" s="233">
        <f>D49+E49</f>
        <v/>
      </c>
      <c r="G49" s="233" t="n"/>
      <c r="H49" s="233" t="n"/>
      <c r="I49" s="233">
        <f>G49+H49</f>
        <v/>
      </c>
      <c r="J49" s="238">
        <f>I49-F49</f>
        <v/>
      </c>
      <c r="K49" s="235">
        <f>IF(F49=0,"",I49/F49)</f>
        <v/>
      </c>
      <c r="L49" s="26" t="n"/>
      <c r="M49" s="233" t="n"/>
      <c r="N49" s="233" t="n"/>
      <c r="O49" s="233">
        <f>M49+N49</f>
        <v/>
      </c>
      <c r="P49" s="233" t="n"/>
      <c r="Q49" s="233" t="n"/>
      <c r="R49" s="233">
        <f>P49+Q49</f>
        <v/>
      </c>
      <c r="S49" s="238">
        <f>R49-O49</f>
        <v/>
      </c>
      <c r="T49" s="235">
        <f>IF(O49=0,"",R49/O49)</f>
        <v/>
      </c>
      <c r="U49" s="26" t="n"/>
      <c r="V49" s="236">
        <f>D49+M49</f>
        <v/>
      </c>
      <c r="W49" s="236">
        <f>E49+N49</f>
        <v/>
      </c>
      <c r="X49" s="236">
        <f>V49+W49</f>
        <v/>
      </c>
      <c r="Y49" s="236">
        <f>G49+P49</f>
        <v/>
      </c>
      <c r="Z49" s="236">
        <f>H49+Q49</f>
        <v/>
      </c>
      <c r="AA49" s="236">
        <f>Y49+Z49</f>
        <v/>
      </c>
      <c r="AB49" s="239">
        <f>AA49-X49</f>
        <v/>
      </c>
      <c r="AC49" s="237">
        <f>IF(X49=0,"",AA49/X49)</f>
        <v/>
      </c>
      <c r="AD49" s="33" t="n"/>
      <c r="AE49" s="233" t="n"/>
      <c r="AF49" s="233" t="n"/>
      <c r="AG49" s="233">
        <f>AE49+AF49</f>
        <v/>
      </c>
      <c r="AH49" s="233" t="n"/>
      <c r="AI49" s="233" t="n"/>
      <c r="AJ49" s="233">
        <f>AH49+AI49</f>
        <v/>
      </c>
      <c r="AK49" s="238">
        <f>AJ49-AG49</f>
        <v/>
      </c>
      <c r="AL49" s="235">
        <f>IF(AG49=0,"",AJ49/AG49)</f>
        <v/>
      </c>
      <c r="AM49" s="26" t="n"/>
      <c r="AN49" s="236">
        <f>V49+AE49</f>
        <v/>
      </c>
      <c r="AO49" s="236">
        <f>W49+AF49</f>
        <v/>
      </c>
      <c r="AP49" s="236">
        <f>AN49+AO49</f>
        <v/>
      </c>
      <c r="AQ49" s="236">
        <f>Y49+AH49</f>
        <v/>
      </c>
      <c r="AR49" s="236">
        <f>Z49+AI49</f>
        <v/>
      </c>
      <c r="AS49" s="236">
        <f>AQ49+AR49</f>
        <v/>
      </c>
      <c r="AT49" s="239">
        <f>AS49-AP49</f>
        <v/>
      </c>
      <c r="AU49" s="237">
        <f>IF(AP49=0,"",AS49/AP49)</f>
        <v/>
      </c>
      <c r="AV49" s="33" t="n"/>
      <c r="AW49" s="233" t="n"/>
      <c r="AX49" s="233" t="n"/>
      <c r="AY49" s="233">
        <f>AW49+AX49</f>
        <v/>
      </c>
      <c r="AZ49" s="233" t="n"/>
      <c r="BA49" s="233" t="n"/>
      <c r="BB49" s="233">
        <f>AZ49+BA49</f>
        <v/>
      </c>
      <c r="BC49" s="238">
        <f>BB49-AY49</f>
        <v/>
      </c>
      <c r="BD49" s="235">
        <f>IF(AY49=0,"",BB49/AY49)</f>
        <v/>
      </c>
      <c r="BE49" s="26" t="n"/>
      <c r="BF49" s="236">
        <f>AN49+AW49</f>
        <v/>
      </c>
      <c r="BG49" s="236">
        <f>AO49+AX49</f>
        <v/>
      </c>
      <c r="BH49" s="236">
        <f>BF49+BG49</f>
        <v/>
      </c>
      <c r="BI49" s="236">
        <f>AQ49+AZ49</f>
        <v/>
      </c>
      <c r="BJ49" s="236">
        <f>AR49+BA49</f>
        <v/>
      </c>
      <c r="BK49" s="236">
        <f>BI49+BJ49</f>
        <v/>
      </c>
      <c r="BL49" s="239">
        <f>BK49-BH49</f>
        <v/>
      </c>
      <c r="BM49" s="237">
        <f>IF(BH49=0,"",BK49/BH49)</f>
        <v/>
      </c>
      <c r="BN49" s="33" t="n"/>
      <c r="BO49" s="233" t="n"/>
      <c r="BP49" s="233" t="n"/>
      <c r="BQ49" s="233">
        <f>BO49+BP49</f>
        <v/>
      </c>
      <c r="BR49" s="233" t="n"/>
      <c r="BS49" s="233" t="n"/>
      <c r="BT49" s="233">
        <f>BR49+BS49</f>
        <v/>
      </c>
      <c r="BU49" s="238">
        <f>BT49-BQ49</f>
        <v/>
      </c>
      <c r="BV49" s="235">
        <f>IF(BQ49=0,"",BT49/BQ49)</f>
        <v/>
      </c>
      <c r="BW49" s="26" t="n"/>
      <c r="BX49" s="236">
        <f>BF49+BO49</f>
        <v/>
      </c>
      <c r="BY49" s="236">
        <f>BG49+BP49</f>
        <v/>
      </c>
      <c r="BZ49" s="236">
        <f>BX49+BY49</f>
        <v/>
      </c>
      <c r="CA49" s="236">
        <f>BI49+BR49</f>
        <v/>
      </c>
      <c r="CB49" s="236">
        <f>BJ49+BS49</f>
        <v/>
      </c>
      <c r="CC49" s="236">
        <f>CA49+CB49</f>
        <v/>
      </c>
      <c r="CD49" s="239">
        <f>CC49-BZ49</f>
        <v/>
      </c>
      <c r="CE49" s="237">
        <f>IF(BZ49=0,"",CC49/BZ49)</f>
        <v/>
      </c>
      <c r="CF49" s="33" t="n"/>
      <c r="CG49" s="233" t="n"/>
      <c r="CH49" s="233" t="n"/>
      <c r="CI49" s="233">
        <f>CG49+CH49</f>
        <v/>
      </c>
      <c r="CJ49" s="233" t="n"/>
      <c r="CK49" s="233" t="n"/>
      <c r="CL49" s="233">
        <f>CJ49+CK49</f>
        <v/>
      </c>
      <c r="CM49" s="238">
        <f>CL49-CI49</f>
        <v/>
      </c>
      <c r="CN49" s="235">
        <f>IF(CI49=0,"",CL49/CI49)</f>
        <v/>
      </c>
      <c r="CO49" s="26" t="n"/>
      <c r="CP49" s="236">
        <f>BX49+CG49</f>
        <v/>
      </c>
      <c r="CQ49" s="236">
        <f>BY49+CH49</f>
        <v/>
      </c>
      <c r="CR49" s="236">
        <f>CP49+CQ49</f>
        <v/>
      </c>
      <c r="CS49" s="236">
        <f>CA49+CJ49</f>
        <v/>
      </c>
      <c r="CT49" s="236">
        <f>CB49+CK49</f>
        <v/>
      </c>
      <c r="CU49" s="236">
        <f>CS49+CT49</f>
        <v/>
      </c>
      <c r="CV49" s="239">
        <f>CU49-CR49</f>
        <v/>
      </c>
      <c r="CW49" s="237">
        <f>IF(CR49=0,"",CU49/CR49)</f>
        <v/>
      </c>
      <c r="CX49" s="33" t="n"/>
      <c r="CY49" s="233" t="n"/>
      <c r="CZ49" s="233" t="n"/>
      <c r="DA49" s="233">
        <f>CY49+CZ49</f>
        <v/>
      </c>
      <c r="DB49" s="233" t="n"/>
      <c r="DC49" s="233" t="n"/>
      <c r="DD49" s="233">
        <f>DB49+DC49</f>
        <v/>
      </c>
      <c r="DE49" s="238">
        <f>DD49-DA49</f>
        <v/>
      </c>
      <c r="DF49" s="235">
        <f>IF(DA49=0,"",DD49/DA49)</f>
        <v/>
      </c>
      <c r="DG49" s="26" t="n"/>
      <c r="DH49" s="236">
        <f>CP49+CY49</f>
        <v/>
      </c>
      <c r="DI49" s="236">
        <f>CQ49+CZ49</f>
        <v/>
      </c>
      <c r="DJ49" s="236">
        <f>DH49+DI49</f>
        <v/>
      </c>
      <c r="DK49" s="236">
        <f>CS49+DB49</f>
        <v/>
      </c>
      <c r="DL49" s="236">
        <f>CT49+DC49</f>
        <v/>
      </c>
      <c r="DM49" s="236">
        <f>DK49+DL49</f>
        <v/>
      </c>
      <c r="DN49" s="239">
        <f>DM49-DJ49</f>
        <v/>
      </c>
      <c r="DO49" s="237">
        <f>IF(DJ49=0,"",DM49/DJ49)</f>
        <v/>
      </c>
      <c r="DP49" s="33" t="n"/>
      <c r="DQ49" s="233" t="n"/>
      <c r="DR49" s="233" t="n"/>
      <c r="DS49" s="233">
        <f>DQ49+DR49</f>
        <v/>
      </c>
      <c r="DT49" s="233" t="n"/>
      <c r="DU49" s="233" t="n"/>
      <c r="DV49" s="233">
        <f>DT49+DU49</f>
        <v/>
      </c>
      <c r="DW49" s="238">
        <f>DV49-DS49</f>
        <v/>
      </c>
      <c r="DX49" s="235">
        <f>IF(DS49=0,"",DV49/DS49)</f>
        <v/>
      </c>
      <c r="DY49" s="26" t="n"/>
      <c r="DZ49" s="236">
        <f>DH49+DQ49</f>
        <v/>
      </c>
      <c r="EA49" s="236">
        <f>DI49+DR49</f>
        <v/>
      </c>
      <c r="EB49" s="236">
        <f>DZ49+EA49</f>
        <v/>
      </c>
      <c r="EC49" s="236">
        <f>DK49+DT49</f>
        <v/>
      </c>
      <c r="ED49" s="236">
        <f>DL49+DU49</f>
        <v/>
      </c>
      <c r="EE49" s="236">
        <f>EC49+ED49</f>
        <v/>
      </c>
      <c r="EF49" s="239">
        <f>EE49-EB49</f>
        <v/>
      </c>
      <c r="EG49" s="237">
        <f>IF(EB49=0,"",EE49/EB49)</f>
        <v/>
      </c>
      <c r="EH49" s="33" t="n"/>
      <c r="EI49" s="233" t="n"/>
      <c r="EJ49" s="233" t="n"/>
      <c r="EK49" s="233">
        <f>EI49+EJ49</f>
        <v/>
      </c>
      <c r="EL49" s="233" t="n"/>
      <c r="EM49" s="233" t="n"/>
      <c r="EN49" s="233">
        <f>EL49+EM49</f>
        <v/>
      </c>
      <c r="EO49" s="238">
        <f>EN49-EK49</f>
        <v/>
      </c>
      <c r="EP49" s="235">
        <f>IF(EK49=0,"",EN49/EK49)</f>
        <v/>
      </c>
      <c r="EQ49" s="26" t="n"/>
      <c r="ER49" s="236">
        <f>DZ49+EI49</f>
        <v/>
      </c>
      <c r="ES49" s="236">
        <f>EA49+EJ49</f>
        <v/>
      </c>
      <c r="ET49" s="236">
        <f>ER49+ES49</f>
        <v/>
      </c>
      <c r="EU49" s="236">
        <f>EC49+EL49</f>
        <v/>
      </c>
      <c r="EV49" s="236">
        <f>ED49+EM49</f>
        <v/>
      </c>
      <c r="EW49" s="236">
        <f>EU49+EV49</f>
        <v/>
      </c>
      <c r="EX49" s="239">
        <f>EW49-ET49</f>
        <v/>
      </c>
      <c r="EY49" s="237">
        <f>IF(ET49=0,"",EW49/ET49)</f>
        <v/>
      </c>
      <c r="EZ49" s="33" t="n"/>
      <c r="FA49" s="233" t="n"/>
      <c r="FB49" s="233" t="n"/>
      <c r="FC49" s="233">
        <f>FA49+FB49</f>
        <v/>
      </c>
      <c r="FD49" s="233" t="n"/>
      <c r="FE49" s="233" t="n"/>
      <c r="FF49" s="233">
        <f>FD49+FE49</f>
        <v/>
      </c>
      <c r="FG49" s="238">
        <f>FF49-FC49</f>
        <v/>
      </c>
      <c r="FH49" s="235">
        <f>IF(FC49=0,"",FF49/FC49)</f>
        <v/>
      </c>
      <c r="FI49" s="26" t="n"/>
      <c r="FJ49" s="236">
        <f>ER49+FA49</f>
        <v/>
      </c>
      <c r="FK49" s="236">
        <f>ES49+FB49</f>
        <v/>
      </c>
      <c r="FL49" s="236">
        <f>FJ49+FK49</f>
        <v/>
      </c>
      <c r="FM49" s="236">
        <f>EU49+FD49</f>
        <v/>
      </c>
      <c r="FN49" s="236">
        <f>EV49+FE49</f>
        <v/>
      </c>
      <c r="FO49" s="236">
        <f>FM49+FN49</f>
        <v/>
      </c>
      <c r="FP49" s="239">
        <f>FO49-FL49</f>
        <v/>
      </c>
      <c r="FQ49" s="237">
        <f>IF(FL49=0,"",FO49/FL49)</f>
        <v/>
      </c>
      <c r="FR49" s="33" t="n"/>
      <c r="FS49" s="233" t="n"/>
      <c r="FT49" s="233" t="n"/>
      <c r="FU49" s="233">
        <f>FS49+FT49</f>
        <v/>
      </c>
      <c r="FV49" s="233" t="n"/>
      <c r="FW49" s="233" t="n"/>
      <c r="FX49" s="233">
        <f>FV49+FW49</f>
        <v/>
      </c>
      <c r="FY49" s="238">
        <f>FX49-FU49</f>
        <v/>
      </c>
      <c r="FZ49" s="235">
        <f>IF(FU49=0,"",FX49/FU49)</f>
        <v/>
      </c>
      <c r="GA49" s="26" t="n"/>
      <c r="GB49" s="236">
        <f>FJ49+FS49</f>
        <v/>
      </c>
      <c r="GC49" s="236">
        <f>FK49+FT49</f>
        <v/>
      </c>
      <c r="GD49" s="236">
        <f>GB49+GC49</f>
        <v/>
      </c>
      <c r="GE49" s="236">
        <f>FM49+FV49</f>
        <v/>
      </c>
      <c r="GF49" s="236">
        <f>FN49+FW49</f>
        <v/>
      </c>
      <c r="GG49" s="236">
        <f>GE49+GF49</f>
        <v/>
      </c>
      <c r="GH49" s="239">
        <f>GG49-GD49</f>
        <v/>
      </c>
      <c r="GI49" s="237">
        <f>IF(GD49=0,"",GG49/GD49)</f>
        <v/>
      </c>
      <c r="GJ49" s="33" t="n"/>
      <c r="GK49" s="233" t="n"/>
      <c r="GL49" s="233" t="n"/>
      <c r="GM49" s="233">
        <f>GK49+GL49</f>
        <v/>
      </c>
      <c r="GN49" s="233" t="n"/>
      <c r="GO49" s="233" t="n"/>
      <c r="GP49" s="233">
        <f>GN49+GO49</f>
        <v/>
      </c>
      <c r="GQ49" s="238">
        <f>GP49-GM49</f>
        <v/>
      </c>
      <c r="GR49" s="235">
        <f>IF(GM49=0,"",GP49/GM49)</f>
        <v/>
      </c>
      <c r="GS49" s="26" t="n"/>
      <c r="GT49" s="236">
        <f>GB49+GK49</f>
        <v/>
      </c>
      <c r="GU49" s="236">
        <f>GC49+GL49</f>
        <v/>
      </c>
      <c r="GV49" s="236">
        <f>GT49+GU49</f>
        <v/>
      </c>
      <c r="GW49" s="236">
        <f>GE49+GN49</f>
        <v/>
      </c>
      <c r="GX49" s="236">
        <f>GF49+GO49</f>
        <v/>
      </c>
      <c r="GY49" s="236">
        <f>GW49+GX49</f>
        <v/>
      </c>
      <c r="GZ49" s="239">
        <f>GY49-GV49</f>
        <v/>
      </c>
      <c r="HA49" s="237">
        <f>IF(GV49=0,"",GY49/GV49)</f>
        <v/>
      </c>
      <c r="HB49" s="33" t="n"/>
      <c r="HC49" s="233">
        <f>GT49</f>
        <v/>
      </c>
      <c r="HD49" s="233">
        <f>GU49</f>
        <v/>
      </c>
      <c r="HE49" s="233">
        <f>HC49+HD49</f>
        <v/>
      </c>
    </row>
    <row r="50" outlineLevel="1" ht="15" customHeight="1" s="150">
      <c r="A50" s="26" t="n"/>
      <c r="B50" s="26" t="n"/>
      <c r="C50" s="26" t="n"/>
      <c r="D50" s="233" t="n"/>
      <c r="E50" s="233" t="n"/>
      <c r="F50" s="233">
        <f>D50+E50</f>
        <v/>
      </c>
      <c r="G50" s="233" t="n"/>
      <c r="H50" s="233" t="n"/>
      <c r="I50" s="233">
        <f>G50+H50</f>
        <v/>
      </c>
      <c r="J50" s="238">
        <f>I50-F50</f>
        <v/>
      </c>
      <c r="K50" s="235">
        <f>IF(F50=0,"",I50/F50)</f>
        <v/>
      </c>
      <c r="L50" s="26" t="n"/>
      <c r="M50" s="233" t="n"/>
      <c r="N50" s="233" t="n"/>
      <c r="O50" s="233">
        <f>M50+N50</f>
        <v/>
      </c>
      <c r="P50" s="233" t="n"/>
      <c r="Q50" s="233" t="n"/>
      <c r="R50" s="233">
        <f>P50+Q50</f>
        <v/>
      </c>
      <c r="S50" s="238">
        <f>R50-O50</f>
        <v/>
      </c>
      <c r="T50" s="235">
        <f>IF(O50=0,"",R50/O50)</f>
        <v/>
      </c>
      <c r="U50" s="26" t="n"/>
      <c r="V50" s="236">
        <f>D50+M50</f>
        <v/>
      </c>
      <c r="W50" s="236">
        <f>E50+N50</f>
        <v/>
      </c>
      <c r="X50" s="236">
        <f>V50+W50</f>
        <v/>
      </c>
      <c r="Y50" s="236">
        <f>G50+P50</f>
        <v/>
      </c>
      <c r="Z50" s="236">
        <f>H50+Q50</f>
        <v/>
      </c>
      <c r="AA50" s="236">
        <f>Y50+Z50</f>
        <v/>
      </c>
      <c r="AB50" s="239">
        <f>AA50-X50</f>
        <v/>
      </c>
      <c r="AC50" s="237">
        <f>IF(X50=0,"",AA50/X50)</f>
        <v/>
      </c>
      <c r="AD50" s="33" t="n"/>
      <c r="AE50" s="233" t="n"/>
      <c r="AF50" s="233" t="n"/>
      <c r="AG50" s="233">
        <f>AE50+AF50</f>
        <v/>
      </c>
      <c r="AH50" s="233" t="n"/>
      <c r="AI50" s="233" t="n"/>
      <c r="AJ50" s="233">
        <f>AH50+AI50</f>
        <v/>
      </c>
      <c r="AK50" s="238">
        <f>AJ50-AG50</f>
        <v/>
      </c>
      <c r="AL50" s="235">
        <f>IF(AG50=0,"",AJ50/AG50)</f>
        <v/>
      </c>
      <c r="AM50" s="26" t="n"/>
      <c r="AN50" s="236">
        <f>V50+AE50</f>
        <v/>
      </c>
      <c r="AO50" s="236">
        <f>W50+AF50</f>
        <v/>
      </c>
      <c r="AP50" s="236">
        <f>AN50+AO50</f>
        <v/>
      </c>
      <c r="AQ50" s="236">
        <f>Y50+AH50</f>
        <v/>
      </c>
      <c r="AR50" s="236">
        <f>Z50+AI50</f>
        <v/>
      </c>
      <c r="AS50" s="236">
        <f>AQ50+AR50</f>
        <v/>
      </c>
      <c r="AT50" s="239">
        <f>AS50-AP50</f>
        <v/>
      </c>
      <c r="AU50" s="237">
        <f>IF(AP50=0,"",AS50/AP50)</f>
        <v/>
      </c>
      <c r="AV50" s="33" t="n"/>
      <c r="AW50" s="233" t="n"/>
      <c r="AX50" s="233" t="n"/>
      <c r="AY50" s="233">
        <f>AW50+AX50</f>
        <v/>
      </c>
      <c r="AZ50" s="233" t="n"/>
      <c r="BA50" s="233" t="n"/>
      <c r="BB50" s="233">
        <f>AZ50+BA50</f>
        <v/>
      </c>
      <c r="BC50" s="238">
        <f>BB50-AY50</f>
        <v/>
      </c>
      <c r="BD50" s="235">
        <f>IF(AY50=0,"",BB50/AY50)</f>
        <v/>
      </c>
      <c r="BE50" s="26" t="n"/>
      <c r="BF50" s="236">
        <f>AN50+AW50</f>
        <v/>
      </c>
      <c r="BG50" s="236">
        <f>AO50+AX50</f>
        <v/>
      </c>
      <c r="BH50" s="236">
        <f>BF50+BG50</f>
        <v/>
      </c>
      <c r="BI50" s="236">
        <f>AQ50+AZ50</f>
        <v/>
      </c>
      <c r="BJ50" s="236">
        <f>AR50+BA50</f>
        <v/>
      </c>
      <c r="BK50" s="236">
        <f>BI50+BJ50</f>
        <v/>
      </c>
      <c r="BL50" s="239">
        <f>BK50-BH50</f>
        <v/>
      </c>
      <c r="BM50" s="237">
        <f>IF(BH50=0,"",BK50/BH50)</f>
        <v/>
      </c>
      <c r="BN50" s="33" t="n"/>
      <c r="BO50" s="233" t="n"/>
      <c r="BP50" s="233" t="n"/>
      <c r="BQ50" s="233">
        <f>BO50+BP50</f>
        <v/>
      </c>
      <c r="BR50" s="233" t="n"/>
      <c r="BS50" s="233" t="n"/>
      <c r="BT50" s="233">
        <f>BR50+BS50</f>
        <v/>
      </c>
      <c r="BU50" s="238">
        <f>BT50-BQ50</f>
        <v/>
      </c>
      <c r="BV50" s="235">
        <f>IF(BQ50=0,"",BT50/BQ50)</f>
        <v/>
      </c>
      <c r="BW50" s="26" t="n"/>
      <c r="BX50" s="236">
        <f>BF50+BO50</f>
        <v/>
      </c>
      <c r="BY50" s="236">
        <f>BG50+BP50</f>
        <v/>
      </c>
      <c r="BZ50" s="236">
        <f>BX50+BY50</f>
        <v/>
      </c>
      <c r="CA50" s="236">
        <f>BI50+BR50</f>
        <v/>
      </c>
      <c r="CB50" s="236">
        <f>BJ50+BS50</f>
        <v/>
      </c>
      <c r="CC50" s="236">
        <f>CA50+CB50</f>
        <v/>
      </c>
      <c r="CD50" s="239">
        <f>CC50-BZ50</f>
        <v/>
      </c>
      <c r="CE50" s="237">
        <f>IF(BZ50=0,"",CC50/BZ50)</f>
        <v/>
      </c>
      <c r="CF50" s="33" t="n"/>
      <c r="CG50" s="233" t="n"/>
      <c r="CH50" s="233" t="n"/>
      <c r="CI50" s="233">
        <f>CG50+CH50</f>
        <v/>
      </c>
      <c r="CJ50" s="233" t="n"/>
      <c r="CK50" s="233" t="n"/>
      <c r="CL50" s="233">
        <f>CJ50+CK50</f>
        <v/>
      </c>
      <c r="CM50" s="238">
        <f>CL50-CI50</f>
        <v/>
      </c>
      <c r="CN50" s="235">
        <f>IF(CI50=0,"",CL50/CI50)</f>
        <v/>
      </c>
      <c r="CO50" s="26" t="n"/>
      <c r="CP50" s="236">
        <f>BX50+CG50</f>
        <v/>
      </c>
      <c r="CQ50" s="236">
        <f>BY50+CH50</f>
        <v/>
      </c>
      <c r="CR50" s="236">
        <f>CP50+CQ50</f>
        <v/>
      </c>
      <c r="CS50" s="236">
        <f>CA50+CJ50</f>
        <v/>
      </c>
      <c r="CT50" s="236">
        <f>CB50+CK50</f>
        <v/>
      </c>
      <c r="CU50" s="236">
        <f>CS50+CT50</f>
        <v/>
      </c>
      <c r="CV50" s="239">
        <f>CU50-CR50</f>
        <v/>
      </c>
      <c r="CW50" s="237">
        <f>IF(CR50=0,"",CU50/CR50)</f>
        <v/>
      </c>
      <c r="CX50" s="33" t="n"/>
      <c r="CY50" s="233" t="n"/>
      <c r="CZ50" s="233" t="n"/>
      <c r="DA50" s="233">
        <f>CY50+CZ50</f>
        <v/>
      </c>
      <c r="DB50" s="233" t="n"/>
      <c r="DC50" s="233" t="n"/>
      <c r="DD50" s="233">
        <f>DB50+DC50</f>
        <v/>
      </c>
      <c r="DE50" s="238">
        <f>DD50-DA50</f>
        <v/>
      </c>
      <c r="DF50" s="235">
        <f>IF(DA50=0,"",DD50/DA50)</f>
        <v/>
      </c>
      <c r="DG50" s="26" t="n"/>
      <c r="DH50" s="236">
        <f>CP50+CY50</f>
        <v/>
      </c>
      <c r="DI50" s="236">
        <f>CQ50+CZ50</f>
        <v/>
      </c>
      <c r="DJ50" s="236">
        <f>DH50+DI50</f>
        <v/>
      </c>
      <c r="DK50" s="236">
        <f>CS50+DB50</f>
        <v/>
      </c>
      <c r="DL50" s="236">
        <f>CT50+DC50</f>
        <v/>
      </c>
      <c r="DM50" s="236">
        <f>DK50+DL50</f>
        <v/>
      </c>
      <c r="DN50" s="239">
        <f>DM50-DJ50</f>
        <v/>
      </c>
      <c r="DO50" s="237">
        <f>IF(DJ50=0,"",DM50/DJ50)</f>
        <v/>
      </c>
      <c r="DP50" s="33" t="n"/>
      <c r="DQ50" s="233" t="n"/>
      <c r="DR50" s="233" t="n"/>
      <c r="DS50" s="233">
        <f>DQ50+DR50</f>
        <v/>
      </c>
      <c r="DT50" s="233" t="n"/>
      <c r="DU50" s="233" t="n"/>
      <c r="DV50" s="233">
        <f>DT50+DU50</f>
        <v/>
      </c>
      <c r="DW50" s="238">
        <f>DV50-DS50</f>
        <v/>
      </c>
      <c r="DX50" s="235">
        <f>IF(DS50=0,"",DV50/DS50)</f>
        <v/>
      </c>
      <c r="DY50" s="26" t="n"/>
      <c r="DZ50" s="236">
        <f>DH50+DQ50</f>
        <v/>
      </c>
      <c r="EA50" s="236">
        <f>DI50+DR50</f>
        <v/>
      </c>
      <c r="EB50" s="236">
        <f>DZ50+EA50</f>
        <v/>
      </c>
      <c r="EC50" s="236">
        <f>DK50+DT50</f>
        <v/>
      </c>
      <c r="ED50" s="236">
        <f>DL50+DU50</f>
        <v/>
      </c>
      <c r="EE50" s="236">
        <f>EC50+ED50</f>
        <v/>
      </c>
      <c r="EF50" s="239">
        <f>EE50-EB50</f>
        <v/>
      </c>
      <c r="EG50" s="237">
        <f>IF(EB50=0,"",EE50/EB50)</f>
        <v/>
      </c>
      <c r="EH50" s="33" t="n"/>
      <c r="EI50" s="233" t="n"/>
      <c r="EJ50" s="233" t="n"/>
      <c r="EK50" s="233">
        <f>EI50+EJ50</f>
        <v/>
      </c>
      <c r="EL50" s="233" t="n"/>
      <c r="EM50" s="233" t="n"/>
      <c r="EN50" s="233">
        <f>EL50+EM50</f>
        <v/>
      </c>
      <c r="EO50" s="238">
        <f>EN50-EK50</f>
        <v/>
      </c>
      <c r="EP50" s="235">
        <f>IF(EK50=0,"",EN50/EK50)</f>
        <v/>
      </c>
      <c r="EQ50" s="26" t="n"/>
      <c r="ER50" s="236">
        <f>DZ50+EI50</f>
        <v/>
      </c>
      <c r="ES50" s="236">
        <f>EA50+EJ50</f>
        <v/>
      </c>
      <c r="ET50" s="236">
        <f>ER50+ES50</f>
        <v/>
      </c>
      <c r="EU50" s="236">
        <f>EC50+EL50</f>
        <v/>
      </c>
      <c r="EV50" s="236">
        <f>ED50+EM50</f>
        <v/>
      </c>
      <c r="EW50" s="236">
        <f>EU50+EV50</f>
        <v/>
      </c>
      <c r="EX50" s="239">
        <f>EW50-ET50</f>
        <v/>
      </c>
      <c r="EY50" s="237">
        <f>IF(ET50=0,"",EW50/ET50)</f>
        <v/>
      </c>
      <c r="EZ50" s="33" t="n"/>
      <c r="FA50" s="233" t="n"/>
      <c r="FB50" s="233" t="n"/>
      <c r="FC50" s="233">
        <f>FA50+FB50</f>
        <v/>
      </c>
      <c r="FD50" s="233" t="n"/>
      <c r="FE50" s="233" t="n"/>
      <c r="FF50" s="233">
        <f>FD50+FE50</f>
        <v/>
      </c>
      <c r="FG50" s="238">
        <f>FF50-FC50</f>
        <v/>
      </c>
      <c r="FH50" s="235">
        <f>IF(FC50=0,"",FF50/FC50)</f>
        <v/>
      </c>
      <c r="FI50" s="26" t="n"/>
      <c r="FJ50" s="236">
        <f>ER50+FA50</f>
        <v/>
      </c>
      <c r="FK50" s="236">
        <f>ES50+FB50</f>
        <v/>
      </c>
      <c r="FL50" s="236">
        <f>FJ50+FK50</f>
        <v/>
      </c>
      <c r="FM50" s="236">
        <f>EU50+FD50</f>
        <v/>
      </c>
      <c r="FN50" s="236">
        <f>EV50+FE50</f>
        <v/>
      </c>
      <c r="FO50" s="236">
        <f>FM50+FN50</f>
        <v/>
      </c>
      <c r="FP50" s="239">
        <f>FO50-FL50</f>
        <v/>
      </c>
      <c r="FQ50" s="237">
        <f>IF(FL50=0,"",FO50/FL50)</f>
        <v/>
      </c>
      <c r="FR50" s="33" t="n"/>
      <c r="FS50" s="233" t="n"/>
      <c r="FT50" s="233" t="n"/>
      <c r="FU50" s="233">
        <f>FS50+FT50</f>
        <v/>
      </c>
      <c r="FV50" s="233" t="n"/>
      <c r="FW50" s="233" t="n"/>
      <c r="FX50" s="233">
        <f>FV50+FW50</f>
        <v/>
      </c>
      <c r="FY50" s="238">
        <f>FX50-FU50</f>
        <v/>
      </c>
      <c r="FZ50" s="235">
        <f>IF(FU50=0,"",FX50/FU50)</f>
        <v/>
      </c>
      <c r="GA50" s="26" t="n"/>
      <c r="GB50" s="236">
        <f>FJ50+FS50</f>
        <v/>
      </c>
      <c r="GC50" s="236">
        <f>FK50+FT50</f>
        <v/>
      </c>
      <c r="GD50" s="236">
        <f>GB50+GC50</f>
        <v/>
      </c>
      <c r="GE50" s="236">
        <f>FM50+FV50</f>
        <v/>
      </c>
      <c r="GF50" s="236">
        <f>FN50+FW50</f>
        <v/>
      </c>
      <c r="GG50" s="236">
        <f>GE50+GF50</f>
        <v/>
      </c>
      <c r="GH50" s="239">
        <f>GG50-GD50</f>
        <v/>
      </c>
      <c r="GI50" s="237">
        <f>IF(GD50=0,"",GG50/GD50)</f>
        <v/>
      </c>
      <c r="GJ50" s="33" t="n"/>
      <c r="GK50" s="233" t="n"/>
      <c r="GL50" s="233" t="n"/>
      <c r="GM50" s="233">
        <f>GK50+GL50</f>
        <v/>
      </c>
      <c r="GN50" s="233" t="n"/>
      <c r="GO50" s="233" t="n"/>
      <c r="GP50" s="233">
        <f>GN50+GO50</f>
        <v/>
      </c>
      <c r="GQ50" s="238">
        <f>GP50-GM50</f>
        <v/>
      </c>
      <c r="GR50" s="235">
        <f>IF(GM50=0,"",GP50/GM50)</f>
        <v/>
      </c>
      <c r="GS50" s="26" t="n"/>
      <c r="GT50" s="236">
        <f>GB50+GK50</f>
        <v/>
      </c>
      <c r="GU50" s="236">
        <f>GC50+GL50</f>
        <v/>
      </c>
      <c r="GV50" s="236">
        <f>GT50+GU50</f>
        <v/>
      </c>
      <c r="GW50" s="236">
        <f>GE50+GN50</f>
        <v/>
      </c>
      <c r="GX50" s="236">
        <f>GF50+GO50</f>
        <v/>
      </c>
      <c r="GY50" s="236">
        <f>GW50+GX50</f>
        <v/>
      </c>
      <c r="GZ50" s="239">
        <f>GY50-GV50</f>
        <v/>
      </c>
      <c r="HA50" s="237">
        <f>IF(GV50=0,"",GY50/GV50)</f>
        <v/>
      </c>
      <c r="HB50" s="33" t="n"/>
      <c r="HC50" s="233">
        <f>GT50</f>
        <v/>
      </c>
      <c r="HD50" s="233">
        <f>GU50</f>
        <v/>
      </c>
      <c r="HE50" s="233">
        <f>HC50+HD50</f>
        <v/>
      </c>
    </row>
    <row r="51" outlineLevel="1" ht="15" customHeight="1" s="150">
      <c r="A51" s="26" t="n"/>
      <c r="B51" s="26" t="n"/>
      <c r="C51" s="26" t="n"/>
      <c r="D51" s="233" t="n"/>
      <c r="E51" s="233" t="n"/>
      <c r="F51" s="233">
        <f>D51+E51</f>
        <v/>
      </c>
      <c r="G51" s="233" t="n"/>
      <c r="H51" s="233" t="n"/>
      <c r="I51" s="233">
        <f>G51+H51</f>
        <v/>
      </c>
      <c r="J51" s="238">
        <f>I51-F51</f>
        <v/>
      </c>
      <c r="K51" s="235">
        <f>IF(F51=0,"",I51/F51)</f>
        <v/>
      </c>
      <c r="L51" s="26" t="n"/>
      <c r="M51" s="233" t="n"/>
      <c r="N51" s="233" t="n"/>
      <c r="O51" s="233">
        <f>M51+N51</f>
        <v/>
      </c>
      <c r="P51" s="233" t="n"/>
      <c r="Q51" s="233" t="n"/>
      <c r="R51" s="233">
        <f>P51+Q51</f>
        <v/>
      </c>
      <c r="S51" s="238">
        <f>R51-O51</f>
        <v/>
      </c>
      <c r="T51" s="235">
        <f>IF(O51=0,"",R51/O51)</f>
        <v/>
      </c>
      <c r="U51" s="26" t="n"/>
      <c r="V51" s="236">
        <f>D51+M51</f>
        <v/>
      </c>
      <c r="W51" s="236">
        <f>E51+N51</f>
        <v/>
      </c>
      <c r="X51" s="236">
        <f>V51+W51</f>
        <v/>
      </c>
      <c r="Y51" s="236">
        <f>G51+P51</f>
        <v/>
      </c>
      <c r="Z51" s="236">
        <f>H51+Q51</f>
        <v/>
      </c>
      <c r="AA51" s="236">
        <f>Y51+Z51</f>
        <v/>
      </c>
      <c r="AB51" s="239">
        <f>AA51-X51</f>
        <v/>
      </c>
      <c r="AC51" s="237">
        <f>IF(X51=0,"",AA51/X51)</f>
        <v/>
      </c>
      <c r="AD51" s="33" t="n"/>
      <c r="AE51" s="233" t="n"/>
      <c r="AF51" s="233" t="n"/>
      <c r="AG51" s="233">
        <f>AE51+AF51</f>
        <v/>
      </c>
      <c r="AH51" s="233" t="n"/>
      <c r="AI51" s="233" t="n"/>
      <c r="AJ51" s="233">
        <f>AH51+AI51</f>
        <v/>
      </c>
      <c r="AK51" s="238">
        <f>AJ51-AG51</f>
        <v/>
      </c>
      <c r="AL51" s="235">
        <f>IF(AG51=0,"",AJ51/AG51)</f>
        <v/>
      </c>
      <c r="AM51" s="26" t="n"/>
      <c r="AN51" s="236">
        <f>V51+AE51</f>
        <v/>
      </c>
      <c r="AO51" s="236">
        <f>W51+AF51</f>
        <v/>
      </c>
      <c r="AP51" s="236">
        <f>AN51+AO51</f>
        <v/>
      </c>
      <c r="AQ51" s="236">
        <f>Y51+AH51</f>
        <v/>
      </c>
      <c r="AR51" s="236">
        <f>Z51+AI51</f>
        <v/>
      </c>
      <c r="AS51" s="236">
        <f>AQ51+AR51</f>
        <v/>
      </c>
      <c r="AT51" s="239">
        <f>AS51-AP51</f>
        <v/>
      </c>
      <c r="AU51" s="237">
        <f>IF(AP51=0,"",AS51/AP51)</f>
        <v/>
      </c>
      <c r="AV51" s="33" t="n"/>
      <c r="AW51" s="233" t="n"/>
      <c r="AX51" s="233" t="n"/>
      <c r="AY51" s="233">
        <f>AW51+AX51</f>
        <v/>
      </c>
      <c r="AZ51" s="233" t="n"/>
      <c r="BA51" s="233" t="n"/>
      <c r="BB51" s="233">
        <f>AZ51+BA51</f>
        <v/>
      </c>
      <c r="BC51" s="238">
        <f>BB51-AY51</f>
        <v/>
      </c>
      <c r="BD51" s="235">
        <f>IF(AY51=0,"",BB51/AY51)</f>
        <v/>
      </c>
      <c r="BE51" s="26" t="n"/>
      <c r="BF51" s="236">
        <f>AN51+AW51</f>
        <v/>
      </c>
      <c r="BG51" s="236">
        <f>AO51+AX51</f>
        <v/>
      </c>
      <c r="BH51" s="236">
        <f>BF51+BG51</f>
        <v/>
      </c>
      <c r="BI51" s="236">
        <f>AQ51+AZ51</f>
        <v/>
      </c>
      <c r="BJ51" s="236">
        <f>AR51+BA51</f>
        <v/>
      </c>
      <c r="BK51" s="236">
        <f>BI51+BJ51</f>
        <v/>
      </c>
      <c r="BL51" s="239">
        <f>BK51-BH51</f>
        <v/>
      </c>
      <c r="BM51" s="237">
        <f>IF(BH51=0,"",BK51/BH51)</f>
        <v/>
      </c>
      <c r="BN51" s="33" t="n"/>
      <c r="BO51" s="233" t="n"/>
      <c r="BP51" s="233" t="n"/>
      <c r="BQ51" s="233">
        <f>BO51+BP51</f>
        <v/>
      </c>
      <c r="BR51" s="233" t="n"/>
      <c r="BS51" s="233" t="n"/>
      <c r="BT51" s="233">
        <f>BR51+BS51</f>
        <v/>
      </c>
      <c r="BU51" s="238">
        <f>BT51-BQ51</f>
        <v/>
      </c>
      <c r="BV51" s="235">
        <f>IF(BQ51=0,"",BT51/BQ51)</f>
        <v/>
      </c>
      <c r="BW51" s="26" t="n"/>
      <c r="BX51" s="236">
        <f>BF51+BO51</f>
        <v/>
      </c>
      <c r="BY51" s="236">
        <f>BG51+BP51</f>
        <v/>
      </c>
      <c r="BZ51" s="236">
        <f>BX51+BY51</f>
        <v/>
      </c>
      <c r="CA51" s="236">
        <f>BI51+BR51</f>
        <v/>
      </c>
      <c r="CB51" s="236">
        <f>BJ51+BS51</f>
        <v/>
      </c>
      <c r="CC51" s="236">
        <f>CA51+CB51</f>
        <v/>
      </c>
      <c r="CD51" s="239">
        <f>CC51-BZ51</f>
        <v/>
      </c>
      <c r="CE51" s="237">
        <f>IF(BZ51=0,"",CC51/BZ51)</f>
        <v/>
      </c>
      <c r="CF51" s="33" t="n"/>
      <c r="CG51" s="233" t="n"/>
      <c r="CH51" s="233" t="n"/>
      <c r="CI51" s="233">
        <f>CG51+CH51</f>
        <v/>
      </c>
      <c r="CJ51" s="233" t="n"/>
      <c r="CK51" s="233" t="n"/>
      <c r="CL51" s="233">
        <f>CJ51+CK51</f>
        <v/>
      </c>
      <c r="CM51" s="238">
        <f>CL51-CI51</f>
        <v/>
      </c>
      <c r="CN51" s="235">
        <f>IF(CI51=0,"",CL51/CI51)</f>
        <v/>
      </c>
      <c r="CO51" s="26" t="n"/>
      <c r="CP51" s="236">
        <f>BX51+CG51</f>
        <v/>
      </c>
      <c r="CQ51" s="236">
        <f>BY51+CH51</f>
        <v/>
      </c>
      <c r="CR51" s="236">
        <f>CP51+CQ51</f>
        <v/>
      </c>
      <c r="CS51" s="236">
        <f>CA51+CJ51</f>
        <v/>
      </c>
      <c r="CT51" s="236">
        <f>CB51+CK51</f>
        <v/>
      </c>
      <c r="CU51" s="236">
        <f>CS51+CT51</f>
        <v/>
      </c>
      <c r="CV51" s="239">
        <f>CU51-CR51</f>
        <v/>
      </c>
      <c r="CW51" s="237">
        <f>IF(CR51=0,"",CU51/CR51)</f>
        <v/>
      </c>
      <c r="CX51" s="33" t="n"/>
      <c r="CY51" s="233" t="n"/>
      <c r="CZ51" s="233" t="n"/>
      <c r="DA51" s="233">
        <f>CY51+CZ51</f>
        <v/>
      </c>
      <c r="DB51" s="233" t="n"/>
      <c r="DC51" s="233" t="n"/>
      <c r="DD51" s="233">
        <f>DB51+DC51</f>
        <v/>
      </c>
      <c r="DE51" s="238">
        <f>DD51-DA51</f>
        <v/>
      </c>
      <c r="DF51" s="235">
        <f>IF(DA51=0,"",DD51/DA51)</f>
        <v/>
      </c>
      <c r="DG51" s="26" t="n"/>
      <c r="DH51" s="236">
        <f>CP51+CY51</f>
        <v/>
      </c>
      <c r="DI51" s="236">
        <f>CQ51+CZ51</f>
        <v/>
      </c>
      <c r="DJ51" s="236">
        <f>DH51+DI51</f>
        <v/>
      </c>
      <c r="DK51" s="236">
        <f>CS51+DB51</f>
        <v/>
      </c>
      <c r="DL51" s="236">
        <f>CT51+DC51</f>
        <v/>
      </c>
      <c r="DM51" s="236">
        <f>DK51+DL51</f>
        <v/>
      </c>
      <c r="DN51" s="239">
        <f>DM51-DJ51</f>
        <v/>
      </c>
      <c r="DO51" s="237">
        <f>IF(DJ51=0,"",DM51/DJ51)</f>
        <v/>
      </c>
      <c r="DP51" s="33" t="n"/>
      <c r="DQ51" s="233" t="n"/>
      <c r="DR51" s="233" t="n"/>
      <c r="DS51" s="233">
        <f>DQ51+DR51</f>
        <v/>
      </c>
      <c r="DT51" s="233" t="n"/>
      <c r="DU51" s="233" t="n"/>
      <c r="DV51" s="233">
        <f>DT51+DU51</f>
        <v/>
      </c>
      <c r="DW51" s="238">
        <f>DV51-DS51</f>
        <v/>
      </c>
      <c r="DX51" s="235">
        <f>IF(DS51=0,"",DV51/DS51)</f>
        <v/>
      </c>
      <c r="DY51" s="26" t="n"/>
      <c r="DZ51" s="236">
        <f>DH51+DQ51</f>
        <v/>
      </c>
      <c r="EA51" s="236">
        <f>DI51+DR51</f>
        <v/>
      </c>
      <c r="EB51" s="236">
        <f>DZ51+EA51</f>
        <v/>
      </c>
      <c r="EC51" s="236">
        <f>DK51+DT51</f>
        <v/>
      </c>
      <c r="ED51" s="236">
        <f>DL51+DU51</f>
        <v/>
      </c>
      <c r="EE51" s="236">
        <f>EC51+ED51</f>
        <v/>
      </c>
      <c r="EF51" s="239">
        <f>EE51-EB51</f>
        <v/>
      </c>
      <c r="EG51" s="237">
        <f>IF(EB51=0,"",EE51/EB51)</f>
        <v/>
      </c>
      <c r="EH51" s="33" t="n"/>
      <c r="EI51" s="233" t="n"/>
      <c r="EJ51" s="233" t="n"/>
      <c r="EK51" s="233">
        <f>EI51+EJ51</f>
        <v/>
      </c>
      <c r="EL51" s="233" t="n"/>
      <c r="EM51" s="233" t="n"/>
      <c r="EN51" s="233">
        <f>EL51+EM51</f>
        <v/>
      </c>
      <c r="EO51" s="238">
        <f>EN51-EK51</f>
        <v/>
      </c>
      <c r="EP51" s="235">
        <f>IF(EK51=0,"",EN51/EK51)</f>
        <v/>
      </c>
      <c r="EQ51" s="26" t="n"/>
      <c r="ER51" s="236">
        <f>DZ51+EI51</f>
        <v/>
      </c>
      <c r="ES51" s="236">
        <f>EA51+EJ51</f>
        <v/>
      </c>
      <c r="ET51" s="236">
        <f>ER51+ES51</f>
        <v/>
      </c>
      <c r="EU51" s="236">
        <f>EC51+EL51</f>
        <v/>
      </c>
      <c r="EV51" s="236">
        <f>ED51+EM51</f>
        <v/>
      </c>
      <c r="EW51" s="236">
        <f>EU51+EV51</f>
        <v/>
      </c>
      <c r="EX51" s="239">
        <f>EW51-ET51</f>
        <v/>
      </c>
      <c r="EY51" s="237">
        <f>IF(ET51=0,"",EW51/ET51)</f>
        <v/>
      </c>
      <c r="EZ51" s="33" t="n"/>
      <c r="FA51" s="233" t="n"/>
      <c r="FB51" s="233" t="n"/>
      <c r="FC51" s="233">
        <f>FA51+FB51</f>
        <v/>
      </c>
      <c r="FD51" s="233" t="n"/>
      <c r="FE51" s="233" t="n"/>
      <c r="FF51" s="233">
        <f>FD51+FE51</f>
        <v/>
      </c>
      <c r="FG51" s="238">
        <f>FF51-FC51</f>
        <v/>
      </c>
      <c r="FH51" s="235">
        <f>IF(FC51=0,"",FF51/FC51)</f>
        <v/>
      </c>
      <c r="FI51" s="26" t="n"/>
      <c r="FJ51" s="236">
        <f>ER51+FA51</f>
        <v/>
      </c>
      <c r="FK51" s="236">
        <f>ES51+FB51</f>
        <v/>
      </c>
      <c r="FL51" s="236">
        <f>FJ51+FK51</f>
        <v/>
      </c>
      <c r="FM51" s="236">
        <f>EU51+FD51</f>
        <v/>
      </c>
      <c r="FN51" s="236">
        <f>EV51+FE51</f>
        <v/>
      </c>
      <c r="FO51" s="236">
        <f>FM51+FN51</f>
        <v/>
      </c>
      <c r="FP51" s="239">
        <f>FO51-FL51</f>
        <v/>
      </c>
      <c r="FQ51" s="237">
        <f>IF(FL51=0,"",FO51/FL51)</f>
        <v/>
      </c>
      <c r="FR51" s="33" t="n"/>
      <c r="FS51" s="233" t="n"/>
      <c r="FT51" s="233" t="n"/>
      <c r="FU51" s="233">
        <f>FS51+FT51</f>
        <v/>
      </c>
      <c r="FV51" s="233" t="n"/>
      <c r="FW51" s="233" t="n"/>
      <c r="FX51" s="233">
        <f>FV51+FW51</f>
        <v/>
      </c>
      <c r="FY51" s="238">
        <f>FX51-FU51</f>
        <v/>
      </c>
      <c r="FZ51" s="235">
        <f>IF(FU51=0,"",FX51/FU51)</f>
        <v/>
      </c>
      <c r="GA51" s="26" t="n"/>
      <c r="GB51" s="236">
        <f>FJ51+FS51</f>
        <v/>
      </c>
      <c r="GC51" s="236">
        <f>FK51+FT51</f>
        <v/>
      </c>
      <c r="GD51" s="236">
        <f>GB51+GC51</f>
        <v/>
      </c>
      <c r="GE51" s="236">
        <f>FM51+FV51</f>
        <v/>
      </c>
      <c r="GF51" s="236">
        <f>FN51+FW51</f>
        <v/>
      </c>
      <c r="GG51" s="236">
        <f>GE51+GF51</f>
        <v/>
      </c>
      <c r="GH51" s="239">
        <f>GG51-GD51</f>
        <v/>
      </c>
      <c r="GI51" s="237">
        <f>IF(GD51=0,"",GG51/GD51)</f>
        <v/>
      </c>
      <c r="GJ51" s="33" t="n"/>
      <c r="GK51" s="233" t="n"/>
      <c r="GL51" s="233" t="n"/>
      <c r="GM51" s="233">
        <f>GK51+GL51</f>
        <v/>
      </c>
      <c r="GN51" s="233" t="n"/>
      <c r="GO51" s="233" t="n"/>
      <c r="GP51" s="233">
        <f>GN51+GO51</f>
        <v/>
      </c>
      <c r="GQ51" s="238">
        <f>GP51-GM51</f>
        <v/>
      </c>
      <c r="GR51" s="235">
        <f>IF(GM51=0,"",GP51/GM51)</f>
        <v/>
      </c>
      <c r="GS51" s="26" t="n"/>
      <c r="GT51" s="236">
        <f>GB51+GK51</f>
        <v/>
      </c>
      <c r="GU51" s="236">
        <f>GC51+GL51</f>
        <v/>
      </c>
      <c r="GV51" s="236">
        <f>GT51+GU51</f>
        <v/>
      </c>
      <c r="GW51" s="236">
        <f>GE51+GN51</f>
        <v/>
      </c>
      <c r="GX51" s="236">
        <f>GF51+GO51</f>
        <v/>
      </c>
      <c r="GY51" s="236">
        <f>GW51+GX51</f>
        <v/>
      </c>
      <c r="GZ51" s="239">
        <f>GY51-GV51</f>
        <v/>
      </c>
      <c r="HA51" s="237">
        <f>IF(GV51=0,"",GY51/GV51)</f>
        <v/>
      </c>
      <c r="HB51" s="33" t="n"/>
      <c r="HC51" s="233">
        <f>GT51</f>
        <v/>
      </c>
      <c r="HD51" s="233">
        <f>GU51</f>
        <v/>
      </c>
      <c r="HE51" s="233">
        <f>HC51+HD51</f>
        <v/>
      </c>
    </row>
    <row r="52" outlineLevel="1" ht="15" customHeight="1" s="150">
      <c r="A52" s="26" t="n"/>
      <c r="B52" s="26" t="n"/>
      <c r="C52" s="26" t="n"/>
      <c r="D52" s="233" t="n"/>
      <c r="E52" s="233" t="n"/>
      <c r="F52" s="233">
        <f>D52+E52</f>
        <v/>
      </c>
      <c r="G52" s="233" t="n"/>
      <c r="H52" s="233" t="n"/>
      <c r="I52" s="233">
        <f>G52+H52</f>
        <v/>
      </c>
      <c r="J52" s="238">
        <f>I52-F52</f>
        <v/>
      </c>
      <c r="K52" s="235">
        <f>IF(F52=0,"",I52/F52)</f>
        <v/>
      </c>
      <c r="L52" s="26" t="n"/>
      <c r="M52" s="233" t="n"/>
      <c r="N52" s="233" t="n"/>
      <c r="O52" s="233">
        <f>M52+N52</f>
        <v/>
      </c>
      <c r="P52" s="233" t="n"/>
      <c r="Q52" s="233" t="n"/>
      <c r="R52" s="233">
        <f>P52+Q52</f>
        <v/>
      </c>
      <c r="S52" s="238">
        <f>R52-O52</f>
        <v/>
      </c>
      <c r="T52" s="235">
        <f>IF(O52=0,"",R52/O52)</f>
        <v/>
      </c>
      <c r="U52" s="26" t="n"/>
      <c r="V52" s="236">
        <f>D52+M52</f>
        <v/>
      </c>
      <c r="W52" s="236">
        <f>E52+N52</f>
        <v/>
      </c>
      <c r="X52" s="236">
        <f>V52+W52</f>
        <v/>
      </c>
      <c r="Y52" s="236">
        <f>G52+P52</f>
        <v/>
      </c>
      <c r="Z52" s="236">
        <f>H52+Q52</f>
        <v/>
      </c>
      <c r="AA52" s="236">
        <f>Y52+Z52</f>
        <v/>
      </c>
      <c r="AB52" s="239">
        <f>AA52-X52</f>
        <v/>
      </c>
      <c r="AC52" s="237">
        <f>IF(X52=0,"",AA52/X52)</f>
        <v/>
      </c>
      <c r="AD52" s="33" t="n"/>
      <c r="AE52" s="233" t="n"/>
      <c r="AF52" s="233" t="n"/>
      <c r="AG52" s="233">
        <f>AE52+AF52</f>
        <v/>
      </c>
      <c r="AH52" s="233" t="n"/>
      <c r="AI52" s="233" t="n"/>
      <c r="AJ52" s="233">
        <f>AH52+AI52</f>
        <v/>
      </c>
      <c r="AK52" s="238">
        <f>AJ52-AG52</f>
        <v/>
      </c>
      <c r="AL52" s="235">
        <f>IF(AG52=0,"",AJ52/AG52)</f>
        <v/>
      </c>
      <c r="AM52" s="26" t="n"/>
      <c r="AN52" s="236">
        <f>V52+AE52</f>
        <v/>
      </c>
      <c r="AO52" s="236">
        <f>W52+AF52</f>
        <v/>
      </c>
      <c r="AP52" s="236">
        <f>AN52+AO52</f>
        <v/>
      </c>
      <c r="AQ52" s="236">
        <f>Y52+AH52</f>
        <v/>
      </c>
      <c r="AR52" s="236">
        <f>Z52+AI52</f>
        <v/>
      </c>
      <c r="AS52" s="236">
        <f>AQ52+AR52</f>
        <v/>
      </c>
      <c r="AT52" s="239">
        <f>AS52-AP52</f>
        <v/>
      </c>
      <c r="AU52" s="237">
        <f>IF(AP52=0,"",AS52/AP52)</f>
        <v/>
      </c>
      <c r="AV52" s="33" t="n"/>
      <c r="AW52" s="233" t="n"/>
      <c r="AX52" s="233" t="n"/>
      <c r="AY52" s="233">
        <f>AW52+AX52</f>
        <v/>
      </c>
      <c r="AZ52" s="233" t="n"/>
      <c r="BA52" s="233" t="n"/>
      <c r="BB52" s="233">
        <f>AZ52+BA52</f>
        <v/>
      </c>
      <c r="BC52" s="238">
        <f>BB52-AY52</f>
        <v/>
      </c>
      <c r="BD52" s="235">
        <f>IF(AY52=0,"",BB52/AY52)</f>
        <v/>
      </c>
      <c r="BE52" s="26" t="n"/>
      <c r="BF52" s="236">
        <f>AN52+AW52</f>
        <v/>
      </c>
      <c r="BG52" s="236">
        <f>AO52+AX52</f>
        <v/>
      </c>
      <c r="BH52" s="236">
        <f>BF52+BG52</f>
        <v/>
      </c>
      <c r="BI52" s="236">
        <f>AQ52+AZ52</f>
        <v/>
      </c>
      <c r="BJ52" s="236">
        <f>AR52+BA52</f>
        <v/>
      </c>
      <c r="BK52" s="236">
        <f>BI52+BJ52</f>
        <v/>
      </c>
      <c r="BL52" s="239">
        <f>BK52-BH52</f>
        <v/>
      </c>
      <c r="BM52" s="237">
        <f>IF(BH52=0,"",BK52/BH52)</f>
        <v/>
      </c>
      <c r="BN52" s="33" t="n"/>
      <c r="BO52" s="233" t="n"/>
      <c r="BP52" s="233" t="n"/>
      <c r="BQ52" s="233">
        <f>BO52+BP52</f>
        <v/>
      </c>
      <c r="BR52" s="233" t="n"/>
      <c r="BS52" s="233" t="n"/>
      <c r="BT52" s="233">
        <f>BR52+BS52</f>
        <v/>
      </c>
      <c r="BU52" s="238">
        <f>BT52-BQ52</f>
        <v/>
      </c>
      <c r="BV52" s="235">
        <f>IF(BQ52=0,"",BT52/BQ52)</f>
        <v/>
      </c>
      <c r="BW52" s="26" t="n"/>
      <c r="BX52" s="236">
        <f>BF52+BO52</f>
        <v/>
      </c>
      <c r="BY52" s="236">
        <f>BG52+BP52</f>
        <v/>
      </c>
      <c r="BZ52" s="236">
        <f>BX52+BY52</f>
        <v/>
      </c>
      <c r="CA52" s="236">
        <f>BI52+BR52</f>
        <v/>
      </c>
      <c r="CB52" s="236">
        <f>BJ52+BS52</f>
        <v/>
      </c>
      <c r="CC52" s="236">
        <f>CA52+CB52</f>
        <v/>
      </c>
      <c r="CD52" s="239">
        <f>CC52-BZ52</f>
        <v/>
      </c>
      <c r="CE52" s="237">
        <f>IF(BZ52=0,"",CC52/BZ52)</f>
        <v/>
      </c>
      <c r="CF52" s="33" t="n"/>
      <c r="CG52" s="233" t="n"/>
      <c r="CH52" s="233" t="n"/>
      <c r="CI52" s="233">
        <f>CG52+CH52</f>
        <v/>
      </c>
      <c r="CJ52" s="233" t="n"/>
      <c r="CK52" s="233" t="n"/>
      <c r="CL52" s="233">
        <f>CJ52+CK52</f>
        <v/>
      </c>
      <c r="CM52" s="238">
        <f>CL52-CI52</f>
        <v/>
      </c>
      <c r="CN52" s="235">
        <f>IF(CI52=0,"",CL52/CI52)</f>
        <v/>
      </c>
      <c r="CO52" s="26" t="n"/>
      <c r="CP52" s="236">
        <f>BX52+CG52</f>
        <v/>
      </c>
      <c r="CQ52" s="236">
        <f>BY52+CH52</f>
        <v/>
      </c>
      <c r="CR52" s="236">
        <f>CP52+CQ52</f>
        <v/>
      </c>
      <c r="CS52" s="236">
        <f>CA52+CJ52</f>
        <v/>
      </c>
      <c r="CT52" s="236">
        <f>CB52+CK52</f>
        <v/>
      </c>
      <c r="CU52" s="236">
        <f>CS52+CT52</f>
        <v/>
      </c>
      <c r="CV52" s="239">
        <f>CU52-CR52</f>
        <v/>
      </c>
      <c r="CW52" s="237">
        <f>IF(CR52=0,"",CU52/CR52)</f>
        <v/>
      </c>
      <c r="CX52" s="33" t="n"/>
      <c r="CY52" s="233" t="n"/>
      <c r="CZ52" s="233" t="n"/>
      <c r="DA52" s="233">
        <f>CY52+CZ52</f>
        <v/>
      </c>
      <c r="DB52" s="233" t="n"/>
      <c r="DC52" s="233" t="n"/>
      <c r="DD52" s="233">
        <f>DB52+DC52</f>
        <v/>
      </c>
      <c r="DE52" s="238">
        <f>DD52-DA52</f>
        <v/>
      </c>
      <c r="DF52" s="235">
        <f>IF(DA52=0,"",DD52/DA52)</f>
        <v/>
      </c>
      <c r="DG52" s="26" t="n"/>
      <c r="DH52" s="236">
        <f>CP52+CY52</f>
        <v/>
      </c>
      <c r="DI52" s="236">
        <f>CQ52+CZ52</f>
        <v/>
      </c>
      <c r="DJ52" s="236">
        <f>DH52+DI52</f>
        <v/>
      </c>
      <c r="DK52" s="236">
        <f>CS52+DB52</f>
        <v/>
      </c>
      <c r="DL52" s="236">
        <f>CT52+DC52</f>
        <v/>
      </c>
      <c r="DM52" s="236">
        <f>DK52+DL52</f>
        <v/>
      </c>
      <c r="DN52" s="239">
        <f>DM52-DJ52</f>
        <v/>
      </c>
      <c r="DO52" s="237">
        <f>IF(DJ52=0,"",DM52/DJ52)</f>
        <v/>
      </c>
      <c r="DP52" s="33" t="n"/>
      <c r="DQ52" s="233" t="n"/>
      <c r="DR52" s="233" t="n"/>
      <c r="DS52" s="233">
        <f>DQ52+DR52</f>
        <v/>
      </c>
      <c r="DT52" s="233" t="n"/>
      <c r="DU52" s="233" t="n"/>
      <c r="DV52" s="233">
        <f>DT52+DU52</f>
        <v/>
      </c>
      <c r="DW52" s="238">
        <f>DV52-DS52</f>
        <v/>
      </c>
      <c r="DX52" s="235">
        <f>IF(DS52=0,"",DV52/DS52)</f>
        <v/>
      </c>
      <c r="DY52" s="26" t="n"/>
      <c r="DZ52" s="236">
        <f>DH52+DQ52</f>
        <v/>
      </c>
      <c r="EA52" s="236">
        <f>DI52+DR52</f>
        <v/>
      </c>
      <c r="EB52" s="236">
        <f>DZ52+EA52</f>
        <v/>
      </c>
      <c r="EC52" s="236">
        <f>DK52+DT52</f>
        <v/>
      </c>
      <c r="ED52" s="236">
        <f>DL52+DU52</f>
        <v/>
      </c>
      <c r="EE52" s="236">
        <f>EC52+ED52</f>
        <v/>
      </c>
      <c r="EF52" s="239">
        <f>EE52-EB52</f>
        <v/>
      </c>
      <c r="EG52" s="237">
        <f>IF(EB52=0,"",EE52/EB52)</f>
        <v/>
      </c>
      <c r="EH52" s="33" t="n"/>
      <c r="EI52" s="233" t="n"/>
      <c r="EJ52" s="233" t="n"/>
      <c r="EK52" s="233">
        <f>EI52+EJ52</f>
        <v/>
      </c>
      <c r="EL52" s="233" t="n"/>
      <c r="EM52" s="233" t="n"/>
      <c r="EN52" s="233">
        <f>EL52+EM52</f>
        <v/>
      </c>
      <c r="EO52" s="238">
        <f>EN52-EK52</f>
        <v/>
      </c>
      <c r="EP52" s="235">
        <f>IF(EK52=0,"",EN52/EK52)</f>
        <v/>
      </c>
      <c r="EQ52" s="26" t="n"/>
      <c r="ER52" s="236">
        <f>DZ52+EI52</f>
        <v/>
      </c>
      <c r="ES52" s="236">
        <f>EA52+EJ52</f>
        <v/>
      </c>
      <c r="ET52" s="236">
        <f>ER52+ES52</f>
        <v/>
      </c>
      <c r="EU52" s="236">
        <f>EC52+EL52</f>
        <v/>
      </c>
      <c r="EV52" s="236">
        <f>ED52+EM52</f>
        <v/>
      </c>
      <c r="EW52" s="236">
        <f>EU52+EV52</f>
        <v/>
      </c>
      <c r="EX52" s="239">
        <f>EW52-ET52</f>
        <v/>
      </c>
      <c r="EY52" s="237">
        <f>IF(ET52=0,"",EW52/ET52)</f>
        <v/>
      </c>
      <c r="EZ52" s="33" t="n"/>
      <c r="FA52" s="233" t="n"/>
      <c r="FB52" s="233" t="n"/>
      <c r="FC52" s="233">
        <f>FA52+FB52</f>
        <v/>
      </c>
      <c r="FD52" s="233" t="n"/>
      <c r="FE52" s="233" t="n"/>
      <c r="FF52" s="233">
        <f>FD52+FE52</f>
        <v/>
      </c>
      <c r="FG52" s="238">
        <f>FF52-FC52</f>
        <v/>
      </c>
      <c r="FH52" s="235">
        <f>IF(FC52=0,"",FF52/FC52)</f>
        <v/>
      </c>
      <c r="FI52" s="26" t="n"/>
      <c r="FJ52" s="236">
        <f>ER52+FA52</f>
        <v/>
      </c>
      <c r="FK52" s="236">
        <f>ES52+FB52</f>
        <v/>
      </c>
      <c r="FL52" s="236">
        <f>FJ52+FK52</f>
        <v/>
      </c>
      <c r="FM52" s="236">
        <f>EU52+FD52</f>
        <v/>
      </c>
      <c r="FN52" s="236">
        <f>EV52+FE52</f>
        <v/>
      </c>
      <c r="FO52" s="236">
        <f>FM52+FN52</f>
        <v/>
      </c>
      <c r="FP52" s="239">
        <f>FO52-FL52</f>
        <v/>
      </c>
      <c r="FQ52" s="237">
        <f>IF(FL52=0,"",FO52/FL52)</f>
        <v/>
      </c>
      <c r="FR52" s="33" t="n"/>
      <c r="FS52" s="233" t="n"/>
      <c r="FT52" s="233" t="n"/>
      <c r="FU52" s="233">
        <f>FS52+FT52</f>
        <v/>
      </c>
      <c r="FV52" s="233" t="n"/>
      <c r="FW52" s="233" t="n"/>
      <c r="FX52" s="233">
        <f>FV52+FW52</f>
        <v/>
      </c>
      <c r="FY52" s="238">
        <f>FX52-FU52</f>
        <v/>
      </c>
      <c r="FZ52" s="235">
        <f>IF(FU52=0,"",FX52/FU52)</f>
        <v/>
      </c>
      <c r="GA52" s="26" t="n"/>
      <c r="GB52" s="236">
        <f>FJ52+FS52</f>
        <v/>
      </c>
      <c r="GC52" s="236">
        <f>FK52+FT52</f>
        <v/>
      </c>
      <c r="GD52" s="236">
        <f>GB52+GC52</f>
        <v/>
      </c>
      <c r="GE52" s="236">
        <f>FM52+FV52</f>
        <v/>
      </c>
      <c r="GF52" s="236">
        <f>FN52+FW52</f>
        <v/>
      </c>
      <c r="GG52" s="236">
        <f>GE52+GF52</f>
        <v/>
      </c>
      <c r="GH52" s="239">
        <f>GG52-GD52</f>
        <v/>
      </c>
      <c r="GI52" s="237">
        <f>IF(GD52=0,"",GG52/GD52)</f>
        <v/>
      </c>
      <c r="GJ52" s="33" t="n"/>
      <c r="GK52" s="233" t="n"/>
      <c r="GL52" s="233" t="n"/>
      <c r="GM52" s="233">
        <f>GK52+GL52</f>
        <v/>
      </c>
      <c r="GN52" s="233" t="n"/>
      <c r="GO52" s="233" t="n"/>
      <c r="GP52" s="233">
        <f>GN52+GO52</f>
        <v/>
      </c>
      <c r="GQ52" s="238">
        <f>GP52-GM52</f>
        <v/>
      </c>
      <c r="GR52" s="235">
        <f>IF(GM52=0,"",GP52/GM52)</f>
        <v/>
      </c>
      <c r="GS52" s="26" t="n"/>
      <c r="GT52" s="236">
        <f>GB52+GK52</f>
        <v/>
      </c>
      <c r="GU52" s="236">
        <f>GC52+GL52</f>
        <v/>
      </c>
      <c r="GV52" s="236">
        <f>GT52+GU52</f>
        <v/>
      </c>
      <c r="GW52" s="236">
        <f>GE52+GN52</f>
        <v/>
      </c>
      <c r="GX52" s="236">
        <f>GF52+GO52</f>
        <v/>
      </c>
      <c r="GY52" s="236">
        <f>GW52+GX52</f>
        <v/>
      </c>
      <c r="GZ52" s="239">
        <f>GY52-GV52</f>
        <v/>
      </c>
      <c r="HA52" s="237">
        <f>IF(GV52=0,"",GY52/GV52)</f>
        <v/>
      </c>
      <c r="HB52" s="33" t="n"/>
      <c r="HC52" s="233">
        <f>GT52</f>
        <v/>
      </c>
      <c r="HD52" s="233">
        <f>GU52</f>
        <v/>
      </c>
      <c r="HE52" s="233">
        <f>HC52+HD52</f>
        <v/>
      </c>
    </row>
    <row r="53" outlineLevel="1" ht="15" customHeight="1" s="150">
      <c r="A53" s="26" t="n"/>
      <c r="B53" s="26" t="n"/>
      <c r="C53" s="26" t="n"/>
      <c r="D53" s="233" t="n"/>
      <c r="E53" s="233" t="n"/>
      <c r="F53" s="233">
        <f>D53+E53</f>
        <v/>
      </c>
      <c r="G53" s="233" t="n"/>
      <c r="H53" s="233" t="n"/>
      <c r="I53" s="233">
        <f>G53+H53</f>
        <v/>
      </c>
      <c r="J53" s="238">
        <f>I53-F53</f>
        <v/>
      </c>
      <c r="K53" s="235">
        <f>IF(F53=0,"",I53/F53)</f>
        <v/>
      </c>
      <c r="L53" s="26" t="n"/>
      <c r="M53" s="233" t="n"/>
      <c r="N53" s="233" t="n"/>
      <c r="O53" s="233">
        <f>M53+N53</f>
        <v/>
      </c>
      <c r="P53" s="233" t="n"/>
      <c r="Q53" s="233" t="n"/>
      <c r="R53" s="233">
        <f>P53+Q53</f>
        <v/>
      </c>
      <c r="S53" s="238">
        <f>R53-O53</f>
        <v/>
      </c>
      <c r="T53" s="235">
        <f>IF(O53=0,"",R53/O53)</f>
        <v/>
      </c>
      <c r="U53" s="26" t="n"/>
      <c r="V53" s="236">
        <f>D53+M53</f>
        <v/>
      </c>
      <c r="W53" s="236">
        <f>E53+N53</f>
        <v/>
      </c>
      <c r="X53" s="236">
        <f>V53+W53</f>
        <v/>
      </c>
      <c r="Y53" s="236">
        <f>G53+P53</f>
        <v/>
      </c>
      <c r="Z53" s="236">
        <f>H53+Q53</f>
        <v/>
      </c>
      <c r="AA53" s="236">
        <f>Y53+Z53</f>
        <v/>
      </c>
      <c r="AB53" s="239">
        <f>AA53-X53</f>
        <v/>
      </c>
      <c r="AC53" s="237">
        <f>IF(X53=0,"",AA53/X53)</f>
        <v/>
      </c>
      <c r="AD53" s="33" t="n"/>
      <c r="AE53" s="233" t="n"/>
      <c r="AF53" s="233" t="n"/>
      <c r="AG53" s="233">
        <f>AE53+AF53</f>
        <v/>
      </c>
      <c r="AH53" s="233" t="n"/>
      <c r="AI53" s="233" t="n"/>
      <c r="AJ53" s="233">
        <f>AH53+AI53</f>
        <v/>
      </c>
      <c r="AK53" s="238">
        <f>AJ53-AG53</f>
        <v/>
      </c>
      <c r="AL53" s="235">
        <f>IF(AG53=0,"",AJ53/AG53)</f>
        <v/>
      </c>
      <c r="AM53" s="26" t="n"/>
      <c r="AN53" s="236">
        <f>V53+AE53</f>
        <v/>
      </c>
      <c r="AO53" s="236">
        <f>W53+AF53</f>
        <v/>
      </c>
      <c r="AP53" s="236">
        <f>AN53+AO53</f>
        <v/>
      </c>
      <c r="AQ53" s="236">
        <f>Y53+AH53</f>
        <v/>
      </c>
      <c r="AR53" s="236">
        <f>Z53+AI53</f>
        <v/>
      </c>
      <c r="AS53" s="236">
        <f>AQ53+AR53</f>
        <v/>
      </c>
      <c r="AT53" s="239">
        <f>AS53-AP53</f>
        <v/>
      </c>
      <c r="AU53" s="237">
        <f>IF(AP53=0,"",AS53/AP53)</f>
        <v/>
      </c>
      <c r="AV53" s="33" t="n"/>
      <c r="AW53" s="233" t="n"/>
      <c r="AX53" s="233" t="n"/>
      <c r="AY53" s="233">
        <f>AW53+AX53</f>
        <v/>
      </c>
      <c r="AZ53" s="233" t="n"/>
      <c r="BA53" s="233" t="n"/>
      <c r="BB53" s="233">
        <f>AZ53+BA53</f>
        <v/>
      </c>
      <c r="BC53" s="238">
        <f>BB53-AY53</f>
        <v/>
      </c>
      <c r="BD53" s="235">
        <f>IF(AY53=0,"",BB53/AY53)</f>
        <v/>
      </c>
      <c r="BE53" s="26" t="n"/>
      <c r="BF53" s="236">
        <f>AN53+AW53</f>
        <v/>
      </c>
      <c r="BG53" s="236">
        <f>AO53+AX53</f>
        <v/>
      </c>
      <c r="BH53" s="236">
        <f>BF53+BG53</f>
        <v/>
      </c>
      <c r="BI53" s="236">
        <f>AQ53+AZ53</f>
        <v/>
      </c>
      <c r="BJ53" s="236">
        <f>AR53+BA53</f>
        <v/>
      </c>
      <c r="BK53" s="236">
        <f>BI53+BJ53</f>
        <v/>
      </c>
      <c r="BL53" s="239">
        <f>BK53-BH53</f>
        <v/>
      </c>
      <c r="BM53" s="237">
        <f>IF(BH53=0,"",BK53/BH53)</f>
        <v/>
      </c>
      <c r="BN53" s="33" t="n"/>
      <c r="BO53" s="233" t="n"/>
      <c r="BP53" s="233" t="n"/>
      <c r="BQ53" s="233">
        <f>BO53+BP53</f>
        <v/>
      </c>
      <c r="BR53" s="233" t="n"/>
      <c r="BS53" s="233" t="n"/>
      <c r="BT53" s="233">
        <f>BR53+BS53</f>
        <v/>
      </c>
      <c r="BU53" s="238">
        <f>BT53-BQ53</f>
        <v/>
      </c>
      <c r="BV53" s="235">
        <f>IF(BQ53=0,"",BT53/BQ53)</f>
        <v/>
      </c>
      <c r="BW53" s="26" t="n"/>
      <c r="BX53" s="236">
        <f>BF53+BO53</f>
        <v/>
      </c>
      <c r="BY53" s="236">
        <f>BG53+BP53</f>
        <v/>
      </c>
      <c r="BZ53" s="236">
        <f>BX53+BY53</f>
        <v/>
      </c>
      <c r="CA53" s="236">
        <f>BI53+BR53</f>
        <v/>
      </c>
      <c r="CB53" s="236">
        <f>BJ53+BS53</f>
        <v/>
      </c>
      <c r="CC53" s="236">
        <f>CA53+CB53</f>
        <v/>
      </c>
      <c r="CD53" s="239">
        <f>CC53-BZ53</f>
        <v/>
      </c>
      <c r="CE53" s="237">
        <f>IF(BZ53=0,"",CC53/BZ53)</f>
        <v/>
      </c>
      <c r="CF53" s="33" t="n"/>
      <c r="CG53" s="233" t="n"/>
      <c r="CH53" s="233" t="n"/>
      <c r="CI53" s="233">
        <f>CG53+CH53</f>
        <v/>
      </c>
      <c r="CJ53" s="233" t="n"/>
      <c r="CK53" s="233" t="n"/>
      <c r="CL53" s="233">
        <f>CJ53+CK53</f>
        <v/>
      </c>
      <c r="CM53" s="238">
        <f>CL53-CI53</f>
        <v/>
      </c>
      <c r="CN53" s="235">
        <f>IF(CI53=0,"",CL53/CI53)</f>
        <v/>
      </c>
      <c r="CO53" s="26" t="n"/>
      <c r="CP53" s="236">
        <f>BX53+CG53</f>
        <v/>
      </c>
      <c r="CQ53" s="236">
        <f>BY53+CH53</f>
        <v/>
      </c>
      <c r="CR53" s="236">
        <f>CP53+CQ53</f>
        <v/>
      </c>
      <c r="CS53" s="236">
        <f>CA53+CJ53</f>
        <v/>
      </c>
      <c r="CT53" s="236">
        <f>CB53+CK53</f>
        <v/>
      </c>
      <c r="CU53" s="236">
        <f>CS53+CT53</f>
        <v/>
      </c>
      <c r="CV53" s="239">
        <f>CU53-CR53</f>
        <v/>
      </c>
      <c r="CW53" s="237">
        <f>IF(CR53=0,"",CU53/CR53)</f>
        <v/>
      </c>
      <c r="CX53" s="33" t="n"/>
      <c r="CY53" s="233" t="n"/>
      <c r="CZ53" s="233" t="n"/>
      <c r="DA53" s="233">
        <f>CY53+CZ53</f>
        <v/>
      </c>
      <c r="DB53" s="233" t="n"/>
      <c r="DC53" s="233" t="n"/>
      <c r="DD53" s="233">
        <f>DB53+DC53</f>
        <v/>
      </c>
      <c r="DE53" s="238">
        <f>DD53-DA53</f>
        <v/>
      </c>
      <c r="DF53" s="235">
        <f>IF(DA53=0,"",DD53/DA53)</f>
        <v/>
      </c>
      <c r="DG53" s="26" t="n"/>
      <c r="DH53" s="236">
        <f>CP53+CY53</f>
        <v/>
      </c>
      <c r="DI53" s="236">
        <f>CQ53+CZ53</f>
        <v/>
      </c>
      <c r="DJ53" s="236">
        <f>DH53+DI53</f>
        <v/>
      </c>
      <c r="DK53" s="236">
        <f>CS53+DB53</f>
        <v/>
      </c>
      <c r="DL53" s="236">
        <f>CT53+DC53</f>
        <v/>
      </c>
      <c r="DM53" s="236">
        <f>DK53+DL53</f>
        <v/>
      </c>
      <c r="DN53" s="239">
        <f>DM53-DJ53</f>
        <v/>
      </c>
      <c r="DO53" s="237">
        <f>IF(DJ53=0,"",DM53/DJ53)</f>
        <v/>
      </c>
      <c r="DP53" s="33" t="n"/>
      <c r="DQ53" s="233" t="n"/>
      <c r="DR53" s="233" t="n"/>
      <c r="DS53" s="233">
        <f>DQ53+DR53</f>
        <v/>
      </c>
      <c r="DT53" s="233" t="n"/>
      <c r="DU53" s="233" t="n"/>
      <c r="DV53" s="233">
        <f>DT53+DU53</f>
        <v/>
      </c>
      <c r="DW53" s="238">
        <f>DV53-DS53</f>
        <v/>
      </c>
      <c r="DX53" s="235">
        <f>IF(DS53=0,"",DV53/DS53)</f>
        <v/>
      </c>
      <c r="DY53" s="26" t="n"/>
      <c r="DZ53" s="236">
        <f>DH53+DQ53</f>
        <v/>
      </c>
      <c r="EA53" s="236">
        <f>DI53+DR53</f>
        <v/>
      </c>
      <c r="EB53" s="236">
        <f>DZ53+EA53</f>
        <v/>
      </c>
      <c r="EC53" s="236">
        <f>DK53+DT53</f>
        <v/>
      </c>
      <c r="ED53" s="236">
        <f>DL53+DU53</f>
        <v/>
      </c>
      <c r="EE53" s="236">
        <f>EC53+ED53</f>
        <v/>
      </c>
      <c r="EF53" s="239">
        <f>EE53-EB53</f>
        <v/>
      </c>
      <c r="EG53" s="237">
        <f>IF(EB53=0,"",EE53/EB53)</f>
        <v/>
      </c>
      <c r="EH53" s="33" t="n"/>
      <c r="EI53" s="233" t="n"/>
      <c r="EJ53" s="233" t="n"/>
      <c r="EK53" s="233">
        <f>EI53+EJ53</f>
        <v/>
      </c>
      <c r="EL53" s="233" t="n"/>
      <c r="EM53" s="233" t="n"/>
      <c r="EN53" s="233">
        <f>EL53+EM53</f>
        <v/>
      </c>
      <c r="EO53" s="238">
        <f>EN53-EK53</f>
        <v/>
      </c>
      <c r="EP53" s="235">
        <f>IF(EK53=0,"",EN53/EK53)</f>
        <v/>
      </c>
      <c r="EQ53" s="26" t="n"/>
      <c r="ER53" s="236">
        <f>DZ53+EI53</f>
        <v/>
      </c>
      <c r="ES53" s="236">
        <f>EA53+EJ53</f>
        <v/>
      </c>
      <c r="ET53" s="236">
        <f>ER53+ES53</f>
        <v/>
      </c>
      <c r="EU53" s="236">
        <f>EC53+EL53</f>
        <v/>
      </c>
      <c r="EV53" s="236">
        <f>ED53+EM53</f>
        <v/>
      </c>
      <c r="EW53" s="236">
        <f>EU53+EV53</f>
        <v/>
      </c>
      <c r="EX53" s="239">
        <f>EW53-ET53</f>
        <v/>
      </c>
      <c r="EY53" s="237">
        <f>IF(ET53=0,"",EW53/ET53)</f>
        <v/>
      </c>
      <c r="EZ53" s="33" t="n"/>
      <c r="FA53" s="233" t="n"/>
      <c r="FB53" s="233" t="n"/>
      <c r="FC53" s="233">
        <f>FA53+FB53</f>
        <v/>
      </c>
      <c r="FD53" s="233" t="n"/>
      <c r="FE53" s="233" t="n"/>
      <c r="FF53" s="233">
        <f>FD53+FE53</f>
        <v/>
      </c>
      <c r="FG53" s="238">
        <f>FF53-FC53</f>
        <v/>
      </c>
      <c r="FH53" s="235">
        <f>IF(FC53=0,"",FF53/FC53)</f>
        <v/>
      </c>
      <c r="FI53" s="26" t="n"/>
      <c r="FJ53" s="236">
        <f>ER53+FA53</f>
        <v/>
      </c>
      <c r="FK53" s="236">
        <f>ES53+FB53</f>
        <v/>
      </c>
      <c r="FL53" s="236">
        <f>FJ53+FK53</f>
        <v/>
      </c>
      <c r="FM53" s="236">
        <f>EU53+FD53</f>
        <v/>
      </c>
      <c r="FN53" s="236">
        <f>EV53+FE53</f>
        <v/>
      </c>
      <c r="FO53" s="236">
        <f>FM53+FN53</f>
        <v/>
      </c>
      <c r="FP53" s="239">
        <f>FO53-FL53</f>
        <v/>
      </c>
      <c r="FQ53" s="237">
        <f>IF(FL53=0,"",FO53/FL53)</f>
        <v/>
      </c>
      <c r="FR53" s="33" t="n"/>
      <c r="FS53" s="233" t="n"/>
      <c r="FT53" s="233" t="n"/>
      <c r="FU53" s="233">
        <f>FS53+FT53</f>
        <v/>
      </c>
      <c r="FV53" s="233" t="n"/>
      <c r="FW53" s="233" t="n"/>
      <c r="FX53" s="233">
        <f>FV53+FW53</f>
        <v/>
      </c>
      <c r="FY53" s="238">
        <f>FX53-FU53</f>
        <v/>
      </c>
      <c r="FZ53" s="235">
        <f>IF(FU53=0,"",FX53/FU53)</f>
        <v/>
      </c>
      <c r="GA53" s="26" t="n"/>
      <c r="GB53" s="236">
        <f>FJ53+FS53</f>
        <v/>
      </c>
      <c r="GC53" s="236">
        <f>FK53+FT53</f>
        <v/>
      </c>
      <c r="GD53" s="236">
        <f>GB53+GC53</f>
        <v/>
      </c>
      <c r="GE53" s="236">
        <f>FM53+FV53</f>
        <v/>
      </c>
      <c r="GF53" s="236">
        <f>FN53+FW53</f>
        <v/>
      </c>
      <c r="GG53" s="236">
        <f>GE53+GF53</f>
        <v/>
      </c>
      <c r="GH53" s="239">
        <f>GG53-GD53</f>
        <v/>
      </c>
      <c r="GI53" s="237">
        <f>IF(GD53=0,"",GG53/GD53)</f>
        <v/>
      </c>
      <c r="GJ53" s="33" t="n"/>
      <c r="GK53" s="233" t="n"/>
      <c r="GL53" s="233" t="n"/>
      <c r="GM53" s="233">
        <f>GK53+GL53</f>
        <v/>
      </c>
      <c r="GN53" s="233" t="n"/>
      <c r="GO53" s="233" t="n"/>
      <c r="GP53" s="233">
        <f>GN53+GO53</f>
        <v/>
      </c>
      <c r="GQ53" s="238">
        <f>GP53-GM53</f>
        <v/>
      </c>
      <c r="GR53" s="235">
        <f>IF(GM53=0,"",GP53/GM53)</f>
        <v/>
      </c>
      <c r="GS53" s="26" t="n"/>
      <c r="GT53" s="236">
        <f>GB53+GK53</f>
        <v/>
      </c>
      <c r="GU53" s="236">
        <f>GC53+GL53</f>
        <v/>
      </c>
      <c r="GV53" s="236">
        <f>GT53+GU53</f>
        <v/>
      </c>
      <c r="GW53" s="236">
        <f>GE53+GN53</f>
        <v/>
      </c>
      <c r="GX53" s="236">
        <f>GF53+GO53</f>
        <v/>
      </c>
      <c r="GY53" s="236">
        <f>GW53+GX53</f>
        <v/>
      </c>
      <c r="GZ53" s="239">
        <f>GY53-GV53</f>
        <v/>
      </c>
      <c r="HA53" s="237">
        <f>IF(GV53=0,"",GY53/GV53)</f>
        <v/>
      </c>
      <c r="HB53" s="33" t="n"/>
      <c r="HC53" s="233">
        <f>GT53</f>
        <v/>
      </c>
      <c r="HD53" s="233">
        <f>GU53</f>
        <v/>
      </c>
      <c r="HE53" s="233">
        <f>HC53+HD53</f>
        <v/>
      </c>
    </row>
    <row r="54" outlineLevel="1" ht="24" customHeight="1" s="150">
      <c r="A54" s="26" t="n"/>
      <c r="B54" s="26" t="n"/>
      <c r="C54" s="26" t="n"/>
      <c r="D54" s="233" t="n"/>
      <c r="E54" s="233" t="n"/>
      <c r="F54" s="233">
        <f>D54+E54</f>
        <v/>
      </c>
      <c r="G54" s="233" t="n"/>
      <c r="H54" s="233" t="n"/>
      <c r="I54" s="233">
        <f>G54+H54</f>
        <v/>
      </c>
      <c r="J54" s="234">
        <f>I54-F54</f>
        <v/>
      </c>
      <c r="K54" s="235">
        <f>IF(F54=0,"",I54/F54)</f>
        <v/>
      </c>
      <c r="L54" s="42" t="n"/>
      <c r="M54" s="233" t="n"/>
      <c r="N54" s="233" t="n"/>
      <c r="O54" s="233">
        <f>M54+N54</f>
        <v/>
      </c>
      <c r="P54" s="233" t="n"/>
      <c r="Q54" s="233" t="n"/>
      <c r="R54" s="233">
        <f>P54+Q54</f>
        <v/>
      </c>
      <c r="S54" s="234">
        <f>R54-O54</f>
        <v/>
      </c>
      <c r="T54" s="235">
        <f>IF(O54=0,"",R54/O54)</f>
        <v/>
      </c>
      <c r="U54" s="42" t="n"/>
      <c r="V54" s="236">
        <f>D54+M54</f>
        <v/>
      </c>
      <c r="W54" s="236">
        <f>E54+N54</f>
        <v/>
      </c>
      <c r="X54" s="236">
        <f>V54+W54</f>
        <v/>
      </c>
      <c r="Y54" s="236">
        <f>G54+P54</f>
        <v/>
      </c>
      <c r="Z54" s="236">
        <f>H54+Q54</f>
        <v/>
      </c>
      <c r="AA54" s="236">
        <f>Y54+Z54</f>
        <v/>
      </c>
      <c r="AB54" s="239">
        <f>AA54-X54</f>
        <v/>
      </c>
      <c r="AC54" s="237">
        <f>IF(X54=0,"",AA54/X54)</f>
        <v/>
      </c>
      <c r="AD54" s="33" t="n"/>
      <c r="AE54" s="233" t="n"/>
      <c r="AF54" s="233" t="n"/>
      <c r="AG54" s="233">
        <f>AE54+AF54</f>
        <v/>
      </c>
      <c r="AH54" s="233" t="n"/>
      <c r="AI54" s="233" t="n"/>
      <c r="AJ54" s="233">
        <f>AH54+AI54</f>
        <v/>
      </c>
      <c r="AK54" s="234">
        <f>AJ54-AG54</f>
        <v/>
      </c>
      <c r="AL54" s="235">
        <f>IF(AG54=0,"",AJ54/AG54)</f>
        <v/>
      </c>
      <c r="AM54" s="42" t="n"/>
      <c r="AN54" s="236">
        <f>V54+AE54</f>
        <v/>
      </c>
      <c r="AO54" s="236">
        <f>W54+AF54</f>
        <v/>
      </c>
      <c r="AP54" s="236">
        <f>AN54+AO54</f>
        <v/>
      </c>
      <c r="AQ54" s="236">
        <f>Y54+AH54</f>
        <v/>
      </c>
      <c r="AR54" s="236">
        <f>Z54+AI54</f>
        <v/>
      </c>
      <c r="AS54" s="236">
        <f>AQ54+AR54</f>
        <v/>
      </c>
      <c r="AT54" s="234">
        <f>AS54-AP54</f>
        <v/>
      </c>
      <c r="AU54" s="237">
        <f>IF(AP54=0,"",AS54/AP54)</f>
        <v/>
      </c>
      <c r="AV54" s="44" t="n"/>
      <c r="AW54" s="233" t="n"/>
      <c r="AX54" s="233" t="n"/>
      <c r="AY54" s="233">
        <f>AW54+AX54</f>
        <v/>
      </c>
      <c r="AZ54" s="233" t="n"/>
      <c r="BA54" s="233" t="n"/>
      <c r="BB54" s="233">
        <f>AZ54+BA54</f>
        <v/>
      </c>
      <c r="BC54" s="238">
        <f>BB54-AY54</f>
        <v/>
      </c>
      <c r="BD54" s="235">
        <f>IF(AY54=0,"",BB54/AY54)</f>
        <v/>
      </c>
      <c r="BE54" s="26" t="n"/>
      <c r="BF54" s="236">
        <f>AN54+AW54</f>
        <v/>
      </c>
      <c r="BG54" s="236">
        <f>AO54+AX54</f>
        <v/>
      </c>
      <c r="BH54" s="236">
        <f>BF54+BG54</f>
        <v/>
      </c>
      <c r="BI54" s="236">
        <f>AQ54+AZ54</f>
        <v/>
      </c>
      <c r="BJ54" s="236">
        <f>AR54+BA54</f>
        <v/>
      </c>
      <c r="BK54" s="236">
        <f>BI54+BJ54</f>
        <v/>
      </c>
      <c r="BL54" s="239">
        <f>BK54-BH54</f>
        <v/>
      </c>
      <c r="BM54" s="237">
        <f>IF(BH54=0,"",BK54/BH54)</f>
        <v/>
      </c>
      <c r="BN54" s="33" t="n"/>
      <c r="BO54" s="233" t="n"/>
      <c r="BP54" s="233" t="n"/>
      <c r="BQ54" s="233">
        <f>BO54+BP54</f>
        <v/>
      </c>
      <c r="BR54" s="233" t="n"/>
      <c r="BS54" s="233" t="n"/>
      <c r="BT54" s="233">
        <f>BR54+BS54</f>
        <v/>
      </c>
      <c r="BU54" s="238">
        <f>BT54-BQ54</f>
        <v/>
      </c>
      <c r="BV54" s="235">
        <f>IF(BQ54=0,"",BT54/BQ54)</f>
        <v/>
      </c>
      <c r="BW54" s="26" t="n"/>
      <c r="BX54" s="236">
        <f>BF54+BO54</f>
        <v/>
      </c>
      <c r="BY54" s="236">
        <f>BG54+BP54</f>
        <v/>
      </c>
      <c r="BZ54" s="236">
        <f>BX54+BY54</f>
        <v/>
      </c>
      <c r="CA54" s="236">
        <f>BI54+BR54</f>
        <v/>
      </c>
      <c r="CB54" s="236">
        <f>BJ54+BS54</f>
        <v/>
      </c>
      <c r="CC54" s="236">
        <f>CA54+CB54</f>
        <v/>
      </c>
      <c r="CD54" s="239">
        <f>CC54-BZ54</f>
        <v/>
      </c>
      <c r="CE54" s="237">
        <f>IF(BZ54=0,"",CC54/BZ54)</f>
        <v/>
      </c>
      <c r="CF54" s="33" t="n"/>
      <c r="CG54" s="233" t="n"/>
      <c r="CH54" s="233" t="n"/>
      <c r="CI54" s="233">
        <f>CG54+CH54</f>
        <v/>
      </c>
      <c r="CJ54" s="233" t="n"/>
      <c r="CK54" s="233" t="n"/>
      <c r="CL54" s="233">
        <f>CJ54+CK54</f>
        <v/>
      </c>
      <c r="CM54" s="238">
        <f>CL54-CI54</f>
        <v/>
      </c>
      <c r="CN54" s="235">
        <f>IF(CI54=0,"",CL54/CI54)</f>
        <v/>
      </c>
      <c r="CO54" s="26" t="n"/>
      <c r="CP54" s="236">
        <f>BX54+CG54</f>
        <v/>
      </c>
      <c r="CQ54" s="236">
        <f>BY54+CH54</f>
        <v/>
      </c>
      <c r="CR54" s="236">
        <f>CP54+CQ54</f>
        <v/>
      </c>
      <c r="CS54" s="236">
        <f>CA54+CJ54</f>
        <v/>
      </c>
      <c r="CT54" s="236">
        <f>CB54+CK54</f>
        <v/>
      </c>
      <c r="CU54" s="236">
        <f>CS54+CT54</f>
        <v/>
      </c>
      <c r="CV54" s="239">
        <f>CU54-CR54</f>
        <v/>
      </c>
      <c r="CW54" s="237">
        <f>IF(CR54=0,"",CU54/CR54)</f>
        <v/>
      </c>
      <c r="CX54" s="33" t="n"/>
      <c r="CY54" s="233" t="n"/>
      <c r="CZ54" s="233" t="n"/>
      <c r="DA54" s="233">
        <f>CY54+CZ54</f>
        <v/>
      </c>
      <c r="DB54" s="233" t="n"/>
      <c r="DC54" s="233" t="n"/>
      <c r="DD54" s="233">
        <f>DB54+DC54</f>
        <v/>
      </c>
      <c r="DE54" s="238">
        <f>DD54-DA54</f>
        <v/>
      </c>
      <c r="DF54" s="235">
        <f>IF(DA54=0,"",DD54/DA54)</f>
        <v/>
      </c>
      <c r="DG54" s="26" t="n"/>
      <c r="DH54" s="236">
        <f>CP54+CY54</f>
        <v/>
      </c>
      <c r="DI54" s="236">
        <f>CQ54+CZ54</f>
        <v/>
      </c>
      <c r="DJ54" s="236">
        <f>DH54+DI54</f>
        <v/>
      </c>
      <c r="DK54" s="236">
        <f>CS54+DB54</f>
        <v/>
      </c>
      <c r="DL54" s="236">
        <f>CT54+DC54</f>
        <v/>
      </c>
      <c r="DM54" s="236">
        <f>DK54+DL54</f>
        <v/>
      </c>
      <c r="DN54" s="239">
        <f>DM54-DJ54</f>
        <v/>
      </c>
      <c r="DO54" s="237">
        <f>IF(DJ54=0,"",DM54/DJ54)</f>
        <v/>
      </c>
      <c r="DP54" s="33" t="n"/>
      <c r="DQ54" s="233" t="n"/>
      <c r="DR54" s="233" t="n"/>
      <c r="DS54" s="233">
        <f>DQ54+DR54</f>
        <v/>
      </c>
      <c r="DT54" s="233" t="n"/>
      <c r="DU54" s="233" t="n"/>
      <c r="DV54" s="233">
        <f>DT54+DU54</f>
        <v/>
      </c>
      <c r="DW54" s="238">
        <f>DV54-DS54</f>
        <v/>
      </c>
      <c r="DX54" s="235">
        <f>IF(DS54=0,"",DV54/DS54)</f>
        <v/>
      </c>
      <c r="DY54" s="26" t="n"/>
      <c r="DZ54" s="236">
        <f>DH54+DQ54</f>
        <v/>
      </c>
      <c r="EA54" s="236">
        <f>DI54+DR54</f>
        <v/>
      </c>
      <c r="EB54" s="236">
        <f>DZ54+EA54</f>
        <v/>
      </c>
      <c r="EC54" s="236">
        <f>DK54+DT54</f>
        <v/>
      </c>
      <c r="ED54" s="236">
        <f>DL54+DU54</f>
        <v/>
      </c>
      <c r="EE54" s="236">
        <f>EC54+ED54</f>
        <v/>
      </c>
      <c r="EF54" s="239">
        <f>EE54-EB54</f>
        <v/>
      </c>
      <c r="EG54" s="237">
        <f>IF(EB54=0,"",EE54/EB54)</f>
        <v/>
      </c>
      <c r="EH54" s="33" t="n"/>
      <c r="EI54" s="233" t="n"/>
      <c r="EJ54" s="233" t="n"/>
      <c r="EK54" s="233">
        <f>EI54+EJ54</f>
        <v/>
      </c>
      <c r="EL54" s="233" t="n"/>
      <c r="EM54" s="233" t="n"/>
      <c r="EN54" s="233">
        <f>EL54+EM54</f>
        <v/>
      </c>
      <c r="EO54" s="238">
        <f>EN54-EK54</f>
        <v/>
      </c>
      <c r="EP54" s="235">
        <f>IF(EK54=0,"",EN54/EK54)</f>
        <v/>
      </c>
      <c r="EQ54" s="26" t="n"/>
      <c r="ER54" s="236">
        <f>DZ54+EI54</f>
        <v/>
      </c>
      <c r="ES54" s="236">
        <f>EA54+EJ54</f>
        <v/>
      </c>
      <c r="ET54" s="236">
        <f>ER54+ES54</f>
        <v/>
      </c>
      <c r="EU54" s="236">
        <f>EC54+EL54</f>
        <v/>
      </c>
      <c r="EV54" s="236">
        <f>ED54+EM54</f>
        <v/>
      </c>
      <c r="EW54" s="236">
        <f>EU54+EV54</f>
        <v/>
      </c>
      <c r="EX54" s="239">
        <f>EW54-ET54</f>
        <v/>
      </c>
      <c r="EY54" s="237">
        <f>IF(ET54=0,"",EW54/ET54)</f>
        <v/>
      </c>
      <c r="EZ54" s="33" t="n"/>
      <c r="FA54" s="233" t="n"/>
      <c r="FB54" s="233" t="n"/>
      <c r="FC54" s="233">
        <f>FA54+FB54</f>
        <v/>
      </c>
      <c r="FD54" s="233" t="n"/>
      <c r="FE54" s="233" t="n"/>
      <c r="FF54" s="233">
        <f>FD54+FE54</f>
        <v/>
      </c>
      <c r="FG54" s="238">
        <f>FF54-FC54</f>
        <v/>
      </c>
      <c r="FH54" s="235">
        <f>IF(FC54=0,"",FF54/FC54)</f>
        <v/>
      </c>
      <c r="FI54" s="26" t="n"/>
      <c r="FJ54" s="236">
        <f>ER54+FA54</f>
        <v/>
      </c>
      <c r="FK54" s="236">
        <f>ES54+FB54</f>
        <v/>
      </c>
      <c r="FL54" s="236">
        <f>FJ54+FK54</f>
        <v/>
      </c>
      <c r="FM54" s="236">
        <f>EU54+FD54</f>
        <v/>
      </c>
      <c r="FN54" s="236">
        <f>EV54+FE54</f>
        <v/>
      </c>
      <c r="FO54" s="236">
        <f>FM54+FN54</f>
        <v/>
      </c>
      <c r="FP54" s="239">
        <f>FO54-FL54</f>
        <v/>
      </c>
      <c r="FQ54" s="237">
        <f>IF(FL54=0,"",FO54/FL54)</f>
        <v/>
      </c>
      <c r="FR54" s="33" t="n"/>
      <c r="FS54" s="233" t="n"/>
      <c r="FT54" s="233" t="n"/>
      <c r="FU54" s="233">
        <f>FS54+FT54</f>
        <v/>
      </c>
      <c r="FV54" s="233" t="n"/>
      <c r="FW54" s="233" t="n"/>
      <c r="FX54" s="233">
        <f>FV54+FW54</f>
        <v/>
      </c>
      <c r="FY54" s="238">
        <f>FX54-FU54</f>
        <v/>
      </c>
      <c r="FZ54" s="235">
        <f>IF(FU54=0,"",FX54/FU54)</f>
        <v/>
      </c>
      <c r="GA54" s="26" t="n"/>
      <c r="GB54" s="236">
        <f>FJ54+FS54</f>
        <v/>
      </c>
      <c r="GC54" s="236">
        <f>FK54+FT54</f>
        <v/>
      </c>
      <c r="GD54" s="236">
        <f>GB54+GC54</f>
        <v/>
      </c>
      <c r="GE54" s="236">
        <f>FM54+FV54</f>
        <v/>
      </c>
      <c r="GF54" s="236">
        <f>FN54+FW54</f>
        <v/>
      </c>
      <c r="GG54" s="236">
        <f>GE54+GF54</f>
        <v/>
      </c>
      <c r="GH54" s="239">
        <f>GG54-GD54</f>
        <v/>
      </c>
      <c r="GI54" s="237">
        <f>IF(GD54=0,"",GG54/GD54)</f>
        <v/>
      </c>
      <c r="GJ54" s="33" t="n"/>
      <c r="GK54" s="233" t="n"/>
      <c r="GL54" s="233" t="n"/>
      <c r="GM54" s="233">
        <f>GK54+GL54</f>
        <v/>
      </c>
      <c r="GN54" s="233" t="n"/>
      <c r="GO54" s="233" t="n"/>
      <c r="GP54" s="233">
        <f>GN54+GO54</f>
        <v/>
      </c>
      <c r="GQ54" s="238">
        <f>GP54-GM54</f>
        <v/>
      </c>
      <c r="GR54" s="235">
        <f>IF(GM54=0,"",GP54/GM54)</f>
        <v/>
      </c>
      <c r="GS54" s="26" t="n"/>
      <c r="GT54" s="236">
        <f>GB54+GK54</f>
        <v/>
      </c>
      <c r="GU54" s="236">
        <f>GC54+GL54</f>
        <v/>
      </c>
      <c r="GV54" s="236">
        <f>GT54+GU54</f>
        <v/>
      </c>
      <c r="GW54" s="236">
        <f>GE54+GN54</f>
        <v/>
      </c>
      <c r="GX54" s="236">
        <f>GF54+GO54</f>
        <v/>
      </c>
      <c r="GY54" s="236">
        <f>GW54+GX54</f>
        <v/>
      </c>
      <c r="GZ54" s="239">
        <f>GY54-GV54</f>
        <v/>
      </c>
      <c r="HA54" s="237">
        <f>IF(GV54=0,"",GY54/GV54)</f>
        <v/>
      </c>
      <c r="HB54" s="33" t="n"/>
      <c r="HC54" s="233">
        <f>GT54</f>
        <v/>
      </c>
      <c r="HD54" s="233">
        <f>GU54</f>
        <v/>
      </c>
      <c r="HE54" s="233">
        <f>HC54+HD54</f>
        <v/>
      </c>
    </row>
    <row r="55" outlineLevel="1" ht="15" customHeight="1" s="150">
      <c r="A55" s="26" t="n"/>
      <c r="B55" s="26" t="n"/>
      <c r="C55" s="26" t="n"/>
      <c r="D55" s="233" t="n"/>
      <c r="E55" s="233" t="n"/>
      <c r="F55" s="233">
        <f>D55+E55</f>
        <v/>
      </c>
      <c r="G55" s="233" t="n"/>
      <c r="H55" s="233" t="n"/>
      <c r="I55" s="233">
        <f>G55+H55</f>
        <v/>
      </c>
      <c r="J55" s="238">
        <f>I55-F55</f>
        <v/>
      </c>
      <c r="K55" s="235">
        <f>IF(F55=0,"",I55/F55)</f>
        <v/>
      </c>
      <c r="L55" s="26" t="n"/>
      <c r="M55" s="233" t="n"/>
      <c r="N55" s="233" t="n"/>
      <c r="O55" s="233">
        <f>M55+N55</f>
        <v/>
      </c>
      <c r="P55" s="233" t="n"/>
      <c r="Q55" s="233" t="n"/>
      <c r="R55" s="233">
        <f>P55+Q55</f>
        <v/>
      </c>
      <c r="S55" s="238">
        <f>R55-O55</f>
        <v/>
      </c>
      <c r="T55" s="235">
        <f>IF(O55=0,"",R55/O55)</f>
        <v/>
      </c>
      <c r="U55" s="26" t="n"/>
      <c r="V55" s="236">
        <f>D55+M55</f>
        <v/>
      </c>
      <c r="W55" s="236">
        <f>E55+N55</f>
        <v/>
      </c>
      <c r="X55" s="236">
        <f>V55+W55</f>
        <v/>
      </c>
      <c r="Y55" s="236">
        <f>G55+P55</f>
        <v/>
      </c>
      <c r="Z55" s="236">
        <f>H55+Q55</f>
        <v/>
      </c>
      <c r="AA55" s="236">
        <f>Y55+Z55</f>
        <v/>
      </c>
      <c r="AB55" s="234">
        <f>AA55-X55</f>
        <v/>
      </c>
      <c r="AC55" s="237">
        <f>IF(X55=0,"",AA55/X55)</f>
        <v/>
      </c>
      <c r="AD55" s="33" t="n"/>
      <c r="AE55" s="233" t="n"/>
      <c r="AF55" s="233" t="n"/>
      <c r="AG55" s="233">
        <f>AE55+AF55</f>
        <v/>
      </c>
      <c r="AH55" s="233" t="n"/>
      <c r="AI55" s="233" t="n"/>
      <c r="AJ55" s="233">
        <f>AH55+AI55</f>
        <v/>
      </c>
      <c r="AK55" s="238">
        <f>AJ55-AG55</f>
        <v/>
      </c>
      <c r="AL55" s="235">
        <f>IF(AG55=0,"",AJ55/AG55)</f>
        <v/>
      </c>
      <c r="AM55" s="26" t="n"/>
      <c r="AN55" s="236">
        <f>V55+AE55</f>
        <v/>
      </c>
      <c r="AO55" s="236">
        <f>W55+AF55</f>
        <v/>
      </c>
      <c r="AP55" s="236">
        <f>AN55+AO55</f>
        <v/>
      </c>
      <c r="AQ55" s="236">
        <f>Y55+AH55</f>
        <v/>
      </c>
      <c r="AR55" s="236">
        <f>Z55+AI55</f>
        <v/>
      </c>
      <c r="AS55" s="236">
        <f>AQ55+AR55</f>
        <v/>
      </c>
      <c r="AT55" s="234">
        <f>AS55-AP55</f>
        <v/>
      </c>
      <c r="AU55" s="237">
        <f>IF(AP55=0,"",AS55/AP55)</f>
        <v/>
      </c>
      <c r="AV55" s="33" t="n"/>
      <c r="AW55" s="233" t="n"/>
      <c r="AX55" s="233" t="n"/>
      <c r="AY55" s="233">
        <f>AW55+AX55</f>
        <v/>
      </c>
      <c r="AZ55" s="233" t="n"/>
      <c r="BA55" s="233" t="n"/>
      <c r="BB55" s="233">
        <f>AZ55+BA55</f>
        <v/>
      </c>
      <c r="BC55" s="238">
        <f>BB55-AY55</f>
        <v/>
      </c>
      <c r="BD55" s="235">
        <f>IF(AY55=0,"",BB55/AY55)</f>
        <v/>
      </c>
      <c r="BE55" s="26" t="n"/>
      <c r="BF55" s="236">
        <f>AN55+AW55</f>
        <v/>
      </c>
      <c r="BG55" s="236">
        <f>AO55+AX55</f>
        <v/>
      </c>
      <c r="BH55" s="236">
        <f>BF55+BG55</f>
        <v/>
      </c>
      <c r="BI55" s="236">
        <f>AQ55+AZ55</f>
        <v/>
      </c>
      <c r="BJ55" s="236">
        <f>AR55+BA55</f>
        <v/>
      </c>
      <c r="BK55" s="236">
        <f>BI55+BJ55</f>
        <v/>
      </c>
      <c r="BL55" s="239">
        <f>BK55-BH55</f>
        <v/>
      </c>
      <c r="BM55" s="237">
        <f>IF(BH55=0,"",BK55/BH55)</f>
        <v/>
      </c>
      <c r="BN55" s="33" t="n"/>
      <c r="BO55" s="233" t="n"/>
      <c r="BP55" s="233" t="n"/>
      <c r="BQ55" s="233">
        <f>BO55+BP55</f>
        <v/>
      </c>
      <c r="BR55" s="233" t="n"/>
      <c r="BS55" s="233" t="n"/>
      <c r="BT55" s="233">
        <f>BR55+BS55</f>
        <v/>
      </c>
      <c r="BU55" s="238">
        <f>BT55-BQ55</f>
        <v/>
      </c>
      <c r="BV55" s="235">
        <f>IF(BQ55=0,"",BT55/BQ55)</f>
        <v/>
      </c>
      <c r="BW55" s="26" t="n"/>
      <c r="BX55" s="236">
        <f>BF55+BO55</f>
        <v/>
      </c>
      <c r="BY55" s="236">
        <f>BG55+BP55</f>
        <v/>
      </c>
      <c r="BZ55" s="236">
        <f>BX55+BY55</f>
        <v/>
      </c>
      <c r="CA55" s="236">
        <f>BI55+BR55</f>
        <v/>
      </c>
      <c r="CB55" s="236">
        <f>BJ55+BS55</f>
        <v/>
      </c>
      <c r="CC55" s="236">
        <f>CA55+CB55</f>
        <v/>
      </c>
      <c r="CD55" s="239">
        <f>CC55-BZ55</f>
        <v/>
      </c>
      <c r="CE55" s="237">
        <f>IF(BZ55=0,"",CC55/BZ55)</f>
        <v/>
      </c>
      <c r="CF55" s="33" t="n"/>
      <c r="CG55" s="233" t="n"/>
      <c r="CH55" s="233" t="n"/>
      <c r="CI55" s="233">
        <f>CG55+CH55</f>
        <v/>
      </c>
      <c r="CJ55" s="233" t="n"/>
      <c r="CK55" s="233" t="n"/>
      <c r="CL55" s="233">
        <f>CJ55+CK55</f>
        <v/>
      </c>
      <c r="CM55" s="238">
        <f>CL55-CI55</f>
        <v/>
      </c>
      <c r="CN55" s="235">
        <f>IF(CI55=0,"",CL55/CI55)</f>
        <v/>
      </c>
      <c r="CO55" s="26" t="n"/>
      <c r="CP55" s="236">
        <f>BX55+CG55</f>
        <v/>
      </c>
      <c r="CQ55" s="236">
        <f>BY55+CH55</f>
        <v/>
      </c>
      <c r="CR55" s="236">
        <f>CP55+CQ55</f>
        <v/>
      </c>
      <c r="CS55" s="236">
        <f>CA55+CJ55</f>
        <v/>
      </c>
      <c r="CT55" s="236">
        <f>CB55+CK55</f>
        <v/>
      </c>
      <c r="CU55" s="236">
        <f>CS55+CT55</f>
        <v/>
      </c>
      <c r="CV55" s="239">
        <f>CU55-CR55</f>
        <v/>
      </c>
      <c r="CW55" s="237">
        <f>IF(CR55=0,"",CU55/CR55)</f>
        <v/>
      </c>
      <c r="CX55" s="33" t="n"/>
      <c r="CY55" s="233" t="n"/>
      <c r="CZ55" s="233" t="n"/>
      <c r="DA55" s="233">
        <f>CY55+CZ55</f>
        <v/>
      </c>
      <c r="DB55" s="233" t="n"/>
      <c r="DC55" s="233" t="n"/>
      <c r="DD55" s="233">
        <f>DB55+DC55</f>
        <v/>
      </c>
      <c r="DE55" s="238">
        <f>DD55-DA55</f>
        <v/>
      </c>
      <c r="DF55" s="235">
        <f>IF(DA55=0,"",DD55/DA55)</f>
        <v/>
      </c>
      <c r="DG55" s="26" t="n"/>
      <c r="DH55" s="236">
        <f>CP55+CY55</f>
        <v/>
      </c>
      <c r="DI55" s="236">
        <f>CQ55+CZ55</f>
        <v/>
      </c>
      <c r="DJ55" s="236">
        <f>DH55+DI55</f>
        <v/>
      </c>
      <c r="DK55" s="236">
        <f>CS55+DB55</f>
        <v/>
      </c>
      <c r="DL55" s="236">
        <f>CT55+DC55</f>
        <v/>
      </c>
      <c r="DM55" s="236">
        <f>DK55+DL55</f>
        <v/>
      </c>
      <c r="DN55" s="239">
        <f>DM55-DJ55</f>
        <v/>
      </c>
      <c r="DO55" s="237">
        <f>IF(DJ55=0,"",DM55/DJ55)</f>
        <v/>
      </c>
      <c r="DP55" s="33" t="n"/>
      <c r="DQ55" s="233" t="n"/>
      <c r="DR55" s="233" t="n"/>
      <c r="DS55" s="233">
        <f>DQ55+DR55</f>
        <v/>
      </c>
      <c r="DT55" s="233" t="n"/>
      <c r="DU55" s="233" t="n"/>
      <c r="DV55" s="233">
        <f>DT55+DU55</f>
        <v/>
      </c>
      <c r="DW55" s="238">
        <f>DV55-DS55</f>
        <v/>
      </c>
      <c r="DX55" s="235">
        <f>IF(DS55=0,"",DV55/DS55)</f>
        <v/>
      </c>
      <c r="DY55" s="26" t="n"/>
      <c r="DZ55" s="236">
        <f>DH55+DQ55</f>
        <v/>
      </c>
      <c r="EA55" s="236">
        <f>DI55+DR55</f>
        <v/>
      </c>
      <c r="EB55" s="236">
        <f>DZ55+EA55</f>
        <v/>
      </c>
      <c r="EC55" s="236">
        <f>DK55+DT55</f>
        <v/>
      </c>
      <c r="ED55" s="236">
        <f>DL55+DU55</f>
        <v/>
      </c>
      <c r="EE55" s="236">
        <f>EC55+ED55</f>
        <v/>
      </c>
      <c r="EF55" s="239">
        <f>EE55-EB55</f>
        <v/>
      </c>
      <c r="EG55" s="237">
        <f>IF(EB55=0,"",EE55/EB55)</f>
        <v/>
      </c>
      <c r="EH55" s="33" t="n"/>
      <c r="EI55" s="233" t="n"/>
      <c r="EJ55" s="233" t="n"/>
      <c r="EK55" s="233">
        <f>EI55+EJ55</f>
        <v/>
      </c>
      <c r="EL55" s="233" t="n"/>
      <c r="EM55" s="233" t="n"/>
      <c r="EN55" s="233">
        <f>EL55+EM55</f>
        <v/>
      </c>
      <c r="EO55" s="238">
        <f>EN55-EK55</f>
        <v/>
      </c>
      <c r="EP55" s="235">
        <f>IF(EK55=0,"",EN55/EK55)</f>
        <v/>
      </c>
      <c r="EQ55" s="26" t="n"/>
      <c r="ER55" s="236">
        <f>DZ55+EI55</f>
        <v/>
      </c>
      <c r="ES55" s="236">
        <f>EA55+EJ55</f>
        <v/>
      </c>
      <c r="ET55" s="236">
        <f>ER55+ES55</f>
        <v/>
      </c>
      <c r="EU55" s="236">
        <f>EC55+EL55</f>
        <v/>
      </c>
      <c r="EV55" s="236">
        <f>ED55+EM55</f>
        <v/>
      </c>
      <c r="EW55" s="236">
        <f>EU55+EV55</f>
        <v/>
      </c>
      <c r="EX55" s="239">
        <f>EW55-ET55</f>
        <v/>
      </c>
      <c r="EY55" s="237">
        <f>IF(ET55=0,"",EW55/ET55)</f>
        <v/>
      </c>
      <c r="EZ55" s="33" t="n"/>
      <c r="FA55" s="233" t="n"/>
      <c r="FB55" s="233" t="n"/>
      <c r="FC55" s="233">
        <f>FA55+FB55</f>
        <v/>
      </c>
      <c r="FD55" s="233" t="n"/>
      <c r="FE55" s="233" t="n"/>
      <c r="FF55" s="233">
        <f>FD55+FE55</f>
        <v/>
      </c>
      <c r="FG55" s="238">
        <f>FF55-FC55</f>
        <v/>
      </c>
      <c r="FH55" s="235">
        <f>IF(FC55=0,"",FF55/FC55)</f>
        <v/>
      </c>
      <c r="FI55" s="26" t="n"/>
      <c r="FJ55" s="236">
        <f>ER55+FA55</f>
        <v/>
      </c>
      <c r="FK55" s="236">
        <f>ES55+FB55</f>
        <v/>
      </c>
      <c r="FL55" s="236">
        <f>FJ55+FK55</f>
        <v/>
      </c>
      <c r="FM55" s="236">
        <f>EU55+FD55</f>
        <v/>
      </c>
      <c r="FN55" s="236">
        <f>EV55+FE55</f>
        <v/>
      </c>
      <c r="FO55" s="236">
        <f>FM55+FN55</f>
        <v/>
      </c>
      <c r="FP55" s="239">
        <f>FO55-FL55</f>
        <v/>
      </c>
      <c r="FQ55" s="237">
        <f>IF(FL55=0,"",FO55/FL55)</f>
        <v/>
      </c>
      <c r="FR55" s="33" t="n"/>
      <c r="FS55" s="233" t="n"/>
      <c r="FT55" s="233" t="n"/>
      <c r="FU55" s="233">
        <f>FS55+FT55</f>
        <v/>
      </c>
      <c r="FV55" s="233" t="n"/>
      <c r="FW55" s="233" t="n"/>
      <c r="FX55" s="233">
        <f>FV55+FW55</f>
        <v/>
      </c>
      <c r="FY55" s="238">
        <f>FX55-FU55</f>
        <v/>
      </c>
      <c r="FZ55" s="235">
        <f>IF(FU55=0,"",FX55/FU55)</f>
        <v/>
      </c>
      <c r="GA55" s="26" t="n"/>
      <c r="GB55" s="236">
        <f>FJ55+FS55</f>
        <v/>
      </c>
      <c r="GC55" s="236">
        <f>FK55+FT55</f>
        <v/>
      </c>
      <c r="GD55" s="236">
        <f>GB55+GC55</f>
        <v/>
      </c>
      <c r="GE55" s="236">
        <f>FM55+FV55</f>
        <v/>
      </c>
      <c r="GF55" s="236">
        <f>FN55+FW55</f>
        <v/>
      </c>
      <c r="GG55" s="236">
        <f>GE55+GF55</f>
        <v/>
      </c>
      <c r="GH55" s="239">
        <f>GG55-GD55</f>
        <v/>
      </c>
      <c r="GI55" s="237">
        <f>IF(GD55=0,"",GG55/GD55)</f>
        <v/>
      </c>
      <c r="GJ55" s="33" t="n"/>
      <c r="GK55" s="233" t="n"/>
      <c r="GL55" s="233" t="n"/>
      <c r="GM55" s="233">
        <f>GK55+GL55</f>
        <v/>
      </c>
      <c r="GN55" s="233" t="n"/>
      <c r="GO55" s="233" t="n"/>
      <c r="GP55" s="233">
        <f>GN55+GO55</f>
        <v/>
      </c>
      <c r="GQ55" s="238">
        <f>GP55-GM55</f>
        <v/>
      </c>
      <c r="GR55" s="235">
        <f>IF(GM55=0,"",GP55/GM55)</f>
        <v/>
      </c>
      <c r="GS55" s="26" t="n"/>
      <c r="GT55" s="236">
        <f>GB55+GK55</f>
        <v/>
      </c>
      <c r="GU55" s="236">
        <f>GC55+GL55</f>
        <v/>
      </c>
      <c r="GV55" s="236">
        <f>GT55+GU55</f>
        <v/>
      </c>
      <c r="GW55" s="236">
        <f>GE55+GN55</f>
        <v/>
      </c>
      <c r="GX55" s="236">
        <f>GF55+GO55</f>
        <v/>
      </c>
      <c r="GY55" s="236">
        <f>GW55+GX55</f>
        <v/>
      </c>
      <c r="GZ55" s="239">
        <f>GY55-GV55</f>
        <v/>
      </c>
      <c r="HA55" s="237">
        <f>IF(GV55=0,"",GY55/GV55)</f>
        <v/>
      </c>
      <c r="HB55" s="33" t="n"/>
      <c r="HC55" s="233">
        <f>GT55</f>
        <v/>
      </c>
      <c r="HD55" s="233">
        <f>GU55</f>
        <v/>
      </c>
      <c r="HE55" s="233">
        <f>HC55+HD55</f>
        <v/>
      </c>
    </row>
    <row r="56" outlineLevel="1" ht="15" customHeight="1" s="150">
      <c r="A56" s="26" t="n"/>
      <c r="B56" s="26" t="n"/>
      <c r="C56" s="26" t="n"/>
      <c r="D56" s="233" t="n"/>
      <c r="E56" s="233" t="n"/>
      <c r="F56" s="233">
        <f>D56+E56</f>
        <v/>
      </c>
      <c r="G56" s="233" t="n"/>
      <c r="H56" s="233" t="n"/>
      <c r="I56" s="233">
        <f>G56+H56</f>
        <v/>
      </c>
      <c r="J56" s="238">
        <f>I56-F56</f>
        <v/>
      </c>
      <c r="K56" s="235">
        <f>IF(F56=0,"",I56/F56)</f>
        <v/>
      </c>
      <c r="L56" s="26" t="n"/>
      <c r="M56" s="233" t="n"/>
      <c r="N56" s="233" t="n"/>
      <c r="O56" s="233">
        <f>M56+N56</f>
        <v/>
      </c>
      <c r="P56" s="233" t="n"/>
      <c r="Q56" s="233" t="n"/>
      <c r="R56" s="233">
        <f>P56+Q56</f>
        <v/>
      </c>
      <c r="S56" s="234">
        <f>R56-O56</f>
        <v/>
      </c>
      <c r="T56" s="235">
        <f>IF(O56=0,"",R56/O56)</f>
        <v/>
      </c>
      <c r="U56" s="26" t="n"/>
      <c r="V56" s="236">
        <f>D56+M56</f>
        <v/>
      </c>
      <c r="W56" s="236">
        <f>E56+N56</f>
        <v/>
      </c>
      <c r="X56" s="236">
        <f>V56+W56</f>
        <v/>
      </c>
      <c r="Y56" s="236">
        <f>G56+P56</f>
        <v/>
      </c>
      <c r="Z56" s="236">
        <f>H56+Q56</f>
        <v/>
      </c>
      <c r="AA56" s="236">
        <f>Y56+Z56</f>
        <v/>
      </c>
      <c r="AB56" s="234">
        <f>AA56-X56</f>
        <v/>
      </c>
      <c r="AC56" s="237">
        <f>IF(X56=0,"",AA56/X56)</f>
        <v/>
      </c>
      <c r="AD56" s="33" t="n"/>
      <c r="AE56" s="233" t="n"/>
      <c r="AF56" s="233" t="n"/>
      <c r="AG56" s="233">
        <f>AE56+AF56</f>
        <v/>
      </c>
      <c r="AH56" s="233" t="n"/>
      <c r="AI56" s="233" t="n"/>
      <c r="AJ56" s="233">
        <f>AH56+AI56</f>
        <v/>
      </c>
      <c r="AK56" s="238">
        <f>AJ56-AG56</f>
        <v/>
      </c>
      <c r="AL56" s="235">
        <f>IF(AG56=0,"",AJ56/AG56)</f>
        <v/>
      </c>
      <c r="AM56" s="26" t="n"/>
      <c r="AN56" s="236">
        <f>V56+AE56</f>
        <v/>
      </c>
      <c r="AO56" s="236">
        <f>W56+AF56</f>
        <v/>
      </c>
      <c r="AP56" s="236">
        <f>AN56+AO56</f>
        <v/>
      </c>
      <c r="AQ56" s="236">
        <f>Y56+AH56</f>
        <v/>
      </c>
      <c r="AR56" s="236">
        <f>Z56+AI56</f>
        <v/>
      </c>
      <c r="AS56" s="236">
        <f>AQ56+AR56</f>
        <v/>
      </c>
      <c r="AT56" s="234">
        <f>AS56-AP56</f>
        <v/>
      </c>
      <c r="AU56" s="237">
        <f>IF(AP56=0,"",AS56/AP56)</f>
        <v/>
      </c>
      <c r="AV56" s="33" t="n"/>
      <c r="AW56" s="233" t="n"/>
      <c r="AX56" s="233" t="n"/>
      <c r="AY56" s="233">
        <f>AW56+AX56</f>
        <v/>
      </c>
      <c r="AZ56" s="233" t="n"/>
      <c r="BA56" s="233" t="n"/>
      <c r="BB56" s="233">
        <f>AZ56+BA56</f>
        <v/>
      </c>
      <c r="BC56" s="238">
        <f>BB56-AY56</f>
        <v/>
      </c>
      <c r="BD56" s="235">
        <f>IF(AY56=0,"",BB56/AY56)</f>
        <v/>
      </c>
      <c r="BE56" s="26" t="n"/>
      <c r="BF56" s="236">
        <f>AN56+AW56</f>
        <v/>
      </c>
      <c r="BG56" s="236">
        <f>AO56+AX56</f>
        <v/>
      </c>
      <c r="BH56" s="236">
        <f>BF56+BG56</f>
        <v/>
      </c>
      <c r="BI56" s="236">
        <f>AQ56+AZ56</f>
        <v/>
      </c>
      <c r="BJ56" s="236">
        <f>AR56+BA56</f>
        <v/>
      </c>
      <c r="BK56" s="236">
        <f>BI56+BJ56</f>
        <v/>
      </c>
      <c r="BL56" s="239">
        <f>BK56-BH56</f>
        <v/>
      </c>
      <c r="BM56" s="237">
        <f>IF(BH56=0,"",BK56/BH56)</f>
        <v/>
      </c>
      <c r="BN56" s="33" t="n"/>
      <c r="BO56" s="233" t="n"/>
      <c r="BP56" s="233" t="n"/>
      <c r="BQ56" s="233">
        <f>BO56+BP56</f>
        <v/>
      </c>
      <c r="BR56" s="233" t="n"/>
      <c r="BS56" s="233" t="n"/>
      <c r="BT56" s="233">
        <f>BR56+BS56</f>
        <v/>
      </c>
      <c r="BU56" s="238">
        <f>BT56-BQ56</f>
        <v/>
      </c>
      <c r="BV56" s="235">
        <f>IF(BQ56=0,"",BT56/BQ56)</f>
        <v/>
      </c>
      <c r="BW56" s="26" t="n"/>
      <c r="BX56" s="236">
        <f>BF56+BO56</f>
        <v/>
      </c>
      <c r="BY56" s="236">
        <f>BG56+BP56</f>
        <v/>
      </c>
      <c r="BZ56" s="236">
        <f>BX56+BY56</f>
        <v/>
      </c>
      <c r="CA56" s="236">
        <f>BI56+BR56</f>
        <v/>
      </c>
      <c r="CB56" s="236">
        <f>BJ56+BS56</f>
        <v/>
      </c>
      <c r="CC56" s="236">
        <f>CA56+CB56</f>
        <v/>
      </c>
      <c r="CD56" s="239">
        <f>CC56-BZ56</f>
        <v/>
      </c>
      <c r="CE56" s="237">
        <f>IF(BZ56=0,"",CC56/BZ56)</f>
        <v/>
      </c>
      <c r="CF56" s="33" t="n"/>
      <c r="CG56" s="233" t="n"/>
      <c r="CH56" s="233" t="n"/>
      <c r="CI56" s="233">
        <f>CG56+CH56</f>
        <v/>
      </c>
      <c r="CJ56" s="233" t="n"/>
      <c r="CK56" s="233" t="n"/>
      <c r="CL56" s="233">
        <f>CJ56+CK56</f>
        <v/>
      </c>
      <c r="CM56" s="238">
        <f>CL56-CI56</f>
        <v/>
      </c>
      <c r="CN56" s="235">
        <f>IF(CI56=0,"",CL56/CI56)</f>
        <v/>
      </c>
      <c r="CO56" s="26" t="n"/>
      <c r="CP56" s="236">
        <f>BX56+CG56</f>
        <v/>
      </c>
      <c r="CQ56" s="236">
        <f>BY56+CH56</f>
        <v/>
      </c>
      <c r="CR56" s="236">
        <f>CP56+CQ56</f>
        <v/>
      </c>
      <c r="CS56" s="236">
        <f>CA56+CJ56</f>
        <v/>
      </c>
      <c r="CT56" s="236">
        <f>CB56+CK56</f>
        <v/>
      </c>
      <c r="CU56" s="236">
        <f>CS56+CT56</f>
        <v/>
      </c>
      <c r="CV56" s="239">
        <f>CU56-CR56</f>
        <v/>
      </c>
      <c r="CW56" s="237">
        <f>IF(CR56=0,"",CU56/CR56)</f>
        <v/>
      </c>
      <c r="CX56" s="33" t="n"/>
      <c r="CY56" s="233" t="n"/>
      <c r="CZ56" s="233" t="n"/>
      <c r="DA56" s="233">
        <f>CY56+CZ56</f>
        <v/>
      </c>
      <c r="DB56" s="233" t="n"/>
      <c r="DC56" s="233" t="n"/>
      <c r="DD56" s="233">
        <f>DB56+DC56</f>
        <v/>
      </c>
      <c r="DE56" s="238">
        <f>DD56-DA56</f>
        <v/>
      </c>
      <c r="DF56" s="235">
        <f>IF(DA56=0,"",DD56/DA56)</f>
        <v/>
      </c>
      <c r="DG56" s="26" t="n"/>
      <c r="DH56" s="236">
        <f>CP56+CY56</f>
        <v/>
      </c>
      <c r="DI56" s="236">
        <f>CQ56+CZ56</f>
        <v/>
      </c>
      <c r="DJ56" s="236">
        <f>DH56+DI56</f>
        <v/>
      </c>
      <c r="DK56" s="236">
        <f>CS56+DB56</f>
        <v/>
      </c>
      <c r="DL56" s="236">
        <f>CT56+DC56</f>
        <v/>
      </c>
      <c r="DM56" s="236">
        <f>DK56+DL56</f>
        <v/>
      </c>
      <c r="DN56" s="239">
        <f>DM56-DJ56</f>
        <v/>
      </c>
      <c r="DO56" s="237">
        <f>IF(DJ56=0,"",DM56/DJ56)</f>
        <v/>
      </c>
      <c r="DP56" s="33" t="n"/>
      <c r="DQ56" s="233" t="n"/>
      <c r="DR56" s="233" t="n"/>
      <c r="DS56" s="233">
        <f>DQ56+DR56</f>
        <v/>
      </c>
      <c r="DT56" s="233" t="n"/>
      <c r="DU56" s="233" t="n"/>
      <c r="DV56" s="233">
        <f>DT56+DU56</f>
        <v/>
      </c>
      <c r="DW56" s="238">
        <f>DV56-DS56</f>
        <v/>
      </c>
      <c r="DX56" s="235">
        <f>IF(DS56=0,"",DV56/DS56)</f>
        <v/>
      </c>
      <c r="DY56" s="26" t="n"/>
      <c r="DZ56" s="236">
        <f>DH56+DQ56</f>
        <v/>
      </c>
      <c r="EA56" s="236">
        <f>DI56+DR56</f>
        <v/>
      </c>
      <c r="EB56" s="236">
        <f>DZ56+EA56</f>
        <v/>
      </c>
      <c r="EC56" s="236">
        <f>DK56+DT56</f>
        <v/>
      </c>
      <c r="ED56" s="236">
        <f>DL56+DU56</f>
        <v/>
      </c>
      <c r="EE56" s="236">
        <f>EC56+ED56</f>
        <v/>
      </c>
      <c r="EF56" s="239">
        <f>EE56-EB56</f>
        <v/>
      </c>
      <c r="EG56" s="237">
        <f>IF(EB56=0,"",EE56/EB56)</f>
        <v/>
      </c>
      <c r="EH56" s="33" t="n"/>
      <c r="EI56" s="233" t="n"/>
      <c r="EJ56" s="233" t="n"/>
      <c r="EK56" s="233">
        <f>EI56+EJ56</f>
        <v/>
      </c>
      <c r="EL56" s="233" t="n"/>
      <c r="EM56" s="233" t="n"/>
      <c r="EN56" s="233">
        <f>EL56+EM56</f>
        <v/>
      </c>
      <c r="EO56" s="238">
        <f>EN56-EK56</f>
        <v/>
      </c>
      <c r="EP56" s="235">
        <f>IF(EK56=0,"",EN56/EK56)</f>
        <v/>
      </c>
      <c r="EQ56" s="26" t="n"/>
      <c r="ER56" s="236">
        <f>DZ56+EI56</f>
        <v/>
      </c>
      <c r="ES56" s="236">
        <f>EA56+EJ56</f>
        <v/>
      </c>
      <c r="ET56" s="236">
        <f>ER56+ES56</f>
        <v/>
      </c>
      <c r="EU56" s="236">
        <f>EC56+EL56</f>
        <v/>
      </c>
      <c r="EV56" s="236">
        <f>ED56+EM56</f>
        <v/>
      </c>
      <c r="EW56" s="236">
        <f>EU56+EV56</f>
        <v/>
      </c>
      <c r="EX56" s="239">
        <f>EW56-ET56</f>
        <v/>
      </c>
      <c r="EY56" s="237">
        <f>IF(ET56=0,"",EW56/ET56)</f>
        <v/>
      </c>
      <c r="EZ56" s="33" t="n"/>
      <c r="FA56" s="233" t="n"/>
      <c r="FB56" s="233" t="n"/>
      <c r="FC56" s="233">
        <f>FA56+FB56</f>
        <v/>
      </c>
      <c r="FD56" s="233" t="n"/>
      <c r="FE56" s="233" t="n"/>
      <c r="FF56" s="233">
        <f>FD56+FE56</f>
        <v/>
      </c>
      <c r="FG56" s="238">
        <f>FF56-FC56</f>
        <v/>
      </c>
      <c r="FH56" s="235">
        <f>IF(FC56=0,"",FF56/FC56)</f>
        <v/>
      </c>
      <c r="FI56" s="26" t="n"/>
      <c r="FJ56" s="236">
        <f>ER56+FA56</f>
        <v/>
      </c>
      <c r="FK56" s="236">
        <f>ES56+FB56</f>
        <v/>
      </c>
      <c r="FL56" s="236">
        <f>FJ56+FK56</f>
        <v/>
      </c>
      <c r="FM56" s="236">
        <f>EU56+FD56</f>
        <v/>
      </c>
      <c r="FN56" s="236">
        <f>EV56+FE56</f>
        <v/>
      </c>
      <c r="FO56" s="236">
        <f>FM56+FN56</f>
        <v/>
      </c>
      <c r="FP56" s="239">
        <f>FO56-FL56</f>
        <v/>
      </c>
      <c r="FQ56" s="237">
        <f>IF(FL56=0,"",FO56/FL56)</f>
        <v/>
      </c>
      <c r="FR56" s="33" t="n"/>
      <c r="FS56" s="233" t="n"/>
      <c r="FT56" s="233" t="n"/>
      <c r="FU56" s="233">
        <f>FS56+FT56</f>
        <v/>
      </c>
      <c r="FV56" s="233" t="n"/>
      <c r="FW56" s="233" t="n"/>
      <c r="FX56" s="233">
        <f>FV56+FW56</f>
        <v/>
      </c>
      <c r="FY56" s="238">
        <f>FX56-FU56</f>
        <v/>
      </c>
      <c r="FZ56" s="235">
        <f>IF(FU56=0,"",FX56/FU56)</f>
        <v/>
      </c>
      <c r="GA56" s="26" t="n"/>
      <c r="GB56" s="236">
        <f>FJ56+FS56</f>
        <v/>
      </c>
      <c r="GC56" s="236">
        <f>FK56+FT56</f>
        <v/>
      </c>
      <c r="GD56" s="236">
        <f>GB56+GC56</f>
        <v/>
      </c>
      <c r="GE56" s="236">
        <f>FM56+FV56</f>
        <v/>
      </c>
      <c r="GF56" s="236">
        <f>FN56+FW56</f>
        <v/>
      </c>
      <c r="GG56" s="236">
        <f>GE56+GF56</f>
        <v/>
      </c>
      <c r="GH56" s="239">
        <f>GG56-GD56</f>
        <v/>
      </c>
      <c r="GI56" s="237">
        <f>IF(GD56=0,"",GG56/GD56)</f>
        <v/>
      </c>
      <c r="GJ56" s="33" t="n"/>
      <c r="GK56" s="233" t="n"/>
      <c r="GL56" s="233" t="n"/>
      <c r="GM56" s="233">
        <f>GK56+GL56</f>
        <v/>
      </c>
      <c r="GN56" s="233" t="n"/>
      <c r="GO56" s="233" t="n"/>
      <c r="GP56" s="233">
        <f>GN56+GO56</f>
        <v/>
      </c>
      <c r="GQ56" s="238">
        <f>GP56-GM56</f>
        <v/>
      </c>
      <c r="GR56" s="235">
        <f>IF(GM56=0,"",GP56/GM56)</f>
        <v/>
      </c>
      <c r="GS56" s="26" t="n"/>
      <c r="GT56" s="236">
        <f>GB56+GK56</f>
        <v/>
      </c>
      <c r="GU56" s="236">
        <f>GC56+GL56</f>
        <v/>
      </c>
      <c r="GV56" s="236">
        <f>GT56+GU56</f>
        <v/>
      </c>
      <c r="GW56" s="236">
        <f>GE56+GN56</f>
        <v/>
      </c>
      <c r="GX56" s="236">
        <f>GF56+GO56</f>
        <v/>
      </c>
      <c r="GY56" s="236">
        <f>GW56+GX56</f>
        <v/>
      </c>
      <c r="GZ56" s="239">
        <f>GY56-GV56</f>
        <v/>
      </c>
      <c r="HA56" s="237">
        <f>IF(GV56=0,"",GY56/GV56)</f>
        <v/>
      </c>
      <c r="HB56" s="33" t="n"/>
      <c r="HC56" s="233">
        <f>GT56</f>
        <v/>
      </c>
      <c r="HD56" s="233">
        <f>GU56</f>
        <v/>
      </c>
      <c r="HE56" s="233">
        <f>HC56+HD56</f>
        <v/>
      </c>
    </row>
    <row r="57" outlineLevel="1" ht="15" customHeight="1" s="150">
      <c r="A57" s="26" t="n"/>
      <c r="B57" s="26" t="n"/>
      <c r="C57" s="26" t="n"/>
      <c r="D57" s="233" t="n"/>
      <c r="E57" s="233" t="n"/>
      <c r="F57" s="233">
        <f>D57+E57</f>
        <v/>
      </c>
      <c r="G57" s="233" t="n"/>
      <c r="H57" s="233" t="n"/>
      <c r="I57" s="233">
        <f>G57+H57</f>
        <v/>
      </c>
      <c r="J57" s="238">
        <f>I57-F57</f>
        <v/>
      </c>
      <c r="K57" s="235">
        <f>IF(F57=0,"",I57/F57)</f>
        <v/>
      </c>
      <c r="L57" s="26" t="n"/>
      <c r="M57" s="233" t="n"/>
      <c r="N57" s="233" t="n"/>
      <c r="O57" s="233">
        <f>M57+N57</f>
        <v/>
      </c>
      <c r="P57" s="233" t="n"/>
      <c r="Q57" s="233" t="n"/>
      <c r="R57" s="233">
        <f>P57+Q57</f>
        <v/>
      </c>
      <c r="S57" s="238">
        <f>R57-O57</f>
        <v/>
      </c>
      <c r="T57" s="235">
        <f>IF(O57=0,"",R57/O57)</f>
        <v/>
      </c>
      <c r="U57" s="26" t="n"/>
      <c r="V57" s="236">
        <f>D57+M57</f>
        <v/>
      </c>
      <c r="W57" s="236">
        <f>E57+N57</f>
        <v/>
      </c>
      <c r="X57" s="236">
        <f>V57+W57</f>
        <v/>
      </c>
      <c r="Y57" s="236">
        <f>G57+P57</f>
        <v/>
      </c>
      <c r="Z57" s="236">
        <f>H57+Q57</f>
        <v/>
      </c>
      <c r="AA57" s="236">
        <f>Y57+Z57</f>
        <v/>
      </c>
      <c r="AB57" s="239">
        <f>AA57-X57</f>
        <v/>
      </c>
      <c r="AC57" s="237">
        <f>IF(X57=0,"",AA57/X57)</f>
        <v/>
      </c>
      <c r="AD57" s="33" t="n"/>
      <c r="AE57" s="233" t="n"/>
      <c r="AF57" s="233" t="n"/>
      <c r="AG57" s="233">
        <f>AE57+AF57</f>
        <v/>
      </c>
      <c r="AH57" s="233" t="n"/>
      <c r="AI57" s="233" t="n"/>
      <c r="AJ57" s="233">
        <f>AH57+AI57</f>
        <v/>
      </c>
      <c r="AK57" s="238">
        <f>AJ57-AG57</f>
        <v/>
      </c>
      <c r="AL57" s="235">
        <f>IF(AG57=0,"",AJ57/AG57)</f>
        <v/>
      </c>
      <c r="AM57" s="26" t="n"/>
      <c r="AN57" s="236">
        <f>V57+AE57</f>
        <v/>
      </c>
      <c r="AO57" s="236">
        <f>W57+AF57</f>
        <v/>
      </c>
      <c r="AP57" s="236">
        <f>AN57+AO57</f>
        <v/>
      </c>
      <c r="AQ57" s="236">
        <f>Y57+AH57</f>
        <v/>
      </c>
      <c r="AR57" s="236">
        <f>Z57+AI57</f>
        <v/>
      </c>
      <c r="AS57" s="236">
        <f>AQ57+AR57</f>
        <v/>
      </c>
      <c r="AT57" s="239">
        <f>AS57-AP57</f>
        <v/>
      </c>
      <c r="AU57" s="237">
        <f>IF(AP57=0,"",AS57/AP57)</f>
        <v/>
      </c>
      <c r="AV57" s="33" t="n"/>
      <c r="AW57" s="233" t="n"/>
      <c r="AX57" s="233" t="n"/>
      <c r="AY57" s="233">
        <f>AW57+AX57</f>
        <v/>
      </c>
      <c r="AZ57" s="233" t="n"/>
      <c r="BA57" s="233" t="n"/>
      <c r="BB57" s="233">
        <f>AZ57+BA57</f>
        <v/>
      </c>
      <c r="BC57" s="238">
        <f>BB57-AY57</f>
        <v/>
      </c>
      <c r="BD57" s="235">
        <f>IF(AY57=0,"",BB57/AY57)</f>
        <v/>
      </c>
      <c r="BE57" s="26" t="n"/>
      <c r="BF57" s="236">
        <f>AN57+AW57</f>
        <v/>
      </c>
      <c r="BG57" s="236">
        <f>AO57+AX57</f>
        <v/>
      </c>
      <c r="BH57" s="236">
        <f>BF57+BG57</f>
        <v/>
      </c>
      <c r="BI57" s="236">
        <f>AQ57+AZ57</f>
        <v/>
      </c>
      <c r="BJ57" s="236">
        <f>AR57+BA57</f>
        <v/>
      </c>
      <c r="BK57" s="236">
        <f>BI57+BJ57</f>
        <v/>
      </c>
      <c r="BL57" s="239">
        <f>BK57-BH57</f>
        <v/>
      </c>
      <c r="BM57" s="237">
        <f>IF(BH57=0,"",BK57/BH57)</f>
        <v/>
      </c>
      <c r="BN57" s="33" t="n"/>
      <c r="BO57" s="233" t="n"/>
      <c r="BP57" s="233" t="n"/>
      <c r="BQ57" s="233">
        <f>BO57+BP57</f>
        <v/>
      </c>
      <c r="BR57" s="233" t="n"/>
      <c r="BS57" s="233" t="n"/>
      <c r="BT57" s="233">
        <f>BR57+BS57</f>
        <v/>
      </c>
      <c r="BU57" s="238">
        <f>BT57-BQ57</f>
        <v/>
      </c>
      <c r="BV57" s="235">
        <f>IF(BQ57=0,"",BT57/BQ57)</f>
        <v/>
      </c>
      <c r="BW57" s="26" t="n"/>
      <c r="BX57" s="236">
        <f>BF57+BO57</f>
        <v/>
      </c>
      <c r="BY57" s="236">
        <f>BG57+BP57</f>
        <v/>
      </c>
      <c r="BZ57" s="236">
        <f>BX57+BY57</f>
        <v/>
      </c>
      <c r="CA57" s="236">
        <f>BI57+BR57</f>
        <v/>
      </c>
      <c r="CB57" s="236">
        <f>BJ57+BS57</f>
        <v/>
      </c>
      <c r="CC57" s="236">
        <f>CA57+CB57</f>
        <v/>
      </c>
      <c r="CD57" s="239">
        <f>CC57-BZ57</f>
        <v/>
      </c>
      <c r="CE57" s="237">
        <f>IF(BZ57=0,"",CC57/BZ57)</f>
        <v/>
      </c>
      <c r="CF57" s="33" t="n"/>
      <c r="CG57" s="233" t="n"/>
      <c r="CH57" s="233" t="n"/>
      <c r="CI57" s="233">
        <f>CG57+CH57</f>
        <v/>
      </c>
      <c r="CJ57" s="233" t="n"/>
      <c r="CK57" s="233" t="n"/>
      <c r="CL57" s="233">
        <f>CJ57+CK57</f>
        <v/>
      </c>
      <c r="CM57" s="238">
        <f>CL57-CI57</f>
        <v/>
      </c>
      <c r="CN57" s="235">
        <f>IF(CI57=0,"",CL57/CI57)</f>
        <v/>
      </c>
      <c r="CO57" s="26" t="n"/>
      <c r="CP57" s="236">
        <f>BX57+CG57</f>
        <v/>
      </c>
      <c r="CQ57" s="236">
        <f>BY57+CH57</f>
        <v/>
      </c>
      <c r="CR57" s="236">
        <f>CP57+CQ57</f>
        <v/>
      </c>
      <c r="CS57" s="236">
        <f>CA57+CJ57</f>
        <v/>
      </c>
      <c r="CT57" s="236">
        <f>CB57+CK57</f>
        <v/>
      </c>
      <c r="CU57" s="236">
        <f>CS57+CT57</f>
        <v/>
      </c>
      <c r="CV57" s="239">
        <f>CU57-CR57</f>
        <v/>
      </c>
      <c r="CW57" s="237">
        <f>IF(CR57=0,"",CU57/CR57)</f>
        <v/>
      </c>
      <c r="CX57" s="33" t="n"/>
      <c r="CY57" s="233" t="n"/>
      <c r="CZ57" s="233" t="n"/>
      <c r="DA57" s="233">
        <f>CY57+CZ57</f>
        <v/>
      </c>
      <c r="DB57" s="233" t="n"/>
      <c r="DC57" s="233" t="n"/>
      <c r="DD57" s="233">
        <f>DB57+DC57</f>
        <v/>
      </c>
      <c r="DE57" s="238">
        <f>DD57-DA57</f>
        <v/>
      </c>
      <c r="DF57" s="235">
        <f>IF(DA57=0,"",DD57/DA57)</f>
        <v/>
      </c>
      <c r="DG57" s="26" t="n"/>
      <c r="DH57" s="236">
        <f>CP57+CY57</f>
        <v/>
      </c>
      <c r="DI57" s="236">
        <f>CQ57+CZ57</f>
        <v/>
      </c>
      <c r="DJ57" s="236">
        <f>DH57+DI57</f>
        <v/>
      </c>
      <c r="DK57" s="236">
        <f>CS57+DB57</f>
        <v/>
      </c>
      <c r="DL57" s="236">
        <f>CT57+DC57</f>
        <v/>
      </c>
      <c r="DM57" s="236">
        <f>DK57+DL57</f>
        <v/>
      </c>
      <c r="DN57" s="239">
        <f>DM57-DJ57</f>
        <v/>
      </c>
      <c r="DO57" s="237">
        <f>IF(DJ57=0,"",DM57/DJ57)</f>
        <v/>
      </c>
      <c r="DP57" s="33" t="n"/>
      <c r="DQ57" s="233" t="n"/>
      <c r="DR57" s="233" t="n"/>
      <c r="DS57" s="233">
        <f>DQ57+DR57</f>
        <v/>
      </c>
      <c r="DT57" s="233" t="n"/>
      <c r="DU57" s="233" t="n"/>
      <c r="DV57" s="233">
        <f>DT57+DU57</f>
        <v/>
      </c>
      <c r="DW57" s="238">
        <f>DV57-DS57</f>
        <v/>
      </c>
      <c r="DX57" s="235">
        <f>IF(DS57=0,"",DV57/DS57)</f>
        <v/>
      </c>
      <c r="DY57" s="26" t="n"/>
      <c r="DZ57" s="236">
        <f>DH57+DQ57</f>
        <v/>
      </c>
      <c r="EA57" s="236">
        <f>DI57+DR57</f>
        <v/>
      </c>
      <c r="EB57" s="236">
        <f>DZ57+EA57</f>
        <v/>
      </c>
      <c r="EC57" s="236">
        <f>DK57+DT57</f>
        <v/>
      </c>
      <c r="ED57" s="236">
        <f>DL57+DU57</f>
        <v/>
      </c>
      <c r="EE57" s="236">
        <f>EC57+ED57</f>
        <v/>
      </c>
      <c r="EF57" s="239">
        <f>EE57-EB57</f>
        <v/>
      </c>
      <c r="EG57" s="237">
        <f>IF(EB57=0,"",EE57/EB57)</f>
        <v/>
      </c>
      <c r="EH57" s="33" t="n"/>
      <c r="EI57" s="233" t="n"/>
      <c r="EJ57" s="233" t="n"/>
      <c r="EK57" s="233">
        <f>EI57+EJ57</f>
        <v/>
      </c>
      <c r="EL57" s="233" t="n"/>
      <c r="EM57" s="233" t="n"/>
      <c r="EN57" s="233">
        <f>EL57+EM57</f>
        <v/>
      </c>
      <c r="EO57" s="238">
        <f>EN57-EK57</f>
        <v/>
      </c>
      <c r="EP57" s="235">
        <f>IF(EK57=0,"",EN57/EK57)</f>
        <v/>
      </c>
      <c r="EQ57" s="26" t="n"/>
      <c r="ER57" s="236">
        <f>DZ57+EI57</f>
        <v/>
      </c>
      <c r="ES57" s="236">
        <f>EA57+EJ57</f>
        <v/>
      </c>
      <c r="ET57" s="236">
        <f>ER57+ES57</f>
        <v/>
      </c>
      <c r="EU57" s="236">
        <f>EC57+EL57</f>
        <v/>
      </c>
      <c r="EV57" s="236">
        <f>ED57+EM57</f>
        <v/>
      </c>
      <c r="EW57" s="236">
        <f>EU57+EV57</f>
        <v/>
      </c>
      <c r="EX57" s="239">
        <f>EW57-ET57</f>
        <v/>
      </c>
      <c r="EY57" s="237">
        <f>IF(ET57=0,"",EW57/ET57)</f>
        <v/>
      </c>
      <c r="EZ57" s="33" t="n"/>
      <c r="FA57" s="233" t="n"/>
      <c r="FB57" s="233" t="n"/>
      <c r="FC57" s="233">
        <f>FA57+FB57</f>
        <v/>
      </c>
      <c r="FD57" s="233" t="n"/>
      <c r="FE57" s="233" t="n"/>
      <c r="FF57" s="233">
        <f>FD57+FE57</f>
        <v/>
      </c>
      <c r="FG57" s="238">
        <f>FF57-FC57</f>
        <v/>
      </c>
      <c r="FH57" s="235">
        <f>IF(FC57=0,"",FF57/FC57)</f>
        <v/>
      </c>
      <c r="FI57" s="26" t="n"/>
      <c r="FJ57" s="236">
        <f>ER57+FA57</f>
        <v/>
      </c>
      <c r="FK57" s="236">
        <f>ES57+FB57</f>
        <v/>
      </c>
      <c r="FL57" s="236">
        <f>FJ57+FK57</f>
        <v/>
      </c>
      <c r="FM57" s="236">
        <f>EU57+FD57</f>
        <v/>
      </c>
      <c r="FN57" s="236">
        <f>EV57+FE57</f>
        <v/>
      </c>
      <c r="FO57" s="236">
        <f>FM57+FN57</f>
        <v/>
      </c>
      <c r="FP57" s="239">
        <f>FO57-FL57</f>
        <v/>
      </c>
      <c r="FQ57" s="237">
        <f>IF(FL57=0,"",FO57/FL57)</f>
        <v/>
      </c>
      <c r="FR57" s="33" t="n"/>
      <c r="FS57" s="233" t="n"/>
      <c r="FT57" s="233" t="n"/>
      <c r="FU57" s="233">
        <f>FS57+FT57</f>
        <v/>
      </c>
      <c r="FV57" s="233" t="n"/>
      <c r="FW57" s="233" t="n"/>
      <c r="FX57" s="233">
        <f>FV57+FW57</f>
        <v/>
      </c>
      <c r="FY57" s="238">
        <f>FX57-FU57</f>
        <v/>
      </c>
      <c r="FZ57" s="235">
        <f>IF(FU57=0,"",FX57/FU57)</f>
        <v/>
      </c>
      <c r="GA57" s="26" t="n"/>
      <c r="GB57" s="236">
        <f>FJ57+FS57</f>
        <v/>
      </c>
      <c r="GC57" s="236">
        <f>FK57+FT57</f>
        <v/>
      </c>
      <c r="GD57" s="236">
        <f>GB57+GC57</f>
        <v/>
      </c>
      <c r="GE57" s="236">
        <f>FM57+FV57</f>
        <v/>
      </c>
      <c r="GF57" s="236">
        <f>FN57+FW57</f>
        <v/>
      </c>
      <c r="GG57" s="236">
        <f>GE57+GF57</f>
        <v/>
      </c>
      <c r="GH57" s="239">
        <f>GG57-GD57</f>
        <v/>
      </c>
      <c r="GI57" s="237">
        <f>IF(GD57=0,"",GG57/GD57)</f>
        <v/>
      </c>
      <c r="GJ57" s="33" t="n"/>
      <c r="GK57" s="233" t="n"/>
      <c r="GL57" s="233" t="n"/>
      <c r="GM57" s="233">
        <f>GK57+GL57</f>
        <v/>
      </c>
      <c r="GN57" s="233" t="n"/>
      <c r="GO57" s="233" t="n"/>
      <c r="GP57" s="233">
        <f>GN57+GO57</f>
        <v/>
      </c>
      <c r="GQ57" s="238">
        <f>GP57-GM57</f>
        <v/>
      </c>
      <c r="GR57" s="235">
        <f>IF(GM57=0,"",GP57/GM57)</f>
        <v/>
      </c>
      <c r="GS57" s="26" t="n"/>
      <c r="GT57" s="236">
        <f>GB57+GK57</f>
        <v/>
      </c>
      <c r="GU57" s="236">
        <f>GC57+GL57</f>
        <v/>
      </c>
      <c r="GV57" s="236">
        <f>GT57+GU57</f>
        <v/>
      </c>
      <c r="GW57" s="236">
        <f>GE57+GN57</f>
        <v/>
      </c>
      <c r="GX57" s="236">
        <f>GF57+GO57</f>
        <v/>
      </c>
      <c r="GY57" s="236">
        <f>GW57+GX57</f>
        <v/>
      </c>
      <c r="GZ57" s="239">
        <f>GY57-GV57</f>
        <v/>
      </c>
      <c r="HA57" s="237">
        <f>IF(GV57=0,"",GY57/GV57)</f>
        <v/>
      </c>
      <c r="HB57" s="33" t="n"/>
      <c r="HC57" s="233">
        <f>GT57</f>
        <v/>
      </c>
      <c r="HD57" s="233">
        <f>GU57</f>
        <v/>
      </c>
      <c r="HE57" s="233">
        <f>HC57+HD57</f>
        <v/>
      </c>
    </row>
    <row r="58" outlineLevel="1" ht="15" customHeight="1" s="150">
      <c r="A58" s="26" t="n"/>
      <c r="B58" s="26" t="n"/>
      <c r="C58" s="26" t="n"/>
      <c r="D58" s="233" t="n"/>
      <c r="E58" s="233" t="n"/>
      <c r="F58" s="233">
        <f>D58+E58</f>
        <v/>
      </c>
      <c r="G58" s="233" t="n"/>
      <c r="H58" s="233" t="n"/>
      <c r="I58" s="233">
        <f>G58+H58</f>
        <v/>
      </c>
      <c r="J58" s="238">
        <f>I58-F58</f>
        <v/>
      </c>
      <c r="K58" s="235">
        <f>IF(F58=0,"",I58/F58)</f>
        <v/>
      </c>
      <c r="L58" s="26" t="n"/>
      <c r="M58" s="233" t="n"/>
      <c r="N58" s="233" t="n"/>
      <c r="O58" s="233">
        <f>M58+N58</f>
        <v/>
      </c>
      <c r="P58" s="233" t="n"/>
      <c r="Q58" s="233" t="n"/>
      <c r="R58" s="233">
        <f>P58+Q58</f>
        <v/>
      </c>
      <c r="S58" s="238">
        <f>R58-O58</f>
        <v/>
      </c>
      <c r="T58" s="235">
        <f>IF(O58=0,"",R58/O58)</f>
        <v/>
      </c>
      <c r="U58" s="26" t="n"/>
      <c r="V58" s="236">
        <f>D58+M58</f>
        <v/>
      </c>
      <c r="W58" s="236">
        <f>E58+N58</f>
        <v/>
      </c>
      <c r="X58" s="236">
        <f>V58+W58</f>
        <v/>
      </c>
      <c r="Y58" s="236">
        <f>G58+P58</f>
        <v/>
      </c>
      <c r="Z58" s="236">
        <f>H58+Q58</f>
        <v/>
      </c>
      <c r="AA58" s="236">
        <f>Y58+Z58</f>
        <v/>
      </c>
      <c r="AB58" s="239">
        <f>AA58-X58</f>
        <v/>
      </c>
      <c r="AC58" s="237">
        <f>IF(X58=0,"",AA58/X58)</f>
        <v/>
      </c>
      <c r="AD58" s="33" t="n"/>
      <c r="AE58" s="233" t="n"/>
      <c r="AF58" s="233" t="n"/>
      <c r="AG58" s="233">
        <f>AE58+AF58</f>
        <v/>
      </c>
      <c r="AH58" s="233" t="n"/>
      <c r="AI58" s="233" t="n"/>
      <c r="AJ58" s="233">
        <f>AH58+AI58</f>
        <v/>
      </c>
      <c r="AK58" s="238">
        <f>AJ58-AG58</f>
        <v/>
      </c>
      <c r="AL58" s="235">
        <f>IF(AG58=0,"",AJ58/AG58)</f>
        <v/>
      </c>
      <c r="AM58" s="26" t="n"/>
      <c r="AN58" s="236">
        <f>V58+AE58</f>
        <v/>
      </c>
      <c r="AO58" s="236">
        <f>W58+AF58</f>
        <v/>
      </c>
      <c r="AP58" s="236">
        <f>AN58+AO58</f>
        <v/>
      </c>
      <c r="AQ58" s="236">
        <f>Y58+AH58</f>
        <v/>
      </c>
      <c r="AR58" s="236">
        <f>Z58+AI58</f>
        <v/>
      </c>
      <c r="AS58" s="236">
        <f>AQ58+AR58</f>
        <v/>
      </c>
      <c r="AT58" s="239">
        <f>AS58-AP58</f>
        <v/>
      </c>
      <c r="AU58" s="237">
        <f>IF(AP58=0,"",AS58/AP58)</f>
        <v/>
      </c>
      <c r="AV58" s="33" t="n"/>
      <c r="AW58" s="233" t="n"/>
      <c r="AX58" s="233" t="n"/>
      <c r="AY58" s="233">
        <f>AW58+AX58</f>
        <v/>
      </c>
      <c r="AZ58" s="233" t="n"/>
      <c r="BA58" s="233" t="n"/>
      <c r="BB58" s="233">
        <f>AZ58+BA58</f>
        <v/>
      </c>
      <c r="BC58" s="238">
        <f>BB58-AY58</f>
        <v/>
      </c>
      <c r="BD58" s="235">
        <f>IF(AY58=0,"",BB58/AY58)</f>
        <v/>
      </c>
      <c r="BE58" s="26" t="n"/>
      <c r="BF58" s="236">
        <f>AN58+AW58</f>
        <v/>
      </c>
      <c r="BG58" s="236">
        <f>AO58+AX58</f>
        <v/>
      </c>
      <c r="BH58" s="236">
        <f>BF58+BG58</f>
        <v/>
      </c>
      <c r="BI58" s="236">
        <f>AQ58+AZ58</f>
        <v/>
      </c>
      <c r="BJ58" s="236">
        <f>AR58+BA58</f>
        <v/>
      </c>
      <c r="BK58" s="236">
        <f>BI58+BJ58</f>
        <v/>
      </c>
      <c r="BL58" s="239">
        <f>BK58-BH58</f>
        <v/>
      </c>
      <c r="BM58" s="237">
        <f>IF(BH58=0,"",BK58/BH58)</f>
        <v/>
      </c>
      <c r="BN58" s="33" t="n"/>
      <c r="BO58" s="233" t="n"/>
      <c r="BP58" s="233" t="n"/>
      <c r="BQ58" s="233">
        <f>BO58+BP58</f>
        <v/>
      </c>
      <c r="BR58" s="233" t="n"/>
      <c r="BS58" s="233" t="n"/>
      <c r="BT58" s="233">
        <f>BR58+BS58</f>
        <v/>
      </c>
      <c r="BU58" s="238">
        <f>BT58-BQ58</f>
        <v/>
      </c>
      <c r="BV58" s="235">
        <f>IF(BQ58=0,"",BT58/BQ58)</f>
        <v/>
      </c>
      <c r="BW58" s="26" t="n"/>
      <c r="BX58" s="236">
        <f>BF58+BO58</f>
        <v/>
      </c>
      <c r="BY58" s="236">
        <f>BG58+BP58</f>
        <v/>
      </c>
      <c r="BZ58" s="236">
        <f>BX58+BY58</f>
        <v/>
      </c>
      <c r="CA58" s="236">
        <f>BI58+BR58</f>
        <v/>
      </c>
      <c r="CB58" s="236">
        <f>BJ58+BS58</f>
        <v/>
      </c>
      <c r="CC58" s="236">
        <f>CA58+CB58</f>
        <v/>
      </c>
      <c r="CD58" s="239">
        <f>CC58-BZ58</f>
        <v/>
      </c>
      <c r="CE58" s="237">
        <f>IF(BZ58=0,"",CC58/BZ58)</f>
        <v/>
      </c>
      <c r="CF58" s="33" t="n"/>
      <c r="CG58" s="233" t="n"/>
      <c r="CH58" s="233" t="n"/>
      <c r="CI58" s="233">
        <f>CG58+CH58</f>
        <v/>
      </c>
      <c r="CJ58" s="233" t="n"/>
      <c r="CK58" s="233" t="n"/>
      <c r="CL58" s="233">
        <f>CJ58+CK58</f>
        <v/>
      </c>
      <c r="CM58" s="238">
        <f>CL58-CI58</f>
        <v/>
      </c>
      <c r="CN58" s="235">
        <f>IF(CI58=0,"",CL58/CI58)</f>
        <v/>
      </c>
      <c r="CO58" s="26" t="n"/>
      <c r="CP58" s="236">
        <f>BX58+CG58</f>
        <v/>
      </c>
      <c r="CQ58" s="236">
        <f>BY58+CH58</f>
        <v/>
      </c>
      <c r="CR58" s="236">
        <f>CP58+CQ58</f>
        <v/>
      </c>
      <c r="CS58" s="236">
        <f>CA58+CJ58</f>
        <v/>
      </c>
      <c r="CT58" s="236">
        <f>CB58+CK58</f>
        <v/>
      </c>
      <c r="CU58" s="236">
        <f>CS58+CT58</f>
        <v/>
      </c>
      <c r="CV58" s="239">
        <f>CU58-CR58</f>
        <v/>
      </c>
      <c r="CW58" s="237">
        <f>IF(CR58=0,"",CU58/CR58)</f>
        <v/>
      </c>
      <c r="CX58" s="33" t="n"/>
      <c r="CY58" s="233" t="n"/>
      <c r="CZ58" s="233" t="n"/>
      <c r="DA58" s="233">
        <f>CY58+CZ58</f>
        <v/>
      </c>
      <c r="DB58" s="233" t="n"/>
      <c r="DC58" s="233" t="n"/>
      <c r="DD58" s="233">
        <f>DB58+DC58</f>
        <v/>
      </c>
      <c r="DE58" s="238">
        <f>DD58-DA58</f>
        <v/>
      </c>
      <c r="DF58" s="235">
        <f>IF(DA58=0,"",DD58/DA58)</f>
        <v/>
      </c>
      <c r="DG58" s="26" t="n"/>
      <c r="DH58" s="236">
        <f>CP58+CY58</f>
        <v/>
      </c>
      <c r="DI58" s="236">
        <f>CQ58+CZ58</f>
        <v/>
      </c>
      <c r="DJ58" s="236">
        <f>DH58+DI58</f>
        <v/>
      </c>
      <c r="DK58" s="236">
        <f>CS58+DB58</f>
        <v/>
      </c>
      <c r="DL58" s="236">
        <f>CT58+DC58</f>
        <v/>
      </c>
      <c r="DM58" s="236">
        <f>DK58+DL58</f>
        <v/>
      </c>
      <c r="DN58" s="239">
        <f>DM58-DJ58</f>
        <v/>
      </c>
      <c r="DO58" s="237">
        <f>IF(DJ58=0,"",DM58/DJ58)</f>
        <v/>
      </c>
      <c r="DP58" s="33" t="n"/>
      <c r="DQ58" s="233" t="n"/>
      <c r="DR58" s="233" t="n"/>
      <c r="DS58" s="233">
        <f>DQ58+DR58</f>
        <v/>
      </c>
      <c r="DT58" s="233" t="n"/>
      <c r="DU58" s="233" t="n"/>
      <c r="DV58" s="233">
        <f>DT58+DU58</f>
        <v/>
      </c>
      <c r="DW58" s="238">
        <f>DV58-DS58</f>
        <v/>
      </c>
      <c r="DX58" s="235">
        <f>IF(DS58=0,"",DV58/DS58)</f>
        <v/>
      </c>
      <c r="DY58" s="26" t="n"/>
      <c r="DZ58" s="236">
        <f>DH58+DQ58</f>
        <v/>
      </c>
      <c r="EA58" s="236">
        <f>DI58+DR58</f>
        <v/>
      </c>
      <c r="EB58" s="236">
        <f>DZ58+EA58</f>
        <v/>
      </c>
      <c r="EC58" s="236">
        <f>DK58+DT58</f>
        <v/>
      </c>
      <c r="ED58" s="236">
        <f>DL58+DU58</f>
        <v/>
      </c>
      <c r="EE58" s="236">
        <f>EC58+ED58</f>
        <v/>
      </c>
      <c r="EF58" s="239">
        <f>EE58-EB58</f>
        <v/>
      </c>
      <c r="EG58" s="237">
        <f>IF(EB58=0,"",EE58/EB58)</f>
        <v/>
      </c>
      <c r="EH58" s="33" t="n"/>
      <c r="EI58" s="233" t="n"/>
      <c r="EJ58" s="233" t="n"/>
      <c r="EK58" s="233">
        <f>EI58+EJ58</f>
        <v/>
      </c>
      <c r="EL58" s="233" t="n"/>
      <c r="EM58" s="233" t="n"/>
      <c r="EN58" s="233">
        <f>EL58+EM58</f>
        <v/>
      </c>
      <c r="EO58" s="238">
        <f>EN58-EK58</f>
        <v/>
      </c>
      <c r="EP58" s="235">
        <f>IF(EK58=0,"",EN58/EK58)</f>
        <v/>
      </c>
      <c r="EQ58" s="26" t="n"/>
      <c r="ER58" s="236">
        <f>DZ58+EI58</f>
        <v/>
      </c>
      <c r="ES58" s="236">
        <f>EA58+EJ58</f>
        <v/>
      </c>
      <c r="ET58" s="236">
        <f>ER58+ES58</f>
        <v/>
      </c>
      <c r="EU58" s="236">
        <f>EC58+EL58</f>
        <v/>
      </c>
      <c r="EV58" s="236">
        <f>ED58+EM58</f>
        <v/>
      </c>
      <c r="EW58" s="236">
        <f>EU58+EV58</f>
        <v/>
      </c>
      <c r="EX58" s="239">
        <f>EW58-ET58</f>
        <v/>
      </c>
      <c r="EY58" s="237">
        <f>IF(ET58=0,"",EW58/ET58)</f>
        <v/>
      </c>
      <c r="EZ58" s="33" t="n"/>
      <c r="FA58" s="233" t="n"/>
      <c r="FB58" s="233" t="n"/>
      <c r="FC58" s="233">
        <f>FA58+FB58</f>
        <v/>
      </c>
      <c r="FD58" s="233" t="n"/>
      <c r="FE58" s="233" t="n"/>
      <c r="FF58" s="233">
        <f>FD58+FE58</f>
        <v/>
      </c>
      <c r="FG58" s="238">
        <f>FF58-FC58</f>
        <v/>
      </c>
      <c r="FH58" s="235">
        <f>IF(FC58=0,"",FF58/FC58)</f>
        <v/>
      </c>
      <c r="FI58" s="26" t="n"/>
      <c r="FJ58" s="236">
        <f>ER58+FA58</f>
        <v/>
      </c>
      <c r="FK58" s="236">
        <f>ES58+FB58</f>
        <v/>
      </c>
      <c r="FL58" s="236">
        <f>FJ58+FK58</f>
        <v/>
      </c>
      <c r="FM58" s="236">
        <f>EU58+FD58</f>
        <v/>
      </c>
      <c r="FN58" s="236">
        <f>EV58+FE58</f>
        <v/>
      </c>
      <c r="FO58" s="236">
        <f>FM58+FN58</f>
        <v/>
      </c>
      <c r="FP58" s="239">
        <f>FO58-FL58</f>
        <v/>
      </c>
      <c r="FQ58" s="237">
        <f>IF(FL58=0,"",FO58/FL58)</f>
        <v/>
      </c>
      <c r="FR58" s="33" t="n"/>
      <c r="FS58" s="233" t="n"/>
      <c r="FT58" s="233" t="n"/>
      <c r="FU58" s="233">
        <f>FS58+FT58</f>
        <v/>
      </c>
      <c r="FV58" s="233" t="n"/>
      <c r="FW58" s="233" t="n"/>
      <c r="FX58" s="233">
        <f>FV58+FW58</f>
        <v/>
      </c>
      <c r="FY58" s="238">
        <f>FX58-FU58</f>
        <v/>
      </c>
      <c r="FZ58" s="235">
        <f>IF(FU58=0,"",FX58/FU58)</f>
        <v/>
      </c>
      <c r="GA58" s="26" t="n"/>
      <c r="GB58" s="236">
        <f>FJ58+FS58</f>
        <v/>
      </c>
      <c r="GC58" s="236">
        <f>FK58+FT58</f>
        <v/>
      </c>
      <c r="GD58" s="236">
        <f>GB58+GC58</f>
        <v/>
      </c>
      <c r="GE58" s="236">
        <f>FM58+FV58</f>
        <v/>
      </c>
      <c r="GF58" s="236">
        <f>FN58+FW58</f>
        <v/>
      </c>
      <c r="GG58" s="236">
        <f>GE58+GF58</f>
        <v/>
      </c>
      <c r="GH58" s="239">
        <f>GG58-GD58</f>
        <v/>
      </c>
      <c r="GI58" s="237">
        <f>IF(GD58=0,"",GG58/GD58)</f>
        <v/>
      </c>
      <c r="GJ58" s="33" t="n"/>
      <c r="GK58" s="233" t="n"/>
      <c r="GL58" s="233" t="n"/>
      <c r="GM58" s="233">
        <f>GK58+GL58</f>
        <v/>
      </c>
      <c r="GN58" s="233" t="n"/>
      <c r="GO58" s="233" t="n"/>
      <c r="GP58" s="233">
        <f>GN58+GO58</f>
        <v/>
      </c>
      <c r="GQ58" s="238">
        <f>GP58-GM58</f>
        <v/>
      </c>
      <c r="GR58" s="235">
        <f>IF(GM58=0,"",GP58/GM58)</f>
        <v/>
      </c>
      <c r="GS58" s="26" t="n"/>
      <c r="GT58" s="236">
        <f>GB58+GK58</f>
        <v/>
      </c>
      <c r="GU58" s="236">
        <f>GC58+GL58</f>
        <v/>
      </c>
      <c r="GV58" s="236">
        <f>GT58+GU58</f>
        <v/>
      </c>
      <c r="GW58" s="236">
        <f>GE58+GN58</f>
        <v/>
      </c>
      <c r="GX58" s="236">
        <f>GF58+GO58</f>
        <v/>
      </c>
      <c r="GY58" s="236">
        <f>GW58+GX58</f>
        <v/>
      </c>
      <c r="GZ58" s="239">
        <f>GY58-GV58</f>
        <v/>
      </c>
      <c r="HA58" s="237">
        <f>IF(GV58=0,"",GY58/GV58)</f>
        <v/>
      </c>
      <c r="HB58" s="33" t="n"/>
      <c r="HC58" s="233">
        <f>GT58</f>
        <v/>
      </c>
      <c r="HD58" s="233">
        <f>GU58</f>
        <v/>
      </c>
      <c r="HE58" s="233">
        <f>HC58+HD58</f>
        <v/>
      </c>
    </row>
    <row r="59" outlineLevel="1" ht="15" customHeight="1" s="150">
      <c r="A59" s="26" t="n"/>
      <c r="B59" s="26" t="n"/>
      <c r="C59" s="26" t="n"/>
      <c r="D59" s="233" t="n"/>
      <c r="E59" s="233" t="n"/>
      <c r="F59" s="233">
        <f>D59+E59</f>
        <v/>
      </c>
      <c r="G59" s="233" t="n"/>
      <c r="H59" s="233" t="n"/>
      <c r="I59" s="233">
        <f>G59+H59</f>
        <v/>
      </c>
      <c r="J59" s="238">
        <f>I59-F59</f>
        <v/>
      </c>
      <c r="K59" s="235">
        <f>IF(F59=0,"",I59/F59)</f>
        <v/>
      </c>
      <c r="L59" s="26" t="n"/>
      <c r="M59" s="233" t="n"/>
      <c r="N59" s="233" t="n"/>
      <c r="O59" s="233">
        <f>M59+N59</f>
        <v/>
      </c>
      <c r="P59" s="233" t="n"/>
      <c r="Q59" s="233" t="n"/>
      <c r="R59" s="233">
        <f>P59+Q59</f>
        <v/>
      </c>
      <c r="S59" s="238">
        <f>R59-O59</f>
        <v/>
      </c>
      <c r="T59" s="235">
        <f>IF(O59=0,"",R59/O59)</f>
        <v/>
      </c>
      <c r="U59" s="26" t="n"/>
      <c r="V59" s="236">
        <f>D59+M59</f>
        <v/>
      </c>
      <c r="W59" s="236">
        <f>E59+N59</f>
        <v/>
      </c>
      <c r="X59" s="236">
        <f>V59+W59</f>
        <v/>
      </c>
      <c r="Y59" s="236">
        <f>G59+P59</f>
        <v/>
      </c>
      <c r="Z59" s="236">
        <f>H59+Q59</f>
        <v/>
      </c>
      <c r="AA59" s="236">
        <f>Y59+Z59</f>
        <v/>
      </c>
      <c r="AB59" s="239">
        <f>AA59-X59</f>
        <v/>
      </c>
      <c r="AC59" s="237">
        <f>IF(X59=0,"",AA59/X59)</f>
        <v/>
      </c>
      <c r="AD59" s="33" t="n"/>
      <c r="AE59" s="233" t="n"/>
      <c r="AF59" s="233" t="n"/>
      <c r="AG59" s="233">
        <f>AE59+AF59</f>
        <v/>
      </c>
      <c r="AH59" s="233" t="n"/>
      <c r="AI59" s="233" t="n"/>
      <c r="AJ59" s="233">
        <f>AH59+AI59</f>
        <v/>
      </c>
      <c r="AK59" s="234">
        <f>AJ59-AG59</f>
        <v/>
      </c>
      <c r="AL59" s="235">
        <f>IF(AG59=0,"",AJ59/AG59)</f>
        <v/>
      </c>
      <c r="AM59" s="26" t="n"/>
      <c r="AN59" s="236">
        <f>V59+AE59</f>
        <v/>
      </c>
      <c r="AO59" s="236">
        <f>W59+AF59</f>
        <v/>
      </c>
      <c r="AP59" s="236">
        <f>AN59+AO59</f>
        <v/>
      </c>
      <c r="AQ59" s="236">
        <f>Y59+AH59</f>
        <v/>
      </c>
      <c r="AR59" s="236">
        <f>Z59+AI59</f>
        <v/>
      </c>
      <c r="AS59" s="236">
        <f>AQ59+AR59</f>
        <v/>
      </c>
      <c r="AT59" s="239">
        <f>AS59-AP59</f>
        <v/>
      </c>
      <c r="AU59" s="237">
        <f>IF(AP59=0,"",AS59/AP59)</f>
        <v/>
      </c>
      <c r="AV59" s="33" t="n"/>
      <c r="AW59" s="233" t="n"/>
      <c r="AX59" s="233" t="n"/>
      <c r="AY59" s="233">
        <f>AW59+AX59</f>
        <v/>
      </c>
      <c r="AZ59" s="233" t="n"/>
      <c r="BA59" s="233" t="n"/>
      <c r="BB59" s="233">
        <f>AZ59+BA59</f>
        <v/>
      </c>
      <c r="BC59" s="238">
        <f>BB59-AY59</f>
        <v/>
      </c>
      <c r="BD59" s="235">
        <f>IF(AY59=0,"",BB59/AY59)</f>
        <v/>
      </c>
      <c r="BE59" s="26" t="n"/>
      <c r="BF59" s="236">
        <f>AN59+AW59</f>
        <v/>
      </c>
      <c r="BG59" s="236">
        <f>AO59+AX59</f>
        <v/>
      </c>
      <c r="BH59" s="236">
        <f>BF59+BG59</f>
        <v/>
      </c>
      <c r="BI59" s="236">
        <f>AQ59+AZ59</f>
        <v/>
      </c>
      <c r="BJ59" s="236">
        <f>AR59+BA59</f>
        <v/>
      </c>
      <c r="BK59" s="236">
        <f>BI59+BJ59</f>
        <v/>
      </c>
      <c r="BL59" s="239">
        <f>BK59-BH59</f>
        <v/>
      </c>
      <c r="BM59" s="237">
        <f>IF(BH59=0,"",BK59/BH59)</f>
        <v/>
      </c>
      <c r="BN59" s="33" t="n"/>
      <c r="BO59" s="233" t="n"/>
      <c r="BP59" s="233" t="n"/>
      <c r="BQ59" s="233">
        <f>BO59+BP59</f>
        <v/>
      </c>
      <c r="BR59" s="233" t="n"/>
      <c r="BS59" s="233" t="n"/>
      <c r="BT59" s="233">
        <f>BR59+BS59</f>
        <v/>
      </c>
      <c r="BU59" s="238">
        <f>BT59-BQ59</f>
        <v/>
      </c>
      <c r="BV59" s="235">
        <f>IF(BQ59=0,"",BT59/BQ59)</f>
        <v/>
      </c>
      <c r="BW59" s="26" t="n"/>
      <c r="BX59" s="236">
        <f>BF59+BO59</f>
        <v/>
      </c>
      <c r="BY59" s="236">
        <f>BG59+BP59</f>
        <v/>
      </c>
      <c r="BZ59" s="236">
        <f>BX59+BY59</f>
        <v/>
      </c>
      <c r="CA59" s="236">
        <f>BI59+BR59</f>
        <v/>
      </c>
      <c r="CB59" s="236">
        <f>BJ59+BS59</f>
        <v/>
      </c>
      <c r="CC59" s="236">
        <f>CA59+CB59</f>
        <v/>
      </c>
      <c r="CD59" s="239">
        <f>CC59-BZ59</f>
        <v/>
      </c>
      <c r="CE59" s="237">
        <f>IF(BZ59=0,"",CC59/BZ59)</f>
        <v/>
      </c>
      <c r="CF59" s="33" t="n"/>
      <c r="CG59" s="233" t="n"/>
      <c r="CH59" s="233" t="n"/>
      <c r="CI59" s="233">
        <f>CG59+CH59</f>
        <v/>
      </c>
      <c r="CJ59" s="233" t="n"/>
      <c r="CK59" s="233" t="n"/>
      <c r="CL59" s="233">
        <f>CJ59+CK59</f>
        <v/>
      </c>
      <c r="CM59" s="238">
        <f>CL59-CI59</f>
        <v/>
      </c>
      <c r="CN59" s="235">
        <f>IF(CI59=0,"",CL59/CI59)</f>
        <v/>
      </c>
      <c r="CO59" s="26" t="n"/>
      <c r="CP59" s="236">
        <f>BX59+CG59</f>
        <v/>
      </c>
      <c r="CQ59" s="236">
        <f>BY59+CH59</f>
        <v/>
      </c>
      <c r="CR59" s="236">
        <f>CP59+CQ59</f>
        <v/>
      </c>
      <c r="CS59" s="236">
        <f>CA59+CJ59</f>
        <v/>
      </c>
      <c r="CT59" s="236">
        <f>CB59+CK59</f>
        <v/>
      </c>
      <c r="CU59" s="236">
        <f>CS59+CT59</f>
        <v/>
      </c>
      <c r="CV59" s="239">
        <f>CU59-CR59</f>
        <v/>
      </c>
      <c r="CW59" s="237">
        <f>IF(CR59=0,"",CU59/CR59)</f>
        <v/>
      </c>
      <c r="CX59" s="33" t="n"/>
      <c r="CY59" s="233" t="n"/>
      <c r="CZ59" s="233" t="n"/>
      <c r="DA59" s="233">
        <f>CY59+CZ59</f>
        <v/>
      </c>
      <c r="DB59" s="233" t="n"/>
      <c r="DC59" s="233" t="n"/>
      <c r="DD59" s="233">
        <f>DB59+DC59</f>
        <v/>
      </c>
      <c r="DE59" s="238">
        <f>DD59-DA59</f>
        <v/>
      </c>
      <c r="DF59" s="235">
        <f>IF(DA59=0,"",DD59/DA59)</f>
        <v/>
      </c>
      <c r="DG59" s="26" t="n"/>
      <c r="DH59" s="236">
        <f>CP59+CY59</f>
        <v/>
      </c>
      <c r="DI59" s="236">
        <f>CQ59+CZ59</f>
        <v/>
      </c>
      <c r="DJ59" s="236">
        <f>DH59+DI59</f>
        <v/>
      </c>
      <c r="DK59" s="236">
        <f>CS59+DB59</f>
        <v/>
      </c>
      <c r="DL59" s="236">
        <f>CT59+DC59</f>
        <v/>
      </c>
      <c r="DM59" s="236">
        <f>DK59+DL59</f>
        <v/>
      </c>
      <c r="DN59" s="239">
        <f>DM59-DJ59</f>
        <v/>
      </c>
      <c r="DO59" s="237">
        <f>IF(DJ59=0,"",DM59/DJ59)</f>
        <v/>
      </c>
      <c r="DP59" s="33" t="n"/>
      <c r="DQ59" s="233" t="n"/>
      <c r="DR59" s="233" t="n"/>
      <c r="DS59" s="233">
        <f>DQ59+DR59</f>
        <v/>
      </c>
      <c r="DT59" s="233" t="n"/>
      <c r="DU59" s="233" t="n"/>
      <c r="DV59" s="233">
        <f>DT59+DU59</f>
        <v/>
      </c>
      <c r="DW59" s="238">
        <f>DV59-DS59</f>
        <v/>
      </c>
      <c r="DX59" s="235">
        <f>IF(DS59=0,"",DV59/DS59)</f>
        <v/>
      </c>
      <c r="DY59" s="26" t="n"/>
      <c r="DZ59" s="236">
        <f>DH59+DQ59</f>
        <v/>
      </c>
      <c r="EA59" s="236">
        <f>DI59+DR59</f>
        <v/>
      </c>
      <c r="EB59" s="236">
        <f>DZ59+EA59</f>
        <v/>
      </c>
      <c r="EC59" s="236">
        <f>DK59+DT59</f>
        <v/>
      </c>
      <c r="ED59" s="236">
        <f>DL59+DU59</f>
        <v/>
      </c>
      <c r="EE59" s="236">
        <f>EC59+ED59</f>
        <v/>
      </c>
      <c r="EF59" s="239">
        <f>EE59-EB59</f>
        <v/>
      </c>
      <c r="EG59" s="237">
        <f>IF(EB59=0,"",EE59/EB59)</f>
        <v/>
      </c>
      <c r="EH59" s="33" t="n"/>
      <c r="EI59" s="233" t="n"/>
      <c r="EJ59" s="233" t="n"/>
      <c r="EK59" s="233">
        <f>EI59+EJ59</f>
        <v/>
      </c>
      <c r="EL59" s="233" t="n"/>
      <c r="EM59" s="233" t="n"/>
      <c r="EN59" s="233">
        <f>EL59+EM59</f>
        <v/>
      </c>
      <c r="EO59" s="238">
        <f>EN59-EK59</f>
        <v/>
      </c>
      <c r="EP59" s="235">
        <f>IF(EK59=0,"",EN59/EK59)</f>
        <v/>
      </c>
      <c r="EQ59" s="26" t="n"/>
      <c r="ER59" s="236">
        <f>DZ59+EI59</f>
        <v/>
      </c>
      <c r="ES59" s="236">
        <f>EA59+EJ59</f>
        <v/>
      </c>
      <c r="ET59" s="236">
        <f>ER59+ES59</f>
        <v/>
      </c>
      <c r="EU59" s="236">
        <f>EC59+EL59</f>
        <v/>
      </c>
      <c r="EV59" s="236">
        <f>ED59+EM59</f>
        <v/>
      </c>
      <c r="EW59" s="236">
        <f>EU59+EV59</f>
        <v/>
      </c>
      <c r="EX59" s="239">
        <f>EW59-ET59</f>
        <v/>
      </c>
      <c r="EY59" s="237">
        <f>IF(ET59=0,"",EW59/ET59)</f>
        <v/>
      </c>
      <c r="EZ59" s="33" t="n"/>
      <c r="FA59" s="233" t="n"/>
      <c r="FB59" s="233" t="n"/>
      <c r="FC59" s="233">
        <f>FA59+FB59</f>
        <v/>
      </c>
      <c r="FD59" s="233" t="n"/>
      <c r="FE59" s="233" t="n"/>
      <c r="FF59" s="233">
        <f>FD59+FE59</f>
        <v/>
      </c>
      <c r="FG59" s="238">
        <f>FF59-FC59</f>
        <v/>
      </c>
      <c r="FH59" s="235">
        <f>IF(FC59=0,"",FF59/FC59)</f>
        <v/>
      </c>
      <c r="FI59" s="26" t="n"/>
      <c r="FJ59" s="236">
        <f>ER59+FA59</f>
        <v/>
      </c>
      <c r="FK59" s="236">
        <f>ES59+FB59</f>
        <v/>
      </c>
      <c r="FL59" s="236">
        <f>FJ59+FK59</f>
        <v/>
      </c>
      <c r="FM59" s="236">
        <f>EU59+FD59</f>
        <v/>
      </c>
      <c r="FN59" s="236">
        <f>EV59+FE59</f>
        <v/>
      </c>
      <c r="FO59" s="236">
        <f>FM59+FN59</f>
        <v/>
      </c>
      <c r="FP59" s="239">
        <f>FO59-FL59</f>
        <v/>
      </c>
      <c r="FQ59" s="237">
        <f>IF(FL59=0,"",FO59/FL59)</f>
        <v/>
      </c>
      <c r="FR59" s="33" t="n"/>
      <c r="FS59" s="233" t="n"/>
      <c r="FT59" s="233" t="n"/>
      <c r="FU59" s="233">
        <f>FS59+FT59</f>
        <v/>
      </c>
      <c r="FV59" s="233" t="n"/>
      <c r="FW59" s="233" t="n"/>
      <c r="FX59" s="233">
        <f>FV59+FW59</f>
        <v/>
      </c>
      <c r="FY59" s="238">
        <f>FX59-FU59</f>
        <v/>
      </c>
      <c r="FZ59" s="235">
        <f>IF(FU59=0,"",FX59/FU59)</f>
        <v/>
      </c>
      <c r="GA59" s="26" t="n"/>
      <c r="GB59" s="236">
        <f>FJ59+FS59</f>
        <v/>
      </c>
      <c r="GC59" s="236">
        <f>FK59+FT59</f>
        <v/>
      </c>
      <c r="GD59" s="236">
        <f>GB59+GC59</f>
        <v/>
      </c>
      <c r="GE59" s="236">
        <f>FM59+FV59</f>
        <v/>
      </c>
      <c r="GF59" s="236">
        <f>FN59+FW59</f>
        <v/>
      </c>
      <c r="GG59" s="236">
        <f>GE59+GF59</f>
        <v/>
      </c>
      <c r="GH59" s="239">
        <f>GG59-GD59</f>
        <v/>
      </c>
      <c r="GI59" s="237">
        <f>IF(GD59=0,"",GG59/GD59)</f>
        <v/>
      </c>
      <c r="GJ59" s="33" t="n"/>
      <c r="GK59" s="233" t="n"/>
      <c r="GL59" s="233" t="n"/>
      <c r="GM59" s="233">
        <f>GK59+GL59</f>
        <v/>
      </c>
      <c r="GN59" s="233" t="n"/>
      <c r="GO59" s="233" t="n"/>
      <c r="GP59" s="233">
        <f>GN59+GO59</f>
        <v/>
      </c>
      <c r="GQ59" s="238">
        <f>GP59-GM59</f>
        <v/>
      </c>
      <c r="GR59" s="235">
        <f>IF(GM59=0,"",GP59/GM59)</f>
        <v/>
      </c>
      <c r="GS59" s="26" t="n"/>
      <c r="GT59" s="236">
        <f>GB59+GK59</f>
        <v/>
      </c>
      <c r="GU59" s="236">
        <f>GC59+GL59</f>
        <v/>
      </c>
      <c r="GV59" s="236">
        <f>GT59+GU59</f>
        <v/>
      </c>
      <c r="GW59" s="236">
        <f>GE59+GN59</f>
        <v/>
      </c>
      <c r="GX59" s="236">
        <f>GF59+GO59</f>
        <v/>
      </c>
      <c r="GY59" s="236">
        <f>GW59+GX59</f>
        <v/>
      </c>
      <c r="GZ59" s="239">
        <f>GY59-GV59</f>
        <v/>
      </c>
      <c r="HA59" s="237">
        <f>IF(GV59=0,"",GY59/GV59)</f>
        <v/>
      </c>
      <c r="HB59" s="33" t="n"/>
      <c r="HC59" s="233">
        <f>GT59</f>
        <v/>
      </c>
      <c r="HD59" s="233">
        <f>GU59</f>
        <v/>
      </c>
      <c r="HE59" s="233">
        <f>HC59+HD59</f>
        <v/>
      </c>
    </row>
    <row r="60" outlineLevel="1" ht="15" customHeight="1" s="150">
      <c r="A60" s="26" t="n"/>
      <c r="B60" s="26" t="n"/>
      <c r="C60" s="26" t="n"/>
      <c r="D60" s="233" t="n"/>
      <c r="E60" s="233" t="n"/>
      <c r="F60" s="233">
        <f>D60+E60</f>
        <v/>
      </c>
      <c r="G60" s="233" t="n"/>
      <c r="H60" s="233" t="n"/>
      <c r="I60" s="233">
        <f>G60+H60</f>
        <v/>
      </c>
      <c r="J60" s="238">
        <f>I60-F60</f>
        <v/>
      </c>
      <c r="K60" s="235">
        <f>IF(F60=0,"",I60/F60)</f>
        <v/>
      </c>
      <c r="L60" s="26" t="n"/>
      <c r="M60" s="233" t="n"/>
      <c r="N60" s="233" t="n"/>
      <c r="O60" s="233">
        <f>M60+N60</f>
        <v/>
      </c>
      <c r="P60" s="233" t="n"/>
      <c r="Q60" s="233" t="n"/>
      <c r="R60" s="233">
        <f>P60+Q60</f>
        <v/>
      </c>
      <c r="S60" s="238">
        <f>R60-O60</f>
        <v/>
      </c>
      <c r="T60" s="235">
        <f>IF(O60=0,"",R60/O60)</f>
        <v/>
      </c>
      <c r="U60" s="26" t="n"/>
      <c r="V60" s="236">
        <f>D60+M60</f>
        <v/>
      </c>
      <c r="W60" s="236">
        <f>E60+N60</f>
        <v/>
      </c>
      <c r="X60" s="236">
        <f>V60+W60</f>
        <v/>
      </c>
      <c r="Y60" s="236">
        <f>G60+P60</f>
        <v/>
      </c>
      <c r="Z60" s="236">
        <f>H60+Q60</f>
        <v/>
      </c>
      <c r="AA60" s="236">
        <f>Y60+Z60</f>
        <v/>
      </c>
      <c r="AB60" s="239">
        <f>AA60-X60</f>
        <v/>
      </c>
      <c r="AC60" s="237">
        <f>IF(X60=0,"",AA60/X60)</f>
        <v/>
      </c>
      <c r="AD60" s="33" t="n"/>
      <c r="AE60" s="233" t="n"/>
      <c r="AF60" s="233" t="n"/>
      <c r="AG60" s="233">
        <f>AE60+AF60</f>
        <v/>
      </c>
      <c r="AH60" s="233" t="n"/>
      <c r="AI60" s="233" t="n"/>
      <c r="AJ60" s="233">
        <f>AH60+AI60</f>
        <v/>
      </c>
      <c r="AK60" s="238">
        <f>AJ60-AG60</f>
        <v/>
      </c>
      <c r="AL60" s="235">
        <f>IF(AG60=0,"",AJ60/AG60)</f>
        <v/>
      </c>
      <c r="AM60" s="26" t="n"/>
      <c r="AN60" s="236">
        <f>V60+AE60</f>
        <v/>
      </c>
      <c r="AO60" s="236">
        <f>W60+AF60</f>
        <v/>
      </c>
      <c r="AP60" s="236">
        <f>AN60+AO60</f>
        <v/>
      </c>
      <c r="AQ60" s="236">
        <f>Y60+AH60</f>
        <v/>
      </c>
      <c r="AR60" s="236">
        <f>Z60+AI60</f>
        <v/>
      </c>
      <c r="AS60" s="236">
        <f>AQ60+AR60</f>
        <v/>
      </c>
      <c r="AT60" s="239">
        <f>AS60-AP60</f>
        <v/>
      </c>
      <c r="AU60" s="237">
        <f>IF(AP60=0,"",AS60/AP60)</f>
        <v/>
      </c>
      <c r="AV60" s="33" t="n"/>
      <c r="AW60" s="233" t="n"/>
      <c r="AX60" s="233" t="n"/>
      <c r="AY60" s="233">
        <f>AW60+AX60</f>
        <v/>
      </c>
      <c r="AZ60" s="233" t="n"/>
      <c r="BA60" s="233" t="n"/>
      <c r="BB60" s="233">
        <f>AZ60+BA60</f>
        <v/>
      </c>
      <c r="BC60" s="238">
        <f>BB60-AY60</f>
        <v/>
      </c>
      <c r="BD60" s="235">
        <f>IF(AY60=0,"",BB60/AY60)</f>
        <v/>
      </c>
      <c r="BE60" s="26" t="n"/>
      <c r="BF60" s="236">
        <f>AN60+AW60</f>
        <v/>
      </c>
      <c r="BG60" s="236">
        <f>AO60+AX60</f>
        <v/>
      </c>
      <c r="BH60" s="236">
        <f>BF60+BG60</f>
        <v/>
      </c>
      <c r="BI60" s="236">
        <f>AQ60+AZ60</f>
        <v/>
      </c>
      <c r="BJ60" s="236">
        <f>AR60+BA60</f>
        <v/>
      </c>
      <c r="BK60" s="236">
        <f>BI60+BJ60</f>
        <v/>
      </c>
      <c r="BL60" s="239">
        <f>BK60-BH60</f>
        <v/>
      </c>
      <c r="BM60" s="237">
        <f>IF(BH60=0,"",BK60/BH60)</f>
        <v/>
      </c>
      <c r="BN60" s="33" t="n"/>
      <c r="BO60" s="233" t="n"/>
      <c r="BP60" s="233" t="n"/>
      <c r="BQ60" s="233">
        <f>BO60+BP60</f>
        <v/>
      </c>
      <c r="BR60" s="233" t="n"/>
      <c r="BS60" s="233" t="n"/>
      <c r="BT60" s="233">
        <f>BR60+BS60</f>
        <v/>
      </c>
      <c r="BU60" s="238">
        <f>BT60-BQ60</f>
        <v/>
      </c>
      <c r="BV60" s="235">
        <f>IF(BQ60=0,"",BT60/BQ60)</f>
        <v/>
      </c>
      <c r="BW60" s="26" t="n"/>
      <c r="BX60" s="236">
        <f>BF60+BO60</f>
        <v/>
      </c>
      <c r="BY60" s="236">
        <f>BG60+BP60</f>
        <v/>
      </c>
      <c r="BZ60" s="236">
        <f>BX60+BY60</f>
        <v/>
      </c>
      <c r="CA60" s="236">
        <f>BI60+BR60</f>
        <v/>
      </c>
      <c r="CB60" s="236">
        <f>BJ60+BS60</f>
        <v/>
      </c>
      <c r="CC60" s="236">
        <f>CA60+CB60</f>
        <v/>
      </c>
      <c r="CD60" s="239">
        <f>CC60-BZ60</f>
        <v/>
      </c>
      <c r="CE60" s="237">
        <f>IF(BZ60=0,"",CC60/BZ60)</f>
        <v/>
      </c>
      <c r="CF60" s="33" t="n"/>
      <c r="CG60" s="233" t="n"/>
      <c r="CH60" s="233" t="n"/>
      <c r="CI60" s="233">
        <f>CG60+CH60</f>
        <v/>
      </c>
      <c r="CJ60" s="233" t="n"/>
      <c r="CK60" s="233" t="n"/>
      <c r="CL60" s="233">
        <f>CJ60+CK60</f>
        <v/>
      </c>
      <c r="CM60" s="238">
        <f>CL60-CI60</f>
        <v/>
      </c>
      <c r="CN60" s="235">
        <f>IF(CI60=0,"",CL60/CI60)</f>
        <v/>
      </c>
      <c r="CO60" s="26" t="n"/>
      <c r="CP60" s="236">
        <f>BX60+CG60</f>
        <v/>
      </c>
      <c r="CQ60" s="236">
        <f>BY60+CH60</f>
        <v/>
      </c>
      <c r="CR60" s="236">
        <f>CP60+CQ60</f>
        <v/>
      </c>
      <c r="CS60" s="236">
        <f>CA60+CJ60</f>
        <v/>
      </c>
      <c r="CT60" s="236">
        <f>CB60+CK60</f>
        <v/>
      </c>
      <c r="CU60" s="236">
        <f>CS60+CT60</f>
        <v/>
      </c>
      <c r="CV60" s="239">
        <f>CU60-CR60</f>
        <v/>
      </c>
      <c r="CW60" s="237">
        <f>IF(CR60=0,"",CU60/CR60)</f>
        <v/>
      </c>
      <c r="CX60" s="33" t="n"/>
      <c r="CY60" s="233" t="n"/>
      <c r="CZ60" s="233" t="n"/>
      <c r="DA60" s="233">
        <f>CY60+CZ60</f>
        <v/>
      </c>
      <c r="DB60" s="233" t="n"/>
      <c r="DC60" s="233" t="n"/>
      <c r="DD60" s="233">
        <f>DB60+DC60</f>
        <v/>
      </c>
      <c r="DE60" s="238">
        <f>DD60-DA60</f>
        <v/>
      </c>
      <c r="DF60" s="235">
        <f>IF(DA60=0,"",DD60/DA60)</f>
        <v/>
      </c>
      <c r="DG60" s="26" t="n"/>
      <c r="DH60" s="236">
        <f>CP60+CY60</f>
        <v/>
      </c>
      <c r="DI60" s="236">
        <f>CQ60+CZ60</f>
        <v/>
      </c>
      <c r="DJ60" s="236">
        <f>DH60+DI60</f>
        <v/>
      </c>
      <c r="DK60" s="236">
        <f>CS60+DB60</f>
        <v/>
      </c>
      <c r="DL60" s="236">
        <f>CT60+DC60</f>
        <v/>
      </c>
      <c r="DM60" s="236">
        <f>DK60+DL60</f>
        <v/>
      </c>
      <c r="DN60" s="239">
        <f>DM60-DJ60</f>
        <v/>
      </c>
      <c r="DO60" s="237">
        <f>IF(DJ60=0,"",DM60/DJ60)</f>
        <v/>
      </c>
      <c r="DP60" s="33" t="n"/>
      <c r="DQ60" s="233" t="n"/>
      <c r="DR60" s="233" t="n"/>
      <c r="DS60" s="233">
        <f>DQ60+DR60</f>
        <v/>
      </c>
      <c r="DT60" s="233" t="n"/>
      <c r="DU60" s="233" t="n"/>
      <c r="DV60" s="233">
        <f>DT60+DU60</f>
        <v/>
      </c>
      <c r="DW60" s="238">
        <f>DV60-DS60</f>
        <v/>
      </c>
      <c r="DX60" s="235">
        <f>IF(DS60=0,"",DV60/DS60)</f>
        <v/>
      </c>
      <c r="DY60" s="26" t="n"/>
      <c r="DZ60" s="236">
        <f>DH60+DQ60</f>
        <v/>
      </c>
      <c r="EA60" s="236">
        <f>DI60+DR60</f>
        <v/>
      </c>
      <c r="EB60" s="236">
        <f>DZ60+EA60</f>
        <v/>
      </c>
      <c r="EC60" s="236">
        <f>DK60+DT60</f>
        <v/>
      </c>
      <c r="ED60" s="236">
        <f>DL60+DU60</f>
        <v/>
      </c>
      <c r="EE60" s="236">
        <f>EC60+ED60</f>
        <v/>
      </c>
      <c r="EF60" s="239">
        <f>EE60-EB60</f>
        <v/>
      </c>
      <c r="EG60" s="237">
        <f>IF(EB60=0,"",EE60/EB60)</f>
        <v/>
      </c>
      <c r="EH60" s="33" t="n"/>
      <c r="EI60" s="233" t="n"/>
      <c r="EJ60" s="233" t="n"/>
      <c r="EK60" s="233">
        <f>EI60+EJ60</f>
        <v/>
      </c>
      <c r="EL60" s="233" t="n"/>
      <c r="EM60" s="233" t="n"/>
      <c r="EN60" s="233">
        <f>EL60+EM60</f>
        <v/>
      </c>
      <c r="EO60" s="238">
        <f>EN60-EK60</f>
        <v/>
      </c>
      <c r="EP60" s="235">
        <f>IF(EK60=0,"",EN60/EK60)</f>
        <v/>
      </c>
      <c r="EQ60" s="26" t="n"/>
      <c r="ER60" s="236">
        <f>DZ60+EI60</f>
        <v/>
      </c>
      <c r="ES60" s="236">
        <f>EA60+EJ60</f>
        <v/>
      </c>
      <c r="ET60" s="236">
        <f>ER60+ES60</f>
        <v/>
      </c>
      <c r="EU60" s="236">
        <f>EC60+EL60</f>
        <v/>
      </c>
      <c r="EV60" s="236">
        <f>ED60+EM60</f>
        <v/>
      </c>
      <c r="EW60" s="236">
        <f>EU60+EV60</f>
        <v/>
      </c>
      <c r="EX60" s="239">
        <f>EW60-ET60</f>
        <v/>
      </c>
      <c r="EY60" s="237">
        <f>IF(ET60=0,"",EW60/ET60)</f>
        <v/>
      </c>
      <c r="EZ60" s="33" t="n"/>
      <c r="FA60" s="233" t="n"/>
      <c r="FB60" s="233" t="n"/>
      <c r="FC60" s="233">
        <f>FA60+FB60</f>
        <v/>
      </c>
      <c r="FD60" s="233" t="n"/>
      <c r="FE60" s="233" t="n"/>
      <c r="FF60" s="233">
        <f>FD60+FE60</f>
        <v/>
      </c>
      <c r="FG60" s="238">
        <f>FF60-FC60</f>
        <v/>
      </c>
      <c r="FH60" s="235">
        <f>IF(FC60=0,"",FF60/FC60)</f>
        <v/>
      </c>
      <c r="FI60" s="26" t="n"/>
      <c r="FJ60" s="236">
        <f>ER60+FA60</f>
        <v/>
      </c>
      <c r="FK60" s="236">
        <f>ES60+FB60</f>
        <v/>
      </c>
      <c r="FL60" s="236">
        <f>FJ60+FK60</f>
        <v/>
      </c>
      <c r="FM60" s="236">
        <f>EU60+FD60</f>
        <v/>
      </c>
      <c r="FN60" s="236">
        <f>EV60+FE60</f>
        <v/>
      </c>
      <c r="FO60" s="236">
        <f>FM60+FN60</f>
        <v/>
      </c>
      <c r="FP60" s="239">
        <f>FO60-FL60</f>
        <v/>
      </c>
      <c r="FQ60" s="237">
        <f>IF(FL60=0,"",FO60/FL60)</f>
        <v/>
      </c>
      <c r="FR60" s="33" t="n"/>
      <c r="FS60" s="233" t="n"/>
      <c r="FT60" s="233" t="n"/>
      <c r="FU60" s="233">
        <f>FS60+FT60</f>
        <v/>
      </c>
      <c r="FV60" s="233" t="n"/>
      <c r="FW60" s="233" t="n"/>
      <c r="FX60" s="233">
        <f>FV60+FW60</f>
        <v/>
      </c>
      <c r="FY60" s="238">
        <f>FX60-FU60</f>
        <v/>
      </c>
      <c r="FZ60" s="235">
        <f>IF(FU60=0,"",FX60/FU60)</f>
        <v/>
      </c>
      <c r="GA60" s="26" t="n"/>
      <c r="GB60" s="236">
        <f>FJ60+FS60</f>
        <v/>
      </c>
      <c r="GC60" s="236">
        <f>FK60+FT60</f>
        <v/>
      </c>
      <c r="GD60" s="236">
        <f>GB60+GC60</f>
        <v/>
      </c>
      <c r="GE60" s="236">
        <f>FM60+FV60</f>
        <v/>
      </c>
      <c r="GF60" s="236">
        <f>FN60+FW60</f>
        <v/>
      </c>
      <c r="GG60" s="236">
        <f>GE60+GF60</f>
        <v/>
      </c>
      <c r="GH60" s="239">
        <f>GG60-GD60</f>
        <v/>
      </c>
      <c r="GI60" s="237">
        <f>IF(GD60=0,"",GG60/GD60)</f>
        <v/>
      </c>
      <c r="GJ60" s="33" t="n"/>
      <c r="GK60" s="233" t="n"/>
      <c r="GL60" s="233" t="n"/>
      <c r="GM60" s="233">
        <f>GK60+GL60</f>
        <v/>
      </c>
      <c r="GN60" s="233" t="n"/>
      <c r="GO60" s="233" t="n"/>
      <c r="GP60" s="233">
        <f>GN60+GO60</f>
        <v/>
      </c>
      <c r="GQ60" s="238">
        <f>GP60-GM60</f>
        <v/>
      </c>
      <c r="GR60" s="235">
        <f>IF(GM60=0,"",GP60/GM60)</f>
        <v/>
      </c>
      <c r="GS60" s="26" t="n"/>
      <c r="GT60" s="236">
        <f>GB60+GK60</f>
        <v/>
      </c>
      <c r="GU60" s="236">
        <f>GC60+GL60</f>
        <v/>
      </c>
      <c r="GV60" s="236">
        <f>GT60+GU60</f>
        <v/>
      </c>
      <c r="GW60" s="236">
        <f>GE60+GN60</f>
        <v/>
      </c>
      <c r="GX60" s="236">
        <f>GF60+GO60</f>
        <v/>
      </c>
      <c r="GY60" s="236">
        <f>GW60+GX60</f>
        <v/>
      </c>
      <c r="GZ60" s="239">
        <f>GY60-GV60</f>
        <v/>
      </c>
      <c r="HA60" s="237">
        <f>IF(GV60=0,"",GY60/GV60)</f>
        <v/>
      </c>
      <c r="HB60" s="33" t="n"/>
      <c r="HC60" s="233">
        <f>GT60</f>
        <v/>
      </c>
      <c r="HD60" s="233">
        <f>GU60</f>
        <v/>
      </c>
      <c r="HE60" s="233">
        <f>HC60+HD60</f>
        <v/>
      </c>
    </row>
    <row r="61" outlineLevel="1" ht="15" customHeight="1" s="150">
      <c r="A61" s="26" t="n"/>
      <c r="B61" s="26" t="n"/>
      <c r="C61" s="26" t="n"/>
      <c r="D61" s="233" t="n"/>
      <c r="E61" s="233" t="n"/>
      <c r="F61" s="233">
        <f>D61+E61</f>
        <v/>
      </c>
      <c r="G61" s="233" t="n"/>
      <c r="H61" s="233" t="n"/>
      <c r="I61" s="233">
        <f>G61+H61</f>
        <v/>
      </c>
      <c r="J61" s="238">
        <f>I61-F61</f>
        <v/>
      </c>
      <c r="K61" s="235">
        <f>IF(F61=0,"",I61/F61)</f>
        <v/>
      </c>
      <c r="L61" s="26" t="n"/>
      <c r="M61" s="233" t="n"/>
      <c r="N61" s="233" t="n"/>
      <c r="O61" s="233">
        <f>M61+N61</f>
        <v/>
      </c>
      <c r="P61" s="233" t="n"/>
      <c r="Q61" s="233" t="n"/>
      <c r="R61" s="233">
        <f>P61+Q61</f>
        <v/>
      </c>
      <c r="S61" s="238">
        <f>R61-O61</f>
        <v/>
      </c>
      <c r="T61" s="235">
        <f>IF(O61=0,"",R61/O61)</f>
        <v/>
      </c>
      <c r="U61" s="26" t="n"/>
      <c r="V61" s="236">
        <f>D61+M61</f>
        <v/>
      </c>
      <c r="W61" s="236">
        <f>E61+N61</f>
        <v/>
      </c>
      <c r="X61" s="236">
        <f>V61+W61</f>
        <v/>
      </c>
      <c r="Y61" s="236">
        <f>G61+P61</f>
        <v/>
      </c>
      <c r="Z61" s="236">
        <f>H61+Q61</f>
        <v/>
      </c>
      <c r="AA61" s="236">
        <f>Y61+Z61</f>
        <v/>
      </c>
      <c r="AB61" s="239">
        <f>AA61-X61</f>
        <v/>
      </c>
      <c r="AC61" s="237">
        <f>IF(X61=0,"",AA61/X61)</f>
        <v/>
      </c>
      <c r="AD61" s="33" t="n"/>
      <c r="AE61" s="233" t="n"/>
      <c r="AF61" s="233" t="n"/>
      <c r="AG61" s="233">
        <f>AE61+AF61</f>
        <v/>
      </c>
      <c r="AH61" s="233" t="n"/>
      <c r="AI61" s="233" t="n"/>
      <c r="AJ61" s="233">
        <f>AH61+AI61</f>
        <v/>
      </c>
      <c r="AK61" s="238">
        <f>AJ61-AG61</f>
        <v/>
      </c>
      <c r="AL61" s="235">
        <f>IF(AG61=0,"",AJ61/AG61)</f>
        <v/>
      </c>
      <c r="AM61" s="26" t="n"/>
      <c r="AN61" s="236">
        <f>V61+AE61</f>
        <v/>
      </c>
      <c r="AO61" s="236">
        <f>W61+AF61</f>
        <v/>
      </c>
      <c r="AP61" s="236">
        <f>AN61+AO61</f>
        <v/>
      </c>
      <c r="AQ61" s="236">
        <f>Y61+AH61</f>
        <v/>
      </c>
      <c r="AR61" s="236">
        <f>Z61+AI61</f>
        <v/>
      </c>
      <c r="AS61" s="236">
        <f>AQ61+AR61</f>
        <v/>
      </c>
      <c r="AT61" s="239">
        <f>AS61-AP61</f>
        <v/>
      </c>
      <c r="AU61" s="237">
        <f>IF(AP61=0,"",AS61/AP61)</f>
        <v/>
      </c>
      <c r="AV61" s="33" t="n"/>
      <c r="AW61" s="233" t="n"/>
      <c r="AX61" s="233" t="n"/>
      <c r="AY61" s="233">
        <f>AW61+AX61</f>
        <v/>
      </c>
      <c r="AZ61" s="233" t="n"/>
      <c r="BA61" s="233" t="n"/>
      <c r="BB61" s="233">
        <f>AZ61+BA61</f>
        <v/>
      </c>
      <c r="BC61" s="238">
        <f>BB61-AY61</f>
        <v/>
      </c>
      <c r="BD61" s="235">
        <f>IF(AY61=0,"",BB61/AY61)</f>
        <v/>
      </c>
      <c r="BE61" s="26" t="n"/>
      <c r="BF61" s="236">
        <f>AN61+AW61</f>
        <v/>
      </c>
      <c r="BG61" s="236">
        <f>AO61+AX61</f>
        <v/>
      </c>
      <c r="BH61" s="236">
        <f>BF61+BG61</f>
        <v/>
      </c>
      <c r="BI61" s="236">
        <f>AQ61+AZ61</f>
        <v/>
      </c>
      <c r="BJ61" s="236">
        <f>AR61+BA61</f>
        <v/>
      </c>
      <c r="BK61" s="236">
        <f>BI61+BJ61</f>
        <v/>
      </c>
      <c r="BL61" s="239">
        <f>BK61-BH61</f>
        <v/>
      </c>
      <c r="BM61" s="237">
        <f>IF(BH61=0,"",BK61/BH61)</f>
        <v/>
      </c>
      <c r="BN61" s="33" t="n"/>
      <c r="BO61" s="233" t="n"/>
      <c r="BP61" s="233" t="n"/>
      <c r="BQ61" s="233">
        <f>BO61+BP61</f>
        <v/>
      </c>
      <c r="BR61" s="233" t="n"/>
      <c r="BS61" s="233" t="n"/>
      <c r="BT61" s="233">
        <f>BR61+BS61</f>
        <v/>
      </c>
      <c r="BU61" s="238">
        <f>BT61-BQ61</f>
        <v/>
      </c>
      <c r="BV61" s="235">
        <f>IF(BQ61=0,"",BT61/BQ61)</f>
        <v/>
      </c>
      <c r="BW61" s="26" t="n"/>
      <c r="BX61" s="236">
        <f>BF61+BO61</f>
        <v/>
      </c>
      <c r="BY61" s="236">
        <f>BG61+BP61</f>
        <v/>
      </c>
      <c r="BZ61" s="236">
        <f>BX61+BY61</f>
        <v/>
      </c>
      <c r="CA61" s="236">
        <f>BI61+BR61</f>
        <v/>
      </c>
      <c r="CB61" s="236">
        <f>BJ61+BS61</f>
        <v/>
      </c>
      <c r="CC61" s="236">
        <f>CA61+CB61</f>
        <v/>
      </c>
      <c r="CD61" s="239">
        <f>CC61-BZ61</f>
        <v/>
      </c>
      <c r="CE61" s="237">
        <f>IF(BZ61=0,"",CC61/BZ61)</f>
        <v/>
      </c>
      <c r="CF61" s="33" t="n"/>
      <c r="CG61" s="233" t="n"/>
      <c r="CH61" s="233" t="n"/>
      <c r="CI61" s="233">
        <f>CG61+CH61</f>
        <v/>
      </c>
      <c r="CJ61" s="233" t="n"/>
      <c r="CK61" s="233" t="n"/>
      <c r="CL61" s="233">
        <f>CJ61+CK61</f>
        <v/>
      </c>
      <c r="CM61" s="238">
        <f>CL61-CI61</f>
        <v/>
      </c>
      <c r="CN61" s="235">
        <f>IF(CI61=0,"",CL61/CI61)</f>
        <v/>
      </c>
      <c r="CO61" s="26" t="n"/>
      <c r="CP61" s="236">
        <f>BX61+CG61</f>
        <v/>
      </c>
      <c r="CQ61" s="236">
        <f>BY61+CH61</f>
        <v/>
      </c>
      <c r="CR61" s="236">
        <f>CP61+CQ61</f>
        <v/>
      </c>
      <c r="CS61" s="236">
        <f>CA61+CJ61</f>
        <v/>
      </c>
      <c r="CT61" s="236">
        <f>CB61+CK61</f>
        <v/>
      </c>
      <c r="CU61" s="236">
        <f>CS61+CT61</f>
        <v/>
      </c>
      <c r="CV61" s="239">
        <f>CU61-CR61</f>
        <v/>
      </c>
      <c r="CW61" s="237">
        <f>IF(CR61=0,"",CU61/CR61)</f>
        <v/>
      </c>
      <c r="CX61" s="33" t="n"/>
      <c r="CY61" s="233" t="n"/>
      <c r="CZ61" s="233" t="n"/>
      <c r="DA61" s="233">
        <f>CY61+CZ61</f>
        <v/>
      </c>
      <c r="DB61" s="233" t="n"/>
      <c r="DC61" s="233" t="n"/>
      <c r="DD61" s="233">
        <f>DB61+DC61</f>
        <v/>
      </c>
      <c r="DE61" s="238">
        <f>DD61-DA61</f>
        <v/>
      </c>
      <c r="DF61" s="235">
        <f>IF(DA61=0,"",DD61/DA61)</f>
        <v/>
      </c>
      <c r="DG61" s="26" t="n"/>
      <c r="DH61" s="236">
        <f>CP61+CY61</f>
        <v/>
      </c>
      <c r="DI61" s="236">
        <f>CQ61+CZ61</f>
        <v/>
      </c>
      <c r="DJ61" s="236">
        <f>DH61+DI61</f>
        <v/>
      </c>
      <c r="DK61" s="236">
        <f>CS61+DB61</f>
        <v/>
      </c>
      <c r="DL61" s="236">
        <f>CT61+DC61</f>
        <v/>
      </c>
      <c r="DM61" s="236">
        <f>DK61+DL61</f>
        <v/>
      </c>
      <c r="DN61" s="239">
        <f>DM61-DJ61</f>
        <v/>
      </c>
      <c r="DO61" s="237">
        <f>IF(DJ61=0,"",DM61/DJ61)</f>
        <v/>
      </c>
      <c r="DP61" s="33" t="n"/>
      <c r="DQ61" s="233" t="n"/>
      <c r="DR61" s="233" t="n"/>
      <c r="DS61" s="233">
        <f>DQ61+DR61</f>
        <v/>
      </c>
      <c r="DT61" s="233" t="n"/>
      <c r="DU61" s="233" t="n"/>
      <c r="DV61" s="233">
        <f>DT61+DU61</f>
        <v/>
      </c>
      <c r="DW61" s="238">
        <f>DV61-DS61</f>
        <v/>
      </c>
      <c r="DX61" s="235">
        <f>IF(DS61=0,"",DV61/DS61)</f>
        <v/>
      </c>
      <c r="DY61" s="26" t="n"/>
      <c r="DZ61" s="236">
        <f>DH61+DQ61</f>
        <v/>
      </c>
      <c r="EA61" s="236">
        <f>DI61+DR61</f>
        <v/>
      </c>
      <c r="EB61" s="236">
        <f>DZ61+EA61</f>
        <v/>
      </c>
      <c r="EC61" s="236">
        <f>DK61+DT61</f>
        <v/>
      </c>
      <c r="ED61" s="236">
        <f>DL61+DU61</f>
        <v/>
      </c>
      <c r="EE61" s="236">
        <f>EC61+ED61</f>
        <v/>
      </c>
      <c r="EF61" s="239">
        <f>EE61-EB61</f>
        <v/>
      </c>
      <c r="EG61" s="237">
        <f>IF(EB61=0,"",EE61/EB61)</f>
        <v/>
      </c>
      <c r="EH61" s="33" t="n"/>
      <c r="EI61" s="233" t="n"/>
      <c r="EJ61" s="233" t="n"/>
      <c r="EK61" s="233">
        <f>EI61+EJ61</f>
        <v/>
      </c>
      <c r="EL61" s="233" t="n"/>
      <c r="EM61" s="233" t="n"/>
      <c r="EN61" s="233">
        <f>EL61+EM61</f>
        <v/>
      </c>
      <c r="EO61" s="238">
        <f>EN61-EK61</f>
        <v/>
      </c>
      <c r="EP61" s="235">
        <f>IF(EK61=0,"",EN61/EK61)</f>
        <v/>
      </c>
      <c r="EQ61" s="26" t="n"/>
      <c r="ER61" s="236">
        <f>DZ61+EI61</f>
        <v/>
      </c>
      <c r="ES61" s="236">
        <f>EA61+EJ61</f>
        <v/>
      </c>
      <c r="ET61" s="236">
        <f>ER61+ES61</f>
        <v/>
      </c>
      <c r="EU61" s="236">
        <f>EC61+EL61</f>
        <v/>
      </c>
      <c r="EV61" s="236">
        <f>ED61+EM61</f>
        <v/>
      </c>
      <c r="EW61" s="236">
        <f>EU61+EV61</f>
        <v/>
      </c>
      <c r="EX61" s="239">
        <f>EW61-ET61</f>
        <v/>
      </c>
      <c r="EY61" s="237">
        <f>IF(ET61=0,"",EW61/ET61)</f>
        <v/>
      </c>
      <c r="EZ61" s="33" t="n"/>
      <c r="FA61" s="233" t="n"/>
      <c r="FB61" s="233" t="n"/>
      <c r="FC61" s="233">
        <f>FA61+FB61</f>
        <v/>
      </c>
      <c r="FD61" s="233" t="n"/>
      <c r="FE61" s="233" t="n"/>
      <c r="FF61" s="233">
        <f>FD61+FE61</f>
        <v/>
      </c>
      <c r="FG61" s="238">
        <f>FF61-FC61</f>
        <v/>
      </c>
      <c r="FH61" s="235">
        <f>IF(FC61=0,"",FF61/FC61)</f>
        <v/>
      </c>
      <c r="FI61" s="26" t="n"/>
      <c r="FJ61" s="236">
        <f>ER61+FA61</f>
        <v/>
      </c>
      <c r="FK61" s="236">
        <f>ES61+FB61</f>
        <v/>
      </c>
      <c r="FL61" s="236">
        <f>FJ61+FK61</f>
        <v/>
      </c>
      <c r="FM61" s="236">
        <f>EU61+FD61</f>
        <v/>
      </c>
      <c r="FN61" s="236">
        <f>EV61+FE61</f>
        <v/>
      </c>
      <c r="FO61" s="236">
        <f>FM61+FN61</f>
        <v/>
      </c>
      <c r="FP61" s="239">
        <f>FO61-FL61</f>
        <v/>
      </c>
      <c r="FQ61" s="237">
        <f>IF(FL61=0,"",FO61/FL61)</f>
        <v/>
      </c>
      <c r="FR61" s="33" t="n"/>
      <c r="FS61" s="233" t="n"/>
      <c r="FT61" s="233" t="n"/>
      <c r="FU61" s="233">
        <f>FS61+FT61</f>
        <v/>
      </c>
      <c r="FV61" s="233" t="n"/>
      <c r="FW61" s="233" t="n"/>
      <c r="FX61" s="233">
        <f>FV61+FW61</f>
        <v/>
      </c>
      <c r="FY61" s="238">
        <f>FX61-FU61</f>
        <v/>
      </c>
      <c r="FZ61" s="235">
        <f>IF(FU61=0,"",FX61/FU61)</f>
        <v/>
      </c>
      <c r="GA61" s="26" t="n"/>
      <c r="GB61" s="236">
        <f>FJ61+FS61</f>
        <v/>
      </c>
      <c r="GC61" s="236">
        <f>FK61+FT61</f>
        <v/>
      </c>
      <c r="GD61" s="236">
        <f>GB61+GC61</f>
        <v/>
      </c>
      <c r="GE61" s="236">
        <f>FM61+FV61</f>
        <v/>
      </c>
      <c r="GF61" s="236">
        <f>FN61+FW61</f>
        <v/>
      </c>
      <c r="GG61" s="236">
        <f>GE61+GF61</f>
        <v/>
      </c>
      <c r="GH61" s="239">
        <f>GG61-GD61</f>
        <v/>
      </c>
      <c r="GI61" s="237">
        <f>IF(GD61=0,"",GG61/GD61)</f>
        <v/>
      </c>
      <c r="GJ61" s="33" t="n"/>
      <c r="GK61" s="233" t="n"/>
      <c r="GL61" s="233" t="n"/>
      <c r="GM61" s="233">
        <f>GK61+GL61</f>
        <v/>
      </c>
      <c r="GN61" s="233" t="n"/>
      <c r="GO61" s="233" t="n"/>
      <c r="GP61" s="233">
        <f>GN61+GO61</f>
        <v/>
      </c>
      <c r="GQ61" s="238">
        <f>GP61-GM61</f>
        <v/>
      </c>
      <c r="GR61" s="235">
        <f>IF(GM61=0,"",GP61/GM61)</f>
        <v/>
      </c>
      <c r="GS61" s="26" t="n"/>
      <c r="GT61" s="236">
        <f>GB61+GK61</f>
        <v/>
      </c>
      <c r="GU61" s="236">
        <f>GC61+GL61</f>
        <v/>
      </c>
      <c r="GV61" s="236">
        <f>GT61+GU61</f>
        <v/>
      </c>
      <c r="GW61" s="236">
        <f>GE61+GN61</f>
        <v/>
      </c>
      <c r="GX61" s="236">
        <f>GF61+GO61</f>
        <v/>
      </c>
      <c r="GY61" s="236">
        <f>GW61+GX61</f>
        <v/>
      </c>
      <c r="GZ61" s="239">
        <f>GY61-GV61</f>
        <v/>
      </c>
      <c r="HA61" s="237">
        <f>IF(GV61=0,"",GY61/GV61)</f>
        <v/>
      </c>
      <c r="HB61" s="33" t="n"/>
      <c r="HC61" s="233">
        <f>GT61</f>
        <v/>
      </c>
      <c r="HD61" s="233">
        <f>GU61</f>
        <v/>
      </c>
      <c r="HE61" s="233">
        <f>HC61+HD61</f>
        <v/>
      </c>
    </row>
    <row r="62" outlineLevel="1" ht="15" customHeight="1" s="150">
      <c r="A62" s="26" t="n"/>
      <c r="B62" s="26" t="n"/>
      <c r="C62" s="26" t="n"/>
      <c r="D62" s="233" t="n"/>
      <c r="E62" s="233" t="n"/>
      <c r="F62" s="233">
        <f>D62+E62</f>
        <v/>
      </c>
      <c r="G62" s="233" t="n"/>
      <c r="H62" s="233" t="n"/>
      <c r="I62" s="233">
        <f>G62+H62</f>
        <v/>
      </c>
      <c r="J62" s="238">
        <f>I62-F62</f>
        <v/>
      </c>
      <c r="K62" s="235">
        <f>IF(F62=0,"",I62/F62)</f>
        <v/>
      </c>
      <c r="L62" s="26" t="n"/>
      <c r="M62" s="233" t="n"/>
      <c r="N62" s="233" t="n"/>
      <c r="O62" s="233">
        <f>M62+N62</f>
        <v/>
      </c>
      <c r="P62" s="233" t="n"/>
      <c r="Q62" s="233" t="n"/>
      <c r="R62" s="233">
        <f>P62+Q62</f>
        <v/>
      </c>
      <c r="S62" s="238">
        <f>R62-O62</f>
        <v/>
      </c>
      <c r="T62" s="235">
        <f>IF(O62=0,"",R62/O62)</f>
        <v/>
      </c>
      <c r="U62" s="26" t="n"/>
      <c r="V62" s="236">
        <f>D62+M62</f>
        <v/>
      </c>
      <c r="W62" s="236">
        <f>E62+N62</f>
        <v/>
      </c>
      <c r="X62" s="236">
        <f>V62+W62</f>
        <v/>
      </c>
      <c r="Y62" s="236">
        <f>G62+P62</f>
        <v/>
      </c>
      <c r="Z62" s="236">
        <f>H62+Q62</f>
        <v/>
      </c>
      <c r="AA62" s="236">
        <f>Y62+Z62</f>
        <v/>
      </c>
      <c r="AB62" s="239">
        <f>AA62-X62</f>
        <v/>
      </c>
      <c r="AC62" s="237">
        <f>IF(X62=0,"",AA62/X62)</f>
        <v/>
      </c>
      <c r="AD62" s="33" t="n"/>
      <c r="AE62" s="233" t="n"/>
      <c r="AF62" s="233" t="n"/>
      <c r="AG62" s="233">
        <f>AE62+AF62</f>
        <v/>
      </c>
      <c r="AH62" s="233" t="n"/>
      <c r="AI62" s="233" t="n"/>
      <c r="AJ62" s="233">
        <f>AH62+AI62</f>
        <v/>
      </c>
      <c r="AK62" s="238">
        <f>AJ62-AG62</f>
        <v/>
      </c>
      <c r="AL62" s="235">
        <f>IF(AG62=0,"",AJ62/AG62)</f>
        <v/>
      </c>
      <c r="AM62" s="26" t="n"/>
      <c r="AN62" s="236">
        <f>V62+AE62</f>
        <v/>
      </c>
      <c r="AO62" s="236">
        <f>W62+AF62</f>
        <v/>
      </c>
      <c r="AP62" s="236">
        <f>AN62+AO62</f>
        <v/>
      </c>
      <c r="AQ62" s="236">
        <f>Y62+AH62</f>
        <v/>
      </c>
      <c r="AR62" s="236">
        <f>Z62+AI62</f>
        <v/>
      </c>
      <c r="AS62" s="236">
        <f>AQ62+AR62</f>
        <v/>
      </c>
      <c r="AT62" s="239">
        <f>AS62-AP62</f>
        <v/>
      </c>
      <c r="AU62" s="237">
        <f>IF(AP62=0,"",AS62/AP62)</f>
        <v/>
      </c>
      <c r="AV62" s="33" t="n"/>
      <c r="AW62" s="233" t="n"/>
      <c r="AX62" s="233" t="n"/>
      <c r="AY62" s="233">
        <f>AW62+AX62</f>
        <v/>
      </c>
      <c r="AZ62" s="233" t="n"/>
      <c r="BA62" s="233" t="n"/>
      <c r="BB62" s="233">
        <f>AZ62+BA62</f>
        <v/>
      </c>
      <c r="BC62" s="238">
        <f>BB62-AY62</f>
        <v/>
      </c>
      <c r="BD62" s="235">
        <f>IF(AY62=0,"",BB62/AY62)</f>
        <v/>
      </c>
      <c r="BE62" s="26" t="n"/>
      <c r="BF62" s="236">
        <f>AN62+AW62</f>
        <v/>
      </c>
      <c r="BG62" s="236">
        <f>AO62+AX62</f>
        <v/>
      </c>
      <c r="BH62" s="236">
        <f>BF62+BG62</f>
        <v/>
      </c>
      <c r="BI62" s="236">
        <f>AQ62+AZ62</f>
        <v/>
      </c>
      <c r="BJ62" s="236">
        <f>AR62+BA62</f>
        <v/>
      </c>
      <c r="BK62" s="236">
        <f>BI62+BJ62</f>
        <v/>
      </c>
      <c r="BL62" s="239">
        <f>BK62-BH62</f>
        <v/>
      </c>
      <c r="BM62" s="237">
        <f>IF(BH62=0,"",BK62/BH62)</f>
        <v/>
      </c>
      <c r="BN62" s="33" t="n"/>
      <c r="BO62" s="233" t="n"/>
      <c r="BP62" s="233" t="n"/>
      <c r="BQ62" s="233">
        <f>BO62+BP62</f>
        <v/>
      </c>
      <c r="BR62" s="233" t="n"/>
      <c r="BS62" s="233" t="n"/>
      <c r="BT62" s="233">
        <f>BR62+BS62</f>
        <v/>
      </c>
      <c r="BU62" s="238">
        <f>BT62-BQ62</f>
        <v/>
      </c>
      <c r="BV62" s="235">
        <f>IF(BQ62=0,"",BT62/BQ62)</f>
        <v/>
      </c>
      <c r="BW62" s="26" t="n"/>
      <c r="BX62" s="236">
        <f>BF62+BO62</f>
        <v/>
      </c>
      <c r="BY62" s="236">
        <f>BG62+BP62</f>
        <v/>
      </c>
      <c r="BZ62" s="236">
        <f>BX62+BY62</f>
        <v/>
      </c>
      <c r="CA62" s="236">
        <f>BI62+BR62</f>
        <v/>
      </c>
      <c r="CB62" s="236">
        <f>BJ62+BS62</f>
        <v/>
      </c>
      <c r="CC62" s="236">
        <f>CA62+CB62</f>
        <v/>
      </c>
      <c r="CD62" s="239">
        <f>CC62-BZ62</f>
        <v/>
      </c>
      <c r="CE62" s="237">
        <f>IF(BZ62=0,"",CC62/BZ62)</f>
        <v/>
      </c>
      <c r="CF62" s="33" t="n"/>
      <c r="CG62" s="233" t="n"/>
      <c r="CH62" s="233" t="n"/>
      <c r="CI62" s="233">
        <f>CG62+CH62</f>
        <v/>
      </c>
      <c r="CJ62" s="233" t="n"/>
      <c r="CK62" s="233" t="n"/>
      <c r="CL62" s="233">
        <f>CJ62+CK62</f>
        <v/>
      </c>
      <c r="CM62" s="238">
        <f>CL62-CI62</f>
        <v/>
      </c>
      <c r="CN62" s="235">
        <f>IF(CI62=0,"",CL62/CI62)</f>
        <v/>
      </c>
      <c r="CO62" s="26" t="n"/>
      <c r="CP62" s="236">
        <f>BX62+CG62</f>
        <v/>
      </c>
      <c r="CQ62" s="236">
        <f>BY62+CH62</f>
        <v/>
      </c>
      <c r="CR62" s="236">
        <f>CP62+CQ62</f>
        <v/>
      </c>
      <c r="CS62" s="236">
        <f>CA62+CJ62</f>
        <v/>
      </c>
      <c r="CT62" s="236">
        <f>CB62+CK62</f>
        <v/>
      </c>
      <c r="CU62" s="236">
        <f>CS62+CT62</f>
        <v/>
      </c>
      <c r="CV62" s="239">
        <f>CU62-CR62</f>
        <v/>
      </c>
      <c r="CW62" s="237">
        <f>IF(CR62=0,"",CU62/CR62)</f>
        <v/>
      </c>
      <c r="CX62" s="33" t="n"/>
      <c r="CY62" s="233" t="n"/>
      <c r="CZ62" s="233" t="n"/>
      <c r="DA62" s="233">
        <f>CY62+CZ62</f>
        <v/>
      </c>
      <c r="DB62" s="233" t="n"/>
      <c r="DC62" s="233" t="n"/>
      <c r="DD62" s="233">
        <f>DB62+DC62</f>
        <v/>
      </c>
      <c r="DE62" s="238">
        <f>DD62-DA62</f>
        <v/>
      </c>
      <c r="DF62" s="235">
        <f>IF(DA62=0,"",DD62/DA62)</f>
        <v/>
      </c>
      <c r="DG62" s="26" t="n"/>
      <c r="DH62" s="236">
        <f>CP62+CY62</f>
        <v/>
      </c>
      <c r="DI62" s="236">
        <f>CQ62+CZ62</f>
        <v/>
      </c>
      <c r="DJ62" s="236">
        <f>DH62+DI62</f>
        <v/>
      </c>
      <c r="DK62" s="236">
        <f>CS62+DB62</f>
        <v/>
      </c>
      <c r="DL62" s="236">
        <f>CT62+DC62</f>
        <v/>
      </c>
      <c r="DM62" s="236">
        <f>DK62+DL62</f>
        <v/>
      </c>
      <c r="DN62" s="239">
        <f>DM62-DJ62</f>
        <v/>
      </c>
      <c r="DO62" s="237">
        <f>IF(DJ62=0,"",DM62/DJ62)</f>
        <v/>
      </c>
      <c r="DP62" s="33" t="n"/>
      <c r="DQ62" s="233" t="n"/>
      <c r="DR62" s="233" t="n"/>
      <c r="DS62" s="233">
        <f>DQ62+DR62</f>
        <v/>
      </c>
      <c r="DT62" s="233" t="n"/>
      <c r="DU62" s="233" t="n"/>
      <c r="DV62" s="233">
        <f>DT62+DU62</f>
        <v/>
      </c>
      <c r="DW62" s="238">
        <f>DV62-DS62</f>
        <v/>
      </c>
      <c r="DX62" s="235">
        <f>IF(DS62=0,"",DV62/DS62)</f>
        <v/>
      </c>
      <c r="DY62" s="26" t="n"/>
      <c r="DZ62" s="236">
        <f>DH62+DQ62</f>
        <v/>
      </c>
      <c r="EA62" s="236">
        <f>DI62+DR62</f>
        <v/>
      </c>
      <c r="EB62" s="236">
        <f>DZ62+EA62</f>
        <v/>
      </c>
      <c r="EC62" s="236">
        <f>DK62+DT62</f>
        <v/>
      </c>
      <c r="ED62" s="236">
        <f>DL62+DU62</f>
        <v/>
      </c>
      <c r="EE62" s="236">
        <f>EC62+ED62</f>
        <v/>
      </c>
      <c r="EF62" s="239">
        <f>EE62-EB62</f>
        <v/>
      </c>
      <c r="EG62" s="237">
        <f>IF(EB62=0,"",EE62/EB62)</f>
        <v/>
      </c>
      <c r="EH62" s="33" t="n"/>
      <c r="EI62" s="233" t="n"/>
      <c r="EJ62" s="233" t="n"/>
      <c r="EK62" s="233">
        <f>EI62+EJ62</f>
        <v/>
      </c>
      <c r="EL62" s="233" t="n"/>
      <c r="EM62" s="233" t="n"/>
      <c r="EN62" s="233">
        <f>EL62+EM62</f>
        <v/>
      </c>
      <c r="EO62" s="238">
        <f>EN62-EK62</f>
        <v/>
      </c>
      <c r="EP62" s="235">
        <f>IF(EK62=0,"",EN62/EK62)</f>
        <v/>
      </c>
      <c r="EQ62" s="26" t="n"/>
      <c r="ER62" s="236">
        <f>DZ62+EI62</f>
        <v/>
      </c>
      <c r="ES62" s="236">
        <f>EA62+EJ62</f>
        <v/>
      </c>
      <c r="ET62" s="236">
        <f>ER62+ES62</f>
        <v/>
      </c>
      <c r="EU62" s="236">
        <f>EC62+EL62</f>
        <v/>
      </c>
      <c r="EV62" s="236">
        <f>ED62+EM62</f>
        <v/>
      </c>
      <c r="EW62" s="236">
        <f>EU62+EV62</f>
        <v/>
      </c>
      <c r="EX62" s="239">
        <f>EW62-ET62</f>
        <v/>
      </c>
      <c r="EY62" s="237">
        <f>IF(ET62=0,"",EW62/ET62)</f>
        <v/>
      </c>
      <c r="EZ62" s="33" t="n"/>
      <c r="FA62" s="233" t="n"/>
      <c r="FB62" s="233" t="n"/>
      <c r="FC62" s="233">
        <f>FA62+FB62</f>
        <v/>
      </c>
      <c r="FD62" s="233" t="n"/>
      <c r="FE62" s="233" t="n"/>
      <c r="FF62" s="233">
        <f>FD62+FE62</f>
        <v/>
      </c>
      <c r="FG62" s="238">
        <f>FF62-FC62</f>
        <v/>
      </c>
      <c r="FH62" s="235">
        <f>IF(FC62=0,"",FF62/FC62)</f>
        <v/>
      </c>
      <c r="FI62" s="26" t="n"/>
      <c r="FJ62" s="236">
        <f>ER62+FA62</f>
        <v/>
      </c>
      <c r="FK62" s="236">
        <f>ES62+FB62</f>
        <v/>
      </c>
      <c r="FL62" s="236">
        <f>FJ62+FK62</f>
        <v/>
      </c>
      <c r="FM62" s="236">
        <f>EU62+FD62</f>
        <v/>
      </c>
      <c r="FN62" s="236">
        <f>EV62+FE62</f>
        <v/>
      </c>
      <c r="FO62" s="236">
        <f>FM62+FN62</f>
        <v/>
      </c>
      <c r="FP62" s="239">
        <f>FO62-FL62</f>
        <v/>
      </c>
      <c r="FQ62" s="237">
        <f>IF(FL62=0,"",FO62/FL62)</f>
        <v/>
      </c>
      <c r="FR62" s="33" t="n"/>
      <c r="FS62" s="233" t="n"/>
      <c r="FT62" s="233" t="n"/>
      <c r="FU62" s="233">
        <f>FS62+FT62</f>
        <v/>
      </c>
      <c r="FV62" s="233" t="n"/>
      <c r="FW62" s="233" t="n"/>
      <c r="FX62" s="233">
        <f>FV62+FW62</f>
        <v/>
      </c>
      <c r="FY62" s="238">
        <f>FX62-FU62</f>
        <v/>
      </c>
      <c r="FZ62" s="235">
        <f>IF(FU62=0,"",FX62/FU62)</f>
        <v/>
      </c>
      <c r="GA62" s="26" t="n"/>
      <c r="GB62" s="236">
        <f>FJ62+FS62</f>
        <v/>
      </c>
      <c r="GC62" s="236">
        <f>FK62+FT62</f>
        <v/>
      </c>
      <c r="GD62" s="236">
        <f>GB62+GC62</f>
        <v/>
      </c>
      <c r="GE62" s="236">
        <f>FM62+FV62</f>
        <v/>
      </c>
      <c r="GF62" s="236">
        <f>FN62+FW62</f>
        <v/>
      </c>
      <c r="GG62" s="236">
        <f>GE62+GF62</f>
        <v/>
      </c>
      <c r="GH62" s="239">
        <f>GG62-GD62</f>
        <v/>
      </c>
      <c r="GI62" s="237">
        <f>IF(GD62=0,"",GG62/GD62)</f>
        <v/>
      </c>
      <c r="GJ62" s="33" t="n"/>
      <c r="GK62" s="233" t="n"/>
      <c r="GL62" s="233" t="n"/>
      <c r="GM62" s="233">
        <f>GK62+GL62</f>
        <v/>
      </c>
      <c r="GN62" s="233" t="n"/>
      <c r="GO62" s="233" t="n"/>
      <c r="GP62" s="233">
        <f>GN62+GO62</f>
        <v/>
      </c>
      <c r="GQ62" s="238">
        <f>GP62-GM62</f>
        <v/>
      </c>
      <c r="GR62" s="235">
        <f>IF(GM62=0,"",GP62/GM62)</f>
        <v/>
      </c>
      <c r="GS62" s="26" t="n"/>
      <c r="GT62" s="236">
        <f>GB62+GK62</f>
        <v/>
      </c>
      <c r="GU62" s="236">
        <f>GC62+GL62</f>
        <v/>
      </c>
      <c r="GV62" s="236">
        <f>GT62+GU62</f>
        <v/>
      </c>
      <c r="GW62" s="236">
        <f>GE62+GN62</f>
        <v/>
      </c>
      <c r="GX62" s="236">
        <f>GF62+GO62</f>
        <v/>
      </c>
      <c r="GY62" s="236">
        <f>GW62+GX62</f>
        <v/>
      </c>
      <c r="GZ62" s="239">
        <f>GY62-GV62</f>
        <v/>
      </c>
      <c r="HA62" s="237">
        <f>IF(GV62=0,"",GY62/GV62)</f>
        <v/>
      </c>
      <c r="HB62" s="33" t="n"/>
      <c r="HC62" s="233">
        <f>GT62</f>
        <v/>
      </c>
      <c r="HD62" s="233">
        <f>GU62</f>
        <v/>
      </c>
      <c r="HE62" s="233">
        <f>HC62+HD62</f>
        <v/>
      </c>
    </row>
    <row r="63" ht="15" customHeight="1" s="150">
      <c r="A63" s="12" t="n"/>
      <c r="B63" s="12" t="n"/>
      <c r="C63" s="12" t="n"/>
      <c r="D63" s="240">
        <f>SUM(D64,D68,D70,D72)</f>
        <v/>
      </c>
      <c r="E63" s="240">
        <f>SUM(E64,E68,E70,E72)</f>
        <v/>
      </c>
      <c r="F63" s="240">
        <f>D63+E63</f>
        <v/>
      </c>
      <c r="G63" s="240">
        <f>SUM(G64,G68,G70,G72)</f>
        <v/>
      </c>
      <c r="H63" s="240">
        <f>SUM(H64,H68,H70,H72)</f>
        <v/>
      </c>
      <c r="I63" s="240">
        <f>G63+H63</f>
        <v/>
      </c>
      <c r="J63" s="240">
        <f>I63-F63</f>
        <v/>
      </c>
      <c r="K63" s="241">
        <f>IF(F63=0,"",I63/F63)</f>
        <v/>
      </c>
      <c r="L63" s="12" t="n"/>
      <c r="M63" s="240">
        <f>SUM(M64,M68,M70,M72)</f>
        <v/>
      </c>
      <c r="N63" s="240">
        <f>SUM(N64,N68,N70,N72)</f>
        <v/>
      </c>
      <c r="O63" s="240">
        <f>M63+N63</f>
        <v/>
      </c>
      <c r="P63" s="240">
        <f>SUM(P64,P68,P70,P72)</f>
        <v/>
      </c>
      <c r="Q63" s="240">
        <f>SUM(Q64,Q68,Q70,Q72)</f>
        <v/>
      </c>
      <c r="R63" s="240">
        <f>P63+Q63</f>
        <v/>
      </c>
      <c r="S63" s="240">
        <f>R63-O63</f>
        <v/>
      </c>
      <c r="T63" s="241">
        <f>IF(O63=0,"",R63/O63)</f>
        <v/>
      </c>
      <c r="U63" s="12" t="n"/>
      <c r="V63" s="242">
        <f>SUM(V64,V68,V70,V72)</f>
        <v/>
      </c>
      <c r="W63" s="242">
        <f>SUM(W64,W68,W70,W72)</f>
        <v/>
      </c>
      <c r="X63" s="242">
        <f>V63+W63</f>
        <v/>
      </c>
      <c r="Y63" s="242">
        <f>SUM(Y64,Y68,Y70,Y72)</f>
        <v/>
      </c>
      <c r="Z63" s="242">
        <f>SUM(Z64,Z68,Z70,Z72)</f>
        <v/>
      </c>
      <c r="AA63" s="242">
        <f>Y63+Z63</f>
        <v/>
      </c>
      <c r="AB63" s="242">
        <f>AA63-X63</f>
        <v/>
      </c>
      <c r="AC63" s="243">
        <f>IF(X63=0,"",AA63/X63)</f>
        <v/>
      </c>
      <c r="AD63" s="17" t="n"/>
      <c r="AE63" s="240">
        <f>SUM(AE64,AE68,AE70,AE72)</f>
        <v/>
      </c>
      <c r="AF63" s="240">
        <f>SUM(AF64,AF68,AF70,AF72)</f>
        <v/>
      </c>
      <c r="AG63" s="240">
        <f>AE63+AF63</f>
        <v/>
      </c>
      <c r="AH63" s="240">
        <f>SUM(AH64,AH68,AH70,AH72)</f>
        <v/>
      </c>
      <c r="AI63" s="240">
        <f>SUM(AI64,AI68,AI70,AI72)</f>
        <v/>
      </c>
      <c r="AJ63" s="240">
        <f>AH63+AI63</f>
        <v/>
      </c>
      <c r="AK63" s="240">
        <f>AJ63-AG63</f>
        <v/>
      </c>
      <c r="AL63" s="241">
        <f>IF(AG63=0,"",AJ63/AG63)</f>
        <v/>
      </c>
      <c r="AM63" s="12" t="n"/>
      <c r="AN63" s="242">
        <f>SUM(AN64,AN68,AN70,AN72)</f>
        <v/>
      </c>
      <c r="AO63" s="242">
        <f>SUM(AO64,AO68,AO70,AO72)</f>
        <v/>
      </c>
      <c r="AP63" s="242">
        <f>AN63+AO63</f>
        <v/>
      </c>
      <c r="AQ63" s="242">
        <f>SUM(AQ64,AQ68,AQ70,AQ72)</f>
        <v/>
      </c>
      <c r="AR63" s="242">
        <f>SUM(AR64,AR68,AR70,AR72)</f>
        <v/>
      </c>
      <c r="AS63" s="242">
        <f>AQ63+AR63</f>
        <v/>
      </c>
      <c r="AT63" s="242">
        <f>AS63-AP63</f>
        <v/>
      </c>
      <c r="AU63" s="243">
        <f>IF(AP63=0,"",AS63/AP63)</f>
        <v/>
      </c>
      <c r="AV63" s="17" t="n"/>
      <c r="AW63" s="240">
        <f>SUM(AW64,AW68,AW70,AW72)</f>
        <v/>
      </c>
      <c r="AX63" s="240">
        <f>SUM(AX64,AX68,AX70,AX72)</f>
        <v/>
      </c>
      <c r="AY63" s="240">
        <f>AW63+AX63</f>
        <v/>
      </c>
      <c r="AZ63" s="240">
        <f>SUM(AZ64,AZ68,AZ70,AZ72)</f>
        <v/>
      </c>
      <c r="BA63" s="240">
        <f>SUM(BA64,BA68,BA70,BA72)</f>
        <v/>
      </c>
      <c r="BB63" s="240">
        <f>AZ63+BA63</f>
        <v/>
      </c>
      <c r="BC63" s="240">
        <f>BB63-AY63</f>
        <v/>
      </c>
      <c r="BD63" s="241">
        <f>IF(AY63=0,"",BB63/AY63)</f>
        <v/>
      </c>
      <c r="BE63" s="12" t="n"/>
      <c r="BF63" s="242">
        <f>SUM(BF64,BF68,BF70,BF72)</f>
        <v/>
      </c>
      <c r="BG63" s="242">
        <f>SUM(BG64,BG68,BG70,BG72)</f>
        <v/>
      </c>
      <c r="BH63" s="242">
        <f>BF63+BG63</f>
        <v/>
      </c>
      <c r="BI63" s="242">
        <f>SUM(BI64,BI68,BI70,BI72)</f>
        <v/>
      </c>
      <c r="BJ63" s="242">
        <f>SUM(BJ64,BJ68,BJ70,BJ72)</f>
        <v/>
      </c>
      <c r="BK63" s="242">
        <f>BI63+BJ63</f>
        <v/>
      </c>
      <c r="BL63" s="242">
        <f>BK63-BH63</f>
        <v/>
      </c>
      <c r="BM63" s="243">
        <f>IF(BH63=0,"",BK63/BH63)</f>
        <v/>
      </c>
      <c r="BN63" s="17" t="n"/>
      <c r="BO63" s="240">
        <f>SUM(BO64,BO68,BO70,BO72)</f>
        <v/>
      </c>
      <c r="BP63" s="240">
        <f>SUM(BP64,BP68,BP70,BP72)</f>
        <v/>
      </c>
      <c r="BQ63" s="240">
        <f>BO63+BP63</f>
        <v/>
      </c>
      <c r="BR63" s="240">
        <f>SUM(BR64,BR68,BR70,BR72)</f>
        <v/>
      </c>
      <c r="BS63" s="240">
        <f>SUM(BS64,BS68,BS70,BS72)</f>
        <v/>
      </c>
      <c r="BT63" s="240">
        <f>BR63+BS63</f>
        <v/>
      </c>
      <c r="BU63" s="240">
        <f>BT63-BQ63</f>
        <v/>
      </c>
      <c r="BV63" s="241">
        <f>IF(BQ63=0,"",BT63/BQ63)</f>
        <v/>
      </c>
      <c r="BW63" s="12" t="n"/>
      <c r="BX63" s="242">
        <f>SUM(BX64,BX68,BX70,BX72)</f>
        <v/>
      </c>
      <c r="BY63" s="242">
        <f>SUM(BY64,BY68,BY70,BY72)</f>
        <v/>
      </c>
      <c r="BZ63" s="242">
        <f>BX63+BY63</f>
        <v/>
      </c>
      <c r="CA63" s="242">
        <f>SUM(CA64,CA68,CA70,CA72)</f>
        <v/>
      </c>
      <c r="CB63" s="242">
        <f>SUM(CB64,CB68,CB70,CB72)</f>
        <v/>
      </c>
      <c r="CC63" s="242">
        <f>CA63+CB63</f>
        <v/>
      </c>
      <c r="CD63" s="242">
        <f>CC63-BZ63</f>
        <v/>
      </c>
      <c r="CE63" s="243">
        <f>IF(BZ63=0,"",CC63/BZ63)</f>
        <v/>
      </c>
      <c r="CF63" s="17" t="n"/>
      <c r="CG63" s="240">
        <f>SUM(CG64,CG68,CG70,CG72)</f>
        <v/>
      </c>
      <c r="CH63" s="240">
        <f>SUM(CH64,CH68,CH70,CH72)</f>
        <v/>
      </c>
      <c r="CI63" s="240">
        <f>CG63+CH63</f>
        <v/>
      </c>
      <c r="CJ63" s="240">
        <f>SUM(CJ64,CJ68,CJ70,CJ72)</f>
        <v/>
      </c>
      <c r="CK63" s="240">
        <f>SUM(CK64,CK68,CK70,CK72)</f>
        <v/>
      </c>
      <c r="CL63" s="240">
        <f>CJ63+CK63</f>
        <v/>
      </c>
      <c r="CM63" s="240">
        <f>CL63-CI63</f>
        <v/>
      </c>
      <c r="CN63" s="241">
        <f>IF(CI63=0,"",CL63/CI63)</f>
        <v/>
      </c>
      <c r="CO63" s="12" t="n"/>
      <c r="CP63" s="242">
        <f>SUM(CP64,CP68,CP70,CP72)</f>
        <v/>
      </c>
      <c r="CQ63" s="242">
        <f>SUM(CQ64,CQ68,CQ70,CQ72)</f>
        <v/>
      </c>
      <c r="CR63" s="242">
        <f>CP63+CQ63</f>
        <v/>
      </c>
      <c r="CS63" s="242">
        <f>SUM(CS64,CS68,CS70,CS72)</f>
        <v/>
      </c>
      <c r="CT63" s="242">
        <f>SUM(CT64,CT68,CT70,CT72)</f>
        <v/>
      </c>
      <c r="CU63" s="242">
        <f>CS63+CT63</f>
        <v/>
      </c>
      <c r="CV63" s="242">
        <f>CU63-CR63</f>
        <v/>
      </c>
      <c r="CW63" s="243">
        <f>IF(CR63=0,"",CU63/CR63)</f>
        <v/>
      </c>
      <c r="CX63" s="17" t="n"/>
      <c r="CY63" s="240">
        <f>SUM(CY64,CY68,CY70,CY72)</f>
        <v/>
      </c>
      <c r="CZ63" s="240">
        <f>SUM(CZ64,CZ68,CZ70,CZ72)</f>
        <v/>
      </c>
      <c r="DA63" s="240">
        <f>CY63+CZ63</f>
        <v/>
      </c>
      <c r="DB63" s="240">
        <f>SUM(DB64,DB68,DB70,DB72)</f>
        <v/>
      </c>
      <c r="DC63" s="240">
        <f>SUM(DC64,DC68,DC70,DC72)</f>
        <v/>
      </c>
      <c r="DD63" s="240">
        <f>DB63+DC63</f>
        <v/>
      </c>
      <c r="DE63" s="240">
        <f>DD63-DA63</f>
        <v/>
      </c>
      <c r="DF63" s="241">
        <f>IF(DA63=0,"",DD63/DA63)</f>
        <v/>
      </c>
      <c r="DG63" s="12" t="n"/>
      <c r="DH63" s="242">
        <f>SUM(DH64,DH68,DH70,DH72)</f>
        <v/>
      </c>
      <c r="DI63" s="242">
        <f>SUM(DI64,DI68,DI70,DI72)</f>
        <v/>
      </c>
      <c r="DJ63" s="242">
        <f>DH63+DI63</f>
        <v/>
      </c>
      <c r="DK63" s="242">
        <f>SUM(DK64,DK68,DK70,DK72)</f>
        <v/>
      </c>
      <c r="DL63" s="242">
        <f>SUM(DL64,DL68,DL70,DL72)</f>
        <v/>
      </c>
      <c r="DM63" s="242">
        <f>DK63+DL63</f>
        <v/>
      </c>
      <c r="DN63" s="242">
        <f>DM63-DJ63</f>
        <v/>
      </c>
      <c r="DO63" s="243">
        <f>IF(DJ63=0,"",DM63/DJ63)</f>
        <v/>
      </c>
      <c r="DP63" s="17" t="n"/>
      <c r="DQ63" s="240">
        <f>SUM(DQ64,DQ68,DQ70,DQ72)</f>
        <v/>
      </c>
      <c r="DR63" s="240">
        <f>SUM(DR64,DR68,DR70,DR72)</f>
        <v/>
      </c>
      <c r="DS63" s="240">
        <f>DQ63+DR63</f>
        <v/>
      </c>
      <c r="DT63" s="240">
        <f>SUM(DT64,DT68,DT70,DT72)</f>
        <v/>
      </c>
      <c r="DU63" s="240">
        <f>SUM(DU64,DU68,DU70,DU72)</f>
        <v/>
      </c>
      <c r="DV63" s="240">
        <f>DT63+DU63</f>
        <v/>
      </c>
      <c r="DW63" s="240">
        <f>DV63-DS63</f>
        <v/>
      </c>
      <c r="DX63" s="241">
        <f>IF(DS63=0,"",DV63/DS63)</f>
        <v/>
      </c>
      <c r="DY63" s="12" t="n"/>
      <c r="DZ63" s="242">
        <f>SUM(DZ64,DZ68,DZ70,DZ72)</f>
        <v/>
      </c>
      <c r="EA63" s="242">
        <f>SUM(EA64,EA68,EA70,EA72)</f>
        <v/>
      </c>
      <c r="EB63" s="242">
        <f>DZ63+EA63</f>
        <v/>
      </c>
      <c r="EC63" s="242">
        <f>SUM(EC64,EC68,EC70,EC72)</f>
        <v/>
      </c>
      <c r="ED63" s="242">
        <f>SUM(ED64,ED68,ED70,ED72)</f>
        <v/>
      </c>
      <c r="EE63" s="242">
        <f>EC63+ED63</f>
        <v/>
      </c>
      <c r="EF63" s="242">
        <f>EE63-EB63</f>
        <v/>
      </c>
      <c r="EG63" s="243">
        <f>IF(EB63=0,"",EE63/EB63)</f>
        <v/>
      </c>
      <c r="EH63" s="17" t="n"/>
      <c r="EI63" s="240">
        <f>SUM(EI64,EI68,EI70,EI72)</f>
        <v/>
      </c>
      <c r="EJ63" s="240">
        <f>SUM(EJ64,EJ68,EJ70,EJ72)</f>
        <v/>
      </c>
      <c r="EK63" s="240">
        <f>EI63+EJ63</f>
        <v/>
      </c>
      <c r="EL63" s="240">
        <f>SUM(EL64,EL68,EL70,EL72)</f>
        <v/>
      </c>
      <c r="EM63" s="240">
        <f>SUM(EM64,EM68,EM70,EM72)</f>
        <v/>
      </c>
      <c r="EN63" s="240">
        <f>EL63+EM63</f>
        <v/>
      </c>
      <c r="EO63" s="240">
        <f>EN63-EK63</f>
        <v/>
      </c>
      <c r="EP63" s="241">
        <f>IF(EK63=0,"",EN63/EK63)</f>
        <v/>
      </c>
      <c r="EQ63" s="12" t="n"/>
      <c r="ER63" s="242">
        <f>SUM(ER64,ER68,ER70,ER72)</f>
        <v/>
      </c>
      <c r="ES63" s="242">
        <f>SUM(ES64,ES68,ES70,ES72)</f>
        <v/>
      </c>
      <c r="ET63" s="242">
        <f>ER63+ES63</f>
        <v/>
      </c>
      <c r="EU63" s="242">
        <f>SUM(EU64,EU68,EU70,EU72)</f>
        <v/>
      </c>
      <c r="EV63" s="242">
        <f>SUM(EV64,EV68,EV70,EV72)</f>
        <v/>
      </c>
      <c r="EW63" s="242">
        <f>EU63+EV63</f>
        <v/>
      </c>
      <c r="EX63" s="242">
        <f>EW63-ET63</f>
        <v/>
      </c>
      <c r="EY63" s="243">
        <f>IF(ET63=0,"",EW63/ET63)</f>
        <v/>
      </c>
      <c r="EZ63" s="17" t="n"/>
      <c r="FA63" s="240">
        <f>SUM(FA64,FA68,FA70,FA72)</f>
        <v/>
      </c>
      <c r="FB63" s="240">
        <f>SUM(FB64,FB68,FB70,FB72)</f>
        <v/>
      </c>
      <c r="FC63" s="240">
        <f>FA63+FB63</f>
        <v/>
      </c>
      <c r="FD63" s="240">
        <f>SUM(FD64,FD68,FD70,FD72)</f>
        <v/>
      </c>
      <c r="FE63" s="240">
        <f>SUM(FE64,FE68,FE70,FE72)</f>
        <v/>
      </c>
      <c r="FF63" s="240">
        <f>FD63+FE63</f>
        <v/>
      </c>
      <c r="FG63" s="240">
        <f>FF63-FC63</f>
        <v/>
      </c>
      <c r="FH63" s="241">
        <f>IF(FC63=0,"",FF63/FC63)</f>
        <v/>
      </c>
      <c r="FI63" s="12" t="n"/>
      <c r="FJ63" s="242">
        <f>SUM(FJ64,FJ68,FJ70,FJ72)</f>
        <v/>
      </c>
      <c r="FK63" s="242">
        <f>SUM(FK64,FK68,FK70,FK72)</f>
        <v/>
      </c>
      <c r="FL63" s="242">
        <f>FJ63+FK63</f>
        <v/>
      </c>
      <c r="FM63" s="242">
        <f>SUM(FM64,FM68,FM70,FM72)</f>
        <v/>
      </c>
      <c r="FN63" s="242">
        <f>SUM(FN64,FN68,FN70,FN72)</f>
        <v/>
      </c>
      <c r="FO63" s="242">
        <f>FM63+FN63</f>
        <v/>
      </c>
      <c r="FP63" s="242">
        <f>FO63-FL63</f>
        <v/>
      </c>
      <c r="FQ63" s="243">
        <f>IF(FL63=0,"",FO63/FL63)</f>
        <v/>
      </c>
      <c r="FR63" s="17" t="n"/>
      <c r="FS63" s="240">
        <f>SUM(FS64,FS68,FS70,FS72)</f>
        <v/>
      </c>
      <c r="FT63" s="240">
        <f>SUM(FT64,FT68,FT70,FT72)</f>
        <v/>
      </c>
      <c r="FU63" s="240">
        <f>FS63+FT63</f>
        <v/>
      </c>
      <c r="FV63" s="240">
        <f>SUM(FV64,FV68,FV70,FV72)</f>
        <v/>
      </c>
      <c r="FW63" s="240">
        <f>SUM(FW64,FW68,FW70,FW72)</f>
        <v/>
      </c>
      <c r="FX63" s="240">
        <f>FV63+FW63</f>
        <v/>
      </c>
      <c r="FY63" s="240">
        <f>FX63-FU63</f>
        <v/>
      </c>
      <c r="FZ63" s="241">
        <f>IF(FU63=0,"",FX63/FU63)</f>
        <v/>
      </c>
      <c r="GA63" s="12" t="n"/>
      <c r="GB63" s="242">
        <f>SUM(GB64,GB68,GB70,GB72)</f>
        <v/>
      </c>
      <c r="GC63" s="242">
        <f>SUM(GC64,GC68,GC70,GC72)</f>
        <v/>
      </c>
      <c r="GD63" s="242">
        <f>GB63+GC63</f>
        <v/>
      </c>
      <c r="GE63" s="242">
        <f>SUM(GE64,GE68,GE70,GE72)</f>
        <v/>
      </c>
      <c r="GF63" s="242">
        <f>SUM(GF64,GF68,GF70,GF72)</f>
        <v/>
      </c>
      <c r="GG63" s="242">
        <f>GE63+GF63</f>
        <v/>
      </c>
      <c r="GH63" s="242">
        <f>GG63-GD63</f>
        <v/>
      </c>
      <c r="GI63" s="243">
        <f>IF(GD63=0,"",GG63/GD63)</f>
        <v/>
      </c>
      <c r="GJ63" s="17" t="n"/>
      <c r="GK63" s="240">
        <f>SUM(GK64,GK68,GK70,GK72)</f>
        <v/>
      </c>
      <c r="GL63" s="240">
        <f>SUM(GL64,GL68,GL70,GL72)</f>
        <v/>
      </c>
      <c r="GM63" s="240">
        <f>GK63+GL63</f>
        <v/>
      </c>
      <c r="GN63" s="240">
        <f>SUM(GN64,GN68,GN70,GN72)</f>
        <v/>
      </c>
      <c r="GO63" s="240">
        <f>SUM(GO64,GO68,GO70,GO72)</f>
        <v/>
      </c>
      <c r="GP63" s="240">
        <f>GN63+GO63</f>
        <v/>
      </c>
      <c r="GQ63" s="240">
        <f>GP63-GM63</f>
        <v/>
      </c>
      <c r="GR63" s="241">
        <f>IF(GM63=0,"",GP63/GM63)</f>
        <v/>
      </c>
      <c r="GS63" s="12" t="n"/>
      <c r="GT63" s="242">
        <f>SUM(GT64,GT68,GT70,GT72)</f>
        <v/>
      </c>
      <c r="GU63" s="242">
        <f>SUM(GU64,GU68,GU70,GU72)</f>
        <v/>
      </c>
      <c r="GV63" s="242">
        <f>GT63+GU63</f>
        <v/>
      </c>
      <c r="GW63" s="242">
        <f>SUM(GW64,GW68,GW70,GW72)</f>
        <v/>
      </c>
      <c r="GX63" s="242">
        <f>SUM(GX64,GX68,GX70,GX72)</f>
        <v/>
      </c>
      <c r="GY63" s="242">
        <f>GW63+GX63</f>
        <v/>
      </c>
      <c r="GZ63" s="242">
        <f>GY63-GV63</f>
        <v/>
      </c>
      <c r="HA63" s="243">
        <f>IF(GV63=0,"",GY63/GV63)</f>
        <v/>
      </c>
      <c r="HB63" s="17" t="n"/>
      <c r="HC63" s="240">
        <f>GT63</f>
        <v/>
      </c>
      <c r="HD63" s="240">
        <f>GU63</f>
        <v/>
      </c>
      <c r="HE63" s="240">
        <f>HC63+HD63</f>
        <v/>
      </c>
    </row>
    <row r="64" ht="15" customHeight="1" s="150">
      <c r="A64" s="18" t="n"/>
      <c r="B64" s="18" t="n"/>
      <c r="C64" s="18" t="n"/>
      <c r="D64" s="227">
        <f>SUM(D65:D67)</f>
        <v/>
      </c>
      <c r="E64" s="227">
        <f>SUM(E65:E67)</f>
        <v/>
      </c>
      <c r="F64" s="227">
        <f>D64+E64</f>
        <v/>
      </c>
      <c r="G64" s="227">
        <f>SUM(G65:G67)</f>
        <v/>
      </c>
      <c r="H64" s="227">
        <f>SUM(H65:H67)</f>
        <v/>
      </c>
      <c r="I64" s="227">
        <f>G64+H64</f>
        <v/>
      </c>
      <c r="J64" s="228">
        <f>I64-F64</f>
        <v/>
      </c>
      <c r="K64" s="229">
        <f>IF(F64=0,"",I64/F64)</f>
        <v/>
      </c>
      <c r="L64" s="18" t="n"/>
      <c r="M64" s="227">
        <f>SUM(M65:M67)</f>
        <v/>
      </c>
      <c r="N64" s="227">
        <f>SUM(N65:N67)</f>
        <v/>
      </c>
      <c r="O64" s="227">
        <f>M64+N64</f>
        <v/>
      </c>
      <c r="P64" s="227">
        <f>SUM(P65:P67)</f>
        <v/>
      </c>
      <c r="Q64" s="227">
        <f>SUM(Q65:Q67)</f>
        <v/>
      </c>
      <c r="R64" s="227">
        <f>P64+Q64</f>
        <v/>
      </c>
      <c r="S64" s="228">
        <f>R64-O64</f>
        <v/>
      </c>
      <c r="T64" s="229">
        <f>IF(O64=0,"",R64/O64)</f>
        <v/>
      </c>
      <c r="U64" s="18" t="n"/>
      <c r="V64" s="230">
        <f>SUM(V65:V67)</f>
        <v/>
      </c>
      <c r="W64" s="230">
        <f>SUM(W65:W67)</f>
        <v/>
      </c>
      <c r="X64" s="230">
        <f>V64+W64</f>
        <v/>
      </c>
      <c r="Y64" s="230">
        <f>SUM(Y65:Y67)</f>
        <v/>
      </c>
      <c r="Z64" s="230">
        <f>SUM(Z65:Z67)</f>
        <v/>
      </c>
      <c r="AA64" s="230">
        <f>Y64+Z64</f>
        <v/>
      </c>
      <c r="AB64" s="231">
        <f>AA64-X64</f>
        <v/>
      </c>
      <c r="AC64" s="232">
        <f>IF(X64=0,"",AA64/X64)</f>
        <v/>
      </c>
      <c r="AD64" s="25" t="n"/>
      <c r="AE64" s="227">
        <f>SUM(AE65:AE67)</f>
        <v/>
      </c>
      <c r="AF64" s="227">
        <f>SUM(AF65:AF67)</f>
        <v/>
      </c>
      <c r="AG64" s="227">
        <f>AE64+AF64</f>
        <v/>
      </c>
      <c r="AH64" s="227">
        <f>SUM(AH65:AH67)</f>
        <v/>
      </c>
      <c r="AI64" s="227">
        <f>SUM(AI65:AI67)</f>
        <v/>
      </c>
      <c r="AJ64" s="227">
        <f>AH64+AI64</f>
        <v/>
      </c>
      <c r="AK64" s="228">
        <f>AJ64-AG64</f>
        <v/>
      </c>
      <c r="AL64" s="229">
        <f>IF(AG64=0,"",AJ64/AG64)</f>
        <v/>
      </c>
      <c r="AM64" s="18" t="n"/>
      <c r="AN64" s="230">
        <f>SUM(AN65:AN67)</f>
        <v/>
      </c>
      <c r="AO64" s="230">
        <f>SUM(AO65:AO67)</f>
        <v/>
      </c>
      <c r="AP64" s="230">
        <f>AN64+AO64</f>
        <v/>
      </c>
      <c r="AQ64" s="230">
        <f>SUM(AQ65:AQ67)</f>
        <v/>
      </c>
      <c r="AR64" s="230">
        <f>SUM(AR65:AR67)</f>
        <v/>
      </c>
      <c r="AS64" s="230">
        <f>AQ64+AR64</f>
        <v/>
      </c>
      <c r="AT64" s="231">
        <f>AS64-AP64</f>
        <v/>
      </c>
      <c r="AU64" s="232">
        <f>IF(AP64=0,"",AS64/AP64)</f>
        <v/>
      </c>
      <c r="AV64" s="25" t="n"/>
      <c r="AW64" s="227">
        <f>SUM(AW65:AW67)</f>
        <v/>
      </c>
      <c r="AX64" s="227">
        <f>SUM(AX65:AX67)</f>
        <v/>
      </c>
      <c r="AY64" s="227">
        <f>AW64+AX64</f>
        <v/>
      </c>
      <c r="AZ64" s="227">
        <f>SUM(AZ65:AZ67)</f>
        <v/>
      </c>
      <c r="BA64" s="227">
        <f>SUM(BA65:BA67)</f>
        <v/>
      </c>
      <c r="BB64" s="227">
        <f>AZ64+BA64</f>
        <v/>
      </c>
      <c r="BC64" s="228">
        <f>BB64-AY64</f>
        <v/>
      </c>
      <c r="BD64" s="229">
        <f>IF(AY64=0,"",BB64/AY64)</f>
        <v/>
      </c>
      <c r="BE64" s="18" t="n"/>
      <c r="BF64" s="230">
        <f>SUM(BF65:BF67)</f>
        <v/>
      </c>
      <c r="BG64" s="230">
        <f>SUM(BG65:BG67)</f>
        <v/>
      </c>
      <c r="BH64" s="230">
        <f>BF64+BG64</f>
        <v/>
      </c>
      <c r="BI64" s="230">
        <f>SUM(BI65:BI67)</f>
        <v/>
      </c>
      <c r="BJ64" s="230">
        <f>SUM(BJ65:BJ67)</f>
        <v/>
      </c>
      <c r="BK64" s="230">
        <f>BI64+BJ64</f>
        <v/>
      </c>
      <c r="BL64" s="231">
        <f>BK64-BH64</f>
        <v/>
      </c>
      <c r="BM64" s="232">
        <f>IF(BH64=0,"",BK64/BH64)</f>
        <v/>
      </c>
      <c r="BN64" s="25" t="n"/>
      <c r="BO64" s="227">
        <f>SUM(BO65:BO67)</f>
        <v/>
      </c>
      <c r="BP64" s="227">
        <f>SUM(BP65:BP67)</f>
        <v/>
      </c>
      <c r="BQ64" s="227">
        <f>BO64+BP64</f>
        <v/>
      </c>
      <c r="BR64" s="227">
        <f>SUM(BR65:BR67)</f>
        <v/>
      </c>
      <c r="BS64" s="227">
        <f>SUM(BS65:BS67)</f>
        <v/>
      </c>
      <c r="BT64" s="227">
        <f>BR64+BS64</f>
        <v/>
      </c>
      <c r="BU64" s="228">
        <f>BT64-BQ64</f>
        <v/>
      </c>
      <c r="BV64" s="229">
        <f>IF(BQ64=0,"",BT64/BQ64)</f>
        <v/>
      </c>
      <c r="BW64" s="18" t="n"/>
      <c r="BX64" s="230">
        <f>SUM(BX65:BX67)</f>
        <v/>
      </c>
      <c r="BY64" s="230">
        <f>SUM(BY65:BY67)</f>
        <v/>
      </c>
      <c r="BZ64" s="230">
        <f>BX64+BY64</f>
        <v/>
      </c>
      <c r="CA64" s="230">
        <f>SUM(CA65:CA67)</f>
        <v/>
      </c>
      <c r="CB64" s="230">
        <f>SUM(CB65:CB67)</f>
        <v/>
      </c>
      <c r="CC64" s="230">
        <f>CA64+CB64</f>
        <v/>
      </c>
      <c r="CD64" s="231">
        <f>CC64-BZ64</f>
        <v/>
      </c>
      <c r="CE64" s="232">
        <f>IF(BZ64=0,"",CC64/BZ64)</f>
        <v/>
      </c>
      <c r="CF64" s="25" t="n"/>
      <c r="CG64" s="227">
        <f>SUM(CG65:CG67)</f>
        <v/>
      </c>
      <c r="CH64" s="227">
        <f>SUM(CH65:CH67)</f>
        <v/>
      </c>
      <c r="CI64" s="227">
        <f>CG64+CH64</f>
        <v/>
      </c>
      <c r="CJ64" s="227">
        <f>SUM(CJ65:CJ67)</f>
        <v/>
      </c>
      <c r="CK64" s="227">
        <f>SUM(CK65:CK67)</f>
        <v/>
      </c>
      <c r="CL64" s="227">
        <f>CJ64+CK64</f>
        <v/>
      </c>
      <c r="CM64" s="228">
        <f>CL64-CI64</f>
        <v/>
      </c>
      <c r="CN64" s="229">
        <f>IF(CI64=0,"",CL64/CI64)</f>
        <v/>
      </c>
      <c r="CO64" s="18" t="n"/>
      <c r="CP64" s="230">
        <f>SUM(CP65:CP67)</f>
        <v/>
      </c>
      <c r="CQ64" s="230">
        <f>SUM(CQ65:CQ67)</f>
        <v/>
      </c>
      <c r="CR64" s="230">
        <f>CP64+CQ64</f>
        <v/>
      </c>
      <c r="CS64" s="230">
        <f>SUM(CS65:CS67)</f>
        <v/>
      </c>
      <c r="CT64" s="230">
        <f>SUM(CT65:CT67)</f>
        <v/>
      </c>
      <c r="CU64" s="230">
        <f>CS64+CT64</f>
        <v/>
      </c>
      <c r="CV64" s="231">
        <f>CU64-CR64</f>
        <v/>
      </c>
      <c r="CW64" s="232">
        <f>IF(CR64=0,"",CU64/CR64)</f>
        <v/>
      </c>
      <c r="CX64" s="25" t="n"/>
      <c r="CY64" s="227">
        <f>SUM(CY65:CY67)</f>
        <v/>
      </c>
      <c r="CZ64" s="227">
        <f>SUM(CZ65:CZ67)</f>
        <v/>
      </c>
      <c r="DA64" s="227">
        <f>CY64+CZ64</f>
        <v/>
      </c>
      <c r="DB64" s="227">
        <f>SUM(DB65:DB67)</f>
        <v/>
      </c>
      <c r="DC64" s="227">
        <f>SUM(DC65:DC67)</f>
        <v/>
      </c>
      <c r="DD64" s="227">
        <f>DB64+DC64</f>
        <v/>
      </c>
      <c r="DE64" s="228">
        <f>DD64-DA64</f>
        <v/>
      </c>
      <c r="DF64" s="229">
        <f>IF(DA64=0,"",DD64/DA64)</f>
        <v/>
      </c>
      <c r="DG64" s="18" t="n"/>
      <c r="DH64" s="230">
        <f>SUM(DH65:DH67)</f>
        <v/>
      </c>
      <c r="DI64" s="230">
        <f>SUM(DI65:DI67)</f>
        <v/>
      </c>
      <c r="DJ64" s="230">
        <f>DH64+DI64</f>
        <v/>
      </c>
      <c r="DK64" s="230">
        <f>SUM(DK65:DK67)</f>
        <v/>
      </c>
      <c r="DL64" s="230">
        <f>SUM(DL65:DL67)</f>
        <v/>
      </c>
      <c r="DM64" s="230">
        <f>DK64+DL64</f>
        <v/>
      </c>
      <c r="DN64" s="231">
        <f>DM64-DJ64</f>
        <v/>
      </c>
      <c r="DO64" s="232">
        <f>IF(DJ64=0,"",DM64/DJ64)</f>
        <v/>
      </c>
      <c r="DP64" s="25" t="n"/>
      <c r="DQ64" s="227">
        <f>SUM(DQ65:DQ67)</f>
        <v/>
      </c>
      <c r="DR64" s="227">
        <f>SUM(DR65:DR67)</f>
        <v/>
      </c>
      <c r="DS64" s="227">
        <f>DQ64+DR64</f>
        <v/>
      </c>
      <c r="DT64" s="227">
        <f>SUM(DT65:DT67)</f>
        <v/>
      </c>
      <c r="DU64" s="227">
        <f>SUM(DU65:DU67)</f>
        <v/>
      </c>
      <c r="DV64" s="227">
        <f>DT64+DU64</f>
        <v/>
      </c>
      <c r="DW64" s="228">
        <f>DV64-DS64</f>
        <v/>
      </c>
      <c r="DX64" s="229">
        <f>IF(DS64=0,"",DV64/DS64)</f>
        <v/>
      </c>
      <c r="DY64" s="18" t="n"/>
      <c r="DZ64" s="230">
        <f>SUM(DZ65:DZ67)</f>
        <v/>
      </c>
      <c r="EA64" s="230">
        <f>SUM(EA65:EA67)</f>
        <v/>
      </c>
      <c r="EB64" s="230">
        <f>DZ64+EA64</f>
        <v/>
      </c>
      <c r="EC64" s="230">
        <f>SUM(EC65:EC67)</f>
        <v/>
      </c>
      <c r="ED64" s="230">
        <f>SUM(ED65:ED67)</f>
        <v/>
      </c>
      <c r="EE64" s="230">
        <f>EC64+ED64</f>
        <v/>
      </c>
      <c r="EF64" s="231">
        <f>EE64-EB64</f>
        <v/>
      </c>
      <c r="EG64" s="232">
        <f>IF(EB64=0,"",EE64/EB64)</f>
        <v/>
      </c>
      <c r="EH64" s="25" t="n"/>
      <c r="EI64" s="227">
        <f>SUM(EI65:EI67)</f>
        <v/>
      </c>
      <c r="EJ64" s="227">
        <f>SUM(EJ65:EJ67)</f>
        <v/>
      </c>
      <c r="EK64" s="227">
        <f>EI64+EJ64</f>
        <v/>
      </c>
      <c r="EL64" s="227">
        <f>SUM(EL65:EL67)</f>
        <v/>
      </c>
      <c r="EM64" s="227">
        <f>SUM(EM65:EM67)</f>
        <v/>
      </c>
      <c r="EN64" s="227">
        <f>EL64+EM64</f>
        <v/>
      </c>
      <c r="EO64" s="228">
        <f>EN64-EK64</f>
        <v/>
      </c>
      <c r="EP64" s="229">
        <f>IF(EK64=0,"",EN64/EK64)</f>
        <v/>
      </c>
      <c r="EQ64" s="18" t="n"/>
      <c r="ER64" s="230">
        <f>SUM(ER65:ER67)</f>
        <v/>
      </c>
      <c r="ES64" s="230">
        <f>SUM(ES65:ES67)</f>
        <v/>
      </c>
      <c r="ET64" s="230">
        <f>ER64+ES64</f>
        <v/>
      </c>
      <c r="EU64" s="230">
        <f>SUM(EU65:EU67)</f>
        <v/>
      </c>
      <c r="EV64" s="230">
        <f>SUM(EV65:EV67)</f>
        <v/>
      </c>
      <c r="EW64" s="230">
        <f>EU64+EV64</f>
        <v/>
      </c>
      <c r="EX64" s="231">
        <f>EW64-ET64</f>
        <v/>
      </c>
      <c r="EY64" s="232">
        <f>IF(ET64=0,"",EW64/ET64)</f>
        <v/>
      </c>
      <c r="EZ64" s="25" t="n"/>
      <c r="FA64" s="227">
        <f>SUM(FA65:FA67)</f>
        <v/>
      </c>
      <c r="FB64" s="227">
        <f>SUM(FB65:FB67)</f>
        <v/>
      </c>
      <c r="FC64" s="227">
        <f>FA64+FB64</f>
        <v/>
      </c>
      <c r="FD64" s="227">
        <f>SUM(FD65:FD67)</f>
        <v/>
      </c>
      <c r="FE64" s="227">
        <f>SUM(FE65:FE67)</f>
        <v/>
      </c>
      <c r="FF64" s="227">
        <f>FD64+FE64</f>
        <v/>
      </c>
      <c r="FG64" s="228">
        <f>FF64-FC64</f>
        <v/>
      </c>
      <c r="FH64" s="229">
        <f>IF(FC64=0,"",FF64/FC64)</f>
        <v/>
      </c>
      <c r="FI64" s="18" t="n"/>
      <c r="FJ64" s="230">
        <f>SUM(FJ65:FJ67)</f>
        <v/>
      </c>
      <c r="FK64" s="230">
        <f>SUM(FK65:FK67)</f>
        <v/>
      </c>
      <c r="FL64" s="230">
        <f>FJ64+FK64</f>
        <v/>
      </c>
      <c r="FM64" s="230">
        <f>SUM(FM65:FM67)</f>
        <v/>
      </c>
      <c r="FN64" s="230">
        <f>SUM(FN65:FN67)</f>
        <v/>
      </c>
      <c r="FO64" s="230">
        <f>FM64+FN64</f>
        <v/>
      </c>
      <c r="FP64" s="231">
        <f>FO64-FL64</f>
        <v/>
      </c>
      <c r="FQ64" s="232">
        <f>IF(FL64=0,"",FO64/FL64)</f>
        <v/>
      </c>
      <c r="FR64" s="25" t="n"/>
      <c r="FS64" s="227">
        <f>SUM(FS65:FS67)</f>
        <v/>
      </c>
      <c r="FT64" s="227">
        <f>SUM(FT65:FT67)</f>
        <v/>
      </c>
      <c r="FU64" s="227">
        <f>FS64+FT64</f>
        <v/>
      </c>
      <c r="FV64" s="227">
        <f>SUM(FV65:FV67)</f>
        <v/>
      </c>
      <c r="FW64" s="227">
        <f>SUM(FW65:FW67)</f>
        <v/>
      </c>
      <c r="FX64" s="227">
        <f>FV64+FW64</f>
        <v/>
      </c>
      <c r="FY64" s="228">
        <f>FX64-FU64</f>
        <v/>
      </c>
      <c r="FZ64" s="229">
        <f>IF(FU64=0,"",FX64/FU64)</f>
        <v/>
      </c>
      <c r="GA64" s="18" t="n"/>
      <c r="GB64" s="230">
        <f>SUM(GB65:GB67)</f>
        <v/>
      </c>
      <c r="GC64" s="230">
        <f>SUM(GC65:GC67)</f>
        <v/>
      </c>
      <c r="GD64" s="230">
        <f>GB64+GC64</f>
        <v/>
      </c>
      <c r="GE64" s="230">
        <f>SUM(GE65:GE67)</f>
        <v/>
      </c>
      <c r="GF64" s="230">
        <f>SUM(GF65:GF67)</f>
        <v/>
      </c>
      <c r="GG64" s="230">
        <f>GE64+GF64</f>
        <v/>
      </c>
      <c r="GH64" s="231">
        <f>GG64-GD64</f>
        <v/>
      </c>
      <c r="GI64" s="232">
        <f>IF(GD64=0,"",GG64/GD64)</f>
        <v/>
      </c>
      <c r="GJ64" s="25" t="n"/>
      <c r="GK64" s="227">
        <f>SUM(GK65:GK67)</f>
        <v/>
      </c>
      <c r="GL64" s="227">
        <f>SUM(GL65:GL67)</f>
        <v/>
      </c>
      <c r="GM64" s="227">
        <f>GK64+GL64</f>
        <v/>
      </c>
      <c r="GN64" s="227">
        <f>SUM(GN65:GN67)</f>
        <v/>
      </c>
      <c r="GO64" s="227">
        <f>SUM(GO65:GO67)</f>
        <v/>
      </c>
      <c r="GP64" s="227">
        <f>GN64+GO64</f>
        <v/>
      </c>
      <c r="GQ64" s="228">
        <f>GP64-GM64</f>
        <v/>
      </c>
      <c r="GR64" s="229">
        <f>IF(GM64=0,"",GP64/GM64)</f>
        <v/>
      </c>
      <c r="GS64" s="18" t="n"/>
      <c r="GT64" s="230">
        <f>SUM(GT65:GT67)</f>
        <v/>
      </c>
      <c r="GU64" s="230">
        <f>SUM(GU65:GU67)</f>
        <v/>
      </c>
      <c r="GV64" s="230">
        <f>GT64+GU64</f>
        <v/>
      </c>
      <c r="GW64" s="230">
        <f>SUM(GW65:GW67)</f>
        <v/>
      </c>
      <c r="GX64" s="230">
        <f>SUM(GX65:GX67)</f>
        <v/>
      </c>
      <c r="GY64" s="230">
        <f>GW64+GX64</f>
        <v/>
      </c>
      <c r="GZ64" s="231">
        <f>GY64-GV64</f>
        <v/>
      </c>
      <c r="HA64" s="232">
        <f>IF(GV64=0,"",GY64/GV64)</f>
        <v/>
      </c>
      <c r="HB64" s="25" t="n"/>
      <c r="HC64" s="227">
        <f>GT64</f>
        <v/>
      </c>
      <c r="HD64" s="227">
        <f>GU64</f>
        <v/>
      </c>
      <c r="HE64" s="227">
        <f>HC64+HD64</f>
        <v/>
      </c>
    </row>
    <row r="65" outlineLevel="1" ht="15" customHeight="1" s="150">
      <c r="A65" s="26" t="n"/>
      <c r="B65" s="26" t="n"/>
      <c r="C65" s="26" t="n"/>
      <c r="D65" s="233" t="n"/>
      <c r="E65" s="233" t="n"/>
      <c r="F65" s="233">
        <f>D65+E65</f>
        <v/>
      </c>
      <c r="G65" s="233" t="n"/>
      <c r="H65" s="233" t="n"/>
      <c r="I65" s="233">
        <f>G65+H65</f>
        <v/>
      </c>
      <c r="J65" s="238">
        <f>I65-F65</f>
        <v/>
      </c>
      <c r="K65" s="235">
        <f>IF(F65=0,"",I65/F65)</f>
        <v/>
      </c>
      <c r="L65" s="26" t="n"/>
      <c r="M65" s="233" t="n"/>
      <c r="N65" s="233" t="n"/>
      <c r="O65" s="233">
        <f>M65+N65</f>
        <v/>
      </c>
      <c r="P65" s="233" t="n"/>
      <c r="Q65" s="233" t="n"/>
      <c r="R65" s="233">
        <f>P65+Q65</f>
        <v/>
      </c>
      <c r="S65" s="238">
        <f>R65-O65</f>
        <v/>
      </c>
      <c r="T65" s="235">
        <f>IF(O65=0,"",R65/O65)</f>
        <v/>
      </c>
      <c r="U65" s="26" t="n"/>
      <c r="V65" s="236">
        <f>D65+M65</f>
        <v/>
      </c>
      <c r="W65" s="236">
        <f>E65+N65</f>
        <v/>
      </c>
      <c r="X65" s="236">
        <f>V65+W65</f>
        <v/>
      </c>
      <c r="Y65" s="236">
        <f>G65+P65</f>
        <v/>
      </c>
      <c r="Z65" s="236">
        <f>H65+Q65</f>
        <v/>
      </c>
      <c r="AA65" s="236">
        <f>Y65+Z65</f>
        <v/>
      </c>
      <c r="AB65" s="239">
        <f>AA65-X65</f>
        <v/>
      </c>
      <c r="AC65" s="237">
        <f>IF(X65=0,"",AA65/X65)</f>
        <v/>
      </c>
      <c r="AD65" s="33" t="n"/>
      <c r="AE65" s="233" t="n"/>
      <c r="AF65" s="233" t="n"/>
      <c r="AG65" s="233">
        <f>AE65+AF65</f>
        <v/>
      </c>
      <c r="AH65" s="233" t="n"/>
      <c r="AI65" s="233" t="n"/>
      <c r="AJ65" s="233">
        <f>AH65+AI65</f>
        <v/>
      </c>
      <c r="AK65" s="238">
        <f>AJ65-AG65</f>
        <v/>
      </c>
      <c r="AL65" s="235">
        <f>IF(AG65=0,"",AJ65/AG65)</f>
        <v/>
      </c>
      <c r="AM65" s="26" t="n"/>
      <c r="AN65" s="236">
        <f>V65+AE65</f>
        <v/>
      </c>
      <c r="AO65" s="236">
        <f>W65+AF65</f>
        <v/>
      </c>
      <c r="AP65" s="236">
        <f>AN65+AO65</f>
        <v/>
      </c>
      <c r="AQ65" s="236">
        <f>Y65+AH65</f>
        <v/>
      </c>
      <c r="AR65" s="236">
        <f>Z65+AI65</f>
        <v/>
      </c>
      <c r="AS65" s="236">
        <f>AQ65+AR65</f>
        <v/>
      </c>
      <c r="AT65" s="239">
        <f>AS65-AP65</f>
        <v/>
      </c>
      <c r="AU65" s="237">
        <f>IF(AP65=0,"",AS65/AP65)</f>
        <v/>
      </c>
      <c r="AV65" s="33" t="n"/>
      <c r="AW65" s="233" t="n"/>
      <c r="AX65" s="233" t="n"/>
      <c r="AY65" s="233">
        <f>AW65+AX65</f>
        <v/>
      </c>
      <c r="AZ65" s="233" t="n"/>
      <c r="BA65" s="233" t="n"/>
      <c r="BB65" s="233">
        <f>AZ65+BA65</f>
        <v/>
      </c>
      <c r="BC65" s="238">
        <f>BB65-AY65</f>
        <v/>
      </c>
      <c r="BD65" s="235">
        <f>IF(AY65=0,"",BB65/AY65)</f>
        <v/>
      </c>
      <c r="BE65" s="26" t="n"/>
      <c r="BF65" s="236">
        <f>AN65+AW65</f>
        <v/>
      </c>
      <c r="BG65" s="236">
        <f>AO65+AX65</f>
        <v/>
      </c>
      <c r="BH65" s="236">
        <f>BF65+BG65</f>
        <v/>
      </c>
      <c r="BI65" s="236">
        <f>AQ65+AZ65</f>
        <v/>
      </c>
      <c r="BJ65" s="236">
        <f>AR65+BA65</f>
        <v/>
      </c>
      <c r="BK65" s="236">
        <f>BI65+BJ65</f>
        <v/>
      </c>
      <c r="BL65" s="239">
        <f>BK65-BH65</f>
        <v/>
      </c>
      <c r="BM65" s="237">
        <f>IF(BH65=0,"",BK65/BH65)</f>
        <v/>
      </c>
      <c r="BN65" s="33" t="n"/>
      <c r="BO65" s="233" t="n"/>
      <c r="BP65" s="233" t="n"/>
      <c r="BQ65" s="233">
        <f>BO65+BP65</f>
        <v/>
      </c>
      <c r="BR65" s="233" t="n"/>
      <c r="BS65" s="233" t="n"/>
      <c r="BT65" s="233">
        <f>BR65+BS65</f>
        <v/>
      </c>
      <c r="BU65" s="238">
        <f>BT65-BQ65</f>
        <v/>
      </c>
      <c r="BV65" s="235">
        <f>IF(BQ65=0,"",BT65/BQ65)</f>
        <v/>
      </c>
      <c r="BW65" s="26" t="n"/>
      <c r="BX65" s="236">
        <f>BF65+BO65</f>
        <v/>
      </c>
      <c r="BY65" s="236">
        <f>BG65+BP65</f>
        <v/>
      </c>
      <c r="BZ65" s="236">
        <f>BX65+BY65</f>
        <v/>
      </c>
      <c r="CA65" s="236">
        <f>BI65+BR65</f>
        <v/>
      </c>
      <c r="CB65" s="236">
        <f>BJ65+BS65</f>
        <v/>
      </c>
      <c r="CC65" s="236">
        <f>CA65+CB65</f>
        <v/>
      </c>
      <c r="CD65" s="239">
        <f>CC65-BZ65</f>
        <v/>
      </c>
      <c r="CE65" s="237">
        <f>IF(BZ65=0,"",CC65/BZ65)</f>
        <v/>
      </c>
      <c r="CF65" s="33" t="n"/>
      <c r="CG65" s="233" t="n"/>
      <c r="CH65" s="233" t="n"/>
      <c r="CI65" s="233">
        <f>CG65+CH65</f>
        <v/>
      </c>
      <c r="CJ65" s="233" t="n"/>
      <c r="CK65" s="233" t="n"/>
      <c r="CL65" s="233">
        <f>CJ65+CK65</f>
        <v/>
      </c>
      <c r="CM65" s="238">
        <f>CL65-CI65</f>
        <v/>
      </c>
      <c r="CN65" s="235">
        <f>IF(CI65=0,"",CL65/CI65)</f>
        <v/>
      </c>
      <c r="CO65" s="26" t="n"/>
      <c r="CP65" s="236">
        <f>BX65+CG65</f>
        <v/>
      </c>
      <c r="CQ65" s="236">
        <f>BY65+CH65</f>
        <v/>
      </c>
      <c r="CR65" s="236">
        <f>CP65+CQ65</f>
        <v/>
      </c>
      <c r="CS65" s="236">
        <f>CA65+CJ65</f>
        <v/>
      </c>
      <c r="CT65" s="236">
        <f>CB65+CK65</f>
        <v/>
      </c>
      <c r="CU65" s="236">
        <f>CS65+CT65</f>
        <v/>
      </c>
      <c r="CV65" s="239">
        <f>CU65-CR65</f>
        <v/>
      </c>
      <c r="CW65" s="237">
        <f>IF(CR65=0,"",CU65/CR65)</f>
        <v/>
      </c>
      <c r="CX65" s="33" t="n"/>
      <c r="CY65" s="233" t="n"/>
      <c r="CZ65" s="233" t="n"/>
      <c r="DA65" s="233">
        <f>CY65+CZ65</f>
        <v/>
      </c>
      <c r="DB65" s="233" t="n"/>
      <c r="DC65" s="233" t="n"/>
      <c r="DD65" s="233">
        <f>DB65+DC65</f>
        <v/>
      </c>
      <c r="DE65" s="238">
        <f>DD65-DA65</f>
        <v/>
      </c>
      <c r="DF65" s="235">
        <f>IF(DA65=0,"",DD65/DA65)</f>
        <v/>
      </c>
      <c r="DG65" s="26" t="n"/>
      <c r="DH65" s="236">
        <f>CP65+CY65</f>
        <v/>
      </c>
      <c r="DI65" s="236">
        <f>CQ65+CZ65</f>
        <v/>
      </c>
      <c r="DJ65" s="236">
        <f>DH65+DI65</f>
        <v/>
      </c>
      <c r="DK65" s="236">
        <f>CS65+DB65</f>
        <v/>
      </c>
      <c r="DL65" s="236">
        <f>CT65+DC65</f>
        <v/>
      </c>
      <c r="DM65" s="236">
        <f>DK65+DL65</f>
        <v/>
      </c>
      <c r="DN65" s="239">
        <f>DM65-DJ65</f>
        <v/>
      </c>
      <c r="DO65" s="237">
        <f>IF(DJ65=0,"",DM65/DJ65)</f>
        <v/>
      </c>
      <c r="DP65" s="33" t="n"/>
      <c r="DQ65" s="233" t="n"/>
      <c r="DR65" s="233" t="n"/>
      <c r="DS65" s="233">
        <f>DQ65+DR65</f>
        <v/>
      </c>
      <c r="DT65" s="233" t="n"/>
      <c r="DU65" s="233" t="n"/>
      <c r="DV65" s="233">
        <f>DT65+DU65</f>
        <v/>
      </c>
      <c r="DW65" s="238">
        <f>DV65-DS65</f>
        <v/>
      </c>
      <c r="DX65" s="235">
        <f>IF(DS65=0,"",DV65/DS65)</f>
        <v/>
      </c>
      <c r="DY65" s="26" t="n"/>
      <c r="DZ65" s="236">
        <f>DH65+DQ65</f>
        <v/>
      </c>
      <c r="EA65" s="236">
        <f>DI65+DR65</f>
        <v/>
      </c>
      <c r="EB65" s="236">
        <f>DZ65+EA65</f>
        <v/>
      </c>
      <c r="EC65" s="236">
        <f>DK65+DT65</f>
        <v/>
      </c>
      <c r="ED65" s="236">
        <f>DL65+DU65</f>
        <v/>
      </c>
      <c r="EE65" s="236">
        <f>EC65+ED65</f>
        <v/>
      </c>
      <c r="EF65" s="239">
        <f>EE65-EB65</f>
        <v/>
      </c>
      <c r="EG65" s="237">
        <f>IF(EB65=0,"",EE65/EB65)</f>
        <v/>
      </c>
      <c r="EH65" s="33" t="n"/>
      <c r="EI65" s="233" t="n"/>
      <c r="EJ65" s="233" t="n"/>
      <c r="EK65" s="233">
        <f>EI65+EJ65</f>
        <v/>
      </c>
      <c r="EL65" s="233" t="n"/>
      <c r="EM65" s="233" t="n"/>
      <c r="EN65" s="233">
        <f>EL65+EM65</f>
        <v/>
      </c>
      <c r="EO65" s="238">
        <f>EN65-EK65</f>
        <v/>
      </c>
      <c r="EP65" s="235">
        <f>IF(EK65=0,"",EN65/EK65)</f>
        <v/>
      </c>
      <c r="EQ65" s="26" t="n"/>
      <c r="ER65" s="236">
        <f>DZ65+EI65</f>
        <v/>
      </c>
      <c r="ES65" s="236">
        <f>EA65+EJ65</f>
        <v/>
      </c>
      <c r="ET65" s="236">
        <f>ER65+ES65</f>
        <v/>
      </c>
      <c r="EU65" s="236">
        <f>EC65+EL65</f>
        <v/>
      </c>
      <c r="EV65" s="236">
        <f>ED65+EM65</f>
        <v/>
      </c>
      <c r="EW65" s="236">
        <f>EU65+EV65</f>
        <v/>
      </c>
      <c r="EX65" s="239">
        <f>EW65-ET65</f>
        <v/>
      </c>
      <c r="EY65" s="237">
        <f>IF(ET65=0,"",EW65/ET65)</f>
        <v/>
      </c>
      <c r="EZ65" s="33" t="n"/>
      <c r="FA65" s="233" t="n"/>
      <c r="FB65" s="233" t="n"/>
      <c r="FC65" s="233">
        <f>FA65+FB65</f>
        <v/>
      </c>
      <c r="FD65" s="233" t="n"/>
      <c r="FE65" s="233" t="n"/>
      <c r="FF65" s="233">
        <f>FD65+FE65</f>
        <v/>
      </c>
      <c r="FG65" s="238">
        <f>FF65-FC65</f>
        <v/>
      </c>
      <c r="FH65" s="235">
        <f>IF(FC65=0,"",FF65/FC65)</f>
        <v/>
      </c>
      <c r="FI65" s="26" t="n"/>
      <c r="FJ65" s="236">
        <f>ER65+FA65</f>
        <v/>
      </c>
      <c r="FK65" s="236">
        <f>ES65+FB65</f>
        <v/>
      </c>
      <c r="FL65" s="236">
        <f>FJ65+FK65</f>
        <v/>
      </c>
      <c r="FM65" s="236">
        <f>EU65+FD65</f>
        <v/>
      </c>
      <c r="FN65" s="236">
        <f>EV65+FE65</f>
        <v/>
      </c>
      <c r="FO65" s="236">
        <f>FM65+FN65</f>
        <v/>
      </c>
      <c r="FP65" s="239">
        <f>FO65-FL65</f>
        <v/>
      </c>
      <c r="FQ65" s="237">
        <f>IF(FL65=0,"",FO65/FL65)</f>
        <v/>
      </c>
      <c r="FR65" s="33" t="n"/>
      <c r="FS65" s="233" t="n"/>
      <c r="FT65" s="233" t="n"/>
      <c r="FU65" s="233">
        <f>FS65+FT65</f>
        <v/>
      </c>
      <c r="FV65" s="233" t="n"/>
      <c r="FW65" s="233" t="n"/>
      <c r="FX65" s="233">
        <f>FV65+FW65</f>
        <v/>
      </c>
      <c r="FY65" s="238">
        <f>FX65-FU65</f>
        <v/>
      </c>
      <c r="FZ65" s="235">
        <f>IF(FU65=0,"",FX65/FU65)</f>
        <v/>
      </c>
      <c r="GA65" s="26" t="n"/>
      <c r="GB65" s="236">
        <f>FJ65+FS65</f>
        <v/>
      </c>
      <c r="GC65" s="236">
        <f>FK65+FT65</f>
        <v/>
      </c>
      <c r="GD65" s="236">
        <f>GB65+GC65</f>
        <v/>
      </c>
      <c r="GE65" s="236">
        <f>FM65+FV65</f>
        <v/>
      </c>
      <c r="GF65" s="236">
        <f>FN65+FW65</f>
        <v/>
      </c>
      <c r="GG65" s="236">
        <f>GE65+GF65</f>
        <v/>
      </c>
      <c r="GH65" s="239">
        <f>GG65-GD65</f>
        <v/>
      </c>
      <c r="GI65" s="237">
        <f>IF(GD65=0,"",GG65/GD65)</f>
        <v/>
      </c>
      <c r="GJ65" s="33" t="n"/>
      <c r="GK65" s="233" t="n"/>
      <c r="GL65" s="233" t="n"/>
      <c r="GM65" s="233">
        <f>GK65+GL65</f>
        <v/>
      </c>
      <c r="GN65" s="233" t="n"/>
      <c r="GO65" s="233" t="n"/>
      <c r="GP65" s="233">
        <f>GN65+GO65</f>
        <v/>
      </c>
      <c r="GQ65" s="238">
        <f>GP65-GM65</f>
        <v/>
      </c>
      <c r="GR65" s="235">
        <f>IF(GM65=0,"",GP65/GM65)</f>
        <v/>
      </c>
      <c r="GS65" s="26" t="n"/>
      <c r="GT65" s="236">
        <f>GB65+GK65</f>
        <v/>
      </c>
      <c r="GU65" s="236">
        <f>GC65+GL65</f>
        <v/>
      </c>
      <c r="GV65" s="236">
        <f>GT65+GU65</f>
        <v/>
      </c>
      <c r="GW65" s="236">
        <f>GE65+GN65</f>
        <v/>
      </c>
      <c r="GX65" s="236">
        <f>GF65+GO65</f>
        <v/>
      </c>
      <c r="GY65" s="236">
        <f>GW65+GX65</f>
        <v/>
      </c>
      <c r="GZ65" s="239">
        <f>GY65-GV65</f>
        <v/>
      </c>
      <c r="HA65" s="237">
        <f>IF(GV65=0,"",GY65/GV65)</f>
        <v/>
      </c>
      <c r="HB65" s="33" t="n"/>
      <c r="HC65" s="233">
        <f>GT65</f>
        <v/>
      </c>
      <c r="HD65" s="233">
        <f>GU65</f>
        <v/>
      </c>
      <c r="HE65" s="233">
        <f>HC65+HD65</f>
        <v/>
      </c>
    </row>
    <row r="66" outlineLevel="1" ht="15" customHeight="1" s="150">
      <c r="A66" s="26" t="n"/>
      <c r="B66" s="26" t="n"/>
      <c r="C66" s="26" t="n"/>
      <c r="D66" s="233" t="n"/>
      <c r="E66" s="233" t="n"/>
      <c r="F66" s="233">
        <f>D66+E66</f>
        <v/>
      </c>
      <c r="G66" s="233" t="n"/>
      <c r="H66" s="233" t="n"/>
      <c r="I66" s="233">
        <f>G66+H66</f>
        <v/>
      </c>
      <c r="J66" s="238">
        <f>I66-F66</f>
        <v/>
      </c>
      <c r="K66" s="235">
        <f>IF(F66=0,"",I66/F66)</f>
        <v/>
      </c>
      <c r="L66" s="26" t="n"/>
      <c r="M66" s="233" t="n"/>
      <c r="N66" s="233" t="n"/>
      <c r="O66" s="233">
        <f>M66+N66</f>
        <v/>
      </c>
      <c r="P66" s="233" t="n"/>
      <c r="Q66" s="233" t="n"/>
      <c r="R66" s="233">
        <f>P66+Q66</f>
        <v/>
      </c>
      <c r="S66" s="238">
        <f>R66-O66</f>
        <v/>
      </c>
      <c r="T66" s="235">
        <f>IF(O66=0,"",R66/O66)</f>
        <v/>
      </c>
      <c r="U66" s="26" t="n"/>
      <c r="V66" s="236">
        <f>D66+M66</f>
        <v/>
      </c>
      <c r="W66" s="236">
        <f>E66+N66</f>
        <v/>
      </c>
      <c r="X66" s="236">
        <f>V66+W66</f>
        <v/>
      </c>
      <c r="Y66" s="236">
        <f>G66+P66</f>
        <v/>
      </c>
      <c r="Z66" s="236">
        <f>H66+Q66</f>
        <v/>
      </c>
      <c r="AA66" s="236">
        <f>Y66+Z66</f>
        <v/>
      </c>
      <c r="AB66" s="239">
        <f>AA66-X66</f>
        <v/>
      </c>
      <c r="AC66" s="237">
        <f>IF(X66=0,"",AA66/X66)</f>
        <v/>
      </c>
      <c r="AD66" s="33" t="n"/>
      <c r="AE66" s="233" t="n"/>
      <c r="AF66" s="233" t="n"/>
      <c r="AG66" s="233">
        <f>AE66+AF66</f>
        <v/>
      </c>
      <c r="AH66" s="233" t="n"/>
      <c r="AI66" s="233" t="n"/>
      <c r="AJ66" s="233">
        <f>AH66+AI66</f>
        <v/>
      </c>
      <c r="AK66" s="238">
        <f>AJ66-AG66</f>
        <v/>
      </c>
      <c r="AL66" s="235">
        <f>IF(AG66=0,"",AJ66/AG66)</f>
        <v/>
      </c>
      <c r="AM66" s="26" t="n"/>
      <c r="AN66" s="236">
        <f>V66+AE66</f>
        <v/>
      </c>
      <c r="AO66" s="236">
        <f>W66+AF66</f>
        <v/>
      </c>
      <c r="AP66" s="236">
        <f>AN66+AO66</f>
        <v/>
      </c>
      <c r="AQ66" s="236">
        <f>Y66+AH66</f>
        <v/>
      </c>
      <c r="AR66" s="236">
        <f>Z66+AI66</f>
        <v/>
      </c>
      <c r="AS66" s="236">
        <f>AQ66+AR66</f>
        <v/>
      </c>
      <c r="AT66" s="239">
        <f>AS66-AP66</f>
        <v/>
      </c>
      <c r="AU66" s="237">
        <f>IF(AP66=0,"",AS66/AP66)</f>
        <v/>
      </c>
      <c r="AV66" s="33" t="n"/>
      <c r="AW66" s="233" t="n"/>
      <c r="AX66" s="233" t="n"/>
      <c r="AY66" s="233">
        <f>AW66+AX66</f>
        <v/>
      </c>
      <c r="AZ66" s="233" t="n"/>
      <c r="BA66" s="233" t="n"/>
      <c r="BB66" s="233">
        <f>AZ66+BA66</f>
        <v/>
      </c>
      <c r="BC66" s="238">
        <f>BB66-AY66</f>
        <v/>
      </c>
      <c r="BD66" s="235">
        <f>IF(AY66=0,"",BB66/AY66)</f>
        <v/>
      </c>
      <c r="BE66" s="26" t="n"/>
      <c r="BF66" s="236">
        <f>AN66+AW66</f>
        <v/>
      </c>
      <c r="BG66" s="236">
        <f>AO66+AX66</f>
        <v/>
      </c>
      <c r="BH66" s="236">
        <f>BF66+BG66</f>
        <v/>
      </c>
      <c r="BI66" s="236">
        <f>AQ66+AZ66</f>
        <v/>
      </c>
      <c r="BJ66" s="236">
        <f>AR66+BA66</f>
        <v/>
      </c>
      <c r="BK66" s="236">
        <f>BI66+BJ66</f>
        <v/>
      </c>
      <c r="BL66" s="239">
        <f>BK66-BH66</f>
        <v/>
      </c>
      <c r="BM66" s="237">
        <f>IF(BH66=0,"",BK66/BH66)</f>
        <v/>
      </c>
      <c r="BN66" s="33" t="n"/>
      <c r="BO66" s="233" t="n"/>
      <c r="BP66" s="233" t="n"/>
      <c r="BQ66" s="233">
        <f>BO66+BP66</f>
        <v/>
      </c>
      <c r="BR66" s="233" t="n"/>
      <c r="BS66" s="233" t="n"/>
      <c r="BT66" s="233">
        <f>BR66+BS66</f>
        <v/>
      </c>
      <c r="BU66" s="238">
        <f>BT66-BQ66</f>
        <v/>
      </c>
      <c r="BV66" s="235">
        <f>IF(BQ66=0,"",BT66/BQ66)</f>
        <v/>
      </c>
      <c r="BW66" s="26" t="n"/>
      <c r="BX66" s="236">
        <f>BF66+BO66</f>
        <v/>
      </c>
      <c r="BY66" s="236">
        <f>BG66+BP66</f>
        <v/>
      </c>
      <c r="BZ66" s="236">
        <f>BX66+BY66</f>
        <v/>
      </c>
      <c r="CA66" s="236">
        <f>BI66+BR66</f>
        <v/>
      </c>
      <c r="CB66" s="236">
        <f>BJ66+BS66</f>
        <v/>
      </c>
      <c r="CC66" s="236">
        <f>CA66+CB66</f>
        <v/>
      </c>
      <c r="CD66" s="239">
        <f>CC66-BZ66</f>
        <v/>
      </c>
      <c r="CE66" s="237">
        <f>IF(BZ66=0,"",CC66/BZ66)</f>
        <v/>
      </c>
      <c r="CF66" s="33" t="n"/>
      <c r="CG66" s="233" t="n"/>
      <c r="CH66" s="233" t="n"/>
      <c r="CI66" s="233">
        <f>CG66+CH66</f>
        <v/>
      </c>
      <c r="CJ66" s="233" t="n"/>
      <c r="CK66" s="233" t="n"/>
      <c r="CL66" s="233">
        <f>CJ66+CK66</f>
        <v/>
      </c>
      <c r="CM66" s="238">
        <f>CL66-CI66</f>
        <v/>
      </c>
      <c r="CN66" s="235">
        <f>IF(CI66=0,"",CL66/CI66)</f>
        <v/>
      </c>
      <c r="CO66" s="26" t="n"/>
      <c r="CP66" s="236">
        <f>BX66+CG66</f>
        <v/>
      </c>
      <c r="CQ66" s="236">
        <f>BY66+CH66</f>
        <v/>
      </c>
      <c r="CR66" s="236">
        <f>CP66+CQ66</f>
        <v/>
      </c>
      <c r="CS66" s="236">
        <f>CA66+CJ66</f>
        <v/>
      </c>
      <c r="CT66" s="236">
        <f>CB66+CK66</f>
        <v/>
      </c>
      <c r="CU66" s="236">
        <f>CS66+CT66</f>
        <v/>
      </c>
      <c r="CV66" s="239">
        <f>CU66-CR66</f>
        <v/>
      </c>
      <c r="CW66" s="237">
        <f>IF(CR66=0,"",CU66/CR66)</f>
        <v/>
      </c>
      <c r="CX66" s="33" t="n"/>
      <c r="CY66" s="233" t="n"/>
      <c r="CZ66" s="233" t="n"/>
      <c r="DA66" s="233">
        <f>CY66+CZ66</f>
        <v/>
      </c>
      <c r="DB66" s="233" t="n"/>
      <c r="DC66" s="233" t="n"/>
      <c r="DD66" s="233">
        <f>DB66+DC66</f>
        <v/>
      </c>
      <c r="DE66" s="238">
        <f>DD66-DA66</f>
        <v/>
      </c>
      <c r="DF66" s="235">
        <f>IF(DA66=0,"",DD66/DA66)</f>
        <v/>
      </c>
      <c r="DG66" s="26" t="n"/>
      <c r="DH66" s="236">
        <f>CP66+CY66</f>
        <v/>
      </c>
      <c r="DI66" s="236">
        <f>CQ66+CZ66</f>
        <v/>
      </c>
      <c r="DJ66" s="236">
        <f>DH66+DI66</f>
        <v/>
      </c>
      <c r="DK66" s="236">
        <f>CS66+DB66</f>
        <v/>
      </c>
      <c r="DL66" s="236">
        <f>CT66+DC66</f>
        <v/>
      </c>
      <c r="DM66" s="236">
        <f>DK66+DL66</f>
        <v/>
      </c>
      <c r="DN66" s="239">
        <f>DM66-DJ66</f>
        <v/>
      </c>
      <c r="DO66" s="237">
        <f>IF(DJ66=0,"",DM66/DJ66)</f>
        <v/>
      </c>
      <c r="DP66" s="33" t="n"/>
      <c r="DQ66" s="233" t="n"/>
      <c r="DR66" s="233" t="n"/>
      <c r="DS66" s="233">
        <f>DQ66+DR66</f>
        <v/>
      </c>
      <c r="DT66" s="233" t="n"/>
      <c r="DU66" s="233" t="n"/>
      <c r="DV66" s="233">
        <f>DT66+DU66</f>
        <v/>
      </c>
      <c r="DW66" s="238">
        <f>DV66-DS66</f>
        <v/>
      </c>
      <c r="DX66" s="235">
        <f>IF(DS66=0,"",DV66/DS66)</f>
        <v/>
      </c>
      <c r="DY66" s="26" t="n"/>
      <c r="DZ66" s="236">
        <f>DH66+DQ66</f>
        <v/>
      </c>
      <c r="EA66" s="236">
        <f>DI66+DR66</f>
        <v/>
      </c>
      <c r="EB66" s="236">
        <f>DZ66+EA66</f>
        <v/>
      </c>
      <c r="EC66" s="236">
        <f>DK66+DT66</f>
        <v/>
      </c>
      <c r="ED66" s="236">
        <f>DL66+DU66</f>
        <v/>
      </c>
      <c r="EE66" s="236">
        <f>EC66+ED66</f>
        <v/>
      </c>
      <c r="EF66" s="239">
        <f>EE66-EB66</f>
        <v/>
      </c>
      <c r="EG66" s="237">
        <f>IF(EB66=0,"",EE66/EB66)</f>
        <v/>
      </c>
      <c r="EH66" s="33" t="n"/>
      <c r="EI66" s="233" t="n"/>
      <c r="EJ66" s="233" t="n"/>
      <c r="EK66" s="233">
        <f>EI66+EJ66</f>
        <v/>
      </c>
      <c r="EL66" s="233" t="n"/>
      <c r="EM66" s="233" t="n"/>
      <c r="EN66" s="233">
        <f>EL66+EM66</f>
        <v/>
      </c>
      <c r="EO66" s="238">
        <f>EN66-EK66</f>
        <v/>
      </c>
      <c r="EP66" s="235">
        <f>IF(EK66=0,"",EN66/EK66)</f>
        <v/>
      </c>
      <c r="EQ66" s="26" t="n"/>
      <c r="ER66" s="236">
        <f>DZ66+EI66</f>
        <v/>
      </c>
      <c r="ES66" s="236">
        <f>EA66+EJ66</f>
        <v/>
      </c>
      <c r="ET66" s="236">
        <f>ER66+ES66</f>
        <v/>
      </c>
      <c r="EU66" s="236">
        <f>EC66+EL66</f>
        <v/>
      </c>
      <c r="EV66" s="236">
        <f>ED66+EM66</f>
        <v/>
      </c>
      <c r="EW66" s="236">
        <f>EU66+EV66</f>
        <v/>
      </c>
      <c r="EX66" s="239">
        <f>EW66-ET66</f>
        <v/>
      </c>
      <c r="EY66" s="237">
        <f>IF(ET66=0,"",EW66/ET66)</f>
        <v/>
      </c>
      <c r="EZ66" s="33" t="n"/>
      <c r="FA66" s="233" t="n"/>
      <c r="FB66" s="233" t="n"/>
      <c r="FC66" s="233">
        <f>FA66+FB66</f>
        <v/>
      </c>
      <c r="FD66" s="233" t="n"/>
      <c r="FE66" s="233" t="n"/>
      <c r="FF66" s="233">
        <f>FD66+FE66</f>
        <v/>
      </c>
      <c r="FG66" s="238">
        <f>FF66-FC66</f>
        <v/>
      </c>
      <c r="FH66" s="235">
        <f>IF(FC66=0,"",FF66/FC66)</f>
        <v/>
      </c>
      <c r="FI66" s="26" t="n"/>
      <c r="FJ66" s="236">
        <f>ER66+FA66</f>
        <v/>
      </c>
      <c r="FK66" s="236">
        <f>ES66+FB66</f>
        <v/>
      </c>
      <c r="FL66" s="236">
        <f>FJ66+FK66</f>
        <v/>
      </c>
      <c r="FM66" s="236">
        <f>EU66+FD66</f>
        <v/>
      </c>
      <c r="FN66" s="236">
        <f>EV66+FE66</f>
        <v/>
      </c>
      <c r="FO66" s="236">
        <f>FM66+FN66</f>
        <v/>
      </c>
      <c r="FP66" s="239">
        <f>FO66-FL66</f>
        <v/>
      </c>
      <c r="FQ66" s="237">
        <f>IF(FL66=0,"",FO66/FL66)</f>
        <v/>
      </c>
      <c r="FR66" s="33" t="n"/>
      <c r="FS66" s="233" t="n"/>
      <c r="FT66" s="233" t="n"/>
      <c r="FU66" s="233">
        <f>FS66+FT66</f>
        <v/>
      </c>
      <c r="FV66" s="233" t="n"/>
      <c r="FW66" s="233" t="n"/>
      <c r="FX66" s="233">
        <f>FV66+FW66</f>
        <v/>
      </c>
      <c r="FY66" s="238">
        <f>FX66-FU66</f>
        <v/>
      </c>
      <c r="FZ66" s="235">
        <f>IF(FU66=0,"",FX66/FU66)</f>
        <v/>
      </c>
      <c r="GA66" s="26" t="n"/>
      <c r="GB66" s="236">
        <f>FJ66+FS66</f>
        <v/>
      </c>
      <c r="GC66" s="236">
        <f>FK66+FT66</f>
        <v/>
      </c>
      <c r="GD66" s="236">
        <f>GB66+GC66</f>
        <v/>
      </c>
      <c r="GE66" s="236">
        <f>FM66+FV66</f>
        <v/>
      </c>
      <c r="GF66" s="236">
        <f>FN66+FW66</f>
        <v/>
      </c>
      <c r="GG66" s="236">
        <f>GE66+GF66</f>
        <v/>
      </c>
      <c r="GH66" s="239">
        <f>GG66-GD66</f>
        <v/>
      </c>
      <c r="GI66" s="237">
        <f>IF(GD66=0,"",GG66/GD66)</f>
        <v/>
      </c>
      <c r="GJ66" s="33" t="n"/>
      <c r="GK66" s="233" t="n"/>
      <c r="GL66" s="233" t="n"/>
      <c r="GM66" s="233">
        <f>GK66+GL66</f>
        <v/>
      </c>
      <c r="GN66" s="233" t="n"/>
      <c r="GO66" s="233" t="n"/>
      <c r="GP66" s="233">
        <f>GN66+GO66</f>
        <v/>
      </c>
      <c r="GQ66" s="238">
        <f>GP66-GM66</f>
        <v/>
      </c>
      <c r="GR66" s="235">
        <f>IF(GM66=0,"",GP66/GM66)</f>
        <v/>
      </c>
      <c r="GS66" s="26" t="n"/>
      <c r="GT66" s="236">
        <f>GB66+GK66</f>
        <v/>
      </c>
      <c r="GU66" s="236">
        <f>GC66+GL66</f>
        <v/>
      </c>
      <c r="GV66" s="236">
        <f>GT66+GU66</f>
        <v/>
      </c>
      <c r="GW66" s="236">
        <f>GE66+GN66</f>
        <v/>
      </c>
      <c r="GX66" s="236">
        <f>GF66+GO66</f>
        <v/>
      </c>
      <c r="GY66" s="236">
        <f>GW66+GX66</f>
        <v/>
      </c>
      <c r="GZ66" s="239">
        <f>GY66-GV66</f>
        <v/>
      </c>
      <c r="HA66" s="237">
        <f>IF(GV66=0,"",GY66/GV66)</f>
        <v/>
      </c>
      <c r="HB66" s="33" t="n"/>
      <c r="HC66" s="233">
        <f>GT66</f>
        <v/>
      </c>
      <c r="HD66" s="233">
        <f>GU66</f>
        <v/>
      </c>
      <c r="HE66" s="233">
        <f>HC66+HD66</f>
        <v/>
      </c>
    </row>
    <row r="67" outlineLevel="1" ht="15" customHeight="1" s="150">
      <c r="A67" s="26" t="n"/>
      <c r="B67" s="26" t="n"/>
      <c r="C67" s="26" t="n"/>
      <c r="D67" s="233" t="n"/>
      <c r="E67" s="233" t="n"/>
      <c r="F67" s="233">
        <f>D67+E67</f>
        <v/>
      </c>
      <c r="G67" s="233" t="n"/>
      <c r="H67" s="233" t="n"/>
      <c r="I67" s="233">
        <f>G67+H67</f>
        <v/>
      </c>
      <c r="J67" s="238">
        <f>I67-F67</f>
        <v/>
      </c>
      <c r="K67" s="235">
        <f>IF(F67=0,"",I67/F67)</f>
        <v/>
      </c>
      <c r="L67" s="26" t="n"/>
      <c r="M67" s="233" t="n"/>
      <c r="N67" s="233" t="n"/>
      <c r="O67" s="233">
        <f>M67+N67</f>
        <v/>
      </c>
      <c r="P67" s="233" t="n"/>
      <c r="Q67" s="233" t="n"/>
      <c r="R67" s="233">
        <f>P67+Q67</f>
        <v/>
      </c>
      <c r="S67" s="238">
        <f>R67-O67</f>
        <v/>
      </c>
      <c r="T67" s="235">
        <f>IF(O67=0,"",R67/O67)</f>
        <v/>
      </c>
      <c r="U67" s="26" t="n"/>
      <c r="V67" s="236">
        <f>D67+M67</f>
        <v/>
      </c>
      <c r="W67" s="236">
        <f>E67+N67</f>
        <v/>
      </c>
      <c r="X67" s="236">
        <f>V67+W67</f>
        <v/>
      </c>
      <c r="Y67" s="236">
        <f>G67+P67</f>
        <v/>
      </c>
      <c r="Z67" s="236">
        <f>H67+Q67</f>
        <v/>
      </c>
      <c r="AA67" s="236">
        <f>Y67+Z67</f>
        <v/>
      </c>
      <c r="AB67" s="239">
        <f>AA67-X67</f>
        <v/>
      </c>
      <c r="AC67" s="237">
        <f>IF(X67=0,"",AA67/X67)</f>
        <v/>
      </c>
      <c r="AD67" s="33" t="n"/>
      <c r="AE67" s="233" t="n"/>
      <c r="AF67" s="233" t="n"/>
      <c r="AG67" s="233">
        <f>AE67+AF67</f>
        <v/>
      </c>
      <c r="AH67" s="233" t="n"/>
      <c r="AI67" s="233" t="n"/>
      <c r="AJ67" s="233">
        <f>AH67+AI67</f>
        <v/>
      </c>
      <c r="AK67" s="238">
        <f>AJ67-AG67</f>
        <v/>
      </c>
      <c r="AL67" s="235">
        <f>IF(AG67=0,"",AJ67/AG67)</f>
        <v/>
      </c>
      <c r="AM67" s="26" t="n"/>
      <c r="AN67" s="236">
        <f>V67+AE67</f>
        <v/>
      </c>
      <c r="AO67" s="236">
        <f>W67+AF67</f>
        <v/>
      </c>
      <c r="AP67" s="236">
        <f>AN67+AO67</f>
        <v/>
      </c>
      <c r="AQ67" s="236">
        <f>Y67+AH67</f>
        <v/>
      </c>
      <c r="AR67" s="236">
        <f>Z67+AI67</f>
        <v/>
      </c>
      <c r="AS67" s="236">
        <f>AQ67+AR67</f>
        <v/>
      </c>
      <c r="AT67" s="239">
        <f>AS67-AP67</f>
        <v/>
      </c>
      <c r="AU67" s="237">
        <f>IF(AP67=0,"",AS67/AP67)</f>
        <v/>
      </c>
      <c r="AV67" s="33" t="n"/>
      <c r="AW67" s="233" t="n"/>
      <c r="AX67" s="233" t="n"/>
      <c r="AY67" s="233">
        <f>AW67+AX67</f>
        <v/>
      </c>
      <c r="AZ67" s="233" t="n"/>
      <c r="BA67" s="233" t="n"/>
      <c r="BB67" s="233">
        <f>AZ67+BA67</f>
        <v/>
      </c>
      <c r="BC67" s="238">
        <f>BB67-AY67</f>
        <v/>
      </c>
      <c r="BD67" s="235">
        <f>IF(AY67=0,"",BB67/AY67)</f>
        <v/>
      </c>
      <c r="BE67" s="26" t="n"/>
      <c r="BF67" s="236">
        <f>AN67+AW67</f>
        <v/>
      </c>
      <c r="BG67" s="236">
        <f>AO67+AX67</f>
        <v/>
      </c>
      <c r="BH67" s="236">
        <f>BF67+BG67</f>
        <v/>
      </c>
      <c r="BI67" s="236">
        <f>AQ67+AZ67</f>
        <v/>
      </c>
      <c r="BJ67" s="236">
        <f>AR67+BA67</f>
        <v/>
      </c>
      <c r="BK67" s="236">
        <f>BI67+BJ67</f>
        <v/>
      </c>
      <c r="BL67" s="239">
        <f>BK67-BH67</f>
        <v/>
      </c>
      <c r="BM67" s="237">
        <f>IF(BH67=0,"",BK67/BH67)</f>
        <v/>
      </c>
      <c r="BN67" s="33" t="n"/>
      <c r="BO67" s="233" t="n"/>
      <c r="BP67" s="233" t="n"/>
      <c r="BQ67" s="233">
        <f>BO67+BP67</f>
        <v/>
      </c>
      <c r="BR67" s="233" t="n"/>
      <c r="BS67" s="233" t="n"/>
      <c r="BT67" s="233">
        <f>BR67+BS67</f>
        <v/>
      </c>
      <c r="BU67" s="238">
        <f>BT67-BQ67</f>
        <v/>
      </c>
      <c r="BV67" s="235">
        <f>IF(BQ67=0,"",BT67/BQ67)</f>
        <v/>
      </c>
      <c r="BW67" s="26" t="n"/>
      <c r="BX67" s="236">
        <f>BF67+BO67</f>
        <v/>
      </c>
      <c r="BY67" s="236">
        <f>BG67+BP67</f>
        <v/>
      </c>
      <c r="BZ67" s="236">
        <f>BX67+BY67</f>
        <v/>
      </c>
      <c r="CA67" s="236">
        <f>BI67+BR67</f>
        <v/>
      </c>
      <c r="CB67" s="236">
        <f>BJ67+BS67</f>
        <v/>
      </c>
      <c r="CC67" s="236">
        <f>CA67+CB67</f>
        <v/>
      </c>
      <c r="CD67" s="239">
        <f>CC67-BZ67</f>
        <v/>
      </c>
      <c r="CE67" s="237">
        <f>IF(BZ67=0,"",CC67/BZ67)</f>
        <v/>
      </c>
      <c r="CF67" s="33" t="n"/>
      <c r="CG67" s="233" t="n"/>
      <c r="CH67" s="233" t="n"/>
      <c r="CI67" s="233">
        <f>CG67+CH67</f>
        <v/>
      </c>
      <c r="CJ67" s="233" t="n"/>
      <c r="CK67" s="233" t="n"/>
      <c r="CL67" s="233">
        <f>CJ67+CK67</f>
        <v/>
      </c>
      <c r="CM67" s="238">
        <f>CL67-CI67</f>
        <v/>
      </c>
      <c r="CN67" s="235">
        <f>IF(CI67=0,"",CL67/CI67)</f>
        <v/>
      </c>
      <c r="CO67" s="26" t="n"/>
      <c r="CP67" s="236">
        <f>BX67+CG67</f>
        <v/>
      </c>
      <c r="CQ67" s="236">
        <f>BY67+CH67</f>
        <v/>
      </c>
      <c r="CR67" s="236">
        <f>CP67+CQ67</f>
        <v/>
      </c>
      <c r="CS67" s="236">
        <f>CA67+CJ67</f>
        <v/>
      </c>
      <c r="CT67" s="236">
        <f>CB67+CK67</f>
        <v/>
      </c>
      <c r="CU67" s="236">
        <f>CS67+CT67</f>
        <v/>
      </c>
      <c r="CV67" s="239">
        <f>CU67-CR67</f>
        <v/>
      </c>
      <c r="CW67" s="237">
        <f>IF(CR67=0,"",CU67/CR67)</f>
        <v/>
      </c>
      <c r="CX67" s="33" t="n"/>
      <c r="CY67" s="233" t="n"/>
      <c r="CZ67" s="233" t="n"/>
      <c r="DA67" s="233">
        <f>CY67+CZ67</f>
        <v/>
      </c>
      <c r="DB67" s="233" t="n"/>
      <c r="DC67" s="233" t="n"/>
      <c r="DD67" s="233">
        <f>DB67+DC67</f>
        <v/>
      </c>
      <c r="DE67" s="238">
        <f>DD67-DA67</f>
        <v/>
      </c>
      <c r="DF67" s="235">
        <f>IF(DA67=0,"",DD67/DA67)</f>
        <v/>
      </c>
      <c r="DG67" s="26" t="n"/>
      <c r="DH67" s="236">
        <f>CP67+CY67</f>
        <v/>
      </c>
      <c r="DI67" s="236">
        <f>CQ67+CZ67</f>
        <v/>
      </c>
      <c r="DJ67" s="236">
        <f>DH67+DI67</f>
        <v/>
      </c>
      <c r="DK67" s="236">
        <f>CS67+DB67</f>
        <v/>
      </c>
      <c r="DL67" s="236">
        <f>CT67+DC67</f>
        <v/>
      </c>
      <c r="DM67" s="236">
        <f>DK67+DL67</f>
        <v/>
      </c>
      <c r="DN67" s="239">
        <f>DM67-DJ67</f>
        <v/>
      </c>
      <c r="DO67" s="237">
        <f>IF(DJ67=0,"",DM67/DJ67)</f>
        <v/>
      </c>
      <c r="DP67" s="33" t="n"/>
      <c r="DQ67" s="233" t="n"/>
      <c r="DR67" s="233" t="n"/>
      <c r="DS67" s="233">
        <f>DQ67+DR67</f>
        <v/>
      </c>
      <c r="DT67" s="233" t="n"/>
      <c r="DU67" s="233" t="n"/>
      <c r="DV67" s="233">
        <f>DT67+DU67</f>
        <v/>
      </c>
      <c r="DW67" s="238">
        <f>DV67-DS67</f>
        <v/>
      </c>
      <c r="DX67" s="235">
        <f>IF(DS67=0,"",DV67/DS67)</f>
        <v/>
      </c>
      <c r="DY67" s="26" t="n"/>
      <c r="DZ67" s="236">
        <f>DH67+DQ67</f>
        <v/>
      </c>
      <c r="EA67" s="236">
        <f>DI67+DR67</f>
        <v/>
      </c>
      <c r="EB67" s="236">
        <f>DZ67+EA67</f>
        <v/>
      </c>
      <c r="EC67" s="236">
        <f>DK67+DT67</f>
        <v/>
      </c>
      <c r="ED67" s="236">
        <f>DL67+DU67</f>
        <v/>
      </c>
      <c r="EE67" s="236">
        <f>EC67+ED67</f>
        <v/>
      </c>
      <c r="EF67" s="239">
        <f>EE67-EB67</f>
        <v/>
      </c>
      <c r="EG67" s="237">
        <f>IF(EB67=0,"",EE67/EB67)</f>
        <v/>
      </c>
      <c r="EH67" s="33" t="n"/>
      <c r="EI67" s="233" t="n"/>
      <c r="EJ67" s="233" t="n"/>
      <c r="EK67" s="233">
        <f>EI67+EJ67</f>
        <v/>
      </c>
      <c r="EL67" s="233" t="n"/>
      <c r="EM67" s="233" t="n"/>
      <c r="EN67" s="233">
        <f>EL67+EM67</f>
        <v/>
      </c>
      <c r="EO67" s="238">
        <f>EN67-EK67</f>
        <v/>
      </c>
      <c r="EP67" s="235">
        <f>IF(EK67=0,"",EN67/EK67)</f>
        <v/>
      </c>
      <c r="EQ67" s="26" t="n"/>
      <c r="ER67" s="236">
        <f>DZ67+EI67</f>
        <v/>
      </c>
      <c r="ES67" s="236">
        <f>EA67+EJ67</f>
        <v/>
      </c>
      <c r="ET67" s="236">
        <f>ER67+ES67</f>
        <v/>
      </c>
      <c r="EU67" s="236">
        <f>EC67+EL67</f>
        <v/>
      </c>
      <c r="EV67" s="236">
        <f>ED67+EM67</f>
        <v/>
      </c>
      <c r="EW67" s="236">
        <f>EU67+EV67</f>
        <v/>
      </c>
      <c r="EX67" s="239">
        <f>EW67-ET67</f>
        <v/>
      </c>
      <c r="EY67" s="237">
        <f>IF(ET67=0,"",EW67/ET67)</f>
        <v/>
      </c>
      <c r="EZ67" s="33" t="n"/>
      <c r="FA67" s="233" t="n"/>
      <c r="FB67" s="233" t="n"/>
      <c r="FC67" s="233">
        <f>FA67+FB67</f>
        <v/>
      </c>
      <c r="FD67" s="233" t="n"/>
      <c r="FE67" s="233" t="n"/>
      <c r="FF67" s="233">
        <f>FD67+FE67</f>
        <v/>
      </c>
      <c r="FG67" s="238">
        <f>FF67-FC67</f>
        <v/>
      </c>
      <c r="FH67" s="235">
        <f>IF(FC67=0,"",FF67/FC67)</f>
        <v/>
      </c>
      <c r="FI67" s="26" t="n"/>
      <c r="FJ67" s="236">
        <f>ER67+FA67</f>
        <v/>
      </c>
      <c r="FK67" s="236">
        <f>ES67+FB67</f>
        <v/>
      </c>
      <c r="FL67" s="236">
        <f>FJ67+FK67</f>
        <v/>
      </c>
      <c r="FM67" s="236">
        <f>EU67+FD67</f>
        <v/>
      </c>
      <c r="FN67" s="236">
        <f>EV67+FE67</f>
        <v/>
      </c>
      <c r="FO67" s="236">
        <f>FM67+FN67</f>
        <v/>
      </c>
      <c r="FP67" s="239">
        <f>FO67-FL67</f>
        <v/>
      </c>
      <c r="FQ67" s="237">
        <f>IF(FL67=0,"",FO67/FL67)</f>
        <v/>
      </c>
      <c r="FR67" s="33" t="n"/>
      <c r="FS67" s="233" t="n"/>
      <c r="FT67" s="233" t="n"/>
      <c r="FU67" s="233">
        <f>FS67+FT67</f>
        <v/>
      </c>
      <c r="FV67" s="233" t="n"/>
      <c r="FW67" s="233" t="n"/>
      <c r="FX67" s="233">
        <f>FV67+FW67</f>
        <v/>
      </c>
      <c r="FY67" s="238">
        <f>FX67-FU67</f>
        <v/>
      </c>
      <c r="FZ67" s="235">
        <f>IF(FU67=0,"",FX67/FU67)</f>
        <v/>
      </c>
      <c r="GA67" s="26" t="n"/>
      <c r="GB67" s="236">
        <f>FJ67+FS67</f>
        <v/>
      </c>
      <c r="GC67" s="236">
        <f>FK67+FT67</f>
        <v/>
      </c>
      <c r="GD67" s="236">
        <f>GB67+GC67</f>
        <v/>
      </c>
      <c r="GE67" s="236">
        <f>FM67+FV67</f>
        <v/>
      </c>
      <c r="GF67" s="236">
        <f>FN67+FW67</f>
        <v/>
      </c>
      <c r="GG67" s="236">
        <f>GE67+GF67</f>
        <v/>
      </c>
      <c r="GH67" s="239">
        <f>GG67-GD67</f>
        <v/>
      </c>
      <c r="GI67" s="237">
        <f>IF(GD67=0,"",GG67/GD67)</f>
        <v/>
      </c>
      <c r="GJ67" s="33" t="n"/>
      <c r="GK67" s="233" t="n"/>
      <c r="GL67" s="233" t="n"/>
      <c r="GM67" s="233">
        <f>GK67+GL67</f>
        <v/>
      </c>
      <c r="GN67" s="233" t="n"/>
      <c r="GO67" s="233" t="n"/>
      <c r="GP67" s="233">
        <f>GN67+GO67</f>
        <v/>
      </c>
      <c r="GQ67" s="238">
        <f>GP67-GM67</f>
        <v/>
      </c>
      <c r="GR67" s="235">
        <f>IF(GM67=0,"",GP67/GM67)</f>
        <v/>
      </c>
      <c r="GS67" s="26" t="n"/>
      <c r="GT67" s="236">
        <f>GB67+GK67</f>
        <v/>
      </c>
      <c r="GU67" s="236">
        <f>GC67+GL67</f>
        <v/>
      </c>
      <c r="GV67" s="236">
        <f>GT67+GU67</f>
        <v/>
      </c>
      <c r="GW67" s="236">
        <f>GE67+GN67</f>
        <v/>
      </c>
      <c r="GX67" s="236">
        <f>GF67+GO67</f>
        <v/>
      </c>
      <c r="GY67" s="236">
        <f>GW67+GX67</f>
        <v/>
      </c>
      <c r="GZ67" s="239">
        <f>GY67-GV67</f>
        <v/>
      </c>
      <c r="HA67" s="237">
        <f>IF(GV67=0,"",GY67/GV67)</f>
        <v/>
      </c>
      <c r="HB67" s="33" t="n"/>
      <c r="HC67" s="233">
        <f>GT67</f>
        <v/>
      </c>
      <c r="HD67" s="233">
        <f>GU67</f>
        <v/>
      </c>
      <c r="HE67" s="233">
        <f>HC67+HD67</f>
        <v/>
      </c>
    </row>
    <row r="68" ht="15" customHeight="1" s="150">
      <c r="A68" s="18" t="n"/>
      <c r="B68" s="18" t="n"/>
      <c r="C68" s="18" t="n"/>
      <c r="D68" s="227">
        <f>D69</f>
        <v/>
      </c>
      <c r="E68" s="227">
        <f>E69</f>
        <v/>
      </c>
      <c r="F68" s="227">
        <f>D68+E68</f>
        <v/>
      </c>
      <c r="G68" s="227">
        <f>G69</f>
        <v/>
      </c>
      <c r="H68" s="227">
        <f>H69</f>
        <v/>
      </c>
      <c r="I68" s="227">
        <f>G68+H68</f>
        <v/>
      </c>
      <c r="J68" s="228">
        <f>I68-F68</f>
        <v/>
      </c>
      <c r="K68" s="229">
        <f>IF(F68=0,"",I68/F68)</f>
        <v/>
      </c>
      <c r="L68" s="18" t="n"/>
      <c r="M68" s="227">
        <f>M69</f>
        <v/>
      </c>
      <c r="N68" s="227">
        <f>N69</f>
        <v/>
      </c>
      <c r="O68" s="227">
        <f>M68+N68</f>
        <v/>
      </c>
      <c r="P68" s="227">
        <f>P69</f>
        <v/>
      </c>
      <c r="Q68" s="227">
        <f>Q69</f>
        <v/>
      </c>
      <c r="R68" s="227">
        <f>P68+Q68</f>
        <v/>
      </c>
      <c r="S68" s="228">
        <f>R68-O68</f>
        <v/>
      </c>
      <c r="T68" s="229">
        <f>IF(O68=0,"",R68/O68)</f>
        <v/>
      </c>
      <c r="U68" s="18" t="n"/>
      <c r="V68" s="230">
        <f>V69</f>
        <v/>
      </c>
      <c r="W68" s="230">
        <f>W69</f>
        <v/>
      </c>
      <c r="X68" s="230">
        <f>V68+W68</f>
        <v/>
      </c>
      <c r="Y68" s="230">
        <f>Y69</f>
        <v/>
      </c>
      <c r="Z68" s="230">
        <f>Z69</f>
        <v/>
      </c>
      <c r="AA68" s="230">
        <f>Y68+Z68</f>
        <v/>
      </c>
      <c r="AB68" s="231">
        <f>AA68-X68</f>
        <v/>
      </c>
      <c r="AC68" s="232">
        <f>IF(X68=0,"",AA68/X68)</f>
        <v/>
      </c>
      <c r="AD68" s="25" t="n"/>
      <c r="AE68" s="227">
        <f>AE69</f>
        <v/>
      </c>
      <c r="AF68" s="227">
        <f>AF69</f>
        <v/>
      </c>
      <c r="AG68" s="227">
        <f>AE68+AF68</f>
        <v/>
      </c>
      <c r="AH68" s="227">
        <f>AH69</f>
        <v/>
      </c>
      <c r="AI68" s="227">
        <f>AI69</f>
        <v/>
      </c>
      <c r="AJ68" s="227">
        <f>AH68+AI68</f>
        <v/>
      </c>
      <c r="AK68" s="228">
        <f>AJ68-AG68</f>
        <v/>
      </c>
      <c r="AL68" s="229">
        <f>IF(AG68=0,"",AJ68/AG68)</f>
        <v/>
      </c>
      <c r="AM68" s="18" t="n"/>
      <c r="AN68" s="230">
        <f>AN69</f>
        <v/>
      </c>
      <c r="AO68" s="230">
        <f>AO69</f>
        <v/>
      </c>
      <c r="AP68" s="230">
        <f>AN68+AO68</f>
        <v/>
      </c>
      <c r="AQ68" s="230">
        <f>AQ69</f>
        <v/>
      </c>
      <c r="AR68" s="230">
        <f>AR69</f>
        <v/>
      </c>
      <c r="AS68" s="230">
        <f>AQ68+AR68</f>
        <v/>
      </c>
      <c r="AT68" s="231">
        <f>AS68-AP68</f>
        <v/>
      </c>
      <c r="AU68" s="232">
        <f>IF(AP68=0,"",AS68/AP68)</f>
        <v/>
      </c>
      <c r="AV68" s="25" t="n"/>
      <c r="AW68" s="227">
        <f>AW69</f>
        <v/>
      </c>
      <c r="AX68" s="227">
        <f>AX69</f>
        <v/>
      </c>
      <c r="AY68" s="227">
        <f>AW68+AX68</f>
        <v/>
      </c>
      <c r="AZ68" s="227">
        <f>AZ69</f>
        <v/>
      </c>
      <c r="BA68" s="227">
        <f>BA69</f>
        <v/>
      </c>
      <c r="BB68" s="227">
        <f>AZ68+BA68</f>
        <v/>
      </c>
      <c r="BC68" s="228">
        <f>BB68-AY68</f>
        <v/>
      </c>
      <c r="BD68" s="229">
        <f>IF(AY68=0,"",BB68/AY68)</f>
        <v/>
      </c>
      <c r="BE68" s="18" t="n"/>
      <c r="BF68" s="230">
        <f>BF69</f>
        <v/>
      </c>
      <c r="BG68" s="230">
        <f>BG69</f>
        <v/>
      </c>
      <c r="BH68" s="230">
        <f>BF68+BG68</f>
        <v/>
      </c>
      <c r="BI68" s="230">
        <f>BI69</f>
        <v/>
      </c>
      <c r="BJ68" s="230">
        <f>BJ69</f>
        <v/>
      </c>
      <c r="BK68" s="230">
        <f>BI68+BJ68</f>
        <v/>
      </c>
      <c r="BL68" s="231">
        <f>BK68-BH68</f>
        <v/>
      </c>
      <c r="BM68" s="232">
        <f>IF(BH68=0,"",BK68/BH68)</f>
        <v/>
      </c>
      <c r="BN68" s="25" t="n"/>
      <c r="BO68" s="227">
        <f>BO69</f>
        <v/>
      </c>
      <c r="BP68" s="227">
        <f>BP69</f>
        <v/>
      </c>
      <c r="BQ68" s="227">
        <f>BO68+BP68</f>
        <v/>
      </c>
      <c r="BR68" s="227">
        <f>BR69</f>
        <v/>
      </c>
      <c r="BS68" s="227">
        <f>BS69</f>
        <v/>
      </c>
      <c r="BT68" s="227">
        <f>BR68+BS68</f>
        <v/>
      </c>
      <c r="BU68" s="228">
        <f>BT68-BQ68</f>
        <v/>
      </c>
      <c r="BV68" s="229">
        <f>IF(BQ68=0,"",BT68/BQ68)</f>
        <v/>
      </c>
      <c r="BW68" s="18" t="n"/>
      <c r="BX68" s="230">
        <f>BX69</f>
        <v/>
      </c>
      <c r="BY68" s="230">
        <f>BY69</f>
        <v/>
      </c>
      <c r="BZ68" s="230">
        <f>BX68+BY68</f>
        <v/>
      </c>
      <c r="CA68" s="230">
        <f>CA69</f>
        <v/>
      </c>
      <c r="CB68" s="230">
        <f>CB69</f>
        <v/>
      </c>
      <c r="CC68" s="230">
        <f>CA68+CB68</f>
        <v/>
      </c>
      <c r="CD68" s="231">
        <f>CC68-BZ68</f>
        <v/>
      </c>
      <c r="CE68" s="232">
        <f>IF(BZ68=0,"",CC68/BZ68)</f>
        <v/>
      </c>
      <c r="CF68" s="25" t="n"/>
      <c r="CG68" s="227">
        <f>CG69</f>
        <v/>
      </c>
      <c r="CH68" s="227">
        <f>CH69</f>
        <v/>
      </c>
      <c r="CI68" s="227">
        <f>CG68+CH68</f>
        <v/>
      </c>
      <c r="CJ68" s="227">
        <f>CJ69</f>
        <v/>
      </c>
      <c r="CK68" s="227">
        <f>CK69</f>
        <v/>
      </c>
      <c r="CL68" s="227">
        <f>CJ68+CK68</f>
        <v/>
      </c>
      <c r="CM68" s="228">
        <f>CL68-CI68</f>
        <v/>
      </c>
      <c r="CN68" s="229">
        <f>IF(CI68=0,"",CL68/CI68)</f>
        <v/>
      </c>
      <c r="CO68" s="18" t="n"/>
      <c r="CP68" s="230">
        <f>CP69</f>
        <v/>
      </c>
      <c r="CQ68" s="230">
        <f>CQ69</f>
        <v/>
      </c>
      <c r="CR68" s="230">
        <f>CP68+CQ68</f>
        <v/>
      </c>
      <c r="CS68" s="230">
        <f>CS69</f>
        <v/>
      </c>
      <c r="CT68" s="230">
        <f>CT69</f>
        <v/>
      </c>
      <c r="CU68" s="230">
        <f>CS68+CT68</f>
        <v/>
      </c>
      <c r="CV68" s="231">
        <f>CU68-CR68</f>
        <v/>
      </c>
      <c r="CW68" s="232">
        <f>IF(CR68=0,"",CU68/CR68)</f>
        <v/>
      </c>
      <c r="CX68" s="25" t="n"/>
      <c r="CY68" s="227">
        <f>CY69</f>
        <v/>
      </c>
      <c r="CZ68" s="227">
        <f>CZ69</f>
        <v/>
      </c>
      <c r="DA68" s="227">
        <f>CY68+CZ68</f>
        <v/>
      </c>
      <c r="DB68" s="227">
        <f>DB69</f>
        <v/>
      </c>
      <c r="DC68" s="227">
        <f>DC69</f>
        <v/>
      </c>
      <c r="DD68" s="227">
        <f>DB68+DC68</f>
        <v/>
      </c>
      <c r="DE68" s="228">
        <f>DD68-DA68</f>
        <v/>
      </c>
      <c r="DF68" s="229">
        <f>IF(DA68=0,"",DD68/DA68)</f>
        <v/>
      </c>
      <c r="DG68" s="18" t="n"/>
      <c r="DH68" s="230">
        <f>DH69</f>
        <v/>
      </c>
      <c r="DI68" s="230">
        <f>DI69</f>
        <v/>
      </c>
      <c r="DJ68" s="230">
        <f>DH68+DI68</f>
        <v/>
      </c>
      <c r="DK68" s="230">
        <f>DK69</f>
        <v/>
      </c>
      <c r="DL68" s="230">
        <f>DL69</f>
        <v/>
      </c>
      <c r="DM68" s="230">
        <f>DK68+DL68</f>
        <v/>
      </c>
      <c r="DN68" s="231">
        <f>DM68-DJ68</f>
        <v/>
      </c>
      <c r="DO68" s="232">
        <f>IF(DJ68=0,"",DM68/DJ68)</f>
        <v/>
      </c>
      <c r="DP68" s="25" t="n"/>
      <c r="DQ68" s="227">
        <f>DQ69</f>
        <v/>
      </c>
      <c r="DR68" s="227">
        <f>DR69</f>
        <v/>
      </c>
      <c r="DS68" s="227">
        <f>DQ68+DR68</f>
        <v/>
      </c>
      <c r="DT68" s="227">
        <f>DT69</f>
        <v/>
      </c>
      <c r="DU68" s="227">
        <f>DU69</f>
        <v/>
      </c>
      <c r="DV68" s="227">
        <f>DT68+DU68</f>
        <v/>
      </c>
      <c r="DW68" s="228">
        <f>DV68-DS68</f>
        <v/>
      </c>
      <c r="DX68" s="229">
        <f>IF(DS68=0,"",DV68/DS68)</f>
        <v/>
      </c>
      <c r="DY68" s="18" t="n"/>
      <c r="DZ68" s="230">
        <f>DZ69</f>
        <v/>
      </c>
      <c r="EA68" s="230">
        <f>EA69</f>
        <v/>
      </c>
      <c r="EB68" s="230">
        <f>DZ68+EA68</f>
        <v/>
      </c>
      <c r="EC68" s="230">
        <f>EC69</f>
        <v/>
      </c>
      <c r="ED68" s="230">
        <f>ED69</f>
        <v/>
      </c>
      <c r="EE68" s="230">
        <f>EC68+ED68</f>
        <v/>
      </c>
      <c r="EF68" s="231">
        <f>EE68-EB68</f>
        <v/>
      </c>
      <c r="EG68" s="232">
        <f>IF(EB68=0,"",EE68/EB68)</f>
        <v/>
      </c>
      <c r="EH68" s="25" t="n"/>
      <c r="EI68" s="227">
        <f>EI69</f>
        <v/>
      </c>
      <c r="EJ68" s="227">
        <f>EJ69</f>
        <v/>
      </c>
      <c r="EK68" s="227">
        <f>EI68+EJ68</f>
        <v/>
      </c>
      <c r="EL68" s="227">
        <f>EL69</f>
        <v/>
      </c>
      <c r="EM68" s="227">
        <f>EM69</f>
        <v/>
      </c>
      <c r="EN68" s="227">
        <f>EL68+EM68</f>
        <v/>
      </c>
      <c r="EO68" s="228">
        <f>EN68-EK68</f>
        <v/>
      </c>
      <c r="EP68" s="229">
        <f>IF(EK68=0,"",EN68/EK68)</f>
        <v/>
      </c>
      <c r="EQ68" s="18" t="n"/>
      <c r="ER68" s="230">
        <f>ER69</f>
        <v/>
      </c>
      <c r="ES68" s="230">
        <f>ES69</f>
        <v/>
      </c>
      <c r="ET68" s="230">
        <f>ER68+ES68</f>
        <v/>
      </c>
      <c r="EU68" s="230">
        <f>EU69</f>
        <v/>
      </c>
      <c r="EV68" s="230">
        <f>EV69</f>
        <v/>
      </c>
      <c r="EW68" s="230">
        <f>EU68+EV68</f>
        <v/>
      </c>
      <c r="EX68" s="231">
        <f>EW68-ET68</f>
        <v/>
      </c>
      <c r="EY68" s="232">
        <f>IF(ET68=0,"",EW68/ET68)</f>
        <v/>
      </c>
      <c r="EZ68" s="25" t="n"/>
      <c r="FA68" s="227">
        <f>FA69</f>
        <v/>
      </c>
      <c r="FB68" s="227">
        <f>FB69</f>
        <v/>
      </c>
      <c r="FC68" s="227">
        <f>FA68+FB68</f>
        <v/>
      </c>
      <c r="FD68" s="227">
        <f>FD69</f>
        <v/>
      </c>
      <c r="FE68" s="227">
        <f>FE69</f>
        <v/>
      </c>
      <c r="FF68" s="227">
        <f>FD68+FE68</f>
        <v/>
      </c>
      <c r="FG68" s="228">
        <f>FF68-FC68</f>
        <v/>
      </c>
      <c r="FH68" s="229">
        <f>IF(FC68=0,"",FF68/FC68)</f>
        <v/>
      </c>
      <c r="FI68" s="18" t="n"/>
      <c r="FJ68" s="230">
        <f>FJ69</f>
        <v/>
      </c>
      <c r="FK68" s="230">
        <f>FK69</f>
        <v/>
      </c>
      <c r="FL68" s="230">
        <f>FJ68+FK68</f>
        <v/>
      </c>
      <c r="FM68" s="230">
        <f>FM69</f>
        <v/>
      </c>
      <c r="FN68" s="230">
        <f>FN69</f>
        <v/>
      </c>
      <c r="FO68" s="230">
        <f>FM68+FN68</f>
        <v/>
      </c>
      <c r="FP68" s="231">
        <f>FO68-FL68</f>
        <v/>
      </c>
      <c r="FQ68" s="232">
        <f>IF(FL68=0,"",FO68/FL68)</f>
        <v/>
      </c>
      <c r="FR68" s="25" t="n"/>
      <c r="FS68" s="227">
        <f>FS69</f>
        <v/>
      </c>
      <c r="FT68" s="227">
        <f>FT69</f>
        <v/>
      </c>
      <c r="FU68" s="227">
        <f>FS68+FT68</f>
        <v/>
      </c>
      <c r="FV68" s="227">
        <f>FV69</f>
        <v/>
      </c>
      <c r="FW68" s="227">
        <f>FW69</f>
        <v/>
      </c>
      <c r="FX68" s="227">
        <f>FV68+FW68</f>
        <v/>
      </c>
      <c r="FY68" s="228">
        <f>FX68-FU68</f>
        <v/>
      </c>
      <c r="FZ68" s="229">
        <f>IF(FU68=0,"",FX68/FU68)</f>
        <v/>
      </c>
      <c r="GA68" s="18" t="n"/>
      <c r="GB68" s="230">
        <f>GB69</f>
        <v/>
      </c>
      <c r="GC68" s="230">
        <f>GC69</f>
        <v/>
      </c>
      <c r="GD68" s="230">
        <f>GB68+GC68</f>
        <v/>
      </c>
      <c r="GE68" s="230">
        <f>GE69</f>
        <v/>
      </c>
      <c r="GF68" s="230">
        <f>GF69</f>
        <v/>
      </c>
      <c r="GG68" s="230">
        <f>GE68+GF68</f>
        <v/>
      </c>
      <c r="GH68" s="231">
        <f>GG68-GD68</f>
        <v/>
      </c>
      <c r="GI68" s="232">
        <f>IF(GD68=0,"",GG68/GD68)</f>
        <v/>
      </c>
      <c r="GJ68" s="25" t="n"/>
      <c r="GK68" s="227">
        <f>GK69</f>
        <v/>
      </c>
      <c r="GL68" s="227">
        <f>GL69</f>
        <v/>
      </c>
      <c r="GM68" s="227">
        <f>GK68+GL68</f>
        <v/>
      </c>
      <c r="GN68" s="227">
        <f>GN69</f>
        <v/>
      </c>
      <c r="GO68" s="227">
        <f>GO69</f>
        <v/>
      </c>
      <c r="GP68" s="227">
        <f>GN68+GO68</f>
        <v/>
      </c>
      <c r="GQ68" s="228">
        <f>GP68-GM68</f>
        <v/>
      </c>
      <c r="GR68" s="229">
        <f>IF(GM68=0,"",GP68/GM68)</f>
        <v/>
      </c>
      <c r="GS68" s="18" t="n"/>
      <c r="GT68" s="230">
        <f>GT69</f>
        <v/>
      </c>
      <c r="GU68" s="230">
        <f>GU69</f>
        <v/>
      </c>
      <c r="GV68" s="230">
        <f>GT68+GU68</f>
        <v/>
      </c>
      <c r="GW68" s="230">
        <f>GW69</f>
        <v/>
      </c>
      <c r="GX68" s="230">
        <f>GX69</f>
        <v/>
      </c>
      <c r="GY68" s="230">
        <f>GW68+GX68</f>
        <v/>
      </c>
      <c r="GZ68" s="231">
        <f>GY68-GV68</f>
        <v/>
      </c>
      <c r="HA68" s="232">
        <f>IF(GV68=0,"",GY68/GV68)</f>
        <v/>
      </c>
      <c r="HB68" s="25" t="n"/>
      <c r="HC68" s="227">
        <f>GT68</f>
        <v/>
      </c>
      <c r="HD68" s="227">
        <f>GU68</f>
        <v/>
      </c>
      <c r="HE68" s="227">
        <f>HC68+HD68</f>
        <v/>
      </c>
    </row>
    <row r="69" outlineLevel="1" ht="15" customHeight="1" s="150">
      <c r="A69" s="26" t="n"/>
      <c r="B69" s="26" t="n"/>
      <c r="C69" s="26" t="n"/>
      <c r="D69" s="233" t="n"/>
      <c r="E69" s="233" t="n"/>
      <c r="F69" s="233">
        <f>D69+E69</f>
        <v/>
      </c>
      <c r="G69" s="233" t="n"/>
      <c r="H69" s="233" t="n"/>
      <c r="I69" s="233">
        <f>G69+H69</f>
        <v/>
      </c>
      <c r="J69" s="238">
        <f>I69-F69</f>
        <v/>
      </c>
      <c r="K69" s="235">
        <f>IF(F69=0,"",I69/F69)</f>
        <v/>
      </c>
      <c r="L69" s="26" t="n"/>
      <c r="M69" s="233" t="n"/>
      <c r="N69" s="233" t="n"/>
      <c r="O69" s="233">
        <f>M69+N69</f>
        <v/>
      </c>
      <c r="P69" s="233" t="n"/>
      <c r="Q69" s="233" t="n"/>
      <c r="R69" s="233">
        <f>P69+Q69</f>
        <v/>
      </c>
      <c r="S69" s="238">
        <f>R69-O69</f>
        <v/>
      </c>
      <c r="T69" s="235">
        <f>IF(O69=0,"",R69/O69)</f>
        <v/>
      </c>
      <c r="U69" s="26" t="n"/>
      <c r="V69" s="236">
        <f>D69+M69</f>
        <v/>
      </c>
      <c r="W69" s="236">
        <f>E69+N69</f>
        <v/>
      </c>
      <c r="X69" s="236">
        <f>V69+W69</f>
        <v/>
      </c>
      <c r="Y69" s="236">
        <f>G69+P69</f>
        <v/>
      </c>
      <c r="Z69" s="236">
        <f>H69+Q69</f>
        <v/>
      </c>
      <c r="AA69" s="236">
        <f>Y69+Z69</f>
        <v/>
      </c>
      <c r="AB69" s="239">
        <f>AA69-X69</f>
        <v/>
      </c>
      <c r="AC69" s="237">
        <f>IF(X69=0,"",AA69/X69)</f>
        <v/>
      </c>
      <c r="AD69" s="33" t="n"/>
      <c r="AE69" s="233" t="n"/>
      <c r="AF69" s="233" t="n"/>
      <c r="AG69" s="233">
        <f>AE69+AF69</f>
        <v/>
      </c>
      <c r="AH69" s="233" t="n"/>
      <c r="AI69" s="233" t="n"/>
      <c r="AJ69" s="233">
        <f>AH69+AI69</f>
        <v/>
      </c>
      <c r="AK69" s="238">
        <f>AJ69-AG69</f>
        <v/>
      </c>
      <c r="AL69" s="235">
        <f>IF(AG69=0,"",AJ69/AG69)</f>
        <v/>
      </c>
      <c r="AM69" s="26" t="n"/>
      <c r="AN69" s="236">
        <f>V69+AE69</f>
        <v/>
      </c>
      <c r="AO69" s="236">
        <f>W69+AF69</f>
        <v/>
      </c>
      <c r="AP69" s="236">
        <f>AN69+AO69</f>
        <v/>
      </c>
      <c r="AQ69" s="236">
        <f>Y69+AH69</f>
        <v/>
      </c>
      <c r="AR69" s="236">
        <f>Z69+AI69</f>
        <v/>
      </c>
      <c r="AS69" s="236">
        <f>AQ69+AR69</f>
        <v/>
      </c>
      <c r="AT69" s="239">
        <f>AS69-AP69</f>
        <v/>
      </c>
      <c r="AU69" s="237">
        <f>IF(AP69=0,"",AS69/AP69)</f>
        <v/>
      </c>
      <c r="AV69" s="33" t="n"/>
      <c r="AW69" s="233" t="n"/>
      <c r="AX69" s="233" t="n"/>
      <c r="AY69" s="233">
        <f>AW69+AX69</f>
        <v/>
      </c>
      <c r="AZ69" s="233" t="n"/>
      <c r="BA69" s="233" t="n"/>
      <c r="BB69" s="233">
        <f>AZ69+BA69</f>
        <v/>
      </c>
      <c r="BC69" s="238">
        <f>BB69-AY69</f>
        <v/>
      </c>
      <c r="BD69" s="235">
        <f>IF(AY69=0,"",BB69/AY69)</f>
        <v/>
      </c>
      <c r="BE69" s="26" t="n"/>
      <c r="BF69" s="236">
        <f>AN69+AW69</f>
        <v/>
      </c>
      <c r="BG69" s="236">
        <f>AO69+AX69</f>
        <v/>
      </c>
      <c r="BH69" s="236">
        <f>BF69+BG69</f>
        <v/>
      </c>
      <c r="BI69" s="236">
        <f>AQ69+AZ69</f>
        <v/>
      </c>
      <c r="BJ69" s="236">
        <f>AR69+BA69</f>
        <v/>
      </c>
      <c r="BK69" s="236">
        <f>BI69+BJ69</f>
        <v/>
      </c>
      <c r="BL69" s="239">
        <f>BK69-BH69</f>
        <v/>
      </c>
      <c r="BM69" s="237">
        <f>IF(BH69=0,"",BK69/BH69)</f>
        <v/>
      </c>
      <c r="BN69" s="33" t="n"/>
      <c r="BO69" s="233" t="n"/>
      <c r="BP69" s="233" t="n"/>
      <c r="BQ69" s="233">
        <f>BO69+BP69</f>
        <v/>
      </c>
      <c r="BR69" s="233" t="n"/>
      <c r="BS69" s="233" t="n"/>
      <c r="BT69" s="233">
        <f>BR69+BS69</f>
        <v/>
      </c>
      <c r="BU69" s="238">
        <f>BT69-BQ69</f>
        <v/>
      </c>
      <c r="BV69" s="235">
        <f>IF(BQ69=0,"",BT69/BQ69)</f>
        <v/>
      </c>
      <c r="BW69" s="26" t="n"/>
      <c r="BX69" s="236">
        <f>BF69+BO69</f>
        <v/>
      </c>
      <c r="BY69" s="236">
        <f>BG69+BP69</f>
        <v/>
      </c>
      <c r="BZ69" s="236">
        <f>BX69+BY69</f>
        <v/>
      </c>
      <c r="CA69" s="236">
        <f>BI69+BR69</f>
        <v/>
      </c>
      <c r="CB69" s="236">
        <f>BJ69+BS69</f>
        <v/>
      </c>
      <c r="CC69" s="236">
        <f>CA69+CB69</f>
        <v/>
      </c>
      <c r="CD69" s="239">
        <f>CC69-BZ69</f>
        <v/>
      </c>
      <c r="CE69" s="237">
        <f>IF(BZ69=0,"",CC69/BZ69)</f>
        <v/>
      </c>
      <c r="CF69" s="33" t="n"/>
      <c r="CG69" s="233" t="n"/>
      <c r="CH69" s="233" t="n"/>
      <c r="CI69" s="233">
        <f>CG69+CH69</f>
        <v/>
      </c>
      <c r="CJ69" s="233" t="n"/>
      <c r="CK69" s="233" t="n"/>
      <c r="CL69" s="233">
        <f>CJ69+CK69</f>
        <v/>
      </c>
      <c r="CM69" s="238">
        <f>CL69-CI69</f>
        <v/>
      </c>
      <c r="CN69" s="235">
        <f>IF(CI69=0,"",CL69/CI69)</f>
        <v/>
      </c>
      <c r="CO69" s="26" t="n"/>
      <c r="CP69" s="236">
        <f>BX69+CG69</f>
        <v/>
      </c>
      <c r="CQ69" s="236">
        <f>BY69+CH69</f>
        <v/>
      </c>
      <c r="CR69" s="236">
        <f>CP69+CQ69</f>
        <v/>
      </c>
      <c r="CS69" s="236">
        <f>CA69+CJ69</f>
        <v/>
      </c>
      <c r="CT69" s="236">
        <f>CB69+CK69</f>
        <v/>
      </c>
      <c r="CU69" s="236">
        <f>CS69+CT69</f>
        <v/>
      </c>
      <c r="CV69" s="239">
        <f>CU69-CR69</f>
        <v/>
      </c>
      <c r="CW69" s="237">
        <f>IF(CR69=0,"",CU69/CR69)</f>
        <v/>
      </c>
      <c r="CX69" s="33" t="n"/>
      <c r="CY69" s="233" t="n"/>
      <c r="CZ69" s="233" t="n"/>
      <c r="DA69" s="233">
        <f>CY69+CZ69</f>
        <v/>
      </c>
      <c r="DB69" s="233" t="n"/>
      <c r="DC69" s="233" t="n"/>
      <c r="DD69" s="233">
        <f>DB69+DC69</f>
        <v/>
      </c>
      <c r="DE69" s="238">
        <f>DD69-DA69</f>
        <v/>
      </c>
      <c r="DF69" s="235">
        <f>IF(DA69=0,"",DD69/DA69)</f>
        <v/>
      </c>
      <c r="DG69" s="26" t="n"/>
      <c r="DH69" s="236">
        <f>CP69+CY69</f>
        <v/>
      </c>
      <c r="DI69" s="236">
        <f>CQ69+CZ69</f>
        <v/>
      </c>
      <c r="DJ69" s="236">
        <f>DH69+DI69</f>
        <v/>
      </c>
      <c r="DK69" s="236">
        <f>CS69+DB69</f>
        <v/>
      </c>
      <c r="DL69" s="236">
        <f>CT69+DC69</f>
        <v/>
      </c>
      <c r="DM69" s="236">
        <f>DK69+DL69</f>
        <v/>
      </c>
      <c r="DN69" s="239">
        <f>DM69-DJ69</f>
        <v/>
      </c>
      <c r="DO69" s="237">
        <f>IF(DJ69=0,"",DM69/DJ69)</f>
        <v/>
      </c>
      <c r="DP69" s="33" t="n"/>
      <c r="DQ69" s="233" t="n"/>
      <c r="DR69" s="233" t="n"/>
      <c r="DS69" s="233">
        <f>DQ69+DR69</f>
        <v/>
      </c>
      <c r="DT69" s="233" t="n"/>
      <c r="DU69" s="233" t="n"/>
      <c r="DV69" s="233">
        <f>DT69+DU69</f>
        <v/>
      </c>
      <c r="DW69" s="238">
        <f>DV69-DS69</f>
        <v/>
      </c>
      <c r="DX69" s="235">
        <f>IF(DS69=0,"",DV69/DS69)</f>
        <v/>
      </c>
      <c r="DY69" s="26" t="n"/>
      <c r="DZ69" s="236">
        <f>DH69+DQ69</f>
        <v/>
      </c>
      <c r="EA69" s="236">
        <f>DI69+DR69</f>
        <v/>
      </c>
      <c r="EB69" s="236">
        <f>DZ69+EA69</f>
        <v/>
      </c>
      <c r="EC69" s="236">
        <f>DK69+DT69</f>
        <v/>
      </c>
      <c r="ED69" s="236">
        <f>DL69+DU69</f>
        <v/>
      </c>
      <c r="EE69" s="236">
        <f>EC69+ED69</f>
        <v/>
      </c>
      <c r="EF69" s="239">
        <f>EE69-EB69</f>
        <v/>
      </c>
      <c r="EG69" s="237">
        <f>IF(EB69=0,"",EE69/EB69)</f>
        <v/>
      </c>
      <c r="EH69" s="33" t="n"/>
      <c r="EI69" s="233" t="n"/>
      <c r="EJ69" s="233" t="n"/>
      <c r="EK69" s="233">
        <f>EI69+EJ69</f>
        <v/>
      </c>
      <c r="EL69" s="233" t="n"/>
      <c r="EM69" s="233" t="n"/>
      <c r="EN69" s="233">
        <f>EL69+EM69</f>
        <v/>
      </c>
      <c r="EO69" s="238">
        <f>EN69-EK69</f>
        <v/>
      </c>
      <c r="EP69" s="235">
        <f>IF(EK69=0,"",EN69/EK69)</f>
        <v/>
      </c>
      <c r="EQ69" s="26" t="n"/>
      <c r="ER69" s="236">
        <f>DZ69+EI69</f>
        <v/>
      </c>
      <c r="ES69" s="236">
        <f>EA69+EJ69</f>
        <v/>
      </c>
      <c r="ET69" s="236">
        <f>ER69+ES69</f>
        <v/>
      </c>
      <c r="EU69" s="236">
        <f>EC69+EL69</f>
        <v/>
      </c>
      <c r="EV69" s="236">
        <f>ED69+EM69</f>
        <v/>
      </c>
      <c r="EW69" s="236">
        <f>EU69+EV69</f>
        <v/>
      </c>
      <c r="EX69" s="239">
        <f>EW69-ET69</f>
        <v/>
      </c>
      <c r="EY69" s="237">
        <f>IF(ET69=0,"",EW69/ET69)</f>
        <v/>
      </c>
      <c r="EZ69" s="33" t="n"/>
      <c r="FA69" s="233" t="n"/>
      <c r="FB69" s="233" t="n"/>
      <c r="FC69" s="233">
        <f>FA69+FB69</f>
        <v/>
      </c>
      <c r="FD69" s="233" t="n"/>
      <c r="FE69" s="233" t="n"/>
      <c r="FF69" s="233">
        <f>FD69+FE69</f>
        <v/>
      </c>
      <c r="FG69" s="238">
        <f>FF69-FC69</f>
        <v/>
      </c>
      <c r="FH69" s="235">
        <f>IF(FC69=0,"",FF69/FC69)</f>
        <v/>
      </c>
      <c r="FI69" s="26" t="n"/>
      <c r="FJ69" s="236">
        <f>ER69+FA69</f>
        <v/>
      </c>
      <c r="FK69" s="236">
        <f>ES69+FB69</f>
        <v/>
      </c>
      <c r="FL69" s="236">
        <f>FJ69+FK69</f>
        <v/>
      </c>
      <c r="FM69" s="236">
        <f>EU69+FD69</f>
        <v/>
      </c>
      <c r="FN69" s="236">
        <f>EV69+FE69</f>
        <v/>
      </c>
      <c r="FO69" s="236">
        <f>FM69+FN69</f>
        <v/>
      </c>
      <c r="FP69" s="239">
        <f>FO69-FL69</f>
        <v/>
      </c>
      <c r="FQ69" s="237">
        <f>IF(FL69=0,"",FO69/FL69)</f>
        <v/>
      </c>
      <c r="FR69" s="33" t="n"/>
      <c r="FS69" s="233" t="n"/>
      <c r="FT69" s="233" t="n"/>
      <c r="FU69" s="233">
        <f>FS69+FT69</f>
        <v/>
      </c>
      <c r="FV69" s="233" t="n"/>
      <c r="FW69" s="233" t="n"/>
      <c r="FX69" s="233">
        <f>FV69+FW69</f>
        <v/>
      </c>
      <c r="FY69" s="238">
        <f>FX69-FU69</f>
        <v/>
      </c>
      <c r="FZ69" s="235">
        <f>IF(FU69=0,"",FX69/FU69)</f>
        <v/>
      </c>
      <c r="GA69" s="26" t="n"/>
      <c r="GB69" s="236">
        <f>FJ69+FS69</f>
        <v/>
      </c>
      <c r="GC69" s="236">
        <f>FK69+FT69</f>
        <v/>
      </c>
      <c r="GD69" s="236">
        <f>GB69+GC69</f>
        <v/>
      </c>
      <c r="GE69" s="236">
        <f>FM69+FV69</f>
        <v/>
      </c>
      <c r="GF69" s="236">
        <f>FN69+FW69</f>
        <v/>
      </c>
      <c r="GG69" s="236">
        <f>GE69+GF69</f>
        <v/>
      </c>
      <c r="GH69" s="239">
        <f>GG69-GD69</f>
        <v/>
      </c>
      <c r="GI69" s="237">
        <f>IF(GD69=0,"",GG69/GD69)</f>
        <v/>
      </c>
      <c r="GJ69" s="33" t="n"/>
      <c r="GK69" s="233" t="n"/>
      <c r="GL69" s="233" t="n"/>
      <c r="GM69" s="233">
        <f>GK69+GL69</f>
        <v/>
      </c>
      <c r="GN69" s="233" t="n"/>
      <c r="GO69" s="233" t="n"/>
      <c r="GP69" s="233">
        <f>GN69+GO69</f>
        <v/>
      </c>
      <c r="GQ69" s="238">
        <f>GP69-GM69</f>
        <v/>
      </c>
      <c r="GR69" s="235">
        <f>IF(GM69=0,"",GP69/GM69)</f>
        <v/>
      </c>
      <c r="GS69" s="26" t="n"/>
      <c r="GT69" s="236">
        <f>GB69+GK69</f>
        <v/>
      </c>
      <c r="GU69" s="236">
        <f>GC69+GL69</f>
        <v/>
      </c>
      <c r="GV69" s="236">
        <f>GT69+GU69</f>
        <v/>
      </c>
      <c r="GW69" s="236">
        <f>GE69+GN69</f>
        <v/>
      </c>
      <c r="GX69" s="236">
        <f>GF69+GO69</f>
        <v/>
      </c>
      <c r="GY69" s="236">
        <f>GW69+GX69</f>
        <v/>
      </c>
      <c r="GZ69" s="239">
        <f>GY69-GV69</f>
        <v/>
      </c>
      <c r="HA69" s="237">
        <f>IF(GV69=0,"",GY69/GV69)</f>
        <v/>
      </c>
      <c r="HB69" s="33" t="n"/>
      <c r="HC69" s="233">
        <f>GT69</f>
        <v/>
      </c>
      <c r="HD69" s="233">
        <f>GU69</f>
        <v/>
      </c>
      <c r="HE69" s="233">
        <f>HC69+HD69</f>
        <v/>
      </c>
    </row>
    <row r="70" ht="15" customHeight="1" s="150">
      <c r="A70" s="18" t="n"/>
      <c r="B70" s="18" t="n"/>
      <c r="C70" s="18" t="n"/>
      <c r="D70" s="227">
        <f>D71</f>
        <v/>
      </c>
      <c r="E70" s="227">
        <f>E71</f>
        <v/>
      </c>
      <c r="F70" s="227">
        <f>D70+E70</f>
        <v/>
      </c>
      <c r="G70" s="227">
        <f>G71</f>
        <v/>
      </c>
      <c r="H70" s="227">
        <f>H71</f>
        <v/>
      </c>
      <c r="I70" s="227">
        <f>G70+H70</f>
        <v/>
      </c>
      <c r="J70" s="228">
        <f>I70-F70</f>
        <v/>
      </c>
      <c r="K70" s="229">
        <f>IF(F70=0,"",I70/F70)</f>
        <v/>
      </c>
      <c r="L70" s="18" t="n"/>
      <c r="M70" s="227">
        <f>M71</f>
        <v/>
      </c>
      <c r="N70" s="227">
        <f>N71</f>
        <v/>
      </c>
      <c r="O70" s="227">
        <f>M70+N70</f>
        <v/>
      </c>
      <c r="P70" s="227">
        <f>P71</f>
        <v/>
      </c>
      <c r="Q70" s="227">
        <f>Q71</f>
        <v/>
      </c>
      <c r="R70" s="227">
        <f>P70+Q70</f>
        <v/>
      </c>
      <c r="S70" s="228">
        <f>R70-O70</f>
        <v/>
      </c>
      <c r="T70" s="229">
        <f>IF(O70=0,"",R70/O70)</f>
        <v/>
      </c>
      <c r="U70" s="18" t="n"/>
      <c r="V70" s="230">
        <f>V71</f>
        <v/>
      </c>
      <c r="W70" s="230">
        <f>W71</f>
        <v/>
      </c>
      <c r="X70" s="230">
        <f>V70+W70</f>
        <v/>
      </c>
      <c r="Y70" s="230">
        <f>Y71</f>
        <v/>
      </c>
      <c r="Z70" s="230">
        <f>Z71</f>
        <v/>
      </c>
      <c r="AA70" s="230">
        <f>Y70+Z70</f>
        <v/>
      </c>
      <c r="AB70" s="231">
        <f>AA70-X70</f>
        <v/>
      </c>
      <c r="AC70" s="232">
        <f>IF(X70=0,"",AA70/X70)</f>
        <v/>
      </c>
      <c r="AD70" s="25" t="n"/>
      <c r="AE70" s="227">
        <f>AE71</f>
        <v/>
      </c>
      <c r="AF70" s="227">
        <f>AF71</f>
        <v/>
      </c>
      <c r="AG70" s="227">
        <f>AE70+AF70</f>
        <v/>
      </c>
      <c r="AH70" s="227">
        <f>AH71</f>
        <v/>
      </c>
      <c r="AI70" s="227">
        <f>AI71</f>
        <v/>
      </c>
      <c r="AJ70" s="227">
        <f>AH70+AI70</f>
        <v/>
      </c>
      <c r="AK70" s="228">
        <f>AJ70-AG70</f>
        <v/>
      </c>
      <c r="AL70" s="229">
        <f>IF(AG70=0,"",AJ70/AG70)</f>
        <v/>
      </c>
      <c r="AM70" s="18" t="n"/>
      <c r="AN70" s="230">
        <f>AN71</f>
        <v/>
      </c>
      <c r="AO70" s="230">
        <f>AO71</f>
        <v/>
      </c>
      <c r="AP70" s="230">
        <f>AN70+AO70</f>
        <v/>
      </c>
      <c r="AQ70" s="230">
        <f>AQ71</f>
        <v/>
      </c>
      <c r="AR70" s="230">
        <f>AR71</f>
        <v/>
      </c>
      <c r="AS70" s="230">
        <f>AQ70+AR70</f>
        <v/>
      </c>
      <c r="AT70" s="231">
        <f>AS70-AP70</f>
        <v/>
      </c>
      <c r="AU70" s="232">
        <f>IF(AP70=0,"",AS70/AP70)</f>
        <v/>
      </c>
      <c r="AV70" s="25" t="n"/>
      <c r="AW70" s="227">
        <f>AW71</f>
        <v/>
      </c>
      <c r="AX70" s="227">
        <f>AX71</f>
        <v/>
      </c>
      <c r="AY70" s="227">
        <f>AW70+AX70</f>
        <v/>
      </c>
      <c r="AZ70" s="227">
        <f>AZ71</f>
        <v/>
      </c>
      <c r="BA70" s="227">
        <f>BA71</f>
        <v/>
      </c>
      <c r="BB70" s="227">
        <f>AZ70+BA70</f>
        <v/>
      </c>
      <c r="BC70" s="228">
        <f>BB70-AY70</f>
        <v/>
      </c>
      <c r="BD70" s="229">
        <f>IF(AY70=0,"",BB70/AY70)</f>
        <v/>
      </c>
      <c r="BE70" s="18" t="n"/>
      <c r="BF70" s="230">
        <f>BF71</f>
        <v/>
      </c>
      <c r="BG70" s="230">
        <f>BG71</f>
        <v/>
      </c>
      <c r="BH70" s="230">
        <f>BF70+BG70</f>
        <v/>
      </c>
      <c r="BI70" s="230">
        <f>BI71</f>
        <v/>
      </c>
      <c r="BJ70" s="230">
        <f>BJ71</f>
        <v/>
      </c>
      <c r="BK70" s="230">
        <f>BI70+BJ70</f>
        <v/>
      </c>
      <c r="BL70" s="231">
        <f>BK70-BH70</f>
        <v/>
      </c>
      <c r="BM70" s="232">
        <f>IF(BH70=0,"",BK70/BH70)</f>
        <v/>
      </c>
      <c r="BN70" s="25" t="n"/>
      <c r="BO70" s="227">
        <f>BO71</f>
        <v/>
      </c>
      <c r="BP70" s="227">
        <f>BP71</f>
        <v/>
      </c>
      <c r="BQ70" s="227">
        <f>BO70+BP70</f>
        <v/>
      </c>
      <c r="BR70" s="227">
        <f>BR71</f>
        <v/>
      </c>
      <c r="BS70" s="227">
        <f>BS71</f>
        <v/>
      </c>
      <c r="BT70" s="227">
        <f>BR70+BS70</f>
        <v/>
      </c>
      <c r="BU70" s="228">
        <f>BT70-BQ70</f>
        <v/>
      </c>
      <c r="BV70" s="229">
        <f>IF(BQ70=0,"",BT70/BQ70)</f>
        <v/>
      </c>
      <c r="BW70" s="18" t="n"/>
      <c r="BX70" s="230">
        <f>BX71</f>
        <v/>
      </c>
      <c r="BY70" s="230">
        <f>BY71</f>
        <v/>
      </c>
      <c r="BZ70" s="230">
        <f>BX70+BY70</f>
        <v/>
      </c>
      <c r="CA70" s="230">
        <f>CA71</f>
        <v/>
      </c>
      <c r="CB70" s="230">
        <f>CB71</f>
        <v/>
      </c>
      <c r="CC70" s="230">
        <f>CA70+CB70</f>
        <v/>
      </c>
      <c r="CD70" s="231">
        <f>CC70-BZ70</f>
        <v/>
      </c>
      <c r="CE70" s="232">
        <f>IF(BZ70=0,"",CC70/BZ70)</f>
        <v/>
      </c>
      <c r="CF70" s="25" t="n"/>
      <c r="CG70" s="227">
        <f>CG71</f>
        <v/>
      </c>
      <c r="CH70" s="227">
        <f>CH71</f>
        <v/>
      </c>
      <c r="CI70" s="227">
        <f>CG70+CH70</f>
        <v/>
      </c>
      <c r="CJ70" s="227">
        <f>CJ71</f>
        <v/>
      </c>
      <c r="CK70" s="227">
        <f>CK71</f>
        <v/>
      </c>
      <c r="CL70" s="227">
        <f>CJ70+CK70</f>
        <v/>
      </c>
      <c r="CM70" s="228">
        <f>CL70-CI70</f>
        <v/>
      </c>
      <c r="CN70" s="229">
        <f>IF(CI70=0,"",CL70/CI70)</f>
        <v/>
      </c>
      <c r="CO70" s="18" t="n"/>
      <c r="CP70" s="230">
        <f>CP71</f>
        <v/>
      </c>
      <c r="CQ70" s="230">
        <f>CQ71</f>
        <v/>
      </c>
      <c r="CR70" s="230">
        <f>CP70+CQ70</f>
        <v/>
      </c>
      <c r="CS70" s="230">
        <f>CS71</f>
        <v/>
      </c>
      <c r="CT70" s="230">
        <f>CT71</f>
        <v/>
      </c>
      <c r="CU70" s="230">
        <f>CS70+CT70</f>
        <v/>
      </c>
      <c r="CV70" s="231">
        <f>CU70-CR70</f>
        <v/>
      </c>
      <c r="CW70" s="232">
        <f>IF(CR70=0,"",CU70/CR70)</f>
        <v/>
      </c>
      <c r="CX70" s="25" t="n"/>
      <c r="CY70" s="227">
        <f>CY71</f>
        <v/>
      </c>
      <c r="CZ70" s="227">
        <f>CZ71</f>
        <v/>
      </c>
      <c r="DA70" s="227">
        <f>CY70+CZ70</f>
        <v/>
      </c>
      <c r="DB70" s="227">
        <f>DB71</f>
        <v/>
      </c>
      <c r="DC70" s="227">
        <f>DC71</f>
        <v/>
      </c>
      <c r="DD70" s="227">
        <f>DB70+DC70</f>
        <v/>
      </c>
      <c r="DE70" s="228">
        <f>DD70-DA70</f>
        <v/>
      </c>
      <c r="DF70" s="229">
        <f>IF(DA70=0,"",DD70/DA70)</f>
        <v/>
      </c>
      <c r="DG70" s="18" t="n"/>
      <c r="DH70" s="230">
        <f>DH71</f>
        <v/>
      </c>
      <c r="DI70" s="230">
        <f>DI71</f>
        <v/>
      </c>
      <c r="DJ70" s="230">
        <f>DH70+DI70</f>
        <v/>
      </c>
      <c r="DK70" s="230">
        <f>DK71</f>
        <v/>
      </c>
      <c r="DL70" s="230">
        <f>DL71</f>
        <v/>
      </c>
      <c r="DM70" s="230">
        <f>DK70+DL70</f>
        <v/>
      </c>
      <c r="DN70" s="231">
        <f>DM70-DJ70</f>
        <v/>
      </c>
      <c r="DO70" s="232">
        <f>IF(DJ70=0,"",DM70/DJ70)</f>
        <v/>
      </c>
      <c r="DP70" s="25" t="n"/>
      <c r="DQ70" s="227">
        <f>DQ71</f>
        <v/>
      </c>
      <c r="DR70" s="227">
        <f>DR71</f>
        <v/>
      </c>
      <c r="DS70" s="227">
        <f>DQ70+DR70</f>
        <v/>
      </c>
      <c r="DT70" s="227">
        <f>DT71</f>
        <v/>
      </c>
      <c r="DU70" s="227">
        <f>DU71</f>
        <v/>
      </c>
      <c r="DV70" s="227">
        <f>DT70+DU70</f>
        <v/>
      </c>
      <c r="DW70" s="228">
        <f>DV70-DS70</f>
        <v/>
      </c>
      <c r="DX70" s="229">
        <f>IF(DS70=0,"",DV70/DS70)</f>
        <v/>
      </c>
      <c r="DY70" s="18" t="n"/>
      <c r="DZ70" s="230">
        <f>DZ71</f>
        <v/>
      </c>
      <c r="EA70" s="230">
        <f>EA71</f>
        <v/>
      </c>
      <c r="EB70" s="230">
        <f>DZ70+EA70</f>
        <v/>
      </c>
      <c r="EC70" s="230">
        <f>EC71</f>
        <v/>
      </c>
      <c r="ED70" s="230">
        <f>ED71</f>
        <v/>
      </c>
      <c r="EE70" s="230">
        <f>EC70+ED70</f>
        <v/>
      </c>
      <c r="EF70" s="231">
        <f>EE70-EB70</f>
        <v/>
      </c>
      <c r="EG70" s="232">
        <f>IF(EB70=0,"",EE70/EB70)</f>
        <v/>
      </c>
      <c r="EH70" s="25" t="n"/>
      <c r="EI70" s="227">
        <f>EI71</f>
        <v/>
      </c>
      <c r="EJ70" s="227">
        <f>EJ71</f>
        <v/>
      </c>
      <c r="EK70" s="227">
        <f>EI70+EJ70</f>
        <v/>
      </c>
      <c r="EL70" s="227">
        <f>EL71</f>
        <v/>
      </c>
      <c r="EM70" s="227">
        <f>EM71</f>
        <v/>
      </c>
      <c r="EN70" s="227">
        <f>EL70+EM70</f>
        <v/>
      </c>
      <c r="EO70" s="228">
        <f>EN70-EK70</f>
        <v/>
      </c>
      <c r="EP70" s="229">
        <f>IF(EK70=0,"",EN70/EK70)</f>
        <v/>
      </c>
      <c r="EQ70" s="18" t="n"/>
      <c r="ER70" s="230">
        <f>ER71</f>
        <v/>
      </c>
      <c r="ES70" s="230">
        <f>ES71</f>
        <v/>
      </c>
      <c r="ET70" s="230">
        <f>ER70+ES70</f>
        <v/>
      </c>
      <c r="EU70" s="230">
        <f>EU71</f>
        <v/>
      </c>
      <c r="EV70" s="230">
        <f>EV71</f>
        <v/>
      </c>
      <c r="EW70" s="230">
        <f>EU70+EV70</f>
        <v/>
      </c>
      <c r="EX70" s="231">
        <f>EW70-ET70</f>
        <v/>
      </c>
      <c r="EY70" s="232">
        <f>IF(ET70=0,"",EW70/ET70)</f>
        <v/>
      </c>
      <c r="EZ70" s="25" t="n"/>
      <c r="FA70" s="227">
        <f>FA71</f>
        <v/>
      </c>
      <c r="FB70" s="227">
        <f>FB71</f>
        <v/>
      </c>
      <c r="FC70" s="227">
        <f>FA70+FB70</f>
        <v/>
      </c>
      <c r="FD70" s="227">
        <f>FD71</f>
        <v/>
      </c>
      <c r="FE70" s="227">
        <f>FE71</f>
        <v/>
      </c>
      <c r="FF70" s="227">
        <f>FD70+FE70</f>
        <v/>
      </c>
      <c r="FG70" s="228">
        <f>FF70-FC70</f>
        <v/>
      </c>
      <c r="FH70" s="229">
        <f>IF(FC70=0,"",FF70/FC70)</f>
        <v/>
      </c>
      <c r="FI70" s="18" t="n"/>
      <c r="FJ70" s="230">
        <f>FJ71</f>
        <v/>
      </c>
      <c r="FK70" s="230">
        <f>FK71</f>
        <v/>
      </c>
      <c r="FL70" s="230">
        <f>FJ70+FK70</f>
        <v/>
      </c>
      <c r="FM70" s="230">
        <f>FM71</f>
        <v/>
      </c>
      <c r="FN70" s="230">
        <f>FN71</f>
        <v/>
      </c>
      <c r="FO70" s="230">
        <f>FM70+FN70</f>
        <v/>
      </c>
      <c r="FP70" s="231">
        <f>FO70-FL70</f>
        <v/>
      </c>
      <c r="FQ70" s="232">
        <f>IF(FL70=0,"",FO70/FL70)</f>
        <v/>
      </c>
      <c r="FR70" s="25" t="n"/>
      <c r="FS70" s="227">
        <f>FS71</f>
        <v/>
      </c>
      <c r="FT70" s="227">
        <f>FT71</f>
        <v/>
      </c>
      <c r="FU70" s="227">
        <f>FS70+FT70</f>
        <v/>
      </c>
      <c r="FV70" s="227">
        <f>FV71</f>
        <v/>
      </c>
      <c r="FW70" s="227">
        <f>FW71</f>
        <v/>
      </c>
      <c r="FX70" s="227">
        <f>FV70+FW70</f>
        <v/>
      </c>
      <c r="FY70" s="228">
        <f>FX70-FU70</f>
        <v/>
      </c>
      <c r="FZ70" s="229">
        <f>IF(FU70=0,"",FX70/FU70)</f>
        <v/>
      </c>
      <c r="GA70" s="18" t="n"/>
      <c r="GB70" s="230">
        <f>GB71</f>
        <v/>
      </c>
      <c r="GC70" s="230">
        <f>GC71</f>
        <v/>
      </c>
      <c r="GD70" s="230">
        <f>GB70+GC70</f>
        <v/>
      </c>
      <c r="GE70" s="230">
        <f>GE71</f>
        <v/>
      </c>
      <c r="GF70" s="230">
        <f>GF71</f>
        <v/>
      </c>
      <c r="GG70" s="230">
        <f>GE70+GF70</f>
        <v/>
      </c>
      <c r="GH70" s="231">
        <f>GG70-GD70</f>
        <v/>
      </c>
      <c r="GI70" s="232">
        <f>IF(GD70=0,"",GG70/GD70)</f>
        <v/>
      </c>
      <c r="GJ70" s="25" t="n"/>
      <c r="GK70" s="227">
        <f>GK71</f>
        <v/>
      </c>
      <c r="GL70" s="227">
        <f>GL71</f>
        <v/>
      </c>
      <c r="GM70" s="227">
        <f>GK70+GL70</f>
        <v/>
      </c>
      <c r="GN70" s="227">
        <f>GN71</f>
        <v/>
      </c>
      <c r="GO70" s="227">
        <f>GO71</f>
        <v/>
      </c>
      <c r="GP70" s="227">
        <f>GN70+GO70</f>
        <v/>
      </c>
      <c r="GQ70" s="228">
        <f>GP70-GM70</f>
        <v/>
      </c>
      <c r="GR70" s="229">
        <f>IF(GM70=0,"",GP70/GM70)</f>
        <v/>
      </c>
      <c r="GS70" s="18" t="n"/>
      <c r="GT70" s="230">
        <f>GT71</f>
        <v/>
      </c>
      <c r="GU70" s="230">
        <f>GU71</f>
        <v/>
      </c>
      <c r="GV70" s="230">
        <f>GT70+GU70</f>
        <v/>
      </c>
      <c r="GW70" s="230">
        <f>GW71</f>
        <v/>
      </c>
      <c r="GX70" s="230">
        <f>GX71</f>
        <v/>
      </c>
      <c r="GY70" s="230">
        <f>GW70+GX70</f>
        <v/>
      </c>
      <c r="GZ70" s="231">
        <f>GY70-GV70</f>
        <v/>
      </c>
      <c r="HA70" s="232">
        <f>IF(GV70=0,"",GY70/GV70)</f>
        <v/>
      </c>
      <c r="HB70" s="25" t="n"/>
      <c r="HC70" s="227">
        <f>GT70</f>
        <v/>
      </c>
      <c r="HD70" s="227">
        <f>GU70</f>
        <v/>
      </c>
      <c r="HE70" s="227">
        <f>HC70+HD70</f>
        <v/>
      </c>
    </row>
    <row r="71" outlineLevel="1" ht="15" customHeight="1" s="150">
      <c r="A71" s="26" t="n"/>
      <c r="B71" s="26" t="n"/>
      <c r="C71" s="26" t="n"/>
      <c r="D71" s="233" t="n"/>
      <c r="E71" s="233" t="n"/>
      <c r="F71" s="233">
        <f>D71+E71</f>
        <v/>
      </c>
      <c r="G71" s="233" t="n"/>
      <c r="H71" s="233" t="n"/>
      <c r="I71" s="233">
        <f>G71+H71</f>
        <v/>
      </c>
      <c r="J71" s="238">
        <f>I71-F71</f>
        <v/>
      </c>
      <c r="K71" s="235">
        <f>IF(F71=0,"",I71/F71)</f>
        <v/>
      </c>
      <c r="L71" s="26" t="n"/>
      <c r="M71" s="233" t="n"/>
      <c r="N71" s="233" t="n"/>
      <c r="O71" s="233">
        <f>M71+N71</f>
        <v/>
      </c>
      <c r="P71" s="233" t="n"/>
      <c r="Q71" s="233" t="n"/>
      <c r="R71" s="233">
        <f>P71+Q71</f>
        <v/>
      </c>
      <c r="S71" s="238">
        <f>R71-O71</f>
        <v/>
      </c>
      <c r="T71" s="235">
        <f>IF(O71=0,"",R71/O71)</f>
        <v/>
      </c>
      <c r="U71" s="26" t="n"/>
      <c r="V71" s="236">
        <f>D71+M71</f>
        <v/>
      </c>
      <c r="W71" s="236">
        <f>E71+N71</f>
        <v/>
      </c>
      <c r="X71" s="236">
        <f>V71+W71</f>
        <v/>
      </c>
      <c r="Y71" s="236">
        <f>G71+P71</f>
        <v/>
      </c>
      <c r="Z71" s="236">
        <f>H71+Q71</f>
        <v/>
      </c>
      <c r="AA71" s="236">
        <f>Y71+Z71</f>
        <v/>
      </c>
      <c r="AB71" s="239">
        <f>AA71-X71</f>
        <v/>
      </c>
      <c r="AC71" s="237">
        <f>IF(X71=0,"",AA71/X71)</f>
        <v/>
      </c>
      <c r="AD71" s="33" t="n"/>
      <c r="AE71" s="233" t="n"/>
      <c r="AF71" s="233" t="n"/>
      <c r="AG71" s="233">
        <f>AE71+AF71</f>
        <v/>
      </c>
      <c r="AH71" s="233" t="n"/>
      <c r="AI71" s="233" t="n"/>
      <c r="AJ71" s="233">
        <f>AH71+AI71</f>
        <v/>
      </c>
      <c r="AK71" s="238">
        <f>AJ71-AG71</f>
        <v/>
      </c>
      <c r="AL71" s="235">
        <f>IF(AG71=0,"",AJ71/AG71)</f>
        <v/>
      </c>
      <c r="AM71" s="26" t="n"/>
      <c r="AN71" s="236">
        <f>V71+AE71</f>
        <v/>
      </c>
      <c r="AO71" s="236">
        <f>W71+AF71</f>
        <v/>
      </c>
      <c r="AP71" s="236">
        <f>AN71+AO71</f>
        <v/>
      </c>
      <c r="AQ71" s="236">
        <f>Y71+AH71</f>
        <v/>
      </c>
      <c r="AR71" s="236">
        <f>Z71+AI71</f>
        <v/>
      </c>
      <c r="AS71" s="236">
        <f>AQ71+AR71</f>
        <v/>
      </c>
      <c r="AT71" s="239">
        <f>AS71-AP71</f>
        <v/>
      </c>
      <c r="AU71" s="237">
        <f>IF(AP71=0,"",AS71/AP71)</f>
        <v/>
      </c>
      <c r="AV71" s="33" t="n"/>
      <c r="AW71" s="233" t="n"/>
      <c r="AX71" s="233" t="n"/>
      <c r="AY71" s="233">
        <f>AW71+AX71</f>
        <v/>
      </c>
      <c r="AZ71" s="233" t="n"/>
      <c r="BA71" s="233" t="n"/>
      <c r="BB71" s="233">
        <f>AZ71+BA71</f>
        <v/>
      </c>
      <c r="BC71" s="238">
        <f>BB71-AY71</f>
        <v/>
      </c>
      <c r="BD71" s="235">
        <f>IF(AY71=0,"",BB71/AY71)</f>
        <v/>
      </c>
      <c r="BE71" s="26" t="n"/>
      <c r="BF71" s="236">
        <f>AN71+AW71</f>
        <v/>
      </c>
      <c r="BG71" s="236">
        <f>AO71+AX71</f>
        <v/>
      </c>
      <c r="BH71" s="236">
        <f>BF71+BG71</f>
        <v/>
      </c>
      <c r="BI71" s="236">
        <f>AQ71+AZ71</f>
        <v/>
      </c>
      <c r="BJ71" s="236">
        <f>AR71+BA71</f>
        <v/>
      </c>
      <c r="BK71" s="236">
        <f>BI71+BJ71</f>
        <v/>
      </c>
      <c r="BL71" s="239">
        <f>BK71-BH71</f>
        <v/>
      </c>
      <c r="BM71" s="237">
        <f>IF(BH71=0,"",BK71/BH71)</f>
        <v/>
      </c>
      <c r="BN71" s="33" t="n"/>
      <c r="BO71" s="233" t="n"/>
      <c r="BP71" s="233" t="n"/>
      <c r="BQ71" s="233">
        <f>BO71+BP71</f>
        <v/>
      </c>
      <c r="BR71" s="233" t="n"/>
      <c r="BS71" s="233" t="n"/>
      <c r="BT71" s="233">
        <f>BR71+BS71</f>
        <v/>
      </c>
      <c r="BU71" s="238">
        <f>BT71-BQ71</f>
        <v/>
      </c>
      <c r="BV71" s="235">
        <f>IF(BQ71=0,"",BT71/BQ71)</f>
        <v/>
      </c>
      <c r="BW71" s="26" t="n"/>
      <c r="BX71" s="236">
        <f>BF71+BO71</f>
        <v/>
      </c>
      <c r="BY71" s="236">
        <f>BG71+BP71</f>
        <v/>
      </c>
      <c r="BZ71" s="236">
        <f>BX71+BY71</f>
        <v/>
      </c>
      <c r="CA71" s="236">
        <f>BI71+BR71</f>
        <v/>
      </c>
      <c r="CB71" s="236">
        <f>BJ71+BS71</f>
        <v/>
      </c>
      <c r="CC71" s="236">
        <f>CA71+CB71</f>
        <v/>
      </c>
      <c r="CD71" s="239">
        <f>CC71-BZ71</f>
        <v/>
      </c>
      <c r="CE71" s="237">
        <f>IF(BZ71=0,"",CC71/BZ71)</f>
        <v/>
      </c>
      <c r="CF71" s="33" t="n"/>
      <c r="CG71" s="233" t="n"/>
      <c r="CH71" s="233" t="n"/>
      <c r="CI71" s="233">
        <f>CG71+CH71</f>
        <v/>
      </c>
      <c r="CJ71" s="233" t="n"/>
      <c r="CK71" s="233" t="n"/>
      <c r="CL71" s="233">
        <f>CJ71+CK71</f>
        <v/>
      </c>
      <c r="CM71" s="238">
        <f>CL71-CI71</f>
        <v/>
      </c>
      <c r="CN71" s="235">
        <f>IF(CI71=0,"",CL71/CI71)</f>
        <v/>
      </c>
      <c r="CO71" s="26" t="n"/>
      <c r="CP71" s="236">
        <f>BX71+CG71</f>
        <v/>
      </c>
      <c r="CQ71" s="236">
        <f>BY71+CH71</f>
        <v/>
      </c>
      <c r="CR71" s="236">
        <f>CP71+CQ71</f>
        <v/>
      </c>
      <c r="CS71" s="236">
        <f>CA71+CJ71</f>
        <v/>
      </c>
      <c r="CT71" s="236">
        <f>CB71+CK71</f>
        <v/>
      </c>
      <c r="CU71" s="236">
        <f>CS71+CT71</f>
        <v/>
      </c>
      <c r="CV71" s="239">
        <f>CU71-CR71</f>
        <v/>
      </c>
      <c r="CW71" s="237">
        <f>IF(CR71=0,"",CU71/CR71)</f>
        <v/>
      </c>
      <c r="CX71" s="33" t="n"/>
      <c r="CY71" s="233" t="n"/>
      <c r="CZ71" s="233" t="n"/>
      <c r="DA71" s="233">
        <f>CY71+CZ71</f>
        <v/>
      </c>
      <c r="DB71" s="233" t="n"/>
      <c r="DC71" s="233" t="n"/>
      <c r="DD71" s="233">
        <f>DB71+DC71</f>
        <v/>
      </c>
      <c r="DE71" s="238">
        <f>DD71-DA71</f>
        <v/>
      </c>
      <c r="DF71" s="235">
        <f>IF(DA71=0,"",DD71/DA71)</f>
        <v/>
      </c>
      <c r="DG71" s="26" t="n"/>
      <c r="DH71" s="236">
        <f>CP71+CY71</f>
        <v/>
      </c>
      <c r="DI71" s="236">
        <f>CQ71+CZ71</f>
        <v/>
      </c>
      <c r="DJ71" s="236">
        <f>DH71+DI71</f>
        <v/>
      </c>
      <c r="DK71" s="236">
        <f>CS71+DB71</f>
        <v/>
      </c>
      <c r="DL71" s="236">
        <f>CT71+DC71</f>
        <v/>
      </c>
      <c r="DM71" s="236">
        <f>DK71+DL71</f>
        <v/>
      </c>
      <c r="DN71" s="239">
        <f>DM71-DJ71</f>
        <v/>
      </c>
      <c r="DO71" s="237">
        <f>IF(DJ71=0,"",DM71/DJ71)</f>
        <v/>
      </c>
      <c r="DP71" s="33" t="n"/>
      <c r="DQ71" s="233" t="n"/>
      <c r="DR71" s="233" t="n"/>
      <c r="DS71" s="233">
        <f>DQ71+DR71</f>
        <v/>
      </c>
      <c r="DT71" s="233" t="n"/>
      <c r="DU71" s="233" t="n"/>
      <c r="DV71" s="233">
        <f>DT71+DU71</f>
        <v/>
      </c>
      <c r="DW71" s="238">
        <f>DV71-DS71</f>
        <v/>
      </c>
      <c r="DX71" s="235">
        <f>IF(DS71=0,"",DV71/DS71)</f>
        <v/>
      </c>
      <c r="DY71" s="26" t="n"/>
      <c r="DZ71" s="236">
        <f>DH71+DQ71</f>
        <v/>
      </c>
      <c r="EA71" s="236">
        <f>DI71+DR71</f>
        <v/>
      </c>
      <c r="EB71" s="236">
        <f>DZ71+EA71</f>
        <v/>
      </c>
      <c r="EC71" s="236">
        <f>DK71+DT71</f>
        <v/>
      </c>
      <c r="ED71" s="236">
        <f>DL71+DU71</f>
        <v/>
      </c>
      <c r="EE71" s="236">
        <f>EC71+ED71</f>
        <v/>
      </c>
      <c r="EF71" s="239">
        <f>EE71-EB71</f>
        <v/>
      </c>
      <c r="EG71" s="237">
        <f>IF(EB71=0,"",EE71/EB71)</f>
        <v/>
      </c>
      <c r="EH71" s="33" t="n"/>
      <c r="EI71" s="233" t="n"/>
      <c r="EJ71" s="233" t="n"/>
      <c r="EK71" s="233">
        <f>EI71+EJ71</f>
        <v/>
      </c>
      <c r="EL71" s="233" t="n"/>
      <c r="EM71" s="233" t="n"/>
      <c r="EN71" s="233">
        <f>EL71+EM71</f>
        <v/>
      </c>
      <c r="EO71" s="238">
        <f>EN71-EK71</f>
        <v/>
      </c>
      <c r="EP71" s="235">
        <f>IF(EK71=0,"",EN71/EK71)</f>
        <v/>
      </c>
      <c r="EQ71" s="26" t="n"/>
      <c r="ER71" s="236">
        <f>DZ71+EI71</f>
        <v/>
      </c>
      <c r="ES71" s="236">
        <f>EA71+EJ71</f>
        <v/>
      </c>
      <c r="ET71" s="236">
        <f>ER71+ES71</f>
        <v/>
      </c>
      <c r="EU71" s="236">
        <f>EC71+EL71</f>
        <v/>
      </c>
      <c r="EV71" s="236">
        <f>ED71+EM71</f>
        <v/>
      </c>
      <c r="EW71" s="236">
        <f>EU71+EV71</f>
        <v/>
      </c>
      <c r="EX71" s="239">
        <f>EW71-ET71</f>
        <v/>
      </c>
      <c r="EY71" s="237">
        <f>IF(ET71=0,"",EW71/ET71)</f>
        <v/>
      </c>
      <c r="EZ71" s="33" t="n"/>
      <c r="FA71" s="233" t="n"/>
      <c r="FB71" s="233" t="n"/>
      <c r="FC71" s="233">
        <f>FA71+FB71</f>
        <v/>
      </c>
      <c r="FD71" s="233" t="n"/>
      <c r="FE71" s="233" t="n"/>
      <c r="FF71" s="233">
        <f>FD71+FE71</f>
        <v/>
      </c>
      <c r="FG71" s="238">
        <f>FF71-FC71</f>
        <v/>
      </c>
      <c r="FH71" s="235">
        <f>IF(FC71=0,"",FF71/FC71)</f>
        <v/>
      </c>
      <c r="FI71" s="26" t="n"/>
      <c r="FJ71" s="236">
        <f>ER71+FA71</f>
        <v/>
      </c>
      <c r="FK71" s="236">
        <f>ES71+FB71</f>
        <v/>
      </c>
      <c r="FL71" s="236">
        <f>FJ71+FK71</f>
        <v/>
      </c>
      <c r="FM71" s="236">
        <f>EU71+FD71</f>
        <v/>
      </c>
      <c r="FN71" s="236">
        <f>EV71+FE71</f>
        <v/>
      </c>
      <c r="FO71" s="236">
        <f>FM71+FN71</f>
        <v/>
      </c>
      <c r="FP71" s="239">
        <f>FO71-FL71</f>
        <v/>
      </c>
      <c r="FQ71" s="237">
        <f>IF(FL71=0,"",FO71/FL71)</f>
        <v/>
      </c>
      <c r="FR71" s="33" t="n"/>
      <c r="FS71" s="233" t="n"/>
      <c r="FT71" s="233" t="n"/>
      <c r="FU71" s="233">
        <f>FS71+FT71</f>
        <v/>
      </c>
      <c r="FV71" s="233" t="n"/>
      <c r="FW71" s="233" t="n"/>
      <c r="FX71" s="233">
        <f>FV71+FW71</f>
        <v/>
      </c>
      <c r="FY71" s="238">
        <f>FX71-FU71</f>
        <v/>
      </c>
      <c r="FZ71" s="235">
        <f>IF(FU71=0,"",FX71/FU71)</f>
        <v/>
      </c>
      <c r="GA71" s="26" t="n"/>
      <c r="GB71" s="236">
        <f>FJ71+FS71</f>
        <v/>
      </c>
      <c r="GC71" s="236">
        <f>FK71+FT71</f>
        <v/>
      </c>
      <c r="GD71" s="236">
        <f>GB71+GC71</f>
        <v/>
      </c>
      <c r="GE71" s="236">
        <f>FM71+FV71</f>
        <v/>
      </c>
      <c r="GF71" s="236">
        <f>FN71+FW71</f>
        <v/>
      </c>
      <c r="GG71" s="236">
        <f>GE71+GF71</f>
        <v/>
      </c>
      <c r="GH71" s="239">
        <f>GG71-GD71</f>
        <v/>
      </c>
      <c r="GI71" s="237">
        <f>IF(GD71=0,"",GG71/GD71)</f>
        <v/>
      </c>
      <c r="GJ71" s="33" t="n"/>
      <c r="GK71" s="233" t="n"/>
      <c r="GL71" s="233" t="n"/>
      <c r="GM71" s="233">
        <f>GK71+GL71</f>
        <v/>
      </c>
      <c r="GN71" s="233" t="n"/>
      <c r="GO71" s="233" t="n"/>
      <c r="GP71" s="233">
        <f>GN71+GO71</f>
        <v/>
      </c>
      <c r="GQ71" s="238">
        <f>GP71-GM71</f>
        <v/>
      </c>
      <c r="GR71" s="235">
        <f>IF(GM71=0,"",GP71/GM71)</f>
        <v/>
      </c>
      <c r="GS71" s="26" t="n"/>
      <c r="GT71" s="236">
        <f>GB71+GK71</f>
        <v/>
      </c>
      <c r="GU71" s="236">
        <f>GC71+GL71</f>
        <v/>
      </c>
      <c r="GV71" s="236">
        <f>GT71+GU71</f>
        <v/>
      </c>
      <c r="GW71" s="236">
        <f>GE71+GN71</f>
        <v/>
      </c>
      <c r="GX71" s="236">
        <f>GF71+GO71</f>
        <v/>
      </c>
      <c r="GY71" s="236">
        <f>GW71+GX71</f>
        <v/>
      </c>
      <c r="GZ71" s="239">
        <f>GY71-GV71</f>
        <v/>
      </c>
      <c r="HA71" s="237">
        <f>IF(GV71=0,"",GY71/GV71)</f>
        <v/>
      </c>
      <c r="HB71" s="33" t="n"/>
      <c r="HC71" s="233">
        <f>GT71</f>
        <v/>
      </c>
      <c r="HD71" s="233">
        <f>GU71</f>
        <v/>
      </c>
      <c r="HE71" s="233">
        <f>HC71+HD71</f>
        <v/>
      </c>
    </row>
    <row r="72" ht="15" customHeight="1" s="150">
      <c r="A72" s="18" t="n"/>
      <c r="B72" s="18" t="n"/>
      <c r="C72" s="18" t="n"/>
      <c r="D72" s="227">
        <f>SUM(D73:D81)</f>
        <v/>
      </c>
      <c r="E72" s="227">
        <f>SUM(E73:E81)</f>
        <v/>
      </c>
      <c r="F72" s="227">
        <f>D72+E72</f>
        <v/>
      </c>
      <c r="G72" s="227">
        <f>SUM(G73:G81)</f>
        <v/>
      </c>
      <c r="H72" s="227">
        <f>SUM(H73:H81)</f>
        <v/>
      </c>
      <c r="I72" s="227">
        <f>G72+H72</f>
        <v/>
      </c>
      <c r="J72" s="228">
        <f>I72-F72</f>
        <v/>
      </c>
      <c r="K72" s="229">
        <f>IF(F72=0,"",I72/F72)</f>
        <v/>
      </c>
      <c r="L72" s="18" t="n"/>
      <c r="M72" s="227">
        <f>SUM(M73:M81)</f>
        <v/>
      </c>
      <c r="N72" s="227">
        <f>SUM(N73:N81)</f>
        <v/>
      </c>
      <c r="O72" s="227">
        <f>M72+N72</f>
        <v/>
      </c>
      <c r="P72" s="227">
        <f>SUM(P73:P81)</f>
        <v/>
      </c>
      <c r="Q72" s="227">
        <f>SUM(Q73:Q81)</f>
        <v/>
      </c>
      <c r="R72" s="227">
        <f>P72+Q72</f>
        <v/>
      </c>
      <c r="S72" s="228">
        <f>R72-O72</f>
        <v/>
      </c>
      <c r="T72" s="229">
        <f>IF(O72=0,"",R72/O72)</f>
        <v/>
      </c>
      <c r="U72" s="18" t="n"/>
      <c r="V72" s="230">
        <f>SUM(V73:V81)</f>
        <v/>
      </c>
      <c r="W72" s="230">
        <f>SUM(W73:W81)</f>
        <v/>
      </c>
      <c r="X72" s="230">
        <f>V72+W72</f>
        <v/>
      </c>
      <c r="Y72" s="230">
        <f>SUM(Y73:Y81)</f>
        <v/>
      </c>
      <c r="Z72" s="230">
        <f>SUM(Z73:Z81)</f>
        <v/>
      </c>
      <c r="AA72" s="230">
        <f>Y72+Z72</f>
        <v/>
      </c>
      <c r="AB72" s="231">
        <f>AA72-X72</f>
        <v/>
      </c>
      <c r="AC72" s="232">
        <f>IF(X72=0,"",AA72/X72)</f>
        <v/>
      </c>
      <c r="AD72" s="25" t="n"/>
      <c r="AE72" s="227">
        <f>SUM(AE73:AE81)</f>
        <v/>
      </c>
      <c r="AF72" s="227">
        <f>SUM(AF73:AF81)</f>
        <v/>
      </c>
      <c r="AG72" s="227">
        <f>AE72+AF72</f>
        <v/>
      </c>
      <c r="AH72" s="227">
        <f>SUM(AH73:AH81)</f>
        <v/>
      </c>
      <c r="AI72" s="227">
        <f>SUM(AI73:AI81)</f>
        <v/>
      </c>
      <c r="AJ72" s="227">
        <f>AH72+AI72</f>
        <v/>
      </c>
      <c r="AK72" s="228">
        <f>AJ72-AG72</f>
        <v/>
      </c>
      <c r="AL72" s="229">
        <f>IF(AG72=0,"",AJ72/AG72)</f>
        <v/>
      </c>
      <c r="AM72" s="18" t="n"/>
      <c r="AN72" s="230">
        <f>SUM(AN73:AN81)</f>
        <v/>
      </c>
      <c r="AO72" s="230">
        <f>SUM(AO73:AO81)</f>
        <v/>
      </c>
      <c r="AP72" s="230">
        <f>AN72+AO72</f>
        <v/>
      </c>
      <c r="AQ72" s="230">
        <f>SUM(AQ73:AQ81)</f>
        <v/>
      </c>
      <c r="AR72" s="230">
        <f>SUM(AR73:AR81)</f>
        <v/>
      </c>
      <c r="AS72" s="230">
        <f>AQ72+AR72</f>
        <v/>
      </c>
      <c r="AT72" s="231">
        <f>AS72-AP72</f>
        <v/>
      </c>
      <c r="AU72" s="232">
        <f>IF(AP72=0,"",AS72/AP72)</f>
        <v/>
      </c>
      <c r="AV72" s="25" t="n"/>
      <c r="AW72" s="227">
        <f>SUM(AW73:AW81)</f>
        <v/>
      </c>
      <c r="AX72" s="227">
        <f>SUM(AX73:AX81)</f>
        <v/>
      </c>
      <c r="AY72" s="227">
        <f>AW72+AX72</f>
        <v/>
      </c>
      <c r="AZ72" s="227">
        <f>SUM(AZ73:AZ81)</f>
        <v/>
      </c>
      <c r="BA72" s="227">
        <f>SUM(BA73:BA81)</f>
        <v/>
      </c>
      <c r="BB72" s="227">
        <f>AZ72+BA72</f>
        <v/>
      </c>
      <c r="BC72" s="228">
        <f>BB72-AY72</f>
        <v/>
      </c>
      <c r="BD72" s="229">
        <f>IF(AY72=0,"",BB72/AY72)</f>
        <v/>
      </c>
      <c r="BE72" s="18" t="n"/>
      <c r="BF72" s="230">
        <f>SUM(BF73:BF81)</f>
        <v/>
      </c>
      <c r="BG72" s="230">
        <f>SUM(BG73:BG81)</f>
        <v/>
      </c>
      <c r="BH72" s="230">
        <f>BF72+BG72</f>
        <v/>
      </c>
      <c r="BI72" s="230">
        <f>SUM(BI73:BI81)</f>
        <v/>
      </c>
      <c r="BJ72" s="230">
        <f>SUM(BJ73:BJ81)</f>
        <v/>
      </c>
      <c r="BK72" s="230">
        <f>BI72+BJ72</f>
        <v/>
      </c>
      <c r="BL72" s="231">
        <f>BK72-BH72</f>
        <v/>
      </c>
      <c r="BM72" s="232">
        <f>IF(BH72=0,"",BK72/BH72)</f>
        <v/>
      </c>
      <c r="BN72" s="25" t="n"/>
      <c r="BO72" s="227">
        <f>SUM(BO73:BO81)</f>
        <v/>
      </c>
      <c r="BP72" s="227">
        <f>SUM(BP73:BP81)</f>
        <v/>
      </c>
      <c r="BQ72" s="227">
        <f>BO72+BP72</f>
        <v/>
      </c>
      <c r="BR72" s="227">
        <f>SUM(BR73:BR81)</f>
        <v/>
      </c>
      <c r="BS72" s="227">
        <f>SUM(BS73:BS81)</f>
        <v/>
      </c>
      <c r="BT72" s="227">
        <f>BR72+BS72</f>
        <v/>
      </c>
      <c r="BU72" s="228">
        <f>BT72-BQ72</f>
        <v/>
      </c>
      <c r="BV72" s="229">
        <f>IF(BQ72=0,"",BT72/BQ72)</f>
        <v/>
      </c>
      <c r="BW72" s="18" t="n"/>
      <c r="BX72" s="230">
        <f>SUM(BX73:BX81)</f>
        <v/>
      </c>
      <c r="BY72" s="230">
        <f>SUM(BY73:BY81)</f>
        <v/>
      </c>
      <c r="BZ72" s="230">
        <f>BX72+BY72</f>
        <v/>
      </c>
      <c r="CA72" s="230">
        <f>SUM(CA73:CA81)</f>
        <v/>
      </c>
      <c r="CB72" s="230">
        <f>SUM(CB73:CB81)</f>
        <v/>
      </c>
      <c r="CC72" s="230">
        <f>CA72+CB72</f>
        <v/>
      </c>
      <c r="CD72" s="231">
        <f>CC72-BZ72</f>
        <v/>
      </c>
      <c r="CE72" s="232">
        <f>IF(BZ72=0,"",CC72/BZ72)</f>
        <v/>
      </c>
      <c r="CF72" s="25" t="n"/>
      <c r="CG72" s="227">
        <f>SUM(CG73:CG81)</f>
        <v/>
      </c>
      <c r="CH72" s="227">
        <f>SUM(CH73:CH81)</f>
        <v/>
      </c>
      <c r="CI72" s="227">
        <f>CG72+CH72</f>
        <v/>
      </c>
      <c r="CJ72" s="227">
        <f>SUM(CJ73:CJ81)</f>
        <v/>
      </c>
      <c r="CK72" s="227">
        <f>SUM(CK73:CK81)</f>
        <v/>
      </c>
      <c r="CL72" s="227">
        <f>CJ72+CK72</f>
        <v/>
      </c>
      <c r="CM72" s="228">
        <f>CL72-CI72</f>
        <v/>
      </c>
      <c r="CN72" s="229">
        <f>IF(CI72=0,"",CL72/CI72)</f>
        <v/>
      </c>
      <c r="CO72" s="18" t="n"/>
      <c r="CP72" s="230">
        <f>SUM(CP73:CP81)</f>
        <v/>
      </c>
      <c r="CQ72" s="230">
        <f>SUM(CQ73:CQ81)</f>
        <v/>
      </c>
      <c r="CR72" s="230">
        <f>CP72+CQ72</f>
        <v/>
      </c>
      <c r="CS72" s="230">
        <f>SUM(CS73:CS81)</f>
        <v/>
      </c>
      <c r="CT72" s="230">
        <f>SUM(CT73:CT81)</f>
        <v/>
      </c>
      <c r="CU72" s="230">
        <f>CS72+CT72</f>
        <v/>
      </c>
      <c r="CV72" s="231">
        <f>CU72-CR72</f>
        <v/>
      </c>
      <c r="CW72" s="232">
        <f>IF(CR72=0,"",CU72/CR72)</f>
        <v/>
      </c>
      <c r="CX72" s="25" t="n"/>
      <c r="CY72" s="227">
        <f>SUM(CY73:CY81)</f>
        <v/>
      </c>
      <c r="CZ72" s="227">
        <f>SUM(CZ73:CZ81)</f>
        <v/>
      </c>
      <c r="DA72" s="227">
        <f>CY72+CZ72</f>
        <v/>
      </c>
      <c r="DB72" s="227">
        <f>SUM(DB73:DB81)</f>
        <v/>
      </c>
      <c r="DC72" s="227">
        <f>SUM(DC73:DC81)</f>
        <v/>
      </c>
      <c r="DD72" s="227">
        <f>DB72+DC72</f>
        <v/>
      </c>
      <c r="DE72" s="228">
        <f>DD72-DA72</f>
        <v/>
      </c>
      <c r="DF72" s="229">
        <f>IF(DA72=0,"",DD72/DA72)</f>
        <v/>
      </c>
      <c r="DG72" s="18" t="n"/>
      <c r="DH72" s="230">
        <f>SUM(DH73:DH81)</f>
        <v/>
      </c>
      <c r="DI72" s="230">
        <f>SUM(DI73:DI81)</f>
        <v/>
      </c>
      <c r="DJ72" s="230">
        <f>DH72+DI72</f>
        <v/>
      </c>
      <c r="DK72" s="230">
        <f>SUM(DK73:DK81)</f>
        <v/>
      </c>
      <c r="DL72" s="230">
        <f>SUM(DL73:DL81)</f>
        <v/>
      </c>
      <c r="DM72" s="230">
        <f>DK72+DL72</f>
        <v/>
      </c>
      <c r="DN72" s="231">
        <f>DM72-DJ72</f>
        <v/>
      </c>
      <c r="DO72" s="232">
        <f>IF(DJ72=0,"",DM72/DJ72)</f>
        <v/>
      </c>
      <c r="DP72" s="25" t="n"/>
      <c r="DQ72" s="227">
        <f>SUM(DQ73:DQ81)</f>
        <v/>
      </c>
      <c r="DR72" s="227">
        <f>SUM(DR73:DR81)</f>
        <v/>
      </c>
      <c r="DS72" s="227">
        <f>DQ72+DR72</f>
        <v/>
      </c>
      <c r="DT72" s="227">
        <f>SUM(DT73:DT81)</f>
        <v/>
      </c>
      <c r="DU72" s="227">
        <f>SUM(DU73:DU81)</f>
        <v/>
      </c>
      <c r="DV72" s="227">
        <f>DT72+DU72</f>
        <v/>
      </c>
      <c r="DW72" s="228">
        <f>DV72-DS72</f>
        <v/>
      </c>
      <c r="DX72" s="229">
        <f>IF(DS72=0,"",DV72/DS72)</f>
        <v/>
      </c>
      <c r="DY72" s="18" t="n"/>
      <c r="DZ72" s="230">
        <f>SUM(DZ73:DZ81)</f>
        <v/>
      </c>
      <c r="EA72" s="230">
        <f>SUM(EA73:EA81)</f>
        <v/>
      </c>
      <c r="EB72" s="230">
        <f>DZ72+EA72</f>
        <v/>
      </c>
      <c r="EC72" s="230">
        <f>SUM(EC73:EC81)</f>
        <v/>
      </c>
      <c r="ED72" s="230">
        <f>SUM(ED73:ED81)</f>
        <v/>
      </c>
      <c r="EE72" s="230">
        <f>EC72+ED72</f>
        <v/>
      </c>
      <c r="EF72" s="231">
        <f>EE72-EB72</f>
        <v/>
      </c>
      <c r="EG72" s="232">
        <f>IF(EB72=0,"",EE72/EB72)</f>
        <v/>
      </c>
      <c r="EH72" s="25" t="n"/>
      <c r="EI72" s="227">
        <f>SUM(EI73:EI81)</f>
        <v/>
      </c>
      <c r="EJ72" s="227">
        <f>SUM(EJ73:EJ81)</f>
        <v/>
      </c>
      <c r="EK72" s="227">
        <f>EI72+EJ72</f>
        <v/>
      </c>
      <c r="EL72" s="227">
        <f>SUM(EL73:EL81)</f>
        <v/>
      </c>
      <c r="EM72" s="227">
        <f>SUM(EM73:EM81)</f>
        <v/>
      </c>
      <c r="EN72" s="227">
        <f>EL72+EM72</f>
        <v/>
      </c>
      <c r="EO72" s="228">
        <f>EN72-EK72</f>
        <v/>
      </c>
      <c r="EP72" s="229">
        <f>IF(EK72=0,"",EN72/EK72)</f>
        <v/>
      </c>
      <c r="EQ72" s="18" t="n"/>
      <c r="ER72" s="230">
        <f>SUM(ER73:ER81)</f>
        <v/>
      </c>
      <c r="ES72" s="230">
        <f>SUM(ES73:ES81)</f>
        <v/>
      </c>
      <c r="ET72" s="230">
        <f>ER72+ES72</f>
        <v/>
      </c>
      <c r="EU72" s="230">
        <f>SUM(EU73:EU81)</f>
        <v/>
      </c>
      <c r="EV72" s="230">
        <f>SUM(EV73:EV81)</f>
        <v/>
      </c>
      <c r="EW72" s="230">
        <f>EU72+EV72</f>
        <v/>
      </c>
      <c r="EX72" s="231">
        <f>EW72-ET72</f>
        <v/>
      </c>
      <c r="EY72" s="232">
        <f>IF(ET72=0,"",EW72/ET72)</f>
        <v/>
      </c>
      <c r="EZ72" s="25" t="n"/>
      <c r="FA72" s="227">
        <f>SUM(FA73:FA81)</f>
        <v/>
      </c>
      <c r="FB72" s="227">
        <f>SUM(FB73:FB81)</f>
        <v/>
      </c>
      <c r="FC72" s="227">
        <f>FA72+FB72</f>
        <v/>
      </c>
      <c r="FD72" s="227">
        <f>SUM(FD73:FD81)</f>
        <v/>
      </c>
      <c r="FE72" s="227">
        <f>SUM(FE73:FE81)</f>
        <v/>
      </c>
      <c r="FF72" s="227">
        <f>FD72+FE72</f>
        <v/>
      </c>
      <c r="FG72" s="228">
        <f>FF72-FC72</f>
        <v/>
      </c>
      <c r="FH72" s="229">
        <f>IF(FC72=0,"",FF72/FC72)</f>
        <v/>
      </c>
      <c r="FI72" s="18" t="n"/>
      <c r="FJ72" s="230">
        <f>SUM(FJ73:FJ81)</f>
        <v/>
      </c>
      <c r="FK72" s="230">
        <f>SUM(FK73:FK81)</f>
        <v/>
      </c>
      <c r="FL72" s="230">
        <f>FJ72+FK72</f>
        <v/>
      </c>
      <c r="FM72" s="230">
        <f>SUM(FM73:FM81)</f>
        <v/>
      </c>
      <c r="FN72" s="230">
        <f>SUM(FN73:FN81)</f>
        <v/>
      </c>
      <c r="FO72" s="230">
        <f>FM72+FN72</f>
        <v/>
      </c>
      <c r="FP72" s="231">
        <f>FO72-FL72</f>
        <v/>
      </c>
      <c r="FQ72" s="232">
        <f>IF(FL72=0,"",FO72/FL72)</f>
        <v/>
      </c>
      <c r="FR72" s="25" t="n"/>
      <c r="FS72" s="227">
        <f>SUM(FS73:FS81)</f>
        <v/>
      </c>
      <c r="FT72" s="227">
        <f>SUM(FT73:FT81)</f>
        <v/>
      </c>
      <c r="FU72" s="227">
        <f>FS72+FT72</f>
        <v/>
      </c>
      <c r="FV72" s="227">
        <f>SUM(FV73:FV81)</f>
        <v/>
      </c>
      <c r="FW72" s="227">
        <f>SUM(FW73:FW81)</f>
        <v/>
      </c>
      <c r="FX72" s="227">
        <f>FV72+FW72</f>
        <v/>
      </c>
      <c r="FY72" s="228">
        <f>FX72-FU72</f>
        <v/>
      </c>
      <c r="FZ72" s="229">
        <f>IF(FU72=0,"",FX72/FU72)</f>
        <v/>
      </c>
      <c r="GA72" s="18" t="n"/>
      <c r="GB72" s="230">
        <f>SUM(GB73:GB81)</f>
        <v/>
      </c>
      <c r="GC72" s="230">
        <f>SUM(GC73:GC81)</f>
        <v/>
      </c>
      <c r="GD72" s="230">
        <f>GB72+GC72</f>
        <v/>
      </c>
      <c r="GE72" s="230">
        <f>SUM(GE73:GE81)</f>
        <v/>
      </c>
      <c r="GF72" s="230">
        <f>SUM(GF73:GF81)</f>
        <v/>
      </c>
      <c r="GG72" s="230">
        <f>GE72+GF72</f>
        <v/>
      </c>
      <c r="GH72" s="231">
        <f>GG72-GD72</f>
        <v/>
      </c>
      <c r="GI72" s="232">
        <f>IF(GD72=0,"",GG72/GD72)</f>
        <v/>
      </c>
      <c r="GJ72" s="25" t="n"/>
      <c r="GK72" s="227">
        <f>SUM(GK73:GK81)</f>
        <v/>
      </c>
      <c r="GL72" s="227">
        <f>SUM(GL73:GL81)</f>
        <v/>
      </c>
      <c r="GM72" s="227">
        <f>GK72+GL72</f>
        <v/>
      </c>
      <c r="GN72" s="227">
        <f>SUM(GN73:GN81)</f>
        <v/>
      </c>
      <c r="GO72" s="227">
        <f>SUM(GO73:GO81)</f>
        <v/>
      </c>
      <c r="GP72" s="227">
        <f>GN72+GO72</f>
        <v/>
      </c>
      <c r="GQ72" s="228">
        <f>GP72-GM72</f>
        <v/>
      </c>
      <c r="GR72" s="229">
        <f>IF(GM72=0,"",GP72/GM72)</f>
        <v/>
      </c>
      <c r="GS72" s="18" t="n"/>
      <c r="GT72" s="230">
        <f>SUM(GT73:GT81)</f>
        <v/>
      </c>
      <c r="GU72" s="230">
        <f>SUM(GU73:GU81)</f>
        <v/>
      </c>
      <c r="GV72" s="230">
        <f>GT72+GU72</f>
        <v/>
      </c>
      <c r="GW72" s="230">
        <f>SUM(GW73:GW81)</f>
        <v/>
      </c>
      <c r="GX72" s="230">
        <f>SUM(GX73:GX81)</f>
        <v/>
      </c>
      <c r="GY72" s="230">
        <f>GW72+GX72</f>
        <v/>
      </c>
      <c r="GZ72" s="231">
        <f>GY72-GV72</f>
        <v/>
      </c>
      <c r="HA72" s="232">
        <f>IF(GV72=0,"",GY72/GV72)</f>
        <v/>
      </c>
      <c r="HB72" s="25" t="n"/>
      <c r="HC72" s="227">
        <f>GT72</f>
        <v/>
      </c>
      <c r="HD72" s="227">
        <f>GU72</f>
        <v/>
      </c>
      <c r="HE72" s="227">
        <f>HC72+HD72</f>
        <v/>
      </c>
    </row>
    <row r="73" outlineLevel="1" ht="15" customHeight="1" s="150">
      <c r="A73" s="26" t="n"/>
      <c r="B73" s="26" t="n"/>
      <c r="C73" s="26" t="n"/>
      <c r="D73" s="233" t="n"/>
      <c r="E73" s="233" t="n"/>
      <c r="F73" s="233">
        <f>D73+E73</f>
        <v/>
      </c>
      <c r="G73" s="233" t="n"/>
      <c r="H73" s="233" t="n"/>
      <c r="I73" s="233">
        <f>G73+H73</f>
        <v/>
      </c>
      <c r="J73" s="238">
        <f>I73-F73</f>
        <v/>
      </c>
      <c r="K73" s="235">
        <f>IF(F73=0,"",I73/F73)</f>
        <v/>
      </c>
      <c r="L73" s="26" t="n"/>
      <c r="M73" s="233" t="n"/>
      <c r="N73" s="233" t="n"/>
      <c r="O73" s="233">
        <f>M73+N73</f>
        <v/>
      </c>
      <c r="P73" s="233" t="n"/>
      <c r="Q73" s="233" t="n"/>
      <c r="R73" s="233">
        <f>P73+Q73</f>
        <v/>
      </c>
      <c r="S73" s="238">
        <f>R73-O73</f>
        <v/>
      </c>
      <c r="T73" s="235">
        <f>IF(O73=0,"",R73/O73)</f>
        <v/>
      </c>
      <c r="U73" s="26" t="n"/>
      <c r="V73" s="236">
        <f>D73+M73</f>
        <v/>
      </c>
      <c r="W73" s="236">
        <f>E73+N73</f>
        <v/>
      </c>
      <c r="X73" s="236">
        <f>V73+W73</f>
        <v/>
      </c>
      <c r="Y73" s="236">
        <f>G73+P73</f>
        <v/>
      </c>
      <c r="Z73" s="236">
        <f>H73+Q73</f>
        <v/>
      </c>
      <c r="AA73" s="236">
        <f>Y73+Z73</f>
        <v/>
      </c>
      <c r="AB73" s="239">
        <f>AA73-X73</f>
        <v/>
      </c>
      <c r="AC73" s="237">
        <f>IF(X73=0,"",AA73/X73)</f>
        <v/>
      </c>
      <c r="AD73" s="33" t="n"/>
      <c r="AE73" s="233" t="n"/>
      <c r="AF73" s="233" t="n"/>
      <c r="AG73" s="233">
        <f>AE73+AF73</f>
        <v/>
      </c>
      <c r="AH73" s="233" t="n"/>
      <c r="AI73" s="233" t="n"/>
      <c r="AJ73" s="233">
        <f>AH73+AI73</f>
        <v/>
      </c>
      <c r="AK73" s="238">
        <f>AJ73-AG73</f>
        <v/>
      </c>
      <c r="AL73" s="235">
        <f>IF(AG73=0,"",AJ73/AG73)</f>
        <v/>
      </c>
      <c r="AM73" s="26" t="n"/>
      <c r="AN73" s="236">
        <f>V73+AE73</f>
        <v/>
      </c>
      <c r="AO73" s="236">
        <f>W73+AF73</f>
        <v/>
      </c>
      <c r="AP73" s="236">
        <f>AN73+AO73</f>
        <v/>
      </c>
      <c r="AQ73" s="236">
        <f>Y73+AH73</f>
        <v/>
      </c>
      <c r="AR73" s="236">
        <f>Z73+AI73</f>
        <v/>
      </c>
      <c r="AS73" s="236">
        <f>AQ73+AR73</f>
        <v/>
      </c>
      <c r="AT73" s="239">
        <f>AS73-AP73</f>
        <v/>
      </c>
      <c r="AU73" s="237">
        <f>IF(AP73=0,"",AS73/AP73)</f>
        <v/>
      </c>
      <c r="AV73" s="33" t="n"/>
      <c r="AW73" s="233" t="n"/>
      <c r="AX73" s="233" t="n"/>
      <c r="AY73" s="233">
        <f>AW73+AX73</f>
        <v/>
      </c>
      <c r="AZ73" s="233" t="n"/>
      <c r="BA73" s="233" t="n"/>
      <c r="BB73" s="233">
        <f>AZ73+BA73</f>
        <v/>
      </c>
      <c r="BC73" s="238">
        <f>BB73-AY73</f>
        <v/>
      </c>
      <c r="BD73" s="235">
        <f>IF(AY73=0,"",BB73/AY73)</f>
        <v/>
      </c>
      <c r="BE73" s="26" t="n"/>
      <c r="BF73" s="236">
        <f>AN73+AW73</f>
        <v/>
      </c>
      <c r="BG73" s="236">
        <f>AO73+AX73</f>
        <v/>
      </c>
      <c r="BH73" s="236">
        <f>BF73+BG73</f>
        <v/>
      </c>
      <c r="BI73" s="236">
        <f>AQ73+AZ73</f>
        <v/>
      </c>
      <c r="BJ73" s="236">
        <f>AR73+BA73</f>
        <v/>
      </c>
      <c r="BK73" s="236">
        <f>BI73+BJ73</f>
        <v/>
      </c>
      <c r="BL73" s="239">
        <f>BK73-BH73</f>
        <v/>
      </c>
      <c r="BM73" s="237">
        <f>IF(BH73=0,"",BK73/BH73)</f>
        <v/>
      </c>
      <c r="BN73" s="33" t="n"/>
      <c r="BO73" s="233" t="n"/>
      <c r="BP73" s="233" t="n"/>
      <c r="BQ73" s="233">
        <f>BO73+BP73</f>
        <v/>
      </c>
      <c r="BR73" s="233" t="n"/>
      <c r="BS73" s="233" t="n"/>
      <c r="BT73" s="233">
        <f>BR73+BS73</f>
        <v/>
      </c>
      <c r="BU73" s="238">
        <f>BT73-BQ73</f>
        <v/>
      </c>
      <c r="BV73" s="235">
        <f>IF(BQ73=0,"",BT73/BQ73)</f>
        <v/>
      </c>
      <c r="BW73" s="26" t="n"/>
      <c r="BX73" s="236">
        <f>BF73+BO73</f>
        <v/>
      </c>
      <c r="BY73" s="236">
        <f>BG73+BP73</f>
        <v/>
      </c>
      <c r="BZ73" s="236">
        <f>BX73+BY73</f>
        <v/>
      </c>
      <c r="CA73" s="236">
        <f>BI73+BR73</f>
        <v/>
      </c>
      <c r="CB73" s="236">
        <f>BJ73+BS73</f>
        <v/>
      </c>
      <c r="CC73" s="236">
        <f>CA73+CB73</f>
        <v/>
      </c>
      <c r="CD73" s="239">
        <f>CC73-BZ73</f>
        <v/>
      </c>
      <c r="CE73" s="237">
        <f>IF(BZ73=0,"",CC73/BZ73)</f>
        <v/>
      </c>
      <c r="CF73" s="33" t="n"/>
      <c r="CG73" s="233" t="n"/>
      <c r="CH73" s="233" t="n"/>
      <c r="CI73" s="233">
        <f>CG73+CH73</f>
        <v/>
      </c>
      <c r="CJ73" s="233" t="n"/>
      <c r="CK73" s="233" t="n"/>
      <c r="CL73" s="233">
        <f>CJ73+CK73</f>
        <v/>
      </c>
      <c r="CM73" s="238">
        <f>CL73-CI73</f>
        <v/>
      </c>
      <c r="CN73" s="235">
        <f>IF(CI73=0,"",CL73/CI73)</f>
        <v/>
      </c>
      <c r="CO73" s="26" t="n"/>
      <c r="CP73" s="236">
        <f>BX73+CG73</f>
        <v/>
      </c>
      <c r="CQ73" s="236">
        <f>BY73+CH73</f>
        <v/>
      </c>
      <c r="CR73" s="236">
        <f>CP73+CQ73</f>
        <v/>
      </c>
      <c r="CS73" s="236">
        <f>CA73+CJ73</f>
        <v/>
      </c>
      <c r="CT73" s="236">
        <f>CB73+CK73</f>
        <v/>
      </c>
      <c r="CU73" s="236">
        <f>CS73+CT73</f>
        <v/>
      </c>
      <c r="CV73" s="239">
        <f>CU73-CR73</f>
        <v/>
      </c>
      <c r="CW73" s="237">
        <f>IF(CR73=0,"",CU73/CR73)</f>
        <v/>
      </c>
      <c r="CX73" s="33" t="n"/>
      <c r="CY73" s="233" t="n"/>
      <c r="CZ73" s="233" t="n"/>
      <c r="DA73" s="233">
        <f>CY73+CZ73</f>
        <v/>
      </c>
      <c r="DB73" s="233" t="n"/>
      <c r="DC73" s="233" t="n"/>
      <c r="DD73" s="233">
        <f>DB73+DC73</f>
        <v/>
      </c>
      <c r="DE73" s="238">
        <f>DD73-DA73</f>
        <v/>
      </c>
      <c r="DF73" s="235">
        <f>IF(DA73=0,"",DD73/DA73)</f>
        <v/>
      </c>
      <c r="DG73" s="26" t="n"/>
      <c r="DH73" s="236">
        <f>CP73+CY73</f>
        <v/>
      </c>
      <c r="DI73" s="236">
        <f>CQ73+CZ73</f>
        <v/>
      </c>
      <c r="DJ73" s="236">
        <f>DH73+DI73</f>
        <v/>
      </c>
      <c r="DK73" s="236">
        <f>CS73+DB73</f>
        <v/>
      </c>
      <c r="DL73" s="236">
        <f>CT73+DC73</f>
        <v/>
      </c>
      <c r="DM73" s="236">
        <f>DK73+DL73</f>
        <v/>
      </c>
      <c r="DN73" s="239">
        <f>DM73-DJ73</f>
        <v/>
      </c>
      <c r="DO73" s="237">
        <f>IF(DJ73=0,"",DM73/DJ73)</f>
        <v/>
      </c>
      <c r="DP73" s="33" t="n"/>
      <c r="DQ73" s="233" t="n"/>
      <c r="DR73" s="233" t="n"/>
      <c r="DS73" s="233">
        <f>DQ73+DR73</f>
        <v/>
      </c>
      <c r="DT73" s="233" t="n"/>
      <c r="DU73" s="233" t="n"/>
      <c r="DV73" s="233">
        <f>DT73+DU73</f>
        <v/>
      </c>
      <c r="DW73" s="238">
        <f>DV73-DS73</f>
        <v/>
      </c>
      <c r="DX73" s="235">
        <f>IF(DS73=0,"",DV73/DS73)</f>
        <v/>
      </c>
      <c r="DY73" s="26" t="n"/>
      <c r="DZ73" s="236">
        <f>DH73+DQ73</f>
        <v/>
      </c>
      <c r="EA73" s="236">
        <f>DI73+DR73</f>
        <v/>
      </c>
      <c r="EB73" s="236">
        <f>DZ73+EA73</f>
        <v/>
      </c>
      <c r="EC73" s="236">
        <f>DK73+DT73</f>
        <v/>
      </c>
      <c r="ED73" s="236">
        <f>DL73+DU73</f>
        <v/>
      </c>
      <c r="EE73" s="236">
        <f>EC73+ED73</f>
        <v/>
      </c>
      <c r="EF73" s="239">
        <f>EE73-EB73</f>
        <v/>
      </c>
      <c r="EG73" s="237">
        <f>IF(EB73=0,"",EE73/EB73)</f>
        <v/>
      </c>
      <c r="EH73" s="33" t="n"/>
      <c r="EI73" s="233" t="n"/>
      <c r="EJ73" s="233" t="n"/>
      <c r="EK73" s="233">
        <f>EI73+EJ73</f>
        <v/>
      </c>
      <c r="EL73" s="233" t="n"/>
      <c r="EM73" s="233" t="n"/>
      <c r="EN73" s="233">
        <f>EL73+EM73</f>
        <v/>
      </c>
      <c r="EO73" s="238">
        <f>EN73-EK73</f>
        <v/>
      </c>
      <c r="EP73" s="235">
        <f>IF(EK73=0,"",EN73/EK73)</f>
        <v/>
      </c>
      <c r="EQ73" s="26" t="n"/>
      <c r="ER73" s="236">
        <f>DZ73+EI73</f>
        <v/>
      </c>
      <c r="ES73" s="236">
        <f>EA73+EJ73</f>
        <v/>
      </c>
      <c r="ET73" s="236">
        <f>ER73+ES73</f>
        <v/>
      </c>
      <c r="EU73" s="236">
        <f>EC73+EL73</f>
        <v/>
      </c>
      <c r="EV73" s="236">
        <f>ED73+EM73</f>
        <v/>
      </c>
      <c r="EW73" s="236">
        <f>EU73+EV73</f>
        <v/>
      </c>
      <c r="EX73" s="239">
        <f>EW73-ET73</f>
        <v/>
      </c>
      <c r="EY73" s="237">
        <f>IF(ET73=0,"",EW73/ET73)</f>
        <v/>
      </c>
      <c r="EZ73" s="33" t="n"/>
      <c r="FA73" s="233" t="n"/>
      <c r="FB73" s="233" t="n"/>
      <c r="FC73" s="233">
        <f>FA73+FB73</f>
        <v/>
      </c>
      <c r="FD73" s="233" t="n"/>
      <c r="FE73" s="233" t="n"/>
      <c r="FF73" s="233">
        <f>FD73+FE73</f>
        <v/>
      </c>
      <c r="FG73" s="238">
        <f>FF73-FC73</f>
        <v/>
      </c>
      <c r="FH73" s="235">
        <f>IF(FC73=0,"",FF73/FC73)</f>
        <v/>
      </c>
      <c r="FI73" s="26" t="n"/>
      <c r="FJ73" s="236">
        <f>ER73+FA73</f>
        <v/>
      </c>
      <c r="FK73" s="236">
        <f>ES73+FB73</f>
        <v/>
      </c>
      <c r="FL73" s="236">
        <f>FJ73+FK73</f>
        <v/>
      </c>
      <c r="FM73" s="236">
        <f>EU73+FD73</f>
        <v/>
      </c>
      <c r="FN73" s="236">
        <f>EV73+FE73</f>
        <v/>
      </c>
      <c r="FO73" s="236">
        <f>FM73+FN73</f>
        <v/>
      </c>
      <c r="FP73" s="239">
        <f>FO73-FL73</f>
        <v/>
      </c>
      <c r="FQ73" s="237">
        <f>IF(FL73=0,"",FO73/FL73)</f>
        <v/>
      </c>
      <c r="FR73" s="33" t="n"/>
      <c r="FS73" s="233" t="n"/>
      <c r="FT73" s="233" t="n"/>
      <c r="FU73" s="233">
        <f>FS73+FT73</f>
        <v/>
      </c>
      <c r="FV73" s="233" t="n"/>
      <c r="FW73" s="233" t="n"/>
      <c r="FX73" s="233">
        <f>FV73+FW73</f>
        <v/>
      </c>
      <c r="FY73" s="238">
        <f>FX73-FU73</f>
        <v/>
      </c>
      <c r="FZ73" s="235">
        <f>IF(FU73=0,"",FX73/FU73)</f>
        <v/>
      </c>
      <c r="GA73" s="26" t="n"/>
      <c r="GB73" s="236">
        <f>FJ73+FS73</f>
        <v/>
      </c>
      <c r="GC73" s="236">
        <f>FK73+FT73</f>
        <v/>
      </c>
      <c r="GD73" s="236">
        <f>GB73+GC73</f>
        <v/>
      </c>
      <c r="GE73" s="236">
        <f>FM73+FV73</f>
        <v/>
      </c>
      <c r="GF73" s="236">
        <f>FN73+FW73</f>
        <v/>
      </c>
      <c r="GG73" s="236">
        <f>GE73+GF73</f>
        <v/>
      </c>
      <c r="GH73" s="239">
        <f>GG73-GD73</f>
        <v/>
      </c>
      <c r="GI73" s="237">
        <f>IF(GD73=0,"",GG73/GD73)</f>
        <v/>
      </c>
      <c r="GJ73" s="33" t="n"/>
      <c r="GK73" s="233" t="n"/>
      <c r="GL73" s="233" t="n"/>
      <c r="GM73" s="233">
        <f>GK73+GL73</f>
        <v/>
      </c>
      <c r="GN73" s="233" t="n"/>
      <c r="GO73" s="233" t="n"/>
      <c r="GP73" s="233">
        <f>GN73+GO73</f>
        <v/>
      </c>
      <c r="GQ73" s="238">
        <f>GP73-GM73</f>
        <v/>
      </c>
      <c r="GR73" s="235">
        <f>IF(GM73=0,"",GP73/GM73)</f>
        <v/>
      </c>
      <c r="GS73" s="26" t="n"/>
      <c r="GT73" s="236">
        <f>GB73+GK73</f>
        <v/>
      </c>
      <c r="GU73" s="236">
        <f>GC73+GL73</f>
        <v/>
      </c>
      <c r="GV73" s="236">
        <f>GT73+GU73</f>
        <v/>
      </c>
      <c r="GW73" s="236">
        <f>GE73+GN73</f>
        <v/>
      </c>
      <c r="GX73" s="236">
        <f>GF73+GO73</f>
        <v/>
      </c>
      <c r="GY73" s="236">
        <f>GW73+GX73</f>
        <v/>
      </c>
      <c r="GZ73" s="239">
        <f>GY73-GV73</f>
        <v/>
      </c>
      <c r="HA73" s="237">
        <f>IF(GV73=0,"",GY73/GV73)</f>
        <v/>
      </c>
      <c r="HB73" s="33" t="n"/>
      <c r="HC73" s="233">
        <f>GT73</f>
        <v/>
      </c>
      <c r="HD73" s="233">
        <f>GU73</f>
        <v/>
      </c>
      <c r="HE73" s="233">
        <f>HC73+HD73</f>
        <v/>
      </c>
    </row>
    <row r="74" outlineLevel="1" ht="15" customHeight="1" s="150">
      <c r="A74" s="26" t="n"/>
      <c r="B74" s="26" t="n"/>
      <c r="C74" s="26" t="n"/>
      <c r="D74" s="233" t="n"/>
      <c r="E74" s="233" t="n"/>
      <c r="F74" s="233">
        <f>D74+E74</f>
        <v/>
      </c>
      <c r="G74" s="233" t="n"/>
      <c r="H74" s="233" t="n"/>
      <c r="I74" s="233">
        <f>G74+H74</f>
        <v/>
      </c>
      <c r="J74" s="238">
        <f>I74-F74</f>
        <v/>
      </c>
      <c r="K74" s="235">
        <f>IF(F74=0,"",I74/F74)</f>
        <v/>
      </c>
      <c r="L74" s="26" t="n"/>
      <c r="M74" s="233" t="n"/>
      <c r="N74" s="233" t="n"/>
      <c r="O74" s="233">
        <f>M74+N74</f>
        <v/>
      </c>
      <c r="P74" s="233" t="n"/>
      <c r="Q74" s="233" t="n"/>
      <c r="R74" s="233">
        <f>P74+Q74</f>
        <v/>
      </c>
      <c r="S74" s="238">
        <f>R74-O74</f>
        <v/>
      </c>
      <c r="T74" s="235">
        <f>IF(O74=0,"",R74/O74)</f>
        <v/>
      </c>
      <c r="U74" s="26" t="n"/>
      <c r="V74" s="236">
        <f>D74+M74</f>
        <v/>
      </c>
      <c r="W74" s="236">
        <f>E74+N74</f>
        <v/>
      </c>
      <c r="X74" s="236">
        <f>V74+W74</f>
        <v/>
      </c>
      <c r="Y74" s="236">
        <f>G74+P74</f>
        <v/>
      </c>
      <c r="Z74" s="236">
        <f>H74+Q74</f>
        <v/>
      </c>
      <c r="AA74" s="236">
        <f>Y74+Z74</f>
        <v/>
      </c>
      <c r="AB74" s="239">
        <f>AA74-X74</f>
        <v/>
      </c>
      <c r="AC74" s="237">
        <f>IF(X74=0,"",AA74/X74)</f>
        <v/>
      </c>
      <c r="AD74" s="33" t="n"/>
      <c r="AE74" s="233" t="n"/>
      <c r="AF74" s="233" t="n"/>
      <c r="AG74" s="233">
        <f>AE74+AF74</f>
        <v/>
      </c>
      <c r="AH74" s="233" t="n"/>
      <c r="AI74" s="233" t="n"/>
      <c r="AJ74" s="233">
        <f>AH74+AI74</f>
        <v/>
      </c>
      <c r="AK74" s="238">
        <f>AJ74-AG74</f>
        <v/>
      </c>
      <c r="AL74" s="235">
        <f>IF(AG74=0,"",AJ74/AG74)</f>
        <v/>
      </c>
      <c r="AM74" s="26" t="n"/>
      <c r="AN74" s="236">
        <f>V74+AE74</f>
        <v/>
      </c>
      <c r="AO74" s="236">
        <f>W74+AF74</f>
        <v/>
      </c>
      <c r="AP74" s="236">
        <f>AN74+AO74</f>
        <v/>
      </c>
      <c r="AQ74" s="236">
        <f>Y74+AH74</f>
        <v/>
      </c>
      <c r="AR74" s="236">
        <f>Z74+AI74</f>
        <v/>
      </c>
      <c r="AS74" s="236">
        <f>AQ74+AR74</f>
        <v/>
      </c>
      <c r="AT74" s="239">
        <f>AS74-AP74</f>
        <v/>
      </c>
      <c r="AU74" s="237">
        <f>IF(AP74=0,"",AS74/AP74)</f>
        <v/>
      </c>
      <c r="AV74" s="33" t="n"/>
      <c r="AW74" s="233" t="n"/>
      <c r="AX74" s="233" t="n"/>
      <c r="AY74" s="233">
        <f>AW74+AX74</f>
        <v/>
      </c>
      <c r="AZ74" s="233" t="n"/>
      <c r="BA74" s="233" t="n"/>
      <c r="BB74" s="233">
        <f>AZ74+BA74</f>
        <v/>
      </c>
      <c r="BC74" s="238">
        <f>BB74-AY74</f>
        <v/>
      </c>
      <c r="BD74" s="235">
        <f>IF(AY74=0,"",BB74/AY74)</f>
        <v/>
      </c>
      <c r="BE74" s="26" t="n"/>
      <c r="BF74" s="236">
        <f>AN74+AW74</f>
        <v/>
      </c>
      <c r="BG74" s="236">
        <f>AO74+AX74</f>
        <v/>
      </c>
      <c r="BH74" s="236">
        <f>BF74+BG74</f>
        <v/>
      </c>
      <c r="BI74" s="236">
        <f>AQ74+AZ74</f>
        <v/>
      </c>
      <c r="BJ74" s="236">
        <f>AR74+BA74</f>
        <v/>
      </c>
      <c r="BK74" s="236">
        <f>BI74+BJ74</f>
        <v/>
      </c>
      <c r="BL74" s="239">
        <f>BK74-BH74</f>
        <v/>
      </c>
      <c r="BM74" s="237">
        <f>IF(BH74=0,"",BK74/BH74)</f>
        <v/>
      </c>
      <c r="BN74" s="33" t="n"/>
      <c r="BO74" s="233" t="n"/>
      <c r="BP74" s="233" t="n"/>
      <c r="BQ74" s="233">
        <f>BO74+BP74</f>
        <v/>
      </c>
      <c r="BR74" s="233" t="n"/>
      <c r="BS74" s="233" t="n"/>
      <c r="BT74" s="233">
        <f>BR74+BS74</f>
        <v/>
      </c>
      <c r="BU74" s="238">
        <f>BT74-BQ74</f>
        <v/>
      </c>
      <c r="BV74" s="235">
        <f>IF(BQ74=0,"",BT74/BQ74)</f>
        <v/>
      </c>
      <c r="BW74" s="26" t="n"/>
      <c r="BX74" s="236">
        <f>BF74+BO74</f>
        <v/>
      </c>
      <c r="BY74" s="236">
        <f>BG74+BP74</f>
        <v/>
      </c>
      <c r="BZ74" s="236">
        <f>BX74+BY74</f>
        <v/>
      </c>
      <c r="CA74" s="236">
        <f>BI74+BR74</f>
        <v/>
      </c>
      <c r="CB74" s="236">
        <f>BJ74+BS74</f>
        <v/>
      </c>
      <c r="CC74" s="236">
        <f>CA74+CB74</f>
        <v/>
      </c>
      <c r="CD74" s="239">
        <f>CC74-BZ74</f>
        <v/>
      </c>
      <c r="CE74" s="237">
        <f>IF(BZ74=0,"",CC74/BZ74)</f>
        <v/>
      </c>
      <c r="CF74" s="33" t="n"/>
      <c r="CG74" s="233" t="n"/>
      <c r="CH74" s="233" t="n"/>
      <c r="CI74" s="233">
        <f>CG74+CH74</f>
        <v/>
      </c>
      <c r="CJ74" s="233" t="n"/>
      <c r="CK74" s="233" t="n"/>
      <c r="CL74" s="233">
        <f>CJ74+CK74</f>
        <v/>
      </c>
      <c r="CM74" s="238">
        <f>CL74-CI74</f>
        <v/>
      </c>
      <c r="CN74" s="235">
        <f>IF(CI74=0,"",CL74/CI74)</f>
        <v/>
      </c>
      <c r="CO74" s="26" t="n"/>
      <c r="CP74" s="236">
        <f>BX74+CG74</f>
        <v/>
      </c>
      <c r="CQ74" s="236">
        <f>BY74+CH74</f>
        <v/>
      </c>
      <c r="CR74" s="236">
        <f>CP74+CQ74</f>
        <v/>
      </c>
      <c r="CS74" s="236">
        <f>CA74+CJ74</f>
        <v/>
      </c>
      <c r="CT74" s="236">
        <f>CB74+CK74</f>
        <v/>
      </c>
      <c r="CU74" s="236">
        <f>CS74+CT74</f>
        <v/>
      </c>
      <c r="CV74" s="239">
        <f>CU74-CR74</f>
        <v/>
      </c>
      <c r="CW74" s="237">
        <f>IF(CR74=0,"",CU74/CR74)</f>
        <v/>
      </c>
      <c r="CX74" s="33" t="n"/>
      <c r="CY74" s="233" t="n"/>
      <c r="CZ74" s="233" t="n"/>
      <c r="DA74" s="233">
        <f>CY74+CZ74</f>
        <v/>
      </c>
      <c r="DB74" s="233" t="n"/>
      <c r="DC74" s="233" t="n"/>
      <c r="DD74" s="233">
        <f>DB74+DC74</f>
        <v/>
      </c>
      <c r="DE74" s="238">
        <f>DD74-DA74</f>
        <v/>
      </c>
      <c r="DF74" s="235">
        <f>IF(DA74=0,"",DD74/DA74)</f>
        <v/>
      </c>
      <c r="DG74" s="26" t="n"/>
      <c r="DH74" s="236">
        <f>CP74+CY74</f>
        <v/>
      </c>
      <c r="DI74" s="236">
        <f>CQ74+CZ74</f>
        <v/>
      </c>
      <c r="DJ74" s="236">
        <f>DH74+DI74</f>
        <v/>
      </c>
      <c r="DK74" s="236">
        <f>CS74+DB74</f>
        <v/>
      </c>
      <c r="DL74" s="236">
        <f>CT74+DC74</f>
        <v/>
      </c>
      <c r="DM74" s="236">
        <f>DK74+DL74</f>
        <v/>
      </c>
      <c r="DN74" s="239">
        <f>DM74-DJ74</f>
        <v/>
      </c>
      <c r="DO74" s="237">
        <f>IF(DJ74=0,"",DM74/DJ74)</f>
        <v/>
      </c>
      <c r="DP74" s="33" t="n"/>
      <c r="DQ74" s="233" t="n"/>
      <c r="DR74" s="233" t="n"/>
      <c r="DS74" s="233">
        <f>DQ74+DR74</f>
        <v/>
      </c>
      <c r="DT74" s="233" t="n"/>
      <c r="DU74" s="233" t="n"/>
      <c r="DV74" s="233">
        <f>DT74+DU74</f>
        <v/>
      </c>
      <c r="DW74" s="238">
        <f>DV74-DS74</f>
        <v/>
      </c>
      <c r="DX74" s="235">
        <f>IF(DS74=0,"",DV74/DS74)</f>
        <v/>
      </c>
      <c r="DY74" s="26" t="n"/>
      <c r="DZ74" s="236">
        <f>DH74+DQ74</f>
        <v/>
      </c>
      <c r="EA74" s="236">
        <f>DI74+DR74</f>
        <v/>
      </c>
      <c r="EB74" s="236">
        <f>DZ74+EA74</f>
        <v/>
      </c>
      <c r="EC74" s="236">
        <f>DK74+DT74</f>
        <v/>
      </c>
      <c r="ED74" s="236">
        <f>DL74+DU74</f>
        <v/>
      </c>
      <c r="EE74" s="236">
        <f>EC74+ED74</f>
        <v/>
      </c>
      <c r="EF74" s="239">
        <f>EE74-EB74</f>
        <v/>
      </c>
      <c r="EG74" s="237">
        <f>IF(EB74=0,"",EE74/EB74)</f>
        <v/>
      </c>
      <c r="EH74" s="33" t="n"/>
      <c r="EI74" s="233" t="n"/>
      <c r="EJ74" s="233" t="n"/>
      <c r="EK74" s="233">
        <f>EI74+EJ74</f>
        <v/>
      </c>
      <c r="EL74" s="233" t="n"/>
      <c r="EM74" s="233" t="n"/>
      <c r="EN74" s="233">
        <f>EL74+EM74</f>
        <v/>
      </c>
      <c r="EO74" s="238">
        <f>EN74-EK74</f>
        <v/>
      </c>
      <c r="EP74" s="235">
        <f>IF(EK74=0,"",EN74/EK74)</f>
        <v/>
      </c>
      <c r="EQ74" s="26" t="n"/>
      <c r="ER74" s="236">
        <f>DZ74+EI74</f>
        <v/>
      </c>
      <c r="ES74" s="236">
        <f>EA74+EJ74</f>
        <v/>
      </c>
      <c r="ET74" s="236">
        <f>ER74+ES74</f>
        <v/>
      </c>
      <c r="EU74" s="236">
        <f>EC74+EL74</f>
        <v/>
      </c>
      <c r="EV74" s="236">
        <f>ED74+EM74</f>
        <v/>
      </c>
      <c r="EW74" s="236">
        <f>EU74+EV74</f>
        <v/>
      </c>
      <c r="EX74" s="239">
        <f>EW74-ET74</f>
        <v/>
      </c>
      <c r="EY74" s="237">
        <f>IF(ET74=0,"",EW74/ET74)</f>
        <v/>
      </c>
      <c r="EZ74" s="33" t="n"/>
      <c r="FA74" s="233" t="n"/>
      <c r="FB74" s="233" t="n"/>
      <c r="FC74" s="233">
        <f>FA74+FB74</f>
        <v/>
      </c>
      <c r="FD74" s="233" t="n"/>
      <c r="FE74" s="233" t="n"/>
      <c r="FF74" s="233">
        <f>FD74+FE74</f>
        <v/>
      </c>
      <c r="FG74" s="238">
        <f>FF74-FC74</f>
        <v/>
      </c>
      <c r="FH74" s="235">
        <f>IF(FC74=0,"",FF74/FC74)</f>
        <v/>
      </c>
      <c r="FI74" s="26" t="n"/>
      <c r="FJ74" s="236">
        <f>ER74+FA74</f>
        <v/>
      </c>
      <c r="FK74" s="236">
        <f>ES74+FB74</f>
        <v/>
      </c>
      <c r="FL74" s="236">
        <f>FJ74+FK74</f>
        <v/>
      </c>
      <c r="FM74" s="236">
        <f>EU74+FD74</f>
        <v/>
      </c>
      <c r="FN74" s="236">
        <f>EV74+FE74</f>
        <v/>
      </c>
      <c r="FO74" s="236">
        <f>FM74+FN74</f>
        <v/>
      </c>
      <c r="FP74" s="239">
        <f>FO74-FL74</f>
        <v/>
      </c>
      <c r="FQ74" s="237">
        <f>IF(FL74=0,"",FO74/FL74)</f>
        <v/>
      </c>
      <c r="FR74" s="33" t="n"/>
      <c r="FS74" s="233" t="n"/>
      <c r="FT74" s="233" t="n"/>
      <c r="FU74" s="233">
        <f>FS74+FT74</f>
        <v/>
      </c>
      <c r="FV74" s="233" t="n"/>
      <c r="FW74" s="233" t="n"/>
      <c r="FX74" s="233">
        <f>FV74+FW74</f>
        <v/>
      </c>
      <c r="FY74" s="238">
        <f>FX74-FU74</f>
        <v/>
      </c>
      <c r="FZ74" s="235">
        <f>IF(FU74=0,"",FX74/FU74)</f>
        <v/>
      </c>
      <c r="GA74" s="26" t="n"/>
      <c r="GB74" s="236">
        <f>FJ74+FS74</f>
        <v/>
      </c>
      <c r="GC74" s="236">
        <f>FK74+FT74</f>
        <v/>
      </c>
      <c r="GD74" s="236">
        <f>GB74+GC74</f>
        <v/>
      </c>
      <c r="GE74" s="236">
        <f>FM74+FV74</f>
        <v/>
      </c>
      <c r="GF74" s="236">
        <f>FN74+FW74</f>
        <v/>
      </c>
      <c r="GG74" s="236">
        <f>GE74+GF74</f>
        <v/>
      </c>
      <c r="GH74" s="239">
        <f>GG74-GD74</f>
        <v/>
      </c>
      <c r="GI74" s="237">
        <f>IF(GD74=0,"",GG74/GD74)</f>
        <v/>
      </c>
      <c r="GJ74" s="33" t="n"/>
      <c r="GK74" s="233" t="n"/>
      <c r="GL74" s="233" t="n"/>
      <c r="GM74" s="233">
        <f>GK74+GL74</f>
        <v/>
      </c>
      <c r="GN74" s="233" t="n"/>
      <c r="GO74" s="233" t="n"/>
      <c r="GP74" s="233">
        <f>GN74+GO74</f>
        <v/>
      </c>
      <c r="GQ74" s="238">
        <f>GP74-GM74</f>
        <v/>
      </c>
      <c r="GR74" s="235">
        <f>IF(GM74=0,"",GP74/GM74)</f>
        <v/>
      </c>
      <c r="GS74" s="26" t="n"/>
      <c r="GT74" s="236">
        <f>GB74+GK74</f>
        <v/>
      </c>
      <c r="GU74" s="236">
        <f>GC74+GL74</f>
        <v/>
      </c>
      <c r="GV74" s="236">
        <f>GT74+GU74</f>
        <v/>
      </c>
      <c r="GW74" s="236">
        <f>GE74+GN74</f>
        <v/>
      </c>
      <c r="GX74" s="236">
        <f>GF74+GO74</f>
        <v/>
      </c>
      <c r="GY74" s="236">
        <f>GW74+GX74</f>
        <v/>
      </c>
      <c r="GZ74" s="239">
        <f>GY74-GV74</f>
        <v/>
      </c>
      <c r="HA74" s="237">
        <f>IF(GV74=0,"",GY74/GV74)</f>
        <v/>
      </c>
      <c r="HB74" s="33" t="n"/>
      <c r="HC74" s="233">
        <f>GT74</f>
        <v/>
      </c>
      <c r="HD74" s="233">
        <f>GU74</f>
        <v/>
      </c>
      <c r="HE74" s="233">
        <f>HC74+HD74</f>
        <v/>
      </c>
    </row>
    <row r="75" outlineLevel="1" ht="15" customHeight="1" s="150">
      <c r="A75" s="26" t="n"/>
      <c r="B75" s="26" t="n"/>
      <c r="C75" s="26" t="n"/>
      <c r="D75" s="233" t="n"/>
      <c r="E75" s="233" t="n"/>
      <c r="F75" s="233">
        <f>D75+E75</f>
        <v/>
      </c>
      <c r="G75" s="233" t="n"/>
      <c r="H75" s="233" t="n"/>
      <c r="I75" s="233">
        <f>G75+H75</f>
        <v/>
      </c>
      <c r="J75" s="238">
        <f>I75-F75</f>
        <v/>
      </c>
      <c r="K75" s="235">
        <f>IF(F75=0,"",I75/F75)</f>
        <v/>
      </c>
      <c r="L75" s="26" t="n"/>
      <c r="M75" s="233" t="n"/>
      <c r="N75" s="233" t="n"/>
      <c r="O75" s="233">
        <f>M75+N75</f>
        <v/>
      </c>
      <c r="P75" s="233" t="n"/>
      <c r="Q75" s="233" t="n"/>
      <c r="R75" s="233">
        <f>P75+Q75</f>
        <v/>
      </c>
      <c r="S75" s="238">
        <f>R75-O75</f>
        <v/>
      </c>
      <c r="T75" s="235">
        <f>IF(O75=0,"",R75/O75)</f>
        <v/>
      </c>
      <c r="U75" s="26" t="n"/>
      <c r="V75" s="236">
        <f>D75+M75</f>
        <v/>
      </c>
      <c r="W75" s="236">
        <f>E75+N75</f>
        <v/>
      </c>
      <c r="X75" s="236">
        <f>V75+W75</f>
        <v/>
      </c>
      <c r="Y75" s="236">
        <f>G75+P75</f>
        <v/>
      </c>
      <c r="Z75" s="236">
        <f>H75+Q75</f>
        <v/>
      </c>
      <c r="AA75" s="236">
        <f>Y75+Z75</f>
        <v/>
      </c>
      <c r="AB75" s="239">
        <f>AA75-X75</f>
        <v/>
      </c>
      <c r="AC75" s="237">
        <f>IF(X75=0,"",AA75/X75)</f>
        <v/>
      </c>
      <c r="AD75" s="33" t="n"/>
      <c r="AE75" s="233" t="n"/>
      <c r="AF75" s="233" t="n"/>
      <c r="AG75" s="233">
        <f>AE75+AF75</f>
        <v/>
      </c>
      <c r="AH75" s="233" t="n"/>
      <c r="AI75" s="233" t="n"/>
      <c r="AJ75" s="233">
        <f>AH75+AI75</f>
        <v/>
      </c>
      <c r="AK75" s="238">
        <f>AJ75-AG75</f>
        <v/>
      </c>
      <c r="AL75" s="235">
        <f>IF(AG75=0,"",AJ75/AG75)</f>
        <v/>
      </c>
      <c r="AM75" s="26" t="n"/>
      <c r="AN75" s="236">
        <f>V75+AE75</f>
        <v/>
      </c>
      <c r="AO75" s="236">
        <f>W75+AF75</f>
        <v/>
      </c>
      <c r="AP75" s="236">
        <f>AN75+AO75</f>
        <v/>
      </c>
      <c r="AQ75" s="236">
        <f>Y75+AH75</f>
        <v/>
      </c>
      <c r="AR75" s="236">
        <f>Z75+AI75</f>
        <v/>
      </c>
      <c r="AS75" s="236">
        <f>AQ75+AR75</f>
        <v/>
      </c>
      <c r="AT75" s="239">
        <f>AS75-AP75</f>
        <v/>
      </c>
      <c r="AU75" s="237">
        <f>IF(AP75=0,"",AS75/AP75)</f>
        <v/>
      </c>
      <c r="AV75" s="33" t="n"/>
      <c r="AW75" s="233" t="n"/>
      <c r="AX75" s="233" t="n"/>
      <c r="AY75" s="233">
        <f>AW75+AX75</f>
        <v/>
      </c>
      <c r="AZ75" s="233" t="n"/>
      <c r="BA75" s="233" t="n"/>
      <c r="BB75" s="233">
        <f>AZ75+BA75</f>
        <v/>
      </c>
      <c r="BC75" s="238">
        <f>BB75-AY75</f>
        <v/>
      </c>
      <c r="BD75" s="235">
        <f>IF(AY75=0,"",BB75/AY75)</f>
        <v/>
      </c>
      <c r="BE75" s="26" t="n"/>
      <c r="BF75" s="236">
        <f>AN75+AW75</f>
        <v/>
      </c>
      <c r="BG75" s="236">
        <f>AO75+AX75</f>
        <v/>
      </c>
      <c r="BH75" s="236">
        <f>BF75+BG75</f>
        <v/>
      </c>
      <c r="BI75" s="236">
        <f>AQ75+AZ75</f>
        <v/>
      </c>
      <c r="BJ75" s="236">
        <f>AR75+BA75</f>
        <v/>
      </c>
      <c r="BK75" s="236">
        <f>BI75+BJ75</f>
        <v/>
      </c>
      <c r="BL75" s="239">
        <f>BK75-BH75</f>
        <v/>
      </c>
      <c r="BM75" s="237">
        <f>IF(BH75=0,"",BK75/BH75)</f>
        <v/>
      </c>
      <c r="BN75" s="33" t="n"/>
      <c r="BO75" s="233" t="n"/>
      <c r="BP75" s="233" t="n"/>
      <c r="BQ75" s="233">
        <f>BO75+BP75</f>
        <v/>
      </c>
      <c r="BR75" s="233" t="n"/>
      <c r="BS75" s="233" t="n"/>
      <c r="BT75" s="233">
        <f>BR75+BS75</f>
        <v/>
      </c>
      <c r="BU75" s="238">
        <f>BT75-BQ75</f>
        <v/>
      </c>
      <c r="BV75" s="235">
        <f>IF(BQ75=0,"",BT75/BQ75)</f>
        <v/>
      </c>
      <c r="BW75" s="26" t="n"/>
      <c r="BX75" s="236">
        <f>BF75+BO75</f>
        <v/>
      </c>
      <c r="BY75" s="236">
        <f>BG75+BP75</f>
        <v/>
      </c>
      <c r="BZ75" s="236">
        <f>BX75+BY75</f>
        <v/>
      </c>
      <c r="CA75" s="236">
        <f>BI75+BR75</f>
        <v/>
      </c>
      <c r="CB75" s="236">
        <f>BJ75+BS75</f>
        <v/>
      </c>
      <c r="CC75" s="236">
        <f>CA75+CB75</f>
        <v/>
      </c>
      <c r="CD75" s="239">
        <f>CC75-BZ75</f>
        <v/>
      </c>
      <c r="CE75" s="237">
        <f>IF(BZ75=0,"",CC75/BZ75)</f>
        <v/>
      </c>
      <c r="CF75" s="33" t="n"/>
      <c r="CG75" s="233" t="n"/>
      <c r="CH75" s="233" t="n"/>
      <c r="CI75" s="233">
        <f>CG75+CH75</f>
        <v/>
      </c>
      <c r="CJ75" s="233" t="n"/>
      <c r="CK75" s="233" t="n"/>
      <c r="CL75" s="233">
        <f>CJ75+CK75</f>
        <v/>
      </c>
      <c r="CM75" s="238">
        <f>CL75-CI75</f>
        <v/>
      </c>
      <c r="CN75" s="235">
        <f>IF(CI75=0,"",CL75/CI75)</f>
        <v/>
      </c>
      <c r="CO75" s="26" t="n"/>
      <c r="CP75" s="236">
        <f>BX75+CG75</f>
        <v/>
      </c>
      <c r="CQ75" s="236">
        <f>BY75+CH75</f>
        <v/>
      </c>
      <c r="CR75" s="236">
        <f>CP75+CQ75</f>
        <v/>
      </c>
      <c r="CS75" s="236">
        <f>CA75+CJ75</f>
        <v/>
      </c>
      <c r="CT75" s="236">
        <f>CB75+CK75</f>
        <v/>
      </c>
      <c r="CU75" s="236">
        <f>CS75+CT75</f>
        <v/>
      </c>
      <c r="CV75" s="239">
        <f>CU75-CR75</f>
        <v/>
      </c>
      <c r="CW75" s="237">
        <f>IF(CR75=0,"",CU75/CR75)</f>
        <v/>
      </c>
      <c r="CX75" s="33" t="n"/>
      <c r="CY75" s="233" t="n"/>
      <c r="CZ75" s="233" t="n"/>
      <c r="DA75" s="233">
        <f>CY75+CZ75</f>
        <v/>
      </c>
      <c r="DB75" s="233" t="n"/>
      <c r="DC75" s="233" t="n"/>
      <c r="DD75" s="233">
        <f>DB75+DC75</f>
        <v/>
      </c>
      <c r="DE75" s="238">
        <f>DD75-DA75</f>
        <v/>
      </c>
      <c r="DF75" s="235">
        <f>IF(DA75=0,"",DD75/DA75)</f>
        <v/>
      </c>
      <c r="DG75" s="26" t="n"/>
      <c r="DH75" s="236">
        <f>CP75+CY75</f>
        <v/>
      </c>
      <c r="DI75" s="236">
        <f>CQ75+CZ75</f>
        <v/>
      </c>
      <c r="DJ75" s="236">
        <f>DH75+DI75</f>
        <v/>
      </c>
      <c r="DK75" s="236">
        <f>CS75+DB75</f>
        <v/>
      </c>
      <c r="DL75" s="236">
        <f>CT75+DC75</f>
        <v/>
      </c>
      <c r="DM75" s="236">
        <f>DK75+DL75</f>
        <v/>
      </c>
      <c r="DN75" s="239">
        <f>DM75-DJ75</f>
        <v/>
      </c>
      <c r="DO75" s="237">
        <f>IF(DJ75=0,"",DM75/DJ75)</f>
        <v/>
      </c>
      <c r="DP75" s="33" t="n"/>
      <c r="DQ75" s="233" t="n"/>
      <c r="DR75" s="233" t="n"/>
      <c r="DS75" s="233">
        <f>DQ75+DR75</f>
        <v/>
      </c>
      <c r="DT75" s="233" t="n"/>
      <c r="DU75" s="233" t="n"/>
      <c r="DV75" s="233">
        <f>DT75+DU75</f>
        <v/>
      </c>
      <c r="DW75" s="238">
        <f>DV75-DS75</f>
        <v/>
      </c>
      <c r="DX75" s="235">
        <f>IF(DS75=0,"",DV75/DS75)</f>
        <v/>
      </c>
      <c r="DY75" s="26" t="n"/>
      <c r="DZ75" s="236">
        <f>DH75+DQ75</f>
        <v/>
      </c>
      <c r="EA75" s="236">
        <f>DI75+DR75</f>
        <v/>
      </c>
      <c r="EB75" s="236">
        <f>DZ75+EA75</f>
        <v/>
      </c>
      <c r="EC75" s="236">
        <f>DK75+DT75</f>
        <v/>
      </c>
      <c r="ED75" s="236">
        <f>DL75+DU75</f>
        <v/>
      </c>
      <c r="EE75" s="236">
        <f>EC75+ED75</f>
        <v/>
      </c>
      <c r="EF75" s="239">
        <f>EE75-EB75</f>
        <v/>
      </c>
      <c r="EG75" s="237">
        <f>IF(EB75=0,"",EE75/EB75)</f>
        <v/>
      </c>
      <c r="EH75" s="33" t="n"/>
      <c r="EI75" s="233" t="n"/>
      <c r="EJ75" s="233" t="n"/>
      <c r="EK75" s="233">
        <f>EI75+EJ75</f>
        <v/>
      </c>
      <c r="EL75" s="233" t="n"/>
      <c r="EM75" s="233" t="n"/>
      <c r="EN75" s="233">
        <f>EL75+EM75</f>
        <v/>
      </c>
      <c r="EO75" s="238">
        <f>EN75-EK75</f>
        <v/>
      </c>
      <c r="EP75" s="235">
        <f>IF(EK75=0,"",EN75/EK75)</f>
        <v/>
      </c>
      <c r="EQ75" s="26" t="n"/>
      <c r="ER75" s="236">
        <f>DZ75+EI75</f>
        <v/>
      </c>
      <c r="ES75" s="236">
        <f>EA75+EJ75</f>
        <v/>
      </c>
      <c r="ET75" s="236">
        <f>ER75+ES75</f>
        <v/>
      </c>
      <c r="EU75" s="236">
        <f>EC75+EL75</f>
        <v/>
      </c>
      <c r="EV75" s="236">
        <f>ED75+EM75</f>
        <v/>
      </c>
      <c r="EW75" s="236">
        <f>EU75+EV75</f>
        <v/>
      </c>
      <c r="EX75" s="239">
        <f>EW75-ET75</f>
        <v/>
      </c>
      <c r="EY75" s="237">
        <f>IF(ET75=0,"",EW75/ET75)</f>
        <v/>
      </c>
      <c r="EZ75" s="33" t="n"/>
      <c r="FA75" s="233" t="n"/>
      <c r="FB75" s="233" t="n"/>
      <c r="FC75" s="233">
        <f>FA75+FB75</f>
        <v/>
      </c>
      <c r="FD75" s="233" t="n"/>
      <c r="FE75" s="233" t="n"/>
      <c r="FF75" s="233">
        <f>FD75+FE75</f>
        <v/>
      </c>
      <c r="FG75" s="238">
        <f>FF75-FC75</f>
        <v/>
      </c>
      <c r="FH75" s="235">
        <f>IF(FC75=0,"",FF75/FC75)</f>
        <v/>
      </c>
      <c r="FI75" s="26" t="n"/>
      <c r="FJ75" s="236">
        <f>ER75+FA75</f>
        <v/>
      </c>
      <c r="FK75" s="236">
        <f>ES75+FB75</f>
        <v/>
      </c>
      <c r="FL75" s="236">
        <f>FJ75+FK75</f>
        <v/>
      </c>
      <c r="FM75" s="236">
        <f>EU75+FD75</f>
        <v/>
      </c>
      <c r="FN75" s="236">
        <f>EV75+FE75</f>
        <v/>
      </c>
      <c r="FO75" s="236">
        <f>FM75+FN75</f>
        <v/>
      </c>
      <c r="FP75" s="239">
        <f>FO75-FL75</f>
        <v/>
      </c>
      <c r="FQ75" s="237">
        <f>IF(FL75=0,"",FO75/FL75)</f>
        <v/>
      </c>
      <c r="FR75" s="33" t="n"/>
      <c r="FS75" s="233" t="n"/>
      <c r="FT75" s="233" t="n"/>
      <c r="FU75" s="233">
        <f>FS75+FT75</f>
        <v/>
      </c>
      <c r="FV75" s="233" t="n"/>
      <c r="FW75" s="233" t="n"/>
      <c r="FX75" s="233">
        <f>FV75+FW75</f>
        <v/>
      </c>
      <c r="FY75" s="238">
        <f>FX75-FU75</f>
        <v/>
      </c>
      <c r="FZ75" s="235">
        <f>IF(FU75=0,"",FX75/FU75)</f>
        <v/>
      </c>
      <c r="GA75" s="26" t="n"/>
      <c r="GB75" s="236">
        <f>FJ75+FS75</f>
        <v/>
      </c>
      <c r="GC75" s="236">
        <f>FK75+FT75</f>
        <v/>
      </c>
      <c r="GD75" s="236">
        <f>GB75+GC75</f>
        <v/>
      </c>
      <c r="GE75" s="236">
        <f>FM75+FV75</f>
        <v/>
      </c>
      <c r="GF75" s="236">
        <f>FN75+FW75</f>
        <v/>
      </c>
      <c r="GG75" s="236">
        <f>GE75+GF75</f>
        <v/>
      </c>
      <c r="GH75" s="239">
        <f>GG75-GD75</f>
        <v/>
      </c>
      <c r="GI75" s="237">
        <f>IF(GD75=0,"",GG75/GD75)</f>
        <v/>
      </c>
      <c r="GJ75" s="33" t="n"/>
      <c r="GK75" s="233" t="n"/>
      <c r="GL75" s="233" t="n"/>
      <c r="GM75" s="233">
        <f>GK75+GL75</f>
        <v/>
      </c>
      <c r="GN75" s="233" t="n"/>
      <c r="GO75" s="233" t="n"/>
      <c r="GP75" s="233">
        <f>GN75+GO75</f>
        <v/>
      </c>
      <c r="GQ75" s="238">
        <f>GP75-GM75</f>
        <v/>
      </c>
      <c r="GR75" s="235">
        <f>IF(GM75=0,"",GP75/GM75)</f>
        <v/>
      </c>
      <c r="GS75" s="26" t="n"/>
      <c r="GT75" s="236">
        <f>GB75+GK75</f>
        <v/>
      </c>
      <c r="GU75" s="236">
        <f>GC75+GL75</f>
        <v/>
      </c>
      <c r="GV75" s="236">
        <f>GT75+GU75</f>
        <v/>
      </c>
      <c r="GW75" s="236">
        <f>GE75+GN75</f>
        <v/>
      </c>
      <c r="GX75" s="236">
        <f>GF75+GO75</f>
        <v/>
      </c>
      <c r="GY75" s="236">
        <f>GW75+GX75</f>
        <v/>
      </c>
      <c r="GZ75" s="239">
        <f>GY75-GV75</f>
        <v/>
      </c>
      <c r="HA75" s="237">
        <f>IF(GV75=0,"",GY75/GV75)</f>
        <v/>
      </c>
      <c r="HB75" s="33" t="n"/>
      <c r="HC75" s="233">
        <f>GT75</f>
        <v/>
      </c>
      <c r="HD75" s="233">
        <f>GU75</f>
        <v/>
      </c>
      <c r="HE75" s="233">
        <f>HC75+HD75</f>
        <v/>
      </c>
    </row>
    <row r="76" outlineLevel="1" ht="15" customHeight="1" s="150">
      <c r="A76" s="26" t="n"/>
      <c r="B76" s="26" t="n"/>
      <c r="C76" s="26" t="n"/>
      <c r="D76" s="233" t="n"/>
      <c r="E76" s="233" t="n"/>
      <c r="F76" s="233">
        <f>D76+E76</f>
        <v/>
      </c>
      <c r="G76" s="233" t="n"/>
      <c r="H76" s="233" t="n"/>
      <c r="I76" s="233">
        <f>G76+H76</f>
        <v/>
      </c>
      <c r="J76" s="238">
        <f>I76-F76</f>
        <v/>
      </c>
      <c r="K76" s="235">
        <f>IF(F76=0,"",I76/F76)</f>
        <v/>
      </c>
      <c r="L76" s="26" t="n"/>
      <c r="M76" s="233" t="n"/>
      <c r="N76" s="233" t="n"/>
      <c r="O76" s="233">
        <f>M76+N76</f>
        <v/>
      </c>
      <c r="P76" s="233" t="n"/>
      <c r="Q76" s="233" t="n"/>
      <c r="R76" s="233">
        <f>P76+Q76</f>
        <v/>
      </c>
      <c r="S76" s="238">
        <f>R76-O76</f>
        <v/>
      </c>
      <c r="T76" s="235">
        <f>IF(O76=0,"",R76/O76)</f>
        <v/>
      </c>
      <c r="U76" s="26" t="n"/>
      <c r="V76" s="236">
        <f>D76+M76</f>
        <v/>
      </c>
      <c r="W76" s="236">
        <f>E76+N76</f>
        <v/>
      </c>
      <c r="X76" s="236">
        <f>V76+W76</f>
        <v/>
      </c>
      <c r="Y76" s="236">
        <f>G76+P76</f>
        <v/>
      </c>
      <c r="Z76" s="236">
        <f>H76+Q76</f>
        <v/>
      </c>
      <c r="AA76" s="236">
        <f>Y76+Z76</f>
        <v/>
      </c>
      <c r="AB76" s="239">
        <f>AA76-X76</f>
        <v/>
      </c>
      <c r="AC76" s="237">
        <f>IF(X76=0,"",AA76/X76)</f>
        <v/>
      </c>
      <c r="AD76" s="33" t="n"/>
      <c r="AE76" s="233" t="n"/>
      <c r="AF76" s="233" t="n"/>
      <c r="AG76" s="233">
        <f>AE76+AF76</f>
        <v/>
      </c>
      <c r="AH76" s="233" t="n"/>
      <c r="AI76" s="233" t="n"/>
      <c r="AJ76" s="233">
        <f>AH76+AI76</f>
        <v/>
      </c>
      <c r="AK76" s="238">
        <f>AJ76-AG76</f>
        <v/>
      </c>
      <c r="AL76" s="235">
        <f>IF(AG76=0,"",AJ76/AG76)</f>
        <v/>
      </c>
      <c r="AM76" s="26" t="n"/>
      <c r="AN76" s="236">
        <f>V76+AE76</f>
        <v/>
      </c>
      <c r="AO76" s="236">
        <f>W76+AF76</f>
        <v/>
      </c>
      <c r="AP76" s="236">
        <f>AN76+AO76</f>
        <v/>
      </c>
      <c r="AQ76" s="236">
        <f>Y76+AH76</f>
        <v/>
      </c>
      <c r="AR76" s="236">
        <f>Z76+AI76</f>
        <v/>
      </c>
      <c r="AS76" s="236">
        <f>AQ76+AR76</f>
        <v/>
      </c>
      <c r="AT76" s="239">
        <f>AS76-AP76</f>
        <v/>
      </c>
      <c r="AU76" s="237">
        <f>IF(AP76=0,"",AS76/AP76)</f>
        <v/>
      </c>
      <c r="AV76" s="33" t="n"/>
      <c r="AW76" s="233" t="n"/>
      <c r="AX76" s="233" t="n"/>
      <c r="AY76" s="233">
        <f>AW76+AX76</f>
        <v/>
      </c>
      <c r="AZ76" s="233" t="n"/>
      <c r="BA76" s="233" t="n"/>
      <c r="BB76" s="233">
        <f>AZ76+BA76</f>
        <v/>
      </c>
      <c r="BC76" s="238">
        <f>BB76-AY76</f>
        <v/>
      </c>
      <c r="BD76" s="235">
        <f>IF(AY76=0,"",BB76/AY76)</f>
        <v/>
      </c>
      <c r="BE76" s="26" t="n"/>
      <c r="BF76" s="236">
        <f>AN76+AW76</f>
        <v/>
      </c>
      <c r="BG76" s="236">
        <f>AO76+AX76</f>
        <v/>
      </c>
      <c r="BH76" s="236">
        <f>BF76+BG76</f>
        <v/>
      </c>
      <c r="BI76" s="236">
        <f>AQ76+AZ76</f>
        <v/>
      </c>
      <c r="BJ76" s="236">
        <f>AR76+BA76</f>
        <v/>
      </c>
      <c r="BK76" s="236">
        <f>BI76+BJ76</f>
        <v/>
      </c>
      <c r="BL76" s="239">
        <f>BK76-BH76</f>
        <v/>
      </c>
      <c r="BM76" s="237">
        <f>IF(BH76=0,"",BK76/BH76)</f>
        <v/>
      </c>
      <c r="BN76" s="33" t="n"/>
      <c r="BO76" s="233" t="n"/>
      <c r="BP76" s="233" t="n"/>
      <c r="BQ76" s="233">
        <f>BO76+BP76</f>
        <v/>
      </c>
      <c r="BR76" s="233" t="n"/>
      <c r="BS76" s="233" t="n"/>
      <c r="BT76" s="233">
        <f>BR76+BS76</f>
        <v/>
      </c>
      <c r="BU76" s="238">
        <f>BT76-BQ76</f>
        <v/>
      </c>
      <c r="BV76" s="235">
        <f>IF(BQ76=0,"",BT76/BQ76)</f>
        <v/>
      </c>
      <c r="BW76" s="26" t="n"/>
      <c r="BX76" s="236">
        <f>BF76+BO76</f>
        <v/>
      </c>
      <c r="BY76" s="236">
        <f>BG76+BP76</f>
        <v/>
      </c>
      <c r="BZ76" s="236">
        <f>BX76+BY76</f>
        <v/>
      </c>
      <c r="CA76" s="236">
        <f>BI76+BR76</f>
        <v/>
      </c>
      <c r="CB76" s="236">
        <f>BJ76+BS76</f>
        <v/>
      </c>
      <c r="CC76" s="236">
        <f>CA76+CB76</f>
        <v/>
      </c>
      <c r="CD76" s="239">
        <f>CC76-BZ76</f>
        <v/>
      </c>
      <c r="CE76" s="237">
        <f>IF(BZ76=0,"",CC76/BZ76)</f>
        <v/>
      </c>
      <c r="CF76" s="33" t="n"/>
      <c r="CG76" s="233" t="n"/>
      <c r="CH76" s="233" t="n"/>
      <c r="CI76" s="233">
        <f>CG76+CH76</f>
        <v/>
      </c>
      <c r="CJ76" s="233" t="n"/>
      <c r="CK76" s="233" t="n"/>
      <c r="CL76" s="233">
        <f>CJ76+CK76</f>
        <v/>
      </c>
      <c r="CM76" s="238">
        <f>CL76-CI76</f>
        <v/>
      </c>
      <c r="CN76" s="235">
        <f>IF(CI76=0,"",CL76/CI76)</f>
        <v/>
      </c>
      <c r="CO76" s="26" t="n"/>
      <c r="CP76" s="236">
        <f>BX76+CG76</f>
        <v/>
      </c>
      <c r="CQ76" s="236">
        <f>BY76+CH76</f>
        <v/>
      </c>
      <c r="CR76" s="236">
        <f>CP76+CQ76</f>
        <v/>
      </c>
      <c r="CS76" s="236">
        <f>CA76+CJ76</f>
        <v/>
      </c>
      <c r="CT76" s="236">
        <f>CB76+CK76</f>
        <v/>
      </c>
      <c r="CU76" s="236">
        <f>CS76+CT76</f>
        <v/>
      </c>
      <c r="CV76" s="239">
        <f>CU76-CR76</f>
        <v/>
      </c>
      <c r="CW76" s="237">
        <f>IF(CR76=0,"",CU76/CR76)</f>
        <v/>
      </c>
      <c r="CX76" s="33" t="n"/>
      <c r="CY76" s="233" t="n"/>
      <c r="CZ76" s="233" t="n"/>
      <c r="DA76" s="233">
        <f>CY76+CZ76</f>
        <v/>
      </c>
      <c r="DB76" s="233" t="n"/>
      <c r="DC76" s="233" t="n"/>
      <c r="DD76" s="233">
        <f>DB76+DC76</f>
        <v/>
      </c>
      <c r="DE76" s="238">
        <f>DD76-DA76</f>
        <v/>
      </c>
      <c r="DF76" s="235">
        <f>IF(DA76=0,"",DD76/DA76)</f>
        <v/>
      </c>
      <c r="DG76" s="26" t="n"/>
      <c r="DH76" s="236">
        <f>CP76+CY76</f>
        <v/>
      </c>
      <c r="DI76" s="236">
        <f>CQ76+CZ76</f>
        <v/>
      </c>
      <c r="DJ76" s="236">
        <f>DH76+DI76</f>
        <v/>
      </c>
      <c r="DK76" s="236">
        <f>CS76+DB76</f>
        <v/>
      </c>
      <c r="DL76" s="236">
        <f>CT76+DC76</f>
        <v/>
      </c>
      <c r="DM76" s="236">
        <f>DK76+DL76</f>
        <v/>
      </c>
      <c r="DN76" s="239">
        <f>DM76-DJ76</f>
        <v/>
      </c>
      <c r="DO76" s="237">
        <f>IF(DJ76=0,"",DM76/DJ76)</f>
        <v/>
      </c>
      <c r="DP76" s="33" t="n"/>
      <c r="DQ76" s="233" t="n"/>
      <c r="DR76" s="233" t="n"/>
      <c r="DS76" s="233">
        <f>DQ76+DR76</f>
        <v/>
      </c>
      <c r="DT76" s="233" t="n"/>
      <c r="DU76" s="233" t="n"/>
      <c r="DV76" s="233">
        <f>DT76+DU76</f>
        <v/>
      </c>
      <c r="DW76" s="238">
        <f>DV76-DS76</f>
        <v/>
      </c>
      <c r="DX76" s="235">
        <f>IF(DS76=0,"",DV76/DS76)</f>
        <v/>
      </c>
      <c r="DY76" s="26" t="n"/>
      <c r="DZ76" s="236">
        <f>DH76+DQ76</f>
        <v/>
      </c>
      <c r="EA76" s="236">
        <f>DI76+DR76</f>
        <v/>
      </c>
      <c r="EB76" s="236">
        <f>DZ76+EA76</f>
        <v/>
      </c>
      <c r="EC76" s="236">
        <f>DK76+DT76</f>
        <v/>
      </c>
      <c r="ED76" s="236">
        <f>DL76+DU76</f>
        <v/>
      </c>
      <c r="EE76" s="236">
        <f>EC76+ED76</f>
        <v/>
      </c>
      <c r="EF76" s="239">
        <f>EE76-EB76</f>
        <v/>
      </c>
      <c r="EG76" s="237">
        <f>IF(EB76=0,"",EE76/EB76)</f>
        <v/>
      </c>
      <c r="EH76" s="33" t="n"/>
      <c r="EI76" s="233" t="n"/>
      <c r="EJ76" s="233" t="n"/>
      <c r="EK76" s="233">
        <f>EI76+EJ76</f>
        <v/>
      </c>
      <c r="EL76" s="233" t="n"/>
      <c r="EM76" s="233" t="n"/>
      <c r="EN76" s="233">
        <f>EL76+EM76</f>
        <v/>
      </c>
      <c r="EO76" s="238">
        <f>EN76-EK76</f>
        <v/>
      </c>
      <c r="EP76" s="235">
        <f>IF(EK76=0,"",EN76/EK76)</f>
        <v/>
      </c>
      <c r="EQ76" s="26" t="n"/>
      <c r="ER76" s="236">
        <f>DZ76+EI76</f>
        <v/>
      </c>
      <c r="ES76" s="236">
        <f>EA76+EJ76</f>
        <v/>
      </c>
      <c r="ET76" s="236">
        <f>ER76+ES76</f>
        <v/>
      </c>
      <c r="EU76" s="236">
        <f>EC76+EL76</f>
        <v/>
      </c>
      <c r="EV76" s="236">
        <f>ED76+EM76</f>
        <v/>
      </c>
      <c r="EW76" s="236">
        <f>EU76+EV76</f>
        <v/>
      </c>
      <c r="EX76" s="239">
        <f>EW76-ET76</f>
        <v/>
      </c>
      <c r="EY76" s="237">
        <f>IF(ET76=0,"",EW76/ET76)</f>
        <v/>
      </c>
      <c r="EZ76" s="33" t="n"/>
      <c r="FA76" s="233" t="n"/>
      <c r="FB76" s="233" t="n"/>
      <c r="FC76" s="233">
        <f>FA76+FB76</f>
        <v/>
      </c>
      <c r="FD76" s="233" t="n"/>
      <c r="FE76" s="233" t="n"/>
      <c r="FF76" s="233">
        <f>FD76+FE76</f>
        <v/>
      </c>
      <c r="FG76" s="238">
        <f>FF76-FC76</f>
        <v/>
      </c>
      <c r="FH76" s="235">
        <f>IF(FC76=0,"",FF76/FC76)</f>
        <v/>
      </c>
      <c r="FI76" s="26" t="n"/>
      <c r="FJ76" s="236">
        <f>ER76+FA76</f>
        <v/>
      </c>
      <c r="FK76" s="236">
        <f>ES76+FB76</f>
        <v/>
      </c>
      <c r="FL76" s="236">
        <f>FJ76+FK76</f>
        <v/>
      </c>
      <c r="FM76" s="236">
        <f>EU76+FD76</f>
        <v/>
      </c>
      <c r="FN76" s="236">
        <f>EV76+FE76</f>
        <v/>
      </c>
      <c r="FO76" s="236">
        <f>FM76+FN76</f>
        <v/>
      </c>
      <c r="FP76" s="239">
        <f>FO76-FL76</f>
        <v/>
      </c>
      <c r="FQ76" s="237">
        <f>IF(FL76=0,"",FO76/FL76)</f>
        <v/>
      </c>
      <c r="FR76" s="33" t="n"/>
      <c r="FS76" s="233" t="n"/>
      <c r="FT76" s="233" t="n"/>
      <c r="FU76" s="233">
        <f>FS76+FT76</f>
        <v/>
      </c>
      <c r="FV76" s="233" t="n"/>
      <c r="FW76" s="233" t="n"/>
      <c r="FX76" s="233">
        <f>FV76+FW76</f>
        <v/>
      </c>
      <c r="FY76" s="238">
        <f>FX76-FU76</f>
        <v/>
      </c>
      <c r="FZ76" s="235">
        <f>IF(FU76=0,"",FX76/FU76)</f>
        <v/>
      </c>
      <c r="GA76" s="26" t="n"/>
      <c r="GB76" s="236">
        <f>FJ76+FS76</f>
        <v/>
      </c>
      <c r="GC76" s="236">
        <f>FK76+FT76</f>
        <v/>
      </c>
      <c r="GD76" s="236">
        <f>GB76+GC76</f>
        <v/>
      </c>
      <c r="GE76" s="236">
        <f>FM76+FV76</f>
        <v/>
      </c>
      <c r="GF76" s="236">
        <f>FN76+FW76</f>
        <v/>
      </c>
      <c r="GG76" s="236">
        <f>GE76+GF76</f>
        <v/>
      </c>
      <c r="GH76" s="239">
        <f>GG76-GD76</f>
        <v/>
      </c>
      <c r="GI76" s="237">
        <f>IF(GD76=0,"",GG76/GD76)</f>
        <v/>
      </c>
      <c r="GJ76" s="33" t="n"/>
      <c r="GK76" s="233" t="n"/>
      <c r="GL76" s="233" t="n"/>
      <c r="GM76" s="233">
        <f>GK76+GL76</f>
        <v/>
      </c>
      <c r="GN76" s="233" t="n"/>
      <c r="GO76" s="233" t="n"/>
      <c r="GP76" s="233">
        <f>GN76+GO76</f>
        <v/>
      </c>
      <c r="GQ76" s="238">
        <f>GP76-GM76</f>
        <v/>
      </c>
      <c r="GR76" s="235">
        <f>IF(GM76=0,"",GP76/GM76)</f>
        <v/>
      </c>
      <c r="GS76" s="26" t="n"/>
      <c r="GT76" s="236">
        <f>GB76+GK76</f>
        <v/>
      </c>
      <c r="GU76" s="236">
        <f>GC76+GL76</f>
        <v/>
      </c>
      <c r="GV76" s="236">
        <f>GT76+GU76</f>
        <v/>
      </c>
      <c r="GW76" s="236">
        <f>GE76+GN76</f>
        <v/>
      </c>
      <c r="GX76" s="236">
        <f>GF76+GO76</f>
        <v/>
      </c>
      <c r="GY76" s="236">
        <f>GW76+GX76</f>
        <v/>
      </c>
      <c r="GZ76" s="239">
        <f>GY76-GV76</f>
        <v/>
      </c>
      <c r="HA76" s="237">
        <f>IF(GV76=0,"",GY76/GV76)</f>
        <v/>
      </c>
      <c r="HB76" s="33" t="n"/>
      <c r="HC76" s="233">
        <f>GT76</f>
        <v/>
      </c>
      <c r="HD76" s="233">
        <f>GU76</f>
        <v/>
      </c>
      <c r="HE76" s="233">
        <f>HC76+HD76</f>
        <v/>
      </c>
    </row>
    <row r="77" outlineLevel="1" ht="15" customHeight="1" s="150">
      <c r="A77" s="26" t="n"/>
      <c r="B77" s="26" t="n"/>
      <c r="C77" s="26" t="n"/>
      <c r="D77" s="233" t="n"/>
      <c r="E77" s="233" t="n"/>
      <c r="F77" s="233">
        <f>D77+E77</f>
        <v/>
      </c>
      <c r="G77" s="233" t="n"/>
      <c r="H77" s="233" t="n"/>
      <c r="I77" s="233">
        <f>G77+H77</f>
        <v/>
      </c>
      <c r="J77" s="238">
        <f>I77-F77</f>
        <v/>
      </c>
      <c r="K77" s="235">
        <f>IF(F77=0,"",I77/F77)</f>
        <v/>
      </c>
      <c r="L77" s="26" t="n"/>
      <c r="M77" s="233" t="n"/>
      <c r="N77" s="233" t="n"/>
      <c r="O77" s="233">
        <f>M77+N77</f>
        <v/>
      </c>
      <c r="P77" s="233" t="n"/>
      <c r="Q77" s="233" t="n"/>
      <c r="R77" s="233">
        <f>P77+Q77</f>
        <v/>
      </c>
      <c r="S77" s="238">
        <f>R77-O77</f>
        <v/>
      </c>
      <c r="T77" s="235">
        <f>IF(O77=0,"",R77/O77)</f>
        <v/>
      </c>
      <c r="U77" s="26" t="n"/>
      <c r="V77" s="236">
        <f>D77+M77</f>
        <v/>
      </c>
      <c r="W77" s="236">
        <f>E77+N77</f>
        <v/>
      </c>
      <c r="X77" s="236">
        <f>V77+W77</f>
        <v/>
      </c>
      <c r="Y77" s="236">
        <f>G77+P77</f>
        <v/>
      </c>
      <c r="Z77" s="236">
        <f>H77+Q77</f>
        <v/>
      </c>
      <c r="AA77" s="236">
        <f>Y77+Z77</f>
        <v/>
      </c>
      <c r="AB77" s="239">
        <f>AA77-X77</f>
        <v/>
      </c>
      <c r="AC77" s="237">
        <f>IF(X77=0,"",AA77/X77)</f>
        <v/>
      </c>
      <c r="AD77" s="33" t="n"/>
      <c r="AE77" s="233" t="n"/>
      <c r="AF77" s="233" t="n"/>
      <c r="AG77" s="233">
        <f>AE77+AF77</f>
        <v/>
      </c>
      <c r="AH77" s="233" t="n"/>
      <c r="AI77" s="233" t="n"/>
      <c r="AJ77" s="233">
        <f>AH77+AI77</f>
        <v/>
      </c>
      <c r="AK77" s="238">
        <f>AJ77-AG77</f>
        <v/>
      </c>
      <c r="AL77" s="235">
        <f>IF(AG77=0,"",AJ77/AG77)</f>
        <v/>
      </c>
      <c r="AM77" s="26" t="n"/>
      <c r="AN77" s="236">
        <f>V77+AE77</f>
        <v/>
      </c>
      <c r="AO77" s="236">
        <f>W77+AF77</f>
        <v/>
      </c>
      <c r="AP77" s="236">
        <f>AN77+AO77</f>
        <v/>
      </c>
      <c r="AQ77" s="236">
        <f>Y77+AH77</f>
        <v/>
      </c>
      <c r="AR77" s="236">
        <f>Z77+AI77</f>
        <v/>
      </c>
      <c r="AS77" s="236">
        <f>AQ77+AR77</f>
        <v/>
      </c>
      <c r="AT77" s="239">
        <f>AS77-AP77</f>
        <v/>
      </c>
      <c r="AU77" s="237">
        <f>IF(AP77=0,"",AS77/AP77)</f>
        <v/>
      </c>
      <c r="AV77" s="33" t="n"/>
      <c r="AW77" s="233" t="n"/>
      <c r="AX77" s="233" t="n"/>
      <c r="AY77" s="233">
        <f>AW77+AX77</f>
        <v/>
      </c>
      <c r="AZ77" s="233" t="n"/>
      <c r="BA77" s="233" t="n"/>
      <c r="BB77" s="233">
        <f>AZ77+BA77</f>
        <v/>
      </c>
      <c r="BC77" s="238">
        <f>BB77-AY77</f>
        <v/>
      </c>
      <c r="BD77" s="235">
        <f>IF(AY77=0,"",BB77/AY77)</f>
        <v/>
      </c>
      <c r="BE77" s="26" t="n"/>
      <c r="BF77" s="236">
        <f>AN77+AW77</f>
        <v/>
      </c>
      <c r="BG77" s="236">
        <f>AO77+AX77</f>
        <v/>
      </c>
      <c r="BH77" s="236">
        <f>BF77+BG77</f>
        <v/>
      </c>
      <c r="BI77" s="236">
        <f>AQ77+AZ77</f>
        <v/>
      </c>
      <c r="BJ77" s="236">
        <f>AR77+BA77</f>
        <v/>
      </c>
      <c r="BK77" s="236">
        <f>BI77+BJ77</f>
        <v/>
      </c>
      <c r="BL77" s="239">
        <f>BK77-BH77</f>
        <v/>
      </c>
      <c r="BM77" s="237">
        <f>IF(BH77=0,"",BK77/BH77)</f>
        <v/>
      </c>
      <c r="BN77" s="33" t="n"/>
      <c r="BO77" s="233" t="n"/>
      <c r="BP77" s="233" t="n"/>
      <c r="BQ77" s="233">
        <f>BO77+BP77</f>
        <v/>
      </c>
      <c r="BR77" s="233" t="n"/>
      <c r="BS77" s="233" t="n"/>
      <c r="BT77" s="233">
        <f>BR77+BS77</f>
        <v/>
      </c>
      <c r="BU77" s="238">
        <f>BT77-BQ77</f>
        <v/>
      </c>
      <c r="BV77" s="235">
        <f>IF(BQ77=0,"",BT77/BQ77)</f>
        <v/>
      </c>
      <c r="BW77" s="26" t="n"/>
      <c r="BX77" s="236">
        <f>BF77+BO77</f>
        <v/>
      </c>
      <c r="BY77" s="236">
        <f>BG77+BP77</f>
        <v/>
      </c>
      <c r="BZ77" s="236">
        <f>BX77+BY77</f>
        <v/>
      </c>
      <c r="CA77" s="236">
        <f>BI77+BR77</f>
        <v/>
      </c>
      <c r="CB77" s="236">
        <f>BJ77+BS77</f>
        <v/>
      </c>
      <c r="CC77" s="236">
        <f>CA77+CB77</f>
        <v/>
      </c>
      <c r="CD77" s="239">
        <f>CC77-BZ77</f>
        <v/>
      </c>
      <c r="CE77" s="237">
        <f>IF(BZ77=0,"",CC77/BZ77)</f>
        <v/>
      </c>
      <c r="CF77" s="33" t="n"/>
      <c r="CG77" s="233" t="n"/>
      <c r="CH77" s="233" t="n"/>
      <c r="CI77" s="233">
        <f>CG77+CH77</f>
        <v/>
      </c>
      <c r="CJ77" s="233" t="n"/>
      <c r="CK77" s="233" t="n"/>
      <c r="CL77" s="233">
        <f>CJ77+CK77</f>
        <v/>
      </c>
      <c r="CM77" s="238">
        <f>CL77-CI77</f>
        <v/>
      </c>
      <c r="CN77" s="235">
        <f>IF(CI77=0,"",CL77/CI77)</f>
        <v/>
      </c>
      <c r="CO77" s="26" t="n"/>
      <c r="CP77" s="236">
        <f>BX77+CG77</f>
        <v/>
      </c>
      <c r="CQ77" s="236">
        <f>BY77+CH77</f>
        <v/>
      </c>
      <c r="CR77" s="236">
        <f>CP77+CQ77</f>
        <v/>
      </c>
      <c r="CS77" s="236">
        <f>CA77+CJ77</f>
        <v/>
      </c>
      <c r="CT77" s="236">
        <f>CB77+CK77</f>
        <v/>
      </c>
      <c r="CU77" s="236">
        <f>CS77+CT77</f>
        <v/>
      </c>
      <c r="CV77" s="239">
        <f>CU77-CR77</f>
        <v/>
      </c>
      <c r="CW77" s="237">
        <f>IF(CR77=0,"",CU77/CR77)</f>
        <v/>
      </c>
      <c r="CX77" s="33" t="n"/>
      <c r="CY77" s="233" t="n"/>
      <c r="CZ77" s="233" t="n"/>
      <c r="DA77" s="233">
        <f>CY77+CZ77</f>
        <v/>
      </c>
      <c r="DB77" s="233" t="n"/>
      <c r="DC77" s="233" t="n"/>
      <c r="DD77" s="233">
        <f>DB77+DC77</f>
        <v/>
      </c>
      <c r="DE77" s="238">
        <f>DD77-DA77</f>
        <v/>
      </c>
      <c r="DF77" s="235">
        <f>IF(DA77=0,"",DD77/DA77)</f>
        <v/>
      </c>
      <c r="DG77" s="26" t="n"/>
      <c r="DH77" s="236">
        <f>CP77+CY77</f>
        <v/>
      </c>
      <c r="DI77" s="236">
        <f>CQ77+CZ77</f>
        <v/>
      </c>
      <c r="DJ77" s="236">
        <f>DH77+DI77</f>
        <v/>
      </c>
      <c r="DK77" s="236">
        <f>CS77+DB77</f>
        <v/>
      </c>
      <c r="DL77" s="236">
        <f>CT77+DC77</f>
        <v/>
      </c>
      <c r="DM77" s="236">
        <f>DK77+DL77</f>
        <v/>
      </c>
      <c r="DN77" s="239">
        <f>DM77-DJ77</f>
        <v/>
      </c>
      <c r="DO77" s="237">
        <f>IF(DJ77=0,"",DM77/DJ77)</f>
        <v/>
      </c>
      <c r="DP77" s="33" t="n"/>
      <c r="DQ77" s="233" t="n"/>
      <c r="DR77" s="233" t="n"/>
      <c r="DS77" s="233">
        <f>DQ77+DR77</f>
        <v/>
      </c>
      <c r="DT77" s="233" t="n"/>
      <c r="DU77" s="233" t="n"/>
      <c r="DV77" s="233">
        <f>DT77+DU77</f>
        <v/>
      </c>
      <c r="DW77" s="238">
        <f>DV77-DS77</f>
        <v/>
      </c>
      <c r="DX77" s="235">
        <f>IF(DS77=0,"",DV77/DS77)</f>
        <v/>
      </c>
      <c r="DY77" s="26" t="n"/>
      <c r="DZ77" s="236">
        <f>DH77+DQ77</f>
        <v/>
      </c>
      <c r="EA77" s="236">
        <f>DI77+DR77</f>
        <v/>
      </c>
      <c r="EB77" s="236">
        <f>DZ77+EA77</f>
        <v/>
      </c>
      <c r="EC77" s="236">
        <f>DK77+DT77</f>
        <v/>
      </c>
      <c r="ED77" s="236">
        <f>DL77+DU77</f>
        <v/>
      </c>
      <c r="EE77" s="236">
        <f>EC77+ED77</f>
        <v/>
      </c>
      <c r="EF77" s="239">
        <f>EE77-EB77</f>
        <v/>
      </c>
      <c r="EG77" s="237">
        <f>IF(EB77=0,"",EE77/EB77)</f>
        <v/>
      </c>
      <c r="EH77" s="33" t="n"/>
      <c r="EI77" s="233" t="n"/>
      <c r="EJ77" s="233" t="n"/>
      <c r="EK77" s="233">
        <f>EI77+EJ77</f>
        <v/>
      </c>
      <c r="EL77" s="233" t="n"/>
      <c r="EM77" s="233" t="n"/>
      <c r="EN77" s="233">
        <f>EL77+EM77</f>
        <v/>
      </c>
      <c r="EO77" s="238">
        <f>EN77-EK77</f>
        <v/>
      </c>
      <c r="EP77" s="235">
        <f>IF(EK77=0,"",EN77/EK77)</f>
        <v/>
      </c>
      <c r="EQ77" s="26" t="n"/>
      <c r="ER77" s="236">
        <f>DZ77+EI77</f>
        <v/>
      </c>
      <c r="ES77" s="236">
        <f>EA77+EJ77</f>
        <v/>
      </c>
      <c r="ET77" s="236">
        <f>ER77+ES77</f>
        <v/>
      </c>
      <c r="EU77" s="236">
        <f>EC77+EL77</f>
        <v/>
      </c>
      <c r="EV77" s="236">
        <f>ED77+EM77</f>
        <v/>
      </c>
      <c r="EW77" s="236">
        <f>EU77+EV77</f>
        <v/>
      </c>
      <c r="EX77" s="239">
        <f>EW77-ET77</f>
        <v/>
      </c>
      <c r="EY77" s="237">
        <f>IF(ET77=0,"",EW77/ET77)</f>
        <v/>
      </c>
      <c r="EZ77" s="33" t="n"/>
      <c r="FA77" s="233" t="n"/>
      <c r="FB77" s="233" t="n"/>
      <c r="FC77" s="233">
        <f>FA77+FB77</f>
        <v/>
      </c>
      <c r="FD77" s="233" t="n"/>
      <c r="FE77" s="233" t="n"/>
      <c r="FF77" s="233">
        <f>FD77+FE77</f>
        <v/>
      </c>
      <c r="FG77" s="238">
        <f>FF77-FC77</f>
        <v/>
      </c>
      <c r="FH77" s="235">
        <f>IF(FC77=0,"",FF77/FC77)</f>
        <v/>
      </c>
      <c r="FI77" s="26" t="n"/>
      <c r="FJ77" s="236">
        <f>ER77+FA77</f>
        <v/>
      </c>
      <c r="FK77" s="236">
        <f>ES77+FB77</f>
        <v/>
      </c>
      <c r="FL77" s="236">
        <f>FJ77+FK77</f>
        <v/>
      </c>
      <c r="FM77" s="236">
        <f>EU77+FD77</f>
        <v/>
      </c>
      <c r="FN77" s="236">
        <f>EV77+FE77</f>
        <v/>
      </c>
      <c r="FO77" s="236">
        <f>FM77+FN77</f>
        <v/>
      </c>
      <c r="FP77" s="239">
        <f>FO77-FL77</f>
        <v/>
      </c>
      <c r="FQ77" s="237">
        <f>IF(FL77=0,"",FO77/FL77)</f>
        <v/>
      </c>
      <c r="FR77" s="33" t="n"/>
      <c r="FS77" s="233" t="n"/>
      <c r="FT77" s="233" t="n"/>
      <c r="FU77" s="233">
        <f>FS77+FT77</f>
        <v/>
      </c>
      <c r="FV77" s="233" t="n"/>
      <c r="FW77" s="233" t="n"/>
      <c r="FX77" s="233">
        <f>FV77+FW77</f>
        <v/>
      </c>
      <c r="FY77" s="238">
        <f>FX77-FU77</f>
        <v/>
      </c>
      <c r="FZ77" s="235">
        <f>IF(FU77=0,"",FX77/FU77)</f>
        <v/>
      </c>
      <c r="GA77" s="26" t="n"/>
      <c r="GB77" s="236">
        <f>FJ77+FS77</f>
        <v/>
      </c>
      <c r="GC77" s="236">
        <f>FK77+FT77</f>
        <v/>
      </c>
      <c r="GD77" s="236">
        <f>GB77+GC77</f>
        <v/>
      </c>
      <c r="GE77" s="236">
        <f>FM77+FV77</f>
        <v/>
      </c>
      <c r="GF77" s="236">
        <f>FN77+FW77</f>
        <v/>
      </c>
      <c r="GG77" s="236">
        <f>GE77+GF77</f>
        <v/>
      </c>
      <c r="GH77" s="239">
        <f>GG77-GD77</f>
        <v/>
      </c>
      <c r="GI77" s="237">
        <f>IF(GD77=0,"",GG77/GD77)</f>
        <v/>
      </c>
      <c r="GJ77" s="33" t="n"/>
      <c r="GK77" s="233" t="n"/>
      <c r="GL77" s="233" t="n"/>
      <c r="GM77" s="233">
        <f>GK77+GL77</f>
        <v/>
      </c>
      <c r="GN77" s="233" t="n"/>
      <c r="GO77" s="233" t="n"/>
      <c r="GP77" s="233">
        <f>GN77+GO77</f>
        <v/>
      </c>
      <c r="GQ77" s="238">
        <f>GP77-GM77</f>
        <v/>
      </c>
      <c r="GR77" s="235">
        <f>IF(GM77=0,"",GP77/GM77)</f>
        <v/>
      </c>
      <c r="GS77" s="26" t="n"/>
      <c r="GT77" s="236">
        <f>GB77+GK77</f>
        <v/>
      </c>
      <c r="GU77" s="236">
        <f>GC77+GL77</f>
        <v/>
      </c>
      <c r="GV77" s="236">
        <f>GT77+GU77</f>
        <v/>
      </c>
      <c r="GW77" s="236">
        <f>GE77+GN77</f>
        <v/>
      </c>
      <c r="GX77" s="236">
        <f>GF77+GO77</f>
        <v/>
      </c>
      <c r="GY77" s="236">
        <f>GW77+GX77</f>
        <v/>
      </c>
      <c r="GZ77" s="239">
        <f>GY77-GV77</f>
        <v/>
      </c>
      <c r="HA77" s="237">
        <f>IF(GV77=0,"",GY77/GV77)</f>
        <v/>
      </c>
      <c r="HB77" s="33" t="n"/>
      <c r="HC77" s="233">
        <f>GT77</f>
        <v/>
      </c>
      <c r="HD77" s="233">
        <f>GU77</f>
        <v/>
      </c>
      <c r="HE77" s="233">
        <f>HC77+HD77</f>
        <v/>
      </c>
    </row>
    <row r="78" outlineLevel="1" ht="15" customHeight="1" s="150">
      <c r="A78" s="26" t="n"/>
      <c r="B78" s="26" t="n"/>
      <c r="C78" s="26" t="n"/>
      <c r="D78" s="233" t="n"/>
      <c r="E78" s="233" t="n"/>
      <c r="F78" s="233">
        <f>D78+E78</f>
        <v/>
      </c>
      <c r="G78" s="233" t="n"/>
      <c r="H78" s="233" t="n"/>
      <c r="I78" s="233">
        <f>G78+H78</f>
        <v/>
      </c>
      <c r="J78" s="238">
        <f>I78-F78</f>
        <v/>
      </c>
      <c r="K78" s="235">
        <f>IF(F78=0,"",I78/F78)</f>
        <v/>
      </c>
      <c r="L78" s="26" t="n"/>
      <c r="M78" s="233" t="n"/>
      <c r="N78" s="233" t="n"/>
      <c r="O78" s="233">
        <f>M78+N78</f>
        <v/>
      </c>
      <c r="P78" s="233" t="n"/>
      <c r="Q78" s="233" t="n"/>
      <c r="R78" s="233">
        <f>P78+Q78</f>
        <v/>
      </c>
      <c r="S78" s="238">
        <f>R78-O78</f>
        <v/>
      </c>
      <c r="T78" s="235">
        <f>IF(O78=0,"",R78/O78)</f>
        <v/>
      </c>
      <c r="U78" s="26" t="n"/>
      <c r="V78" s="236">
        <f>D78+M78</f>
        <v/>
      </c>
      <c r="W78" s="236">
        <f>E78+N78</f>
        <v/>
      </c>
      <c r="X78" s="236">
        <f>V78+W78</f>
        <v/>
      </c>
      <c r="Y78" s="236">
        <f>G78+P78</f>
        <v/>
      </c>
      <c r="Z78" s="236">
        <f>H78+Q78</f>
        <v/>
      </c>
      <c r="AA78" s="236">
        <f>Y78+Z78</f>
        <v/>
      </c>
      <c r="AB78" s="239">
        <f>AA78-X78</f>
        <v/>
      </c>
      <c r="AC78" s="237">
        <f>IF(X78=0,"",AA78/X78)</f>
        <v/>
      </c>
      <c r="AD78" s="33" t="n"/>
      <c r="AE78" s="233" t="n"/>
      <c r="AF78" s="233" t="n"/>
      <c r="AG78" s="233">
        <f>AE78+AF78</f>
        <v/>
      </c>
      <c r="AH78" s="233" t="n"/>
      <c r="AI78" s="233" t="n"/>
      <c r="AJ78" s="233">
        <f>AH78+AI78</f>
        <v/>
      </c>
      <c r="AK78" s="238">
        <f>AJ78-AG78</f>
        <v/>
      </c>
      <c r="AL78" s="235">
        <f>IF(AG78=0,"",AJ78/AG78)</f>
        <v/>
      </c>
      <c r="AM78" s="26" t="n"/>
      <c r="AN78" s="236">
        <f>V78+AE78</f>
        <v/>
      </c>
      <c r="AO78" s="236">
        <f>W78+AF78</f>
        <v/>
      </c>
      <c r="AP78" s="236">
        <f>AN78+AO78</f>
        <v/>
      </c>
      <c r="AQ78" s="236">
        <f>Y78+AH78</f>
        <v/>
      </c>
      <c r="AR78" s="236">
        <f>Z78+AI78</f>
        <v/>
      </c>
      <c r="AS78" s="236">
        <f>AQ78+AR78</f>
        <v/>
      </c>
      <c r="AT78" s="239">
        <f>AS78-AP78</f>
        <v/>
      </c>
      <c r="AU78" s="237">
        <f>IF(AP78=0,"",AS78/AP78)</f>
        <v/>
      </c>
      <c r="AV78" s="33" t="n"/>
      <c r="AW78" s="233" t="n"/>
      <c r="AX78" s="233" t="n"/>
      <c r="AY78" s="233">
        <f>AW78+AX78</f>
        <v/>
      </c>
      <c r="AZ78" s="233" t="n"/>
      <c r="BA78" s="233" t="n"/>
      <c r="BB78" s="233">
        <f>AZ78+BA78</f>
        <v/>
      </c>
      <c r="BC78" s="238">
        <f>BB78-AY78</f>
        <v/>
      </c>
      <c r="BD78" s="235">
        <f>IF(AY78=0,"",BB78/AY78)</f>
        <v/>
      </c>
      <c r="BE78" s="26" t="n"/>
      <c r="BF78" s="236">
        <f>AN78+AW78</f>
        <v/>
      </c>
      <c r="BG78" s="236">
        <f>AO78+AX78</f>
        <v/>
      </c>
      <c r="BH78" s="236">
        <f>BF78+BG78</f>
        <v/>
      </c>
      <c r="BI78" s="236">
        <f>AQ78+AZ78</f>
        <v/>
      </c>
      <c r="BJ78" s="236">
        <f>AR78+BA78</f>
        <v/>
      </c>
      <c r="BK78" s="236">
        <f>BI78+BJ78</f>
        <v/>
      </c>
      <c r="BL78" s="239">
        <f>BK78-BH78</f>
        <v/>
      </c>
      <c r="BM78" s="237">
        <f>IF(BH78=0,"",BK78/BH78)</f>
        <v/>
      </c>
      <c r="BN78" s="33" t="n"/>
      <c r="BO78" s="233" t="n"/>
      <c r="BP78" s="233" t="n"/>
      <c r="BQ78" s="233">
        <f>BO78+BP78</f>
        <v/>
      </c>
      <c r="BR78" s="233" t="n"/>
      <c r="BS78" s="233" t="n"/>
      <c r="BT78" s="233">
        <f>BR78+BS78</f>
        <v/>
      </c>
      <c r="BU78" s="238">
        <f>BT78-BQ78</f>
        <v/>
      </c>
      <c r="BV78" s="235">
        <f>IF(BQ78=0,"",BT78/BQ78)</f>
        <v/>
      </c>
      <c r="BW78" s="26" t="n"/>
      <c r="BX78" s="236">
        <f>BF78+BO78</f>
        <v/>
      </c>
      <c r="BY78" s="236">
        <f>BG78+BP78</f>
        <v/>
      </c>
      <c r="BZ78" s="236">
        <f>BX78+BY78</f>
        <v/>
      </c>
      <c r="CA78" s="236">
        <f>BI78+BR78</f>
        <v/>
      </c>
      <c r="CB78" s="236">
        <f>BJ78+BS78</f>
        <v/>
      </c>
      <c r="CC78" s="236">
        <f>CA78+CB78</f>
        <v/>
      </c>
      <c r="CD78" s="239">
        <f>CC78-BZ78</f>
        <v/>
      </c>
      <c r="CE78" s="237">
        <f>IF(BZ78=0,"",CC78/BZ78)</f>
        <v/>
      </c>
      <c r="CF78" s="33" t="n"/>
      <c r="CG78" s="233" t="n"/>
      <c r="CH78" s="233" t="n"/>
      <c r="CI78" s="233">
        <f>CG78+CH78</f>
        <v/>
      </c>
      <c r="CJ78" s="233" t="n"/>
      <c r="CK78" s="233" t="n"/>
      <c r="CL78" s="233">
        <f>CJ78+CK78</f>
        <v/>
      </c>
      <c r="CM78" s="238">
        <f>CL78-CI78</f>
        <v/>
      </c>
      <c r="CN78" s="235">
        <f>IF(CI78=0,"",CL78/CI78)</f>
        <v/>
      </c>
      <c r="CO78" s="26" t="n"/>
      <c r="CP78" s="236">
        <f>BX78+CG78</f>
        <v/>
      </c>
      <c r="CQ78" s="236">
        <f>BY78+CH78</f>
        <v/>
      </c>
      <c r="CR78" s="236">
        <f>CP78+CQ78</f>
        <v/>
      </c>
      <c r="CS78" s="236">
        <f>CA78+CJ78</f>
        <v/>
      </c>
      <c r="CT78" s="236">
        <f>CB78+CK78</f>
        <v/>
      </c>
      <c r="CU78" s="236">
        <f>CS78+CT78</f>
        <v/>
      </c>
      <c r="CV78" s="239">
        <f>CU78-CR78</f>
        <v/>
      </c>
      <c r="CW78" s="237">
        <f>IF(CR78=0,"",CU78/CR78)</f>
        <v/>
      </c>
      <c r="CX78" s="33" t="n"/>
      <c r="CY78" s="233" t="n"/>
      <c r="CZ78" s="233" t="n"/>
      <c r="DA78" s="233">
        <f>CY78+CZ78</f>
        <v/>
      </c>
      <c r="DB78" s="233" t="n"/>
      <c r="DC78" s="233" t="n"/>
      <c r="DD78" s="233">
        <f>DB78+DC78</f>
        <v/>
      </c>
      <c r="DE78" s="238">
        <f>DD78-DA78</f>
        <v/>
      </c>
      <c r="DF78" s="235">
        <f>IF(DA78=0,"",DD78/DA78)</f>
        <v/>
      </c>
      <c r="DG78" s="26" t="n"/>
      <c r="DH78" s="236">
        <f>CP78+CY78</f>
        <v/>
      </c>
      <c r="DI78" s="236">
        <f>CQ78+CZ78</f>
        <v/>
      </c>
      <c r="DJ78" s="236">
        <f>DH78+DI78</f>
        <v/>
      </c>
      <c r="DK78" s="236">
        <f>CS78+DB78</f>
        <v/>
      </c>
      <c r="DL78" s="236">
        <f>CT78+DC78</f>
        <v/>
      </c>
      <c r="DM78" s="236">
        <f>DK78+DL78</f>
        <v/>
      </c>
      <c r="DN78" s="239">
        <f>DM78-DJ78</f>
        <v/>
      </c>
      <c r="DO78" s="237">
        <f>IF(DJ78=0,"",DM78/DJ78)</f>
        <v/>
      </c>
      <c r="DP78" s="33" t="n"/>
      <c r="DQ78" s="233" t="n"/>
      <c r="DR78" s="233" t="n"/>
      <c r="DS78" s="233">
        <f>DQ78+DR78</f>
        <v/>
      </c>
      <c r="DT78" s="233" t="n"/>
      <c r="DU78" s="233" t="n"/>
      <c r="DV78" s="233">
        <f>DT78+DU78</f>
        <v/>
      </c>
      <c r="DW78" s="238">
        <f>DV78-DS78</f>
        <v/>
      </c>
      <c r="DX78" s="235">
        <f>IF(DS78=0,"",DV78/DS78)</f>
        <v/>
      </c>
      <c r="DY78" s="26" t="n"/>
      <c r="DZ78" s="236">
        <f>DH78+DQ78</f>
        <v/>
      </c>
      <c r="EA78" s="236">
        <f>DI78+DR78</f>
        <v/>
      </c>
      <c r="EB78" s="236">
        <f>DZ78+EA78</f>
        <v/>
      </c>
      <c r="EC78" s="236">
        <f>DK78+DT78</f>
        <v/>
      </c>
      <c r="ED78" s="236">
        <f>DL78+DU78</f>
        <v/>
      </c>
      <c r="EE78" s="236">
        <f>EC78+ED78</f>
        <v/>
      </c>
      <c r="EF78" s="239">
        <f>EE78-EB78</f>
        <v/>
      </c>
      <c r="EG78" s="237">
        <f>IF(EB78=0,"",EE78/EB78)</f>
        <v/>
      </c>
      <c r="EH78" s="33" t="n"/>
      <c r="EI78" s="233" t="n"/>
      <c r="EJ78" s="233" t="n"/>
      <c r="EK78" s="233">
        <f>EI78+EJ78</f>
        <v/>
      </c>
      <c r="EL78" s="233" t="n"/>
      <c r="EM78" s="233" t="n"/>
      <c r="EN78" s="233">
        <f>EL78+EM78</f>
        <v/>
      </c>
      <c r="EO78" s="238">
        <f>EN78-EK78</f>
        <v/>
      </c>
      <c r="EP78" s="235">
        <f>IF(EK78=0,"",EN78/EK78)</f>
        <v/>
      </c>
      <c r="EQ78" s="26" t="n"/>
      <c r="ER78" s="236">
        <f>DZ78+EI78</f>
        <v/>
      </c>
      <c r="ES78" s="236">
        <f>EA78+EJ78</f>
        <v/>
      </c>
      <c r="ET78" s="236">
        <f>ER78+ES78</f>
        <v/>
      </c>
      <c r="EU78" s="236">
        <f>EC78+EL78</f>
        <v/>
      </c>
      <c r="EV78" s="236">
        <f>ED78+EM78</f>
        <v/>
      </c>
      <c r="EW78" s="236">
        <f>EU78+EV78</f>
        <v/>
      </c>
      <c r="EX78" s="239">
        <f>EW78-ET78</f>
        <v/>
      </c>
      <c r="EY78" s="237">
        <f>IF(ET78=0,"",EW78/ET78)</f>
        <v/>
      </c>
      <c r="EZ78" s="33" t="n"/>
      <c r="FA78" s="233" t="n"/>
      <c r="FB78" s="233" t="n"/>
      <c r="FC78" s="233">
        <f>FA78+FB78</f>
        <v/>
      </c>
      <c r="FD78" s="233" t="n"/>
      <c r="FE78" s="233" t="n"/>
      <c r="FF78" s="233">
        <f>FD78+FE78</f>
        <v/>
      </c>
      <c r="FG78" s="238">
        <f>FF78-FC78</f>
        <v/>
      </c>
      <c r="FH78" s="235">
        <f>IF(FC78=0,"",FF78/FC78)</f>
        <v/>
      </c>
      <c r="FI78" s="26" t="n"/>
      <c r="FJ78" s="236">
        <f>ER78+FA78</f>
        <v/>
      </c>
      <c r="FK78" s="236">
        <f>ES78+FB78</f>
        <v/>
      </c>
      <c r="FL78" s="236">
        <f>FJ78+FK78</f>
        <v/>
      </c>
      <c r="FM78" s="236">
        <f>EU78+FD78</f>
        <v/>
      </c>
      <c r="FN78" s="236">
        <f>EV78+FE78</f>
        <v/>
      </c>
      <c r="FO78" s="236">
        <f>FM78+FN78</f>
        <v/>
      </c>
      <c r="FP78" s="239">
        <f>FO78-FL78</f>
        <v/>
      </c>
      <c r="FQ78" s="237">
        <f>IF(FL78=0,"",FO78/FL78)</f>
        <v/>
      </c>
      <c r="FR78" s="33" t="n"/>
      <c r="FS78" s="233" t="n"/>
      <c r="FT78" s="233" t="n"/>
      <c r="FU78" s="233">
        <f>FS78+FT78</f>
        <v/>
      </c>
      <c r="FV78" s="233" t="n"/>
      <c r="FW78" s="233" t="n"/>
      <c r="FX78" s="233">
        <f>FV78+FW78</f>
        <v/>
      </c>
      <c r="FY78" s="238">
        <f>FX78-FU78</f>
        <v/>
      </c>
      <c r="FZ78" s="235">
        <f>IF(FU78=0,"",FX78/FU78)</f>
        <v/>
      </c>
      <c r="GA78" s="26" t="n"/>
      <c r="GB78" s="236">
        <f>FJ78+FS78</f>
        <v/>
      </c>
      <c r="GC78" s="236">
        <f>FK78+FT78</f>
        <v/>
      </c>
      <c r="GD78" s="236">
        <f>GB78+GC78</f>
        <v/>
      </c>
      <c r="GE78" s="236">
        <f>FM78+FV78</f>
        <v/>
      </c>
      <c r="GF78" s="236">
        <f>FN78+FW78</f>
        <v/>
      </c>
      <c r="GG78" s="236">
        <f>GE78+GF78</f>
        <v/>
      </c>
      <c r="GH78" s="239">
        <f>GG78-GD78</f>
        <v/>
      </c>
      <c r="GI78" s="237">
        <f>IF(GD78=0,"",GG78/GD78)</f>
        <v/>
      </c>
      <c r="GJ78" s="33" t="n"/>
      <c r="GK78" s="233" t="n"/>
      <c r="GL78" s="233" t="n"/>
      <c r="GM78" s="233">
        <f>GK78+GL78</f>
        <v/>
      </c>
      <c r="GN78" s="233" t="n"/>
      <c r="GO78" s="233" t="n"/>
      <c r="GP78" s="233">
        <f>GN78+GO78</f>
        <v/>
      </c>
      <c r="GQ78" s="238">
        <f>GP78-GM78</f>
        <v/>
      </c>
      <c r="GR78" s="235">
        <f>IF(GM78=0,"",GP78/GM78)</f>
        <v/>
      </c>
      <c r="GS78" s="26" t="n"/>
      <c r="GT78" s="236">
        <f>GB78+GK78</f>
        <v/>
      </c>
      <c r="GU78" s="236">
        <f>GC78+GL78</f>
        <v/>
      </c>
      <c r="GV78" s="236">
        <f>GT78+GU78</f>
        <v/>
      </c>
      <c r="GW78" s="236">
        <f>GE78+GN78</f>
        <v/>
      </c>
      <c r="GX78" s="236">
        <f>GF78+GO78</f>
        <v/>
      </c>
      <c r="GY78" s="236">
        <f>GW78+GX78</f>
        <v/>
      </c>
      <c r="GZ78" s="239">
        <f>GY78-GV78</f>
        <v/>
      </c>
      <c r="HA78" s="237">
        <f>IF(GV78=0,"",GY78/GV78)</f>
        <v/>
      </c>
      <c r="HB78" s="33" t="n"/>
      <c r="HC78" s="233">
        <f>GT78</f>
        <v/>
      </c>
      <c r="HD78" s="233">
        <f>GU78</f>
        <v/>
      </c>
      <c r="HE78" s="233">
        <f>HC78+HD78</f>
        <v/>
      </c>
    </row>
    <row r="79" outlineLevel="1" ht="15" customHeight="1" s="150">
      <c r="A79" s="26" t="n"/>
      <c r="B79" s="26" t="n"/>
      <c r="C79" s="26" t="n"/>
      <c r="D79" s="233" t="n"/>
      <c r="E79" s="233" t="n"/>
      <c r="F79" s="233">
        <f>D79+E79</f>
        <v/>
      </c>
      <c r="G79" s="233" t="n"/>
      <c r="H79" s="233" t="n"/>
      <c r="I79" s="233">
        <f>G79+H79</f>
        <v/>
      </c>
      <c r="J79" s="238">
        <f>I79-F79</f>
        <v/>
      </c>
      <c r="K79" s="235">
        <f>IF(F79=0,"",I79/F79)</f>
        <v/>
      </c>
      <c r="L79" s="26" t="n"/>
      <c r="M79" s="233" t="n"/>
      <c r="N79" s="233" t="n"/>
      <c r="O79" s="233">
        <f>M79+N79</f>
        <v/>
      </c>
      <c r="P79" s="233" t="n"/>
      <c r="Q79" s="233" t="n"/>
      <c r="R79" s="233">
        <f>P79+Q79</f>
        <v/>
      </c>
      <c r="S79" s="238">
        <f>R79-O79</f>
        <v/>
      </c>
      <c r="T79" s="235">
        <f>IF(O79=0,"",R79/O79)</f>
        <v/>
      </c>
      <c r="U79" s="26" t="n"/>
      <c r="V79" s="236">
        <f>D79+M79</f>
        <v/>
      </c>
      <c r="W79" s="236">
        <f>E79+N79</f>
        <v/>
      </c>
      <c r="X79" s="236">
        <f>V79+W79</f>
        <v/>
      </c>
      <c r="Y79" s="236">
        <f>G79+P79</f>
        <v/>
      </c>
      <c r="Z79" s="236">
        <f>H79+Q79</f>
        <v/>
      </c>
      <c r="AA79" s="236">
        <f>Y79+Z79</f>
        <v/>
      </c>
      <c r="AB79" s="239">
        <f>AA79-X79</f>
        <v/>
      </c>
      <c r="AC79" s="237">
        <f>IF(X79=0,"",AA79/X79)</f>
        <v/>
      </c>
      <c r="AD79" s="33" t="n"/>
      <c r="AE79" s="233" t="n"/>
      <c r="AF79" s="233" t="n"/>
      <c r="AG79" s="233">
        <f>AE79+AF79</f>
        <v/>
      </c>
      <c r="AH79" s="233" t="n"/>
      <c r="AI79" s="233" t="n"/>
      <c r="AJ79" s="233">
        <f>AH79+AI79</f>
        <v/>
      </c>
      <c r="AK79" s="238">
        <f>AJ79-AG79</f>
        <v/>
      </c>
      <c r="AL79" s="235">
        <f>IF(AG79=0,"",AJ79/AG79)</f>
        <v/>
      </c>
      <c r="AM79" s="26" t="n"/>
      <c r="AN79" s="236">
        <f>V79+AE79</f>
        <v/>
      </c>
      <c r="AO79" s="236">
        <f>W79+AF79</f>
        <v/>
      </c>
      <c r="AP79" s="236">
        <f>AN79+AO79</f>
        <v/>
      </c>
      <c r="AQ79" s="236">
        <f>Y79+AH79</f>
        <v/>
      </c>
      <c r="AR79" s="236">
        <f>Z79+AI79</f>
        <v/>
      </c>
      <c r="AS79" s="236">
        <f>AQ79+AR79</f>
        <v/>
      </c>
      <c r="AT79" s="239">
        <f>AS79-AP79</f>
        <v/>
      </c>
      <c r="AU79" s="237">
        <f>IF(AP79=0,"",AS79/AP79)</f>
        <v/>
      </c>
      <c r="AV79" s="33" t="n"/>
      <c r="AW79" s="233" t="n"/>
      <c r="AX79" s="233" t="n"/>
      <c r="AY79" s="233">
        <f>AW79+AX79</f>
        <v/>
      </c>
      <c r="AZ79" s="233" t="n"/>
      <c r="BA79" s="233" t="n"/>
      <c r="BB79" s="233">
        <f>AZ79+BA79</f>
        <v/>
      </c>
      <c r="BC79" s="238">
        <f>BB79-AY79</f>
        <v/>
      </c>
      <c r="BD79" s="235">
        <f>IF(AY79=0,"",BB79/AY79)</f>
        <v/>
      </c>
      <c r="BE79" s="26" t="n"/>
      <c r="BF79" s="236">
        <f>AN79+AW79</f>
        <v/>
      </c>
      <c r="BG79" s="236">
        <f>AO79+AX79</f>
        <v/>
      </c>
      <c r="BH79" s="236">
        <f>BF79+BG79</f>
        <v/>
      </c>
      <c r="BI79" s="236">
        <f>AQ79+AZ79</f>
        <v/>
      </c>
      <c r="BJ79" s="236">
        <f>AR79+BA79</f>
        <v/>
      </c>
      <c r="BK79" s="236">
        <f>BI79+BJ79</f>
        <v/>
      </c>
      <c r="BL79" s="239">
        <f>BK79-BH79</f>
        <v/>
      </c>
      <c r="BM79" s="237">
        <f>IF(BH79=0,"",BK79/BH79)</f>
        <v/>
      </c>
      <c r="BN79" s="33" t="n"/>
      <c r="BO79" s="233" t="n"/>
      <c r="BP79" s="233" t="n"/>
      <c r="BQ79" s="233">
        <f>BO79+BP79</f>
        <v/>
      </c>
      <c r="BR79" s="233" t="n"/>
      <c r="BS79" s="233" t="n"/>
      <c r="BT79" s="233">
        <f>BR79+BS79</f>
        <v/>
      </c>
      <c r="BU79" s="238">
        <f>BT79-BQ79</f>
        <v/>
      </c>
      <c r="BV79" s="235">
        <f>IF(BQ79=0,"",BT79/BQ79)</f>
        <v/>
      </c>
      <c r="BW79" s="26" t="n"/>
      <c r="BX79" s="236">
        <f>BF79+BO79</f>
        <v/>
      </c>
      <c r="BY79" s="236">
        <f>BG79+BP79</f>
        <v/>
      </c>
      <c r="BZ79" s="236">
        <f>BX79+BY79</f>
        <v/>
      </c>
      <c r="CA79" s="236">
        <f>BI79+BR79</f>
        <v/>
      </c>
      <c r="CB79" s="236">
        <f>BJ79+BS79</f>
        <v/>
      </c>
      <c r="CC79" s="236">
        <f>CA79+CB79</f>
        <v/>
      </c>
      <c r="CD79" s="239">
        <f>CC79-BZ79</f>
        <v/>
      </c>
      <c r="CE79" s="237">
        <f>IF(BZ79=0,"",CC79/BZ79)</f>
        <v/>
      </c>
      <c r="CF79" s="33" t="n"/>
      <c r="CG79" s="233" t="n"/>
      <c r="CH79" s="233" t="n"/>
      <c r="CI79" s="233">
        <f>CG79+CH79</f>
        <v/>
      </c>
      <c r="CJ79" s="233" t="n"/>
      <c r="CK79" s="233" t="n"/>
      <c r="CL79" s="233">
        <f>CJ79+CK79</f>
        <v/>
      </c>
      <c r="CM79" s="238">
        <f>CL79-CI79</f>
        <v/>
      </c>
      <c r="CN79" s="235">
        <f>IF(CI79=0,"",CL79/CI79)</f>
        <v/>
      </c>
      <c r="CO79" s="26" t="n"/>
      <c r="CP79" s="236">
        <f>BX79+CG79</f>
        <v/>
      </c>
      <c r="CQ79" s="236">
        <f>BY79+CH79</f>
        <v/>
      </c>
      <c r="CR79" s="236">
        <f>CP79+CQ79</f>
        <v/>
      </c>
      <c r="CS79" s="236">
        <f>CA79+CJ79</f>
        <v/>
      </c>
      <c r="CT79" s="236">
        <f>CB79+CK79</f>
        <v/>
      </c>
      <c r="CU79" s="236">
        <f>CS79+CT79</f>
        <v/>
      </c>
      <c r="CV79" s="239">
        <f>CU79-CR79</f>
        <v/>
      </c>
      <c r="CW79" s="237">
        <f>IF(CR79=0,"",CU79/CR79)</f>
        <v/>
      </c>
      <c r="CX79" s="33" t="n"/>
      <c r="CY79" s="233" t="n"/>
      <c r="CZ79" s="233" t="n"/>
      <c r="DA79" s="233">
        <f>CY79+CZ79</f>
        <v/>
      </c>
      <c r="DB79" s="233" t="n"/>
      <c r="DC79" s="233" t="n"/>
      <c r="DD79" s="233">
        <f>DB79+DC79</f>
        <v/>
      </c>
      <c r="DE79" s="238">
        <f>DD79-DA79</f>
        <v/>
      </c>
      <c r="DF79" s="235">
        <f>IF(DA79=0,"",DD79/DA79)</f>
        <v/>
      </c>
      <c r="DG79" s="26" t="n"/>
      <c r="DH79" s="236">
        <f>CP79+CY79</f>
        <v/>
      </c>
      <c r="DI79" s="236">
        <f>CQ79+CZ79</f>
        <v/>
      </c>
      <c r="DJ79" s="236">
        <f>DH79+DI79</f>
        <v/>
      </c>
      <c r="DK79" s="236">
        <f>CS79+DB79</f>
        <v/>
      </c>
      <c r="DL79" s="236">
        <f>CT79+DC79</f>
        <v/>
      </c>
      <c r="DM79" s="236">
        <f>DK79+DL79</f>
        <v/>
      </c>
      <c r="DN79" s="239">
        <f>DM79-DJ79</f>
        <v/>
      </c>
      <c r="DO79" s="237">
        <f>IF(DJ79=0,"",DM79/DJ79)</f>
        <v/>
      </c>
      <c r="DP79" s="33" t="n"/>
      <c r="DQ79" s="233" t="n"/>
      <c r="DR79" s="233" t="n"/>
      <c r="DS79" s="233">
        <f>DQ79+DR79</f>
        <v/>
      </c>
      <c r="DT79" s="233" t="n"/>
      <c r="DU79" s="233" t="n"/>
      <c r="DV79" s="233">
        <f>DT79+DU79</f>
        <v/>
      </c>
      <c r="DW79" s="238">
        <f>DV79-DS79</f>
        <v/>
      </c>
      <c r="DX79" s="235">
        <f>IF(DS79=0,"",DV79/DS79)</f>
        <v/>
      </c>
      <c r="DY79" s="26" t="n"/>
      <c r="DZ79" s="236">
        <f>DH79+DQ79</f>
        <v/>
      </c>
      <c r="EA79" s="236">
        <f>DI79+DR79</f>
        <v/>
      </c>
      <c r="EB79" s="236">
        <f>DZ79+EA79</f>
        <v/>
      </c>
      <c r="EC79" s="236">
        <f>DK79+DT79</f>
        <v/>
      </c>
      <c r="ED79" s="236">
        <f>DL79+DU79</f>
        <v/>
      </c>
      <c r="EE79" s="236">
        <f>EC79+ED79</f>
        <v/>
      </c>
      <c r="EF79" s="239">
        <f>EE79-EB79</f>
        <v/>
      </c>
      <c r="EG79" s="237">
        <f>IF(EB79=0,"",EE79/EB79)</f>
        <v/>
      </c>
      <c r="EH79" s="33" t="n"/>
      <c r="EI79" s="233" t="n"/>
      <c r="EJ79" s="233" t="n"/>
      <c r="EK79" s="233">
        <f>EI79+EJ79</f>
        <v/>
      </c>
      <c r="EL79" s="233" t="n"/>
      <c r="EM79" s="233" t="n"/>
      <c r="EN79" s="233">
        <f>EL79+EM79</f>
        <v/>
      </c>
      <c r="EO79" s="238">
        <f>EN79-EK79</f>
        <v/>
      </c>
      <c r="EP79" s="235">
        <f>IF(EK79=0,"",EN79/EK79)</f>
        <v/>
      </c>
      <c r="EQ79" s="26" t="n"/>
      <c r="ER79" s="236">
        <f>DZ79+EI79</f>
        <v/>
      </c>
      <c r="ES79" s="236">
        <f>EA79+EJ79</f>
        <v/>
      </c>
      <c r="ET79" s="236">
        <f>ER79+ES79</f>
        <v/>
      </c>
      <c r="EU79" s="236">
        <f>EC79+EL79</f>
        <v/>
      </c>
      <c r="EV79" s="236">
        <f>ED79+EM79</f>
        <v/>
      </c>
      <c r="EW79" s="236">
        <f>EU79+EV79</f>
        <v/>
      </c>
      <c r="EX79" s="239">
        <f>EW79-ET79</f>
        <v/>
      </c>
      <c r="EY79" s="237">
        <f>IF(ET79=0,"",EW79/ET79)</f>
        <v/>
      </c>
      <c r="EZ79" s="33" t="n"/>
      <c r="FA79" s="233" t="n"/>
      <c r="FB79" s="233" t="n"/>
      <c r="FC79" s="233">
        <f>FA79+FB79</f>
        <v/>
      </c>
      <c r="FD79" s="233" t="n"/>
      <c r="FE79" s="233" t="n"/>
      <c r="FF79" s="233">
        <f>FD79+FE79</f>
        <v/>
      </c>
      <c r="FG79" s="238">
        <f>FF79-FC79</f>
        <v/>
      </c>
      <c r="FH79" s="235">
        <f>IF(FC79=0,"",FF79/FC79)</f>
        <v/>
      </c>
      <c r="FI79" s="26" t="n"/>
      <c r="FJ79" s="236">
        <f>ER79+FA79</f>
        <v/>
      </c>
      <c r="FK79" s="236">
        <f>ES79+FB79</f>
        <v/>
      </c>
      <c r="FL79" s="236">
        <f>FJ79+FK79</f>
        <v/>
      </c>
      <c r="FM79" s="236">
        <f>EU79+FD79</f>
        <v/>
      </c>
      <c r="FN79" s="236">
        <f>EV79+FE79</f>
        <v/>
      </c>
      <c r="FO79" s="236">
        <f>FM79+FN79</f>
        <v/>
      </c>
      <c r="FP79" s="239">
        <f>FO79-FL79</f>
        <v/>
      </c>
      <c r="FQ79" s="237">
        <f>IF(FL79=0,"",FO79/FL79)</f>
        <v/>
      </c>
      <c r="FR79" s="33" t="n"/>
      <c r="FS79" s="233" t="n"/>
      <c r="FT79" s="233" t="n"/>
      <c r="FU79" s="233">
        <f>FS79+FT79</f>
        <v/>
      </c>
      <c r="FV79" s="233" t="n"/>
      <c r="FW79" s="233" t="n"/>
      <c r="FX79" s="233">
        <f>FV79+FW79</f>
        <v/>
      </c>
      <c r="FY79" s="238">
        <f>FX79-FU79</f>
        <v/>
      </c>
      <c r="FZ79" s="235">
        <f>IF(FU79=0,"",FX79/FU79)</f>
        <v/>
      </c>
      <c r="GA79" s="26" t="n"/>
      <c r="GB79" s="236">
        <f>FJ79+FS79</f>
        <v/>
      </c>
      <c r="GC79" s="236">
        <f>FK79+FT79</f>
        <v/>
      </c>
      <c r="GD79" s="236">
        <f>GB79+GC79</f>
        <v/>
      </c>
      <c r="GE79" s="236">
        <f>FM79+FV79</f>
        <v/>
      </c>
      <c r="GF79" s="236">
        <f>FN79+FW79</f>
        <v/>
      </c>
      <c r="GG79" s="236">
        <f>GE79+GF79</f>
        <v/>
      </c>
      <c r="GH79" s="239">
        <f>GG79-GD79</f>
        <v/>
      </c>
      <c r="GI79" s="237">
        <f>IF(GD79=0,"",GG79/GD79)</f>
        <v/>
      </c>
      <c r="GJ79" s="33" t="n"/>
      <c r="GK79" s="233" t="n"/>
      <c r="GL79" s="233" t="n"/>
      <c r="GM79" s="233">
        <f>GK79+GL79</f>
        <v/>
      </c>
      <c r="GN79" s="233" t="n"/>
      <c r="GO79" s="233" t="n"/>
      <c r="GP79" s="233">
        <f>GN79+GO79</f>
        <v/>
      </c>
      <c r="GQ79" s="238">
        <f>GP79-GM79</f>
        <v/>
      </c>
      <c r="GR79" s="235">
        <f>IF(GM79=0,"",GP79/GM79)</f>
        <v/>
      </c>
      <c r="GS79" s="26" t="n"/>
      <c r="GT79" s="236">
        <f>GB79+GK79</f>
        <v/>
      </c>
      <c r="GU79" s="236">
        <f>GC79+GL79</f>
        <v/>
      </c>
      <c r="GV79" s="236">
        <f>GT79+GU79</f>
        <v/>
      </c>
      <c r="GW79" s="236">
        <f>GE79+GN79</f>
        <v/>
      </c>
      <c r="GX79" s="236">
        <f>GF79+GO79</f>
        <v/>
      </c>
      <c r="GY79" s="236">
        <f>GW79+GX79</f>
        <v/>
      </c>
      <c r="GZ79" s="239">
        <f>GY79-GV79</f>
        <v/>
      </c>
      <c r="HA79" s="237">
        <f>IF(GV79=0,"",GY79/GV79)</f>
        <v/>
      </c>
      <c r="HB79" s="33" t="n"/>
      <c r="HC79" s="233">
        <f>GT79</f>
        <v/>
      </c>
      <c r="HD79" s="233">
        <f>GU79</f>
        <v/>
      </c>
      <c r="HE79" s="233">
        <f>HC79+HD79</f>
        <v/>
      </c>
    </row>
    <row r="80" outlineLevel="1" ht="15" customHeight="1" s="150">
      <c r="A80" s="26" t="n"/>
      <c r="B80" s="26" t="n"/>
      <c r="C80" s="26" t="n"/>
      <c r="D80" s="233" t="n"/>
      <c r="E80" s="233" t="n"/>
      <c r="F80" s="233">
        <f>D80+E80</f>
        <v/>
      </c>
      <c r="G80" s="233" t="n"/>
      <c r="H80" s="233" t="n"/>
      <c r="I80" s="233">
        <f>G80+H80</f>
        <v/>
      </c>
      <c r="J80" s="238">
        <f>I80-F80</f>
        <v/>
      </c>
      <c r="K80" s="235">
        <f>IF(F80=0,"",I80/F80)</f>
        <v/>
      </c>
      <c r="L80" s="26" t="n"/>
      <c r="M80" s="233" t="n"/>
      <c r="N80" s="233" t="n"/>
      <c r="O80" s="233">
        <f>M80+N80</f>
        <v/>
      </c>
      <c r="P80" s="233" t="n"/>
      <c r="Q80" s="233" t="n"/>
      <c r="R80" s="233">
        <f>P80+Q80</f>
        <v/>
      </c>
      <c r="S80" s="238">
        <f>R80-O80</f>
        <v/>
      </c>
      <c r="T80" s="235">
        <f>IF(O80=0,"",R80/O80)</f>
        <v/>
      </c>
      <c r="U80" s="26" t="n"/>
      <c r="V80" s="236">
        <f>D80+M80</f>
        <v/>
      </c>
      <c r="W80" s="236">
        <f>E80+N80</f>
        <v/>
      </c>
      <c r="X80" s="236">
        <f>V80+W80</f>
        <v/>
      </c>
      <c r="Y80" s="236">
        <f>G80+P80</f>
        <v/>
      </c>
      <c r="Z80" s="236">
        <f>H80+Q80</f>
        <v/>
      </c>
      <c r="AA80" s="236">
        <f>Y80+Z80</f>
        <v/>
      </c>
      <c r="AB80" s="239">
        <f>AA80-X80</f>
        <v/>
      </c>
      <c r="AC80" s="237">
        <f>IF(X80=0,"",AA80/X80)</f>
        <v/>
      </c>
      <c r="AD80" s="33" t="n"/>
      <c r="AE80" s="233" t="n"/>
      <c r="AF80" s="233" t="n"/>
      <c r="AG80" s="233">
        <f>AE80+AF80</f>
        <v/>
      </c>
      <c r="AH80" s="233" t="n"/>
      <c r="AI80" s="233" t="n"/>
      <c r="AJ80" s="233">
        <f>AH80+AI80</f>
        <v/>
      </c>
      <c r="AK80" s="238">
        <f>AJ80-AG80</f>
        <v/>
      </c>
      <c r="AL80" s="235">
        <f>IF(AG80=0,"",AJ80/AG80)</f>
        <v/>
      </c>
      <c r="AM80" s="26" t="n"/>
      <c r="AN80" s="236">
        <f>V80+AE80</f>
        <v/>
      </c>
      <c r="AO80" s="236">
        <f>W80+AF80</f>
        <v/>
      </c>
      <c r="AP80" s="236">
        <f>AN80+AO80</f>
        <v/>
      </c>
      <c r="AQ80" s="236">
        <f>Y80+AH80</f>
        <v/>
      </c>
      <c r="AR80" s="236">
        <f>Z80+AI80</f>
        <v/>
      </c>
      <c r="AS80" s="236">
        <f>AQ80+AR80</f>
        <v/>
      </c>
      <c r="AT80" s="239">
        <f>AS80-AP80</f>
        <v/>
      </c>
      <c r="AU80" s="237">
        <f>IF(AP80=0,"",AS80/AP80)</f>
        <v/>
      </c>
      <c r="AV80" s="33" t="n"/>
      <c r="AW80" s="233" t="n"/>
      <c r="AX80" s="233" t="n"/>
      <c r="AY80" s="233">
        <f>AW80+AX80</f>
        <v/>
      </c>
      <c r="AZ80" s="233" t="n"/>
      <c r="BA80" s="233" t="n"/>
      <c r="BB80" s="233">
        <f>AZ80+BA80</f>
        <v/>
      </c>
      <c r="BC80" s="238">
        <f>BB80-AY80</f>
        <v/>
      </c>
      <c r="BD80" s="235">
        <f>IF(AY80=0,"",BB80/AY80)</f>
        <v/>
      </c>
      <c r="BE80" s="26" t="n"/>
      <c r="BF80" s="236">
        <f>AN80+AW80</f>
        <v/>
      </c>
      <c r="BG80" s="236">
        <f>AO80+AX80</f>
        <v/>
      </c>
      <c r="BH80" s="236">
        <f>BF80+BG80</f>
        <v/>
      </c>
      <c r="BI80" s="236">
        <f>AQ80+AZ80</f>
        <v/>
      </c>
      <c r="BJ80" s="236">
        <f>AR80+BA80</f>
        <v/>
      </c>
      <c r="BK80" s="236">
        <f>BI80+BJ80</f>
        <v/>
      </c>
      <c r="BL80" s="239">
        <f>BK80-BH80</f>
        <v/>
      </c>
      <c r="BM80" s="237">
        <f>IF(BH80=0,"",BK80/BH80)</f>
        <v/>
      </c>
      <c r="BN80" s="33" t="n"/>
      <c r="BO80" s="233" t="n"/>
      <c r="BP80" s="233" t="n"/>
      <c r="BQ80" s="233">
        <f>BO80+BP80</f>
        <v/>
      </c>
      <c r="BR80" s="233" t="n"/>
      <c r="BS80" s="233" t="n"/>
      <c r="BT80" s="233">
        <f>BR80+BS80</f>
        <v/>
      </c>
      <c r="BU80" s="238">
        <f>BT80-BQ80</f>
        <v/>
      </c>
      <c r="BV80" s="235">
        <f>IF(BQ80=0,"",BT80/BQ80)</f>
        <v/>
      </c>
      <c r="BW80" s="26" t="n"/>
      <c r="BX80" s="236">
        <f>BF80+BO80</f>
        <v/>
      </c>
      <c r="BY80" s="236">
        <f>BG80+BP80</f>
        <v/>
      </c>
      <c r="BZ80" s="236">
        <f>BX80+BY80</f>
        <v/>
      </c>
      <c r="CA80" s="236">
        <f>BI80+BR80</f>
        <v/>
      </c>
      <c r="CB80" s="236">
        <f>BJ80+BS80</f>
        <v/>
      </c>
      <c r="CC80" s="236">
        <f>CA80+CB80</f>
        <v/>
      </c>
      <c r="CD80" s="239">
        <f>CC80-BZ80</f>
        <v/>
      </c>
      <c r="CE80" s="237">
        <f>IF(BZ80=0,"",CC80/BZ80)</f>
        <v/>
      </c>
      <c r="CF80" s="33" t="n"/>
      <c r="CG80" s="233" t="n"/>
      <c r="CH80" s="233" t="n"/>
      <c r="CI80" s="233">
        <f>CG80+CH80</f>
        <v/>
      </c>
      <c r="CJ80" s="233" t="n"/>
      <c r="CK80" s="233" t="n"/>
      <c r="CL80" s="233">
        <f>CJ80+CK80</f>
        <v/>
      </c>
      <c r="CM80" s="238">
        <f>CL80-CI80</f>
        <v/>
      </c>
      <c r="CN80" s="235">
        <f>IF(CI80=0,"",CL80/CI80)</f>
        <v/>
      </c>
      <c r="CO80" s="26" t="n"/>
      <c r="CP80" s="236">
        <f>BX80+CG80</f>
        <v/>
      </c>
      <c r="CQ80" s="236">
        <f>BY80+CH80</f>
        <v/>
      </c>
      <c r="CR80" s="236">
        <f>CP80+CQ80</f>
        <v/>
      </c>
      <c r="CS80" s="236">
        <f>CA80+CJ80</f>
        <v/>
      </c>
      <c r="CT80" s="236">
        <f>CB80+CK80</f>
        <v/>
      </c>
      <c r="CU80" s="236">
        <f>CS80+CT80</f>
        <v/>
      </c>
      <c r="CV80" s="239">
        <f>CU80-CR80</f>
        <v/>
      </c>
      <c r="CW80" s="237">
        <f>IF(CR80=0,"",CU80/CR80)</f>
        <v/>
      </c>
      <c r="CX80" s="33" t="n"/>
      <c r="CY80" s="233" t="n"/>
      <c r="CZ80" s="233" t="n"/>
      <c r="DA80" s="233">
        <f>CY80+CZ80</f>
        <v/>
      </c>
      <c r="DB80" s="233" t="n"/>
      <c r="DC80" s="233" t="n"/>
      <c r="DD80" s="233">
        <f>DB80+DC80</f>
        <v/>
      </c>
      <c r="DE80" s="238">
        <f>DD80-DA80</f>
        <v/>
      </c>
      <c r="DF80" s="235">
        <f>IF(DA80=0,"",DD80/DA80)</f>
        <v/>
      </c>
      <c r="DG80" s="26" t="n"/>
      <c r="DH80" s="236">
        <f>CP80+CY80</f>
        <v/>
      </c>
      <c r="DI80" s="236">
        <f>CQ80+CZ80</f>
        <v/>
      </c>
      <c r="DJ80" s="236">
        <f>DH80+DI80</f>
        <v/>
      </c>
      <c r="DK80" s="236">
        <f>CS80+DB80</f>
        <v/>
      </c>
      <c r="DL80" s="236">
        <f>CT80+DC80</f>
        <v/>
      </c>
      <c r="DM80" s="236">
        <f>DK80+DL80</f>
        <v/>
      </c>
      <c r="DN80" s="239">
        <f>DM80-DJ80</f>
        <v/>
      </c>
      <c r="DO80" s="237">
        <f>IF(DJ80=0,"",DM80/DJ80)</f>
        <v/>
      </c>
      <c r="DP80" s="33" t="n"/>
      <c r="DQ80" s="233" t="n"/>
      <c r="DR80" s="233" t="n"/>
      <c r="DS80" s="233">
        <f>DQ80+DR80</f>
        <v/>
      </c>
      <c r="DT80" s="233" t="n"/>
      <c r="DU80" s="233" t="n"/>
      <c r="DV80" s="233">
        <f>DT80+DU80</f>
        <v/>
      </c>
      <c r="DW80" s="238">
        <f>DV80-DS80</f>
        <v/>
      </c>
      <c r="DX80" s="235">
        <f>IF(DS80=0,"",DV80/DS80)</f>
        <v/>
      </c>
      <c r="DY80" s="26" t="n"/>
      <c r="DZ80" s="236">
        <f>DH80+DQ80</f>
        <v/>
      </c>
      <c r="EA80" s="236">
        <f>DI80+DR80</f>
        <v/>
      </c>
      <c r="EB80" s="236">
        <f>DZ80+EA80</f>
        <v/>
      </c>
      <c r="EC80" s="236">
        <f>DK80+DT80</f>
        <v/>
      </c>
      <c r="ED80" s="236">
        <f>DL80+DU80</f>
        <v/>
      </c>
      <c r="EE80" s="236">
        <f>EC80+ED80</f>
        <v/>
      </c>
      <c r="EF80" s="239">
        <f>EE80-EB80</f>
        <v/>
      </c>
      <c r="EG80" s="237">
        <f>IF(EB80=0,"",EE80/EB80)</f>
        <v/>
      </c>
      <c r="EH80" s="33" t="n"/>
      <c r="EI80" s="233" t="n"/>
      <c r="EJ80" s="233" t="n"/>
      <c r="EK80" s="233">
        <f>EI80+EJ80</f>
        <v/>
      </c>
      <c r="EL80" s="233" t="n"/>
      <c r="EM80" s="233" t="n"/>
      <c r="EN80" s="233">
        <f>EL80+EM80</f>
        <v/>
      </c>
      <c r="EO80" s="238">
        <f>EN80-EK80</f>
        <v/>
      </c>
      <c r="EP80" s="235">
        <f>IF(EK80=0,"",EN80/EK80)</f>
        <v/>
      </c>
      <c r="EQ80" s="26" t="n"/>
      <c r="ER80" s="236">
        <f>DZ80+EI80</f>
        <v/>
      </c>
      <c r="ES80" s="236">
        <f>EA80+EJ80</f>
        <v/>
      </c>
      <c r="ET80" s="236">
        <f>ER80+ES80</f>
        <v/>
      </c>
      <c r="EU80" s="236">
        <f>EC80+EL80</f>
        <v/>
      </c>
      <c r="EV80" s="236">
        <f>ED80+EM80</f>
        <v/>
      </c>
      <c r="EW80" s="236">
        <f>EU80+EV80</f>
        <v/>
      </c>
      <c r="EX80" s="239">
        <f>EW80-ET80</f>
        <v/>
      </c>
      <c r="EY80" s="237">
        <f>IF(ET80=0,"",EW80/ET80)</f>
        <v/>
      </c>
      <c r="EZ80" s="33" t="n"/>
      <c r="FA80" s="233" t="n"/>
      <c r="FB80" s="233" t="n"/>
      <c r="FC80" s="233">
        <f>FA80+FB80</f>
        <v/>
      </c>
      <c r="FD80" s="233" t="n"/>
      <c r="FE80" s="233" t="n"/>
      <c r="FF80" s="233">
        <f>FD80+FE80</f>
        <v/>
      </c>
      <c r="FG80" s="238">
        <f>FF80-FC80</f>
        <v/>
      </c>
      <c r="FH80" s="235">
        <f>IF(FC80=0,"",FF80/FC80)</f>
        <v/>
      </c>
      <c r="FI80" s="26" t="n"/>
      <c r="FJ80" s="236">
        <f>ER80+FA80</f>
        <v/>
      </c>
      <c r="FK80" s="236">
        <f>ES80+FB80</f>
        <v/>
      </c>
      <c r="FL80" s="236">
        <f>FJ80+FK80</f>
        <v/>
      </c>
      <c r="FM80" s="236">
        <f>EU80+FD80</f>
        <v/>
      </c>
      <c r="FN80" s="236">
        <f>EV80+FE80</f>
        <v/>
      </c>
      <c r="FO80" s="236">
        <f>FM80+FN80</f>
        <v/>
      </c>
      <c r="FP80" s="239">
        <f>FO80-FL80</f>
        <v/>
      </c>
      <c r="FQ80" s="237">
        <f>IF(FL80=0,"",FO80/FL80)</f>
        <v/>
      </c>
      <c r="FR80" s="33" t="n"/>
      <c r="FS80" s="233" t="n"/>
      <c r="FT80" s="233" t="n"/>
      <c r="FU80" s="233">
        <f>FS80+FT80</f>
        <v/>
      </c>
      <c r="FV80" s="233" t="n"/>
      <c r="FW80" s="233" t="n"/>
      <c r="FX80" s="233">
        <f>FV80+FW80</f>
        <v/>
      </c>
      <c r="FY80" s="238">
        <f>FX80-FU80</f>
        <v/>
      </c>
      <c r="FZ80" s="235">
        <f>IF(FU80=0,"",FX80/FU80)</f>
        <v/>
      </c>
      <c r="GA80" s="26" t="n"/>
      <c r="GB80" s="236">
        <f>FJ80+FS80</f>
        <v/>
      </c>
      <c r="GC80" s="236">
        <f>FK80+FT80</f>
        <v/>
      </c>
      <c r="GD80" s="236">
        <f>GB80+GC80</f>
        <v/>
      </c>
      <c r="GE80" s="236">
        <f>FM80+FV80</f>
        <v/>
      </c>
      <c r="GF80" s="236">
        <f>FN80+FW80</f>
        <v/>
      </c>
      <c r="GG80" s="236">
        <f>GE80+GF80</f>
        <v/>
      </c>
      <c r="GH80" s="239">
        <f>GG80-GD80</f>
        <v/>
      </c>
      <c r="GI80" s="237">
        <f>IF(GD80=0,"",GG80/GD80)</f>
        <v/>
      </c>
      <c r="GJ80" s="33" t="n"/>
      <c r="GK80" s="233" t="n"/>
      <c r="GL80" s="233" t="n"/>
      <c r="GM80" s="233">
        <f>GK80+GL80</f>
        <v/>
      </c>
      <c r="GN80" s="233" t="n"/>
      <c r="GO80" s="233" t="n"/>
      <c r="GP80" s="233">
        <f>GN80+GO80</f>
        <v/>
      </c>
      <c r="GQ80" s="238">
        <f>GP80-GM80</f>
        <v/>
      </c>
      <c r="GR80" s="235">
        <f>IF(GM80=0,"",GP80/GM80)</f>
        <v/>
      </c>
      <c r="GS80" s="26" t="n"/>
      <c r="GT80" s="236">
        <f>GB80+GK80</f>
        <v/>
      </c>
      <c r="GU80" s="236">
        <f>GC80+GL80</f>
        <v/>
      </c>
      <c r="GV80" s="236">
        <f>GT80+GU80</f>
        <v/>
      </c>
      <c r="GW80" s="236">
        <f>GE80+GN80</f>
        <v/>
      </c>
      <c r="GX80" s="236">
        <f>GF80+GO80</f>
        <v/>
      </c>
      <c r="GY80" s="236">
        <f>GW80+GX80</f>
        <v/>
      </c>
      <c r="GZ80" s="239">
        <f>GY80-GV80</f>
        <v/>
      </c>
      <c r="HA80" s="237">
        <f>IF(GV80=0,"",GY80/GV80)</f>
        <v/>
      </c>
      <c r="HB80" s="33" t="n"/>
      <c r="HC80" s="233">
        <f>GT80</f>
        <v/>
      </c>
      <c r="HD80" s="233">
        <f>GU80</f>
        <v/>
      </c>
      <c r="HE80" s="233">
        <f>HC80+HD80</f>
        <v/>
      </c>
    </row>
    <row r="81" outlineLevel="1" ht="15" customHeight="1" s="150">
      <c r="A81" s="26" t="n"/>
      <c r="B81" s="26" t="n"/>
      <c r="C81" s="26" t="n"/>
      <c r="D81" s="233" t="n"/>
      <c r="E81" s="233" t="n"/>
      <c r="F81" s="233">
        <f>D81+E81</f>
        <v/>
      </c>
      <c r="G81" s="233" t="n"/>
      <c r="H81" s="233" t="n"/>
      <c r="I81" s="233">
        <f>G81+H81</f>
        <v/>
      </c>
      <c r="J81" s="238">
        <f>I81-F81</f>
        <v/>
      </c>
      <c r="K81" s="235">
        <f>IF(F81=0,"",I81/F81)</f>
        <v/>
      </c>
      <c r="L81" s="26" t="n"/>
      <c r="M81" s="233" t="n"/>
      <c r="N81" s="233" t="n"/>
      <c r="O81" s="233">
        <f>M81+N81</f>
        <v/>
      </c>
      <c r="P81" s="233" t="n"/>
      <c r="Q81" s="233" t="n"/>
      <c r="R81" s="233">
        <f>P81+Q81</f>
        <v/>
      </c>
      <c r="S81" s="238">
        <f>R81-O81</f>
        <v/>
      </c>
      <c r="T81" s="235">
        <f>IF(O81=0,"",R81/O81)</f>
        <v/>
      </c>
      <c r="U81" s="26" t="n"/>
      <c r="V81" s="236">
        <f>D81+M81</f>
        <v/>
      </c>
      <c r="W81" s="236">
        <f>E81+N81</f>
        <v/>
      </c>
      <c r="X81" s="236">
        <f>V81+W81</f>
        <v/>
      </c>
      <c r="Y81" s="236">
        <f>G81+P81</f>
        <v/>
      </c>
      <c r="Z81" s="236">
        <f>H81+Q81</f>
        <v/>
      </c>
      <c r="AA81" s="236">
        <f>Y81+Z81</f>
        <v/>
      </c>
      <c r="AB81" s="239">
        <f>AA81-X81</f>
        <v/>
      </c>
      <c r="AC81" s="237">
        <f>IF(X81=0,"",AA81/X81)</f>
        <v/>
      </c>
      <c r="AD81" s="33" t="n"/>
      <c r="AE81" s="233" t="n"/>
      <c r="AF81" s="233" t="n"/>
      <c r="AG81" s="233">
        <f>AE81+AF81</f>
        <v/>
      </c>
      <c r="AH81" s="233" t="n"/>
      <c r="AI81" s="233" t="n"/>
      <c r="AJ81" s="233">
        <f>AH81+AI81</f>
        <v/>
      </c>
      <c r="AK81" s="238">
        <f>AJ81-AG81</f>
        <v/>
      </c>
      <c r="AL81" s="235">
        <f>IF(AG81=0,"",AJ81/AG81)</f>
        <v/>
      </c>
      <c r="AM81" s="26" t="n"/>
      <c r="AN81" s="236">
        <f>V81+AE81</f>
        <v/>
      </c>
      <c r="AO81" s="236">
        <f>W81+AF81</f>
        <v/>
      </c>
      <c r="AP81" s="236">
        <f>AN81+AO81</f>
        <v/>
      </c>
      <c r="AQ81" s="236">
        <f>Y81+AH81</f>
        <v/>
      </c>
      <c r="AR81" s="236">
        <f>Z81+AI81</f>
        <v/>
      </c>
      <c r="AS81" s="236">
        <f>AQ81+AR81</f>
        <v/>
      </c>
      <c r="AT81" s="239">
        <f>AS81-AP81</f>
        <v/>
      </c>
      <c r="AU81" s="237">
        <f>IF(AP81=0,"",AS81/AP81)</f>
        <v/>
      </c>
      <c r="AV81" s="33" t="n"/>
      <c r="AW81" s="233" t="n"/>
      <c r="AX81" s="233" t="n"/>
      <c r="AY81" s="233">
        <f>AW81+AX81</f>
        <v/>
      </c>
      <c r="AZ81" s="233" t="n"/>
      <c r="BA81" s="233" t="n"/>
      <c r="BB81" s="233">
        <f>AZ81+BA81</f>
        <v/>
      </c>
      <c r="BC81" s="238">
        <f>BB81-AY81</f>
        <v/>
      </c>
      <c r="BD81" s="235">
        <f>IF(AY81=0,"",BB81/AY81)</f>
        <v/>
      </c>
      <c r="BE81" s="26" t="n"/>
      <c r="BF81" s="236">
        <f>AN81+AW81</f>
        <v/>
      </c>
      <c r="BG81" s="236">
        <f>AO81+AX81</f>
        <v/>
      </c>
      <c r="BH81" s="236">
        <f>BF81+BG81</f>
        <v/>
      </c>
      <c r="BI81" s="236">
        <f>AQ81+AZ81</f>
        <v/>
      </c>
      <c r="BJ81" s="236">
        <f>AR81+BA81</f>
        <v/>
      </c>
      <c r="BK81" s="236">
        <f>BI81+BJ81</f>
        <v/>
      </c>
      <c r="BL81" s="239">
        <f>BK81-BH81</f>
        <v/>
      </c>
      <c r="BM81" s="237">
        <f>IF(BH81=0,"",BK81/BH81)</f>
        <v/>
      </c>
      <c r="BN81" s="33" t="n"/>
      <c r="BO81" s="233" t="n"/>
      <c r="BP81" s="233" t="n"/>
      <c r="BQ81" s="233">
        <f>BO81+BP81</f>
        <v/>
      </c>
      <c r="BR81" s="233" t="n"/>
      <c r="BS81" s="233" t="n"/>
      <c r="BT81" s="233">
        <f>BR81+BS81</f>
        <v/>
      </c>
      <c r="BU81" s="238">
        <f>BT81-BQ81</f>
        <v/>
      </c>
      <c r="BV81" s="235">
        <f>IF(BQ81=0,"",BT81/BQ81)</f>
        <v/>
      </c>
      <c r="BW81" s="26" t="n"/>
      <c r="BX81" s="236">
        <f>BF81+BO81</f>
        <v/>
      </c>
      <c r="BY81" s="236">
        <f>BG81+BP81</f>
        <v/>
      </c>
      <c r="BZ81" s="236">
        <f>BX81+BY81</f>
        <v/>
      </c>
      <c r="CA81" s="236">
        <f>BI81+BR81</f>
        <v/>
      </c>
      <c r="CB81" s="236">
        <f>BJ81+BS81</f>
        <v/>
      </c>
      <c r="CC81" s="236">
        <f>CA81+CB81</f>
        <v/>
      </c>
      <c r="CD81" s="239">
        <f>CC81-BZ81</f>
        <v/>
      </c>
      <c r="CE81" s="237">
        <f>IF(BZ81=0,"",CC81/BZ81)</f>
        <v/>
      </c>
      <c r="CF81" s="33" t="n"/>
      <c r="CG81" s="233" t="n"/>
      <c r="CH81" s="233" t="n"/>
      <c r="CI81" s="233">
        <f>CG81+CH81</f>
        <v/>
      </c>
      <c r="CJ81" s="233" t="n"/>
      <c r="CK81" s="233" t="n"/>
      <c r="CL81" s="233">
        <f>CJ81+CK81</f>
        <v/>
      </c>
      <c r="CM81" s="238">
        <f>CL81-CI81</f>
        <v/>
      </c>
      <c r="CN81" s="235">
        <f>IF(CI81=0,"",CL81/CI81)</f>
        <v/>
      </c>
      <c r="CO81" s="26" t="n"/>
      <c r="CP81" s="236">
        <f>BX81+CG81</f>
        <v/>
      </c>
      <c r="CQ81" s="236">
        <f>BY81+CH81</f>
        <v/>
      </c>
      <c r="CR81" s="236">
        <f>CP81+CQ81</f>
        <v/>
      </c>
      <c r="CS81" s="236">
        <f>CA81+CJ81</f>
        <v/>
      </c>
      <c r="CT81" s="236">
        <f>CB81+CK81</f>
        <v/>
      </c>
      <c r="CU81" s="236">
        <f>CS81+CT81</f>
        <v/>
      </c>
      <c r="CV81" s="239">
        <f>CU81-CR81</f>
        <v/>
      </c>
      <c r="CW81" s="237">
        <f>IF(CR81=0,"",CU81/CR81)</f>
        <v/>
      </c>
      <c r="CX81" s="33" t="n"/>
      <c r="CY81" s="233" t="n"/>
      <c r="CZ81" s="233" t="n"/>
      <c r="DA81" s="233">
        <f>CY81+CZ81</f>
        <v/>
      </c>
      <c r="DB81" s="233" t="n"/>
      <c r="DC81" s="233" t="n"/>
      <c r="DD81" s="233">
        <f>DB81+DC81</f>
        <v/>
      </c>
      <c r="DE81" s="238">
        <f>DD81-DA81</f>
        <v/>
      </c>
      <c r="DF81" s="235">
        <f>IF(DA81=0,"",DD81/DA81)</f>
        <v/>
      </c>
      <c r="DG81" s="26" t="n"/>
      <c r="DH81" s="236">
        <f>CP81+CY81</f>
        <v/>
      </c>
      <c r="DI81" s="236">
        <f>CQ81+CZ81</f>
        <v/>
      </c>
      <c r="DJ81" s="236">
        <f>DH81+DI81</f>
        <v/>
      </c>
      <c r="DK81" s="236">
        <f>CS81+DB81</f>
        <v/>
      </c>
      <c r="DL81" s="236">
        <f>CT81+DC81</f>
        <v/>
      </c>
      <c r="DM81" s="236">
        <f>DK81+DL81</f>
        <v/>
      </c>
      <c r="DN81" s="239">
        <f>DM81-DJ81</f>
        <v/>
      </c>
      <c r="DO81" s="237">
        <f>IF(DJ81=0,"",DM81/DJ81)</f>
        <v/>
      </c>
      <c r="DP81" s="33" t="n"/>
      <c r="DQ81" s="233" t="n"/>
      <c r="DR81" s="233" t="n"/>
      <c r="DS81" s="233">
        <f>DQ81+DR81</f>
        <v/>
      </c>
      <c r="DT81" s="233" t="n"/>
      <c r="DU81" s="233" t="n"/>
      <c r="DV81" s="233">
        <f>DT81+DU81</f>
        <v/>
      </c>
      <c r="DW81" s="238">
        <f>DV81-DS81</f>
        <v/>
      </c>
      <c r="DX81" s="235">
        <f>IF(DS81=0,"",DV81/DS81)</f>
        <v/>
      </c>
      <c r="DY81" s="26" t="n"/>
      <c r="DZ81" s="236">
        <f>DH81+DQ81</f>
        <v/>
      </c>
      <c r="EA81" s="236">
        <f>DI81+DR81</f>
        <v/>
      </c>
      <c r="EB81" s="236">
        <f>DZ81+EA81</f>
        <v/>
      </c>
      <c r="EC81" s="236">
        <f>DK81+DT81</f>
        <v/>
      </c>
      <c r="ED81" s="236">
        <f>DL81+DU81</f>
        <v/>
      </c>
      <c r="EE81" s="236">
        <f>EC81+ED81</f>
        <v/>
      </c>
      <c r="EF81" s="239">
        <f>EE81-EB81</f>
        <v/>
      </c>
      <c r="EG81" s="237">
        <f>IF(EB81=0,"",EE81/EB81)</f>
        <v/>
      </c>
      <c r="EH81" s="33" t="n"/>
      <c r="EI81" s="233" t="n"/>
      <c r="EJ81" s="233" t="n"/>
      <c r="EK81" s="233">
        <f>EI81+EJ81</f>
        <v/>
      </c>
      <c r="EL81" s="233" t="n"/>
      <c r="EM81" s="233" t="n"/>
      <c r="EN81" s="233">
        <f>EL81+EM81</f>
        <v/>
      </c>
      <c r="EO81" s="238">
        <f>EN81-EK81</f>
        <v/>
      </c>
      <c r="EP81" s="235">
        <f>IF(EK81=0,"",EN81/EK81)</f>
        <v/>
      </c>
      <c r="EQ81" s="26" t="n"/>
      <c r="ER81" s="236">
        <f>DZ81+EI81</f>
        <v/>
      </c>
      <c r="ES81" s="236">
        <f>EA81+EJ81</f>
        <v/>
      </c>
      <c r="ET81" s="236">
        <f>ER81+ES81</f>
        <v/>
      </c>
      <c r="EU81" s="236">
        <f>EC81+EL81</f>
        <v/>
      </c>
      <c r="EV81" s="236">
        <f>ED81+EM81</f>
        <v/>
      </c>
      <c r="EW81" s="236">
        <f>EU81+EV81</f>
        <v/>
      </c>
      <c r="EX81" s="239">
        <f>EW81-ET81</f>
        <v/>
      </c>
      <c r="EY81" s="237">
        <f>IF(ET81=0,"",EW81/ET81)</f>
        <v/>
      </c>
      <c r="EZ81" s="33" t="n"/>
      <c r="FA81" s="233" t="n"/>
      <c r="FB81" s="233" t="n"/>
      <c r="FC81" s="233">
        <f>FA81+FB81</f>
        <v/>
      </c>
      <c r="FD81" s="233" t="n"/>
      <c r="FE81" s="233" t="n"/>
      <c r="FF81" s="233">
        <f>FD81+FE81</f>
        <v/>
      </c>
      <c r="FG81" s="238">
        <f>FF81-FC81</f>
        <v/>
      </c>
      <c r="FH81" s="235">
        <f>IF(FC81=0,"",FF81/FC81)</f>
        <v/>
      </c>
      <c r="FI81" s="26" t="n"/>
      <c r="FJ81" s="236">
        <f>ER81+FA81</f>
        <v/>
      </c>
      <c r="FK81" s="236">
        <f>ES81+FB81</f>
        <v/>
      </c>
      <c r="FL81" s="236">
        <f>FJ81+FK81</f>
        <v/>
      </c>
      <c r="FM81" s="236">
        <f>EU81+FD81</f>
        <v/>
      </c>
      <c r="FN81" s="236">
        <f>EV81+FE81</f>
        <v/>
      </c>
      <c r="FO81" s="236">
        <f>FM81+FN81</f>
        <v/>
      </c>
      <c r="FP81" s="239">
        <f>FO81-FL81</f>
        <v/>
      </c>
      <c r="FQ81" s="237">
        <f>IF(FL81=0,"",FO81/FL81)</f>
        <v/>
      </c>
      <c r="FR81" s="33" t="n"/>
      <c r="FS81" s="233" t="n"/>
      <c r="FT81" s="233" t="n"/>
      <c r="FU81" s="233">
        <f>FS81+FT81</f>
        <v/>
      </c>
      <c r="FV81" s="233" t="n"/>
      <c r="FW81" s="233" t="n"/>
      <c r="FX81" s="233">
        <f>FV81+FW81</f>
        <v/>
      </c>
      <c r="FY81" s="238">
        <f>FX81-FU81</f>
        <v/>
      </c>
      <c r="FZ81" s="235">
        <f>IF(FU81=0,"",FX81/FU81)</f>
        <v/>
      </c>
      <c r="GA81" s="26" t="n"/>
      <c r="GB81" s="236">
        <f>FJ81+FS81</f>
        <v/>
      </c>
      <c r="GC81" s="236">
        <f>FK81+FT81</f>
        <v/>
      </c>
      <c r="GD81" s="236">
        <f>GB81+GC81</f>
        <v/>
      </c>
      <c r="GE81" s="236">
        <f>FM81+FV81</f>
        <v/>
      </c>
      <c r="GF81" s="236">
        <f>FN81+FW81</f>
        <v/>
      </c>
      <c r="GG81" s="236">
        <f>GE81+GF81</f>
        <v/>
      </c>
      <c r="GH81" s="239">
        <f>GG81-GD81</f>
        <v/>
      </c>
      <c r="GI81" s="237">
        <f>IF(GD81=0,"",GG81/GD81)</f>
        <v/>
      </c>
      <c r="GJ81" s="33" t="n"/>
      <c r="GK81" s="233" t="n"/>
      <c r="GL81" s="233" t="n"/>
      <c r="GM81" s="233">
        <f>GK81+GL81</f>
        <v/>
      </c>
      <c r="GN81" s="233" t="n"/>
      <c r="GO81" s="233" t="n"/>
      <c r="GP81" s="233">
        <f>GN81+GO81</f>
        <v/>
      </c>
      <c r="GQ81" s="238">
        <f>GP81-GM81</f>
        <v/>
      </c>
      <c r="GR81" s="235">
        <f>IF(GM81=0,"",GP81/GM81)</f>
        <v/>
      </c>
      <c r="GS81" s="26" t="n"/>
      <c r="GT81" s="236">
        <f>GB81+GK81</f>
        <v/>
      </c>
      <c r="GU81" s="236">
        <f>GC81+GL81</f>
        <v/>
      </c>
      <c r="GV81" s="236">
        <f>GT81+GU81</f>
        <v/>
      </c>
      <c r="GW81" s="236">
        <f>GE81+GN81</f>
        <v/>
      </c>
      <c r="GX81" s="236">
        <f>GF81+GO81</f>
        <v/>
      </c>
      <c r="GY81" s="236">
        <f>GW81+GX81</f>
        <v/>
      </c>
      <c r="GZ81" s="239">
        <f>GY81-GV81</f>
        <v/>
      </c>
      <c r="HA81" s="237">
        <f>IF(GV81=0,"",GY81/GV81)</f>
        <v/>
      </c>
      <c r="HB81" s="33" t="n"/>
      <c r="HC81" s="233">
        <f>GT81</f>
        <v/>
      </c>
      <c r="HD81" s="233">
        <f>GU81</f>
        <v/>
      </c>
      <c r="HE81" s="233">
        <f>HC81+HD81</f>
        <v/>
      </c>
    </row>
    <row r="82" ht="15" customHeight="1" s="150">
      <c r="A82" s="12" t="n"/>
      <c r="B82" s="12" t="n"/>
      <c r="C82" s="12" t="n"/>
      <c r="D82" s="240">
        <f>SUM(D83,D98)</f>
        <v/>
      </c>
      <c r="E82" s="240">
        <f>SUM(E83,E98)</f>
        <v/>
      </c>
      <c r="F82" s="240">
        <f>D82+E82</f>
        <v/>
      </c>
      <c r="G82" s="240">
        <f>SUM(G83,G98)</f>
        <v/>
      </c>
      <c r="H82" s="240">
        <f>SUM(H83,H98)</f>
        <v/>
      </c>
      <c r="I82" s="240">
        <f>G82+H82</f>
        <v/>
      </c>
      <c r="J82" s="240">
        <f>I82-F82</f>
        <v/>
      </c>
      <c r="K82" s="241">
        <f>IF(F82=0,"",I82/F82)</f>
        <v/>
      </c>
      <c r="L82" s="12" t="n"/>
      <c r="M82" s="240">
        <f>SUM(M83,M98)</f>
        <v/>
      </c>
      <c r="N82" s="240">
        <f>SUM(N83,N98)</f>
        <v/>
      </c>
      <c r="O82" s="240">
        <f>M82+N82</f>
        <v/>
      </c>
      <c r="P82" s="240">
        <f>SUM(P83,P98)</f>
        <v/>
      </c>
      <c r="Q82" s="240">
        <f>SUM(Q83,Q98)</f>
        <v/>
      </c>
      <c r="R82" s="240">
        <f>P82+Q82</f>
        <v/>
      </c>
      <c r="S82" s="240">
        <f>R82-O82</f>
        <v/>
      </c>
      <c r="T82" s="241">
        <f>IF(O82=0,"",R82/O82)</f>
        <v/>
      </c>
      <c r="U82" s="12" t="n"/>
      <c r="V82" s="242">
        <f>SUM(V83,V98)</f>
        <v/>
      </c>
      <c r="W82" s="242">
        <f>SUM(W83,W98)</f>
        <v/>
      </c>
      <c r="X82" s="242">
        <f>V82+W82</f>
        <v/>
      </c>
      <c r="Y82" s="242">
        <f>SUM(Y83,Y98)</f>
        <v/>
      </c>
      <c r="Z82" s="242">
        <f>SUM(Z83,Z98)</f>
        <v/>
      </c>
      <c r="AA82" s="242">
        <f>Y82+Z82</f>
        <v/>
      </c>
      <c r="AB82" s="242">
        <f>AA82-X82</f>
        <v/>
      </c>
      <c r="AC82" s="243">
        <f>IF(X82=0,"",AA82/X82)</f>
        <v/>
      </c>
      <c r="AD82" s="17" t="n"/>
      <c r="AE82" s="240">
        <f>SUM(AE83,AE98)</f>
        <v/>
      </c>
      <c r="AF82" s="240">
        <f>SUM(AF83,AF98)</f>
        <v/>
      </c>
      <c r="AG82" s="240">
        <f>AE82+AF82</f>
        <v/>
      </c>
      <c r="AH82" s="240">
        <f>SUM(AH83,AH98)</f>
        <v/>
      </c>
      <c r="AI82" s="240">
        <f>SUM(AI83,AI98)</f>
        <v/>
      </c>
      <c r="AJ82" s="240">
        <f>AH82+AI82</f>
        <v/>
      </c>
      <c r="AK82" s="240">
        <f>AJ82-AG82</f>
        <v/>
      </c>
      <c r="AL82" s="241">
        <f>IF(AG82=0,"",AJ82/AG82)</f>
        <v/>
      </c>
      <c r="AM82" s="12" t="n"/>
      <c r="AN82" s="242">
        <f>SUM(AN83,AN98)</f>
        <v/>
      </c>
      <c r="AO82" s="242">
        <f>SUM(AO83,AO98)</f>
        <v/>
      </c>
      <c r="AP82" s="242">
        <f>AN82+AO82</f>
        <v/>
      </c>
      <c r="AQ82" s="242">
        <f>SUM(AQ83,AQ98)</f>
        <v/>
      </c>
      <c r="AR82" s="242">
        <f>SUM(AR83,AR98)</f>
        <v/>
      </c>
      <c r="AS82" s="242">
        <f>AQ82+AR82</f>
        <v/>
      </c>
      <c r="AT82" s="242">
        <f>AS82-AP82</f>
        <v/>
      </c>
      <c r="AU82" s="243">
        <f>IF(AP82=0,"",AS82/AP82)</f>
        <v/>
      </c>
      <c r="AV82" s="17" t="n"/>
      <c r="AW82" s="240">
        <f>SUM(AW83,AW98)</f>
        <v/>
      </c>
      <c r="AX82" s="240">
        <f>SUM(AX83,AX98)</f>
        <v/>
      </c>
      <c r="AY82" s="240">
        <f>AW82+AX82</f>
        <v/>
      </c>
      <c r="AZ82" s="240">
        <f>SUM(AZ83,AZ98)</f>
        <v/>
      </c>
      <c r="BA82" s="240">
        <f>SUM(BA83,BA98)</f>
        <v/>
      </c>
      <c r="BB82" s="240">
        <f>AZ82+BA82</f>
        <v/>
      </c>
      <c r="BC82" s="240">
        <f>BB82-AY82</f>
        <v/>
      </c>
      <c r="BD82" s="241">
        <f>IF(AY82=0,"",BB82/AY82)</f>
        <v/>
      </c>
      <c r="BE82" s="12" t="n"/>
      <c r="BF82" s="242">
        <f>SUM(BF83,BF98)</f>
        <v/>
      </c>
      <c r="BG82" s="242">
        <f>SUM(BG83,BG98)</f>
        <v/>
      </c>
      <c r="BH82" s="242">
        <f>BF82+BG82</f>
        <v/>
      </c>
      <c r="BI82" s="242">
        <f>SUM(BI83,BI98)</f>
        <v/>
      </c>
      <c r="BJ82" s="242">
        <f>SUM(BJ83,BJ98)</f>
        <v/>
      </c>
      <c r="BK82" s="242">
        <f>BI82+BJ82</f>
        <v/>
      </c>
      <c r="BL82" s="242">
        <f>BK82-BH82</f>
        <v/>
      </c>
      <c r="BM82" s="243">
        <f>IF(BH82=0,"",BK82/BH82)</f>
        <v/>
      </c>
      <c r="BN82" s="17" t="n"/>
      <c r="BO82" s="240">
        <f>SUM(BO83,BO98)</f>
        <v/>
      </c>
      <c r="BP82" s="240">
        <f>SUM(BP83,BP98)</f>
        <v/>
      </c>
      <c r="BQ82" s="240">
        <f>BO82+BP82</f>
        <v/>
      </c>
      <c r="BR82" s="240">
        <f>SUM(BR83,BR98)</f>
        <v/>
      </c>
      <c r="BS82" s="240">
        <f>SUM(BS83,BS98)</f>
        <v/>
      </c>
      <c r="BT82" s="240">
        <f>BR82+BS82</f>
        <v/>
      </c>
      <c r="BU82" s="240">
        <f>BT82-BQ82</f>
        <v/>
      </c>
      <c r="BV82" s="241">
        <f>IF(BQ82=0,"",BT82/BQ82)</f>
        <v/>
      </c>
      <c r="BW82" s="12" t="n"/>
      <c r="BX82" s="242">
        <f>SUM(BX83,BX98)</f>
        <v/>
      </c>
      <c r="BY82" s="242">
        <f>SUM(BY83,BY98)</f>
        <v/>
      </c>
      <c r="BZ82" s="242">
        <f>BX82+BY82</f>
        <v/>
      </c>
      <c r="CA82" s="242">
        <f>SUM(CA83,CA98)</f>
        <v/>
      </c>
      <c r="CB82" s="242">
        <f>SUM(CB83,CB98)</f>
        <v/>
      </c>
      <c r="CC82" s="242">
        <f>CA82+CB82</f>
        <v/>
      </c>
      <c r="CD82" s="242">
        <f>CC82-BZ82</f>
        <v/>
      </c>
      <c r="CE82" s="243">
        <f>IF(BZ82=0,"",CC82/BZ82)</f>
        <v/>
      </c>
      <c r="CF82" s="17" t="n"/>
      <c r="CG82" s="240">
        <f>SUM(CG83,CG98)</f>
        <v/>
      </c>
      <c r="CH82" s="240">
        <f>SUM(CH83,CH98)</f>
        <v/>
      </c>
      <c r="CI82" s="240">
        <f>CG82+CH82</f>
        <v/>
      </c>
      <c r="CJ82" s="240">
        <f>SUM(CJ83,CJ98)</f>
        <v/>
      </c>
      <c r="CK82" s="240">
        <f>SUM(CK83,CK98)</f>
        <v/>
      </c>
      <c r="CL82" s="240">
        <f>CJ82+CK82</f>
        <v/>
      </c>
      <c r="CM82" s="240">
        <f>CL82-CI82</f>
        <v/>
      </c>
      <c r="CN82" s="241">
        <f>IF(CI82=0,"",CL82/CI82)</f>
        <v/>
      </c>
      <c r="CO82" s="12" t="n"/>
      <c r="CP82" s="242">
        <f>SUM(CP83,CP98)</f>
        <v/>
      </c>
      <c r="CQ82" s="242">
        <f>SUM(CQ83,CQ98)</f>
        <v/>
      </c>
      <c r="CR82" s="242">
        <f>CP82+CQ82</f>
        <v/>
      </c>
      <c r="CS82" s="242">
        <f>SUM(CS83,CS98)</f>
        <v/>
      </c>
      <c r="CT82" s="242">
        <f>SUM(CT83,CT98)</f>
        <v/>
      </c>
      <c r="CU82" s="242">
        <f>CS82+CT82</f>
        <v/>
      </c>
      <c r="CV82" s="242">
        <f>CU82-CR82</f>
        <v/>
      </c>
      <c r="CW82" s="243">
        <f>IF(CR82=0,"",CU82/CR82)</f>
        <v/>
      </c>
      <c r="CX82" s="17" t="n"/>
      <c r="CY82" s="240">
        <f>SUM(CY83,CY98)</f>
        <v/>
      </c>
      <c r="CZ82" s="240">
        <f>SUM(CZ83,CZ98)</f>
        <v/>
      </c>
      <c r="DA82" s="240">
        <f>CY82+CZ82</f>
        <v/>
      </c>
      <c r="DB82" s="240">
        <f>SUM(DB83,DB98)</f>
        <v/>
      </c>
      <c r="DC82" s="240">
        <f>SUM(DC83,DC98)</f>
        <v/>
      </c>
      <c r="DD82" s="240">
        <f>DB82+DC82</f>
        <v/>
      </c>
      <c r="DE82" s="240">
        <f>DD82-DA82</f>
        <v/>
      </c>
      <c r="DF82" s="241">
        <f>IF(DA82=0,"",DD82/DA82)</f>
        <v/>
      </c>
      <c r="DG82" s="12" t="n"/>
      <c r="DH82" s="242">
        <f>SUM(DH83,DH98)</f>
        <v/>
      </c>
      <c r="DI82" s="242">
        <f>SUM(DI83,DI98)</f>
        <v/>
      </c>
      <c r="DJ82" s="242">
        <f>DH82+DI82</f>
        <v/>
      </c>
      <c r="DK82" s="242">
        <f>SUM(DK83,DK98)</f>
        <v/>
      </c>
      <c r="DL82" s="242">
        <f>SUM(DL83,DL98)</f>
        <v/>
      </c>
      <c r="DM82" s="242">
        <f>DK82+DL82</f>
        <v/>
      </c>
      <c r="DN82" s="242">
        <f>DM82-DJ82</f>
        <v/>
      </c>
      <c r="DO82" s="243">
        <f>IF(DJ82=0,"",DM82/DJ82)</f>
        <v/>
      </c>
      <c r="DP82" s="17" t="n"/>
      <c r="DQ82" s="240">
        <f>SUM(DQ83,DQ98)</f>
        <v/>
      </c>
      <c r="DR82" s="240">
        <f>SUM(DR83,DR98)</f>
        <v/>
      </c>
      <c r="DS82" s="240">
        <f>DQ82+DR82</f>
        <v/>
      </c>
      <c r="DT82" s="240">
        <f>SUM(DT83,DT98)</f>
        <v/>
      </c>
      <c r="DU82" s="240">
        <f>SUM(DU83,DU98)</f>
        <v/>
      </c>
      <c r="DV82" s="240">
        <f>DT82+DU82</f>
        <v/>
      </c>
      <c r="DW82" s="240">
        <f>DV82-DS82</f>
        <v/>
      </c>
      <c r="DX82" s="241">
        <f>IF(DS82=0,"",DV82/DS82)</f>
        <v/>
      </c>
      <c r="DY82" s="12" t="n"/>
      <c r="DZ82" s="242">
        <f>SUM(DZ83,DZ98)</f>
        <v/>
      </c>
      <c r="EA82" s="242">
        <f>SUM(EA83,EA98)</f>
        <v/>
      </c>
      <c r="EB82" s="242">
        <f>DZ82+EA82</f>
        <v/>
      </c>
      <c r="EC82" s="242">
        <f>SUM(EC83,EC98)</f>
        <v/>
      </c>
      <c r="ED82" s="242">
        <f>SUM(ED83,ED98)</f>
        <v/>
      </c>
      <c r="EE82" s="242">
        <f>EC82+ED82</f>
        <v/>
      </c>
      <c r="EF82" s="242">
        <f>EE82-EB82</f>
        <v/>
      </c>
      <c r="EG82" s="243">
        <f>IF(EB82=0,"",EE82/EB82)</f>
        <v/>
      </c>
      <c r="EH82" s="17" t="n"/>
      <c r="EI82" s="240">
        <f>SUM(EI83,EI98)</f>
        <v/>
      </c>
      <c r="EJ82" s="240">
        <f>SUM(EJ83,EJ98)</f>
        <v/>
      </c>
      <c r="EK82" s="240">
        <f>EI82+EJ82</f>
        <v/>
      </c>
      <c r="EL82" s="240">
        <f>SUM(EL83,EL98)</f>
        <v/>
      </c>
      <c r="EM82" s="240">
        <f>SUM(EM83,EM98)</f>
        <v/>
      </c>
      <c r="EN82" s="240">
        <f>EL82+EM82</f>
        <v/>
      </c>
      <c r="EO82" s="240">
        <f>EN82-EK82</f>
        <v/>
      </c>
      <c r="EP82" s="241">
        <f>IF(EK82=0,"",EN82/EK82)</f>
        <v/>
      </c>
      <c r="EQ82" s="12" t="n"/>
      <c r="ER82" s="242">
        <f>SUM(ER83,ER98)</f>
        <v/>
      </c>
      <c r="ES82" s="242">
        <f>SUM(ES83,ES98)</f>
        <v/>
      </c>
      <c r="ET82" s="242">
        <f>ER82+ES82</f>
        <v/>
      </c>
      <c r="EU82" s="242">
        <f>SUM(EU83,EU98)</f>
        <v/>
      </c>
      <c r="EV82" s="242">
        <f>SUM(EV83,EV98)</f>
        <v/>
      </c>
      <c r="EW82" s="242">
        <f>EU82+EV82</f>
        <v/>
      </c>
      <c r="EX82" s="242">
        <f>EW82-ET82</f>
        <v/>
      </c>
      <c r="EY82" s="243">
        <f>IF(ET82=0,"",EW82/ET82)</f>
        <v/>
      </c>
      <c r="EZ82" s="17" t="n"/>
      <c r="FA82" s="240">
        <f>SUM(FA83,FA98)</f>
        <v/>
      </c>
      <c r="FB82" s="240">
        <f>SUM(FB83,FB98)</f>
        <v/>
      </c>
      <c r="FC82" s="240">
        <f>FA82+FB82</f>
        <v/>
      </c>
      <c r="FD82" s="240">
        <f>SUM(FD83,FD98)</f>
        <v/>
      </c>
      <c r="FE82" s="240">
        <f>SUM(FE83,FE98)</f>
        <v/>
      </c>
      <c r="FF82" s="240">
        <f>FD82+FE82</f>
        <v/>
      </c>
      <c r="FG82" s="240">
        <f>FF82-FC82</f>
        <v/>
      </c>
      <c r="FH82" s="241">
        <f>IF(FC82=0,"",FF82/FC82)</f>
        <v/>
      </c>
      <c r="FI82" s="12" t="n"/>
      <c r="FJ82" s="242">
        <f>SUM(FJ83,FJ98)</f>
        <v/>
      </c>
      <c r="FK82" s="242">
        <f>SUM(FK83,FK98)</f>
        <v/>
      </c>
      <c r="FL82" s="242">
        <f>FJ82+FK82</f>
        <v/>
      </c>
      <c r="FM82" s="242">
        <f>SUM(FM83,FM98)</f>
        <v/>
      </c>
      <c r="FN82" s="242">
        <f>SUM(FN83,FN98)</f>
        <v/>
      </c>
      <c r="FO82" s="242">
        <f>FM82+FN82</f>
        <v/>
      </c>
      <c r="FP82" s="242">
        <f>FO82-FL82</f>
        <v/>
      </c>
      <c r="FQ82" s="243">
        <f>IF(FL82=0,"",FO82/FL82)</f>
        <v/>
      </c>
      <c r="FR82" s="17" t="n"/>
      <c r="FS82" s="240">
        <f>SUM(FS83,FS98)</f>
        <v/>
      </c>
      <c r="FT82" s="240">
        <f>SUM(FT83,FT98)</f>
        <v/>
      </c>
      <c r="FU82" s="240">
        <f>FS82+FT82</f>
        <v/>
      </c>
      <c r="FV82" s="240">
        <f>SUM(FV83,FV98)</f>
        <v/>
      </c>
      <c r="FW82" s="240">
        <f>SUM(FW83,FW98)</f>
        <v/>
      </c>
      <c r="FX82" s="240">
        <f>FV82+FW82</f>
        <v/>
      </c>
      <c r="FY82" s="240">
        <f>FX82-FU82</f>
        <v/>
      </c>
      <c r="FZ82" s="241">
        <f>IF(FU82=0,"",FX82/FU82)</f>
        <v/>
      </c>
      <c r="GA82" s="12" t="n"/>
      <c r="GB82" s="242">
        <f>SUM(GB83,GB98)</f>
        <v/>
      </c>
      <c r="GC82" s="242">
        <f>SUM(GC83,GC98)</f>
        <v/>
      </c>
      <c r="GD82" s="242">
        <f>GB82+GC82</f>
        <v/>
      </c>
      <c r="GE82" s="242">
        <f>SUM(GE83,GE98)</f>
        <v/>
      </c>
      <c r="GF82" s="242">
        <f>SUM(GF83,GF98)</f>
        <v/>
      </c>
      <c r="GG82" s="242">
        <f>GE82+GF82</f>
        <v/>
      </c>
      <c r="GH82" s="242">
        <f>GG82-GD82</f>
        <v/>
      </c>
      <c r="GI82" s="243">
        <f>IF(GD82=0,"",GG82/GD82)</f>
        <v/>
      </c>
      <c r="GJ82" s="17" t="n"/>
      <c r="GK82" s="240">
        <f>SUM(GK83,GK98)</f>
        <v/>
      </c>
      <c r="GL82" s="240">
        <f>SUM(GL83,GL98)</f>
        <v/>
      </c>
      <c r="GM82" s="240">
        <f>GK82+GL82</f>
        <v/>
      </c>
      <c r="GN82" s="240">
        <f>SUM(GN83,GN98)</f>
        <v/>
      </c>
      <c r="GO82" s="240">
        <f>SUM(GO83,GO98)</f>
        <v/>
      </c>
      <c r="GP82" s="240">
        <f>GN82+GO82</f>
        <v/>
      </c>
      <c r="GQ82" s="240">
        <f>GP82-GM82</f>
        <v/>
      </c>
      <c r="GR82" s="241">
        <f>IF(GM82=0,"",GP82/GM82)</f>
        <v/>
      </c>
      <c r="GS82" s="12" t="n"/>
      <c r="GT82" s="242">
        <f>SUM(GT83,GT98)</f>
        <v/>
      </c>
      <c r="GU82" s="242">
        <f>SUM(GU83,GU98)</f>
        <v/>
      </c>
      <c r="GV82" s="242">
        <f>GT82+GU82</f>
        <v/>
      </c>
      <c r="GW82" s="242">
        <f>SUM(GW83,GW98)</f>
        <v/>
      </c>
      <c r="GX82" s="242">
        <f>SUM(GX83,GX98)</f>
        <v/>
      </c>
      <c r="GY82" s="242">
        <f>GW82+GX82</f>
        <v/>
      </c>
      <c r="GZ82" s="242">
        <f>GY82-GV82</f>
        <v/>
      </c>
      <c r="HA82" s="243">
        <f>IF(GV82=0,"",GY82/GV82)</f>
        <v/>
      </c>
      <c r="HB82" s="17" t="n"/>
      <c r="HC82" s="240">
        <f>GT82</f>
        <v/>
      </c>
      <c r="HD82" s="240">
        <f>GU82</f>
        <v/>
      </c>
      <c r="HE82" s="240">
        <f>HC82+HD82</f>
        <v/>
      </c>
    </row>
    <row r="83" ht="15" customHeight="1" s="150">
      <c r="A83" s="35" t="n"/>
      <c r="B83" s="35" t="n"/>
      <c r="C83" s="35" t="n"/>
      <c r="D83" s="244">
        <f>SUM(D84,D87,D89,D91)</f>
        <v/>
      </c>
      <c r="E83" s="244">
        <f>SUM(E84,E87,E89,E91)</f>
        <v/>
      </c>
      <c r="F83" s="244">
        <f>D83+E83</f>
        <v/>
      </c>
      <c r="G83" s="244">
        <f>SUM(G84,G87,G89,G91)</f>
        <v/>
      </c>
      <c r="H83" s="244">
        <f>SUM(H84,H87,H89,H91)</f>
        <v/>
      </c>
      <c r="I83" s="244">
        <f>G83+H83</f>
        <v/>
      </c>
      <c r="J83" s="244">
        <f>I83-F83</f>
        <v/>
      </c>
      <c r="K83" s="245">
        <f>IF(F83=0,"",I83/F83)</f>
        <v/>
      </c>
      <c r="L83" s="35" t="n"/>
      <c r="M83" s="244">
        <f>SUM(M84,M87,M89,M91)</f>
        <v/>
      </c>
      <c r="N83" s="244">
        <f>SUM(N84,N87,N89,N91)</f>
        <v/>
      </c>
      <c r="O83" s="244">
        <f>M83+N83</f>
        <v/>
      </c>
      <c r="P83" s="244">
        <f>SUM(P84,P87,P89,P91)</f>
        <v/>
      </c>
      <c r="Q83" s="244">
        <f>SUM(Q84,Q87,Q89,Q91)</f>
        <v/>
      </c>
      <c r="R83" s="244">
        <f>P83+Q83</f>
        <v/>
      </c>
      <c r="S83" s="244">
        <f>R83-O83</f>
        <v/>
      </c>
      <c r="T83" s="245">
        <f>IF(O83=0,"",R83/O83)</f>
        <v/>
      </c>
      <c r="U83" s="35" t="n"/>
      <c r="V83" s="246">
        <f>SUM(V84,V87,V89,V91)</f>
        <v/>
      </c>
      <c r="W83" s="246">
        <f>SUM(W84,W87,W89,W91)</f>
        <v/>
      </c>
      <c r="X83" s="246">
        <f>V83+W83</f>
        <v/>
      </c>
      <c r="Y83" s="246">
        <f>SUM(Y84,Y87,Y89,Y91)</f>
        <v/>
      </c>
      <c r="Z83" s="246">
        <f>SUM(Z84,Z87,Z89,Z91)</f>
        <v/>
      </c>
      <c r="AA83" s="246">
        <f>Y83+Z83</f>
        <v/>
      </c>
      <c r="AB83" s="246">
        <f>AA83-X83</f>
        <v/>
      </c>
      <c r="AC83" s="247">
        <f>IF(X83=0,"",AA83/X83)</f>
        <v/>
      </c>
      <c r="AD83" s="40" t="n"/>
      <c r="AE83" s="244">
        <f>SUM(AE84,AE87,AE89,AE91)</f>
        <v/>
      </c>
      <c r="AF83" s="244">
        <f>SUM(AF84,AF87,AF89,AF91)</f>
        <v/>
      </c>
      <c r="AG83" s="244">
        <f>AE83+AF83</f>
        <v/>
      </c>
      <c r="AH83" s="244">
        <f>SUM(AH84,AH87,AH89,AH91)</f>
        <v/>
      </c>
      <c r="AI83" s="244">
        <f>SUM(AI84,AI87,AI89,AI91)</f>
        <v/>
      </c>
      <c r="AJ83" s="244">
        <f>AH83+AI83</f>
        <v/>
      </c>
      <c r="AK83" s="244">
        <f>AJ83-AG83</f>
        <v/>
      </c>
      <c r="AL83" s="245">
        <f>IF(AG83=0,"",AJ83/AG83)</f>
        <v/>
      </c>
      <c r="AM83" s="35" t="n"/>
      <c r="AN83" s="246">
        <f>SUM(AN84,AN87,AN89,AN91)</f>
        <v/>
      </c>
      <c r="AO83" s="246">
        <f>SUM(AO84,AO87,AO89,AO91)</f>
        <v/>
      </c>
      <c r="AP83" s="246">
        <f>AN83+AO83</f>
        <v/>
      </c>
      <c r="AQ83" s="246">
        <f>SUM(AQ84,AQ87,AQ89,AQ91)</f>
        <v/>
      </c>
      <c r="AR83" s="246">
        <f>SUM(AR84,AR87,AR89,AR91)</f>
        <v/>
      </c>
      <c r="AS83" s="246">
        <f>AQ83+AR83</f>
        <v/>
      </c>
      <c r="AT83" s="246">
        <f>AS83-AP83</f>
        <v/>
      </c>
      <c r="AU83" s="247">
        <f>IF(AP83=0,"",AS83/AP83)</f>
        <v/>
      </c>
      <c r="AV83" s="40" t="n"/>
      <c r="AW83" s="244">
        <f>SUM(AW84,AW87,AW89,AW91)</f>
        <v/>
      </c>
      <c r="AX83" s="244">
        <f>SUM(AX84,AX87,AX89,AX91)</f>
        <v/>
      </c>
      <c r="AY83" s="244">
        <f>AW83+AX83</f>
        <v/>
      </c>
      <c r="AZ83" s="244">
        <f>SUM(AZ84,AZ87,AZ89,AZ91)</f>
        <v/>
      </c>
      <c r="BA83" s="244">
        <f>SUM(BA84,BA87,BA89,BA91)</f>
        <v/>
      </c>
      <c r="BB83" s="244">
        <f>AZ83+BA83</f>
        <v/>
      </c>
      <c r="BC83" s="244">
        <f>BB83-AY83</f>
        <v/>
      </c>
      <c r="BD83" s="245">
        <f>IF(AY83=0,"",BB83/AY83)</f>
        <v/>
      </c>
      <c r="BE83" s="35" t="n"/>
      <c r="BF83" s="246">
        <f>SUM(BF84,BF87,BF89,BF91)</f>
        <v/>
      </c>
      <c r="BG83" s="246">
        <f>SUM(BG84,BG87,BG89,BG91)</f>
        <v/>
      </c>
      <c r="BH83" s="246">
        <f>BF83+BG83</f>
        <v/>
      </c>
      <c r="BI83" s="246">
        <f>SUM(BI84,BI87,BI89,BI91)</f>
        <v/>
      </c>
      <c r="BJ83" s="246">
        <f>SUM(BJ84,BJ87,BJ89,BJ91)</f>
        <v/>
      </c>
      <c r="BK83" s="246">
        <f>BI83+BJ83</f>
        <v/>
      </c>
      <c r="BL83" s="246">
        <f>BK83-BH83</f>
        <v/>
      </c>
      <c r="BM83" s="247">
        <f>IF(BH83=0,"",BK83/BH83)</f>
        <v/>
      </c>
      <c r="BN83" s="40" t="n"/>
      <c r="BO83" s="244">
        <f>SUM(BO84,BO87,BO89,BO91)</f>
        <v/>
      </c>
      <c r="BP83" s="244">
        <f>SUM(BP84,BP87,BP89,BP91)</f>
        <v/>
      </c>
      <c r="BQ83" s="244">
        <f>BO83+BP83</f>
        <v/>
      </c>
      <c r="BR83" s="244">
        <f>SUM(BR84,BR87,BR89,BR91)</f>
        <v/>
      </c>
      <c r="BS83" s="244">
        <f>SUM(BS84,BS87,BS89,BS91)</f>
        <v/>
      </c>
      <c r="BT83" s="244">
        <f>BR83+BS83</f>
        <v/>
      </c>
      <c r="BU83" s="244">
        <f>BT83-BQ83</f>
        <v/>
      </c>
      <c r="BV83" s="245">
        <f>IF(BQ83=0,"",BT83/BQ83)</f>
        <v/>
      </c>
      <c r="BW83" s="35" t="n"/>
      <c r="BX83" s="246">
        <f>SUM(BX84,BX87,BX89,BX91)</f>
        <v/>
      </c>
      <c r="BY83" s="246">
        <f>SUM(BY84,BY87,BY89,BY91)</f>
        <v/>
      </c>
      <c r="BZ83" s="246">
        <f>BX83+BY83</f>
        <v/>
      </c>
      <c r="CA83" s="246">
        <f>SUM(CA84,CA87,CA89,CA91)</f>
        <v/>
      </c>
      <c r="CB83" s="246">
        <f>SUM(CB84,CB87,CB89,CB91)</f>
        <v/>
      </c>
      <c r="CC83" s="246">
        <f>CA83+CB83</f>
        <v/>
      </c>
      <c r="CD83" s="246">
        <f>CC83-BZ83</f>
        <v/>
      </c>
      <c r="CE83" s="247">
        <f>IF(BZ83=0,"",CC83/BZ83)</f>
        <v/>
      </c>
      <c r="CF83" s="40" t="n"/>
      <c r="CG83" s="244">
        <f>SUM(CG84,CG87,CG89,CG91)</f>
        <v/>
      </c>
      <c r="CH83" s="244">
        <f>SUM(CH84,CH87,CH89,CH91)</f>
        <v/>
      </c>
      <c r="CI83" s="244">
        <f>CG83+CH83</f>
        <v/>
      </c>
      <c r="CJ83" s="244">
        <f>SUM(CJ84,CJ87,CJ89,CJ91)</f>
        <v/>
      </c>
      <c r="CK83" s="244">
        <f>SUM(CK84,CK87,CK89,CK91)</f>
        <v/>
      </c>
      <c r="CL83" s="244">
        <f>CJ83+CK83</f>
        <v/>
      </c>
      <c r="CM83" s="244">
        <f>CL83-CI83</f>
        <v/>
      </c>
      <c r="CN83" s="245">
        <f>IF(CI83=0,"",CL83/CI83)</f>
        <v/>
      </c>
      <c r="CO83" s="35" t="n"/>
      <c r="CP83" s="246">
        <f>SUM(CP84,CP87,CP89,CP91)</f>
        <v/>
      </c>
      <c r="CQ83" s="246">
        <f>SUM(CQ84,CQ87,CQ89,CQ91)</f>
        <v/>
      </c>
      <c r="CR83" s="246">
        <f>CP83+CQ83</f>
        <v/>
      </c>
      <c r="CS83" s="246">
        <f>SUM(CS84,CS87,CS89,CS91)</f>
        <v/>
      </c>
      <c r="CT83" s="246">
        <f>SUM(CT84,CT87,CT89,CT91)</f>
        <v/>
      </c>
      <c r="CU83" s="246">
        <f>CS83+CT83</f>
        <v/>
      </c>
      <c r="CV83" s="246">
        <f>CU83-CR83</f>
        <v/>
      </c>
      <c r="CW83" s="247">
        <f>IF(CR83=0,"",CU83/CR83)</f>
        <v/>
      </c>
      <c r="CX83" s="40" t="n"/>
      <c r="CY83" s="244">
        <f>SUM(CY84,CY87,CY89,CY91)</f>
        <v/>
      </c>
      <c r="CZ83" s="244">
        <f>SUM(CZ84,CZ87,CZ89,CZ91)</f>
        <v/>
      </c>
      <c r="DA83" s="244">
        <f>CY83+CZ83</f>
        <v/>
      </c>
      <c r="DB83" s="244">
        <f>SUM(DB84,DB87,DB89,DB91)</f>
        <v/>
      </c>
      <c r="DC83" s="244">
        <f>SUM(DC84,DC87,DC89,DC91)</f>
        <v/>
      </c>
      <c r="DD83" s="244">
        <f>DB83+DC83</f>
        <v/>
      </c>
      <c r="DE83" s="244">
        <f>DD83-DA83</f>
        <v/>
      </c>
      <c r="DF83" s="245">
        <f>IF(DA83=0,"",DD83/DA83)</f>
        <v/>
      </c>
      <c r="DG83" s="35" t="n"/>
      <c r="DH83" s="246">
        <f>SUM(DH84,DH87,DH89,DH91)</f>
        <v/>
      </c>
      <c r="DI83" s="246">
        <f>SUM(DI84,DI87,DI89,DI91)</f>
        <v/>
      </c>
      <c r="DJ83" s="246">
        <f>DH83+DI83</f>
        <v/>
      </c>
      <c r="DK83" s="246">
        <f>SUM(DK84,DK87,DK89,DK91)</f>
        <v/>
      </c>
      <c r="DL83" s="246">
        <f>SUM(DL84,DL87,DL89,DL91)</f>
        <v/>
      </c>
      <c r="DM83" s="246">
        <f>DK83+DL83</f>
        <v/>
      </c>
      <c r="DN83" s="246">
        <f>DM83-DJ83</f>
        <v/>
      </c>
      <c r="DO83" s="247">
        <f>IF(DJ83=0,"",DM83/DJ83)</f>
        <v/>
      </c>
      <c r="DP83" s="40" t="n"/>
      <c r="DQ83" s="244">
        <f>SUM(DQ84,DQ87,DQ89,DQ91)</f>
        <v/>
      </c>
      <c r="DR83" s="244">
        <f>SUM(DR84,DR87,DR89,DR91)</f>
        <v/>
      </c>
      <c r="DS83" s="244">
        <f>DQ83+DR83</f>
        <v/>
      </c>
      <c r="DT83" s="244">
        <f>SUM(DT84,DT87,DT89,DT91)</f>
        <v/>
      </c>
      <c r="DU83" s="244">
        <f>SUM(DU84,DU87,DU89,DU91)</f>
        <v/>
      </c>
      <c r="DV83" s="244">
        <f>DT83+DU83</f>
        <v/>
      </c>
      <c r="DW83" s="244">
        <f>DV83-DS83</f>
        <v/>
      </c>
      <c r="DX83" s="245">
        <f>IF(DS83=0,"",DV83/DS83)</f>
        <v/>
      </c>
      <c r="DY83" s="35" t="n"/>
      <c r="DZ83" s="246">
        <f>SUM(DZ84,DZ87,DZ89,DZ91)</f>
        <v/>
      </c>
      <c r="EA83" s="246">
        <f>SUM(EA84,EA87,EA89,EA91)</f>
        <v/>
      </c>
      <c r="EB83" s="246">
        <f>DZ83+EA83</f>
        <v/>
      </c>
      <c r="EC83" s="246">
        <f>SUM(EC84,EC87,EC89,EC91)</f>
        <v/>
      </c>
      <c r="ED83" s="246">
        <f>SUM(ED84,ED87,ED89,ED91)</f>
        <v/>
      </c>
      <c r="EE83" s="246">
        <f>EC83+ED83</f>
        <v/>
      </c>
      <c r="EF83" s="246">
        <f>EE83-EB83</f>
        <v/>
      </c>
      <c r="EG83" s="247">
        <f>IF(EB83=0,"",EE83/EB83)</f>
        <v/>
      </c>
      <c r="EH83" s="40" t="n"/>
      <c r="EI83" s="244">
        <f>SUM(EI84,EI87,EI89,EI91)</f>
        <v/>
      </c>
      <c r="EJ83" s="244">
        <f>SUM(EJ84,EJ87,EJ89,EJ91)</f>
        <v/>
      </c>
      <c r="EK83" s="244">
        <f>EI83+EJ83</f>
        <v/>
      </c>
      <c r="EL83" s="244">
        <f>SUM(EL84,EL87,EL89,EL91)</f>
        <v/>
      </c>
      <c r="EM83" s="244">
        <f>SUM(EM84,EM87,EM89,EM91)</f>
        <v/>
      </c>
      <c r="EN83" s="244">
        <f>EL83+EM83</f>
        <v/>
      </c>
      <c r="EO83" s="244">
        <f>EN83-EK83</f>
        <v/>
      </c>
      <c r="EP83" s="245">
        <f>IF(EK83=0,"",EN83/EK83)</f>
        <v/>
      </c>
      <c r="EQ83" s="35" t="n"/>
      <c r="ER83" s="246">
        <f>SUM(ER84,ER87,ER89,ER91)</f>
        <v/>
      </c>
      <c r="ES83" s="246">
        <f>SUM(ES84,ES87,ES89,ES91)</f>
        <v/>
      </c>
      <c r="ET83" s="246">
        <f>ER83+ES83</f>
        <v/>
      </c>
      <c r="EU83" s="246">
        <f>SUM(EU84,EU87,EU89,EU91)</f>
        <v/>
      </c>
      <c r="EV83" s="246">
        <f>SUM(EV84,EV87,EV89,EV91)</f>
        <v/>
      </c>
      <c r="EW83" s="246">
        <f>EU83+EV83</f>
        <v/>
      </c>
      <c r="EX83" s="246">
        <f>EW83-ET83</f>
        <v/>
      </c>
      <c r="EY83" s="247">
        <f>IF(ET83=0,"",EW83/ET83)</f>
        <v/>
      </c>
      <c r="EZ83" s="40" t="n"/>
      <c r="FA83" s="244">
        <f>SUM(FA84,FA87,FA89,FA91)</f>
        <v/>
      </c>
      <c r="FB83" s="244">
        <f>SUM(FB84,FB87,FB89,FB91)</f>
        <v/>
      </c>
      <c r="FC83" s="244">
        <f>FA83+FB83</f>
        <v/>
      </c>
      <c r="FD83" s="244">
        <f>SUM(FD84,FD87,FD89,FD91)</f>
        <v/>
      </c>
      <c r="FE83" s="244">
        <f>SUM(FE84,FE87,FE89,FE91)</f>
        <v/>
      </c>
      <c r="FF83" s="244">
        <f>FD83+FE83</f>
        <v/>
      </c>
      <c r="FG83" s="244">
        <f>FF83-FC83</f>
        <v/>
      </c>
      <c r="FH83" s="245">
        <f>IF(FC83=0,"",FF83/FC83)</f>
        <v/>
      </c>
      <c r="FI83" s="35" t="n"/>
      <c r="FJ83" s="246">
        <f>SUM(FJ84,FJ87,FJ89,FJ91)</f>
        <v/>
      </c>
      <c r="FK83" s="246">
        <f>SUM(FK84,FK87,FK89,FK91)</f>
        <v/>
      </c>
      <c r="FL83" s="246">
        <f>FJ83+FK83</f>
        <v/>
      </c>
      <c r="FM83" s="246">
        <f>SUM(FM84,FM87,FM89,FM91)</f>
        <v/>
      </c>
      <c r="FN83" s="246">
        <f>SUM(FN84,FN87,FN89,FN91)</f>
        <v/>
      </c>
      <c r="FO83" s="246">
        <f>FM83+FN83</f>
        <v/>
      </c>
      <c r="FP83" s="246">
        <f>FO83-FL83</f>
        <v/>
      </c>
      <c r="FQ83" s="247">
        <f>IF(FL83=0,"",FO83/FL83)</f>
        <v/>
      </c>
      <c r="FR83" s="40" t="n"/>
      <c r="FS83" s="244">
        <f>SUM(FS84,FS87,FS89,FS91)</f>
        <v/>
      </c>
      <c r="FT83" s="244">
        <f>SUM(FT84,FT87,FT89,FT91)</f>
        <v/>
      </c>
      <c r="FU83" s="244">
        <f>FS83+FT83</f>
        <v/>
      </c>
      <c r="FV83" s="244">
        <f>SUM(FV84,FV87,FV89,FV91)</f>
        <v/>
      </c>
      <c r="FW83" s="244">
        <f>SUM(FW84,FW87,FW89,FW91)</f>
        <v/>
      </c>
      <c r="FX83" s="244">
        <f>FV83+FW83</f>
        <v/>
      </c>
      <c r="FY83" s="244">
        <f>FX83-FU83</f>
        <v/>
      </c>
      <c r="FZ83" s="245">
        <f>IF(FU83=0,"",FX83/FU83)</f>
        <v/>
      </c>
      <c r="GA83" s="35" t="n"/>
      <c r="GB83" s="246">
        <f>SUM(GB84,GB87,GB89,GB91)</f>
        <v/>
      </c>
      <c r="GC83" s="246">
        <f>SUM(GC84,GC87,GC89,GC91)</f>
        <v/>
      </c>
      <c r="GD83" s="246">
        <f>GB83+GC83</f>
        <v/>
      </c>
      <c r="GE83" s="246">
        <f>SUM(GE84,GE87,GE89,GE91)</f>
        <v/>
      </c>
      <c r="GF83" s="246">
        <f>SUM(GF84,GF87,GF89,GF91)</f>
        <v/>
      </c>
      <c r="GG83" s="246">
        <f>GE83+GF83</f>
        <v/>
      </c>
      <c r="GH83" s="246">
        <f>GG83-GD83</f>
        <v/>
      </c>
      <c r="GI83" s="247">
        <f>IF(GD83=0,"",GG83/GD83)</f>
        <v/>
      </c>
      <c r="GJ83" s="40" t="n"/>
      <c r="GK83" s="244">
        <f>SUM(GK84,GK87,GK89,GK91)</f>
        <v/>
      </c>
      <c r="GL83" s="244">
        <f>SUM(GL84,GL87,GL89,GL91)</f>
        <v/>
      </c>
      <c r="GM83" s="244">
        <f>GK83+GL83</f>
        <v/>
      </c>
      <c r="GN83" s="244">
        <f>SUM(GN84,GN87,GN89,GN91)</f>
        <v/>
      </c>
      <c r="GO83" s="244">
        <f>SUM(GO84,GO87,GO89,GO91)</f>
        <v/>
      </c>
      <c r="GP83" s="244">
        <f>GN83+GO83</f>
        <v/>
      </c>
      <c r="GQ83" s="244">
        <f>GP83-GM83</f>
        <v/>
      </c>
      <c r="GR83" s="245">
        <f>IF(GM83=0,"",GP83/GM83)</f>
        <v/>
      </c>
      <c r="GS83" s="35" t="n"/>
      <c r="GT83" s="246">
        <f>SUM(GT84,GT87,GT89,GT91)</f>
        <v/>
      </c>
      <c r="GU83" s="246">
        <f>SUM(GU84,GU87,GU89,GU91)</f>
        <v/>
      </c>
      <c r="GV83" s="246">
        <f>GT83+GU83</f>
        <v/>
      </c>
      <c r="GW83" s="246">
        <f>SUM(GW84,GW87,GW89,GW91)</f>
        <v/>
      </c>
      <c r="GX83" s="246">
        <f>SUM(GX84,GX87,GX89,GX91)</f>
        <v/>
      </c>
      <c r="GY83" s="246">
        <f>GW83+GX83</f>
        <v/>
      </c>
      <c r="GZ83" s="246">
        <f>GY83-GV83</f>
        <v/>
      </c>
      <c r="HA83" s="247">
        <f>IF(GV83=0,"",GY83/GV83)</f>
        <v/>
      </c>
      <c r="HB83" s="40" t="n"/>
      <c r="HC83" s="244">
        <f>GT83</f>
        <v/>
      </c>
      <c r="HD83" s="244">
        <f>GU83</f>
        <v/>
      </c>
      <c r="HE83" s="244">
        <f>HC83+HD83</f>
        <v/>
      </c>
    </row>
    <row r="84" ht="15" customHeight="1" s="150">
      <c r="A84" s="18" t="n"/>
      <c r="B84" s="18" t="n"/>
      <c r="C84" s="18" t="n"/>
      <c r="D84" s="227">
        <f>SUM(D85:D86)</f>
        <v/>
      </c>
      <c r="E84" s="227">
        <f>SUM(E85:E86)</f>
        <v/>
      </c>
      <c r="F84" s="227">
        <f>D84+E84</f>
        <v/>
      </c>
      <c r="G84" s="227">
        <f>SUM(G85:G86)</f>
        <v/>
      </c>
      <c r="H84" s="227">
        <f>SUM(H85:H86)</f>
        <v/>
      </c>
      <c r="I84" s="227">
        <f>G84+H84</f>
        <v/>
      </c>
      <c r="J84" s="228">
        <f>I84-F84</f>
        <v/>
      </c>
      <c r="K84" s="229">
        <f>IF(F84=0,"",I84/F84)</f>
        <v/>
      </c>
      <c r="L84" s="18" t="n"/>
      <c r="M84" s="227">
        <f>SUM(M85:M86)</f>
        <v/>
      </c>
      <c r="N84" s="227">
        <f>SUM(N85:N86)</f>
        <v/>
      </c>
      <c r="O84" s="227">
        <f>M84+N84</f>
        <v/>
      </c>
      <c r="P84" s="227">
        <f>SUM(P85:P86)</f>
        <v/>
      </c>
      <c r="Q84" s="227">
        <f>SUM(Q85:Q86)</f>
        <v/>
      </c>
      <c r="R84" s="227">
        <f>P84+Q84</f>
        <v/>
      </c>
      <c r="S84" s="228">
        <f>R84-O84</f>
        <v/>
      </c>
      <c r="T84" s="229">
        <f>IF(O84=0,"",R84/O84)</f>
        <v/>
      </c>
      <c r="U84" s="18" t="n"/>
      <c r="V84" s="230">
        <f>SUM(V85:V86)</f>
        <v/>
      </c>
      <c r="W84" s="230">
        <f>SUM(W85:W86)</f>
        <v/>
      </c>
      <c r="X84" s="230">
        <f>V84+W84</f>
        <v/>
      </c>
      <c r="Y84" s="230">
        <f>SUM(Y85:Y86)</f>
        <v/>
      </c>
      <c r="Z84" s="230">
        <f>SUM(Z85:Z86)</f>
        <v/>
      </c>
      <c r="AA84" s="230">
        <f>Y84+Z84</f>
        <v/>
      </c>
      <c r="AB84" s="231">
        <f>AA84-X84</f>
        <v/>
      </c>
      <c r="AC84" s="232">
        <f>IF(X84=0,"",AA84/X84)</f>
        <v/>
      </c>
      <c r="AD84" s="25" t="n"/>
      <c r="AE84" s="227">
        <f>SUM(AE85:AE86)</f>
        <v/>
      </c>
      <c r="AF84" s="227">
        <f>SUM(AF85:AF86)</f>
        <v/>
      </c>
      <c r="AG84" s="227">
        <f>AE84+AF84</f>
        <v/>
      </c>
      <c r="AH84" s="227">
        <f>SUM(AH85:AH86)</f>
        <v/>
      </c>
      <c r="AI84" s="227">
        <f>SUM(AI85:AI86)</f>
        <v/>
      </c>
      <c r="AJ84" s="227">
        <f>AH84+AI84</f>
        <v/>
      </c>
      <c r="AK84" s="228">
        <f>AJ84-AG84</f>
        <v/>
      </c>
      <c r="AL84" s="229">
        <f>IF(AG84=0,"",AJ84/AG84)</f>
        <v/>
      </c>
      <c r="AM84" s="18" t="n"/>
      <c r="AN84" s="230">
        <f>SUM(AN85:AN86)</f>
        <v/>
      </c>
      <c r="AO84" s="230">
        <f>SUM(AO85:AO86)</f>
        <v/>
      </c>
      <c r="AP84" s="230">
        <f>AN84+AO84</f>
        <v/>
      </c>
      <c r="AQ84" s="230">
        <f>SUM(AQ85:AQ86)</f>
        <v/>
      </c>
      <c r="AR84" s="230">
        <f>SUM(AR85:AR86)</f>
        <v/>
      </c>
      <c r="AS84" s="230">
        <f>AQ84+AR84</f>
        <v/>
      </c>
      <c r="AT84" s="231">
        <f>AS84-AP84</f>
        <v/>
      </c>
      <c r="AU84" s="232">
        <f>IF(AP84=0,"",AS84/AP84)</f>
        <v/>
      </c>
      <c r="AV84" s="25" t="n"/>
      <c r="AW84" s="227">
        <f>SUM(AW85:AW86)</f>
        <v/>
      </c>
      <c r="AX84" s="227">
        <f>SUM(AX85:AX86)</f>
        <v/>
      </c>
      <c r="AY84" s="227">
        <f>AW84+AX84</f>
        <v/>
      </c>
      <c r="AZ84" s="227">
        <f>SUM(AZ85:AZ86)</f>
        <v/>
      </c>
      <c r="BA84" s="227">
        <f>SUM(BA85:BA86)</f>
        <v/>
      </c>
      <c r="BB84" s="227">
        <f>AZ84+BA84</f>
        <v/>
      </c>
      <c r="BC84" s="228">
        <f>BB84-AY84</f>
        <v/>
      </c>
      <c r="BD84" s="229">
        <f>IF(AY84=0,"",BB84/AY84)</f>
        <v/>
      </c>
      <c r="BE84" s="18" t="n"/>
      <c r="BF84" s="230">
        <f>SUM(BF85:BF86)</f>
        <v/>
      </c>
      <c r="BG84" s="230">
        <f>SUM(BG85:BG86)</f>
        <v/>
      </c>
      <c r="BH84" s="230">
        <f>BF84+BG84</f>
        <v/>
      </c>
      <c r="BI84" s="230">
        <f>SUM(BI85:BI86)</f>
        <v/>
      </c>
      <c r="BJ84" s="230">
        <f>SUM(BJ85:BJ86)</f>
        <v/>
      </c>
      <c r="BK84" s="230">
        <f>BI84+BJ84</f>
        <v/>
      </c>
      <c r="BL84" s="231">
        <f>BK84-BH84</f>
        <v/>
      </c>
      <c r="BM84" s="232">
        <f>IF(BH84=0,"",BK84/BH84)</f>
        <v/>
      </c>
      <c r="BN84" s="25" t="n"/>
      <c r="BO84" s="227">
        <f>SUM(BO85:BO86)</f>
        <v/>
      </c>
      <c r="BP84" s="227">
        <f>SUM(BP85:BP86)</f>
        <v/>
      </c>
      <c r="BQ84" s="227">
        <f>BO84+BP84</f>
        <v/>
      </c>
      <c r="BR84" s="227">
        <f>SUM(BR85:BR86)</f>
        <v/>
      </c>
      <c r="BS84" s="227">
        <f>SUM(BS85:BS86)</f>
        <v/>
      </c>
      <c r="BT84" s="227">
        <f>BR84+BS84</f>
        <v/>
      </c>
      <c r="BU84" s="228">
        <f>BT84-BQ84</f>
        <v/>
      </c>
      <c r="BV84" s="229">
        <f>IF(BQ84=0,"",BT84/BQ84)</f>
        <v/>
      </c>
      <c r="BW84" s="18" t="n"/>
      <c r="BX84" s="230">
        <f>SUM(BX85:BX86)</f>
        <v/>
      </c>
      <c r="BY84" s="230">
        <f>SUM(BY85:BY86)</f>
        <v/>
      </c>
      <c r="BZ84" s="230">
        <f>BX84+BY84</f>
        <v/>
      </c>
      <c r="CA84" s="230">
        <f>SUM(CA85:CA86)</f>
        <v/>
      </c>
      <c r="CB84" s="230">
        <f>SUM(CB85:CB86)</f>
        <v/>
      </c>
      <c r="CC84" s="230">
        <f>CA84+CB84</f>
        <v/>
      </c>
      <c r="CD84" s="231">
        <f>CC84-BZ84</f>
        <v/>
      </c>
      <c r="CE84" s="232">
        <f>IF(BZ84=0,"",CC84/BZ84)</f>
        <v/>
      </c>
      <c r="CF84" s="25" t="n"/>
      <c r="CG84" s="227">
        <f>SUM(CG85:CG86)</f>
        <v/>
      </c>
      <c r="CH84" s="227">
        <f>SUM(CH85:CH86)</f>
        <v/>
      </c>
      <c r="CI84" s="227">
        <f>CG84+CH84</f>
        <v/>
      </c>
      <c r="CJ84" s="227">
        <f>SUM(CJ85:CJ86)</f>
        <v/>
      </c>
      <c r="CK84" s="227">
        <f>SUM(CK85:CK86)</f>
        <v/>
      </c>
      <c r="CL84" s="227">
        <f>CJ84+CK84</f>
        <v/>
      </c>
      <c r="CM84" s="228">
        <f>CL84-CI84</f>
        <v/>
      </c>
      <c r="CN84" s="229">
        <f>IF(CI84=0,"",CL84/CI84)</f>
        <v/>
      </c>
      <c r="CO84" s="18" t="n"/>
      <c r="CP84" s="230">
        <f>SUM(CP85:CP86)</f>
        <v/>
      </c>
      <c r="CQ84" s="230">
        <f>SUM(CQ85:CQ86)</f>
        <v/>
      </c>
      <c r="CR84" s="230">
        <f>CP84+CQ84</f>
        <v/>
      </c>
      <c r="CS84" s="230">
        <f>SUM(CS85:CS86)</f>
        <v/>
      </c>
      <c r="CT84" s="230">
        <f>SUM(CT85:CT86)</f>
        <v/>
      </c>
      <c r="CU84" s="230">
        <f>CS84+CT84</f>
        <v/>
      </c>
      <c r="CV84" s="231">
        <f>CU84-CR84</f>
        <v/>
      </c>
      <c r="CW84" s="232">
        <f>IF(CR84=0,"",CU84/CR84)</f>
        <v/>
      </c>
      <c r="CX84" s="25" t="n"/>
      <c r="CY84" s="227">
        <f>SUM(CY85:CY86)</f>
        <v/>
      </c>
      <c r="CZ84" s="227">
        <f>SUM(CZ85:CZ86)</f>
        <v/>
      </c>
      <c r="DA84" s="227">
        <f>CY84+CZ84</f>
        <v/>
      </c>
      <c r="DB84" s="227">
        <f>SUM(DB85:DB86)</f>
        <v/>
      </c>
      <c r="DC84" s="227">
        <f>SUM(DC85:DC86)</f>
        <v/>
      </c>
      <c r="DD84" s="227">
        <f>DB84+DC84</f>
        <v/>
      </c>
      <c r="DE84" s="228">
        <f>DD84-DA84</f>
        <v/>
      </c>
      <c r="DF84" s="229">
        <f>IF(DA84=0,"",DD84/DA84)</f>
        <v/>
      </c>
      <c r="DG84" s="18" t="n"/>
      <c r="DH84" s="230">
        <f>SUM(DH85:DH86)</f>
        <v/>
      </c>
      <c r="DI84" s="230">
        <f>SUM(DI85:DI86)</f>
        <v/>
      </c>
      <c r="DJ84" s="230">
        <f>DH84+DI84</f>
        <v/>
      </c>
      <c r="DK84" s="230">
        <f>SUM(DK85:DK86)</f>
        <v/>
      </c>
      <c r="DL84" s="230">
        <f>SUM(DL85:DL86)</f>
        <v/>
      </c>
      <c r="DM84" s="230">
        <f>DK84+DL84</f>
        <v/>
      </c>
      <c r="DN84" s="231">
        <f>DM84-DJ84</f>
        <v/>
      </c>
      <c r="DO84" s="232">
        <f>IF(DJ84=0,"",DM84/DJ84)</f>
        <v/>
      </c>
      <c r="DP84" s="25" t="n"/>
      <c r="DQ84" s="227">
        <f>SUM(DQ85:DQ86)</f>
        <v/>
      </c>
      <c r="DR84" s="227">
        <f>SUM(DR85:DR86)</f>
        <v/>
      </c>
      <c r="DS84" s="227">
        <f>DQ84+DR84</f>
        <v/>
      </c>
      <c r="DT84" s="227">
        <f>SUM(DT85:DT86)</f>
        <v/>
      </c>
      <c r="DU84" s="227">
        <f>SUM(DU85:DU86)</f>
        <v/>
      </c>
      <c r="DV84" s="227">
        <f>DT84+DU84</f>
        <v/>
      </c>
      <c r="DW84" s="228">
        <f>DV84-DS84</f>
        <v/>
      </c>
      <c r="DX84" s="229">
        <f>IF(DS84=0,"",DV84/DS84)</f>
        <v/>
      </c>
      <c r="DY84" s="18" t="n"/>
      <c r="DZ84" s="230">
        <f>SUM(DZ85:DZ86)</f>
        <v/>
      </c>
      <c r="EA84" s="230">
        <f>SUM(EA85:EA86)</f>
        <v/>
      </c>
      <c r="EB84" s="230">
        <f>DZ84+EA84</f>
        <v/>
      </c>
      <c r="EC84" s="230">
        <f>SUM(EC85:EC86)</f>
        <v/>
      </c>
      <c r="ED84" s="230">
        <f>SUM(ED85:ED86)</f>
        <v/>
      </c>
      <c r="EE84" s="230">
        <f>EC84+ED84</f>
        <v/>
      </c>
      <c r="EF84" s="231">
        <f>EE84-EB84</f>
        <v/>
      </c>
      <c r="EG84" s="232">
        <f>IF(EB84=0,"",EE84/EB84)</f>
        <v/>
      </c>
      <c r="EH84" s="25" t="n"/>
      <c r="EI84" s="227">
        <f>SUM(EI85:EI86)</f>
        <v/>
      </c>
      <c r="EJ84" s="227">
        <f>SUM(EJ85:EJ86)</f>
        <v/>
      </c>
      <c r="EK84" s="227">
        <f>EI84+EJ84</f>
        <v/>
      </c>
      <c r="EL84" s="227">
        <f>SUM(EL85:EL86)</f>
        <v/>
      </c>
      <c r="EM84" s="227">
        <f>SUM(EM85:EM86)</f>
        <v/>
      </c>
      <c r="EN84" s="227">
        <f>EL84+EM84</f>
        <v/>
      </c>
      <c r="EO84" s="228">
        <f>EN84-EK84</f>
        <v/>
      </c>
      <c r="EP84" s="229">
        <f>IF(EK84=0,"",EN84/EK84)</f>
        <v/>
      </c>
      <c r="EQ84" s="18" t="n"/>
      <c r="ER84" s="230">
        <f>SUM(ER85:ER86)</f>
        <v/>
      </c>
      <c r="ES84" s="230">
        <f>SUM(ES85:ES86)</f>
        <v/>
      </c>
      <c r="ET84" s="230">
        <f>ER84+ES84</f>
        <v/>
      </c>
      <c r="EU84" s="230">
        <f>SUM(EU85:EU86)</f>
        <v/>
      </c>
      <c r="EV84" s="230">
        <f>SUM(EV85:EV86)</f>
        <v/>
      </c>
      <c r="EW84" s="230">
        <f>EU84+EV84</f>
        <v/>
      </c>
      <c r="EX84" s="231">
        <f>EW84-ET84</f>
        <v/>
      </c>
      <c r="EY84" s="232">
        <f>IF(ET84=0,"",EW84/ET84)</f>
        <v/>
      </c>
      <c r="EZ84" s="25" t="n"/>
      <c r="FA84" s="227">
        <f>SUM(FA85:FA86)</f>
        <v/>
      </c>
      <c r="FB84" s="227">
        <f>SUM(FB85:FB86)</f>
        <v/>
      </c>
      <c r="FC84" s="227">
        <f>FA84+FB84</f>
        <v/>
      </c>
      <c r="FD84" s="227">
        <f>SUM(FD85:FD86)</f>
        <v/>
      </c>
      <c r="FE84" s="227">
        <f>SUM(FE85:FE86)</f>
        <v/>
      </c>
      <c r="FF84" s="227">
        <f>FD84+FE84</f>
        <v/>
      </c>
      <c r="FG84" s="228">
        <f>FF84-FC84</f>
        <v/>
      </c>
      <c r="FH84" s="229">
        <f>IF(FC84=0,"",FF84/FC84)</f>
        <v/>
      </c>
      <c r="FI84" s="18" t="n"/>
      <c r="FJ84" s="230">
        <f>SUM(FJ85:FJ86)</f>
        <v/>
      </c>
      <c r="FK84" s="230">
        <f>SUM(FK85:FK86)</f>
        <v/>
      </c>
      <c r="FL84" s="230">
        <f>FJ84+FK84</f>
        <v/>
      </c>
      <c r="FM84" s="230">
        <f>SUM(FM85:FM86)</f>
        <v/>
      </c>
      <c r="FN84" s="230">
        <f>SUM(FN85:FN86)</f>
        <v/>
      </c>
      <c r="FO84" s="230">
        <f>FM84+FN84</f>
        <v/>
      </c>
      <c r="FP84" s="231">
        <f>FO84-FL84</f>
        <v/>
      </c>
      <c r="FQ84" s="232">
        <f>IF(FL84=0,"",FO84/FL84)</f>
        <v/>
      </c>
      <c r="FR84" s="25" t="n"/>
      <c r="FS84" s="227">
        <f>SUM(FS85:FS86)</f>
        <v/>
      </c>
      <c r="FT84" s="227">
        <f>SUM(FT85:FT86)</f>
        <v/>
      </c>
      <c r="FU84" s="227">
        <f>FS84+FT84</f>
        <v/>
      </c>
      <c r="FV84" s="227">
        <f>SUM(FV85:FV86)</f>
        <v/>
      </c>
      <c r="FW84" s="227">
        <f>SUM(FW85:FW86)</f>
        <v/>
      </c>
      <c r="FX84" s="227">
        <f>FV84+FW84</f>
        <v/>
      </c>
      <c r="FY84" s="228">
        <f>FX84-FU84</f>
        <v/>
      </c>
      <c r="FZ84" s="229">
        <f>IF(FU84=0,"",FX84/FU84)</f>
        <v/>
      </c>
      <c r="GA84" s="18" t="n"/>
      <c r="GB84" s="230">
        <f>SUM(GB85:GB86)</f>
        <v/>
      </c>
      <c r="GC84" s="230">
        <f>SUM(GC85:GC86)</f>
        <v/>
      </c>
      <c r="GD84" s="230">
        <f>GB84+GC84</f>
        <v/>
      </c>
      <c r="GE84" s="230">
        <f>SUM(GE85:GE86)</f>
        <v/>
      </c>
      <c r="GF84" s="230">
        <f>SUM(GF85:GF86)</f>
        <v/>
      </c>
      <c r="GG84" s="230">
        <f>GE84+GF84</f>
        <v/>
      </c>
      <c r="GH84" s="231">
        <f>GG84-GD84</f>
        <v/>
      </c>
      <c r="GI84" s="232">
        <f>IF(GD84=0,"",GG84/GD84)</f>
        <v/>
      </c>
      <c r="GJ84" s="25" t="n"/>
      <c r="GK84" s="227">
        <f>SUM(GK85:GK86)</f>
        <v/>
      </c>
      <c r="GL84" s="227">
        <f>SUM(GL85:GL86)</f>
        <v/>
      </c>
      <c r="GM84" s="227">
        <f>GK84+GL84</f>
        <v/>
      </c>
      <c r="GN84" s="227">
        <f>SUM(GN85:GN86)</f>
        <v/>
      </c>
      <c r="GO84" s="227">
        <f>SUM(GO85:GO86)</f>
        <v/>
      </c>
      <c r="GP84" s="227">
        <f>GN84+GO84</f>
        <v/>
      </c>
      <c r="GQ84" s="228">
        <f>GP84-GM84</f>
        <v/>
      </c>
      <c r="GR84" s="229">
        <f>IF(GM84=0,"",GP84/GM84)</f>
        <v/>
      </c>
      <c r="GS84" s="18" t="n"/>
      <c r="GT84" s="230">
        <f>SUM(GT85:GT86)</f>
        <v/>
      </c>
      <c r="GU84" s="230">
        <f>SUM(GU85:GU86)</f>
        <v/>
      </c>
      <c r="GV84" s="230">
        <f>GT84+GU84</f>
        <v/>
      </c>
      <c r="GW84" s="230">
        <f>SUM(GW85:GW86)</f>
        <v/>
      </c>
      <c r="GX84" s="230">
        <f>SUM(GX85:GX86)</f>
        <v/>
      </c>
      <c r="GY84" s="230">
        <f>GW84+GX84</f>
        <v/>
      </c>
      <c r="GZ84" s="231">
        <f>GY84-GV84</f>
        <v/>
      </c>
      <c r="HA84" s="232">
        <f>IF(GV84=0,"",GY84/GV84)</f>
        <v/>
      </c>
      <c r="HB84" s="25" t="n"/>
      <c r="HC84" s="227">
        <f>GT84</f>
        <v/>
      </c>
      <c r="HD84" s="227">
        <f>GU84</f>
        <v/>
      </c>
      <c r="HE84" s="227">
        <f>HC84+HD84</f>
        <v/>
      </c>
    </row>
    <row r="85" outlineLevel="1" ht="15" customHeight="1" s="150">
      <c r="A85" s="26" t="n"/>
      <c r="B85" s="26" t="n"/>
      <c r="C85" s="26" t="n"/>
      <c r="D85" s="233" t="n"/>
      <c r="E85" s="233" t="n"/>
      <c r="F85" s="233">
        <f>D85+E85</f>
        <v/>
      </c>
      <c r="G85" s="233" t="n"/>
      <c r="H85" s="233" t="n"/>
      <c r="I85" s="233">
        <f>G85+H85</f>
        <v/>
      </c>
      <c r="J85" s="238">
        <f>I85-F85</f>
        <v/>
      </c>
      <c r="K85" s="235">
        <f>IF(F85=0,"",I85/F85)</f>
        <v/>
      </c>
      <c r="L85" s="26" t="n"/>
      <c r="M85" s="233" t="n"/>
      <c r="N85" s="233" t="n"/>
      <c r="O85" s="233">
        <f>M85+N85</f>
        <v/>
      </c>
      <c r="P85" s="233" t="n"/>
      <c r="Q85" s="233" t="n"/>
      <c r="R85" s="233">
        <f>P85+Q85</f>
        <v/>
      </c>
      <c r="S85" s="238">
        <f>R85-O85</f>
        <v/>
      </c>
      <c r="T85" s="235">
        <f>IF(O85=0,"",R85/O85)</f>
        <v/>
      </c>
      <c r="U85" s="26" t="n"/>
      <c r="V85" s="236">
        <f>D85+M85</f>
        <v/>
      </c>
      <c r="W85" s="236">
        <f>E85+N85</f>
        <v/>
      </c>
      <c r="X85" s="236">
        <f>V85+W85</f>
        <v/>
      </c>
      <c r="Y85" s="236">
        <f>G85+P85</f>
        <v/>
      </c>
      <c r="Z85" s="236">
        <f>H85+Q85</f>
        <v/>
      </c>
      <c r="AA85" s="236">
        <f>Y85+Z85</f>
        <v/>
      </c>
      <c r="AB85" s="239">
        <f>AA85-X85</f>
        <v/>
      </c>
      <c r="AC85" s="237">
        <f>IF(X85=0,"",AA85/X85)</f>
        <v/>
      </c>
      <c r="AD85" s="33" t="n"/>
      <c r="AE85" s="233" t="n"/>
      <c r="AF85" s="233" t="n"/>
      <c r="AG85" s="233">
        <f>AE85+AF85</f>
        <v/>
      </c>
      <c r="AH85" s="233" t="n"/>
      <c r="AI85" s="233" t="n"/>
      <c r="AJ85" s="233">
        <f>AH85+AI85</f>
        <v/>
      </c>
      <c r="AK85" s="238">
        <f>AJ85-AG85</f>
        <v/>
      </c>
      <c r="AL85" s="235">
        <f>IF(AG85=0,"",AJ85/AG85)</f>
        <v/>
      </c>
      <c r="AM85" s="26" t="n"/>
      <c r="AN85" s="236">
        <f>V85+AE85</f>
        <v/>
      </c>
      <c r="AO85" s="236">
        <f>W85+AF85</f>
        <v/>
      </c>
      <c r="AP85" s="236">
        <f>AN85+AO85</f>
        <v/>
      </c>
      <c r="AQ85" s="236">
        <f>Y85+AH85</f>
        <v/>
      </c>
      <c r="AR85" s="236">
        <f>Z85+AI85</f>
        <v/>
      </c>
      <c r="AS85" s="236">
        <f>AQ85+AR85</f>
        <v/>
      </c>
      <c r="AT85" s="239">
        <f>AS85-AP85</f>
        <v/>
      </c>
      <c r="AU85" s="237">
        <f>IF(AP85=0,"",AS85/AP85)</f>
        <v/>
      </c>
      <c r="AV85" s="33" t="n"/>
      <c r="AW85" s="233" t="n"/>
      <c r="AX85" s="233" t="n"/>
      <c r="AY85" s="233">
        <f>AW85+AX85</f>
        <v/>
      </c>
      <c r="AZ85" s="233" t="n"/>
      <c r="BA85" s="233" t="n"/>
      <c r="BB85" s="233">
        <f>AZ85+BA85</f>
        <v/>
      </c>
      <c r="BC85" s="238">
        <f>BB85-AY85</f>
        <v/>
      </c>
      <c r="BD85" s="235">
        <f>IF(AY85=0,"",BB85/AY85)</f>
        <v/>
      </c>
      <c r="BE85" s="26" t="n"/>
      <c r="BF85" s="236">
        <f>AN85+AW85</f>
        <v/>
      </c>
      <c r="BG85" s="236">
        <f>AO85+AX85</f>
        <v/>
      </c>
      <c r="BH85" s="236">
        <f>BF85+BG85</f>
        <v/>
      </c>
      <c r="BI85" s="236">
        <f>AQ85+AZ85</f>
        <v/>
      </c>
      <c r="BJ85" s="236">
        <f>AR85+BA85</f>
        <v/>
      </c>
      <c r="BK85" s="236">
        <f>BI85+BJ85</f>
        <v/>
      </c>
      <c r="BL85" s="239">
        <f>BK85-BH85</f>
        <v/>
      </c>
      <c r="BM85" s="237">
        <f>IF(BH85=0,"",BK85/BH85)</f>
        <v/>
      </c>
      <c r="BN85" s="33" t="n"/>
      <c r="BO85" s="233" t="n"/>
      <c r="BP85" s="233" t="n"/>
      <c r="BQ85" s="233">
        <f>BO85+BP85</f>
        <v/>
      </c>
      <c r="BR85" s="233" t="n"/>
      <c r="BS85" s="233" t="n"/>
      <c r="BT85" s="233">
        <f>BR85+BS85</f>
        <v/>
      </c>
      <c r="BU85" s="238">
        <f>BT85-BQ85</f>
        <v/>
      </c>
      <c r="BV85" s="235">
        <f>IF(BQ85=0,"",BT85/BQ85)</f>
        <v/>
      </c>
      <c r="BW85" s="26" t="n"/>
      <c r="BX85" s="236">
        <f>BF85+BO85</f>
        <v/>
      </c>
      <c r="BY85" s="236">
        <f>BG85+BP85</f>
        <v/>
      </c>
      <c r="BZ85" s="236">
        <f>BX85+BY85</f>
        <v/>
      </c>
      <c r="CA85" s="236">
        <f>BI85+BR85</f>
        <v/>
      </c>
      <c r="CB85" s="236">
        <f>BJ85+BS85</f>
        <v/>
      </c>
      <c r="CC85" s="236">
        <f>CA85+CB85</f>
        <v/>
      </c>
      <c r="CD85" s="239">
        <f>CC85-BZ85</f>
        <v/>
      </c>
      <c r="CE85" s="237">
        <f>IF(BZ85=0,"",CC85/BZ85)</f>
        <v/>
      </c>
      <c r="CF85" s="33" t="n"/>
      <c r="CG85" s="233" t="n"/>
      <c r="CH85" s="233" t="n"/>
      <c r="CI85" s="233">
        <f>CG85+CH85</f>
        <v/>
      </c>
      <c r="CJ85" s="233" t="n"/>
      <c r="CK85" s="233" t="n"/>
      <c r="CL85" s="233">
        <f>CJ85+CK85</f>
        <v/>
      </c>
      <c r="CM85" s="238">
        <f>CL85-CI85</f>
        <v/>
      </c>
      <c r="CN85" s="235">
        <f>IF(CI85=0,"",CL85/CI85)</f>
        <v/>
      </c>
      <c r="CO85" s="26" t="n"/>
      <c r="CP85" s="236">
        <f>BX85+CG85</f>
        <v/>
      </c>
      <c r="CQ85" s="236">
        <f>BY85+CH85</f>
        <v/>
      </c>
      <c r="CR85" s="236">
        <f>CP85+CQ85</f>
        <v/>
      </c>
      <c r="CS85" s="236">
        <f>CA85+CJ85</f>
        <v/>
      </c>
      <c r="CT85" s="236">
        <f>CB85+CK85</f>
        <v/>
      </c>
      <c r="CU85" s="236">
        <f>CS85+CT85</f>
        <v/>
      </c>
      <c r="CV85" s="239">
        <f>CU85-CR85</f>
        <v/>
      </c>
      <c r="CW85" s="237">
        <f>IF(CR85=0,"",CU85/CR85)</f>
        <v/>
      </c>
      <c r="CX85" s="33" t="n"/>
      <c r="CY85" s="233" t="n"/>
      <c r="CZ85" s="233" t="n"/>
      <c r="DA85" s="233">
        <f>CY85+CZ85</f>
        <v/>
      </c>
      <c r="DB85" s="233" t="n"/>
      <c r="DC85" s="233" t="n"/>
      <c r="DD85" s="233">
        <f>DB85+DC85</f>
        <v/>
      </c>
      <c r="DE85" s="238">
        <f>DD85-DA85</f>
        <v/>
      </c>
      <c r="DF85" s="235">
        <f>IF(DA85=0,"",DD85/DA85)</f>
        <v/>
      </c>
      <c r="DG85" s="26" t="n"/>
      <c r="DH85" s="236">
        <f>CP85+CY85</f>
        <v/>
      </c>
      <c r="DI85" s="236">
        <f>CQ85+CZ85</f>
        <v/>
      </c>
      <c r="DJ85" s="236">
        <f>DH85+DI85</f>
        <v/>
      </c>
      <c r="DK85" s="236">
        <f>CS85+DB85</f>
        <v/>
      </c>
      <c r="DL85" s="236">
        <f>CT85+DC85</f>
        <v/>
      </c>
      <c r="DM85" s="236">
        <f>DK85+DL85</f>
        <v/>
      </c>
      <c r="DN85" s="239">
        <f>DM85-DJ85</f>
        <v/>
      </c>
      <c r="DO85" s="237">
        <f>IF(DJ85=0,"",DM85/DJ85)</f>
        <v/>
      </c>
      <c r="DP85" s="33" t="n"/>
      <c r="DQ85" s="233" t="n"/>
      <c r="DR85" s="233" t="n"/>
      <c r="DS85" s="233">
        <f>DQ85+DR85</f>
        <v/>
      </c>
      <c r="DT85" s="233" t="n"/>
      <c r="DU85" s="233" t="n"/>
      <c r="DV85" s="233">
        <f>DT85+DU85</f>
        <v/>
      </c>
      <c r="DW85" s="238">
        <f>DV85-DS85</f>
        <v/>
      </c>
      <c r="DX85" s="235">
        <f>IF(DS85=0,"",DV85/DS85)</f>
        <v/>
      </c>
      <c r="DY85" s="26" t="n"/>
      <c r="DZ85" s="236">
        <f>DH85+DQ85</f>
        <v/>
      </c>
      <c r="EA85" s="236">
        <f>DI85+DR85</f>
        <v/>
      </c>
      <c r="EB85" s="236">
        <f>DZ85+EA85</f>
        <v/>
      </c>
      <c r="EC85" s="236">
        <f>DK85+DT85</f>
        <v/>
      </c>
      <c r="ED85" s="236">
        <f>DL85+DU85</f>
        <v/>
      </c>
      <c r="EE85" s="236">
        <f>EC85+ED85</f>
        <v/>
      </c>
      <c r="EF85" s="239">
        <f>EE85-EB85</f>
        <v/>
      </c>
      <c r="EG85" s="237">
        <f>IF(EB85=0,"",EE85/EB85)</f>
        <v/>
      </c>
      <c r="EH85" s="33" t="n"/>
      <c r="EI85" s="233" t="n"/>
      <c r="EJ85" s="233" t="n"/>
      <c r="EK85" s="233">
        <f>EI85+EJ85</f>
        <v/>
      </c>
      <c r="EL85" s="233" t="n"/>
      <c r="EM85" s="233" t="n"/>
      <c r="EN85" s="233">
        <f>EL85+EM85</f>
        <v/>
      </c>
      <c r="EO85" s="238">
        <f>EN85-EK85</f>
        <v/>
      </c>
      <c r="EP85" s="235">
        <f>IF(EK85=0,"",EN85/EK85)</f>
        <v/>
      </c>
      <c r="EQ85" s="26" t="n"/>
      <c r="ER85" s="236">
        <f>DZ85+EI85</f>
        <v/>
      </c>
      <c r="ES85" s="236">
        <f>EA85+EJ85</f>
        <v/>
      </c>
      <c r="ET85" s="236">
        <f>ER85+ES85</f>
        <v/>
      </c>
      <c r="EU85" s="236">
        <f>EC85+EL85</f>
        <v/>
      </c>
      <c r="EV85" s="236">
        <f>ED85+EM85</f>
        <v/>
      </c>
      <c r="EW85" s="236">
        <f>EU85+EV85</f>
        <v/>
      </c>
      <c r="EX85" s="239">
        <f>EW85-ET85</f>
        <v/>
      </c>
      <c r="EY85" s="237">
        <f>IF(ET85=0,"",EW85/ET85)</f>
        <v/>
      </c>
      <c r="EZ85" s="33" t="n"/>
      <c r="FA85" s="233" t="n"/>
      <c r="FB85" s="233" t="n"/>
      <c r="FC85" s="233">
        <f>FA85+FB85</f>
        <v/>
      </c>
      <c r="FD85" s="233" t="n"/>
      <c r="FE85" s="233" t="n"/>
      <c r="FF85" s="233">
        <f>FD85+FE85</f>
        <v/>
      </c>
      <c r="FG85" s="238">
        <f>FF85-FC85</f>
        <v/>
      </c>
      <c r="FH85" s="235">
        <f>IF(FC85=0,"",FF85/FC85)</f>
        <v/>
      </c>
      <c r="FI85" s="26" t="n"/>
      <c r="FJ85" s="236">
        <f>ER85+FA85</f>
        <v/>
      </c>
      <c r="FK85" s="236">
        <f>ES85+FB85</f>
        <v/>
      </c>
      <c r="FL85" s="236">
        <f>FJ85+FK85</f>
        <v/>
      </c>
      <c r="FM85" s="236">
        <f>EU85+FD85</f>
        <v/>
      </c>
      <c r="FN85" s="236">
        <f>EV85+FE85</f>
        <v/>
      </c>
      <c r="FO85" s="236">
        <f>FM85+FN85</f>
        <v/>
      </c>
      <c r="FP85" s="239">
        <f>FO85-FL85</f>
        <v/>
      </c>
      <c r="FQ85" s="237">
        <f>IF(FL85=0,"",FO85/FL85)</f>
        <v/>
      </c>
      <c r="FR85" s="33" t="n"/>
      <c r="FS85" s="233" t="n"/>
      <c r="FT85" s="233" t="n"/>
      <c r="FU85" s="233">
        <f>FS85+FT85</f>
        <v/>
      </c>
      <c r="FV85" s="233" t="n"/>
      <c r="FW85" s="233" t="n"/>
      <c r="FX85" s="233">
        <f>FV85+FW85</f>
        <v/>
      </c>
      <c r="FY85" s="238">
        <f>FX85-FU85</f>
        <v/>
      </c>
      <c r="FZ85" s="235">
        <f>IF(FU85=0,"",FX85/FU85)</f>
        <v/>
      </c>
      <c r="GA85" s="26" t="n"/>
      <c r="GB85" s="236">
        <f>FJ85+FS85</f>
        <v/>
      </c>
      <c r="GC85" s="236">
        <f>FK85+FT85</f>
        <v/>
      </c>
      <c r="GD85" s="236">
        <f>GB85+GC85</f>
        <v/>
      </c>
      <c r="GE85" s="236">
        <f>FM85+FV85</f>
        <v/>
      </c>
      <c r="GF85" s="236">
        <f>FN85+FW85</f>
        <v/>
      </c>
      <c r="GG85" s="236">
        <f>GE85+GF85</f>
        <v/>
      </c>
      <c r="GH85" s="239">
        <f>GG85-GD85</f>
        <v/>
      </c>
      <c r="GI85" s="237">
        <f>IF(GD85=0,"",GG85/GD85)</f>
        <v/>
      </c>
      <c r="GJ85" s="33" t="n"/>
      <c r="GK85" s="233" t="n"/>
      <c r="GL85" s="233" t="n"/>
      <c r="GM85" s="233">
        <f>GK85+GL85</f>
        <v/>
      </c>
      <c r="GN85" s="233" t="n"/>
      <c r="GO85" s="233" t="n"/>
      <c r="GP85" s="233">
        <f>GN85+GO85</f>
        <v/>
      </c>
      <c r="GQ85" s="238">
        <f>GP85-GM85</f>
        <v/>
      </c>
      <c r="GR85" s="235">
        <f>IF(GM85=0,"",GP85/GM85)</f>
        <v/>
      </c>
      <c r="GS85" s="26" t="n"/>
      <c r="GT85" s="236">
        <f>GB85+GK85</f>
        <v/>
      </c>
      <c r="GU85" s="236">
        <f>GC85+GL85</f>
        <v/>
      </c>
      <c r="GV85" s="236">
        <f>GT85+GU85</f>
        <v/>
      </c>
      <c r="GW85" s="236">
        <f>GE85+GN85</f>
        <v/>
      </c>
      <c r="GX85" s="236">
        <f>GF85+GO85</f>
        <v/>
      </c>
      <c r="GY85" s="236">
        <f>GW85+GX85</f>
        <v/>
      </c>
      <c r="GZ85" s="239">
        <f>GY85-GV85</f>
        <v/>
      </c>
      <c r="HA85" s="237">
        <f>IF(GV85=0,"",GY85/GV85)</f>
        <v/>
      </c>
      <c r="HB85" s="33" t="n"/>
      <c r="HC85" s="233">
        <f>GT85</f>
        <v/>
      </c>
      <c r="HD85" s="233">
        <f>GU85</f>
        <v/>
      </c>
      <c r="HE85" s="233">
        <f>HC85+HD85</f>
        <v/>
      </c>
    </row>
    <row r="86" outlineLevel="1" ht="15" customHeight="1" s="150">
      <c r="A86" s="26" t="n"/>
      <c r="B86" s="26" t="n"/>
      <c r="C86" s="26" t="n"/>
      <c r="D86" s="233" t="n"/>
      <c r="E86" s="233" t="n"/>
      <c r="F86" s="233">
        <f>D86+E86</f>
        <v/>
      </c>
      <c r="G86" s="233" t="n"/>
      <c r="H86" s="233" t="n"/>
      <c r="I86" s="233">
        <f>G86+H86</f>
        <v/>
      </c>
      <c r="J86" s="238">
        <f>I86-F86</f>
        <v/>
      </c>
      <c r="K86" s="235">
        <f>IF(F86=0,"",I86/F86)</f>
        <v/>
      </c>
      <c r="L86" s="26" t="n"/>
      <c r="M86" s="233" t="n"/>
      <c r="N86" s="233" t="n"/>
      <c r="O86" s="233">
        <f>M86+N86</f>
        <v/>
      </c>
      <c r="P86" s="233" t="n"/>
      <c r="Q86" s="233" t="n"/>
      <c r="R86" s="233">
        <f>P86+Q86</f>
        <v/>
      </c>
      <c r="S86" s="238">
        <f>R86-O86</f>
        <v/>
      </c>
      <c r="T86" s="235">
        <f>IF(O86=0,"",R86/O86)</f>
        <v/>
      </c>
      <c r="U86" s="26" t="n"/>
      <c r="V86" s="236">
        <f>D86+M86</f>
        <v/>
      </c>
      <c r="W86" s="236">
        <f>E86+N86</f>
        <v/>
      </c>
      <c r="X86" s="236">
        <f>V86+W86</f>
        <v/>
      </c>
      <c r="Y86" s="236">
        <f>G86+P86</f>
        <v/>
      </c>
      <c r="Z86" s="236">
        <f>H86+Q86</f>
        <v/>
      </c>
      <c r="AA86" s="236">
        <f>Y86+Z86</f>
        <v/>
      </c>
      <c r="AB86" s="239">
        <f>AA86-X86</f>
        <v/>
      </c>
      <c r="AC86" s="237">
        <f>IF(X86=0,"",AA86/X86)</f>
        <v/>
      </c>
      <c r="AD86" s="33" t="n"/>
      <c r="AE86" s="233" t="n"/>
      <c r="AF86" s="233" t="n"/>
      <c r="AG86" s="233">
        <f>AE86+AF86</f>
        <v/>
      </c>
      <c r="AH86" s="233" t="n"/>
      <c r="AI86" s="233" t="n"/>
      <c r="AJ86" s="233">
        <f>AH86+AI86</f>
        <v/>
      </c>
      <c r="AK86" s="238">
        <f>AJ86-AG86</f>
        <v/>
      </c>
      <c r="AL86" s="235">
        <f>IF(AG86=0,"",AJ86/AG86)</f>
        <v/>
      </c>
      <c r="AM86" s="26" t="n"/>
      <c r="AN86" s="236">
        <f>V86+AE86</f>
        <v/>
      </c>
      <c r="AO86" s="236">
        <f>W86+AF86</f>
        <v/>
      </c>
      <c r="AP86" s="236">
        <f>AN86+AO86</f>
        <v/>
      </c>
      <c r="AQ86" s="236">
        <f>Y86+AH86</f>
        <v/>
      </c>
      <c r="AR86" s="236">
        <f>Z86+AI86</f>
        <v/>
      </c>
      <c r="AS86" s="236">
        <f>AQ86+AR86</f>
        <v/>
      </c>
      <c r="AT86" s="239">
        <f>AS86-AP86</f>
        <v/>
      </c>
      <c r="AU86" s="237">
        <f>IF(AP86=0,"",AS86/AP86)</f>
        <v/>
      </c>
      <c r="AV86" s="33" t="n"/>
      <c r="AW86" s="233" t="n"/>
      <c r="AX86" s="233" t="n"/>
      <c r="AY86" s="233">
        <f>AW86+AX86</f>
        <v/>
      </c>
      <c r="AZ86" s="233" t="n"/>
      <c r="BA86" s="233" t="n"/>
      <c r="BB86" s="233">
        <f>AZ86+BA86</f>
        <v/>
      </c>
      <c r="BC86" s="238">
        <f>BB86-AY86</f>
        <v/>
      </c>
      <c r="BD86" s="235">
        <f>IF(AY86=0,"",BB86/AY86)</f>
        <v/>
      </c>
      <c r="BE86" s="26" t="n"/>
      <c r="BF86" s="236">
        <f>AN86+AW86</f>
        <v/>
      </c>
      <c r="BG86" s="236">
        <f>AO86+AX86</f>
        <v/>
      </c>
      <c r="BH86" s="236">
        <f>BF86+BG86</f>
        <v/>
      </c>
      <c r="BI86" s="236">
        <f>AQ86+AZ86</f>
        <v/>
      </c>
      <c r="BJ86" s="236">
        <f>AR86+BA86</f>
        <v/>
      </c>
      <c r="BK86" s="236">
        <f>BI86+BJ86</f>
        <v/>
      </c>
      <c r="BL86" s="239">
        <f>BK86-BH86</f>
        <v/>
      </c>
      <c r="BM86" s="237">
        <f>IF(BH86=0,"",BK86/BH86)</f>
        <v/>
      </c>
      <c r="BN86" s="33" t="n"/>
      <c r="BO86" s="233" t="n"/>
      <c r="BP86" s="233" t="n"/>
      <c r="BQ86" s="233">
        <f>BO86+BP86</f>
        <v/>
      </c>
      <c r="BR86" s="233" t="n"/>
      <c r="BS86" s="233" t="n"/>
      <c r="BT86" s="233">
        <f>BR86+BS86</f>
        <v/>
      </c>
      <c r="BU86" s="238">
        <f>BT86-BQ86</f>
        <v/>
      </c>
      <c r="BV86" s="235">
        <f>IF(BQ86=0,"",BT86/BQ86)</f>
        <v/>
      </c>
      <c r="BW86" s="26" t="n"/>
      <c r="BX86" s="236">
        <f>BF86+BO86</f>
        <v/>
      </c>
      <c r="BY86" s="236">
        <f>BG86+BP86</f>
        <v/>
      </c>
      <c r="BZ86" s="236">
        <f>BX86+BY86</f>
        <v/>
      </c>
      <c r="CA86" s="236">
        <f>BI86+BR86</f>
        <v/>
      </c>
      <c r="CB86" s="236">
        <f>BJ86+BS86</f>
        <v/>
      </c>
      <c r="CC86" s="236">
        <f>CA86+CB86</f>
        <v/>
      </c>
      <c r="CD86" s="239">
        <f>CC86-BZ86</f>
        <v/>
      </c>
      <c r="CE86" s="237">
        <f>IF(BZ86=0,"",CC86/BZ86)</f>
        <v/>
      </c>
      <c r="CF86" s="33" t="n"/>
      <c r="CG86" s="233" t="n"/>
      <c r="CH86" s="233" t="n"/>
      <c r="CI86" s="233">
        <f>CG86+CH86</f>
        <v/>
      </c>
      <c r="CJ86" s="233" t="n"/>
      <c r="CK86" s="233" t="n"/>
      <c r="CL86" s="233">
        <f>CJ86+CK86</f>
        <v/>
      </c>
      <c r="CM86" s="238">
        <f>CL86-CI86</f>
        <v/>
      </c>
      <c r="CN86" s="235">
        <f>IF(CI86=0,"",CL86/CI86)</f>
        <v/>
      </c>
      <c r="CO86" s="26" t="n"/>
      <c r="CP86" s="236">
        <f>BX86+CG86</f>
        <v/>
      </c>
      <c r="CQ86" s="236">
        <f>BY86+CH86</f>
        <v/>
      </c>
      <c r="CR86" s="236">
        <f>CP86+CQ86</f>
        <v/>
      </c>
      <c r="CS86" s="236">
        <f>CA86+CJ86</f>
        <v/>
      </c>
      <c r="CT86" s="236">
        <f>CB86+CK86</f>
        <v/>
      </c>
      <c r="CU86" s="236">
        <f>CS86+CT86</f>
        <v/>
      </c>
      <c r="CV86" s="239">
        <f>CU86-CR86</f>
        <v/>
      </c>
      <c r="CW86" s="237">
        <f>IF(CR86=0,"",CU86/CR86)</f>
        <v/>
      </c>
      <c r="CX86" s="33" t="n"/>
      <c r="CY86" s="233" t="n"/>
      <c r="CZ86" s="233" t="n"/>
      <c r="DA86" s="233">
        <f>CY86+CZ86</f>
        <v/>
      </c>
      <c r="DB86" s="233" t="n"/>
      <c r="DC86" s="233" t="n"/>
      <c r="DD86" s="233">
        <f>DB86+DC86</f>
        <v/>
      </c>
      <c r="DE86" s="238">
        <f>DD86-DA86</f>
        <v/>
      </c>
      <c r="DF86" s="235">
        <f>IF(DA86=0,"",DD86/DA86)</f>
        <v/>
      </c>
      <c r="DG86" s="26" t="n"/>
      <c r="DH86" s="236">
        <f>CP86+CY86</f>
        <v/>
      </c>
      <c r="DI86" s="236">
        <f>CQ86+CZ86</f>
        <v/>
      </c>
      <c r="DJ86" s="236">
        <f>DH86+DI86</f>
        <v/>
      </c>
      <c r="DK86" s="236">
        <f>CS86+DB86</f>
        <v/>
      </c>
      <c r="DL86" s="236">
        <f>CT86+DC86</f>
        <v/>
      </c>
      <c r="DM86" s="236">
        <f>DK86+DL86</f>
        <v/>
      </c>
      <c r="DN86" s="239">
        <f>DM86-DJ86</f>
        <v/>
      </c>
      <c r="DO86" s="237">
        <f>IF(DJ86=0,"",DM86/DJ86)</f>
        <v/>
      </c>
      <c r="DP86" s="33" t="n"/>
      <c r="DQ86" s="233" t="n"/>
      <c r="DR86" s="233" t="n"/>
      <c r="DS86" s="233">
        <f>DQ86+DR86</f>
        <v/>
      </c>
      <c r="DT86" s="233" t="n"/>
      <c r="DU86" s="233" t="n"/>
      <c r="DV86" s="233">
        <f>DT86+DU86</f>
        <v/>
      </c>
      <c r="DW86" s="238">
        <f>DV86-DS86</f>
        <v/>
      </c>
      <c r="DX86" s="235">
        <f>IF(DS86=0,"",DV86/DS86)</f>
        <v/>
      </c>
      <c r="DY86" s="26" t="n"/>
      <c r="DZ86" s="236">
        <f>DH86+DQ86</f>
        <v/>
      </c>
      <c r="EA86" s="236">
        <f>DI86+DR86</f>
        <v/>
      </c>
      <c r="EB86" s="236">
        <f>DZ86+EA86</f>
        <v/>
      </c>
      <c r="EC86" s="236">
        <f>DK86+DT86</f>
        <v/>
      </c>
      <c r="ED86" s="236">
        <f>DL86+DU86</f>
        <v/>
      </c>
      <c r="EE86" s="236">
        <f>EC86+ED86</f>
        <v/>
      </c>
      <c r="EF86" s="239">
        <f>EE86-EB86</f>
        <v/>
      </c>
      <c r="EG86" s="237">
        <f>IF(EB86=0,"",EE86/EB86)</f>
        <v/>
      </c>
      <c r="EH86" s="33" t="n"/>
      <c r="EI86" s="233" t="n"/>
      <c r="EJ86" s="233" t="n"/>
      <c r="EK86" s="233">
        <f>EI86+EJ86</f>
        <v/>
      </c>
      <c r="EL86" s="233" t="n"/>
      <c r="EM86" s="233" t="n"/>
      <c r="EN86" s="233">
        <f>EL86+EM86</f>
        <v/>
      </c>
      <c r="EO86" s="238">
        <f>EN86-EK86</f>
        <v/>
      </c>
      <c r="EP86" s="235">
        <f>IF(EK86=0,"",EN86/EK86)</f>
        <v/>
      </c>
      <c r="EQ86" s="26" t="n"/>
      <c r="ER86" s="236">
        <f>DZ86+EI86</f>
        <v/>
      </c>
      <c r="ES86" s="236">
        <f>EA86+EJ86</f>
        <v/>
      </c>
      <c r="ET86" s="236">
        <f>ER86+ES86</f>
        <v/>
      </c>
      <c r="EU86" s="236">
        <f>EC86+EL86</f>
        <v/>
      </c>
      <c r="EV86" s="236">
        <f>ED86+EM86</f>
        <v/>
      </c>
      <c r="EW86" s="236">
        <f>EU86+EV86</f>
        <v/>
      </c>
      <c r="EX86" s="239">
        <f>EW86-ET86</f>
        <v/>
      </c>
      <c r="EY86" s="237">
        <f>IF(ET86=0,"",EW86/ET86)</f>
        <v/>
      </c>
      <c r="EZ86" s="33" t="n"/>
      <c r="FA86" s="233" t="n"/>
      <c r="FB86" s="233" t="n"/>
      <c r="FC86" s="233">
        <f>FA86+FB86</f>
        <v/>
      </c>
      <c r="FD86" s="233" t="n"/>
      <c r="FE86" s="233" t="n"/>
      <c r="FF86" s="233">
        <f>FD86+FE86</f>
        <v/>
      </c>
      <c r="FG86" s="238">
        <f>FF86-FC86</f>
        <v/>
      </c>
      <c r="FH86" s="235">
        <f>IF(FC86=0,"",FF86/FC86)</f>
        <v/>
      </c>
      <c r="FI86" s="26" t="n"/>
      <c r="FJ86" s="236">
        <f>ER86+FA86</f>
        <v/>
      </c>
      <c r="FK86" s="236">
        <f>ES86+FB86</f>
        <v/>
      </c>
      <c r="FL86" s="236">
        <f>FJ86+FK86</f>
        <v/>
      </c>
      <c r="FM86" s="236">
        <f>EU86+FD86</f>
        <v/>
      </c>
      <c r="FN86" s="236">
        <f>EV86+FE86</f>
        <v/>
      </c>
      <c r="FO86" s="236">
        <f>FM86+FN86</f>
        <v/>
      </c>
      <c r="FP86" s="239">
        <f>FO86-FL86</f>
        <v/>
      </c>
      <c r="FQ86" s="237">
        <f>IF(FL86=0,"",FO86/FL86)</f>
        <v/>
      </c>
      <c r="FR86" s="33" t="n"/>
      <c r="FS86" s="233" t="n"/>
      <c r="FT86" s="233" t="n"/>
      <c r="FU86" s="233">
        <f>FS86+FT86</f>
        <v/>
      </c>
      <c r="FV86" s="233" t="n"/>
      <c r="FW86" s="233" t="n"/>
      <c r="FX86" s="233">
        <f>FV86+FW86</f>
        <v/>
      </c>
      <c r="FY86" s="238">
        <f>FX86-FU86</f>
        <v/>
      </c>
      <c r="FZ86" s="235">
        <f>IF(FU86=0,"",FX86/FU86)</f>
        <v/>
      </c>
      <c r="GA86" s="26" t="n"/>
      <c r="GB86" s="236">
        <f>FJ86+FS86</f>
        <v/>
      </c>
      <c r="GC86" s="236">
        <f>FK86+FT86</f>
        <v/>
      </c>
      <c r="GD86" s="236">
        <f>GB86+GC86</f>
        <v/>
      </c>
      <c r="GE86" s="236">
        <f>FM86+FV86</f>
        <v/>
      </c>
      <c r="GF86" s="236">
        <f>FN86+FW86</f>
        <v/>
      </c>
      <c r="GG86" s="236">
        <f>GE86+GF86</f>
        <v/>
      </c>
      <c r="GH86" s="239">
        <f>GG86-GD86</f>
        <v/>
      </c>
      <c r="GI86" s="237">
        <f>IF(GD86=0,"",GG86/GD86)</f>
        <v/>
      </c>
      <c r="GJ86" s="33" t="n"/>
      <c r="GK86" s="233" t="n"/>
      <c r="GL86" s="233" t="n"/>
      <c r="GM86" s="233">
        <f>GK86+GL86</f>
        <v/>
      </c>
      <c r="GN86" s="233" t="n"/>
      <c r="GO86" s="233" t="n"/>
      <c r="GP86" s="233">
        <f>GN86+GO86</f>
        <v/>
      </c>
      <c r="GQ86" s="238">
        <f>GP86-GM86</f>
        <v/>
      </c>
      <c r="GR86" s="235">
        <f>IF(GM86=0,"",GP86/GM86)</f>
        <v/>
      </c>
      <c r="GS86" s="26" t="n"/>
      <c r="GT86" s="236">
        <f>GB86+GK86</f>
        <v/>
      </c>
      <c r="GU86" s="236">
        <f>GC86+GL86</f>
        <v/>
      </c>
      <c r="GV86" s="236">
        <f>GT86+GU86</f>
        <v/>
      </c>
      <c r="GW86" s="236">
        <f>GE86+GN86</f>
        <v/>
      </c>
      <c r="GX86" s="236">
        <f>GF86+GO86</f>
        <v/>
      </c>
      <c r="GY86" s="236">
        <f>GW86+GX86</f>
        <v/>
      </c>
      <c r="GZ86" s="239">
        <f>GY86-GV86</f>
        <v/>
      </c>
      <c r="HA86" s="237">
        <f>IF(GV86=0,"",GY86/GV86)</f>
        <v/>
      </c>
      <c r="HB86" s="33" t="n"/>
      <c r="HC86" s="233">
        <f>GT86</f>
        <v/>
      </c>
      <c r="HD86" s="233">
        <f>GU86</f>
        <v/>
      </c>
      <c r="HE86" s="233">
        <f>HC86+HD86</f>
        <v/>
      </c>
    </row>
    <row r="87" ht="15" customHeight="1" s="150">
      <c r="A87" s="18" t="n"/>
      <c r="B87" s="18" t="n"/>
      <c r="C87" s="18" t="n"/>
      <c r="D87" s="227">
        <f>D88</f>
        <v/>
      </c>
      <c r="E87" s="227">
        <f>E88</f>
        <v/>
      </c>
      <c r="F87" s="227">
        <f>D87+E87</f>
        <v/>
      </c>
      <c r="G87" s="227">
        <f>G88</f>
        <v/>
      </c>
      <c r="H87" s="227">
        <f>H88</f>
        <v/>
      </c>
      <c r="I87" s="227">
        <f>G87+H87</f>
        <v/>
      </c>
      <c r="J87" s="228">
        <f>I87-F87</f>
        <v/>
      </c>
      <c r="K87" s="229">
        <f>IF(F87=0,"",I87/F87)</f>
        <v/>
      </c>
      <c r="L87" s="18" t="n"/>
      <c r="M87" s="227">
        <f>M88</f>
        <v/>
      </c>
      <c r="N87" s="227">
        <f>N88</f>
        <v/>
      </c>
      <c r="O87" s="227">
        <f>M87+N87</f>
        <v/>
      </c>
      <c r="P87" s="227">
        <f>P88</f>
        <v/>
      </c>
      <c r="Q87" s="227">
        <f>Q88</f>
        <v/>
      </c>
      <c r="R87" s="227">
        <f>P87+Q87</f>
        <v/>
      </c>
      <c r="S87" s="228">
        <f>R87-O87</f>
        <v/>
      </c>
      <c r="T87" s="229">
        <f>IF(O87=0,"",R87/O87)</f>
        <v/>
      </c>
      <c r="U87" s="18" t="n"/>
      <c r="V87" s="230">
        <f>V88</f>
        <v/>
      </c>
      <c r="W87" s="230">
        <f>W88</f>
        <v/>
      </c>
      <c r="X87" s="230">
        <f>V87+W87</f>
        <v/>
      </c>
      <c r="Y87" s="230">
        <f>Y88</f>
        <v/>
      </c>
      <c r="Z87" s="230">
        <f>Z88</f>
        <v/>
      </c>
      <c r="AA87" s="230">
        <f>Y87+Z87</f>
        <v/>
      </c>
      <c r="AB87" s="231">
        <f>AA87-X87</f>
        <v/>
      </c>
      <c r="AC87" s="232">
        <f>IF(X87=0,"",AA87/X87)</f>
        <v/>
      </c>
      <c r="AD87" s="25" t="n"/>
      <c r="AE87" s="227">
        <f>AE88</f>
        <v/>
      </c>
      <c r="AF87" s="227">
        <f>AF88</f>
        <v/>
      </c>
      <c r="AG87" s="227">
        <f>AE87+AF87</f>
        <v/>
      </c>
      <c r="AH87" s="227">
        <f>AH88</f>
        <v/>
      </c>
      <c r="AI87" s="227">
        <f>AI88</f>
        <v/>
      </c>
      <c r="AJ87" s="227">
        <f>AH87+AI87</f>
        <v/>
      </c>
      <c r="AK87" s="228">
        <f>AJ87-AG87</f>
        <v/>
      </c>
      <c r="AL87" s="229">
        <f>IF(AG87=0,"",AJ87/AG87)</f>
        <v/>
      </c>
      <c r="AM87" s="18" t="n"/>
      <c r="AN87" s="230">
        <f>AN88</f>
        <v/>
      </c>
      <c r="AO87" s="230">
        <f>AO88</f>
        <v/>
      </c>
      <c r="AP87" s="230">
        <f>AN87+AO87</f>
        <v/>
      </c>
      <c r="AQ87" s="230">
        <f>AQ88</f>
        <v/>
      </c>
      <c r="AR87" s="230">
        <f>AR88</f>
        <v/>
      </c>
      <c r="AS87" s="230">
        <f>AQ87+AR87</f>
        <v/>
      </c>
      <c r="AT87" s="231">
        <f>AS87-AP87</f>
        <v/>
      </c>
      <c r="AU87" s="232">
        <f>IF(AP87=0,"",AS87/AP87)</f>
        <v/>
      </c>
      <c r="AV87" s="25" t="n"/>
      <c r="AW87" s="227">
        <f>AW88</f>
        <v/>
      </c>
      <c r="AX87" s="227">
        <f>AX88</f>
        <v/>
      </c>
      <c r="AY87" s="227">
        <f>AW87+AX87</f>
        <v/>
      </c>
      <c r="AZ87" s="227">
        <f>AZ88</f>
        <v/>
      </c>
      <c r="BA87" s="227">
        <f>BA88</f>
        <v/>
      </c>
      <c r="BB87" s="227">
        <f>AZ87+BA87</f>
        <v/>
      </c>
      <c r="BC87" s="228">
        <f>BB87-AY87</f>
        <v/>
      </c>
      <c r="BD87" s="229">
        <f>IF(AY87=0,"",BB87/AY87)</f>
        <v/>
      </c>
      <c r="BE87" s="18" t="n"/>
      <c r="BF87" s="230">
        <f>BF88</f>
        <v/>
      </c>
      <c r="BG87" s="230">
        <f>BG88</f>
        <v/>
      </c>
      <c r="BH87" s="230">
        <f>BF87+BG87</f>
        <v/>
      </c>
      <c r="BI87" s="230">
        <f>BI88</f>
        <v/>
      </c>
      <c r="BJ87" s="230">
        <f>BJ88</f>
        <v/>
      </c>
      <c r="BK87" s="230">
        <f>BI87+BJ87</f>
        <v/>
      </c>
      <c r="BL87" s="231">
        <f>BK87-BH87</f>
        <v/>
      </c>
      <c r="BM87" s="232">
        <f>IF(BH87=0,"",BK87/BH87)</f>
        <v/>
      </c>
      <c r="BN87" s="25" t="n"/>
      <c r="BO87" s="227">
        <f>BO88</f>
        <v/>
      </c>
      <c r="BP87" s="227">
        <f>BP88</f>
        <v/>
      </c>
      <c r="BQ87" s="227">
        <f>BO87+BP87</f>
        <v/>
      </c>
      <c r="BR87" s="227">
        <f>BR88</f>
        <v/>
      </c>
      <c r="BS87" s="227">
        <f>BS88</f>
        <v/>
      </c>
      <c r="BT87" s="227">
        <f>BR87+BS87</f>
        <v/>
      </c>
      <c r="BU87" s="228">
        <f>BT87-BQ87</f>
        <v/>
      </c>
      <c r="BV87" s="229">
        <f>IF(BQ87=0,"",BT87/BQ87)</f>
        <v/>
      </c>
      <c r="BW87" s="18" t="n"/>
      <c r="BX87" s="230">
        <f>BX88</f>
        <v/>
      </c>
      <c r="BY87" s="230">
        <f>BY88</f>
        <v/>
      </c>
      <c r="BZ87" s="230">
        <f>BX87+BY87</f>
        <v/>
      </c>
      <c r="CA87" s="230">
        <f>CA88</f>
        <v/>
      </c>
      <c r="CB87" s="230">
        <f>CB88</f>
        <v/>
      </c>
      <c r="CC87" s="230">
        <f>CA87+CB87</f>
        <v/>
      </c>
      <c r="CD87" s="231">
        <f>CC87-BZ87</f>
        <v/>
      </c>
      <c r="CE87" s="232">
        <f>IF(BZ87=0,"",CC87/BZ87)</f>
        <v/>
      </c>
      <c r="CF87" s="25" t="n"/>
      <c r="CG87" s="227">
        <f>CG88</f>
        <v/>
      </c>
      <c r="CH87" s="227">
        <f>CH88</f>
        <v/>
      </c>
      <c r="CI87" s="227">
        <f>CG87+CH87</f>
        <v/>
      </c>
      <c r="CJ87" s="227">
        <f>CJ88</f>
        <v/>
      </c>
      <c r="CK87" s="227">
        <f>CK88</f>
        <v/>
      </c>
      <c r="CL87" s="227">
        <f>CJ87+CK87</f>
        <v/>
      </c>
      <c r="CM87" s="228">
        <f>CL87-CI87</f>
        <v/>
      </c>
      <c r="CN87" s="229">
        <f>IF(CI87=0,"",CL87/CI87)</f>
        <v/>
      </c>
      <c r="CO87" s="18" t="n"/>
      <c r="CP87" s="230">
        <f>CP88</f>
        <v/>
      </c>
      <c r="CQ87" s="230">
        <f>CQ88</f>
        <v/>
      </c>
      <c r="CR87" s="230">
        <f>CP87+CQ87</f>
        <v/>
      </c>
      <c r="CS87" s="230">
        <f>CS88</f>
        <v/>
      </c>
      <c r="CT87" s="230">
        <f>CT88</f>
        <v/>
      </c>
      <c r="CU87" s="230">
        <f>CS87+CT87</f>
        <v/>
      </c>
      <c r="CV87" s="231">
        <f>CU87-CR87</f>
        <v/>
      </c>
      <c r="CW87" s="232">
        <f>IF(CR87=0,"",CU87/CR87)</f>
        <v/>
      </c>
      <c r="CX87" s="25" t="n"/>
      <c r="CY87" s="227">
        <f>CY88</f>
        <v/>
      </c>
      <c r="CZ87" s="227">
        <f>CZ88</f>
        <v/>
      </c>
      <c r="DA87" s="227">
        <f>CY87+CZ87</f>
        <v/>
      </c>
      <c r="DB87" s="227">
        <f>DB88</f>
        <v/>
      </c>
      <c r="DC87" s="227">
        <f>DC88</f>
        <v/>
      </c>
      <c r="DD87" s="227">
        <f>DB87+DC87</f>
        <v/>
      </c>
      <c r="DE87" s="228">
        <f>DD87-DA87</f>
        <v/>
      </c>
      <c r="DF87" s="229">
        <f>IF(DA87=0,"",DD87/DA87)</f>
        <v/>
      </c>
      <c r="DG87" s="18" t="n"/>
      <c r="DH87" s="230">
        <f>DH88</f>
        <v/>
      </c>
      <c r="DI87" s="230">
        <f>DI88</f>
        <v/>
      </c>
      <c r="DJ87" s="230">
        <f>DH87+DI87</f>
        <v/>
      </c>
      <c r="DK87" s="230">
        <f>DK88</f>
        <v/>
      </c>
      <c r="DL87" s="230">
        <f>DL88</f>
        <v/>
      </c>
      <c r="DM87" s="230">
        <f>DK87+DL87</f>
        <v/>
      </c>
      <c r="DN87" s="231">
        <f>DM87-DJ87</f>
        <v/>
      </c>
      <c r="DO87" s="232">
        <f>IF(DJ87=0,"",DM87/DJ87)</f>
        <v/>
      </c>
      <c r="DP87" s="25" t="n"/>
      <c r="DQ87" s="227">
        <f>DQ88</f>
        <v/>
      </c>
      <c r="DR87" s="227">
        <f>DR88</f>
        <v/>
      </c>
      <c r="DS87" s="227">
        <f>DQ87+DR87</f>
        <v/>
      </c>
      <c r="DT87" s="227">
        <f>DT88</f>
        <v/>
      </c>
      <c r="DU87" s="227">
        <f>DU88</f>
        <v/>
      </c>
      <c r="DV87" s="227">
        <f>DT87+DU87</f>
        <v/>
      </c>
      <c r="DW87" s="228">
        <f>DV87-DS87</f>
        <v/>
      </c>
      <c r="DX87" s="229">
        <f>IF(DS87=0,"",DV87/DS87)</f>
        <v/>
      </c>
      <c r="DY87" s="18" t="n"/>
      <c r="DZ87" s="230">
        <f>DZ88</f>
        <v/>
      </c>
      <c r="EA87" s="230">
        <f>EA88</f>
        <v/>
      </c>
      <c r="EB87" s="230">
        <f>DZ87+EA87</f>
        <v/>
      </c>
      <c r="EC87" s="230">
        <f>EC88</f>
        <v/>
      </c>
      <c r="ED87" s="230">
        <f>ED88</f>
        <v/>
      </c>
      <c r="EE87" s="230">
        <f>EC87+ED87</f>
        <v/>
      </c>
      <c r="EF87" s="231">
        <f>EE87-EB87</f>
        <v/>
      </c>
      <c r="EG87" s="232">
        <f>IF(EB87=0,"",EE87/EB87)</f>
        <v/>
      </c>
      <c r="EH87" s="25" t="n"/>
      <c r="EI87" s="227">
        <f>EI88</f>
        <v/>
      </c>
      <c r="EJ87" s="227">
        <f>EJ88</f>
        <v/>
      </c>
      <c r="EK87" s="227">
        <f>EI87+EJ87</f>
        <v/>
      </c>
      <c r="EL87" s="227">
        <f>EL88</f>
        <v/>
      </c>
      <c r="EM87" s="227">
        <f>EM88</f>
        <v/>
      </c>
      <c r="EN87" s="227">
        <f>EL87+EM87</f>
        <v/>
      </c>
      <c r="EO87" s="228">
        <f>EN87-EK87</f>
        <v/>
      </c>
      <c r="EP87" s="229">
        <f>IF(EK87=0,"",EN87/EK87)</f>
        <v/>
      </c>
      <c r="EQ87" s="18" t="n"/>
      <c r="ER87" s="230">
        <f>ER88</f>
        <v/>
      </c>
      <c r="ES87" s="230">
        <f>ES88</f>
        <v/>
      </c>
      <c r="ET87" s="230">
        <f>ER87+ES87</f>
        <v/>
      </c>
      <c r="EU87" s="230">
        <f>EU88</f>
        <v/>
      </c>
      <c r="EV87" s="230">
        <f>EV88</f>
        <v/>
      </c>
      <c r="EW87" s="230">
        <f>EU87+EV87</f>
        <v/>
      </c>
      <c r="EX87" s="231">
        <f>EW87-ET87</f>
        <v/>
      </c>
      <c r="EY87" s="232">
        <f>IF(ET87=0,"",EW87/ET87)</f>
        <v/>
      </c>
      <c r="EZ87" s="25" t="n"/>
      <c r="FA87" s="227">
        <f>FA88</f>
        <v/>
      </c>
      <c r="FB87" s="227">
        <f>FB88</f>
        <v/>
      </c>
      <c r="FC87" s="227">
        <f>FA87+FB87</f>
        <v/>
      </c>
      <c r="FD87" s="227">
        <f>FD88</f>
        <v/>
      </c>
      <c r="FE87" s="227">
        <f>FE88</f>
        <v/>
      </c>
      <c r="FF87" s="227">
        <f>FD87+FE87</f>
        <v/>
      </c>
      <c r="FG87" s="228">
        <f>FF87-FC87</f>
        <v/>
      </c>
      <c r="FH87" s="229">
        <f>IF(FC87=0,"",FF87/FC87)</f>
        <v/>
      </c>
      <c r="FI87" s="18" t="n"/>
      <c r="FJ87" s="230">
        <f>FJ88</f>
        <v/>
      </c>
      <c r="FK87" s="230">
        <f>FK88</f>
        <v/>
      </c>
      <c r="FL87" s="230">
        <f>FJ87+FK87</f>
        <v/>
      </c>
      <c r="FM87" s="230">
        <f>FM88</f>
        <v/>
      </c>
      <c r="FN87" s="230">
        <f>FN88</f>
        <v/>
      </c>
      <c r="FO87" s="230">
        <f>FM87+FN87</f>
        <v/>
      </c>
      <c r="FP87" s="231">
        <f>FO87-FL87</f>
        <v/>
      </c>
      <c r="FQ87" s="232">
        <f>IF(FL87=0,"",FO87/FL87)</f>
        <v/>
      </c>
      <c r="FR87" s="25" t="n"/>
      <c r="FS87" s="227">
        <f>FS88</f>
        <v/>
      </c>
      <c r="FT87" s="227">
        <f>FT88</f>
        <v/>
      </c>
      <c r="FU87" s="227">
        <f>FS87+FT87</f>
        <v/>
      </c>
      <c r="FV87" s="227">
        <f>FV88</f>
        <v/>
      </c>
      <c r="FW87" s="227">
        <f>FW88</f>
        <v/>
      </c>
      <c r="FX87" s="227">
        <f>FV87+FW87</f>
        <v/>
      </c>
      <c r="FY87" s="228">
        <f>FX87-FU87</f>
        <v/>
      </c>
      <c r="FZ87" s="229">
        <f>IF(FU87=0,"",FX87/FU87)</f>
        <v/>
      </c>
      <c r="GA87" s="18" t="n"/>
      <c r="GB87" s="230">
        <f>GB88</f>
        <v/>
      </c>
      <c r="GC87" s="230">
        <f>GC88</f>
        <v/>
      </c>
      <c r="GD87" s="230">
        <f>GB87+GC87</f>
        <v/>
      </c>
      <c r="GE87" s="230">
        <f>GE88</f>
        <v/>
      </c>
      <c r="GF87" s="230">
        <f>GF88</f>
        <v/>
      </c>
      <c r="GG87" s="230">
        <f>GE87+GF87</f>
        <v/>
      </c>
      <c r="GH87" s="231">
        <f>GG87-GD87</f>
        <v/>
      </c>
      <c r="GI87" s="232">
        <f>IF(GD87=0,"",GG87/GD87)</f>
        <v/>
      </c>
      <c r="GJ87" s="25" t="n"/>
      <c r="GK87" s="227">
        <f>GK88</f>
        <v/>
      </c>
      <c r="GL87" s="227">
        <f>GL88</f>
        <v/>
      </c>
      <c r="GM87" s="227">
        <f>GK87+GL87</f>
        <v/>
      </c>
      <c r="GN87" s="227">
        <f>GN88</f>
        <v/>
      </c>
      <c r="GO87" s="227">
        <f>GO88</f>
        <v/>
      </c>
      <c r="GP87" s="227">
        <f>GN87+GO87</f>
        <v/>
      </c>
      <c r="GQ87" s="228">
        <f>GP87-GM87</f>
        <v/>
      </c>
      <c r="GR87" s="229">
        <f>IF(GM87=0,"",GP87/GM87)</f>
        <v/>
      </c>
      <c r="GS87" s="18" t="n"/>
      <c r="GT87" s="230">
        <f>GT88</f>
        <v/>
      </c>
      <c r="GU87" s="230">
        <f>GU88</f>
        <v/>
      </c>
      <c r="GV87" s="230">
        <f>GT87+GU87</f>
        <v/>
      </c>
      <c r="GW87" s="230">
        <f>GW88</f>
        <v/>
      </c>
      <c r="GX87" s="230">
        <f>GX88</f>
        <v/>
      </c>
      <c r="GY87" s="230">
        <f>GW87+GX87</f>
        <v/>
      </c>
      <c r="GZ87" s="231">
        <f>GY87-GV87</f>
        <v/>
      </c>
      <c r="HA87" s="232">
        <f>IF(GV87=0,"",GY87/GV87)</f>
        <v/>
      </c>
      <c r="HB87" s="25" t="n"/>
      <c r="HC87" s="227">
        <f>GT87</f>
        <v/>
      </c>
      <c r="HD87" s="227">
        <f>GU87</f>
        <v/>
      </c>
      <c r="HE87" s="227">
        <f>HC87+HD87</f>
        <v/>
      </c>
    </row>
    <row r="88" outlineLevel="1" ht="15" customHeight="1" s="150">
      <c r="A88" s="26" t="n"/>
      <c r="B88" s="26" t="n"/>
      <c r="C88" s="26" t="n"/>
      <c r="D88" s="233" t="n"/>
      <c r="E88" s="233" t="n"/>
      <c r="F88" s="233">
        <f>D88+E88</f>
        <v/>
      </c>
      <c r="G88" s="233" t="n"/>
      <c r="H88" s="233" t="n"/>
      <c r="I88" s="233">
        <f>G88+H88</f>
        <v/>
      </c>
      <c r="J88" s="238">
        <f>I88-F88</f>
        <v/>
      </c>
      <c r="K88" s="235">
        <f>IF(F88=0,"",I88/F88)</f>
        <v/>
      </c>
      <c r="L88" s="26" t="n"/>
      <c r="M88" s="233" t="n"/>
      <c r="N88" s="233" t="n"/>
      <c r="O88" s="233">
        <f>M88+N88</f>
        <v/>
      </c>
      <c r="P88" s="233" t="n"/>
      <c r="Q88" s="233" t="n"/>
      <c r="R88" s="233">
        <f>P88+Q88</f>
        <v/>
      </c>
      <c r="S88" s="238">
        <f>R88-O88</f>
        <v/>
      </c>
      <c r="T88" s="235">
        <f>IF(O88=0,"",R88/O88)</f>
        <v/>
      </c>
      <c r="U88" s="26" t="n"/>
      <c r="V88" s="236">
        <f>D88+M88</f>
        <v/>
      </c>
      <c r="W88" s="236">
        <f>E88+N88</f>
        <v/>
      </c>
      <c r="X88" s="236">
        <f>V88+W88</f>
        <v/>
      </c>
      <c r="Y88" s="236">
        <f>G88+P88</f>
        <v/>
      </c>
      <c r="Z88" s="236">
        <f>H88+Q88</f>
        <v/>
      </c>
      <c r="AA88" s="236">
        <f>Y88+Z88</f>
        <v/>
      </c>
      <c r="AB88" s="239">
        <f>AA88-X88</f>
        <v/>
      </c>
      <c r="AC88" s="237">
        <f>IF(X88=0,"",AA88/X88)</f>
        <v/>
      </c>
      <c r="AD88" s="33" t="n"/>
      <c r="AE88" s="233" t="n"/>
      <c r="AF88" s="233" t="n"/>
      <c r="AG88" s="233">
        <f>AE88+AF88</f>
        <v/>
      </c>
      <c r="AH88" s="233" t="n"/>
      <c r="AI88" s="233" t="n"/>
      <c r="AJ88" s="233">
        <f>AH88+AI88</f>
        <v/>
      </c>
      <c r="AK88" s="238">
        <f>AJ88-AG88</f>
        <v/>
      </c>
      <c r="AL88" s="235">
        <f>IF(AG88=0,"",AJ88/AG88)</f>
        <v/>
      </c>
      <c r="AM88" s="26" t="n"/>
      <c r="AN88" s="236">
        <f>V88+AE88</f>
        <v/>
      </c>
      <c r="AO88" s="236">
        <f>W88+AF88</f>
        <v/>
      </c>
      <c r="AP88" s="236">
        <f>AN88+AO88</f>
        <v/>
      </c>
      <c r="AQ88" s="236">
        <f>Y88+AH88</f>
        <v/>
      </c>
      <c r="AR88" s="236">
        <f>Z88+AI88</f>
        <v/>
      </c>
      <c r="AS88" s="236">
        <f>AQ88+AR88</f>
        <v/>
      </c>
      <c r="AT88" s="234">
        <f>AS88-AP88</f>
        <v/>
      </c>
      <c r="AU88" s="237">
        <f>IF(AP88=0,"",AS88/AP88)</f>
        <v/>
      </c>
      <c r="AV88" s="33" t="n"/>
      <c r="AW88" s="233" t="n"/>
      <c r="AX88" s="233" t="n"/>
      <c r="AY88" s="233">
        <f>AW88+AX88</f>
        <v/>
      </c>
      <c r="AZ88" s="233" t="n"/>
      <c r="BA88" s="233" t="n"/>
      <c r="BB88" s="233">
        <f>AZ88+BA88</f>
        <v/>
      </c>
      <c r="BC88" s="238">
        <f>BB88-AY88</f>
        <v/>
      </c>
      <c r="BD88" s="235">
        <f>IF(AY88=0,"",BB88/AY88)</f>
        <v/>
      </c>
      <c r="BE88" s="26" t="n"/>
      <c r="BF88" s="236">
        <f>AN88+AW88</f>
        <v/>
      </c>
      <c r="BG88" s="236">
        <f>AO88+AX88</f>
        <v/>
      </c>
      <c r="BH88" s="236">
        <f>BF88+BG88</f>
        <v/>
      </c>
      <c r="BI88" s="236">
        <f>AQ88+AZ88</f>
        <v/>
      </c>
      <c r="BJ88" s="236">
        <f>AR88+BA88</f>
        <v/>
      </c>
      <c r="BK88" s="236">
        <f>BI88+BJ88</f>
        <v/>
      </c>
      <c r="BL88" s="239">
        <f>BK88-BH88</f>
        <v/>
      </c>
      <c r="BM88" s="237">
        <f>IF(BH88=0,"",BK88/BH88)</f>
        <v/>
      </c>
      <c r="BN88" s="33" t="n"/>
      <c r="BO88" s="233" t="n"/>
      <c r="BP88" s="233" t="n"/>
      <c r="BQ88" s="233">
        <f>BO88+BP88</f>
        <v/>
      </c>
      <c r="BR88" s="233" t="n"/>
      <c r="BS88" s="233" t="n"/>
      <c r="BT88" s="233">
        <f>BR88+BS88</f>
        <v/>
      </c>
      <c r="BU88" s="238">
        <f>BT88-BQ88</f>
        <v/>
      </c>
      <c r="BV88" s="235">
        <f>IF(BQ88=0,"",BT88/BQ88)</f>
        <v/>
      </c>
      <c r="BW88" s="26" t="n"/>
      <c r="BX88" s="236">
        <f>BF88+BO88</f>
        <v/>
      </c>
      <c r="BY88" s="236">
        <f>BG88+BP88</f>
        <v/>
      </c>
      <c r="BZ88" s="236">
        <f>BX88+BY88</f>
        <v/>
      </c>
      <c r="CA88" s="236">
        <f>BI88+BR88</f>
        <v/>
      </c>
      <c r="CB88" s="236">
        <f>BJ88+BS88</f>
        <v/>
      </c>
      <c r="CC88" s="236">
        <f>CA88+CB88</f>
        <v/>
      </c>
      <c r="CD88" s="239">
        <f>CC88-BZ88</f>
        <v/>
      </c>
      <c r="CE88" s="237">
        <f>IF(BZ88=0,"",CC88/BZ88)</f>
        <v/>
      </c>
      <c r="CF88" s="33" t="n"/>
      <c r="CG88" s="233" t="n"/>
      <c r="CH88" s="233" t="n"/>
      <c r="CI88" s="233">
        <f>CG88+CH88</f>
        <v/>
      </c>
      <c r="CJ88" s="233" t="n"/>
      <c r="CK88" s="233" t="n"/>
      <c r="CL88" s="233">
        <f>CJ88+CK88</f>
        <v/>
      </c>
      <c r="CM88" s="238">
        <f>CL88-CI88</f>
        <v/>
      </c>
      <c r="CN88" s="235">
        <f>IF(CI88=0,"",CL88/CI88)</f>
        <v/>
      </c>
      <c r="CO88" s="26" t="n"/>
      <c r="CP88" s="236">
        <f>BX88+CG88</f>
        <v/>
      </c>
      <c r="CQ88" s="236">
        <f>BY88+CH88</f>
        <v/>
      </c>
      <c r="CR88" s="236">
        <f>CP88+CQ88</f>
        <v/>
      </c>
      <c r="CS88" s="236">
        <f>CA88+CJ88</f>
        <v/>
      </c>
      <c r="CT88" s="236">
        <f>CB88+CK88</f>
        <v/>
      </c>
      <c r="CU88" s="236">
        <f>CS88+CT88</f>
        <v/>
      </c>
      <c r="CV88" s="239">
        <f>CU88-CR88</f>
        <v/>
      </c>
      <c r="CW88" s="237">
        <f>IF(CR88=0,"",CU88/CR88)</f>
        <v/>
      </c>
      <c r="CX88" s="33" t="n"/>
      <c r="CY88" s="233" t="n"/>
      <c r="CZ88" s="233" t="n"/>
      <c r="DA88" s="233">
        <f>CY88+CZ88</f>
        <v/>
      </c>
      <c r="DB88" s="233" t="n"/>
      <c r="DC88" s="233" t="n"/>
      <c r="DD88" s="233">
        <f>DB88+DC88</f>
        <v/>
      </c>
      <c r="DE88" s="238">
        <f>DD88-DA88</f>
        <v/>
      </c>
      <c r="DF88" s="235">
        <f>IF(DA88=0,"",DD88/DA88)</f>
        <v/>
      </c>
      <c r="DG88" s="26" t="n"/>
      <c r="DH88" s="236">
        <f>CP88+CY88</f>
        <v/>
      </c>
      <c r="DI88" s="236">
        <f>CQ88+CZ88</f>
        <v/>
      </c>
      <c r="DJ88" s="236">
        <f>DH88+DI88</f>
        <v/>
      </c>
      <c r="DK88" s="236">
        <f>CS88+DB88</f>
        <v/>
      </c>
      <c r="DL88" s="236">
        <f>CT88+DC88</f>
        <v/>
      </c>
      <c r="DM88" s="236">
        <f>DK88+DL88</f>
        <v/>
      </c>
      <c r="DN88" s="239">
        <f>DM88-DJ88</f>
        <v/>
      </c>
      <c r="DO88" s="237">
        <f>IF(DJ88=0,"",DM88/DJ88)</f>
        <v/>
      </c>
      <c r="DP88" s="33" t="n"/>
      <c r="DQ88" s="233" t="n"/>
      <c r="DR88" s="233" t="n"/>
      <c r="DS88" s="233">
        <f>DQ88+DR88</f>
        <v/>
      </c>
      <c r="DT88" s="233" t="n"/>
      <c r="DU88" s="233" t="n"/>
      <c r="DV88" s="233">
        <f>DT88+DU88</f>
        <v/>
      </c>
      <c r="DW88" s="238">
        <f>DV88-DS88</f>
        <v/>
      </c>
      <c r="DX88" s="235">
        <f>IF(DS88=0,"",DV88/DS88)</f>
        <v/>
      </c>
      <c r="DY88" s="26" t="n"/>
      <c r="DZ88" s="236">
        <f>DH88+DQ88</f>
        <v/>
      </c>
      <c r="EA88" s="236">
        <f>DI88+DR88</f>
        <v/>
      </c>
      <c r="EB88" s="236">
        <f>DZ88+EA88</f>
        <v/>
      </c>
      <c r="EC88" s="236">
        <f>DK88+DT88</f>
        <v/>
      </c>
      <c r="ED88" s="236">
        <f>DL88+DU88</f>
        <v/>
      </c>
      <c r="EE88" s="236">
        <f>EC88+ED88</f>
        <v/>
      </c>
      <c r="EF88" s="239">
        <f>EE88-EB88</f>
        <v/>
      </c>
      <c r="EG88" s="237">
        <f>IF(EB88=0,"",EE88/EB88)</f>
        <v/>
      </c>
      <c r="EH88" s="33" t="n"/>
      <c r="EI88" s="233" t="n"/>
      <c r="EJ88" s="233" t="n"/>
      <c r="EK88" s="233">
        <f>EI88+EJ88</f>
        <v/>
      </c>
      <c r="EL88" s="233" t="n"/>
      <c r="EM88" s="233" t="n"/>
      <c r="EN88" s="233">
        <f>EL88+EM88</f>
        <v/>
      </c>
      <c r="EO88" s="238">
        <f>EN88-EK88</f>
        <v/>
      </c>
      <c r="EP88" s="235">
        <f>IF(EK88=0,"",EN88/EK88)</f>
        <v/>
      </c>
      <c r="EQ88" s="26" t="n"/>
      <c r="ER88" s="236">
        <f>DZ88+EI88</f>
        <v/>
      </c>
      <c r="ES88" s="236">
        <f>EA88+EJ88</f>
        <v/>
      </c>
      <c r="ET88" s="236">
        <f>ER88+ES88</f>
        <v/>
      </c>
      <c r="EU88" s="236">
        <f>EC88+EL88</f>
        <v/>
      </c>
      <c r="EV88" s="236">
        <f>ED88+EM88</f>
        <v/>
      </c>
      <c r="EW88" s="236">
        <f>EU88+EV88</f>
        <v/>
      </c>
      <c r="EX88" s="239">
        <f>EW88-ET88</f>
        <v/>
      </c>
      <c r="EY88" s="237">
        <f>IF(ET88=0,"",EW88/ET88)</f>
        <v/>
      </c>
      <c r="EZ88" s="33" t="n"/>
      <c r="FA88" s="233" t="n"/>
      <c r="FB88" s="233" t="n"/>
      <c r="FC88" s="233">
        <f>FA88+FB88</f>
        <v/>
      </c>
      <c r="FD88" s="233" t="n"/>
      <c r="FE88" s="233" t="n"/>
      <c r="FF88" s="233">
        <f>FD88+FE88</f>
        <v/>
      </c>
      <c r="FG88" s="238">
        <f>FF88-FC88</f>
        <v/>
      </c>
      <c r="FH88" s="235">
        <f>IF(FC88=0,"",FF88/FC88)</f>
        <v/>
      </c>
      <c r="FI88" s="26" t="n"/>
      <c r="FJ88" s="236">
        <f>ER88+FA88</f>
        <v/>
      </c>
      <c r="FK88" s="236">
        <f>ES88+FB88</f>
        <v/>
      </c>
      <c r="FL88" s="236">
        <f>FJ88+FK88</f>
        <v/>
      </c>
      <c r="FM88" s="236">
        <f>EU88+FD88</f>
        <v/>
      </c>
      <c r="FN88" s="236">
        <f>EV88+FE88</f>
        <v/>
      </c>
      <c r="FO88" s="236">
        <f>FM88+FN88</f>
        <v/>
      </c>
      <c r="FP88" s="239">
        <f>FO88-FL88</f>
        <v/>
      </c>
      <c r="FQ88" s="237">
        <f>IF(FL88=0,"",FO88/FL88)</f>
        <v/>
      </c>
      <c r="FR88" s="33" t="n"/>
      <c r="FS88" s="233" t="n"/>
      <c r="FT88" s="233" t="n"/>
      <c r="FU88" s="233">
        <f>FS88+FT88</f>
        <v/>
      </c>
      <c r="FV88" s="233" t="n"/>
      <c r="FW88" s="233" t="n"/>
      <c r="FX88" s="233">
        <f>FV88+FW88</f>
        <v/>
      </c>
      <c r="FY88" s="238">
        <f>FX88-FU88</f>
        <v/>
      </c>
      <c r="FZ88" s="235">
        <f>IF(FU88=0,"",FX88/FU88)</f>
        <v/>
      </c>
      <c r="GA88" s="26" t="n"/>
      <c r="GB88" s="236">
        <f>FJ88+FS88</f>
        <v/>
      </c>
      <c r="GC88" s="236">
        <f>FK88+FT88</f>
        <v/>
      </c>
      <c r="GD88" s="236">
        <f>GB88+GC88</f>
        <v/>
      </c>
      <c r="GE88" s="236">
        <f>FM88+FV88</f>
        <v/>
      </c>
      <c r="GF88" s="236">
        <f>FN88+FW88</f>
        <v/>
      </c>
      <c r="GG88" s="236">
        <f>GE88+GF88</f>
        <v/>
      </c>
      <c r="GH88" s="239">
        <f>GG88-GD88</f>
        <v/>
      </c>
      <c r="GI88" s="237">
        <f>IF(GD88=0,"",GG88/GD88)</f>
        <v/>
      </c>
      <c r="GJ88" s="33" t="n"/>
      <c r="GK88" s="233" t="n"/>
      <c r="GL88" s="233" t="n"/>
      <c r="GM88" s="233">
        <f>GK88+GL88</f>
        <v/>
      </c>
      <c r="GN88" s="233" t="n"/>
      <c r="GO88" s="233" t="n"/>
      <c r="GP88" s="233">
        <f>GN88+GO88</f>
        <v/>
      </c>
      <c r="GQ88" s="238">
        <f>GP88-GM88</f>
        <v/>
      </c>
      <c r="GR88" s="235">
        <f>IF(GM88=0,"",GP88/GM88)</f>
        <v/>
      </c>
      <c r="GS88" s="26" t="n"/>
      <c r="GT88" s="236">
        <f>GB88+GK88</f>
        <v/>
      </c>
      <c r="GU88" s="236">
        <f>GC88+GL88</f>
        <v/>
      </c>
      <c r="GV88" s="236">
        <f>GT88+GU88</f>
        <v/>
      </c>
      <c r="GW88" s="236">
        <f>GE88+GN88</f>
        <v/>
      </c>
      <c r="GX88" s="236">
        <f>GF88+GO88</f>
        <v/>
      </c>
      <c r="GY88" s="236">
        <f>GW88+GX88</f>
        <v/>
      </c>
      <c r="GZ88" s="239">
        <f>GY88-GV88</f>
        <v/>
      </c>
      <c r="HA88" s="237">
        <f>IF(GV88=0,"",GY88/GV88)</f>
        <v/>
      </c>
      <c r="HB88" s="33" t="n"/>
      <c r="HC88" s="233">
        <f>GT88</f>
        <v/>
      </c>
      <c r="HD88" s="233">
        <f>GU88</f>
        <v/>
      </c>
      <c r="HE88" s="233">
        <f>HC88+HD88</f>
        <v/>
      </c>
    </row>
    <row r="89" ht="15" customHeight="1" s="150">
      <c r="A89" s="18" t="n"/>
      <c r="B89" s="18" t="n"/>
      <c r="C89" s="18" t="n"/>
      <c r="D89" s="227">
        <f>D90</f>
        <v/>
      </c>
      <c r="E89" s="227">
        <f>E90</f>
        <v/>
      </c>
      <c r="F89" s="227">
        <f>D89+E89</f>
        <v/>
      </c>
      <c r="G89" s="227">
        <f>G90</f>
        <v/>
      </c>
      <c r="H89" s="227">
        <f>H90</f>
        <v/>
      </c>
      <c r="I89" s="227">
        <f>G89+H89</f>
        <v/>
      </c>
      <c r="J89" s="228">
        <f>I89-F89</f>
        <v/>
      </c>
      <c r="K89" s="229">
        <f>IF(F89=0,"",I89/F89)</f>
        <v/>
      </c>
      <c r="L89" s="18" t="n"/>
      <c r="M89" s="227">
        <f>M90</f>
        <v/>
      </c>
      <c r="N89" s="227">
        <f>N90</f>
        <v/>
      </c>
      <c r="O89" s="227">
        <f>M89+N89</f>
        <v/>
      </c>
      <c r="P89" s="227">
        <f>P90</f>
        <v/>
      </c>
      <c r="Q89" s="227">
        <f>Q90</f>
        <v/>
      </c>
      <c r="R89" s="227">
        <f>P89+Q89</f>
        <v/>
      </c>
      <c r="S89" s="228">
        <f>R89-O89</f>
        <v/>
      </c>
      <c r="T89" s="229">
        <f>IF(O89=0,"",R89/O89)</f>
        <v/>
      </c>
      <c r="U89" s="18" t="n"/>
      <c r="V89" s="230">
        <f>V90</f>
        <v/>
      </c>
      <c r="W89" s="230">
        <f>W90</f>
        <v/>
      </c>
      <c r="X89" s="230">
        <f>V89+W89</f>
        <v/>
      </c>
      <c r="Y89" s="230">
        <f>Y90</f>
        <v/>
      </c>
      <c r="Z89" s="230">
        <f>Z90</f>
        <v/>
      </c>
      <c r="AA89" s="230">
        <f>Y89+Z89</f>
        <v/>
      </c>
      <c r="AB89" s="231">
        <f>AA89-X89</f>
        <v/>
      </c>
      <c r="AC89" s="232">
        <f>IF(X89=0,"",AA89/X89)</f>
        <v/>
      </c>
      <c r="AD89" s="25" t="n"/>
      <c r="AE89" s="227">
        <f>AE90</f>
        <v/>
      </c>
      <c r="AF89" s="227">
        <f>AF90</f>
        <v/>
      </c>
      <c r="AG89" s="227">
        <f>AE89+AF89</f>
        <v/>
      </c>
      <c r="AH89" s="227">
        <f>AH90</f>
        <v/>
      </c>
      <c r="AI89" s="227">
        <f>AI90</f>
        <v/>
      </c>
      <c r="AJ89" s="227">
        <f>AH89+AI89</f>
        <v/>
      </c>
      <c r="AK89" s="228">
        <f>AJ89-AG89</f>
        <v/>
      </c>
      <c r="AL89" s="229">
        <f>IF(AG89=0,"",AJ89/AG89)</f>
        <v/>
      </c>
      <c r="AM89" s="18" t="n"/>
      <c r="AN89" s="230">
        <f>AN90</f>
        <v/>
      </c>
      <c r="AO89" s="230">
        <f>AO90</f>
        <v/>
      </c>
      <c r="AP89" s="230">
        <f>AN89+AO89</f>
        <v/>
      </c>
      <c r="AQ89" s="230">
        <f>AQ90</f>
        <v/>
      </c>
      <c r="AR89" s="230">
        <f>AR90</f>
        <v/>
      </c>
      <c r="AS89" s="230">
        <f>AQ89+AR89</f>
        <v/>
      </c>
      <c r="AT89" s="231">
        <f>AS89-AP89</f>
        <v/>
      </c>
      <c r="AU89" s="232">
        <f>IF(AP89=0,"",AS89/AP89)</f>
        <v/>
      </c>
      <c r="AV89" s="25" t="n"/>
      <c r="AW89" s="227">
        <f>AW90</f>
        <v/>
      </c>
      <c r="AX89" s="227">
        <f>AX90</f>
        <v/>
      </c>
      <c r="AY89" s="227">
        <f>AW89+AX89</f>
        <v/>
      </c>
      <c r="AZ89" s="227">
        <f>AZ90</f>
        <v/>
      </c>
      <c r="BA89" s="227">
        <f>BA90</f>
        <v/>
      </c>
      <c r="BB89" s="227">
        <f>AZ89+BA89</f>
        <v/>
      </c>
      <c r="BC89" s="228">
        <f>BB89-AY89</f>
        <v/>
      </c>
      <c r="BD89" s="229">
        <f>IF(AY89=0,"",BB89/AY89)</f>
        <v/>
      </c>
      <c r="BE89" s="18" t="n"/>
      <c r="BF89" s="230">
        <f>BF90</f>
        <v/>
      </c>
      <c r="BG89" s="230">
        <f>BG90</f>
        <v/>
      </c>
      <c r="BH89" s="230">
        <f>BF89+BG89</f>
        <v/>
      </c>
      <c r="BI89" s="230">
        <f>BI90</f>
        <v/>
      </c>
      <c r="BJ89" s="230">
        <f>BJ90</f>
        <v/>
      </c>
      <c r="BK89" s="230">
        <f>BI89+BJ89</f>
        <v/>
      </c>
      <c r="BL89" s="231">
        <f>BK89-BH89</f>
        <v/>
      </c>
      <c r="BM89" s="232">
        <f>IF(BH89=0,"",BK89/BH89)</f>
        <v/>
      </c>
      <c r="BN89" s="25" t="n"/>
      <c r="BO89" s="227">
        <f>BO90</f>
        <v/>
      </c>
      <c r="BP89" s="227">
        <f>BP90</f>
        <v/>
      </c>
      <c r="BQ89" s="227">
        <f>BO89+BP89</f>
        <v/>
      </c>
      <c r="BR89" s="227">
        <f>BR90</f>
        <v/>
      </c>
      <c r="BS89" s="227">
        <f>BS90</f>
        <v/>
      </c>
      <c r="BT89" s="227">
        <f>BR89+BS89</f>
        <v/>
      </c>
      <c r="BU89" s="228">
        <f>BT89-BQ89</f>
        <v/>
      </c>
      <c r="BV89" s="229">
        <f>IF(BQ89=0,"",BT89/BQ89)</f>
        <v/>
      </c>
      <c r="BW89" s="18" t="n"/>
      <c r="BX89" s="230">
        <f>BX90</f>
        <v/>
      </c>
      <c r="BY89" s="230">
        <f>BY90</f>
        <v/>
      </c>
      <c r="BZ89" s="230">
        <f>BX89+BY89</f>
        <v/>
      </c>
      <c r="CA89" s="230">
        <f>CA90</f>
        <v/>
      </c>
      <c r="CB89" s="230">
        <f>CB90</f>
        <v/>
      </c>
      <c r="CC89" s="230">
        <f>CA89+CB89</f>
        <v/>
      </c>
      <c r="CD89" s="231">
        <f>CC89-BZ89</f>
        <v/>
      </c>
      <c r="CE89" s="232">
        <f>IF(BZ89=0,"",CC89/BZ89)</f>
        <v/>
      </c>
      <c r="CF89" s="25" t="n"/>
      <c r="CG89" s="227">
        <f>CG90</f>
        <v/>
      </c>
      <c r="CH89" s="227">
        <f>CH90</f>
        <v/>
      </c>
      <c r="CI89" s="227">
        <f>CG89+CH89</f>
        <v/>
      </c>
      <c r="CJ89" s="227">
        <f>CJ90</f>
        <v/>
      </c>
      <c r="CK89" s="227">
        <f>CK90</f>
        <v/>
      </c>
      <c r="CL89" s="227">
        <f>CJ89+CK89</f>
        <v/>
      </c>
      <c r="CM89" s="228">
        <f>CL89-CI89</f>
        <v/>
      </c>
      <c r="CN89" s="229">
        <f>IF(CI89=0,"",CL89/CI89)</f>
        <v/>
      </c>
      <c r="CO89" s="18" t="n"/>
      <c r="CP89" s="230">
        <f>CP90</f>
        <v/>
      </c>
      <c r="CQ89" s="230">
        <f>CQ90</f>
        <v/>
      </c>
      <c r="CR89" s="230">
        <f>CP89+CQ89</f>
        <v/>
      </c>
      <c r="CS89" s="230">
        <f>CS90</f>
        <v/>
      </c>
      <c r="CT89" s="230">
        <f>CT90</f>
        <v/>
      </c>
      <c r="CU89" s="230">
        <f>CS89+CT89</f>
        <v/>
      </c>
      <c r="CV89" s="231">
        <f>CU89-CR89</f>
        <v/>
      </c>
      <c r="CW89" s="232">
        <f>IF(CR89=0,"",CU89/CR89)</f>
        <v/>
      </c>
      <c r="CX89" s="25" t="n"/>
      <c r="CY89" s="227">
        <f>CY90</f>
        <v/>
      </c>
      <c r="CZ89" s="227">
        <f>CZ90</f>
        <v/>
      </c>
      <c r="DA89" s="227">
        <f>CY89+CZ89</f>
        <v/>
      </c>
      <c r="DB89" s="227">
        <f>DB90</f>
        <v/>
      </c>
      <c r="DC89" s="227">
        <f>DC90</f>
        <v/>
      </c>
      <c r="DD89" s="227">
        <f>DB89+DC89</f>
        <v/>
      </c>
      <c r="DE89" s="228">
        <f>DD89-DA89</f>
        <v/>
      </c>
      <c r="DF89" s="229">
        <f>IF(DA89=0,"",DD89/DA89)</f>
        <v/>
      </c>
      <c r="DG89" s="18" t="n"/>
      <c r="DH89" s="230">
        <f>DH90</f>
        <v/>
      </c>
      <c r="DI89" s="230">
        <f>DI90</f>
        <v/>
      </c>
      <c r="DJ89" s="230">
        <f>DH89+DI89</f>
        <v/>
      </c>
      <c r="DK89" s="230">
        <f>DK90</f>
        <v/>
      </c>
      <c r="DL89" s="230">
        <f>DL90</f>
        <v/>
      </c>
      <c r="DM89" s="230">
        <f>DK89+DL89</f>
        <v/>
      </c>
      <c r="DN89" s="231">
        <f>DM89-DJ89</f>
        <v/>
      </c>
      <c r="DO89" s="232">
        <f>IF(DJ89=0,"",DM89/DJ89)</f>
        <v/>
      </c>
      <c r="DP89" s="25" t="n"/>
      <c r="DQ89" s="227">
        <f>DQ90</f>
        <v/>
      </c>
      <c r="DR89" s="227">
        <f>DR90</f>
        <v/>
      </c>
      <c r="DS89" s="227">
        <f>DQ89+DR89</f>
        <v/>
      </c>
      <c r="DT89" s="227">
        <f>DT90</f>
        <v/>
      </c>
      <c r="DU89" s="227">
        <f>DU90</f>
        <v/>
      </c>
      <c r="DV89" s="227">
        <f>DT89+DU89</f>
        <v/>
      </c>
      <c r="DW89" s="228">
        <f>DV89-DS89</f>
        <v/>
      </c>
      <c r="DX89" s="229">
        <f>IF(DS89=0,"",DV89/DS89)</f>
        <v/>
      </c>
      <c r="DY89" s="18" t="n"/>
      <c r="DZ89" s="230">
        <f>DZ90</f>
        <v/>
      </c>
      <c r="EA89" s="230">
        <f>EA90</f>
        <v/>
      </c>
      <c r="EB89" s="230">
        <f>DZ89+EA89</f>
        <v/>
      </c>
      <c r="EC89" s="230">
        <f>EC90</f>
        <v/>
      </c>
      <c r="ED89" s="230">
        <f>ED90</f>
        <v/>
      </c>
      <c r="EE89" s="230">
        <f>EC89+ED89</f>
        <v/>
      </c>
      <c r="EF89" s="231">
        <f>EE89-EB89</f>
        <v/>
      </c>
      <c r="EG89" s="232">
        <f>IF(EB89=0,"",EE89/EB89)</f>
        <v/>
      </c>
      <c r="EH89" s="25" t="n"/>
      <c r="EI89" s="227">
        <f>EI90</f>
        <v/>
      </c>
      <c r="EJ89" s="227">
        <f>EJ90</f>
        <v/>
      </c>
      <c r="EK89" s="227">
        <f>EI89+EJ89</f>
        <v/>
      </c>
      <c r="EL89" s="227">
        <f>EL90</f>
        <v/>
      </c>
      <c r="EM89" s="227">
        <f>EM90</f>
        <v/>
      </c>
      <c r="EN89" s="227">
        <f>EL89+EM89</f>
        <v/>
      </c>
      <c r="EO89" s="228">
        <f>EN89-EK89</f>
        <v/>
      </c>
      <c r="EP89" s="229">
        <f>IF(EK89=0,"",EN89/EK89)</f>
        <v/>
      </c>
      <c r="EQ89" s="18" t="n"/>
      <c r="ER89" s="230">
        <f>ER90</f>
        <v/>
      </c>
      <c r="ES89" s="230">
        <f>ES90</f>
        <v/>
      </c>
      <c r="ET89" s="230">
        <f>ER89+ES89</f>
        <v/>
      </c>
      <c r="EU89" s="230">
        <f>EU90</f>
        <v/>
      </c>
      <c r="EV89" s="230">
        <f>EV90</f>
        <v/>
      </c>
      <c r="EW89" s="230">
        <f>EU89+EV89</f>
        <v/>
      </c>
      <c r="EX89" s="231">
        <f>EW89-ET89</f>
        <v/>
      </c>
      <c r="EY89" s="232">
        <f>IF(ET89=0,"",EW89/ET89)</f>
        <v/>
      </c>
      <c r="EZ89" s="25" t="n"/>
      <c r="FA89" s="227">
        <f>FA90</f>
        <v/>
      </c>
      <c r="FB89" s="227">
        <f>FB90</f>
        <v/>
      </c>
      <c r="FC89" s="227">
        <f>FA89+FB89</f>
        <v/>
      </c>
      <c r="FD89" s="227">
        <f>FD90</f>
        <v/>
      </c>
      <c r="FE89" s="227">
        <f>FE90</f>
        <v/>
      </c>
      <c r="FF89" s="227">
        <f>FD89+FE89</f>
        <v/>
      </c>
      <c r="FG89" s="228">
        <f>FF89-FC89</f>
        <v/>
      </c>
      <c r="FH89" s="229">
        <f>IF(FC89=0,"",FF89/FC89)</f>
        <v/>
      </c>
      <c r="FI89" s="18" t="n"/>
      <c r="FJ89" s="230">
        <f>FJ90</f>
        <v/>
      </c>
      <c r="FK89" s="230">
        <f>FK90</f>
        <v/>
      </c>
      <c r="FL89" s="230">
        <f>FJ89+FK89</f>
        <v/>
      </c>
      <c r="FM89" s="230">
        <f>FM90</f>
        <v/>
      </c>
      <c r="FN89" s="230">
        <f>FN90</f>
        <v/>
      </c>
      <c r="FO89" s="230">
        <f>FM89+FN89</f>
        <v/>
      </c>
      <c r="FP89" s="231">
        <f>FO89-FL89</f>
        <v/>
      </c>
      <c r="FQ89" s="232">
        <f>IF(FL89=0,"",FO89/FL89)</f>
        <v/>
      </c>
      <c r="FR89" s="25" t="n"/>
      <c r="FS89" s="227">
        <f>FS90</f>
        <v/>
      </c>
      <c r="FT89" s="227">
        <f>FT90</f>
        <v/>
      </c>
      <c r="FU89" s="227">
        <f>FS89+FT89</f>
        <v/>
      </c>
      <c r="FV89" s="227">
        <f>FV90</f>
        <v/>
      </c>
      <c r="FW89" s="227">
        <f>FW90</f>
        <v/>
      </c>
      <c r="FX89" s="227">
        <f>FV89+FW89</f>
        <v/>
      </c>
      <c r="FY89" s="228">
        <f>FX89-FU89</f>
        <v/>
      </c>
      <c r="FZ89" s="229">
        <f>IF(FU89=0,"",FX89/FU89)</f>
        <v/>
      </c>
      <c r="GA89" s="18" t="n"/>
      <c r="GB89" s="230">
        <f>GB90</f>
        <v/>
      </c>
      <c r="GC89" s="230">
        <f>GC90</f>
        <v/>
      </c>
      <c r="GD89" s="230">
        <f>GB89+GC89</f>
        <v/>
      </c>
      <c r="GE89" s="230">
        <f>GE90</f>
        <v/>
      </c>
      <c r="GF89" s="230">
        <f>GF90</f>
        <v/>
      </c>
      <c r="GG89" s="230">
        <f>GE89+GF89</f>
        <v/>
      </c>
      <c r="GH89" s="231">
        <f>GG89-GD89</f>
        <v/>
      </c>
      <c r="GI89" s="232">
        <f>IF(GD89=0,"",GG89/GD89)</f>
        <v/>
      </c>
      <c r="GJ89" s="25" t="n"/>
      <c r="GK89" s="227">
        <f>GK90</f>
        <v/>
      </c>
      <c r="GL89" s="227">
        <f>GL90</f>
        <v/>
      </c>
      <c r="GM89" s="227">
        <f>GK89+GL89</f>
        <v/>
      </c>
      <c r="GN89" s="227">
        <f>GN90</f>
        <v/>
      </c>
      <c r="GO89" s="227">
        <f>GO90</f>
        <v/>
      </c>
      <c r="GP89" s="227">
        <f>GN89+GO89</f>
        <v/>
      </c>
      <c r="GQ89" s="228">
        <f>GP89-GM89</f>
        <v/>
      </c>
      <c r="GR89" s="229">
        <f>IF(GM89=0,"",GP89/GM89)</f>
        <v/>
      </c>
      <c r="GS89" s="18" t="n"/>
      <c r="GT89" s="230">
        <f>GT90</f>
        <v/>
      </c>
      <c r="GU89" s="230">
        <f>GU90</f>
        <v/>
      </c>
      <c r="GV89" s="230">
        <f>GT89+GU89</f>
        <v/>
      </c>
      <c r="GW89" s="230">
        <f>GW90</f>
        <v/>
      </c>
      <c r="GX89" s="230">
        <f>GX90</f>
        <v/>
      </c>
      <c r="GY89" s="230">
        <f>GW89+GX89</f>
        <v/>
      </c>
      <c r="GZ89" s="231">
        <f>GY89-GV89</f>
        <v/>
      </c>
      <c r="HA89" s="232">
        <f>IF(GV89=0,"",GY89/GV89)</f>
        <v/>
      </c>
      <c r="HB89" s="25" t="n"/>
      <c r="HC89" s="227">
        <f>GT89</f>
        <v/>
      </c>
      <c r="HD89" s="227">
        <f>GU89</f>
        <v/>
      </c>
      <c r="HE89" s="227">
        <f>HC89+HD89</f>
        <v/>
      </c>
    </row>
    <row r="90" outlineLevel="1" ht="15" customHeight="1" s="150">
      <c r="A90" s="26" t="n"/>
      <c r="B90" s="26" t="n"/>
      <c r="C90" s="26" t="n"/>
      <c r="D90" s="233" t="n"/>
      <c r="E90" s="233" t="n"/>
      <c r="F90" s="233">
        <f>D90+E90</f>
        <v/>
      </c>
      <c r="G90" s="233" t="n"/>
      <c r="H90" s="233" t="n"/>
      <c r="I90" s="233">
        <f>G90+H90</f>
        <v/>
      </c>
      <c r="J90" s="238">
        <f>I90-F90</f>
        <v/>
      </c>
      <c r="K90" s="235">
        <f>IF(F90=0,"",I90/F90)</f>
        <v/>
      </c>
      <c r="L90" s="26" t="n"/>
      <c r="M90" s="233" t="n"/>
      <c r="N90" s="233" t="n"/>
      <c r="O90" s="233">
        <f>M90+N90</f>
        <v/>
      </c>
      <c r="P90" s="233" t="n"/>
      <c r="Q90" s="233" t="n"/>
      <c r="R90" s="233">
        <f>P90+Q90</f>
        <v/>
      </c>
      <c r="S90" s="238">
        <f>R90-O90</f>
        <v/>
      </c>
      <c r="T90" s="235">
        <f>IF(O90=0,"",R90/O90)</f>
        <v/>
      </c>
      <c r="U90" s="26" t="n"/>
      <c r="V90" s="236">
        <f>D90+M90</f>
        <v/>
      </c>
      <c r="W90" s="236">
        <f>E90+N90</f>
        <v/>
      </c>
      <c r="X90" s="236">
        <f>V90+W90</f>
        <v/>
      </c>
      <c r="Y90" s="236">
        <f>G90+P90</f>
        <v/>
      </c>
      <c r="Z90" s="236">
        <f>H90+Q90</f>
        <v/>
      </c>
      <c r="AA90" s="236">
        <f>Y90+Z90</f>
        <v/>
      </c>
      <c r="AB90" s="239">
        <f>AA90-X90</f>
        <v/>
      </c>
      <c r="AC90" s="237">
        <f>IF(X90=0,"",AA90/X90)</f>
        <v/>
      </c>
      <c r="AD90" s="33" t="n"/>
      <c r="AE90" s="233" t="n"/>
      <c r="AF90" s="233" t="n"/>
      <c r="AG90" s="233">
        <f>AE90+AF90</f>
        <v/>
      </c>
      <c r="AH90" s="233" t="n"/>
      <c r="AI90" s="233" t="n"/>
      <c r="AJ90" s="233">
        <f>AH90+AI90</f>
        <v/>
      </c>
      <c r="AK90" s="238">
        <f>AJ90-AG90</f>
        <v/>
      </c>
      <c r="AL90" s="235">
        <f>IF(AG90=0,"",AJ90/AG90)</f>
        <v/>
      </c>
      <c r="AM90" s="26" t="n"/>
      <c r="AN90" s="236">
        <f>V90+AE90</f>
        <v/>
      </c>
      <c r="AO90" s="236">
        <f>W90+AF90</f>
        <v/>
      </c>
      <c r="AP90" s="236">
        <f>AN90+AO90</f>
        <v/>
      </c>
      <c r="AQ90" s="236">
        <f>Y90+AH90</f>
        <v/>
      </c>
      <c r="AR90" s="236">
        <f>Z90+AI90</f>
        <v/>
      </c>
      <c r="AS90" s="236">
        <f>AQ90+AR90</f>
        <v/>
      </c>
      <c r="AT90" s="239">
        <f>AS90-AP90</f>
        <v/>
      </c>
      <c r="AU90" s="237">
        <f>IF(AP90=0,"",AS90/AP90)</f>
        <v/>
      </c>
      <c r="AV90" s="33" t="n"/>
      <c r="AW90" s="233" t="n"/>
      <c r="AX90" s="233" t="n"/>
      <c r="AY90" s="233">
        <f>AW90+AX90</f>
        <v/>
      </c>
      <c r="AZ90" s="233" t="n"/>
      <c r="BA90" s="233" t="n"/>
      <c r="BB90" s="233">
        <f>AZ90+BA90</f>
        <v/>
      </c>
      <c r="BC90" s="238">
        <f>BB90-AY90</f>
        <v/>
      </c>
      <c r="BD90" s="235">
        <f>IF(AY90=0,"",BB90/AY90)</f>
        <v/>
      </c>
      <c r="BE90" s="26" t="n"/>
      <c r="BF90" s="236">
        <f>AN90+AW90</f>
        <v/>
      </c>
      <c r="BG90" s="236">
        <f>AO90+AX90</f>
        <v/>
      </c>
      <c r="BH90" s="236">
        <f>BF90+BG90</f>
        <v/>
      </c>
      <c r="BI90" s="236">
        <f>AQ90+AZ90</f>
        <v/>
      </c>
      <c r="BJ90" s="236">
        <f>AR90+BA90</f>
        <v/>
      </c>
      <c r="BK90" s="236">
        <f>BI90+BJ90</f>
        <v/>
      </c>
      <c r="BL90" s="239">
        <f>BK90-BH90</f>
        <v/>
      </c>
      <c r="BM90" s="237">
        <f>IF(BH90=0,"",BK90/BH90)</f>
        <v/>
      </c>
      <c r="BN90" s="33" t="n"/>
      <c r="BO90" s="233" t="n"/>
      <c r="BP90" s="233" t="n"/>
      <c r="BQ90" s="233">
        <f>BO90+BP90</f>
        <v/>
      </c>
      <c r="BR90" s="233" t="n"/>
      <c r="BS90" s="233" t="n"/>
      <c r="BT90" s="233">
        <f>BR90+BS90</f>
        <v/>
      </c>
      <c r="BU90" s="238">
        <f>BT90-BQ90</f>
        <v/>
      </c>
      <c r="BV90" s="235">
        <f>IF(BQ90=0,"",BT90/BQ90)</f>
        <v/>
      </c>
      <c r="BW90" s="26" t="n"/>
      <c r="BX90" s="236">
        <f>BF90+BO90</f>
        <v/>
      </c>
      <c r="BY90" s="236">
        <f>BG90+BP90</f>
        <v/>
      </c>
      <c r="BZ90" s="236">
        <f>BX90+BY90</f>
        <v/>
      </c>
      <c r="CA90" s="236">
        <f>BI90+BR90</f>
        <v/>
      </c>
      <c r="CB90" s="236">
        <f>BJ90+BS90</f>
        <v/>
      </c>
      <c r="CC90" s="236">
        <f>CA90+CB90</f>
        <v/>
      </c>
      <c r="CD90" s="239">
        <f>CC90-BZ90</f>
        <v/>
      </c>
      <c r="CE90" s="237">
        <f>IF(BZ90=0,"",CC90/BZ90)</f>
        <v/>
      </c>
      <c r="CF90" s="33" t="n"/>
      <c r="CG90" s="233" t="n"/>
      <c r="CH90" s="233" t="n"/>
      <c r="CI90" s="233">
        <f>CG90+CH90</f>
        <v/>
      </c>
      <c r="CJ90" s="233" t="n"/>
      <c r="CK90" s="233" t="n"/>
      <c r="CL90" s="233">
        <f>CJ90+CK90</f>
        <v/>
      </c>
      <c r="CM90" s="238">
        <f>CL90-CI90</f>
        <v/>
      </c>
      <c r="CN90" s="235">
        <f>IF(CI90=0,"",CL90/CI90)</f>
        <v/>
      </c>
      <c r="CO90" s="26" t="n"/>
      <c r="CP90" s="236">
        <f>BX90+CG90</f>
        <v/>
      </c>
      <c r="CQ90" s="236">
        <f>BY90+CH90</f>
        <v/>
      </c>
      <c r="CR90" s="236">
        <f>CP90+CQ90</f>
        <v/>
      </c>
      <c r="CS90" s="236">
        <f>CA90+CJ90</f>
        <v/>
      </c>
      <c r="CT90" s="236">
        <f>CB90+CK90</f>
        <v/>
      </c>
      <c r="CU90" s="236">
        <f>CS90+CT90</f>
        <v/>
      </c>
      <c r="CV90" s="239">
        <f>CU90-CR90</f>
        <v/>
      </c>
      <c r="CW90" s="237">
        <f>IF(CR90=0,"",CU90/CR90)</f>
        <v/>
      </c>
      <c r="CX90" s="33" t="n"/>
      <c r="CY90" s="233" t="n"/>
      <c r="CZ90" s="233" t="n"/>
      <c r="DA90" s="233">
        <f>CY90+CZ90</f>
        <v/>
      </c>
      <c r="DB90" s="233" t="n"/>
      <c r="DC90" s="233" t="n"/>
      <c r="DD90" s="233">
        <f>DB90+DC90</f>
        <v/>
      </c>
      <c r="DE90" s="238">
        <f>DD90-DA90</f>
        <v/>
      </c>
      <c r="DF90" s="235">
        <f>IF(DA90=0,"",DD90/DA90)</f>
        <v/>
      </c>
      <c r="DG90" s="26" t="n"/>
      <c r="DH90" s="236">
        <f>CP90+CY90</f>
        <v/>
      </c>
      <c r="DI90" s="236">
        <f>CQ90+CZ90</f>
        <v/>
      </c>
      <c r="DJ90" s="236">
        <f>DH90+DI90</f>
        <v/>
      </c>
      <c r="DK90" s="236">
        <f>CS90+DB90</f>
        <v/>
      </c>
      <c r="DL90" s="236">
        <f>CT90+DC90</f>
        <v/>
      </c>
      <c r="DM90" s="236">
        <f>DK90+DL90</f>
        <v/>
      </c>
      <c r="DN90" s="239">
        <f>DM90-DJ90</f>
        <v/>
      </c>
      <c r="DO90" s="237">
        <f>IF(DJ90=0,"",DM90/DJ90)</f>
        <v/>
      </c>
      <c r="DP90" s="33" t="n"/>
      <c r="DQ90" s="233" t="n"/>
      <c r="DR90" s="233" t="n"/>
      <c r="DS90" s="233">
        <f>DQ90+DR90</f>
        <v/>
      </c>
      <c r="DT90" s="233" t="n"/>
      <c r="DU90" s="233" t="n"/>
      <c r="DV90" s="233">
        <f>DT90+DU90</f>
        <v/>
      </c>
      <c r="DW90" s="238">
        <f>DV90-DS90</f>
        <v/>
      </c>
      <c r="DX90" s="235">
        <f>IF(DS90=0,"",DV90/DS90)</f>
        <v/>
      </c>
      <c r="DY90" s="26" t="n"/>
      <c r="DZ90" s="236">
        <f>DH90+DQ90</f>
        <v/>
      </c>
      <c r="EA90" s="236">
        <f>DI90+DR90</f>
        <v/>
      </c>
      <c r="EB90" s="236">
        <f>DZ90+EA90</f>
        <v/>
      </c>
      <c r="EC90" s="236">
        <f>DK90+DT90</f>
        <v/>
      </c>
      <c r="ED90" s="236">
        <f>DL90+DU90</f>
        <v/>
      </c>
      <c r="EE90" s="236">
        <f>EC90+ED90</f>
        <v/>
      </c>
      <c r="EF90" s="239">
        <f>EE90-EB90</f>
        <v/>
      </c>
      <c r="EG90" s="237">
        <f>IF(EB90=0,"",EE90/EB90)</f>
        <v/>
      </c>
      <c r="EH90" s="33" t="n"/>
      <c r="EI90" s="233" t="n"/>
      <c r="EJ90" s="233" t="n"/>
      <c r="EK90" s="233">
        <f>EI90+EJ90</f>
        <v/>
      </c>
      <c r="EL90" s="233" t="n"/>
      <c r="EM90" s="233" t="n"/>
      <c r="EN90" s="233">
        <f>EL90+EM90</f>
        <v/>
      </c>
      <c r="EO90" s="238">
        <f>EN90-EK90</f>
        <v/>
      </c>
      <c r="EP90" s="235">
        <f>IF(EK90=0,"",EN90/EK90)</f>
        <v/>
      </c>
      <c r="EQ90" s="26" t="n"/>
      <c r="ER90" s="236">
        <f>DZ90+EI90</f>
        <v/>
      </c>
      <c r="ES90" s="236">
        <f>EA90+EJ90</f>
        <v/>
      </c>
      <c r="ET90" s="236">
        <f>ER90+ES90</f>
        <v/>
      </c>
      <c r="EU90" s="236">
        <f>EC90+EL90</f>
        <v/>
      </c>
      <c r="EV90" s="236">
        <f>ED90+EM90</f>
        <v/>
      </c>
      <c r="EW90" s="236">
        <f>EU90+EV90</f>
        <v/>
      </c>
      <c r="EX90" s="239">
        <f>EW90-ET90</f>
        <v/>
      </c>
      <c r="EY90" s="237">
        <f>IF(ET90=0,"",EW90/ET90)</f>
        <v/>
      </c>
      <c r="EZ90" s="33" t="n"/>
      <c r="FA90" s="233" t="n"/>
      <c r="FB90" s="233" t="n"/>
      <c r="FC90" s="233">
        <f>FA90+FB90</f>
        <v/>
      </c>
      <c r="FD90" s="233" t="n"/>
      <c r="FE90" s="233" t="n"/>
      <c r="FF90" s="233">
        <f>FD90+FE90</f>
        <v/>
      </c>
      <c r="FG90" s="238">
        <f>FF90-FC90</f>
        <v/>
      </c>
      <c r="FH90" s="235">
        <f>IF(FC90=0,"",FF90/FC90)</f>
        <v/>
      </c>
      <c r="FI90" s="26" t="n"/>
      <c r="FJ90" s="236">
        <f>ER90+FA90</f>
        <v/>
      </c>
      <c r="FK90" s="236">
        <f>ES90+FB90</f>
        <v/>
      </c>
      <c r="FL90" s="236">
        <f>FJ90+FK90</f>
        <v/>
      </c>
      <c r="FM90" s="236">
        <f>EU90+FD90</f>
        <v/>
      </c>
      <c r="FN90" s="236">
        <f>EV90+FE90</f>
        <v/>
      </c>
      <c r="FO90" s="236">
        <f>FM90+FN90</f>
        <v/>
      </c>
      <c r="FP90" s="239">
        <f>FO90-FL90</f>
        <v/>
      </c>
      <c r="FQ90" s="237">
        <f>IF(FL90=0,"",FO90/FL90)</f>
        <v/>
      </c>
      <c r="FR90" s="33" t="n"/>
      <c r="FS90" s="233" t="n"/>
      <c r="FT90" s="233" t="n"/>
      <c r="FU90" s="233">
        <f>FS90+FT90</f>
        <v/>
      </c>
      <c r="FV90" s="233" t="n"/>
      <c r="FW90" s="233" t="n"/>
      <c r="FX90" s="233">
        <f>FV90+FW90</f>
        <v/>
      </c>
      <c r="FY90" s="238">
        <f>FX90-FU90</f>
        <v/>
      </c>
      <c r="FZ90" s="235">
        <f>IF(FU90=0,"",FX90/FU90)</f>
        <v/>
      </c>
      <c r="GA90" s="26" t="n"/>
      <c r="GB90" s="236">
        <f>FJ90+FS90</f>
        <v/>
      </c>
      <c r="GC90" s="236">
        <f>FK90+FT90</f>
        <v/>
      </c>
      <c r="GD90" s="236">
        <f>GB90+GC90</f>
        <v/>
      </c>
      <c r="GE90" s="236">
        <f>FM90+FV90</f>
        <v/>
      </c>
      <c r="GF90" s="236">
        <f>FN90+FW90</f>
        <v/>
      </c>
      <c r="GG90" s="236">
        <f>GE90+GF90</f>
        <v/>
      </c>
      <c r="GH90" s="239">
        <f>GG90-GD90</f>
        <v/>
      </c>
      <c r="GI90" s="237">
        <f>IF(GD90=0,"",GG90/GD90)</f>
        <v/>
      </c>
      <c r="GJ90" s="33" t="n"/>
      <c r="GK90" s="233" t="n"/>
      <c r="GL90" s="233" t="n"/>
      <c r="GM90" s="233">
        <f>GK90+GL90</f>
        <v/>
      </c>
      <c r="GN90" s="233" t="n"/>
      <c r="GO90" s="233" t="n"/>
      <c r="GP90" s="233">
        <f>GN90+GO90</f>
        <v/>
      </c>
      <c r="GQ90" s="238">
        <f>GP90-GM90</f>
        <v/>
      </c>
      <c r="GR90" s="235">
        <f>IF(GM90=0,"",GP90/GM90)</f>
        <v/>
      </c>
      <c r="GS90" s="26" t="n"/>
      <c r="GT90" s="236">
        <f>GB90+GK90</f>
        <v/>
      </c>
      <c r="GU90" s="236">
        <f>GC90+GL90</f>
        <v/>
      </c>
      <c r="GV90" s="236">
        <f>GT90+GU90</f>
        <v/>
      </c>
      <c r="GW90" s="236">
        <f>GE90+GN90</f>
        <v/>
      </c>
      <c r="GX90" s="236">
        <f>GF90+GO90</f>
        <v/>
      </c>
      <c r="GY90" s="236">
        <f>GW90+GX90</f>
        <v/>
      </c>
      <c r="GZ90" s="239">
        <f>GY90-GV90</f>
        <v/>
      </c>
      <c r="HA90" s="237">
        <f>IF(GV90=0,"",GY90/GV90)</f>
        <v/>
      </c>
      <c r="HB90" s="33" t="n"/>
      <c r="HC90" s="233">
        <f>GT90</f>
        <v/>
      </c>
      <c r="HD90" s="233">
        <f>GU90</f>
        <v/>
      </c>
      <c r="HE90" s="233">
        <f>HC90+HD90</f>
        <v/>
      </c>
    </row>
    <row r="91" ht="15" customHeight="1" s="150">
      <c r="A91" s="18" t="n"/>
      <c r="B91" s="18" t="n"/>
      <c r="C91" s="18" t="n"/>
      <c r="D91" s="227">
        <f>SUM(D92:D97)</f>
        <v/>
      </c>
      <c r="E91" s="227">
        <f>SUM(E92:E97)</f>
        <v/>
      </c>
      <c r="F91" s="227">
        <f>D91+E91</f>
        <v/>
      </c>
      <c r="G91" s="227">
        <f>SUM(G92:G97)</f>
        <v/>
      </c>
      <c r="H91" s="227">
        <f>SUM(H92:H97)</f>
        <v/>
      </c>
      <c r="I91" s="227">
        <f>G91+H91</f>
        <v/>
      </c>
      <c r="J91" s="228">
        <f>I91-F91</f>
        <v/>
      </c>
      <c r="K91" s="229">
        <f>IF(F91=0,"",I91/F91)</f>
        <v/>
      </c>
      <c r="L91" s="18" t="n"/>
      <c r="M91" s="227">
        <f>SUM(M92:M97)</f>
        <v/>
      </c>
      <c r="N91" s="227">
        <f>SUM(N92:N97)</f>
        <v/>
      </c>
      <c r="O91" s="227">
        <f>M91+N91</f>
        <v/>
      </c>
      <c r="P91" s="227">
        <f>SUM(P92:P97)</f>
        <v/>
      </c>
      <c r="Q91" s="227">
        <f>SUM(Q92:Q97)</f>
        <v/>
      </c>
      <c r="R91" s="227">
        <f>P91+Q91</f>
        <v/>
      </c>
      <c r="S91" s="228">
        <f>R91-O91</f>
        <v/>
      </c>
      <c r="T91" s="229">
        <f>IF(O91=0,"",R91/O91)</f>
        <v/>
      </c>
      <c r="U91" s="18" t="n"/>
      <c r="V91" s="230">
        <f>SUM(V92:V97)</f>
        <v/>
      </c>
      <c r="W91" s="230">
        <f>SUM(W92:W97)</f>
        <v/>
      </c>
      <c r="X91" s="230">
        <f>V91+W91</f>
        <v/>
      </c>
      <c r="Y91" s="230">
        <f>SUM(Y92:Y97)</f>
        <v/>
      </c>
      <c r="Z91" s="230">
        <f>SUM(Z92:Z97)</f>
        <v/>
      </c>
      <c r="AA91" s="230">
        <f>Y91+Z91</f>
        <v/>
      </c>
      <c r="AB91" s="231">
        <f>AA91-X91</f>
        <v/>
      </c>
      <c r="AC91" s="232">
        <f>IF(X91=0,"",AA91/X91)</f>
        <v/>
      </c>
      <c r="AD91" s="25" t="n"/>
      <c r="AE91" s="227">
        <f>SUM(AE92:AE97)</f>
        <v/>
      </c>
      <c r="AF91" s="227">
        <f>SUM(AF92:AF97)</f>
        <v/>
      </c>
      <c r="AG91" s="227">
        <f>AE91+AF91</f>
        <v/>
      </c>
      <c r="AH91" s="227">
        <f>SUM(AH92:AH97)</f>
        <v/>
      </c>
      <c r="AI91" s="227">
        <f>SUM(AI92:AI97)</f>
        <v/>
      </c>
      <c r="AJ91" s="227">
        <f>AH91+AI91</f>
        <v/>
      </c>
      <c r="AK91" s="228">
        <f>AJ91-AG91</f>
        <v/>
      </c>
      <c r="AL91" s="229">
        <f>IF(AG91=0,"",AJ91/AG91)</f>
        <v/>
      </c>
      <c r="AM91" s="18" t="n"/>
      <c r="AN91" s="230">
        <f>SUM(AN92:AN97)</f>
        <v/>
      </c>
      <c r="AO91" s="230">
        <f>SUM(AO92:AO97)</f>
        <v/>
      </c>
      <c r="AP91" s="230">
        <f>AN91+AO91</f>
        <v/>
      </c>
      <c r="AQ91" s="230">
        <f>SUM(AQ92:AQ97)</f>
        <v/>
      </c>
      <c r="AR91" s="230">
        <f>SUM(AR92:AR97)</f>
        <v/>
      </c>
      <c r="AS91" s="230">
        <f>AQ91+AR91</f>
        <v/>
      </c>
      <c r="AT91" s="231">
        <f>AS91-AP91</f>
        <v/>
      </c>
      <c r="AU91" s="232">
        <f>IF(AP91=0,"",AS91/AP91)</f>
        <v/>
      </c>
      <c r="AV91" s="25" t="n"/>
      <c r="AW91" s="227">
        <f>SUM(AW92:AW97)</f>
        <v/>
      </c>
      <c r="AX91" s="227">
        <f>SUM(AX92:AX97)</f>
        <v/>
      </c>
      <c r="AY91" s="227">
        <f>AW91+AX91</f>
        <v/>
      </c>
      <c r="AZ91" s="227">
        <f>SUM(AZ92:AZ97)</f>
        <v/>
      </c>
      <c r="BA91" s="227">
        <f>SUM(BA92:BA97)</f>
        <v/>
      </c>
      <c r="BB91" s="227">
        <f>AZ91+BA91</f>
        <v/>
      </c>
      <c r="BC91" s="228">
        <f>BB91-AY91</f>
        <v/>
      </c>
      <c r="BD91" s="229">
        <f>IF(AY91=0,"",BB91/AY91)</f>
        <v/>
      </c>
      <c r="BE91" s="18" t="n"/>
      <c r="BF91" s="230">
        <f>SUM(BF92:BF97)</f>
        <v/>
      </c>
      <c r="BG91" s="230">
        <f>SUM(BG92:BG97)</f>
        <v/>
      </c>
      <c r="BH91" s="230">
        <f>BF91+BG91</f>
        <v/>
      </c>
      <c r="BI91" s="230">
        <f>SUM(BI92:BI97)</f>
        <v/>
      </c>
      <c r="BJ91" s="230">
        <f>SUM(BJ92:BJ97)</f>
        <v/>
      </c>
      <c r="BK91" s="230">
        <f>BI91+BJ91</f>
        <v/>
      </c>
      <c r="BL91" s="231">
        <f>BK91-BH91</f>
        <v/>
      </c>
      <c r="BM91" s="232">
        <f>IF(BH91=0,"",BK91/BH91)</f>
        <v/>
      </c>
      <c r="BN91" s="25" t="n"/>
      <c r="BO91" s="227">
        <f>SUM(BO92:BO97)</f>
        <v/>
      </c>
      <c r="BP91" s="227">
        <f>SUM(BP92:BP97)</f>
        <v/>
      </c>
      <c r="BQ91" s="227">
        <f>BO91+BP91</f>
        <v/>
      </c>
      <c r="BR91" s="227">
        <f>SUM(BR92:BR97)</f>
        <v/>
      </c>
      <c r="BS91" s="227">
        <f>SUM(BS92:BS97)</f>
        <v/>
      </c>
      <c r="BT91" s="227">
        <f>BR91+BS91</f>
        <v/>
      </c>
      <c r="BU91" s="228">
        <f>BT91-BQ91</f>
        <v/>
      </c>
      <c r="BV91" s="229">
        <f>IF(BQ91=0,"",BT91/BQ91)</f>
        <v/>
      </c>
      <c r="BW91" s="18" t="n"/>
      <c r="BX91" s="230">
        <f>SUM(BX92:BX97)</f>
        <v/>
      </c>
      <c r="BY91" s="230">
        <f>SUM(BY92:BY97)</f>
        <v/>
      </c>
      <c r="BZ91" s="230">
        <f>BX91+BY91</f>
        <v/>
      </c>
      <c r="CA91" s="230">
        <f>SUM(CA92:CA97)</f>
        <v/>
      </c>
      <c r="CB91" s="230">
        <f>SUM(CB92:CB97)</f>
        <v/>
      </c>
      <c r="CC91" s="230">
        <f>CA91+CB91</f>
        <v/>
      </c>
      <c r="CD91" s="231">
        <f>CC91-BZ91</f>
        <v/>
      </c>
      <c r="CE91" s="232">
        <f>IF(BZ91=0,"",CC91/BZ91)</f>
        <v/>
      </c>
      <c r="CF91" s="25" t="n"/>
      <c r="CG91" s="227">
        <f>SUM(CG92:CG97)</f>
        <v/>
      </c>
      <c r="CH91" s="227">
        <f>SUM(CH92:CH97)</f>
        <v/>
      </c>
      <c r="CI91" s="227">
        <f>CG91+CH91</f>
        <v/>
      </c>
      <c r="CJ91" s="227">
        <f>SUM(CJ92:CJ97)</f>
        <v/>
      </c>
      <c r="CK91" s="227">
        <f>SUM(CK92:CK97)</f>
        <v/>
      </c>
      <c r="CL91" s="227">
        <f>CJ91+CK91</f>
        <v/>
      </c>
      <c r="CM91" s="228">
        <f>CL91-CI91</f>
        <v/>
      </c>
      <c r="CN91" s="229">
        <f>IF(CI91=0,"",CL91/CI91)</f>
        <v/>
      </c>
      <c r="CO91" s="18" t="n"/>
      <c r="CP91" s="230">
        <f>SUM(CP92:CP97)</f>
        <v/>
      </c>
      <c r="CQ91" s="230">
        <f>SUM(CQ92:CQ97)</f>
        <v/>
      </c>
      <c r="CR91" s="230">
        <f>CP91+CQ91</f>
        <v/>
      </c>
      <c r="CS91" s="230">
        <f>SUM(CS92:CS97)</f>
        <v/>
      </c>
      <c r="CT91" s="230">
        <f>SUM(CT92:CT97)</f>
        <v/>
      </c>
      <c r="CU91" s="230">
        <f>CS91+CT91</f>
        <v/>
      </c>
      <c r="CV91" s="231">
        <f>CU91-CR91</f>
        <v/>
      </c>
      <c r="CW91" s="232">
        <f>IF(CR91=0,"",CU91/CR91)</f>
        <v/>
      </c>
      <c r="CX91" s="25" t="n"/>
      <c r="CY91" s="227">
        <f>SUM(CY92:CY97)</f>
        <v/>
      </c>
      <c r="CZ91" s="227">
        <f>SUM(CZ92:CZ97)</f>
        <v/>
      </c>
      <c r="DA91" s="227">
        <f>CY91+CZ91</f>
        <v/>
      </c>
      <c r="DB91" s="227">
        <f>SUM(DB92:DB97)</f>
        <v/>
      </c>
      <c r="DC91" s="227">
        <f>SUM(DC92:DC97)</f>
        <v/>
      </c>
      <c r="DD91" s="227">
        <f>DB91+DC91</f>
        <v/>
      </c>
      <c r="DE91" s="228">
        <f>DD91-DA91</f>
        <v/>
      </c>
      <c r="DF91" s="229">
        <f>IF(DA91=0,"",DD91/DA91)</f>
        <v/>
      </c>
      <c r="DG91" s="18" t="n"/>
      <c r="DH91" s="230">
        <f>SUM(DH92:DH97)</f>
        <v/>
      </c>
      <c r="DI91" s="230">
        <f>SUM(DI92:DI97)</f>
        <v/>
      </c>
      <c r="DJ91" s="230">
        <f>DH91+DI91</f>
        <v/>
      </c>
      <c r="DK91" s="230">
        <f>SUM(DK92:DK97)</f>
        <v/>
      </c>
      <c r="DL91" s="230">
        <f>SUM(DL92:DL97)</f>
        <v/>
      </c>
      <c r="DM91" s="230">
        <f>DK91+DL91</f>
        <v/>
      </c>
      <c r="DN91" s="231">
        <f>DM91-DJ91</f>
        <v/>
      </c>
      <c r="DO91" s="232">
        <f>IF(DJ91=0,"",DM91/DJ91)</f>
        <v/>
      </c>
      <c r="DP91" s="25" t="n"/>
      <c r="DQ91" s="227">
        <f>SUM(DQ92:DQ97)</f>
        <v/>
      </c>
      <c r="DR91" s="227">
        <f>SUM(DR92:DR97)</f>
        <v/>
      </c>
      <c r="DS91" s="227">
        <f>DQ91+DR91</f>
        <v/>
      </c>
      <c r="DT91" s="227">
        <f>SUM(DT92:DT97)</f>
        <v/>
      </c>
      <c r="DU91" s="227">
        <f>SUM(DU92:DU97)</f>
        <v/>
      </c>
      <c r="DV91" s="227">
        <f>DT91+DU91</f>
        <v/>
      </c>
      <c r="DW91" s="228">
        <f>DV91-DS91</f>
        <v/>
      </c>
      <c r="DX91" s="229">
        <f>IF(DS91=0,"",DV91/DS91)</f>
        <v/>
      </c>
      <c r="DY91" s="18" t="n"/>
      <c r="DZ91" s="230">
        <f>SUM(DZ92:DZ97)</f>
        <v/>
      </c>
      <c r="EA91" s="230">
        <f>SUM(EA92:EA97)</f>
        <v/>
      </c>
      <c r="EB91" s="230">
        <f>DZ91+EA91</f>
        <v/>
      </c>
      <c r="EC91" s="230">
        <f>SUM(EC92:EC97)</f>
        <v/>
      </c>
      <c r="ED91" s="230">
        <f>SUM(ED92:ED97)</f>
        <v/>
      </c>
      <c r="EE91" s="230">
        <f>EC91+ED91</f>
        <v/>
      </c>
      <c r="EF91" s="231">
        <f>EE91-EB91</f>
        <v/>
      </c>
      <c r="EG91" s="232">
        <f>IF(EB91=0,"",EE91/EB91)</f>
        <v/>
      </c>
      <c r="EH91" s="25" t="n"/>
      <c r="EI91" s="227">
        <f>SUM(EI92:EI97)</f>
        <v/>
      </c>
      <c r="EJ91" s="227">
        <f>SUM(EJ92:EJ97)</f>
        <v/>
      </c>
      <c r="EK91" s="227">
        <f>EI91+EJ91</f>
        <v/>
      </c>
      <c r="EL91" s="227">
        <f>SUM(EL92:EL97)</f>
        <v/>
      </c>
      <c r="EM91" s="227">
        <f>SUM(EM92:EM97)</f>
        <v/>
      </c>
      <c r="EN91" s="227">
        <f>EL91+EM91</f>
        <v/>
      </c>
      <c r="EO91" s="228">
        <f>EN91-EK91</f>
        <v/>
      </c>
      <c r="EP91" s="229">
        <f>IF(EK91=0,"",EN91/EK91)</f>
        <v/>
      </c>
      <c r="EQ91" s="18" t="n"/>
      <c r="ER91" s="230">
        <f>SUM(ER92:ER97)</f>
        <v/>
      </c>
      <c r="ES91" s="230">
        <f>SUM(ES92:ES97)</f>
        <v/>
      </c>
      <c r="ET91" s="230">
        <f>ER91+ES91</f>
        <v/>
      </c>
      <c r="EU91" s="230">
        <f>SUM(EU92:EU97)</f>
        <v/>
      </c>
      <c r="EV91" s="230">
        <f>SUM(EV92:EV97)</f>
        <v/>
      </c>
      <c r="EW91" s="230">
        <f>EU91+EV91</f>
        <v/>
      </c>
      <c r="EX91" s="231">
        <f>EW91-ET91</f>
        <v/>
      </c>
      <c r="EY91" s="232">
        <f>IF(ET91=0,"",EW91/ET91)</f>
        <v/>
      </c>
      <c r="EZ91" s="25" t="n"/>
      <c r="FA91" s="227">
        <f>SUM(FA92:FA97)</f>
        <v/>
      </c>
      <c r="FB91" s="227">
        <f>SUM(FB92:FB97)</f>
        <v/>
      </c>
      <c r="FC91" s="227">
        <f>FA91+FB91</f>
        <v/>
      </c>
      <c r="FD91" s="227">
        <f>SUM(FD92:FD97)</f>
        <v/>
      </c>
      <c r="FE91" s="227">
        <f>SUM(FE92:FE97)</f>
        <v/>
      </c>
      <c r="FF91" s="227">
        <f>FD91+FE91</f>
        <v/>
      </c>
      <c r="FG91" s="228">
        <f>FF91-FC91</f>
        <v/>
      </c>
      <c r="FH91" s="229">
        <f>IF(FC91=0,"",FF91/FC91)</f>
        <v/>
      </c>
      <c r="FI91" s="18" t="n"/>
      <c r="FJ91" s="230">
        <f>SUM(FJ92:FJ97)</f>
        <v/>
      </c>
      <c r="FK91" s="230">
        <f>SUM(FK92:FK97)</f>
        <v/>
      </c>
      <c r="FL91" s="230">
        <f>FJ91+FK91</f>
        <v/>
      </c>
      <c r="FM91" s="230">
        <f>SUM(FM92:FM97)</f>
        <v/>
      </c>
      <c r="FN91" s="230">
        <f>SUM(FN92:FN97)</f>
        <v/>
      </c>
      <c r="FO91" s="230">
        <f>FM91+FN91</f>
        <v/>
      </c>
      <c r="FP91" s="231">
        <f>FO91-FL91</f>
        <v/>
      </c>
      <c r="FQ91" s="232">
        <f>IF(FL91=0,"",FO91/FL91)</f>
        <v/>
      </c>
      <c r="FR91" s="25" t="n"/>
      <c r="FS91" s="227">
        <f>SUM(FS92:FS97)</f>
        <v/>
      </c>
      <c r="FT91" s="227">
        <f>SUM(FT92:FT97)</f>
        <v/>
      </c>
      <c r="FU91" s="227">
        <f>FS91+FT91</f>
        <v/>
      </c>
      <c r="FV91" s="227">
        <f>SUM(FV92:FV97)</f>
        <v/>
      </c>
      <c r="FW91" s="227">
        <f>SUM(FW92:FW97)</f>
        <v/>
      </c>
      <c r="FX91" s="227">
        <f>FV91+FW91</f>
        <v/>
      </c>
      <c r="FY91" s="228">
        <f>FX91-FU91</f>
        <v/>
      </c>
      <c r="FZ91" s="229">
        <f>IF(FU91=0,"",FX91/FU91)</f>
        <v/>
      </c>
      <c r="GA91" s="18" t="n"/>
      <c r="GB91" s="230">
        <f>SUM(GB92:GB97)</f>
        <v/>
      </c>
      <c r="GC91" s="230">
        <f>SUM(GC92:GC97)</f>
        <v/>
      </c>
      <c r="GD91" s="230">
        <f>GB91+GC91</f>
        <v/>
      </c>
      <c r="GE91" s="230">
        <f>SUM(GE92:GE97)</f>
        <v/>
      </c>
      <c r="GF91" s="230">
        <f>SUM(GF92:GF97)</f>
        <v/>
      </c>
      <c r="GG91" s="230">
        <f>GE91+GF91</f>
        <v/>
      </c>
      <c r="GH91" s="231">
        <f>GG91-GD91</f>
        <v/>
      </c>
      <c r="GI91" s="232">
        <f>IF(GD91=0,"",GG91/GD91)</f>
        <v/>
      </c>
      <c r="GJ91" s="25" t="n"/>
      <c r="GK91" s="227">
        <f>SUM(GK92:GK97)</f>
        <v/>
      </c>
      <c r="GL91" s="227">
        <f>SUM(GL92:GL97)</f>
        <v/>
      </c>
      <c r="GM91" s="227">
        <f>GK91+GL91</f>
        <v/>
      </c>
      <c r="GN91" s="227">
        <f>SUM(GN92:GN97)</f>
        <v/>
      </c>
      <c r="GO91" s="227">
        <f>SUM(GO92:GO97)</f>
        <v/>
      </c>
      <c r="GP91" s="227">
        <f>GN91+GO91</f>
        <v/>
      </c>
      <c r="GQ91" s="228">
        <f>GP91-GM91</f>
        <v/>
      </c>
      <c r="GR91" s="229">
        <f>IF(GM91=0,"",GP91/GM91)</f>
        <v/>
      </c>
      <c r="GS91" s="18" t="n"/>
      <c r="GT91" s="230">
        <f>SUM(GT92:GT97)</f>
        <v/>
      </c>
      <c r="GU91" s="230">
        <f>SUM(GU92:GU97)</f>
        <v/>
      </c>
      <c r="GV91" s="230">
        <f>GT91+GU91</f>
        <v/>
      </c>
      <c r="GW91" s="230">
        <f>SUM(GW92:GW97)</f>
        <v/>
      </c>
      <c r="GX91" s="230">
        <f>SUM(GX92:GX97)</f>
        <v/>
      </c>
      <c r="GY91" s="230">
        <f>GW91+GX91</f>
        <v/>
      </c>
      <c r="GZ91" s="231">
        <f>GY91-GV91</f>
        <v/>
      </c>
      <c r="HA91" s="232">
        <f>IF(GV91=0,"",GY91/GV91)</f>
        <v/>
      </c>
      <c r="HB91" s="25" t="n"/>
      <c r="HC91" s="227">
        <f>GT91</f>
        <v/>
      </c>
      <c r="HD91" s="227">
        <f>GU91</f>
        <v/>
      </c>
      <c r="HE91" s="227">
        <f>HC91+HD91</f>
        <v/>
      </c>
    </row>
    <row r="92" outlineLevel="1" ht="54.75" customHeight="1" s="150">
      <c r="A92" s="26" t="n"/>
      <c r="B92" s="26" t="n"/>
      <c r="C92" s="26" t="n"/>
      <c r="D92" s="233" t="n"/>
      <c r="E92" s="233" t="n"/>
      <c r="F92" s="233">
        <f>D92+E92</f>
        <v/>
      </c>
      <c r="G92" s="233" t="n"/>
      <c r="H92" s="233" t="n"/>
      <c r="I92" s="233">
        <f>G92+H92</f>
        <v/>
      </c>
      <c r="J92" s="238">
        <f>I92-F92</f>
        <v/>
      </c>
      <c r="K92" s="235">
        <f>IF(F92=0,"",I92/F92)</f>
        <v/>
      </c>
      <c r="L92" s="42" t="n"/>
      <c r="M92" s="233" t="n"/>
      <c r="N92" s="233" t="n"/>
      <c r="O92" s="233">
        <f>M92+N92</f>
        <v/>
      </c>
      <c r="P92" s="233" t="n"/>
      <c r="Q92" s="233" t="n"/>
      <c r="R92" s="233">
        <f>P92+Q92</f>
        <v/>
      </c>
      <c r="S92" s="238">
        <f>R92-O92</f>
        <v/>
      </c>
      <c r="T92" s="235">
        <f>IF(O92=0,"",R92/O92)</f>
        <v/>
      </c>
      <c r="U92" s="26" t="n"/>
      <c r="V92" s="236">
        <f>D92+M92</f>
        <v/>
      </c>
      <c r="W92" s="236">
        <f>E92+N92</f>
        <v/>
      </c>
      <c r="X92" s="236">
        <f>V92+W92</f>
        <v/>
      </c>
      <c r="Y92" s="236">
        <f>G92+P92</f>
        <v/>
      </c>
      <c r="Z92" s="236">
        <f>H92+Q92</f>
        <v/>
      </c>
      <c r="AA92" s="236">
        <f>Y92+Z92</f>
        <v/>
      </c>
      <c r="AB92" s="239">
        <f>AA92-X92</f>
        <v/>
      </c>
      <c r="AC92" s="237">
        <f>IF(X92=0,"",AA92/X92)</f>
        <v/>
      </c>
      <c r="AD92" s="33" t="n"/>
      <c r="AE92" s="233" t="n"/>
      <c r="AF92" s="233" t="n"/>
      <c r="AG92" s="233">
        <f>AE92+AF92</f>
        <v/>
      </c>
      <c r="AH92" s="233" t="n"/>
      <c r="AI92" s="233" t="n"/>
      <c r="AJ92" s="233">
        <f>AH92+AI92</f>
        <v/>
      </c>
      <c r="AK92" s="238">
        <f>AJ92-AG92</f>
        <v/>
      </c>
      <c r="AL92" s="235">
        <f>IF(AG92=0,"",AJ92/AG92)</f>
        <v/>
      </c>
      <c r="AM92" s="26" t="n"/>
      <c r="AN92" s="236">
        <f>V92+AE92</f>
        <v/>
      </c>
      <c r="AO92" s="236">
        <f>W92+AF92</f>
        <v/>
      </c>
      <c r="AP92" s="236">
        <f>AN92+AO92</f>
        <v/>
      </c>
      <c r="AQ92" s="236">
        <f>Y92+AH92</f>
        <v/>
      </c>
      <c r="AR92" s="236">
        <f>Z92+AI92</f>
        <v/>
      </c>
      <c r="AS92" s="236">
        <f>AQ92+AR92</f>
        <v/>
      </c>
      <c r="AT92" s="239">
        <f>AS92-AP92</f>
        <v/>
      </c>
      <c r="AU92" s="237">
        <f>IF(AP92=0,"",AS92/AP92)</f>
        <v/>
      </c>
      <c r="AV92" s="33" t="n"/>
      <c r="AW92" s="233" t="n"/>
      <c r="AX92" s="233" t="n"/>
      <c r="AY92" s="233">
        <f>AW92+AX92</f>
        <v/>
      </c>
      <c r="AZ92" s="233" t="n"/>
      <c r="BA92" s="233" t="n"/>
      <c r="BB92" s="233">
        <f>AZ92+BA92</f>
        <v/>
      </c>
      <c r="BC92" s="238">
        <f>BB92-AY92</f>
        <v/>
      </c>
      <c r="BD92" s="235">
        <f>IF(AY92=0,"",BB92/AY92)</f>
        <v/>
      </c>
      <c r="BE92" s="26" t="n"/>
      <c r="BF92" s="236">
        <f>AN92+AW92</f>
        <v/>
      </c>
      <c r="BG92" s="236">
        <f>AO92+AX92</f>
        <v/>
      </c>
      <c r="BH92" s="236">
        <f>BF92+BG92</f>
        <v/>
      </c>
      <c r="BI92" s="236">
        <f>AQ92+AZ92</f>
        <v/>
      </c>
      <c r="BJ92" s="236">
        <f>AR92+BA92</f>
        <v/>
      </c>
      <c r="BK92" s="236">
        <f>BI92+BJ92</f>
        <v/>
      </c>
      <c r="BL92" s="239">
        <f>BK92-BH92</f>
        <v/>
      </c>
      <c r="BM92" s="237">
        <f>IF(BH92=0,"",BK92/BH92)</f>
        <v/>
      </c>
      <c r="BN92" s="33" t="n"/>
      <c r="BO92" s="233" t="n"/>
      <c r="BP92" s="233" t="n"/>
      <c r="BQ92" s="233">
        <f>BO92+BP92</f>
        <v/>
      </c>
      <c r="BR92" s="233" t="n"/>
      <c r="BS92" s="233" t="n"/>
      <c r="BT92" s="233">
        <f>BR92+BS92</f>
        <v/>
      </c>
      <c r="BU92" s="238">
        <f>BT92-BQ92</f>
        <v/>
      </c>
      <c r="BV92" s="235">
        <f>IF(BQ92=0,"",BT92/BQ92)</f>
        <v/>
      </c>
      <c r="BW92" s="26" t="n"/>
      <c r="BX92" s="236">
        <f>BF92+BO92</f>
        <v/>
      </c>
      <c r="BY92" s="236">
        <f>BG92+BP92</f>
        <v/>
      </c>
      <c r="BZ92" s="236">
        <f>BX92+BY92</f>
        <v/>
      </c>
      <c r="CA92" s="236">
        <f>BI92+BR92</f>
        <v/>
      </c>
      <c r="CB92" s="236">
        <f>BJ92+BS92</f>
        <v/>
      </c>
      <c r="CC92" s="236">
        <f>CA92+CB92</f>
        <v/>
      </c>
      <c r="CD92" s="239">
        <f>CC92-BZ92</f>
        <v/>
      </c>
      <c r="CE92" s="237">
        <f>IF(BZ92=0,"",CC92/BZ92)</f>
        <v/>
      </c>
      <c r="CF92" s="33" t="n"/>
      <c r="CG92" s="233" t="n"/>
      <c r="CH92" s="233" t="n"/>
      <c r="CI92" s="233">
        <f>CG92+CH92</f>
        <v/>
      </c>
      <c r="CJ92" s="233" t="n"/>
      <c r="CK92" s="233" t="n"/>
      <c r="CL92" s="233">
        <f>CJ92+CK92</f>
        <v/>
      </c>
      <c r="CM92" s="238">
        <f>CL92-CI92</f>
        <v/>
      </c>
      <c r="CN92" s="235">
        <f>IF(CI92=0,"",CL92/CI92)</f>
        <v/>
      </c>
      <c r="CO92" s="26" t="n"/>
      <c r="CP92" s="236">
        <f>BX92+CG92</f>
        <v/>
      </c>
      <c r="CQ92" s="236">
        <f>BY92+CH92</f>
        <v/>
      </c>
      <c r="CR92" s="236">
        <f>CP92+CQ92</f>
        <v/>
      </c>
      <c r="CS92" s="236">
        <f>CA92+CJ92</f>
        <v/>
      </c>
      <c r="CT92" s="236">
        <f>CB92+CK92</f>
        <v/>
      </c>
      <c r="CU92" s="236">
        <f>CS92+CT92</f>
        <v/>
      </c>
      <c r="CV92" s="239">
        <f>CU92-CR92</f>
        <v/>
      </c>
      <c r="CW92" s="237">
        <f>IF(CR92=0,"",CU92/CR92)</f>
        <v/>
      </c>
      <c r="CX92" s="33" t="n"/>
      <c r="CY92" s="233" t="n"/>
      <c r="CZ92" s="233" t="n"/>
      <c r="DA92" s="233">
        <f>CY92+CZ92</f>
        <v/>
      </c>
      <c r="DB92" s="233" t="n"/>
      <c r="DC92" s="233" t="n"/>
      <c r="DD92" s="233">
        <f>DB92+DC92</f>
        <v/>
      </c>
      <c r="DE92" s="238">
        <f>DD92-DA92</f>
        <v/>
      </c>
      <c r="DF92" s="235">
        <f>IF(DA92=0,"",DD92/DA92)</f>
        <v/>
      </c>
      <c r="DG92" s="26" t="n"/>
      <c r="DH92" s="236">
        <f>CP92+CY92</f>
        <v/>
      </c>
      <c r="DI92" s="236">
        <f>CQ92+CZ92</f>
        <v/>
      </c>
      <c r="DJ92" s="236">
        <f>DH92+DI92</f>
        <v/>
      </c>
      <c r="DK92" s="236">
        <f>CS92+DB92</f>
        <v/>
      </c>
      <c r="DL92" s="236">
        <f>CT92+DC92</f>
        <v/>
      </c>
      <c r="DM92" s="236">
        <f>DK92+DL92</f>
        <v/>
      </c>
      <c r="DN92" s="239">
        <f>DM92-DJ92</f>
        <v/>
      </c>
      <c r="DO92" s="237">
        <f>IF(DJ92=0,"",DM92/DJ92)</f>
        <v/>
      </c>
      <c r="DP92" s="33" t="n"/>
      <c r="DQ92" s="233" t="n"/>
      <c r="DR92" s="233" t="n"/>
      <c r="DS92" s="233">
        <f>DQ92+DR92</f>
        <v/>
      </c>
      <c r="DT92" s="233" t="n"/>
      <c r="DU92" s="233" t="n"/>
      <c r="DV92" s="233">
        <f>DT92+DU92</f>
        <v/>
      </c>
      <c r="DW92" s="238">
        <f>DV92-DS92</f>
        <v/>
      </c>
      <c r="DX92" s="235">
        <f>IF(DS92=0,"",DV92/DS92)</f>
        <v/>
      </c>
      <c r="DY92" s="26" t="n"/>
      <c r="DZ92" s="236">
        <f>DH92+DQ92</f>
        <v/>
      </c>
      <c r="EA92" s="236">
        <f>DI92+DR92</f>
        <v/>
      </c>
      <c r="EB92" s="236">
        <f>DZ92+EA92</f>
        <v/>
      </c>
      <c r="EC92" s="236">
        <f>DK92+DT92</f>
        <v/>
      </c>
      <c r="ED92" s="236">
        <f>DL92+DU92</f>
        <v/>
      </c>
      <c r="EE92" s="236">
        <f>EC92+ED92</f>
        <v/>
      </c>
      <c r="EF92" s="239">
        <f>EE92-EB92</f>
        <v/>
      </c>
      <c r="EG92" s="237">
        <f>IF(EB92=0,"",EE92/EB92)</f>
        <v/>
      </c>
      <c r="EH92" s="33" t="n"/>
      <c r="EI92" s="233" t="n"/>
      <c r="EJ92" s="233" t="n"/>
      <c r="EK92" s="233">
        <f>EI92+EJ92</f>
        <v/>
      </c>
      <c r="EL92" s="233" t="n"/>
      <c r="EM92" s="233" t="n"/>
      <c r="EN92" s="233">
        <f>EL92+EM92</f>
        <v/>
      </c>
      <c r="EO92" s="238">
        <f>EN92-EK92</f>
        <v/>
      </c>
      <c r="EP92" s="235">
        <f>IF(EK92=0,"",EN92/EK92)</f>
        <v/>
      </c>
      <c r="EQ92" s="26" t="n"/>
      <c r="ER92" s="236">
        <f>DZ92+EI92</f>
        <v/>
      </c>
      <c r="ES92" s="236">
        <f>EA92+EJ92</f>
        <v/>
      </c>
      <c r="ET92" s="236">
        <f>ER92+ES92</f>
        <v/>
      </c>
      <c r="EU92" s="236">
        <f>EC92+EL92</f>
        <v/>
      </c>
      <c r="EV92" s="236">
        <f>ED92+EM92</f>
        <v/>
      </c>
      <c r="EW92" s="236">
        <f>EU92+EV92</f>
        <v/>
      </c>
      <c r="EX92" s="239">
        <f>EW92-ET92</f>
        <v/>
      </c>
      <c r="EY92" s="237">
        <f>IF(ET92=0,"",EW92/ET92)</f>
        <v/>
      </c>
      <c r="EZ92" s="33" t="n"/>
      <c r="FA92" s="233" t="n"/>
      <c r="FB92" s="233" t="n"/>
      <c r="FC92" s="233">
        <f>FA92+FB92</f>
        <v/>
      </c>
      <c r="FD92" s="233" t="n"/>
      <c r="FE92" s="233" t="n"/>
      <c r="FF92" s="233">
        <f>FD92+FE92</f>
        <v/>
      </c>
      <c r="FG92" s="238">
        <f>FF92-FC92</f>
        <v/>
      </c>
      <c r="FH92" s="235">
        <f>IF(FC92=0,"",FF92/FC92)</f>
        <v/>
      </c>
      <c r="FI92" s="26" t="n"/>
      <c r="FJ92" s="236">
        <f>ER92+FA92</f>
        <v/>
      </c>
      <c r="FK92" s="236">
        <f>ES92+FB92</f>
        <v/>
      </c>
      <c r="FL92" s="236">
        <f>FJ92+FK92</f>
        <v/>
      </c>
      <c r="FM92" s="236">
        <f>EU92+FD92</f>
        <v/>
      </c>
      <c r="FN92" s="236">
        <f>EV92+FE92</f>
        <v/>
      </c>
      <c r="FO92" s="236">
        <f>FM92+FN92</f>
        <v/>
      </c>
      <c r="FP92" s="239">
        <f>FO92-FL92</f>
        <v/>
      </c>
      <c r="FQ92" s="237">
        <f>IF(FL92=0,"",FO92/FL92)</f>
        <v/>
      </c>
      <c r="FR92" s="33" t="n"/>
      <c r="FS92" s="233" t="n"/>
      <c r="FT92" s="233" t="n"/>
      <c r="FU92" s="233">
        <f>FS92+FT92</f>
        <v/>
      </c>
      <c r="FV92" s="233" t="n"/>
      <c r="FW92" s="233" t="n"/>
      <c r="FX92" s="233">
        <f>FV92+FW92</f>
        <v/>
      </c>
      <c r="FY92" s="238">
        <f>FX92-FU92</f>
        <v/>
      </c>
      <c r="FZ92" s="235">
        <f>IF(FU92=0,"",FX92/FU92)</f>
        <v/>
      </c>
      <c r="GA92" s="26" t="n"/>
      <c r="GB92" s="236">
        <f>FJ92+FS92</f>
        <v/>
      </c>
      <c r="GC92" s="236">
        <f>FK92+FT92</f>
        <v/>
      </c>
      <c r="GD92" s="236">
        <f>GB92+GC92</f>
        <v/>
      </c>
      <c r="GE92" s="236">
        <f>FM92+FV92</f>
        <v/>
      </c>
      <c r="GF92" s="236">
        <f>FN92+FW92</f>
        <v/>
      </c>
      <c r="GG92" s="236">
        <f>GE92+GF92</f>
        <v/>
      </c>
      <c r="GH92" s="239">
        <f>GG92-GD92</f>
        <v/>
      </c>
      <c r="GI92" s="237">
        <f>IF(GD92=0,"",GG92/GD92)</f>
        <v/>
      </c>
      <c r="GJ92" s="33" t="n"/>
      <c r="GK92" s="233" t="n"/>
      <c r="GL92" s="233" t="n"/>
      <c r="GM92" s="233">
        <f>GK92+GL92</f>
        <v/>
      </c>
      <c r="GN92" s="233" t="n"/>
      <c r="GO92" s="233" t="n"/>
      <c r="GP92" s="233">
        <f>GN92+GO92</f>
        <v/>
      </c>
      <c r="GQ92" s="238">
        <f>GP92-GM92</f>
        <v/>
      </c>
      <c r="GR92" s="235">
        <f>IF(GM92=0,"",GP92/GM92)</f>
        <v/>
      </c>
      <c r="GS92" s="26" t="n"/>
      <c r="GT92" s="236">
        <f>GB92+GK92</f>
        <v/>
      </c>
      <c r="GU92" s="236">
        <f>GC92+GL92</f>
        <v/>
      </c>
      <c r="GV92" s="236">
        <f>GT92+GU92</f>
        <v/>
      </c>
      <c r="GW92" s="236">
        <f>GE92+GN92</f>
        <v/>
      </c>
      <c r="GX92" s="236">
        <f>GF92+GO92</f>
        <v/>
      </c>
      <c r="GY92" s="236">
        <f>GW92+GX92</f>
        <v/>
      </c>
      <c r="GZ92" s="239">
        <f>GY92-GV92</f>
        <v/>
      </c>
      <c r="HA92" s="237">
        <f>IF(GV92=0,"",GY92/GV92)</f>
        <v/>
      </c>
      <c r="HB92" s="33" t="n"/>
      <c r="HC92" s="233">
        <f>GT92</f>
        <v/>
      </c>
      <c r="HD92" s="233">
        <f>GU92</f>
        <v/>
      </c>
      <c r="HE92" s="233">
        <f>HC92+HD92</f>
        <v/>
      </c>
    </row>
    <row r="93" outlineLevel="1" ht="15" customHeight="1" s="150">
      <c r="A93" s="26" t="n"/>
      <c r="B93" s="26" t="n"/>
      <c r="C93" s="26" t="n"/>
      <c r="D93" s="233" t="n"/>
      <c r="E93" s="233" t="n"/>
      <c r="F93" s="233">
        <f>D93+E93</f>
        <v/>
      </c>
      <c r="G93" s="233" t="n"/>
      <c r="H93" s="233" t="n"/>
      <c r="I93" s="233">
        <f>G93+H93</f>
        <v/>
      </c>
      <c r="J93" s="238">
        <f>I93-F93</f>
        <v/>
      </c>
      <c r="K93" s="235">
        <f>IF(F93=0,"",I93/F93)</f>
        <v/>
      </c>
      <c r="L93" s="26" t="n"/>
      <c r="M93" s="233" t="n"/>
      <c r="N93" s="233" t="n"/>
      <c r="O93" s="233">
        <f>M93+N93</f>
        <v/>
      </c>
      <c r="P93" s="233" t="n"/>
      <c r="Q93" s="233" t="n"/>
      <c r="R93" s="233">
        <f>P93+Q93</f>
        <v/>
      </c>
      <c r="S93" s="238">
        <f>R93-O93</f>
        <v/>
      </c>
      <c r="T93" s="235">
        <f>IF(O93=0,"",R93/O93)</f>
        <v/>
      </c>
      <c r="U93" s="26" t="n"/>
      <c r="V93" s="236">
        <f>D93+M93</f>
        <v/>
      </c>
      <c r="W93" s="236">
        <f>E93+N93</f>
        <v/>
      </c>
      <c r="X93" s="236">
        <f>V93+W93</f>
        <v/>
      </c>
      <c r="Y93" s="236">
        <f>G93+P93</f>
        <v/>
      </c>
      <c r="Z93" s="236">
        <f>H93+Q93</f>
        <v/>
      </c>
      <c r="AA93" s="236">
        <f>Y93+Z93</f>
        <v/>
      </c>
      <c r="AB93" s="239">
        <f>AA93-X93</f>
        <v/>
      </c>
      <c r="AC93" s="237">
        <f>IF(X93=0,"",AA93/X93)</f>
        <v/>
      </c>
      <c r="AD93" s="33" t="n"/>
      <c r="AE93" s="233" t="n"/>
      <c r="AF93" s="233" t="n"/>
      <c r="AG93" s="233">
        <f>AE93+AF93</f>
        <v/>
      </c>
      <c r="AH93" s="233" t="n"/>
      <c r="AI93" s="233" t="n"/>
      <c r="AJ93" s="233">
        <f>AH93+AI93</f>
        <v/>
      </c>
      <c r="AK93" s="238">
        <f>AJ93-AG93</f>
        <v/>
      </c>
      <c r="AL93" s="235">
        <f>IF(AG93=0,"",AJ93/AG93)</f>
        <v/>
      </c>
      <c r="AM93" s="26" t="n"/>
      <c r="AN93" s="236">
        <f>V93+AE93</f>
        <v/>
      </c>
      <c r="AO93" s="236">
        <f>W93+AF93</f>
        <v/>
      </c>
      <c r="AP93" s="236">
        <f>AN93+AO93</f>
        <v/>
      </c>
      <c r="AQ93" s="236">
        <f>Y93+AH93</f>
        <v/>
      </c>
      <c r="AR93" s="236">
        <f>Z93+AI93</f>
        <v/>
      </c>
      <c r="AS93" s="236">
        <f>AQ93+AR93</f>
        <v/>
      </c>
      <c r="AT93" s="239">
        <f>AS93-AP93</f>
        <v/>
      </c>
      <c r="AU93" s="237">
        <f>IF(AP93=0,"",AS93/AP93)</f>
        <v/>
      </c>
      <c r="AV93" s="33" t="n"/>
      <c r="AW93" s="233" t="n"/>
      <c r="AX93" s="233" t="n"/>
      <c r="AY93" s="233">
        <f>AW93+AX93</f>
        <v/>
      </c>
      <c r="AZ93" s="233" t="n"/>
      <c r="BA93" s="233" t="n"/>
      <c r="BB93" s="233">
        <f>AZ93+BA93</f>
        <v/>
      </c>
      <c r="BC93" s="238">
        <f>BB93-AY93</f>
        <v/>
      </c>
      <c r="BD93" s="235">
        <f>IF(AY93=0,"",BB93/AY93)</f>
        <v/>
      </c>
      <c r="BE93" s="26" t="n"/>
      <c r="BF93" s="236">
        <f>AN93+AW93</f>
        <v/>
      </c>
      <c r="BG93" s="236">
        <f>AO93+AX93</f>
        <v/>
      </c>
      <c r="BH93" s="236">
        <f>BF93+BG93</f>
        <v/>
      </c>
      <c r="BI93" s="236">
        <f>AQ93+AZ93</f>
        <v/>
      </c>
      <c r="BJ93" s="236">
        <f>AR93+BA93</f>
        <v/>
      </c>
      <c r="BK93" s="236">
        <f>BI93+BJ93</f>
        <v/>
      </c>
      <c r="BL93" s="239">
        <f>BK93-BH93</f>
        <v/>
      </c>
      <c r="BM93" s="237">
        <f>IF(BH93=0,"",BK93/BH93)</f>
        <v/>
      </c>
      <c r="BN93" s="33" t="n"/>
      <c r="BO93" s="233" t="n"/>
      <c r="BP93" s="233" t="n"/>
      <c r="BQ93" s="233">
        <f>BO93+BP93</f>
        <v/>
      </c>
      <c r="BR93" s="233" t="n"/>
      <c r="BS93" s="233" t="n"/>
      <c r="BT93" s="233">
        <f>BR93+BS93</f>
        <v/>
      </c>
      <c r="BU93" s="238">
        <f>BT93-BQ93</f>
        <v/>
      </c>
      <c r="BV93" s="235">
        <f>IF(BQ93=0,"",BT93/BQ93)</f>
        <v/>
      </c>
      <c r="BW93" s="26" t="n"/>
      <c r="BX93" s="236">
        <f>BF93+BO93</f>
        <v/>
      </c>
      <c r="BY93" s="236">
        <f>BG93+BP93</f>
        <v/>
      </c>
      <c r="BZ93" s="236">
        <f>BX93+BY93</f>
        <v/>
      </c>
      <c r="CA93" s="236">
        <f>BI93+BR93</f>
        <v/>
      </c>
      <c r="CB93" s="236">
        <f>BJ93+BS93</f>
        <v/>
      </c>
      <c r="CC93" s="236">
        <f>CA93+CB93</f>
        <v/>
      </c>
      <c r="CD93" s="239">
        <f>CC93-BZ93</f>
        <v/>
      </c>
      <c r="CE93" s="237">
        <f>IF(BZ93=0,"",CC93/BZ93)</f>
        <v/>
      </c>
      <c r="CF93" s="33" t="n"/>
      <c r="CG93" s="233" t="n"/>
      <c r="CH93" s="233" t="n"/>
      <c r="CI93" s="233">
        <f>CG93+CH93</f>
        <v/>
      </c>
      <c r="CJ93" s="233" t="n"/>
      <c r="CK93" s="233" t="n"/>
      <c r="CL93" s="233">
        <f>CJ93+CK93</f>
        <v/>
      </c>
      <c r="CM93" s="238">
        <f>CL93-CI93</f>
        <v/>
      </c>
      <c r="CN93" s="235">
        <f>IF(CI93=0,"",CL93/CI93)</f>
        <v/>
      </c>
      <c r="CO93" s="26" t="n"/>
      <c r="CP93" s="236">
        <f>BX93+CG93</f>
        <v/>
      </c>
      <c r="CQ93" s="236">
        <f>BY93+CH93</f>
        <v/>
      </c>
      <c r="CR93" s="236">
        <f>CP93+CQ93</f>
        <v/>
      </c>
      <c r="CS93" s="236">
        <f>CA93+CJ93</f>
        <v/>
      </c>
      <c r="CT93" s="236">
        <f>CB93+CK93</f>
        <v/>
      </c>
      <c r="CU93" s="236">
        <f>CS93+CT93</f>
        <v/>
      </c>
      <c r="CV93" s="239">
        <f>CU93-CR93</f>
        <v/>
      </c>
      <c r="CW93" s="237">
        <f>IF(CR93=0,"",CU93/CR93)</f>
        <v/>
      </c>
      <c r="CX93" s="33" t="n"/>
      <c r="CY93" s="233" t="n"/>
      <c r="CZ93" s="233" t="n"/>
      <c r="DA93" s="233">
        <f>CY93+CZ93</f>
        <v/>
      </c>
      <c r="DB93" s="233" t="n"/>
      <c r="DC93" s="233" t="n"/>
      <c r="DD93" s="233">
        <f>DB93+DC93</f>
        <v/>
      </c>
      <c r="DE93" s="238">
        <f>DD93-DA93</f>
        <v/>
      </c>
      <c r="DF93" s="235">
        <f>IF(DA93=0,"",DD93/DA93)</f>
        <v/>
      </c>
      <c r="DG93" s="26" t="n"/>
      <c r="DH93" s="236">
        <f>CP93+CY93</f>
        <v/>
      </c>
      <c r="DI93" s="236">
        <f>CQ93+CZ93</f>
        <v/>
      </c>
      <c r="DJ93" s="236">
        <f>DH93+DI93</f>
        <v/>
      </c>
      <c r="DK93" s="236">
        <f>CS93+DB93</f>
        <v/>
      </c>
      <c r="DL93" s="236">
        <f>CT93+DC93</f>
        <v/>
      </c>
      <c r="DM93" s="236">
        <f>DK93+DL93</f>
        <v/>
      </c>
      <c r="DN93" s="239">
        <f>DM93-DJ93</f>
        <v/>
      </c>
      <c r="DO93" s="237">
        <f>IF(DJ93=0,"",DM93/DJ93)</f>
        <v/>
      </c>
      <c r="DP93" s="33" t="n"/>
      <c r="DQ93" s="233" t="n"/>
      <c r="DR93" s="233" t="n"/>
      <c r="DS93" s="233">
        <f>DQ93+DR93</f>
        <v/>
      </c>
      <c r="DT93" s="233" t="n"/>
      <c r="DU93" s="233" t="n"/>
      <c r="DV93" s="233">
        <f>DT93+DU93</f>
        <v/>
      </c>
      <c r="DW93" s="238">
        <f>DV93-DS93</f>
        <v/>
      </c>
      <c r="DX93" s="235">
        <f>IF(DS93=0,"",DV93/DS93)</f>
        <v/>
      </c>
      <c r="DY93" s="26" t="n"/>
      <c r="DZ93" s="236">
        <f>DH93+DQ93</f>
        <v/>
      </c>
      <c r="EA93" s="236">
        <f>DI93+DR93</f>
        <v/>
      </c>
      <c r="EB93" s="236">
        <f>DZ93+EA93</f>
        <v/>
      </c>
      <c r="EC93" s="236">
        <f>DK93+DT93</f>
        <v/>
      </c>
      <c r="ED93" s="236">
        <f>DL93+DU93</f>
        <v/>
      </c>
      <c r="EE93" s="236">
        <f>EC93+ED93</f>
        <v/>
      </c>
      <c r="EF93" s="239">
        <f>EE93-EB93</f>
        <v/>
      </c>
      <c r="EG93" s="237">
        <f>IF(EB93=0,"",EE93/EB93)</f>
        <v/>
      </c>
      <c r="EH93" s="33" t="n"/>
      <c r="EI93" s="233" t="n"/>
      <c r="EJ93" s="233" t="n"/>
      <c r="EK93" s="233">
        <f>EI93+EJ93</f>
        <v/>
      </c>
      <c r="EL93" s="233" t="n"/>
      <c r="EM93" s="233" t="n"/>
      <c r="EN93" s="233">
        <f>EL93+EM93</f>
        <v/>
      </c>
      <c r="EO93" s="238">
        <f>EN93-EK93</f>
        <v/>
      </c>
      <c r="EP93" s="235">
        <f>IF(EK93=0,"",EN93/EK93)</f>
        <v/>
      </c>
      <c r="EQ93" s="26" t="n"/>
      <c r="ER93" s="236">
        <f>DZ93+EI93</f>
        <v/>
      </c>
      <c r="ES93" s="236">
        <f>EA93+EJ93</f>
        <v/>
      </c>
      <c r="ET93" s="236">
        <f>ER93+ES93</f>
        <v/>
      </c>
      <c r="EU93" s="236">
        <f>EC93+EL93</f>
        <v/>
      </c>
      <c r="EV93" s="236">
        <f>ED93+EM93</f>
        <v/>
      </c>
      <c r="EW93" s="236">
        <f>EU93+EV93</f>
        <v/>
      </c>
      <c r="EX93" s="239">
        <f>EW93-ET93</f>
        <v/>
      </c>
      <c r="EY93" s="237">
        <f>IF(ET93=0,"",EW93/ET93)</f>
        <v/>
      </c>
      <c r="EZ93" s="33" t="n"/>
      <c r="FA93" s="233" t="n"/>
      <c r="FB93" s="233" t="n"/>
      <c r="FC93" s="233">
        <f>FA93+FB93</f>
        <v/>
      </c>
      <c r="FD93" s="233" t="n"/>
      <c r="FE93" s="233" t="n"/>
      <c r="FF93" s="233">
        <f>FD93+FE93</f>
        <v/>
      </c>
      <c r="FG93" s="238">
        <f>FF93-FC93</f>
        <v/>
      </c>
      <c r="FH93" s="235">
        <f>IF(FC93=0,"",FF93/FC93)</f>
        <v/>
      </c>
      <c r="FI93" s="26" t="n"/>
      <c r="FJ93" s="236">
        <f>ER93+FA93</f>
        <v/>
      </c>
      <c r="FK93" s="236">
        <f>ES93+FB93</f>
        <v/>
      </c>
      <c r="FL93" s="236">
        <f>FJ93+FK93</f>
        <v/>
      </c>
      <c r="FM93" s="236">
        <f>EU93+FD93</f>
        <v/>
      </c>
      <c r="FN93" s="236">
        <f>EV93+FE93</f>
        <v/>
      </c>
      <c r="FO93" s="236">
        <f>FM93+FN93</f>
        <v/>
      </c>
      <c r="FP93" s="239">
        <f>FO93-FL93</f>
        <v/>
      </c>
      <c r="FQ93" s="237">
        <f>IF(FL93=0,"",FO93/FL93)</f>
        <v/>
      </c>
      <c r="FR93" s="33" t="n"/>
      <c r="FS93" s="233" t="n"/>
      <c r="FT93" s="233" t="n"/>
      <c r="FU93" s="233">
        <f>FS93+FT93</f>
        <v/>
      </c>
      <c r="FV93" s="233" t="n"/>
      <c r="FW93" s="233" t="n"/>
      <c r="FX93" s="233">
        <f>FV93+FW93</f>
        <v/>
      </c>
      <c r="FY93" s="238">
        <f>FX93-FU93</f>
        <v/>
      </c>
      <c r="FZ93" s="235">
        <f>IF(FU93=0,"",FX93/FU93)</f>
        <v/>
      </c>
      <c r="GA93" s="26" t="n"/>
      <c r="GB93" s="236">
        <f>FJ93+FS93</f>
        <v/>
      </c>
      <c r="GC93" s="236">
        <f>FK93+FT93</f>
        <v/>
      </c>
      <c r="GD93" s="236">
        <f>GB93+GC93</f>
        <v/>
      </c>
      <c r="GE93" s="236">
        <f>FM93+FV93</f>
        <v/>
      </c>
      <c r="GF93" s="236">
        <f>FN93+FW93</f>
        <v/>
      </c>
      <c r="GG93" s="236">
        <f>GE93+GF93</f>
        <v/>
      </c>
      <c r="GH93" s="239">
        <f>GG93-GD93</f>
        <v/>
      </c>
      <c r="GI93" s="237">
        <f>IF(GD93=0,"",GG93/GD93)</f>
        <v/>
      </c>
      <c r="GJ93" s="33" t="n"/>
      <c r="GK93" s="233" t="n"/>
      <c r="GL93" s="233" t="n"/>
      <c r="GM93" s="233">
        <f>GK93+GL93</f>
        <v/>
      </c>
      <c r="GN93" s="233" t="n"/>
      <c r="GO93" s="233" t="n"/>
      <c r="GP93" s="233">
        <f>GN93+GO93</f>
        <v/>
      </c>
      <c r="GQ93" s="238">
        <f>GP93-GM93</f>
        <v/>
      </c>
      <c r="GR93" s="235">
        <f>IF(GM93=0,"",GP93/GM93)</f>
        <v/>
      </c>
      <c r="GS93" s="26" t="n"/>
      <c r="GT93" s="236">
        <f>GB93+GK93</f>
        <v/>
      </c>
      <c r="GU93" s="236">
        <f>GC93+GL93</f>
        <v/>
      </c>
      <c r="GV93" s="236">
        <f>GT93+GU93</f>
        <v/>
      </c>
      <c r="GW93" s="236">
        <f>GE93+GN93</f>
        <v/>
      </c>
      <c r="GX93" s="236">
        <f>GF93+GO93</f>
        <v/>
      </c>
      <c r="GY93" s="236">
        <f>GW93+GX93</f>
        <v/>
      </c>
      <c r="GZ93" s="239">
        <f>GY93-GV93</f>
        <v/>
      </c>
      <c r="HA93" s="237">
        <f>IF(GV93=0,"",GY93/GV93)</f>
        <v/>
      </c>
      <c r="HB93" s="33" t="n"/>
      <c r="HC93" s="233">
        <f>GT93</f>
        <v/>
      </c>
      <c r="HD93" s="233">
        <f>GU93</f>
        <v/>
      </c>
      <c r="HE93" s="233">
        <f>HC93+HD93</f>
        <v/>
      </c>
    </row>
    <row r="94" outlineLevel="1" ht="15" customHeight="1" s="150">
      <c r="A94" s="26" t="n"/>
      <c r="B94" s="26" t="n"/>
      <c r="C94" s="26" t="n"/>
      <c r="D94" s="233" t="n"/>
      <c r="E94" s="233" t="n"/>
      <c r="F94" s="233">
        <f>D94+E94</f>
        <v/>
      </c>
      <c r="G94" s="233" t="n"/>
      <c r="H94" s="233" t="n"/>
      <c r="I94" s="233">
        <f>G94+H94</f>
        <v/>
      </c>
      <c r="J94" s="238">
        <f>I94-F94</f>
        <v/>
      </c>
      <c r="K94" s="235">
        <f>IF(F94=0,"",I94/F94)</f>
        <v/>
      </c>
      <c r="L94" s="26" t="n"/>
      <c r="M94" s="233" t="n"/>
      <c r="N94" s="233" t="n"/>
      <c r="O94" s="233">
        <f>M94+N94</f>
        <v/>
      </c>
      <c r="P94" s="233" t="n"/>
      <c r="Q94" s="233" t="n"/>
      <c r="R94" s="233">
        <f>P94+Q94</f>
        <v/>
      </c>
      <c r="S94" s="238">
        <f>R94-O94</f>
        <v/>
      </c>
      <c r="T94" s="235">
        <f>IF(O94=0,"",R94/O94)</f>
        <v/>
      </c>
      <c r="U94" s="26" t="n"/>
      <c r="V94" s="236">
        <f>D94+M94</f>
        <v/>
      </c>
      <c r="W94" s="236">
        <f>E94+N94</f>
        <v/>
      </c>
      <c r="X94" s="236">
        <f>V94+W94</f>
        <v/>
      </c>
      <c r="Y94" s="236">
        <f>G94+P94</f>
        <v/>
      </c>
      <c r="Z94" s="236">
        <f>H94+Q94</f>
        <v/>
      </c>
      <c r="AA94" s="236">
        <f>Y94+Z94</f>
        <v/>
      </c>
      <c r="AB94" s="239">
        <f>AA94-X94</f>
        <v/>
      </c>
      <c r="AC94" s="237">
        <f>IF(X94=0,"",AA94/X94)</f>
        <v/>
      </c>
      <c r="AD94" s="33" t="n"/>
      <c r="AE94" s="233" t="n"/>
      <c r="AF94" s="233" t="n"/>
      <c r="AG94" s="233">
        <f>AE94+AF94</f>
        <v/>
      </c>
      <c r="AH94" s="233" t="n"/>
      <c r="AI94" s="233" t="n"/>
      <c r="AJ94" s="233">
        <f>AH94+AI94</f>
        <v/>
      </c>
      <c r="AK94" s="238">
        <f>AJ94-AG94</f>
        <v/>
      </c>
      <c r="AL94" s="235">
        <f>IF(AG94=0,"",AJ94/AG94)</f>
        <v/>
      </c>
      <c r="AM94" s="26" t="n"/>
      <c r="AN94" s="236">
        <f>V94+AE94</f>
        <v/>
      </c>
      <c r="AO94" s="236">
        <f>W94+AF94</f>
        <v/>
      </c>
      <c r="AP94" s="236">
        <f>AN94+AO94</f>
        <v/>
      </c>
      <c r="AQ94" s="236">
        <f>Y94+AH94</f>
        <v/>
      </c>
      <c r="AR94" s="236">
        <f>Z94+AI94</f>
        <v/>
      </c>
      <c r="AS94" s="236">
        <f>AQ94+AR94</f>
        <v/>
      </c>
      <c r="AT94" s="239">
        <f>AS94-AP94</f>
        <v/>
      </c>
      <c r="AU94" s="237">
        <f>IF(AP94=0,"",AS94/AP94)</f>
        <v/>
      </c>
      <c r="AV94" s="33" t="n"/>
      <c r="AW94" s="233" t="n"/>
      <c r="AX94" s="233" t="n"/>
      <c r="AY94" s="233">
        <f>AW94+AX94</f>
        <v/>
      </c>
      <c r="AZ94" s="233" t="n"/>
      <c r="BA94" s="233" t="n"/>
      <c r="BB94" s="233">
        <f>AZ94+BA94</f>
        <v/>
      </c>
      <c r="BC94" s="238">
        <f>BB94-AY94</f>
        <v/>
      </c>
      <c r="BD94" s="235">
        <f>IF(AY94=0,"",BB94/AY94)</f>
        <v/>
      </c>
      <c r="BE94" s="26" t="n"/>
      <c r="BF94" s="236">
        <f>AN94+AW94</f>
        <v/>
      </c>
      <c r="BG94" s="236">
        <f>AO94+AX94</f>
        <v/>
      </c>
      <c r="BH94" s="236">
        <f>BF94+BG94</f>
        <v/>
      </c>
      <c r="BI94" s="236">
        <f>AQ94+AZ94</f>
        <v/>
      </c>
      <c r="BJ94" s="236">
        <f>AR94+BA94</f>
        <v/>
      </c>
      <c r="BK94" s="236">
        <f>BI94+BJ94</f>
        <v/>
      </c>
      <c r="BL94" s="239">
        <f>BK94-BH94</f>
        <v/>
      </c>
      <c r="BM94" s="237">
        <f>IF(BH94=0,"",BK94/BH94)</f>
        <v/>
      </c>
      <c r="BN94" s="33" t="n"/>
      <c r="BO94" s="233" t="n"/>
      <c r="BP94" s="233" t="n"/>
      <c r="BQ94" s="233">
        <f>BO94+BP94</f>
        <v/>
      </c>
      <c r="BR94" s="233" t="n"/>
      <c r="BS94" s="233" t="n"/>
      <c r="BT94" s="233">
        <f>BR94+BS94</f>
        <v/>
      </c>
      <c r="BU94" s="238">
        <f>BT94-BQ94</f>
        <v/>
      </c>
      <c r="BV94" s="235">
        <f>IF(BQ94=0,"",BT94/BQ94)</f>
        <v/>
      </c>
      <c r="BW94" s="26" t="n"/>
      <c r="BX94" s="236">
        <f>BF94+BO94</f>
        <v/>
      </c>
      <c r="BY94" s="236">
        <f>BG94+BP94</f>
        <v/>
      </c>
      <c r="BZ94" s="236">
        <f>BX94+BY94</f>
        <v/>
      </c>
      <c r="CA94" s="236">
        <f>BI94+BR94</f>
        <v/>
      </c>
      <c r="CB94" s="236">
        <f>BJ94+BS94</f>
        <v/>
      </c>
      <c r="CC94" s="236">
        <f>CA94+CB94</f>
        <v/>
      </c>
      <c r="CD94" s="239">
        <f>CC94-BZ94</f>
        <v/>
      </c>
      <c r="CE94" s="237">
        <f>IF(BZ94=0,"",CC94/BZ94)</f>
        <v/>
      </c>
      <c r="CF94" s="33" t="n"/>
      <c r="CG94" s="233" t="n"/>
      <c r="CH94" s="233" t="n"/>
      <c r="CI94" s="233">
        <f>CG94+CH94</f>
        <v/>
      </c>
      <c r="CJ94" s="233" t="n"/>
      <c r="CK94" s="233" t="n"/>
      <c r="CL94" s="233">
        <f>CJ94+CK94</f>
        <v/>
      </c>
      <c r="CM94" s="238">
        <f>CL94-CI94</f>
        <v/>
      </c>
      <c r="CN94" s="235">
        <f>IF(CI94=0,"",CL94/CI94)</f>
        <v/>
      </c>
      <c r="CO94" s="26" t="n"/>
      <c r="CP94" s="236">
        <f>BX94+CG94</f>
        <v/>
      </c>
      <c r="CQ94" s="236">
        <f>BY94+CH94</f>
        <v/>
      </c>
      <c r="CR94" s="236">
        <f>CP94+CQ94</f>
        <v/>
      </c>
      <c r="CS94" s="236">
        <f>CA94+CJ94</f>
        <v/>
      </c>
      <c r="CT94" s="236">
        <f>CB94+CK94</f>
        <v/>
      </c>
      <c r="CU94" s="236">
        <f>CS94+CT94</f>
        <v/>
      </c>
      <c r="CV94" s="239">
        <f>CU94-CR94</f>
        <v/>
      </c>
      <c r="CW94" s="237">
        <f>IF(CR94=0,"",CU94/CR94)</f>
        <v/>
      </c>
      <c r="CX94" s="33" t="n"/>
      <c r="CY94" s="233" t="n"/>
      <c r="CZ94" s="233" t="n"/>
      <c r="DA94" s="233">
        <f>CY94+CZ94</f>
        <v/>
      </c>
      <c r="DB94" s="233" t="n"/>
      <c r="DC94" s="233" t="n"/>
      <c r="DD94" s="233">
        <f>DB94+DC94</f>
        <v/>
      </c>
      <c r="DE94" s="238">
        <f>DD94-DA94</f>
        <v/>
      </c>
      <c r="DF94" s="235">
        <f>IF(DA94=0,"",DD94/DA94)</f>
        <v/>
      </c>
      <c r="DG94" s="26" t="n"/>
      <c r="DH94" s="236">
        <f>CP94+CY94</f>
        <v/>
      </c>
      <c r="DI94" s="236">
        <f>CQ94+CZ94</f>
        <v/>
      </c>
      <c r="DJ94" s="236">
        <f>DH94+DI94</f>
        <v/>
      </c>
      <c r="DK94" s="236">
        <f>CS94+DB94</f>
        <v/>
      </c>
      <c r="DL94" s="236">
        <f>CT94+DC94</f>
        <v/>
      </c>
      <c r="DM94" s="236">
        <f>DK94+DL94</f>
        <v/>
      </c>
      <c r="DN94" s="239">
        <f>DM94-DJ94</f>
        <v/>
      </c>
      <c r="DO94" s="237">
        <f>IF(DJ94=0,"",DM94/DJ94)</f>
        <v/>
      </c>
      <c r="DP94" s="33" t="n"/>
      <c r="DQ94" s="233" t="n"/>
      <c r="DR94" s="233" t="n"/>
      <c r="DS94" s="233">
        <f>DQ94+DR94</f>
        <v/>
      </c>
      <c r="DT94" s="233" t="n"/>
      <c r="DU94" s="233" t="n"/>
      <c r="DV94" s="233">
        <f>DT94+DU94</f>
        <v/>
      </c>
      <c r="DW94" s="238">
        <f>DV94-DS94</f>
        <v/>
      </c>
      <c r="DX94" s="235">
        <f>IF(DS94=0,"",DV94/DS94)</f>
        <v/>
      </c>
      <c r="DY94" s="26" t="n"/>
      <c r="DZ94" s="236">
        <f>DH94+DQ94</f>
        <v/>
      </c>
      <c r="EA94" s="236">
        <f>DI94+DR94</f>
        <v/>
      </c>
      <c r="EB94" s="236">
        <f>DZ94+EA94</f>
        <v/>
      </c>
      <c r="EC94" s="236">
        <f>DK94+DT94</f>
        <v/>
      </c>
      <c r="ED94" s="236">
        <f>DL94+DU94</f>
        <v/>
      </c>
      <c r="EE94" s="236">
        <f>EC94+ED94</f>
        <v/>
      </c>
      <c r="EF94" s="239">
        <f>EE94-EB94</f>
        <v/>
      </c>
      <c r="EG94" s="237">
        <f>IF(EB94=0,"",EE94/EB94)</f>
        <v/>
      </c>
      <c r="EH94" s="33" t="n"/>
      <c r="EI94" s="233" t="n"/>
      <c r="EJ94" s="233" t="n"/>
      <c r="EK94" s="233">
        <f>EI94+EJ94</f>
        <v/>
      </c>
      <c r="EL94" s="233" t="n"/>
      <c r="EM94" s="233" t="n"/>
      <c r="EN94" s="233">
        <f>EL94+EM94</f>
        <v/>
      </c>
      <c r="EO94" s="238">
        <f>EN94-EK94</f>
        <v/>
      </c>
      <c r="EP94" s="235">
        <f>IF(EK94=0,"",EN94/EK94)</f>
        <v/>
      </c>
      <c r="EQ94" s="26" t="n"/>
      <c r="ER94" s="236">
        <f>DZ94+EI94</f>
        <v/>
      </c>
      <c r="ES94" s="236">
        <f>EA94+EJ94</f>
        <v/>
      </c>
      <c r="ET94" s="236">
        <f>ER94+ES94</f>
        <v/>
      </c>
      <c r="EU94" s="236">
        <f>EC94+EL94</f>
        <v/>
      </c>
      <c r="EV94" s="236">
        <f>ED94+EM94</f>
        <v/>
      </c>
      <c r="EW94" s="236">
        <f>EU94+EV94</f>
        <v/>
      </c>
      <c r="EX94" s="239">
        <f>EW94-ET94</f>
        <v/>
      </c>
      <c r="EY94" s="237">
        <f>IF(ET94=0,"",EW94/ET94)</f>
        <v/>
      </c>
      <c r="EZ94" s="33" t="n"/>
      <c r="FA94" s="233" t="n"/>
      <c r="FB94" s="233" t="n"/>
      <c r="FC94" s="233">
        <f>FA94+FB94</f>
        <v/>
      </c>
      <c r="FD94" s="233" t="n"/>
      <c r="FE94" s="233" t="n"/>
      <c r="FF94" s="233">
        <f>FD94+FE94</f>
        <v/>
      </c>
      <c r="FG94" s="238">
        <f>FF94-FC94</f>
        <v/>
      </c>
      <c r="FH94" s="235">
        <f>IF(FC94=0,"",FF94/FC94)</f>
        <v/>
      </c>
      <c r="FI94" s="26" t="n"/>
      <c r="FJ94" s="236">
        <f>ER94+FA94</f>
        <v/>
      </c>
      <c r="FK94" s="236">
        <f>ES94+FB94</f>
        <v/>
      </c>
      <c r="FL94" s="236">
        <f>FJ94+FK94</f>
        <v/>
      </c>
      <c r="FM94" s="236">
        <f>EU94+FD94</f>
        <v/>
      </c>
      <c r="FN94" s="236">
        <f>EV94+FE94</f>
        <v/>
      </c>
      <c r="FO94" s="236">
        <f>FM94+FN94</f>
        <v/>
      </c>
      <c r="FP94" s="239">
        <f>FO94-FL94</f>
        <v/>
      </c>
      <c r="FQ94" s="237">
        <f>IF(FL94=0,"",FO94/FL94)</f>
        <v/>
      </c>
      <c r="FR94" s="33" t="n"/>
      <c r="FS94" s="233" t="n"/>
      <c r="FT94" s="233" t="n"/>
      <c r="FU94" s="233">
        <f>FS94+FT94</f>
        <v/>
      </c>
      <c r="FV94" s="233" t="n"/>
      <c r="FW94" s="233" t="n"/>
      <c r="FX94" s="233">
        <f>FV94+FW94</f>
        <v/>
      </c>
      <c r="FY94" s="238">
        <f>FX94-FU94</f>
        <v/>
      </c>
      <c r="FZ94" s="235">
        <f>IF(FU94=0,"",FX94/FU94)</f>
        <v/>
      </c>
      <c r="GA94" s="26" t="n"/>
      <c r="GB94" s="236">
        <f>FJ94+FS94</f>
        <v/>
      </c>
      <c r="GC94" s="236">
        <f>FK94+FT94</f>
        <v/>
      </c>
      <c r="GD94" s="236">
        <f>GB94+GC94</f>
        <v/>
      </c>
      <c r="GE94" s="236">
        <f>FM94+FV94</f>
        <v/>
      </c>
      <c r="GF94" s="236">
        <f>FN94+FW94</f>
        <v/>
      </c>
      <c r="GG94" s="236">
        <f>GE94+GF94</f>
        <v/>
      </c>
      <c r="GH94" s="239">
        <f>GG94-GD94</f>
        <v/>
      </c>
      <c r="GI94" s="237">
        <f>IF(GD94=0,"",GG94/GD94)</f>
        <v/>
      </c>
      <c r="GJ94" s="33" t="n"/>
      <c r="GK94" s="233" t="n"/>
      <c r="GL94" s="233" t="n"/>
      <c r="GM94" s="233">
        <f>GK94+GL94</f>
        <v/>
      </c>
      <c r="GN94" s="233" t="n"/>
      <c r="GO94" s="233" t="n"/>
      <c r="GP94" s="233">
        <f>GN94+GO94</f>
        <v/>
      </c>
      <c r="GQ94" s="238">
        <f>GP94-GM94</f>
        <v/>
      </c>
      <c r="GR94" s="235">
        <f>IF(GM94=0,"",GP94/GM94)</f>
        <v/>
      </c>
      <c r="GS94" s="26" t="n"/>
      <c r="GT94" s="236">
        <f>GB94+GK94</f>
        <v/>
      </c>
      <c r="GU94" s="236">
        <f>GC94+GL94</f>
        <v/>
      </c>
      <c r="GV94" s="236">
        <f>GT94+GU94</f>
        <v/>
      </c>
      <c r="GW94" s="236">
        <f>GE94+GN94</f>
        <v/>
      </c>
      <c r="GX94" s="236">
        <f>GF94+GO94</f>
        <v/>
      </c>
      <c r="GY94" s="236">
        <f>GW94+GX94</f>
        <v/>
      </c>
      <c r="GZ94" s="239">
        <f>GY94-GV94</f>
        <v/>
      </c>
      <c r="HA94" s="237">
        <f>IF(GV94=0,"",GY94/GV94)</f>
        <v/>
      </c>
      <c r="HB94" s="33" t="n"/>
      <c r="HC94" s="233">
        <f>GT94</f>
        <v/>
      </c>
      <c r="HD94" s="233">
        <f>GU94</f>
        <v/>
      </c>
      <c r="HE94" s="233">
        <f>HC94+HD94</f>
        <v/>
      </c>
    </row>
    <row r="95" outlineLevel="1" ht="15" customHeight="1" s="150">
      <c r="A95" s="26" t="n"/>
      <c r="B95" s="26" t="n"/>
      <c r="C95" s="26" t="n"/>
      <c r="D95" s="233" t="n"/>
      <c r="E95" s="233" t="n"/>
      <c r="F95" s="233">
        <f>D95+E95</f>
        <v/>
      </c>
      <c r="G95" s="233" t="n"/>
      <c r="H95" s="233" t="n"/>
      <c r="I95" s="233">
        <f>G95+H95</f>
        <v/>
      </c>
      <c r="J95" s="238">
        <f>I95-F95</f>
        <v/>
      </c>
      <c r="K95" s="235">
        <f>IF(F95=0,"",I95/F95)</f>
        <v/>
      </c>
      <c r="L95" s="26" t="n"/>
      <c r="M95" s="233" t="n"/>
      <c r="N95" s="233" t="n"/>
      <c r="O95" s="233">
        <f>M95+N95</f>
        <v/>
      </c>
      <c r="P95" s="233" t="n"/>
      <c r="Q95" s="233" t="n"/>
      <c r="R95" s="233">
        <f>P95+Q95</f>
        <v/>
      </c>
      <c r="S95" s="238">
        <f>R95-O95</f>
        <v/>
      </c>
      <c r="T95" s="235">
        <f>IF(O95=0,"",R95/O95)</f>
        <v/>
      </c>
      <c r="U95" s="26" t="n"/>
      <c r="V95" s="236">
        <f>D95+M95</f>
        <v/>
      </c>
      <c r="W95" s="236">
        <f>E95+N95</f>
        <v/>
      </c>
      <c r="X95" s="236">
        <f>V95+W95</f>
        <v/>
      </c>
      <c r="Y95" s="236">
        <f>G95+P95</f>
        <v/>
      </c>
      <c r="Z95" s="236">
        <f>H95+Q95</f>
        <v/>
      </c>
      <c r="AA95" s="236">
        <f>Y95+Z95</f>
        <v/>
      </c>
      <c r="AB95" s="239">
        <f>AA95-X95</f>
        <v/>
      </c>
      <c r="AC95" s="237">
        <f>IF(X95=0,"",AA95/X95)</f>
        <v/>
      </c>
      <c r="AD95" s="33" t="n"/>
      <c r="AE95" s="233" t="n"/>
      <c r="AF95" s="233" t="n"/>
      <c r="AG95" s="233">
        <f>AE95+AF95</f>
        <v/>
      </c>
      <c r="AH95" s="233" t="n"/>
      <c r="AI95" s="233" t="n"/>
      <c r="AJ95" s="233">
        <f>AH95+AI95</f>
        <v/>
      </c>
      <c r="AK95" s="238">
        <f>AJ95-AG95</f>
        <v/>
      </c>
      <c r="AL95" s="235">
        <f>IF(AG95=0,"",AJ95/AG95)</f>
        <v/>
      </c>
      <c r="AM95" s="26" t="n"/>
      <c r="AN95" s="236">
        <f>V95+AE95</f>
        <v/>
      </c>
      <c r="AO95" s="236">
        <f>W95+AF95</f>
        <v/>
      </c>
      <c r="AP95" s="236">
        <f>AN95+AO95</f>
        <v/>
      </c>
      <c r="AQ95" s="236">
        <f>Y95+AH95</f>
        <v/>
      </c>
      <c r="AR95" s="236">
        <f>Z95+AI95</f>
        <v/>
      </c>
      <c r="AS95" s="236">
        <f>AQ95+AR95</f>
        <v/>
      </c>
      <c r="AT95" s="239">
        <f>AS95-AP95</f>
        <v/>
      </c>
      <c r="AU95" s="237">
        <f>IF(AP95=0,"",AS95/AP95)</f>
        <v/>
      </c>
      <c r="AV95" s="33" t="n"/>
      <c r="AW95" s="233" t="n"/>
      <c r="AX95" s="233" t="n"/>
      <c r="AY95" s="233">
        <f>AW95+AX95</f>
        <v/>
      </c>
      <c r="AZ95" s="233" t="n"/>
      <c r="BA95" s="233" t="n"/>
      <c r="BB95" s="233">
        <f>AZ95+BA95</f>
        <v/>
      </c>
      <c r="BC95" s="238">
        <f>BB95-AY95</f>
        <v/>
      </c>
      <c r="BD95" s="235">
        <f>IF(AY95=0,"",BB95/AY95)</f>
        <v/>
      </c>
      <c r="BE95" s="26" t="n"/>
      <c r="BF95" s="236">
        <f>AN95+AW95</f>
        <v/>
      </c>
      <c r="BG95" s="236">
        <f>AO95+AX95</f>
        <v/>
      </c>
      <c r="BH95" s="236">
        <f>BF95+BG95</f>
        <v/>
      </c>
      <c r="BI95" s="236">
        <f>AQ95+AZ95</f>
        <v/>
      </c>
      <c r="BJ95" s="236">
        <f>AR95+BA95</f>
        <v/>
      </c>
      <c r="BK95" s="236">
        <f>BI95+BJ95</f>
        <v/>
      </c>
      <c r="BL95" s="239">
        <f>BK95-BH95</f>
        <v/>
      </c>
      <c r="BM95" s="237">
        <f>IF(BH95=0,"",BK95/BH95)</f>
        <v/>
      </c>
      <c r="BN95" s="33" t="n"/>
      <c r="BO95" s="233" t="n"/>
      <c r="BP95" s="233" t="n"/>
      <c r="BQ95" s="233">
        <f>BO95+BP95</f>
        <v/>
      </c>
      <c r="BR95" s="233" t="n"/>
      <c r="BS95" s="233" t="n"/>
      <c r="BT95" s="233">
        <f>BR95+BS95</f>
        <v/>
      </c>
      <c r="BU95" s="238">
        <f>BT95-BQ95</f>
        <v/>
      </c>
      <c r="BV95" s="235">
        <f>IF(BQ95=0,"",BT95/BQ95)</f>
        <v/>
      </c>
      <c r="BW95" s="26" t="n"/>
      <c r="BX95" s="236">
        <f>BF95+BO95</f>
        <v/>
      </c>
      <c r="BY95" s="236">
        <f>BG95+BP95</f>
        <v/>
      </c>
      <c r="BZ95" s="236">
        <f>BX95+BY95</f>
        <v/>
      </c>
      <c r="CA95" s="236">
        <f>BI95+BR95</f>
        <v/>
      </c>
      <c r="CB95" s="236">
        <f>BJ95+BS95</f>
        <v/>
      </c>
      <c r="CC95" s="236">
        <f>CA95+CB95</f>
        <v/>
      </c>
      <c r="CD95" s="239">
        <f>CC95-BZ95</f>
        <v/>
      </c>
      <c r="CE95" s="237">
        <f>IF(BZ95=0,"",CC95/BZ95)</f>
        <v/>
      </c>
      <c r="CF95" s="33" t="n"/>
      <c r="CG95" s="233" t="n"/>
      <c r="CH95" s="233" t="n"/>
      <c r="CI95" s="233">
        <f>CG95+CH95</f>
        <v/>
      </c>
      <c r="CJ95" s="233" t="n"/>
      <c r="CK95" s="233" t="n"/>
      <c r="CL95" s="233">
        <f>CJ95+CK95</f>
        <v/>
      </c>
      <c r="CM95" s="238">
        <f>CL95-CI95</f>
        <v/>
      </c>
      <c r="CN95" s="235">
        <f>IF(CI95=0,"",CL95/CI95)</f>
        <v/>
      </c>
      <c r="CO95" s="26" t="n"/>
      <c r="CP95" s="236">
        <f>BX95+CG95</f>
        <v/>
      </c>
      <c r="CQ95" s="236">
        <f>BY95+CH95</f>
        <v/>
      </c>
      <c r="CR95" s="236">
        <f>CP95+CQ95</f>
        <v/>
      </c>
      <c r="CS95" s="236">
        <f>CA95+CJ95</f>
        <v/>
      </c>
      <c r="CT95" s="236">
        <f>CB95+CK95</f>
        <v/>
      </c>
      <c r="CU95" s="236">
        <f>CS95+CT95</f>
        <v/>
      </c>
      <c r="CV95" s="239">
        <f>CU95-CR95</f>
        <v/>
      </c>
      <c r="CW95" s="237">
        <f>IF(CR95=0,"",CU95/CR95)</f>
        <v/>
      </c>
      <c r="CX95" s="33" t="n"/>
      <c r="CY95" s="233" t="n"/>
      <c r="CZ95" s="233" t="n"/>
      <c r="DA95" s="233">
        <f>CY95+CZ95</f>
        <v/>
      </c>
      <c r="DB95" s="233" t="n"/>
      <c r="DC95" s="233" t="n"/>
      <c r="DD95" s="233">
        <f>DB95+DC95</f>
        <v/>
      </c>
      <c r="DE95" s="238">
        <f>DD95-DA95</f>
        <v/>
      </c>
      <c r="DF95" s="235">
        <f>IF(DA95=0,"",DD95/DA95)</f>
        <v/>
      </c>
      <c r="DG95" s="26" t="n"/>
      <c r="DH95" s="236">
        <f>CP95+CY95</f>
        <v/>
      </c>
      <c r="DI95" s="236">
        <f>CQ95+CZ95</f>
        <v/>
      </c>
      <c r="DJ95" s="236">
        <f>DH95+DI95</f>
        <v/>
      </c>
      <c r="DK95" s="236">
        <f>CS95+DB95</f>
        <v/>
      </c>
      <c r="DL95" s="236">
        <f>CT95+DC95</f>
        <v/>
      </c>
      <c r="DM95" s="236">
        <f>DK95+DL95</f>
        <v/>
      </c>
      <c r="DN95" s="239">
        <f>DM95-DJ95</f>
        <v/>
      </c>
      <c r="DO95" s="237">
        <f>IF(DJ95=0,"",DM95/DJ95)</f>
        <v/>
      </c>
      <c r="DP95" s="33" t="n"/>
      <c r="DQ95" s="233" t="n"/>
      <c r="DR95" s="233" t="n"/>
      <c r="DS95" s="233">
        <f>DQ95+DR95</f>
        <v/>
      </c>
      <c r="DT95" s="233" t="n"/>
      <c r="DU95" s="233" t="n"/>
      <c r="DV95" s="233">
        <f>DT95+DU95</f>
        <v/>
      </c>
      <c r="DW95" s="238">
        <f>DV95-DS95</f>
        <v/>
      </c>
      <c r="DX95" s="235">
        <f>IF(DS95=0,"",DV95/DS95)</f>
        <v/>
      </c>
      <c r="DY95" s="26" t="n"/>
      <c r="DZ95" s="236">
        <f>DH95+DQ95</f>
        <v/>
      </c>
      <c r="EA95" s="236">
        <f>DI95+DR95</f>
        <v/>
      </c>
      <c r="EB95" s="236">
        <f>DZ95+EA95</f>
        <v/>
      </c>
      <c r="EC95" s="236">
        <f>DK95+DT95</f>
        <v/>
      </c>
      <c r="ED95" s="236">
        <f>DL95+DU95</f>
        <v/>
      </c>
      <c r="EE95" s="236">
        <f>EC95+ED95</f>
        <v/>
      </c>
      <c r="EF95" s="239">
        <f>EE95-EB95</f>
        <v/>
      </c>
      <c r="EG95" s="237">
        <f>IF(EB95=0,"",EE95/EB95)</f>
        <v/>
      </c>
      <c r="EH95" s="33" t="n"/>
      <c r="EI95" s="233" t="n"/>
      <c r="EJ95" s="233" t="n"/>
      <c r="EK95" s="233">
        <f>EI95+EJ95</f>
        <v/>
      </c>
      <c r="EL95" s="233" t="n"/>
      <c r="EM95" s="233" t="n"/>
      <c r="EN95" s="233">
        <f>EL95+EM95</f>
        <v/>
      </c>
      <c r="EO95" s="238">
        <f>EN95-EK95</f>
        <v/>
      </c>
      <c r="EP95" s="235">
        <f>IF(EK95=0,"",EN95/EK95)</f>
        <v/>
      </c>
      <c r="EQ95" s="26" t="n"/>
      <c r="ER95" s="236">
        <f>DZ95+EI95</f>
        <v/>
      </c>
      <c r="ES95" s="236">
        <f>EA95+EJ95</f>
        <v/>
      </c>
      <c r="ET95" s="236">
        <f>ER95+ES95</f>
        <v/>
      </c>
      <c r="EU95" s="236">
        <f>EC95+EL95</f>
        <v/>
      </c>
      <c r="EV95" s="236">
        <f>ED95+EM95</f>
        <v/>
      </c>
      <c r="EW95" s="236">
        <f>EU95+EV95</f>
        <v/>
      </c>
      <c r="EX95" s="239">
        <f>EW95-ET95</f>
        <v/>
      </c>
      <c r="EY95" s="237">
        <f>IF(ET95=0,"",EW95/ET95)</f>
        <v/>
      </c>
      <c r="EZ95" s="33" t="n"/>
      <c r="FA95" s="233" t="n"/>
      <c r="FB95" s="233" t="n"/>
      <c r="FC95" s="233">
        <f>FA95+FB95</f>
        <v/>
      </c>
      <c r="FD95" s="233" t="n"/>
      <c r="FE95" s="233" t="n"/>
      <c r="FF95" s="233">
        <f>FD95+FE95</f>
        <v/>
      </c>
      <c r="FG95" s="238">
        <f>FF95-FC95</f>
        <v/>
      </c>
      <c r="FH95" s="235">
        <f>IF(FC95=0,"",FF95/FC95)</f>
        <v/>
      </c>
      <c r="FI95" s="26" t="n"/>
      <c r="FJ95" s="236">
        <f>ER95+FA95</f>
        <v/>
      </c>
      <c r="FK95" s="236">
        <f>ES95+FB95</f>
        <v/>
      </c>
      <c r="FL95" s="236">
        <f>FJ95+FK95</f>
        <v/>
      </c>
      <c r="FM95" s="236">
        <f>EU95+FD95</f>
        <v/>
      </c>
      <c r="FN95" s="236">
        <f>EV95+FE95</f>
        <v/>
      </c>
      <c r="FO95" s="236">
        <f>FM95+FN95</f>
        <v/>
      </c>
      <c r="FP95" s="239">
        <f>FO95-FL95</f>
        <v/>
      </c>
      <c r="FQ95" s="237">
        <f>IF(FL95=0,"",FO95/FL95)</f>
        <v/>
      </c>
      <c r="FR95" s="33" t="n"/>
      <c r="FS95" s="233" t="n"/>
      <c r="FT95" s="233" t="n"/>
      <c r="FU95" s="233">
        <f>FS95+FT95</f>
        <v/>
      </c>
      <c r="FV95" s="233" t="n"/>
      <c r="FW95" s="233" t="n"/>
      <c r="FX95" s="233">
        <f>FV95+FW95</f>
        <v/>
      </c>
      <c r="FY95" s="238">
        <f>FX95-FU95</f>
        <v/>
      </c>
      <c r="FZ95" s="235">
        <f>IF(FU95=0,"",FX95/FU95)</f>
        <v/>
      </c>
      <c r="GA95" s="26" t="n"/>
      <c r="GB95" s="236">
        <f>FJ95+FS95</f>
        <v/>
      </c>
      <c r="GC95" s="236">
        <f>FK95+FT95</f>
        <v/>
      </c>
      <c r="GD95" s="236">
        <f>GB95+GC95</f>
        <v/>
      </c>
      <c r="GE95" s="236">
        <f>FM95+FV95</f>
        <v/>
      </c>
      <c r="GF95" s="236">
        <f>FN95+FW95</f>
        <v/>
      </c>
      <c r="GG95" s="236">
        <f>GE95+GF95</f>
        <v/>
      </c>
      <c r="GH95" s="239">
        <f>GG95-GD95</f>
        <v/>
      </c>
      <c r="GI95" s="237">
        <f>IF(GD95=0,"",GG95/GD95)</f>
        <v/>
      </c>
      <c r="GJ95" s="33" t="n"/>
      <c r="GK95" s="233" t="n"/>
      <c r="GL95" s="233" t="n"/>
      <c r="GM95" s="233">
        <f>GK95+GL95</f>
        <v/>
      </c>
      <c r="GN95" s="233" t="n"/>
      <c r="GO95" s="233" t="n"/>
      <c r="GP95" s="233">
        <f>GN95+GO95</f>
        <v/>
      </c>
      <c r="GQ95" s="238">
        <f>GP95-GM95</f>
        <v/>
      </c>
      <c r="GR95" s="235">
        <f>IF(GM95=0,"",GP95/GM95)</f>
        <v/>
      </c>
      <c r="GS95" s="26" t="n"/>
      <c r="GT95" s="236">
        <f>GB95+GK95</f>
        <v/>
      </c>
      <c r="GU95" s="236">
        <f>GC95+GL95</f>
        <v/>
      </c>
      <c r="GV95" s="236">
        <f>GT95+GU95</f>
        <v/>
      </c>
      <c r="GW95" s="236">
        <f>GE95+GN95</f>
        <v/>
      </c>
      <c r="GX95" s="236">
        <f>GF95+GO95</f>
        <v/>
      </c>
      <c r="GY95" s="236">
        <f>GW95+GX95</f>
        <v/>
      </c>
      <c r="GZ95" s="239">
        <f>GY95-GV95</f>
        <v/>
      </c>
      <c r="HA95" s="237">
        <f>IF(GV95=0,"",GY95/GV95)</f>
        <v/>
      </c>
      <c r="HB95" s="33" t="n"/>
      <c r="HC95" s="233">
        <f>GT95</f>
        <v/>
      </c>
      <c r="HD95" s="233">
        <f>GU95</f>
        <v/>
      </c>
      <c r="HE95" s="233">
        <f>HC95+HD95</f>
        <v/>
      </c>
    </row>
    <row r="96" outlineLevel="1" ht="15" customHeight="1" s="150">
      <c r="A96" s="26" t="n"/>
      <c r="B96" s="26" t="n"/>
      <c r="C96" s="26" t="n"/>
      <c r="D96" s="233" t="n"/>
      <c r="E96" s="233" t="n"/>
      <c r="F96" s="233">
        <f>D96+E96</f>
        <v/>
      </c>
      <c r="G96" s="233" t="n"/>
      <c r="H96" s="233" t="n"/>
      <c r="I96" s="233">
        <f>G96+H96</f>
        <v/>
      </c>
      <c r="J96" s="238">
        <f>I96-F96</f>
        <v/>
      </c>
      <c r="K96" s="235">
        <f>IF(F96=0,"",I96/F96)</f>
        <v/>
      </c>
      <c r="L96" s="26" t="n"/>
      <c r="M96" s="233" t="n"/>
      <c r="N96" s="233" t="n"/>
      <c r="O96" s="233">
        <f>M96+N96</f>
        <v/>
      </c>
      <c r="P96" s="233" t="n"/>
      <c r="Q96" s="233" t="n"/>
      <c r="R96" s="233">
        <f>P96+Q96</f>
        <v/>
      </c>
      <c r="S96" s="238">
        <f>R96-O96</f>
        <v/>
      </c>
      <c r="T96" s="235">
        <f>IF(O96=0,"",R96/O96)</f>
        <v/>
      </c>
      <c r="U96" s="26" t="n"/>
      <c r="V96" s="236">
        <f>D96+M96</f>
        <v/>
      </c>
      <c r="W96" s="236">
        <f>E96+N96</f>
        <v/>
      </c>
      <c r="X96" s="236">
        <f>V96+W96</f>
        <v/>
      </c>
      <c r="Y96" s="236">
        <f>G96+P96</f>
        <v/>
      </c>
      <c r="Z96" s="236">
        <f>H96+Q96</f>
        <v/>
      </c>
      <c r="AA96" s="236">
        <f>Y96+Z96</f>
        <v/>
      </c>
      <c r="AB96" s="239">
        <f>AA96-X96</f>
        <v/>
      </c>
      <c r="AC96" s="237">
        <f>IF(X96=0,"",AA96/X96)</f>
        <v/>
      </c>
      <c r="AD96" s="33" t="n"/>
      <c r="AE96" s="233" t="n"/>
      <c r="AF96" s="233" t="n"/>
      <c r="AG96" s="233">
        <f>AE96+AF96</f>
        <v/>
      </c>
      <c r="AH96" s="233" t="n"/>
      <c r="AI96" s="233" t="n"/>
      <c r="AJ96" s="233">
        <f>AH96+AI96</f>
        <v/>
      </c>
      <c r="AK96" s="238">
        <f>AJ96-AG96</f>
        <v/>
      </c>
      <c r="AL96" s="235">
        <f>IF(AG96=0,"",AJ96/AG96)</f>
        <v/>
      </c>
      <c r="AM96" s="26" t="n"/>
      <c r="AN96" s="236">
        <f>V96+AE96</f>
        <v/>
      </c>
      <c r="AO96" s="236">
        <f>W96+AF96</f>
        <v/>
      </c>
      <c r="AP96" s="236">
        <f>AN96+AO96</f>
        <v/>
      </c>
      <c r="AQ96" s="236">
        <f>Y96+AH96</f>
        <v/>
      </c>
      <c r="AR96" s="236">
        <f>Z96+AI96</f>
        <v/>
      </c>
      <c r="AS96" s="236">
        <f>AQ96+AR96</f>
        <v/>
      </c>
      <c r="AT96" s="239">
        <f>AS96-AP96</f>
        <v/>
      </c>
      <c r="AU96" s="237">
        <f>IF(AP96=0,"",AS96/AP96)</f>
        <v/>
      </c>
      <c r="AV96" s="33" t="n"/>
      <c r="AW96" s="233" t="n"/>
      <c r="AX96" s="233" t="n"/>
      <c r="AY96" s="233">
        <f>AW96+AX96</f>
        <v/>
      </c>
      <c r="AZ96" s="233" t="n"/>
      <c r="BA96" s="233" t="n"/>
      <c r="BB96" s="233">
        <f>AZ96+BA96</f>
        <v/>
      </c>
      <c r="BC96" s="238">
        <f>BB96-AY96</f>
        <v/>
      </c>
      <c r="BD96" s="235">
        <f>IF(AY96=0,"",BB96/AY96)</f>
        <v/>
      </c>
      <c r="BE96" s="26" t="n"/>
      <c r="BF96" s="236">
        <f>AN96+AW96</f>
        <v/>
      </c>
      <c r="BG96" s="236">
        <f>AO96+AX96</f>
        <v/>
      </c>
      <c r="BH96" s="236">
        <f>BF96+BG96</f>
        <v/>
      </c>
      <c r="BI96" s="236">
        <f>AQ96+AZ96</f>
        <v/>
      </c>
      <c r="BJ96" s="236">
        <f>AR96+BA96</f>
        <v/>
      </c>
      <c r="BK96" s="236">
        <f>BI96+BJ96</f>
        <v/>
      </c>
      <c r="BL96" s="239">
        <f>BK96-BH96</f>
        <v/>
      </c>
      <c r="BM96" s="237">
        <f>IF(BH96=0,"",BK96/BH96)</f>
        <v/>
      </c>
      <c r="BN96" s="33" t="n"/>
      <c r="BO96" s="233" t="n"/>
      <c r="BP96" s="233" t="n"/>
      <c r="BQ96" s="233">
        <f>BO96+BP96</f>
        <v/>
      </c>
      <c r="BR96" s="233" t="n"/>
      <c r="BS96" s="233" t="n"/>
      <c r="BT96" s="233">
        <f>BR96+BS96</f>
        <v/>
      </c>
      <c r="BU96" s="238">
        <f>BT96-BQ96</f>
        <v/>
      </c>
      <c r="BV96" s="235">
        <f>IF(BQ96=0,"",BT96/BQ96)</f>
        <v/>
      </c>
      <c r="BW96" s="26" t="n"/>
      <c r="BX96" s="236">
        <f>BF96+BO96</f>
        <v/>
      </c>
      <c r="BY96" s="236">
        <f>BG96+BP96</f>
        <v/>
      </c>
      <c r="BZ96" s="236">
        <f>BX96+BY96</f>
        <v/>
      </c>
      <c r="CA96" s="236">
        <f>BI96+BR96</f>
        <v/>
      </c>
      <c r="CB96" s="236">
        <f>BJ96+BS96</f>
        <v/>
      </c>
      <c r="CC96" s="236">
        <f>CA96+CB96</f>
        <v/>
      </c>
      <c r="CD96" s="239">
        <f>CC96-BZ96</f>
        <v/>
      </c>
      <c r="CE96" s="237">
        <f>IF(BZ96=0,"",CC96/BZ96)</f>
        <v/>
      </c>
      <c r="CF96" s="33" t="n"/>
      <c r="CG96" s="233" t="n"/>
      <c r="CH96" s="233" t="n"/>
      <c r="CI96" s="233">
        <f>CG96+CH96</f>
        <v/>
      </c>
      <c r="CJ96" s="233" t="n"/>
      <c r="CK96" s="233" t="n"/>
      <c r="CL96" s="233">
        <f>CJ96+CK96</f>
        <v/>
      </c>
      <c r="CM96" s="238">
        <f>CL96-CI96</f>
        <v/>
      </c>
      <c r="CN96" s="235">
        <f>IF(CI96=0,"",CL96/CI96)</f>
        <v/>
      </c>
      <c r="CO96" s="26" t="n"/>
      <c r="CP96" s="236">
        <f>BX96+CG96</f>
        <v/>
      </c>
      <c r="CQ96" s="236">
        <f>BY96+CH96</f>
        <v/>
      </c>
      <c r="CR96" s="236">
        <f>CP96+CQ96</f>
        <v/>
      </c>
      <c r="CS96" s="236">
        <f>CA96+CJ96</f>
        <v/>
      </c>
      <c r="CT96" s="236">
        <f>CB96+CK96</f>
        <v/>
      </c>
      <c r="CU96" s="236">
        <f>CS96+CT96</f>
        <v/>
      </c>
      <c r="CV96" s="239">
        <f>CU96-CR96</f>
        <v/>
      </c>
      <c r="CW96" s="237">
        <f>IF(CR96=0,"",CU96/CR96)</f>
        <v/>
      </c>
      <c r="CX96" s="33" t="n"/>
      <c r="CY96" s="233" t="n"/>
      <c r="CZ96" s="233" t="n"/>
      <c r="DA96" s="233">
        <f>CY96+CZ96</f>
        <v/>
      </c>
      <c r="DB96" s="233" t="n"/>
      <c r="DC96" s="233" t="n"/>
      <c r="DD96" s="233">
        <f>DB96+DC96</f>
        <v/>
      </c>
      <c r="DE96" s="238">
        <f>DD96-DA96</f>
        <v/>
      </c>
      <c r="DF96" s="235">
        <f>IF(DA96=0,"",DD96/DA96)</f>
        <v/>
      </c>
      <c r="DG96" s="26" t="n"/>
      <c r="DH96" s="236">
        <f>CP96+CY96</f>
        <v/>
      </c>
      <c r="DI96" s="236">
        <f>CQ96+CZ96</f>
        <v/>
      </c>
      <c r="DJ96" s="236">
        <f>DH96+DI96</f>
        <v/>
      </c>
      <c r="DK96" s="236">
        <f>CS96+DB96</f>
        <v/>
      </c>
      <c r="DL96" s="236">
        <f>CT96+DC96</f>
        <v/>
      </c>
      <c r="DM96" s="236">
        <f>DK96+DL96</f>
        <v/>
      </c>
      <c r="DN96" s="239">
        <f>DM96-DJ96</f>
        <v/>
      </c>
      <c r="DO96" s="237">
        <f>IF(DJ96=0,"",DM96/DJ96)</f>
        <v/>
      </c>
      <c r="DP96" s="33" t="n"/>
      <c r="DQ96" s="233" t="n"/>
      <c r="DR96" s="233" t="n"/>
      <c r="DS96" s="233">
        <f>DQ96+DR96</f>
        <v/>
      </c>
      <c r="DT96" s="233" t="n"/>
      <c r="DU96" s="233" t="n"/>
      <c r="DV96" s="233">
        <f>DT96+DU96</f>
        <v/>
      </c>
      <c r="DW96" s="238">
        <f>DV96-DS96</f>
        <v/>
      </c>
      <c r="DX96" s="235">
        <f>IF(DS96=0,"",DV96/DS96)</f>
        <v/>
      </c>
      <c r="DY96" s="26" t="n"/>
      <c r="DZ96" s="236">
        <f>DH96+DQ96</f>
        <v/>
      </c>
      <c r="EA96" s="236">
        <f>DI96+DR96</f>
        <v/>
      </c>
      <c r="EB96" s="236">
        <f>DZ96+EA96</f>
        <v/>
      </c>
      <c r="EC96" s="236">
        <f>DK96+DT96</f>
        <v/>
      </c>
      <c r="ED96" s="236">
        <f>DL96+DU96</f>
        <v/>
      </c>
      <c r="EE96" s="236">
        <f>EC96+ED96</f>
        <v/>
      </c>
      <c r="EF96" s="239">
        <f>EE96-EB96</f>
        <v/>
      </c>
      <c r="EG96" s="237">
        <f>IF(EB96=0,"",EE96/EB96)</f>
        <v/>
      </c>
      <c r="EH96" s="33" t="n"/>
      <c r="EI96" s="233" t="n"/>
      <c r="EJ96" s="233" t="n"/>
      <c r="EK96" s="233">
        <f>EI96+EJ96</f>
        <v/>
      </c>
      <c r="EL96" s="233" t="n"/>
      <c r="EM96" s="233" t="n"/>
      <c r="EN96" s="233">
        <f>EL96+EM96</f>
        <v/>
      </c>
      <c r="EO96" s="238">
        <f>EN96-EK96</f>
        <v/>
      </c>
      <c r="EP96" s="235">
        <f>IF(EK96=0,"",EN96/EK96)</f>
        <v/>
      </c>
      <c r="EQ96" s="26" t="n"/>
      <c r="ER96" s="236">
        <f>DZ96+EI96</f>
        <v/>
      </c>
      <c r="ES96" s="236">
        <f>EA96+EJ96</f>
        <v/>
      </c>
      <c r="ET96" s="236">
        <f>ER96+ES96</f>
        <v/>
      </c>
      <c r="EU96" s="236">
        <f>EC96+EL96</f>
        <v/>
      </c>
      <c r="EV96" s="236">
        <f>ED96+EM96</f>
        <v/>
      </c>
      <c r="EW96" s="236">
        <f>EU96+EV96</f>
        <v/>
      </c>
      <c r="EX96" s="239">
        <f>EW96-ET96</f>
        <v/>
      </c>
      <c r="EY96" s="237">
        <f>IF(ET96=0,"",EW96/ET96)</f>
        <v/>
      </c>
      <c r="EZ96" s="33" t="n"/>
      <c r="FA96" s="233" t="n"/>
      <c r="FB96" s="233" t="n"/>
      <c r="FC96" s="233">
        <f>FA96+FB96</f>
        <v/>
      </c>
      <c r="FD96" s="233" t="n"/>
      <c r="FE96" s="233" t="n"/>
      <c r="FF96" s="233">
        <f>FD96+FE96</f>
        <v/>
      </c>
      <c r="FG96" s="238">
        <f>FF96-FC96</f>
        <v/>
      </c>
      <c r="FH96" s="235">
        <f>IF(FC96=0,"",FF96/FC96)</f>
        <v/>
      </c>
      <c r="FI96" s="26" t="n"/>
      <c r="FJ96" s="236">
        <f>ER96+FA96</f>
        <v/>
      </c>
      <c r="FK96" s="236">
        <f>ES96+FB96</f>
        <v/>
      </c>
      <c r="FL96" s="236">
        <f>FJ96+FK96</f>
        <v/>
      </c>
      <c r="FM96" s="236">
        <f>EU96+FD96</f>
        <v/>
      </c>
      <c r="FN96" s="236">
        <f>EV96+FE96</f>
        <v/>
      </c>
      <c r="FO96" s="236">
        <f>FM96+FN96</f>
        <v/>
      </c>
      <c r="FP96" s="239">
        <f>FO96-FL96</f>
        <v/>
      </c>
      <c r="FQ96" s="237">
        <f>IF(FL96=0,"",FO96/FL96)</f>
        <v/>
      </c>
      <c r="FR96" s="33" t="n"/>
      <c r="FS96" s="233" t="n"/>
      <c r="FT96" s="233" t="n"/>
      <c r="FU96" s="233">
        <f>FS96+FT96</f>
        <v/>
      </c>
      <c r="FV96" s="233" t="n"/>
      <c r="FW96" s="233" t="n"/>
      <c r="FX96" s="233">
        <f>FV96+FW96</f>
        <v/>
      </c>
      <c r="FY96" s="238">
        <f>FX96-FU96</f>
        <v/>
      </c>
      <c r="FZ96" s="235">
        <f>IF(FU96=0,"",FX96/FU96)</f>
        <v/>
      </c>
      <c r="GA96" s="26" t="n"/>
      <c r="GB96" s="236">
        <f>FJ96+FS96</f>
        <v/>
      </c>
      <c r="GC96" s="236">
        <f>FK96+FT96</f>
        <v/>
      </c>
      <c r="GD96" s="236">
        <f>GB96+GC96</f>
        <v/>
      </c>
      <c r="GE96" s="236">
        <f>FM96+FV96</f>
        <v/>
      </c>
      <c r="GF96" s="236">
        <f>FN96+FW96</f>
        <v/>
      </c>
      <c r="GG96" s="236">
        <f>GE96+GF96</f>
        <v/>
      </c>
      <c r="GH96" s="239">
        <f>GG96-GD96</f>
        <v/>
      </c>
      <c r="GI96" s="237">
        <f>IF(GD96=0,"",GG96/GD96)</f>
        <v/>
      </c>
      <c r="GJ96" s="33" t="n"/>
      <c r="GK96" s="233" t="n"/>
      <c r="GL96" s="233" t="n"/>
      <c r="GM96" s="233">
        <f>GK96+GL96</f>
        <v/>
      </c>
      <c r="GN96" s="233" t="n"/>
      <c r="GO96" s="233" t="n"/>
      <c r="GP96" s="233">
        <f>GN96+GO96</f>
        <v/>
      </c>
      <c r="GQ96" s="238">
        <f>GP96-GM96</f>
        <v/>
      </c>
      <c r="GR96" s="235">
        <f>IF(GM96=0,"",GP96/GM96)</f>
        <v/>
      </c>
      <c r="GS96" s="26" t="n"/>
      <c r="GT96" s="236">
        <f>GB96+GK96</f>
        <v/>
      </c>
      <c r="GU96" s="236">
        <f>GC96+GL96</f>
        <v/>
      </c>
      <c r="GV96" s="236">
        <f>GT96+GU96</f>
        <v/>
      </c>
      <c r="GW96" s="236">
        <f>GE96+GN96</f>
        <v/>
      </c>
      <c r="GX96" s="236">
        <f>GF96+GO96</f>
        <v/>
      </c>
      <c r="GY96" s="236">
        <f>GW96+GX96</f>
        <v/>
      </c>
      <c r="GZ96" s="239">
        <f>GY96-GV96</f>
        <v/>
      </c>
      <c r="HA96" s="237">
        <f>IF(GV96=0,"",GY96/GV96)</f>
        <v/>
      </c>
      <c r="HB96" s="33" t="n"/>
      <c r="HC96" s="233">
        <f>GT96</f>
        <v/>
      </c>
      <c r="HD96" s="233">
        <f>GU96</f>
        <v/>
      </c>
      <c r="HE96" s="233">
        <f>HC96+HD96</f>
        <v/>
      </c>
    </row>
    <row r="97" outlineLevel="1" ht="15" customHeight="1" s="150">
      <c r="A97" s="26" t="n"/>
      <c r="B97" s="26" t="n"/>
      <c r="C97" s="26" t="n"/>
      <c r="D97" s="233" t="n"/>
      <c r="E97" s="233" t="n"/>
      <c r="F97" s="233">
        <f>D97+E97</f>
        <v/>
      </c>
      <c r="G97" s="233" t="n"/>
      <c r="H97" s="233" t="n"/>
      <c r="I97" s="233">
        <f>G97+H97</f>
        <v/>
      </c>
      <c r="J97" s="238">
        <f>I97-F97</f>
        <v/>
      </c>
      <c r="K97" s="235">
        <f>IF(F97=0,"",I97/F97)</f>
        <v/>
      </c>
      <c r="L97" s="26" t="n"/>
      <c r="M97" s="233" t="n"/>
      <c r="N97" s="233" t="n"/>
      <c r="O97" s="233">
        <f>M97+N97</f>
        <v/>
      </c>
      <c r="P97" s="233" t="n"/>
      <c r="Q97" s="233" t="n"/>
      <c r="R97" s="233">
        <f>P97+Q97</f>
        <v/>
      </c>
      <c r="S97" s="238">
        <f>R97-O97</f>
        <v/>
      </c>
      <c r="T97" s="235">
        <f>IF(O97=0,"",R97/O97)</f>
        <v/>
      </c>
      <c r="U97" s="26" t="n"/>
      <c r="V97" s="236">
        <f>D97+M97</f>
        <v/>
      </c>
      <c r="W97" s="236">
        <f>E97+N97</f>
        <v/>
      </c>
      <c r="X97" s="236">
        <f>V97+W97</f>
        <v/>
      </c>
      <c r="Y97" s="236">
        <f>G97+P97</f>
        <v/>
      </c>
      <c r="Z97" s="236">
        <f>H97+Q97</f>
        <v/>
      </c>
      <c r="AA97" s="236">
        <f>Y97+Z97</f>
        <v/>
      </c>
      <c r="AB97" s="239">
        <f>AA97-X97</f>
        <v/>
      </c>
      <c r="AC97" s="237">
        <f>IF(X97=0,"",AA97/X97)</f>
        <v/>
      </c>
      <c r="AD97" s="33" t="n"/>
      <c r="AE97" s="233" t="n"/>
      <c r="AF97" s="233" t="n"/>
      <c r="AG97" s="233">
        <f>AE97+AF97</f>
        <v/>
      </c>
      <c r="AH97" s="233" t="n"/>
      <c r="AI97" s="233" t="n"/>
      <c r="AJ97" s="233">
        <f>AH97+AI97</f>
        <v/>
      </c>
      <c r="AK97" s="238">
        <f>AJ97-AG97</f>
        <v/>
      </c>
      <c r="AL97" s="235">
        <f>IF(AG97=0,"",AJ97/AG97)</f>
        <v/>
      </c>
      <c r="AM97" s="26" t="n"/>
      <c r="AN97" s="236">
        <f>V97+AE97</f>
        <v/>
      </c>
      <c r="AO97" s="236">
        <f>W97+AF97</f>
        <v/>
      </c>
      <c r="AP97" s="236">
        <f>AN97+AO97</f>
        <v/>
      </c>
      <c r="AQ97" s="236">
        <f>Y97+AH97</f>
        <v/>
      </c>
      <c r="AR97" s="236">
        <f>Z97+AI97</f>
        <v/>
      </c>
      <c r="AS97" s="236">
        <f>AQ97+AR97</f>
        <v/>
      </c>
      <c r="AT97" s="239">
        <f>AS97-AP97</f>
        <v/>
      </c>
      <c r="AU97" s="237">
        <f>IF(AP97=0,"",AS97/AP97)</f>
        <v/>
      </c>
      <c r="AV97" s="33" t="n"/>
      <c r="AW97" s="233" t="n"/>
      <c r="AX97" s="233" t="n"/>
      <c r="AY97" s="233">
        <f>AW97+AX97</f>
        <v/>
      </c>
      <c r="AZ97" s="233" t="n"/>
      <c r="BA97" s="233" t="n"/>
      <c r="BB97" s="233">
        <f>AZ97+BA97</f>
        <v/>
      </c>
      <c r="BC97" s="238">
        <f>BB97-AY97</f>
        <v/>
      </c>
      <c r="BD97" s="235">
        <f>IF(AY97=0,"",BB97/AY97)</f>
        <v/>
      </c>
      <c r="BE97" s="26" t="n"/>
      <c r="BF97" s="236">
        <f>AN97+AW97</f>
        <v/>
      </c>
      <c r="BG97" s="236">
        <f>AO97+AX97</f>
        <v/>
      </c>
      <c r="BH97" s="236">
        <f>BF97+BG97</f>
        <v/>
      </c>
      <c r="BI97" s="236">
        <f>AQ97+AZ97</f>
        <v/>
      </c>
      <c r="BJ97" s="236">
        <f>AR97+BA97</f>
        <v/>
      </c>
      <c r="BK97" s="236">
        <f>BI97+BJ97</f>
        <v/>
      </c>
      <c r="BL97" s="239">
        <f>BK97-BH97</f>
        <v/>
      </c>
      <c r="BM97" s="237">
        <f>IF(BH97=0,"",BK97/BH97)</f>
        <v/>
      </c>
      <c r="BN97" s="33" t="n"/>
      <c r="BO97" s="233" t="n"/>
      <c r="BP97" s="233" t="n"/>
      <c r="BQ97" s="233">
        <f>BO97+BP97</f>
        <v/>
      </c>
      <c r="BR97" s="233" t="n"/>
      <c r="BS97" s="233" t="n"/>
      <c r="BT97" s="233">
        <f>BR97+BS97</f>
        <v/>
      </c>
      <c r="BU97" s="238">
        <f>BT97-BQ97</f>
        <v/>
      </c>
      <c r="BV97" s="235">
        <f>IF(BQ97=0,"",BT97/BQ97)</f>
        <v/>
      </c>
      <c r="BW97" s="26" t="n"/>
      <c r="BX97" s="236">
        <f>BF97+BO97</f>
        <v/>
      </c>
      <c r="BY97" s="236">
        <f>BG97+BP97</f>
        <v/>
      </c>
      <c r="BZ97" s="236">
        <f>BX97+BY97</f>
        <v/>
      </c>
      <c r="CA97" s="236">
        <f>BI97+BR97</f>
        <v/>
      </c>
      <c r="CB97" s="236">
        <f>BJ97+BS97</f>
        <v/>
      </c>
      <c r="CC97" s="236">
        <f>CA97+CB97</f>
        <v/>
      </c>
      <c r="CD97" s="239">
        <f>CC97-BZ97</f>
        <v/>
      </c>
      <c r="CE97" s="237">
        <f>IF(BZ97=0,"",CC97/BZ97)</f>
        <v/>
      </c>
      <c r="CF97" s="33" t="n"/>
      <c r="CG97" s="233" t="n"/>
      <c r="CH97" s="233" t="n"/>
      <c r="CI97" s="233">
        <f>CG97+CH97</f>
        <v/>
      </c>
      <c r="CJ97" s="233" t="n"/>
      <c r="CK97" s="233" t="n"/>
      <c r="CL97" s="233">
        <f>CJ97+CK97</f>
        <v/>
      </c>
      <c r="CM97" s="238">
        <f>CL97-CI97</f>
        <v/>
      </c>
      <c r="CN97" s="235">
        <f>IF(CI97=0,"",CL97/CI97)</f>
        <v/>
      </c>
      <c r="CO97" s="26" t="n"/>
      <c r="CP97" s="236">
        <f>BX97+CG97</f>
        <v/>
      </c>
      <c r="CQ97" s="236">
        <f>BY97+CH97</f>
        <v/>
      </c>
      <c r="CR97" s="236">
        <f>CP97+CQ97</f>
        <v/>
      </c>
      <c r="CS97" s="236">
        <f>CA97+CJ97</f>
        <v/>
      </c>
      <c r="CT97" s="236">
        <f>CB97+CK97</f>
        <v/>
      </c>
      <c r="CU97" s="236">
        <f>CS97+CT97</f>
        <v/>
      </c>
      <c r="CV97" s="239">
        <f>CU97-CR97</f>
        <v/>
      </c>
      <c r="CW97" s="237">
        <f>IF(CR97=0,"",CU97/CR97)</f>
        <v/>
      </c>
      <c r="CX97" s="33" t="n"/>
      <c r="CY97" s="233" t="n"/>
      <c r="CZ97" s="233" t="n"/>
      <c r="DA97" s="233">
        <f>CY97+CZ97</f>
        <v/>
      </c>
      <c r="DB97" s="233" t="n"/>
      <c r="DC97" s="233" t="n"/>
      <c r="DD97" s="233">
        <f>DB97+DC97</f>
        <v/>
      </c>
      <c r="DE97" s="238">
        <f>DD97-DA97</f>
        <v/>
      </c>
      <c r="DF97" s="235">
        <f>IF(DA97=0,"",DD97/DA97)</f>
        <v/>
      </c>
      <c r="DG97" s="26" t="n"/>
      <c r="DH97" s="236">
        <f>CP97+CY97</f>
        <v/>
      </c>
      <c r="DI97" s="236">
        <f>CQ97+CZ97</f>
        <v/>
      </c>
      <c r="DJ97" s="236">
        <f>DH97+DI97</f>
        <v/>
      </c>
      <c r="DK97" s="236">
        <f>CS97+DB97</f>
        <v/>
      </c>
      <c r="DL97" s="236">
        <f>CT97+DC97</f>
        <v/>
      </c>
      <c r="DM97" s="236">
        <f>DK97+DL97</f>
        <v/>
      </c>
      <c r="DN97" s="239">
        <f>DM97-DJ97</f>
        <v/>
      </c>
      <c r="DO97" s="237">
        <f>IF(DJ97=0,"",DM97/DJ97)</f>
        <v/>
      </c>
      <c r="DP97" s="33" t="n"/>
      <c r="DQ97" s="233" t="n"/>
      <c r="DR97" s="233" t="n"/>
      <c r="DS97" s="233">
        <f>DQ97+DR97</f>
        <v/>
      </c>
      <c r="DT97" s="233" t="n"/>
      <c r="DU97" s="233" t="n"/>
      <c r="DV97" s="233">
        <f>DT97+DU97</f>
        <v/>
      </c>
      <c r="DW97" s="238">
        <f>DV97-DS97</f>
        <v/>
      </c>
      <c r="DX97" s="235">
        <f>IF(DS97=0,"",DV97/DS97)</f>
        <v/>
      </c>
      <c r="DY97" s="26" t="n"/>
      <c r="DZ97" s="236">
        <f>DH97+DQ97</f>
        <v/>
      </c>
      <c r="EA97" s="236">
        <f>DI97+DR97</f>
        <v/>
      </c>
      <c r="EB97" s="236">
        <f>DZ97+EA97</f>
        <v/>
      </c>
      <c r="EC97" s="236">
        <f>DK97+DT97</f>
        <v/>
      </c>
      <c r="ED97" s="236">
        <f>DL97+DU97</f>
        <v/>
      </c>
      <c r="EE97" s="236">
        <f>EC97+ED97</f>
        <v/>
      </c>
      <c r="EF97" s="239">
        <f>EE97-EB97</f>
        <v/>
      </c>
      <c r="EG97" s="237">
        <f>IF(EB97=0,"",EE97/EB97)</f>
        <v/>
      </c>
      <c r="EH97" s="33" t="n"/>
      <c r="EI97" s="233" t="n"/>
      <c r="EJ97" s="233" t="n"/>
      <c r="EK97" s="233">
        <f>EI97+EJ97</f>
        <v/>
      </c>
      <c r="EL97" s="233" t="n"/>
      <c r="EM97" s="233" t="n"/>
      <c r="EN97" s="233">
        <f>EL97+EM97</f>
        <v/>
      </c>
      <c r="EO97" s="238">
        <f>EN97-EK97</f>
        <v/>
      </c>
      <c r="EP97" s="235">
        <f>IF(EK97=0,"",EN97/EK97)</f>
        <v/>
      </c>
      <c r="EQ97" s="26" t="n"/>
      <c r="ER97" s="236">
        <f>DZ97+EI97</f>
        <v/>
      </c>
      <c r="ES97" s="236">
        <f>EA97+EJ97</f>
        <v/>
      </c>
      <c r="ET97" s="236">
        <f>ER97+ES97</f>
        <v/>
      </c>
      <c r="EU97" s="236">
        <f>EC97+EL97</f>
        <v/>
      </c>
      <c r="EV97" s="236">
        <f>ED97+EM97</f>
        <v/>
      </c>
      <c r="EW97" s="236">
        <f>EU97+EV97</f>
        <v/>
      </c>
      <c r="EX97" s="239">
        <f>EW97-ET97</f>
        <v/>
      </c>
      <c r="EY97" s="237">
        <f>IF(ET97=0,"",EW97/ET97)</f>
        <v/>
      </c>
      <c r="EZ97" s="33" t="n"/>
      <c r="FA97" s="233" t="n"/>
      <c r="FB97" s="233" t="n"/>
      <c r="FC97" s="233">
        <f>FA97+FB97</f>
        <v/>
      </c>
      <c r="FD97" s="233" t="n"/>
      <c r="FE97" s="233" t="n"/>
      <c r="FF97" s="233">
        <f>FD97+FE97</f>
        <v/>
      </c>
      <c r="FG97" s="238">
        <f>FF97-FC97</f>
        <v/>
      </c>
      <c r="FH97" s="235">
        <f>IF(FC97=0,"",FF97/FC97)</f>
        <v/>
      </c>
      <c r="FI97" s="26" t="n"/>
      <c r="FJ97" s="236">
        <f>ER97+FA97</f>
        <v/>
      </c>
      <c r="FK97" s="236">
        <f>ES97+FB97</f>
        <v/>
      </c>
      <c r="FL97" s="236">
        <f>FJ97+FK97</f>
        <v/>
      </c>
      <c r="FM97" s="236">
        <f>EU97+FD97</f>
        <v/>
      </c>
      <c r="FN97" s="236">
        <f>EV97+FE97</f>
        <v/>
      </c>
      <c r="FO97" s="236">
        <f>FM97+FN97</f>
        <v/>
      </c>
      <c r="FP97" s="239">
        <f>FO97-FL97</f>
        <v/>
      </c>
      <c r="FQ97" s="237">
        <f>IF(FL97=0,"",FO97/FL97)</f>
        <v/>
      </c>
      <c r="FR97" s="33" t="n"/>
      <c r="FS97" s="233" t="n"/>
      <c r="FT97" s="233" t="n"/>
      <c r="FU97" s="233">
        <f>FS97+FT97</f>
        <v/>
      </c>
      <c r="FV97" s="233" t="n"/>
      <c r="FW97" s="233" t="n"/>
      <c r="FX97" s="233">
        <f>FV97+FW97</f>
        <v/>
      </c>
      <c r="FY97" s="238">
        <f>FX97-FU97</f>
        <v/>
      </c>
      <c r="FZ97" s="235">
        <f>IF(FU97=0,"",FX97/FU97)</f>
        <v/>
      </c>
      <c r="GA97" s="26" t="n"/>
      <c r="GB97" s="236">
        <f>FJ97+FS97</f>
        <v/>
      </c>
      <c r="GC97" s="236">
        <f>FK97+FT97</f>
        <v/>
      </c>
      <c r="GD97" s="236">
        <f>GB97+GC97</f>
        <v/>
      </c>
      <c r="GE97" s="236">
        <f>FM97+FV97</f>
        <v/>
      </c>
      <c r="GF97" s="236">
        <f>FN97+FW97</f>
        <v/>
      </c>
      <c r="GG97" s="236">
        <f>GE97+GF97</f>
        <v/>
      </c>
      <c r="GH97" s="239">
        <f>GG97-GD97</f>
        <v/>
      </c>
      <c r="GI97" s="237">
        <f>IF(GD97=0,"",GG97/GD97)</f>
        <v/>
      </c>
      <c r="GJ97" s="33" t="n"/>
      <c r="GK97" s="233" t="n"/>
      <c r="GL97" s="233" t="n"/>
      <c r="GM97" s="233">
        <f>GK97+GL97</f>
        <v/>
      </c>
      <c r="GN97" s="233" t="n"/>
      <c r="GO97" s="233" t="n"/>
      <c r="GP97" s="233">
        <f>GN97+GO97</f>
        <v/>
      </c>
      <c r="GQ97" s="238">
        <f>GP97-GM97</f>
        <v/>
      </c>
      <c r="GR97" s="235">
        <f>IF(GM97=0,"",GP97/GM97)</f>
        <v/>
      </c>
      <c r="GS97" s="26" t="n"/>
      <c r="GT97" s="236">
        <f>GB97+GK97</f>
        <v/>
      </c>
      <c r="GU97" s="236">
        <f>GC97+GL97</f>
        <v/>
      </c>
      <c r="GV97" s="236">
        <f>GT97+GU97</f>
        <v/>
      </c>
      <c r="GW97" s="236">
        <f>GE97+GN97</f>
        <v/>
      </c>
      <c r="GX97" s="236">
        <f>GF97+GO97</f>
        <v/>
      </c>
      <c r="GY97" s="236">
        <f>GW97+GX97</f>
        <v/>
      </c>
      <c r="GZ97" s="239">
        <f>GY97-GV97</f>
        <v/>
      </c>
      <c r="HA97" s="237">
        <f>IF(GV97=0,"",GY97/GV97)</f>
        <v/>
      </c>
      <c r="HB97" s="33" t="n"/>
      <c r="HC97" s="233">
        <f>GT97</f>
        <v/>
      </c>
      <c r="HD97" s="233">
        <f>GU97</f>
        <v/>
      </c>
      <c r="HE97" s="233">
        <f>HC97+HD97</f>
        <v/>
      </c>
    </row>
    <row r="98" ht="15" customHeight="1" s="150">
      <c r="A98" s="35" t="n"/>
      <c r="B98" s="35" t="n"/>
      <c r="C98" s="35" t="n"/>
      <c r="D98" s="244">
        <f>SUM(D99,D101,D103)</f>
        <v/>
      </c>
      <c r="E98" s="244">
        <f>SUM(E99,E101,E103)</f>
        <v/>
      </c>
      <c r="F98" s="244">
        <f>D98+E98</f>
        <v/>
      </c>
      <c r="G98" s="244">
        <f>SUM(G99,G101,G103)</f>
        <v/>
      </c>
      <c r="H98" s="244">
        <f>SUM(H99,H101,H103)</f>
        <v/>
      </c>
      <c r="I98" s="244">
        <f>G98+H98</f>
        <v/>
      </c>
      <c r="J98" s="244">
        <f>I98-F98</f>
        <v/>
      </c>
      <c r="K98" s="245">
        <f>IF(F98=0,"",I98/F98)</f>
        <v/>
      </c>
      <c r="L98" s="35" t="n"/>
      <c r="M98" s="244">
        <f>SUM(M99,M101,M103)</f>
        <v/>
      </c>
      <c r="N98" s="244">
        <f>SUM(N99,N101,N103)</f>
        <v/>
      </c>
      <c r="O98" s="244">
        <f>M98+N98</f>
        <v/>
      </c>
      <c r="P98" s="244">
        <f>SUM(P99,P101,P103)</f>
        <v/>
      </c>
      <c r="Q98" s="244">
        <f>SUM(Q99,Q101,Q103)</f>
        <v/>
      </c>
      <c r="R98" s="244">
        <f>P98+Q98</f>
        <v/>
      </c>
      <c r="S98" s="244">
        <f>R98-O98</f>
        <v/>
      </c>
      <c r="T98" s="245">
        <f>IF(O98=0,"",R98/O98)</f>
        <v/>
      </c>
      <c r="U98" s="35" t="n"/>
      <c r="V98" s="246">
        <f>SUM(V99,V101,V103)</f>
        <v/>
      </c>
      <c r="W98" s="246">
        <f>SUM(W99,W101,W103)</f>
        <v/>
      </c>
      <c r="X98" s="246">
        <f>V98+W98</f>
        <v/>
      </c>
      <c r="Y98" s="246">
        <f>SUM(Y99,Y101,Y103)</f>
        <v/>
      </c>
      <c r="Z98" s="246">
        <f>SUM(Z99,Z101,Z103)</f>
        <v/>
      </c>
      <c r="AA98" s="246">
        <f>Y98+Z98</f>
        <v/>
      </c>
      <c r="AB98" s="246">
        <f>AA98-X98</f>
        <v/>
      </c>
      <c r="AC98" s="247">
        <f>IF(X98=0,"",AA98/X98)</f>
        <v/>
      </c>
      <c r="AD98" s="40" t="n"/>
      <c r="AE98" s="244">
        <f>SUM(AE99,AE101,AE103)</f>
        <v/>
      </c>
      <c r="AF98" s="244">
        <f>SUM(AF99,AF101,AF103)</f>
        <v/>
      </c>
      <c r="AG98" s="244">
        <f>AE98+AF98</f>
        <v/>
      </c>
      <c r="AH98" s="244">
        <f>SUM(AH99,AH101,AH103)</f>
        <v/>
      </c>
      <c r="AI98" s="244">
        <f>SUM(AI99,AI101,AI103)</f>
        <v/>
      </c>
      <c r="AJ98" s="244">
        <f>AH98+AI98</f>
        <v/>
      </c>
      <c r="AK98" s="244">
        <f>AJ98-AG98</f>
        <v/>
      </c>
      <c r="AL98" s="245">
        <f>IF(AG98=0,"",AJ98/AG98)</f>
        <v/>
      </c>
      <c r="AM98" s="35" t="n"/>
      <c r="AN98" s="246">
        <f>SUM(AN99,AN101,AN103)</f>
        <v/>
      </c>
      <c r="AO98" s="246">
        <f>SUM(AO99,AO101,AO103)</f>
        <v/>
      </c>
      <c r="AP98" s="246">
        <f>AN98+AO98</f>
        <v/>
      </c>
      <c r="AQ98" s="246">
        <f>SUM(AQ99,AQ101,AQ103)</f>
        <v/>
      </c>
      <c r="AR98" s="246">
        <f>SUM(AR99,AR101,AR103)</f>
        <v/>
      </c>
      <c r="AS98" s="246">
        <f>AQ98+AR98</f>
        <v/>
      </c>
      <c r="AT98" s="246">
        <f>AS98-AP98</f>
        <v/>
      </c>
      <c r="AU98" s="247">
        <f>IF(AP98=0,"",AS98/AP98)</f>
        <v/>
      </c>
      <c r="AV98" s="40" t="n"/>
      <c r="AW98" s="244">
        <f>SUM(AW99,AW101,AW103)</f>
        <v/>
      </c>
      <c r="AX98" s="244">
        <f>SUM(AX99,AX101,AX103)</f>
        <v/>
      </c>
      <c r="AY98" s="244">
        <f>AW98+AX98</f>
        <v/>
      </c>
      <c r="AZ98" s="244">
        <f>SUM(AZ99,AZ101,AZ103)</f>
        <v/>
      </c>
      <c r="BA98" s="244">
        <f>SUM(BA99,BA101,BA103)</f>
        <v/>
      </c>
      <c r="BB98" s="244">
        <f>AZ98+BA98</f>
        <v/>
      </c>
      <c r="BC98" s="244">
        <f>BB98-AY98</f>
        <v/>
      </c>
      <c r="BD98" s="245">
        <f>IF(AY98=0,"",BB98/AY98)</f>
        <v/>
      </c>
      <c r="BE98" s="35" t="n"/>
      <c r="BF98" s="246">
        <f>SUM(BF99,BF101,BF103)</f>
        <v/>
      </c>
      <c r="BG98" s="246">
        <f>SUM(BG99,BG101,BG103)</f>
        <v/>
      </c>
      <c r="BH98" s="246">
        <f>BF98+BG98</f>
        <v/>
      </c>
      <c r="BI98" s="246">
        <f>SUM(BI99,BI101,BI103)</f>
        <v/>
      </c>
      <c r="BJ98" s="246">
        <f>SUM(BJ99,BJ101,BJ103)</f>
        <v/>
      </c>
      <c r="BK98" s="246">
        <f>BI98+BJ98</f>
        <v/>
      </c>
      <c r="BL98" s="246">
        <f>BK98-BH98</f>
        <v/>
      </c>
      <c r="BM98" s="247">
        <f>IF(BH98=0,"",BK98/BH98)</f>
        <v/>
      </c>
      <c r="BN98" s="40" t="n"/>
      <c r="BO98" s="244">
        <f>SUM(BO99,BO101,BO103)</f>
        <v/>
      </c>
      <c r="BP98" s="244">
        <f>SUM(BP99,BP101,BP103)</f>
        <v/>
      </c>
      <c r="BQ98" s="244">
        <f>BO98+BP98</f>
        <v/>
      </c>
      <c r="BR98" s="244">
        <f>SUM(BR99,BR101,BR103)</f>
        <v/>
      </c>
      <c r="BS98" s="244">
        <f>SUM(BS99,BS101,BS103)</f>
        <v/>
      </c>
      <c r="BT98" s="244">
        <f>BR98+BS98</f>
        <v/>
      </c>
      <c r="BU98" s="244">
        <f>BT98-BQ98</f>
        <v/>
      </c>
      <c r="BV98" s="245">
        <f>IF(BQ98=0,"",BT98/BQ98)</f>
        <v/>
      </c>
      <c r="BW98" s="35" t="n"/>
      <c r="BX98" s="246">
        <f>SUM(BX99,BX101,BX103)</f>
        <v/>
      </c>
      <c r="BY98" s="246">
        <f>SUM(BY99,BY101,BY103)</f>
        <v/>
      </c>
      <c r="BZ98" s="246">
        <f>BX98+BY98</f>
        <v/>
      </c>
      <c r="CA98" s="246">
        <f>SUM(CA99,CA101,CA103)</f>
        <v/>
      </c>
      <c r="CB98" s="246">
        <f>SUM(CB99,CB101,CB103)</f>
        <v/>
      </c>
      <c r="CC98" s="246">
        <f>CA98+CB98</f>
        <v/>
      </c>
      <c r="CD98" s="246">
        <f>CC98-BZ98</f>
        <v/>
      </c>
      <c r="CE98" s="247">
        <f>IF(BZ98=0,"",CC98/BZ98)</f>
        <v/>
      </c>
      <c r="CF98" s="40" t="n"/>
      <c r="CG98" s="244">
        <f>SUM(CG99,CG101,CG103)</f>
        <v/>
      </c>
      <c r="CH98" s="244">
        <f>SUM(CH99,CH101,CH103)</f>
        <v/>
      </c>
      <c r="CI98" s="244">
        <f>CG98+CH98</f>
        <v/>
      </c>
      <c r="CJ98" s="244">
        <f>SUM(CJ99,CJ101,CJ103)</f>
        <v/>
      </c>
      <c r="CK98" s="244">
        <f>SUM(CK99,CK101,CK103)</f>
        <v/>
      </c>
      <c r="CL98" s="244">
        <f>CJ98+CK98</f>
        <v/>
      </c>
      <c r="CM98" s="244">
        <f>CL98-CI98</f>
        <v/>
      </c>
      <c r="CN98" s="245">
        <f>IF(CI98=0,"",CL98/CI98)</f>
        <v/>
      </c>
      <c r="CO98" s="35" t="n"/>
      <c r="CP98" s="246">
        <f>SUM(CP99,CP101,CP103)</f>
        <v/>
      </c>
      <c r="CQ98" s="246">
        <f>SUM(CQ99,CQ101,CQ103)</f>
        <v/>
      </c>
      <c r="CR98" s="246">
        <f>CP98+CQ98</f>
        <v/>
      </c>
      <c r="CS98" s="246">
        <f>SUM(CS99,CS101,CS103)</f>
        <v/>
      </c>
      <c r="CT98" s="246">
        <f>SUM(CT99,CT101,CT103)</f>
        <v/>
      </c>
      <c r="CU98" s="246">
        <f>CS98+CT98</f>
        <v/>
      </c>
      <c r="CV98" s="246">
        <f>CU98-CR98</f>
        <v/>
      </c>
      <c r="CW98" s="247">
        <f>IF(CR98=0,"",CU98/CR98)</f>
        <v/>
      </c>
      <c r="CX98" s="40" t="n"/>
      <c r="CY98" s="244">
        <f>SUM(CY99,CY101,CY103)</f>
        <v/>
      </c>
      <c r="CZ98" s="244">
        <f>SUM(CZ99,CZ101,CZ103)</f>
        <v/>
      </c>
      <c r="DA98" s="244">
        <f>CY98+CZ98</f>
        <v/>
      </c>
      <c r="DB98" s="244">
        <f>SUM(DB99,DB101,DB103)</f>
        <v/>
      </c>
      <c r="DC98" s="244">
        <f>SUM(DC99,DC101,DC103)</f>
        <v/>
      </c>
      <c r="DD98" s="244">
        <f>DB98+DC98</f>
        <v/>
      </c>
      <c r="DE98" s="244">
        <f>DD98-DA98</f>
        <v/>
      </c>
      <c r="DF98" s="245">
        <f>IF(DA98=0,"",DD98/DA98)</f>
        <v/>
      </c>
      <c r="DG98" s="35" t="n"/>
      <c r="DH98" s="246">
        <f>SUM(DH99,DH101,DH103)</f>
        <v/>
      </c>
      <c r="DI98" s="246">
        <f>SUM(DI99,DI101,DI103)</f>
        <v/>
      </c>
      <c r="DJ98" s="246">
        <f>DH98+DI98</f>
        <v/>
      </c>
      <c r="DK98" s="246">
        <f>SUM(DK99,DK101,DK103)</f>
        <v/>
      </c>
      <c r="DL98" s="246">
        <f>SUM(DL99,DL101,DL103)</f>
        <v/>
      </c>
      <c r="DM98" s="246">
        <f>DK98+DL98</f>
        <v/>
      </c>
      <c r="DN98" s="246">
        <f>DM98-DJ98</f>
        <v/>
      </c>
      <c r="DO98" s="247">
        <f>IF(DJ98=0,"",DM98/DJ98)</f>
        <v/>
      </c>
      <c r="DP98" s="40" t="n"/>
      <c r="DQ98" s="244">
        <f>SUM(DQ99,DQ101,DQ103)</f>
        <v/>
      </c>
      <c r="DR98" s="244">
        <f>SUM(DR99,DR101,DR103)</f>
        <v/>
      </c>
      <c r="DS98" s="244">
        <f>DQ98+DR98</f>
        <v/>
      </c>
      <c r="DT98" s="244">
        <f>SUM(DT99,DT101,DT103)</f>
        <v/>
      </c>
      <c r="DU98" s="244">
        <f>SUM(DU99,DU101,DU103)</f>
        <v/>
      </c>
      <c r="DV98" s="244">
        <f>DT98+DU98</f>
        <v/>
      </c>
      <c r="DW98" s="244">
        <f>DV98-DS98</f>
        <v/>
      </c>
      <c r="DX98" s="245">
        <f>IF(DS98=0,"",DV98/DS98)</f>
        <v/>
      </c>
      <c r="DY98" s="35" t="n"/>
      <c r="DZ98" s="246">
        <f>SUM(DZ99,DZ101,DZ103)</f>
        <v/>
      </c>
      <c r="EA98" s="246">
        <f>SUM(EA99,EA101,EA103)</f>
        <v/>
      </c>
      <c r="EB98" s="246">
        <f>DZ98+EA98</f>
        <v/>
      </c>
      <c r="EC98" s="246">
        <f>SUM(EC99,EC101,EC103)</f>
        <v/>
      </c>
      <c r="ED98" s="246">
        <f>SUM(ED99,ED101,ED103)</f>
        <v/>
      </c>
      <c r="EE98" s="246">
        <f>EC98+ED98</f>
        <v/>
      </c>
      <c r="EF98" s="246">
        <f>EE98-EB98</f>
        <v/>
      </c>
      <c r="EG98" s="247">
        <f>IF(EB98=0,"",EE98/EB98)</f>
        <v/>
      </c>
      <c r="EH98" s="40" t="n"/>
      <c r="EI98" s="244">
        <f>SUM(EI99,EI101,EI103)</f>
        <v/>
      </c>
      <c r="EJ98" s="244">
        <f>SUM(EJ99,EJ101,EJ103)</f>
        <v/>
      </c>
      <c r="EK98" s="244">
        <f>EI98+EJ98</f>
        <v/>
      </c>
      <c r="EL98" s="244">
        <f>SUM(EL99,EL101,EL103)</f>
        <v/>
      </c>
      <c r="EM98" s="244">
        <f>SUM(EM99,EM101,EM103)</f>
        <v/>
      </c>
      <c r="EN98" s="244">
        <f>EL98+EM98</f>
        <v/>
      </c>
      <c r="EO98" s="244">
        <f>EN98-EK98</f>
        <v/>
      </c>
      <c r="EP98" s="245">
        <f>IF(EK98=0,"",EN98/EK98)</f>
        <v/>
      </c>
      <c r="EQ98" s="35" t="n"/>
      <c r="ER98" s="246">
        <f>SUM(ER99,ER101,ER103)</f>
        <v/>
      </c>
      <c r="ES98" s="246">
        <f>SUM(ES99,ES101,ES103)</f>
        <v/>
      </c>
      <c r="ET98" s="246">
        <f>ER98+ES98</f>
        <v/>
      </c>
      <c r="EU98" s="246">
        <f>SUM(EU99,EU101,EU103)</f>
        <v/>
      </c>
      <c r="EV98" s="246">
        <f>SUM(EV99,EV101,EV103)</f>
        <v/>
      </c>
      <c r="EW98" s="246">
        <f>EU98+EV98</f>
        <v/>
      </c>
      <c r="EX98" s="246">
        <f>EW98-ET98</f>
        <v/>
      </c>
      <c r="EY98" s="247">
        <f>IF(ET98=0,"",EW98/ET98)</f>
        <v/>
      </c>
      <c r="EZ98" s="40" t="n"/>
      <c r="FA98" s="244">
        <f>SUM(FA99,FA101,FA103)</f>
        <v/>
      </c>
      <c r="FB98" s="244">
        <f>SUM(FB99,FB101,FB103)</f>
        <v/>
      </c>
      <c r="FC98" s="244">
        <f>FA98+FB98</f>
        <v/>
      </c>
      <c r="FD98" s="244">
        <f>SUM(FD99,FD101,FD103)</f>
        <v/>
      </c>
      <c r="FE98" s="244">
        <f>SUM(FE99,FE101,FE103)</f>
        <v/>
      </c>
      <c r="FF98" s="244">
        <f>FD98+FE98</f>
        <v/>
      </c>
      <c r="FG98" s="244">
        <f>FF98-FC98</f>
        <v/>
      </c>
      <c r="FH98" s="245">
        <f>IF(FC98=0,"",FF98/FC98)</f>
        <v/>
      </c>
      <c r="FI98" s="35" t="n"/>
      <c r="FJ98" s="246">
        <f>SUM(FJ99,FJ101,FJ103)</f>
        <v/>
      </c>
      <c r="FK98" s="246">
        <f>SUM(FK99,FK101,FK103)</f>
        <v/>
      </c>
      <c r="FL98" s="246">
        <f>FJ98+FK98</f>
        <v/>
      </c>
      <c r="FM98" s="246">
        <f>SUM(FM99,FM101,FM103)</f>
        <v/>
      </c>
      <c r="FN98" s="246">
        <f>SUM(FN99,FN101,FN103)</f>
        <v/>
      </c>
      <c r="FO98" s="246">
        <f>FM98+FN98</f>
        <v/>
      </c>
      <c r="FP98" s="246">
        <f>FO98-FL98</f>
        <v/>
      </c>
      <c r="FQ98" s="247">
        <f>IF(FL98=0,"",FO98/FL98)</f>
        <v/>
      </c>
      <c r="FR98" s="40" t="n"/>
      <c r="FS98" s="244">
        <f>SUM(FS99,FS101,FS103)</f>
        <v/>
      </c>
      <c r="FT98" s="244">
        <f>SUM(FT99,FT101,FT103)</f>
        <v/>
      </c>
      <c r="FU98" s="244">
        <f>FS98+FT98</f>
        <v/>
      </c>
      <c r="FV98" s="244">
        <f>SUM(FV99,FV101,FV103)</f>
        <v/>
      </c>
      <c r="FW98" s="244">
        <f>SUM(FW99,FW101,FW103)</f>
        <v/>
      </c>
      <c r="FX98" s="244">
        <f>FV98+FW98</f>
        <v/>
      </c>
      <c r="FY98" s="244">
        <f>FX98-FU98</f>
        <v/>
      </c>
      <c r="FZ98" s="245">
        <f>IF(FU98=0,"",FX98/FU98)</f>
        <v/>
      </c>
      <c r="GA98" s="35" t="n"/>
      <c r="GB98" s="246">
        <f>SUM(GB99,GB101,GB103)</f>
        <v/>
      </c>
      <c r="GC98" s="246">
        <f>SUM(GC99,GC101,GC103)</f>
        <v/>
      </c>
      <c r="GD98" s="246">
        <f>GB98+GC98</f>
        <v/>
      </c>
      <c r="GE98" s="246">
        <f>SUM(GE99,GE101,GE103)</f>
        <v/>
      </c>
      <c r="GF98" s="246">
        <f>SUM(GF99,GF101,GF103)</f>
        <v/>
      </c>
      <c r="GG98" s="246">
        <f>GE98+GF98</f>
        <v/>
      </c>
      <c r="GH98" s="246">
        <f>GG98-GD98</f>
        <v/>
      </c>
      <c r="GI98" s="247">
        <f>IF(GD98=0,"",GG98/GD98)</f>
        <v/>
      </c>
      <c r="GJ98" s="40" t="n"/>
      <c r="GK98" s="244">
        <f>SUM(GK99,GK101,GK103)</f>
        <v/>
      </c>
      <c r="GL98" s="244">
        <f>SUM(GL99,GL101,GL103)</f>
        <v/>
      </c>
      <c r="GM98" s="244">
        <f>GK98+GL98</f>
        <v/>
      </c>
      <c r="GN98" s="244">
        <f>SUM(GN99,GN101,GN103)</f>
        <v/>
      </c>
      <c r="GO98" s="244">
        <f>SUM(GO99,GO101,GO103)</f>
        <v/>
      </c>
      <c r="GP98" s="244">
        <f>GN98+GO98</f>
        <v/>
      </c>
      <c r="GQ98" s="244">
        <f>GP98-GM98</f>
        <v/>
      </c>
      <c r="GR98" s="245">
        <f>IF(GM98=0,"",GP98/GM98)</f>
        <v/>
      </c>
      <c r="GS98" s="35" t="n"/>
      <c r="GT98" s="246">
        <f>SUM(GT99,GT101,GT103)</f>
        <v/>
      </c>
      <c r="GU98" s="246">
        <f>SUM(GU99,GU101,GU103)</f>
        <v/>
      </c>
      <c r="GV98" s="246">
        <f>GT98+GU98</f>
        <v/>
      </c>
      <c r="GW98" s="246">
        <f>SUM(GW99,GW101,GW103)</f>
        <v/>
      </c>
      <c r="GX98" s="246">
        <f>SUM(GX99,GX101,GX103)</f>
        <v/>
      </c>
      <c r="GY98" s="246">
        <f>GW98+GX98</f>
        <v/>
      </c>
      <c r="GZ98" s="246">
        <f>GY98-GV98</f>
        <v/>
      </c>
      <c r="HA98" s="247">
        <f>IF(GV98=0,"",GY98/GV98)</f>
        <v/>
      </c>
      <c r="HB98" s="40" t="n"/>
      <c r="HC98" s="244">
        <f>GT98</f>
        <v/>
      </c>
      <c r="HD98" s="244">
        <f>GU98</f>
        <v/>
      </c>
      <c r="HE98" s="244">
        <f>HC98+HD98</f>
        <v/>
      </c>
    </row>
    <row r="99" ht="15" customHeight="1" s="150">
      <c r="A99" s="18" t="n"/>
      <c r="B99" s="18" t="n"/>
      <c r="C99" s="18" t="n"/>
      <c r="D99" s="227">
        <f>D100</f>
        <v/>
      </c>
      <c r="E99" s="227">
        <f>E100</f>
        <v/>
      </c>
      <c r="F99" s="227">
        <f>D99+E99</f>
        <v/>
      </c>
      <c r="G99" s="227">
        <f>G100</f>
        <v/>
      </c>
      <c r="H99" s="227">
        <f>H100</f>
        <v/>
      </c>
      <c r="I99" s="227">
        <f>G99+H99</f>
        <v/>
      </c>
      <c r="J99" s="228">
        <f>I99-F99</f>
        <v/>
      </c>
      <c r="K99" s="229">
        <f>IF(F99=0,"",I99/F99)</f>
        <v/>
      </c>
      <c r="L99" s="18" t="n"/>
      <c r="M99" s="227">
        <f>M100</f>
        <v/>
      </c>
      <c r="N99" s="227">
        <f>N100</f>
        <v/>
      </c>
      <c r="O99" s="227">
        <f>M99+N99</f>
        <v/>
      </c>
      <c r="P99" s="227">
        <f>P100</f>
        <v/>
      </c>
      <c r="Q99" s="227">
        <f>Q100</f>
        <v/>
      </c>
      <c r="R99" s="227">
        <f>P99+Q99</f>
        <v/>
      </c>
      <c r="S99" s="228">
        <f>R99-O99</f>
        <v/>
      </c>
      <c r="T99" s="229">
        <f>IF(O99=0,"",R99/O99)</f>
        <v/>
      </c>
      <c r="U99" s="18" t="n"/>
      <c r="V99" s="230">
        <f>V100</f>
        <v/>
      </c>
      <c r="W99" s="230">
        <f>W100</f>
        <v/>
      </c>
      <c r="X99" s="230">
        <f>V99+W99</f>
        <v/>
      </c>
      <c r="Y99" s="230">
        <f>Y100</f>
        <v/>
      </c>
      <c r="Z99" s="230">
        <f>Z100</f>
        <v/>
      </c>
      <c r="AA99" s="230">
        <f>Y99+Z99</f>
        <v/>
      </c>
      <c r="AB99" s="231">
        <f>AA99-X99</f>
        <v/>
      </c>
      <c r="AC99" s="232">
        <f>IF(X99=0,"",AA99/X99)</f>
        <v/>
      </c>
      <c r="AD99" s="25" t="n"/>
      <c r="AE99" s="227">
        <f>AE100</f>
        <v/>
      </c>
      <c r="AF99" s="227">
        <f>AF100</f>
        <v/>
      </c>
      <c r="AG99" s="227">
        <f>AE99+AF99</f>
        <v/>
      </c>
      <c r="AH99" s="227">
        <f>AH100</f>
        <v/>
      </c>
      <c r="AI99" s="227">
        <f>AI100</f>
        <v/>
      </c>
      <c r="AJ99" s="227">
        <f>AH99+AI99</f>
        <v/>
      </c>
      <c r="AK99" s="228">
        <f>AJ99-AG99</f>
        <v/>
      </c>
      <c r="AL99" s="229">
        <f>IF(AG99=0,"",AJ99/AG99)</f>
        <v/>
      </c>
      <c r="AM99" s="18" t="n"/>
      <c r="AN99" s="230">
        <f>AN100</f>
        <v/>
      </c>
      <c r="AO99" s="230">
        <f>AO100</f>
        <v/>
      </c>
      <c r="AP99" s="230">
        <f>AN99+AO99</f>
        <v/>
      </c>
      <c r="AQ99" s="230">
        <f>AQ100</f>
        <v/>
      </c>
      <c r="AR99" s="230">
        <f>AR100</f>
        <v/>
      </c>
      <c r="AS99" s="230">
        <f>AQ99+AR99</f>
        <v/>
      </c>
      <c r="AT99" s="231">
        <f>AS99-AP99</f>
        <v/>
      </c>
      <c r="AU99" s="232">
        <f>IF(AP99=0,"",AS99/AP99)</f>
        <v/>
      </c>
      <c r="AV99" s="25" t="n"/>
      <c r="AW99" s="227">
        <f>AW100</f>
        <v/>
      </c>
      <c r="AX99" s="227">
        <f>AX100</f>
        <v/>
      </c>
      <c r="AY99" s="227">
        <f>AW99+AX99</f>
        <v/>
      </c>
      <c r="AZ99" s="227">
        <f>AZ100</f>
        <v/>
      </c>
      <c r="BA99" s="227">
        <f>BA100</f>
        <v/>
      </c>
      <c r="BB99" s="227">
        <f>AZ99+BA99</f>
        <v/>
      </c>
      <c r="BC99" s="228">
        <f>BB99-AY99</f>
        <v/>
      </c>
      <c r="BD99" s="229">
        <f>IF(AY99=0,"",BB99/AY99)</f>
        <v/>
      </c>
      <c r="BE99" s="18" t="n"/>
      <c r="BF99" s="230">
        <f>BF100</f>
        <v/>
      </c>
      <c r="BG99" s="230">
        <f>BG100</f>
        <v/>
      </c>
      <c r="BH99" s="230">
        <f>BF99+BG99</f>
        <v/>
      </c>
      <c r="BI99" s="230">
        <f>BI100</f>
        <v/>
      </c>
      <c r="BJ99" s="230">
        <f>BJ100</f>
        <v/>
      </c>
      <c r="BK99" s="230">
        <f>BI99+BJ99</f>
        <v/>
      </c>
      <c r="BL99" s="231">
        <f>BK99-BH99</f>
        <v/>
      </c>
      <c r="BM99" s="232">
        <f>IF(BH99=0,"",BK99/BH99)</f>
        <v/>
      </c>
      <c r="BN99" s="25" t="n"/>
      <c r="BO99" s="227">
        <f>BO100</f>
        <v/>
      </c>
      <c r="BP99" s="227">
        <f>BP100</f>
        <v/>
      </c>
      <c r="BQ99" s="227">
        <f>BO99+BP99</f>
        <v/>
      </c>
      <c r="BR99" s="227">
        <f>BR100</f>
        <v/>
      </c>
      <c r="BS99" s="227">
        <f>BS100</f>
        <v/>
      </c>
      <c r="BT99" s="227">
        <f>BR99+BS99</f>
        <v/>
      </c>
      <c r="BU99" s="228">
        <f>BT99-BQ99</f>
        <v/>
      </c>
      <c r="BV99" s="229">
        <f>IF(BQ99=0,"",BT99/BQ99)</f>
        <v/>
      </c>
      <c r="BW99" s="18" t="n"/>
      <c r="BX99" s="230">
        <f>BX100</f>
        <v/>
      </c>
      <c r="BY99" s="230">
        <f>BY100</f>
        <v/>
      </c>
      <c r="BZ99" s="230">
        <f>BX99+BY99</f>
        <v/>
      </c>
      <c r="CA99" s="230">
        <f>CA100</f>
        <v/>
      </c>
      <c r="CB99" s="230">
        <f>CB100</f>
        <v/>
      </c>
      <c r="CC99" s="230">
        <f>CA99+CB99</f>
        <v/>
      </c>
      <c r="CD99" s="231">
        <f>CC99-BZ99</f>
        <v/>
      </c>
      <c r="CE99" s="232">
        <f>IF(BZ99=0,"",CC99/BZ99)</f>
        <v/>
      </c>
      <c r="CF99" s="25" t="n"/>
      <c r="CG99" s="227">
        <f>CG100</f>
        <v/>
      </c>
      <c r="CH99" s="227">
        <f>CH100</f>
        <v/>
      </c>
      <c r="CI99" s="227">
        <f>CG99+CH99</f>
        <v/>
      </c>
      <c r="CJ99" s="227">
        <f>CJ100</f>
        <v/>
      </c>
      <c r="CK99" s="227">
        <f>CK100</f>
        <v/>
      </c>
      <c r="CL99" s="227">
        <f>CJ99+CK99</f>
        <v/>
      </c>
      <c r="CM99" s="228">
        <f>CL99-CI99</f>
        <v/>
      </c>
      <c r="CN99" s="229">
        <f>IF(CI99=0,"",CL99/CI99)</f>
        <v/>
      </c>
      <c r="CO99" s="18" t="n"/>
      <c r="CP99" s="230">
        <f>CP100</f>
        <v/>
      </c>
      <c r="CQ99" s="230">
        <f>CQ100</f>
        <v/>
      </c>
      <c r="CR99" s="230">
        <f>CP99+CQ99</f>
        <v/>
      </c>
      <c r="CS99" s="230">
        <f>CS100</f>
        <v/>
      </c>
      <c r="CT99" s="230">
        <f>CT100</f>
        <v/>
      </c>
      <c r="CU99" s="230">
        <f>CS99+CT99</f>
        <v/>
      </c>
      <c r="CV99" s="231">
        <f>CU99-CR99</f>
        <v/>
      </c>
      <c r="CW99" s="232">
        <f>IF(CR99=0,"",CU99/CR99)</f>
        <v/>
      </c>
      <c r="CX99" s="25" t="n"/>
      <c r="CY99" s="227">
        <f>CY100</f>
        <v/>
      </c>
      <c r="CZ99" s="227">
        <f>CZ100</f>
        <v/>
      </c>
      <c r="DA99" s="227">
        <f>CY99+CZ99</f>
        <v/>
      </c>
      <c r="DB99" s="227">
        <f>DB100</f>
        <v/>
      </c>
      <c r="DC99" s="227">
        <f>DC100</f>
        <v/>
      </c>
      <c r="DD99" s="227">
        <f>DB99+DC99</f>
        <v/>
      </c>
      <c r="DE99" s="228">
        <f>DD99-DA99</f>
        <v/>
      </c>
      <c r="DF99" s="229">
        <f>IF(DA99=0,"",DD99/DA99)</f>
        <v/>
      </c>
      <c r="DG99" s="18" t="n"/>
      <c r="DH99" s="230">
        <f>DH100</f>
        <v/>
      </c>
      <c r="DI99" s="230">
        <f>DI100</f>
        <v/>
      </c>
      <c r="DJ99" s="230">
        <f>DH99+DI99</f>
        <v/>
      </c>
      <c r="DK99" s="230">
        <f>DK100</f>
        <v/>
      </c>
      <c r="DL99" s="230">
        <f>DL100</f>
        <v/>
      </c>
      <c r="DM99" s="230">
        <f>DK99+DL99</f>
        <v/>
      </c>
      <c r="DN99" s="231">
        <f>DM99-DJ99</f>
        <v/>
      </c>
      <c r="DO99" s="232">
        <f>IF(DJ99=0,"",DM99/DJ99)</f>
        <v/>
      </c>
      <c r="DP99" s="25" t="n"/>
      <c r="DQ99" s="227">
        <f>DQ100</f>
        <v/>
      </c>
      <c r="DR99" s="227">
        <f>DR100</f>
        <v/>
      </c>
      <c r="DS99" s="227">
        <f>DQ99+DR99</f>
        <v/>
      </c>
      <c r="DT99" s="227">
        <f>DT100</f>
        <v/>
      </c>
      <c r="DU99" s="227">
        <f>DU100</f>
        <v/>
      </c>
      <c r="DV99" s="227">
        <f>DT99+DU99</f>
        <v/>
      </c>
      <c r="DW99" s="228">
        <f>DV99-DS99</f>
        <v/>
      </c>
      <c r="DX99" s="229">
        <f>IF(DS99=0,"",DV99/DS99)</f>
        <v/>
      </c>
      <c r="DY99" s="18" t="n"/>
      <c r="DZ99" s="230">
        <f>DZ100</f>
        <v/>
      </c>
      <c r="EA99" s="230">
        <f>EA100</f>
        <v/>
      </c>
      <c r="EB99" s="230">
        <f>DZ99+EA99</f>
        <v/>
      </c>
      <c r="EC99" s="230">
        <f>EC100</f>
        <v/>
      </c>
      <c r="ED99" s="230">
        <f>ED100</f>
        <v/>
      </c>
      <c r="EE99" s="230">
        <f>EC99+ED99</f>
        <v/>
      </c>
      <c r="EF99" s="231">
        <f>EE99-EB99</f>
        <v/>
      </c>
      <c r="EG99" s="232">
        <f>IF(EB99=0,"",EE99/EB99)</f>
        <v/>
      </c>
      <c r="EH99" s="25" t="n"/>
      <c r="EI99" s="227">
        <f>EI100</f>
        <v/>
      </c>
      <c r="EJ99" s="227">
        <f>EJ100</f>
        <v/>
      </c>
      <c r="EK99" s="227">
        <f>EI99+EJ99</f>
        <v/>
      </c>
      <c r="EL99" s="227">
        <f>EL100</f>
        <v/>
      </c>
      <c r="EM99" s="227">
        <f>EM100</f>
        <v/>
      </c>
      <c r="EN99" s="227">
        <f>EL99+EM99</f>
        <v/>
      </c>
      <c r="EO99" s="228">
        <f>EN99-EK99</f>
        <v/>
      </c>
      <c r="EP99" s="229">
        <f>IF(EK99=0,"",EN99/EK99)</f>
        <v/>
      </c>
      <c r="EQ99" s="18" t="n"/>
      <c r="ER99" s="230">
        <f>ER100</f>
        <v/>
      </c>
      <c r="ES99" s="230">
        <f>ES100</f>
        <v/>
      </c>
      <c r="ET99" s="230">
        <f>ER99+ES99</f>
        <v/>
      </c>
      <c r="EU99" s="230">
        <f>EU100</f>
        <v/>
      </c>
      <c r="EV99" s="230">
        <f>EV100</f>
        <v/>
      </c>
      <c r="EW99" s="230">
        <f>EU99+EV99</f>
        <v/>
      </c>
      <c r="EX99" s="231">
        <f>EW99-ET99</f>
        <v/>
      </c>
      <c r="EY99" s="232">
        <f>IF(ET99=0,"",EW99/ET99)</f>
        <v/>
      </c>
      <c r="EZ99" s="25" t="n"/>
      <c r="FA99" s="227">
        <f>FA100</f>
        <v/>
      </c>
      <c r="FB99" s="227">
        <f>FB100</f>
        <v/>
      </c>
      <c r="FC99" s="227">
        <f>FA99+FB99</f>
        <v/>
      </c>
      <c r="FD99" s="227">
        <f>FD100</f>
        <v/>
      </c>
      <c r="FE99" s="227">
        <f>FE100</f>
        <v/>
      </c>
      <c r="FF99" s="227">
        <f>FD99+FE99</f>
        <v/>
      </c>
      <c r="FG99" s="228">
        <f>FF99-FC99</f>
        <v/>
      </c>
      <c r="FH99" s="229">
        <f>IF(FC99=0,"",FF99/FC99)</f>
        <v/>
      </c>
      <c r="FI99" s="18" t="n"/>
      <c r="FJ99" s="230">
        <f>FJ100</f>
        <v/>
      </c>
      <c r="FK99" s="230">
        <f>FK100</f>
        <v/>
      </c>
      <c r="FL99" s="230">
        <f>FJ99+FK99</f>
        <v/>
      </c>
      <c r="FM99" s="230">
        <f>FM100</f>
        <v/>
      </c>
      <c r="FN99" s="230">
        <f>FN100</f>
        <v/>
      </c>
      <c r="FO99" s="230">
        <f>FM99+FN99</f>
        <v/>
      </c>
      <c r="FP99" s="231">
        <f>FO99-FL99</f>
        <v/>
      </c>
      <c r="FQ99" s="232">
        <f>IF(FL99=0,"",FO99/FL99)</f>
        <v/>
      </c>
      <c r="FR99" s="25" t="n"/>
      <c r="FS99" s="227">
        <f>FS100</f>
        <v/>
      </c>
      <c r="FT99" s="227">
        <f>FT100</f>
        <v/>
      </c>
      <c r="FU99" s="227">
        <f>FS99+FT99</f>
        <v/>
      </c>
      <c r="FV99" s="227">
        <f>FV100</f>
        <v/>
      </c>
      <c r="FW99" s="227">
        <f>FW100</f>
        <v/>
      </c>
      <c r="FX99" s="227">
        <f>FV99+FW99</f>
        <v/>
      </c>
      <c r="FY99" s="228">
        <f>FX99-FU99</f>
        <v/>
      </c>
      <c r="FZ99" s="229">
        <f>IF(FU99=0,"",FX99/FU99)</f>
        <v/>
      </c>
      <c r="GA99" s="18" t="n"/>
      <c r="GB99" s="230">
        <f>GB100</f>
        <v/>
      </c>
      <c r="GC99" s="230">
        <f>GC100</f>
        <v/>
      </c>
      <c r="GD99" s="230">
        <f>GB99+GC99</f>
        <v/>
      </c>
      <c r="GE99" s="230">
        <f>GE100</f>
        <v/>
      </c>
      <c r="GF99" s="230">
        <f>GF100</f>
        <v/>
      </c>
      <c r="GG99" s="230">
        <f>GE99+GF99</f>
        <v/>
      </c>
      <c r="GH99" s="231">
        <f>GG99-GD99</f>
        <v/>
      </c>
      <c r="GI99" s="232">
        <f>IF(GD99=0,"",GG99/GD99)</f>
        <v/>
      </c>
      <c r="GJ99" s="25" t="n"/>
      <c r="GK99" s="227">
        <f>GK100</f>
        <v/>
      </c>
      <c r="GL99" s="227">
        <f>GL100</f>
        <v/>
      </c>
      <c r="GM99" s="227">
        <f>GK99+GL99</f>
        <v/>
      </c>
      <c r="GN99" s="227">
        <f>GN100</f>
        <v/>
      </c>
      <c r="GO99" s="227">
        <f>GO100</f>
        <v/>
      </c>
      <c r="GP99" s="227">
        <f>GN99+GO99</f>
        <v/>
      </c>
      <c r="GQ99" s="228">
        <f>GP99-GM99</f>
        <v/>
      </c>
      <c r="GR99" s="229">
        <f>IF(GM99=0,"",GP99/GM99)</f>
        <v/>
      </c>
      <c r="GS99" s="18" t="n"/>
      <c r="GT99" s="230">
        <f>GT100</f>
        <v/>
      </c>
      <c r="GU99" s="230">
        <f>GU100</f>
        <v/>
      </c>
      <c r="GV99" s="230">
        <f>GT99+GU99</f>
        <v/>
      </c>
      <c r="GW99" s="230">
        <f>GW100</f>
        <v/>
      </c>
      <c r="GX99" s="230">
        <f>GX100</f>
        <v/>
      </c>
      <c r="GY99" s="230">
        <f>GW99+GX99</f>
        <v/>
      </c>
      <c r="GZ99" s="231">
        <f>GY99-GV99</f>
        <v/>
      </c>
      <c r="HA99" s="232">
        <f>IF(GV99=0,"",GY99/GV99)</f>
        <v/>
      </c>
      <c r="HB99" s="25" t="n"/>
      <c r="HC99" s="227">
        <f>GT99</f>
        <v/>
      </c>
      <c r="HD99" s="227">
        <f>GU99</f>
        <v/>
      </c>
      <c r="HE99" s="227">
        <f>HC99+HD99</f>
        <v/>
      </c>
    </row>
    <row r="100" outlineLevel="1" ht="15" customHeight="1" s="150">
      <c r="A100" s="26" t="n"/>
      <c r="B100" s="26" t="n"/>
      <c r="C100" s="26" t="n"/>
      <c r="D100" s="233" t="n"/>
      <c r="E100" s="233" t="n"/>
      <c r="F100" s="233">
        <f>D100+E100</f>
        <v/>
      </c>
      <c r="G100" s="233" t="n"/>
      <c r="H100" s="233" t="n"/>
      <c r="I100" s="233">
        <f>G100+H100</f>
        <v/>
      </c>
      <c r="J100" s="238">
        <f>I100-F100</f>
        <v/>
      </c>
      <c r="K100" s="235">
        <f>IF(F100=0,"",I100/F100)</f>
        <v/>
      </c>
      <c r="L100" s="26" t="n"/>
      <c r="M100" s="233" t="n"/>
      <c r="N100" s="233" t="n"/>
      <c r="O100" s="233">
        <f>M100+N100</f>
        <v/>
      </c>
      <c r="P100" s="233" t="n"/>
      <c r="Q100" s="233" t="n"/>
      <c r="R100" s="233">
        <f>P100+Q100</f>
        <v/>
      </c>
      <c r="S100" s="238">
        <f>R100-O100</f>
        <v/>
      </c>
      <c r="T100" s="235">
        <f>IF(O100=0,"",R100/O100)</f>
        <v/>
      </c>
      <c r="U100" s="26" t="n"/>
      <c r="V100" s="236">
        <f>D100+M100</f>
        <v/>
      </c>
      <c r="W100" s="236">
        <f>E100+N100</f>
        <v/>
      </c>
      <c r="X100" s="236">
        <f>V100+W100</f>
        <v/>
      </c>
      <c r="Y100" s="236">
        <f>G100+P100</f>
        <v/>
      </c>
      <c r="Z100" s="236">
        <f>H100+Q100</f>
        <v/>
      </c>
      <c r="AA100" s="236">
        <f>Y100+Z100</f>
        <v/>
      </c>
      <c r="AB100" s="239">
        <f>AA100-X100</f>
        <v/>
      </c>
      <c r="AC100" s="237">
        <f>IF(X100=0,"",AA100/X100)</f>
        <v/>
      </c>
      <c r="AD100" s="33" t="n"/>
      <c r="AE100" s="233" t="n"/>
      <c r="AF100" s="233" t="n"/>
      <c r="AG100" s="233">
        <f>AE100+AF100</f>
        <v/>
      </c>
      <c r="AH100" s="233" t="n"/>
      <c r="AI100" s="233" t="n"/>
      <c r="AJ100" s="233">
        <f>AH100+AI100</f>
        <v/>
      </c>
      <c r="AK100" s="238">
        <f>AJ100-AG100</f>
        <v/>
      </c>
      <c r="AL100" s="235">
        <f>IF(AG100=0,"",AJ100/AG100)</f>
        <v/>
      </c>
      <c r="AM100" s="26" t="n"/>
      <c r="AN100" s="236">
        <f>V100+AE100</f>
        <v/>
      </c>
      <c r="AO100" s="236">
        <f>W100+AF100</f>
        <v/>
      </c>
      <c r="AP100" s="236">
        <f>AN100+AO100</f>
        <v/>
      </c>
      <c r="AQ100" s="236">
        <f>Y100+AH100</f>
        <v/>
      </c>
      <c r="AR100" s="236">
        <f>Z100+AI100</f>
        <v/>
      </c>
      <c r="AS100" s="236">
        <f>AQ100+AR100</f>
        <v/>
      </c>
      <c r="AT100" s="239">
        <f>AS100-AP100</f>
        <v/>
      </c>
      <c r="AU100" s="237">
        <f>IF(AP100=0,"",AS100/AP100)</f>
        <v/>
      </c>
      <c r="AV100" s="33" t="n"/>
      <c r="AW100" s="233" t="n"/>
      <c r="AX100" s="233" t="n"/>
      <c r="AY100" s="233">
        <f>AW100+AX100</f>
        <v/>
      </c>
      <c r="AZ100" s="233" t="n"/>
      <c r="BA100" s="233" t="n"/>
      <c r="BB100" s="233">
        <f>AZ100+BA100</f>
        <v/>
      </c>
      <c r="BC100" s="238">
        <f>BB100-AY100</f>
        <v/>
      </c>
      <c r="BD100" s="235">
        <f>IF(AY100=0,"",BB100/AY100)</f>
        <v/>
      </c>
      <c r="BE100" s="26" t="n"/>
      <c r="BF100" s="236">
        <f>AN100+AW100</f>
        <v/>
      </c>
      <c r="BG100" s="236">
        <f>AO100+AX100</f>
        <v/>
      </c>
      <c r="BH100" s="236">
        <f>BF100+BG100</f>
        <v/>
      </c>
      <c r="BI100" s="236">
        <f>AQ100+AZ100</f>
        <v/>
      </c>
      <c r="BJ100" s="236">
        <f>AR100+BA100</f>
        <v/>
      </c>
      <c r="BK100" s="236">
        <f>BI100+BJ100</f>
        <v/>
      </c>
      <c r="BL100" s="239">
        <f>BK100-BH100</f>
        <v/>
      </c>
      <c r="BM100" s="237">
        <f>IF(BH100=0,"",BK100/BH100)</f>
        <v/>
      </c>
      <c r="BN100" s="33" t="n"/>
      <c r="BO100" s="233" t="n"/>
      <c r="BP100" s="233" t="n"/>
      <c r="BQ100" s="233">
        <f>BO100+BP100</f>
        <v/>
      </c>
      <c r="BR100" s="233" t="n"/>
      <c r="BS100" s="233" t="n"/>
      <c r="BT100" s="233">
        <f>BR100+BS100</f>
        <v/>
      </c>
      <c r="BU100" s="238">
        <f>BT100-BQ100</f>
        <v/>
      </c>
      <c r="BV100" s="235">
        <f>IF(BQ100=0,"",BT100/BQ100)</f>
        <v/>
      </c>
      <c r="BW100" s="26" t="n"/>
      <c r="BX100" s="236">
        <f>BF100+BO100</f>
        <v/>
      </c>
      <c r="BY100" s="236">
        <f>BG100+BP100</f>
        <v/>
      </c>
      <c r="BZ100" s="236">
        <f>BX100+BY100</f>
        <v/>
      </c>
      <c r="CA100" s="236">
        <f>BI100+BR100</f>
        <v/>
      </c>
      <c r="CB100" s="236">
        <f>BJ100+BS100</f>
        <v/>
      </c>
      <c r="CC100" s="236">
        <f>CA100+CB100</f>
        <v/>
      </c>
      <c r="CD100" s="239">
        <f>CC100-BZ100</f>
        <v/>
      </c>
      <c r="CE100" s="237">
        <f>IF(BZ100=0,"",CC100/BZ100)</f>
        <v/>
      </c>
      <c r="CF100" s="33" t="n"/>
      <c r="CG100" s="233" t="n"/>
      <c r="CH100" s="233" t="n"/>
      <c r="CI100" s="233">
        <f>CG100+CH100</f>
        <v/>
      </c>
      <c r="CJ100" s="233" t="n"/>
      <c r="CK100" s="233" t="n"/>
      <c r="CL100" s="233">
        <f>CJ100+CK100</f>
        <v/>
      </c>
      <c r="CM100" s="238">
        <f>CL100-CI100</f>
        <v/>
      </c>
      <c r="CN100" s="235">
        <f>IF(CI100=0,"",CL100/CI100)</f>
        <v/>
      </c>
      <c r="CO100" s="26" t="n"/>
      <c r="CP100" s="236">
        <f>BX100+CG100</f>
        <v/>
      </c>
      <c r="CQ100" s="236">
        <f>BY100+CH100</f>
        <v/>
      </c>
      <c r="CR100" s="236">
        <f>CP100+CQ100</f>
        <v/>
      </c>
      <c r="CS100" s="236">
        <f>CA100+CJ100</f>
        <v/>
      </c>
      <c r="CT100" s="236">
        <f>CB100+CK100</f>
        <v/>
      </c>
      <c r="CU100" s="236">
        <f>CS100+CT100</f>
        <v/>
      </c>
      <c r="CV100" s="239">
        <f>CU100-CR100</f>
        <v/>
      </c>
      <c r="CW100" s="237">
        <f>IF(CR100=0,"",CU100/CR100)</f>
        <v/>
      </c>
      <c r="CX100" s="33" t="n"/>
      <c r="CY100" s="233" t="n"/>
      <c r="CZ100" s="233" t="n"/>
      <c r="DA100" s="233">
        <f>CY100+CZ100</f>
        <v/>
      </c>
      <c r="DB100" s="233" t="n"/>
      <c r="DC100" s="233" t="n"/>
      <c r="DD100" s="233">
        <f>DB100+DC100</f>
        <v/>
      </c>
      <c r="DE100" s="238">
        <f>DD100-DA100</f>
        <v/>
      </c>
      <c r="DF100" s="235">
        <f>IF(DA100=0,"",DD100/DA100)</f>
        <v/>
      </c>
      <c r="DG100" s="26" t="n"/>
      <c r="DH100" s="236">
        <f>CP100+CY100</f>
        <v/>
      </c>
      <c r="DI100" s="236">
        <f>CQ100+CZ100</f>
        <v/>
      </c>
      <c r="DJ100" s="236">
        <f>DH100+DI100</f>
        <v/>
      </c>
      <c r="DK100" s="236">
        <f>CS100+DB100</f>
        <v/>
      </c>
      <c r="DL100" s="236">
        <f>CT100+DC100</f>
        <v/>
      </c>
      <c r="DM100" s="236">
        <f>DK100+DL100</f>
        <v/>
      </c>
      <c r="DN100" s="239">
        <f>DM100-DJ100</f>
        <v/>
      </c>
      <c r="DO100" s="237">
        <f>IF(DJ100=0,"",DM100/DJ100)</f>
        <v/>
      </c>
      <c r="DP100" s="33" t="n"/>
      <c r="DQ100" s="233" t="n"/>
      <c r="DR100" s="233" t="n"/>
      <c r="DS100" s="233">
        <f>DQ100+DR100</f>
        <v/>
      </c>
      <c r="DT100" s="233" t="n"/>
      <c r="DU100" s="233" t="n"/>
      <c r="DV100" s="233">
        <f>DT100+DU100</f>
        <v/>
      </c>
      <c r="DW100" s="238">
        <f>DV100-DS100</f>
        <v/>
      </c>
      <c r="DX100" s="235">
        <f>IF(DS100=0,"",DV100/DS100)</f>
        <v/>
      </c>
      <c r="DY100" s="26" t="n"/>
      <c r="DZ100" s="236">
        <f>DH100+DQ100</f>
        <v/>
      </c>
      <c r="EA100" s="236">
        <f>DI100+DR100</f>
        <v/>
      </c>
      <c r="EB100" s="236">
        <f>DZ100+EA100</f>
        <v/>
      </c>
      <c r="EC100" s="236">
        <f>DK100+DT100</f>
        <v/>
      </c>
      <c r="ED100" s="236">
        <f>DL100+DU100</f>
        <v/>
      </c>
      <c r="EE100" s="236">
        <f>EC100+ED100</f>
        <v/>
      </c>
      <c r="EF100" s="239">
        <f>EE100-EB100</f>
        <v/>
      </c>
      <c r="EG100" s="237">
        <f>IF(EB100=0,"",EE100/EB100)</f>
        <v/>
      </c>
      <c r="EH100" s="33" t="n"/>
      <c r="EI100" s="233" t="n"/>
      <c r="EJ100" s="233" t="n"/>
      <c r="EK100" s="233">
        <f>EI100+EJ100</f>
        <v/>
      </c>
      <c r="EL100" s="233" t="n"/>
      <c r="EM100" s="233" t="n"/>
      <c r="EN100" s="233">
        <f>EL100+EM100</f>
        <v/>
      </c>
      <c r="EO100" s="238">
        <f>EN100-EK100</f>
        <v/>
      </c>
      <c r="EP100" s="235">
        <f>IF(EK100=0,"",EN100/EK100)</f>
        <v/>
      </c>
      <c r="EQ100" s="26" t="n"/>
      <c r="ER100" s="236">
        <f>DZ100+EI100</f>
        <v/>
      </c>
      <c r="ES100" s="236">
        <f>EA100+EJ100</f>
        <v/>
      </c>
      <c r="ET100" s="236">
        <f>ER100+ES100</f>
        <v/>
      </c>
      <c r="EU100" s="236">
        <f>EC100+EL100</f>
        <v/>
      </c>
      <c r="EV100" s="236">
        <f>ED100+EM100</f>
        <v/>
      </c>
      <c r="EW100" s="236">
        <f>EU100+EV100</f>
        <v/>
      </c>
      <c r="EX100" s="239">
        <f>EW100-ET100</f>
        <v/>
      </c>
      <c r="EY100" s="237">
        <f>IF(ET100=0,"",EW100/ET100)</f>
        <v/>
      </c>
      <c r="EZ100" s="33" t="n"/>
      <c r="FA100" s="233" t="n"/>
      <c r="FB100" s="233" t="n"/>
      <c r="FC100" s="233">
        <f>FA100+FB100</f>
        <v/>
      </c>
      <c r="FD100" s="233" t="n"/>
      <c r="FE100" s="233" t="n"/>
      <c r="FF100" s="233">
        <f>FD100+FE100</f>
        <v/>
      </c>
      <c r="FG100" s="238">
        <f>FF100-FC100</f>
        <v/>
      </c>
      <c r="FH100" s="235">
        <f>IF(FC100=0,"",FF100/FC100)</f>
        <v/>
      </c>
      <c r="FI100" s="26" t="n"/>
      <c r="FJ100" s="236">
        <f>ER100+FA100</f>
        <v/>
      </c>
      <c r="FK100" s="236">
        <f>ES100+FB100</f>
        <v/>
      </c>
      <c r="FL100" s="236">
        <f>FJ100+FK100</f>
        <v/>
      </c>
      <c r="FM100" s="236">
        <f>EU100+FD100</f>
        <v/>
      </c>
      <c r="FN100" s="236">
        <f>EV100+FE100</f>
        <v/>
      </c>
      <c r="FO100" s="236">
        <f>FM100+FN100</f>
        <v/>
      </c>
      <c r="FP100" s="239">
        <f>FO100-FL100</f>
        <v/>
      </c>
      <c r="FQ100" s="237">
        <f>IF(FL100=0,"",FO100/FL100)</f>
        <v/>
      </c>
      <c r="FR100" s="33" t="n"/>
      <c r="FS100" s="233" t="n"/>
      <c r="FT100" s="233" t="n"/>
      <c r="FU100" s="233">
        <f>FS100+FT100</f>
        <v/>
      </c>
      <c r="FV100" s="233" t="n"/>
      <c r="FW100" s="233" t="n"/>
      <c r="FX100" s="233">
        <f>FV100+FW100</f>
        <v/>
      </c>
      <c r="FY100" s="238">
        <f>FX100-FU100</f>
        <v/>
      </c>
      <c r="FZ100" s="235">
        <f>IF(FU100=0,"",FX100/FU100)</f>
        <v/>
      </c>
      <c r="GA100" s="26" t="n"/>
      <c r="GB100" s="236">
        <f>FJ100+FS100</f>
        <v/>
      </c>
      <c r="GC100" s="236">
        <f>FK100+FT100</f>
        <v/>
      </c>
      <c r="GD100" s="236">
        <f>GB100+GC100</f>
        <v/>
      </c>
      <c r="GE100" s="236">
        <f>FM100+FV100</f>
        <v/>
      </c>
      <c r="GF100" s="236">
        <f>FN100+FW100</f>
        <v/>
      </c>
      <c r="GG100" s="236">
        <f>GE100+GF100</f>
        <v/>
      </c>
      <c r="GH100" s="239">
        <f>GG100-GD100</f>
        <v/>
      </c>
      <c r="GI100" s="237">
        <f>IF(GD100=0,"",GG100/GD100)</f>
        <v/>
      </c>
      <c r="GJ100" s="33" t="n"/>
      <c r="GK100" s="233" t="n"/>
      <c r="GL100" s="233" t="n"/>
      <c r="GM100" s="233">
        <f>GK100+GL100</f>
        <v/>
      </c>
      <c r="GN100" s="233" t="n"/>
      <c r="GO100" s="233" t="n"/>
      <c r="GP100" s="233">
        <f>GN100+GO100</f>
        <v/>
      </c>
      <c r="GQ100" s="238">
        <f>GP100-GM100</f>
        <v/>
      </c>
      <c r="GR100" s="235">
        <f>IF(GM100=0,"",GP100/GM100)</f>
        <v/>
      </c>
      <c r="GS100" s="26" t="n"/>
      <c r="GT100" s="236">
        <f>GB100+GK100</f>
        <v/>
      </c>
      <c r="GU100" s="236">
        <f>GC100+GL100</f>
        <v/>
      </c>
      <c r="GV100" s="236">
        <f>GT100+GU100</f>
        <v/>
      </c>
      <c r="GW100" s="236">
        <f>GE100+GN100</f>
        <v/>
      </c>
      <c r="GX100" s="236">
        <f>GF100+GO100</f>
        <v/>
      </c>
      <c r="GY100" s="236">
        <f>GW100+GX100</f>
        <v/>
      </c>
      <c r="GZ100" s="239">
        <f>GY100-GV100</f>
        <v/>
      </c>
      <c r="HA100" s="237">
        <f>IF(GV100=0,"",GY100/GV100)</f>
        <v/>
      </c>
      <c r="HB100" s="33" t="n"/>
      <c r="HC100" s="233">
        <f>GT100</f>
        <v/>
      </c>
      <c r="HD100" s="233">
        <f>GU100</f>
        <v/>
      </c>
      <c r="HE100" s="233">
        <f>HC100+HD100</f>
        <v/>
      </c>
    </row>
    <row r="101" ht="15" customHeight="1" s="150">
      <c r="A101" s="18" t="n"/>
      <c r="B101" s="18" t="n"/>
      <c r="C101" s="18" t="n"/>
      <c r="D101" s="227">
        <f>D102</f>
        <v/>
      </c>
      <c r="E101" s="227">
        <f>E102</f>
        <v/>
      </c>
      <c r="F101" s="227">
        <f>D101+E101</f>
        <v/>
      </c>
      <c r="G101" s="227">
        <f>G102</f>
        <v/>
      </c>
      <c r="H101" s="227">
        <f>H102</f>
        <v/>
      </c>
      <c r="I101" s="227">
        <f>G101+H101</f>
        <v/>
      </c>
      <c r="J101" s="228">
        <f>I101-F101</f>
        <v/>
      </c>
      <c r="K101" s="229">
        <f>IF(F101=0,"",I101/F101)</f>
        <v/>
      </c>
      <c r="L101" s="18" t="n"/>
      <c r="M101" s="227">
        <f>M102</f>
        <v/>
      </c>
      <c r="N101" s="227">
        <f>N102</f>
        <v/>
      </c>
      <c r="O101" s="227">
        <f>M101+N101</f>
        <v/>
      </c>
      <c r="P101" s="227">
        <f>P102</f>
        <v/>
      </c>
      <c r="Q101" s="227">
        <f>Q102</f>
        <v/>
      </c>
      <c r="R101" s="227">
        <f>P101+Q101</f>
        <v/>
      </c>
      <c r="S101" s="228">
        <f>R101-O101</f>
        <v/>
      </c>
      <c r="T101" s="229">
        <f>IF(O101=0,"",R101/O101)</f>
        <v/>
      </c>
      <c r="U101" s="18" t="n"/>
      <c r="V101" s="230">
        <f>V102</f>
        <v/>
      </c>
      <c r="W101" s="230">
        <f>W102</f>
        <v/>
      </c>
      <c r="X101" s="230">
        <f>V101+W101</f>
        <v/>
      </c>
      <c r="Y101" s="230">
        <f>Y102</f>
        <v/>
      </c>
      <c r="Z101" s="230">
        <f>Z102</f>
        <v/>
      </c>
      <c r="AA101" s="230">
        <f>Y101+Z101</f>
        <v/>
      </c>
      <c r="AB101" s="231">
        <f>AA101-X101</f>
        <v/>
      </c>
      <c r="AC101" s="232">
        <f>IF(X101=0,"",AA101/X101)</f>
        <v/>
      </c>
      <c r="AD101" s="25" t="n"/>
      <c r="AE101" s="227">
        <f>AE102</f>
        <v/>
      </c>
      <c r="AF101" s="227">
        <f>AF102</f>
        <v/>
      </c>
      <c r="AG101" s="227">
        <f>AE101+AF101</f>
        <v/>
      </c>
      <c r="AH101" s="227">
        <f>AH102</f>
        <v/>
      </c>
      <c r="AI101" s="227">
        <f>AI102</f>
        <v/>
      </c>
      <c r="AJ101" s="227">
        <f>AH101+AI101</f>
        <v/>
      </c>
      <c r="AK101" s="228">
        <f>AJ101-AG101</f>
        <v/>
      </c>
      <c r="AL101" s="229">
        <f>IF(AG101=0,"",AJ101/AG101)</f>
        <v/>
      </c>
      <c r="AM101" s="18" t="n"/>
      <c r="AN101" s="230">
        <f>AN102</f>
        <v/>
      </c>
      <c r="AO101" s="230">
        <f>AO102</f>
        <v/>
      </c>
      <c r="AP101" s="230">
        <f>AN101+AO101</f>
        <v/>
      </c>
      <c r="AQ101" s="230">
        <f>AQ102</f>
        <v/>
      </c>
      <c r="AR101" s="230">
        <f>AR102</f>
        <v/>
      </c>
      <c r="AS101" s="230">
        <f>AQ101+AR101</f>
        <v/>
      </c>
      <c r="AT101" s="231">
        <f>AS101-AP101</f>
        <v/>
      </c>
      <c r="AU101" s="232">
        <f>IF(AP101=0,"",AS101/AP101)</f>
        <v/>
      </c>
      <c r="AV101" s="25" t="n"/>
      <c r="AW101" s="227">
        <f>AW102</f>
        <v/>
      </c>
      <c r="AX101" s="227">
        <f>AX102</f>
        <v/>
      </c>
      <c r="AY101" s="227">
        <f>AW101+AX101</f>
        <v/>
      </c>
      <c r="AZ101" s="227">
        <f>AZ102</f>
        <v/>
      </c>
      <c r="BA101" s="227">
        <f>BA102</f>
        <v/>
      </c>
      <c r="BB101" s="227">
        <f>AZ101+BA101</f>
        <v/>
      </c>
      <c r="BC101" s="228">
        <f>BB101-AY101</f>
        <v/>
      </c>
      <c r="BD101" s="229">
        <f>IF(AY101=0,"",BB101/AY101)</f>
        <v/>
      </c>
      <c r="BE101" s="18" t="n"/>
      <c r="BF101" s="230">
        <f>BF102</f>
        <v/>
      </c>
      <c r="BG101" s="230">
        <f>BG102</f>
        <v/>
      </c>
      <c r="BH101" s="230">
        <f>BF101+BG101</f>
        <v/>
      </c>
      <c r="BI101" s="230">
        <f>BI102</f>
        <v/>
      </c>
      <c r="BJ101" s="230">
        <f>BJ102</f>
        <v/>
      </c>
      <c r="BK101" s="230">
        <f>BI101+BJ101</f>
        <v/>
      </c>
      <c r="BL101" s="231">
        <f>BK101-BH101</f>
        <v/>
      </c>
      <c r="BM101" s="232">
        <f>IF(BH101=0,"",BK101/BH101)</f>
        <v/>
      </c>
      <c r="BN101" s="25" t="n"/>
      <c r="BO101" s="227">
        <f>BO102</f>
        <v/>
      </c>
      <c r="BP101" s="227">
        <f>BP102</f>
        <v/>
      </c>
      <c r="BQ101" s="227">
        <f>BO101+BP101</f>
        <v/>
      </c>
      <c r="BR101" s="227">
        <f>BR102</f>
        <v/>
      </c>
      <c r="BS101" s="227">
        <f>BS102</f>
        <v/>
      </c>
      <c r="BT101" s="227">
        <f>BR101+BS101</f>
        <v/>
      </c>
      <c r="BU101" s="228">
        <f>BT101-BQ101</f>
        <v/>
      </c>
      <c r="BV101" s="229">
        <f>IF(BQ101=0,"",BT101/BQ101)</f>
        <v/>
      </c>
      <c r="BW101" s="18" t="n"/>
      <c r="BX101" s="230">
        <f>BX102</f>
        <v/>
      </c>
      <c r="BY101" s="230">
        <f>BY102</f>
        <v/>
      </c>
      <c r="BZ101" s="230">
        <f>BX101+BY101</f>
        <v/>
      </c>
      <c r="CA101" s="230">
        <f>CA102</f>
        <v/>
      </c>
      <c r="CB101" s="230">
        <f>CB102</f>
        <v/>
      </c>
      <c r="CC101" s="230">
        <f>CA101+CB101</f>
        <v/>
      </c>
      <c r="CD101" s="231">
        <f>CC101-BZ101</f>
        <v/>
      </c>
      <c r="CE101" s="232">
        <f>IF(BZ101=0,"",CC101/BZ101)</f>
        <v/>
      </c>
      <c r="CF101" s="25" t="n"/>
      <c r="CG101" s="227">
        <f>CG102</f>
        <v/>
      </c>
      <c r="CH101" s="227">
        <f>CH102</f>
        <v/>
      </c>
      <c r="CI101" s="227">
        <f>CG101+CH101</f>
        <v/>
      </c>
      <c r="CJ101" s="227">
        <f>CJ102</f>
        <v/>
      </c>
      <c r="CK101" s="227">
        <f>CK102</f>
        <v/>
      </c>
      <c r="CL101" s="227">
        <f>CJ101+CK101</f>
        <v/>
      </c>
      <c r="CM101" s="228">
        <f>CL101-CI101</f>
        <v/>
      </c>
      <c r="CN101" s="229">
        <f>IF(CI101=0,"",CL101/CI101)</f>
        <v/>
      </c>
      <c r="CO101" s="18" t="n"/>
      <c r="CP101" s="230">
        <f>CP102</f>
        <v/>
      </c>
      <c r="CQ101" s="230">
        <f>CQ102</f>
        <v/>
      </c>
      <c r="CR101" s="230">
        <f>CP101+CQ101</f>
        <v/>
      </c>
      <c r="CS101" s="230">
        <f>CS102</f>
        <v/>
      </c>
      <c r="CT101" s="230">
        <f>CT102</f>
        <v/>
      </c>
      <c r="CU101" s="230">
        <f>CS101+CT101</f>
        <v/>
      </c>
      <c r="CV101" s="231">
        <f>CU101-CR101</f>
        <v/>
      </c>
      <c r="CW101" s="232">
        <f>IF(CR101=0,"",CU101/CR101)</f>
        <v/>
      </c>
      <c r="CX101" s="25" t="n"/>
      <c r="CY101" s="227">
        <f>CY102</f>
        <v/>
      </c>
      <c r="CZ101" s="227">
        <f>CZ102</f>
        <v/>
      </c>
      <c r="DA101" s="227">
        <f>CY101+CZ101</f>
        <v/>
      </c>
      <c r="DB101" s="227">
        <f>DB102</f>
        <v/>
      </c>
      <c r="DC101" s="227">
        <f>DC102</f>
        <v/>
      </c>
      <c r="DD101" s="227">
        <f>DB101+DC101</f>
        <v/>
      </c>
      <c r="DE101" s="228">
        <f>DD101-DA101</f>
        <v/>
      </c>
      <c r="DF101" s="229">
        <f>IF(DA101=0,"",DD101/DA101)</f>
        <v/>
      </c>
      <c r="DG101" s="18" t="n"/>
      <c r="DH101" s="230">
        <f>DH102</f>
        <v/>
      </c>
      <c r="DI101" s="230">
        <f>DI102</f>
        <v/>
      </c>
      <c r="DJ101" s="230">
        <f>DH101+DI101</f>
        <v/>
      </c>
      <c r="DK101" s="230">
        <f>DK102</f>
        <v/>
      </c>
      <c r="DL101" s="230">
        <f>DL102</f>
        <v/>
      </c>
      <c r="DM101" s="230">
        <f>DK101+DL101</f>
        <v/>
      </c>
      <c r="DN101" s="231">
        <f>DM101-DJ101</f>
        <v/>
      </c>
      <c r="DO101" s="232">
        <f>IF(DJ101=0,"",DM101/DJ101)</f>
        <v/>
      </c>
      <c r="DP101" s="25" t="n"/>
      <c r="DQ101" s="227">
        <f>DQ102</f>
        <v/>
      </c>
      <c r="DR101" s="227">
        <f>DR102</f>
        <v/>
      </c>
      <c r="DS101" s="227">
        <f>DQ101+DR101</f>
        <v/>
      </c>
      <c r="DT101" s="227">
        <f>DT102</f>
        <v/>
      </c>
      <c r="DU101" s="227">
        <f>DU102</f>
        <v/>
      </c>
      <c r="DV101" s="227">
        <f>DT101+DU101</f>
        <v/>
      </c>
      <c r="DW101" s="228">
        <f>DV101-DS101</f>
        <v/>
      </c>
      <c r="DX101" s="229">
        <f>IF(DS101=0,"",DV101/DS101)</f>
        <v/>
      </c>
      <c r="DY101" s="18" t="n"/>
      <c r="DZ101" s="230">
        <f>DZ102</f>
        <v/>
      </c>
      <c r="EA101" s="230">
        <f>EA102</f>
        <v/>
      </c>
      <c r="EB101" s="230">
        <f>DZ101+EA101</f>
        <v/>
      </c>
      <c r="EC101" s="230">
        <f>EC102</f>
        <v/>
      </c>
      <c r="ED101" s="230">
        <f>ED102</f>
        <v/>
      </c>
      <c r="EE101" s="230">
        <f>EC101+ED101</f>
        <v/>
      </c>
      <c r="EF101" s="231">
        <f>EE101-EB101</f>
        <v/>
      </c>
      <c r="EG101" s="232">
        <f>IF(EB101=0,"",EE101/EB101)</f>
        <v/>
      </c>
      <c r="EH101" s="25" t="n"/>
      <c r="EI101" s="227">
        <f>EI102</f>
        <v/>
      </c>
      <c r="EJ101" s="227">
        <f>EJ102</f>
        <v/>
      </c>
      <c r="EK101" s="227">
        <f>EI101+EJ101</f>
        <v/>
      </c>
      <c r="EL101" s="227">
        <f>EL102</f>
        <v/>
      </c>
      <c r="EM101" s="227">
        <f>EM102</f>
        <v/>
      </c>
      <c r="EN101" s="227">
        <f>EL101+EM101</f>
        <v/>
      </c>
      <c r="EO101" s="228">
        <f>EN101-EK101</f>
        <v/>
      </c>
      <c r="EP101" s="229">
        <f>IF(EK101=0,"",EN101/EK101)</f>
        <v/>
      </c>
      <c r="EQ101" s="18" t="n"/>
      <c r="ER101" s="230">
        <f>ER102</f>
        <v/>
      </c>
      <c r="ES101" s="230">
        <f>ES102</f>
        <v/>
      </c>
      <c r="ET101" s="230">
        <f>ER101+ES101</f>
        <v/>
      </c>
      <c r="EU101" s="230">
        <f>EU102</f>
        <v/>
      </c>
      <c r="EV101" s="230">
        <f>EV102</f>
        <v/>
      </c>
      <c r="EW101" s="230">
        <f>EU101+EV101</f>
        <v/>
      </c>
      <c r="EX101" s="231">
        <f>EW101-ET101</f>
        <v/>
      </c>
      <c r="EY101" s="232">
        <f>IF(ET101=0,"",EW101/ET101)</f>
        <v/>
      </c>
      <c r="EZ101" s="25" t="n"/>
      <c r="FA101" s="227">
        <f>FA102</f>
        <v/>
      </c>
      <c r="FB101" s="227">
        <f>FB102</f>
        <v/>
      </c>
      <c r="FC101" s="227">
        <f>FA101+FB101</f>
        <v/>
      </c>
      <c r="FD101" s="227">
        <f>FD102</f>
        <v/>
      </c>
      <c r="FE101" s="227">
        <f>FE102</f>
        <v/>
      </c>
      <c r="FF101" s="227">
        <f>FD101+FE101</f>
        <v/>
      </c>
      <c r="FG101" s="228">
        <f>FF101-FC101</f>
        <v/>
      </c>
      <c r="FH101" s="229">
        <f>IF(FC101=0,"",FF101/FC101)</f>
        <v/>
      </c>
      <c r="FI101" s="18" t="n"/>
      <c r="FJ101" s="230">
        <f>FJ102</f>
        <v/>
      </c>
      <c r="FK101" s="230">
        <f>FK102</f>
        <v/>
      </c>
      <c r="FL101" s="230">
        <f>FJ101+FK101</f>
        <v/>
      </c>
      <c r="FM101" s="230">
        <f>FM102</f>
        <v/>
      </c>
      <c r="FN101" s="230">
        <f>FN102</f>
        <v/>
      </c>
      <c r="FO101" s="230">
        <f>FM101+FN101</f>
        <v/>
      </c>
      <c r="FP101" s="231">
        <f>FO101-FL101</f>
        <v/>
      </c>
      <c r="FQ101" s="232">
        <f>IF(FL101=0,"",FO101/FL101)</f>
        <v/>
      </c>
      <c r="FR101" s="25" t="n"/>
      <c r="FS101" s="227">
        <f>FS102</f>
        <v/>
      </c>
      <c r="FT101" s="227">
        <f>FT102</f>
        <v/>
      </c>
      <c r="FU101" s="227">
        <f>FS101+FT101</f>
        <v/>
      </c>
      <c r="FV101" s="227">
        <f>FV102</f>
        <v/>
      </c>
      <c r="FW101" s="227">
        <f>FW102</f>
        <v/>
      </c>
      <c r="FX101" s="227">
        <f>FV101+FW101</f>
        <v/>
      </c>
      <c r="FY101" s="228">
        <f>FX101-FU101</f>
        <v/>
      </c>
      <c r="FZ101" s="229">
        <f>IF(FU101=0,"",FX101/FU101)</f>
        <v/>
      </c>
      <c r="GA101" s="18" t="n"/>
      <c r="GB101" s="230">
        <f>GB102</f>
        <v/>
      </c>
      <c r="GC101" s="230">
        <f>GC102</f>
        <v/>
      </c>
      <c r="GD101" s="230">
        <f>GB101+GC101</f>
        <v/>
      </c>
      <c r="GE101" s="230">
        <f>GE102</f>
        <v/>
      </c>
      <c r="GF101" s="230">
        <f>GF102</f>
        <v/>
      </c>
      <c r="GG101" s="230">
        <f>GE101+GF101</f>
        <v/>
      </c>
      <c r="GH101" s="231">
        <f>GG101-GD101</f>
        <v/>
      </c>
      <c r="GI101" s="232">
        <f>IF(GD101=0,"",GG101/GD101)</f>
        <v/>
      </c>
      <c r="GJ101" s="25" t="n"/>
      <c r="GK101" s="227">
        <f>GK102</f>
        <v/>
      </c>
      <c r="GL101" s="227">
        <f>GL102</f>
        <v/>
      </c>
      <c r="GM101" s="227">
        <f>GK101+GL101</f>
        <v/>
      </c>
      <c r="GN101" s="227">
        <f>GN102</f>
        <v/>
      </c>
      <c r="GO101" s="227">
        <f>GO102</f>
        <v/>
      </c>
      <c r="GP101" s="227">
        <f>GN101+GO101</f>
        <v/>
      </c>
      <c r="GQ101" s="228">
        <f>GP101-GM101</f>
        <v/>
      </c>
      <c r="GR101" s="229">
        <f>IF(GM101=0,"",GP101/GM101)</f>
        <v/>
      </c>
      <c r="GS101" s="18" t="n"/>
      <c r="GT101" s="230">
        <f>GT102</f>
        <v/>
      </c>
      <c r="GU101" s="230">
        <f>GU102</f>
        <v/>
      </c>
      <c r="GV101" s="230">
        <f>GT101+GU101</f>
        <v/>
      </c>
      <c r="GW101" s="230">
        <f>GW102</f>
        <v/>
      </c>
      <c r="GX101" s="230">
        <f>GX102</f>
        <v/>
      </c>
      <c r="GY101" s="230">
        <f>GW101+GX101</f>
        <v/>
      </c>
      <c r="GZ101" s="231">
        <f>GY101-GV101</f>
        <v/>
      </c>
      <c r="HA101" s="232">
        <f>IF(GV101=0,"",GY101/GV101)</f>
        <v/>
      </c>
      <c r="HB101" s="25" t="n"/>
      <c r="HC101" s="227">
        <f>GT101</f>
        <v/>
      </c>
      <c r="HD101" s="227">
        <f>GU101</f>
        <v/>
      </c>
      <c r="HE101" s="227">
        <f>HC101+HD101</f>
        <v/>
      </c>
    </row>
    <row r="102" outlineLevel="1" ht="15" customHeight="1" s="150">
      <c r="A102" s="26" t="n"/>
      <c r="B102" s="26" t="n"/>
      <c r="C102" s="26" t="n"/>
      <c r="D102" s="233" t="n"/>
      <c r="E102" s="233" t="n"/>
      <c r="F102" s="233">
        <f>D102+E102</f>
        <v/>
      </c>
      <c r="G102" s="233" t="n"/>
      <c r="H102" s="233" t="n"/>
      <c r="I102" s="233">
        <f>G102+H102</f>
        <v/>
      </c>
      <c r="J102" s="238">
        <f>I102-F102</f>
        <v/>
      </c>
      <c r="K102" s="235">
        <f>IF(F102=0,"",I102/F102)</f>
        <v/>
      </c>
      <c r="L102" s="26" t="n"/>
      <c r="M102" s="233" t="n"/>
      <c r="N102" s="233" t="n"/>
      <c r="O102" s="233">
        <f>M102+N102</f>
        <v/>
      </c>
      <c r="P102" s="233" t="n"/>
      <c r="Q102" s="233" t="n"/>
      <c r="R102" s="233">
        <f>P102+Q102</f>
        <v/>
      </c>
      <c r="S102" s="238">
        <f>R102-O102</f>
        <v/>
      </c>
      <c r="T102" s="235">
        <f>IF(O102=0,"",R102/O102)</f>
        <v/>
      </c>
      <c r="U102" s="26" t="n"/>
      <c r="V102" s="236">
        <f>D102+M102</f>
        <v/>
      </c>
      <c r="W102" s="236">
        <f>E102+N102</f>
        <v/>
      </c>
      <c r="X102" s="236">
        <f>V102+W102</f>
        <v/>
      </c>
      <c r="Y102" s="236">
        <f>G102+P102</f>
        <v/>
      </c>
      <c r="Z102" s="236">
        <f>H102+Q102</f>
        <v/>
      </c>
      <c r="AA102" s="236">
        <f>Y102+Z102</f>
        <v/>
      </c>
      <c r="AB102" s="239">
        <f>AA102-X102</f>
        <v/>
      </c>
      <c r="AC102" s="237">
        <f>IF(X102=0,"",AA102/X102)</f>
        <v/>
      </c>
      <c r="AD102" s="33" t="n"/>
      <c r="AE102" s="233" t="n"/>
      <c r="AF102" s="233" t="n"/>
      <c r="AG102" s="233">
        <f>AE102+AF102</f>
        <v/>
      </c>
      <c r="AH102" s="233" t="n"/>
      <c r="AI102" s="233" t="n"/>
      <c r="AJ102" s="233">
        <f>AH102+AI102</f>
        <v/>
      </c>
      <c r="AK102" s="238">
        <f>AJ102-AG102</f>
        <v/>
      </c>
      <c r="AL102" s="235">
        <f>IF(AG102=0,"",AJ102/AG102)</f>
        <v/>
      </c>
      <c r="AM102" s="26" t="n"/>
      <c r="AN102" s="236">
        <f>V102+AE102</f>
        <v/>
      </c>
      <c r="AO102" s="236">
        <f>W102+AF102</f>
        <v/>
      </c>
      <c r="AP102" s="236">
        <f>AN102+AO102</f>
        <v/>
      </c>
      <c r="AQ102" s="236">
        <f>Y102+AH102</f>
        <v/>
      </c>
      <c r="AR102" s="236">
        <f>Z102+AI102</f>
        <v/>
      </c>
      <c r="AS102" s="236">
        <f>AQ102+AR102</f>
        <v/>
      </c>
      <c r="AT102" s="239">
        <f>AS102-AP102</f>
        <v/>
      </c>
      <c r="AU102" s="237">
        <f>IF(AP102=0,"",AS102/AP102)</f>
        <v/>
      </c>
      <c r="AV102" s="33" t="n"/>
      <c r="AW102" s="233" t="n"/>
      <c r="AX102" s="233" t="n"/>
      <c r="AY102" s="233">
        <f>AW102+AX102</f>
        <v/>
      </c>
      <c r="AZ102" s="233" t="n"/>
      <c r="BA102" s="233" t="n"/>
      <c r="BB102" s="233">
        <f>AZ102+BA102</f>
        <v/>
      </c>
      <c r="BC102" s="238">
        <f>BB102-AY102</f>
        <v/>
      </c>
      <c r="BD102" s="235">
        <f>IF(AY102=0,"",BB102/AY102)</f>
        <v/>
      </c>
      <c r="BE102" s="26" t="n"/>
      <c r="BF102" s="236">
        <f>AN102+AW102</f>
        <v/>
      </c>
      <c r="BG102" s="236">
        <f>AO102+AX102</f>
        <v/>
      </c>
      <c r="BH102" s="236">
        <f>BF102+BG102</f>
        <v/>
      </c>
      <c r="BI102" s="236">
        <f>AQ102+AZ102</f>
        <v/>
      </c>
      <c r="BJ102" s="236">
        <f>AR102+BA102</f>
        <v/>
      </c>
      <c r="BK102" s="236">
        <f>BI102+BJ102</f>
        <v/>
      </c>
      <c r="BL102" s="239">
        <f>BK102-BH102</f>
        <v/>
      </c>
      <c r="BM102" s="237">
        <f>IF(BH102=0,"",BK102/BH102)</f>
        <v/>
      </c>
      <c r="BN102" s="33" t="n"/>
      <c r="BO102" s="233" t="n"/>
      <c r="BP102" s="233" t="n"/>
      <c r="BQ102" s="233">
        <f>BO102+BP102</f>
        <v/>
      </c>
      <c r="BR102" s="233" t="n"/>
      <c r="BS102" s="233" t="n"/>
      <c r="BT102" s="233">
        <f>BR102+BS102</f>
        <v/>
      </c>
      <c r="BU102" s="238">
        <f>BT102-BQ102</f>
        <v/>
      </c>
      <c r="BV102" s="235">
        <f>IF(BQ102=0,"",BT102/BQ102)</f>
        <v/>
      </c>
      <c r="BW102" s="26" t="n"/>
      <c r="BX102" s="236">
        <f>BF102+BO102</f>
        <v/>
      </c>
      <c r="BY102" s="236">
        <f>BG102+BP102</f>
        <v/>
      </c>
      <c r="BZ102" s="236">
        <f>BX102+BY102</f>
        <v/>
      </c>
      <c r="CA102" s="236">
        <f>BI102+BR102</f>
        <v/>
      </c>
      <c r="CB102" s="236">
        <f>BJ102+BS102</f>
        <v/>
      </c>
      <c r="CC102" s="236">
        <f>CA102+CB102</f>
        <v/>
      </c>
      <c r="CD102" s="239">
        <f>CC102-BZ102</f>
        <v/>
      </c>
      <c r="CE102" s="237">
        <f>IF(BZ102=0,"",CC102/BZ102)</f>
        <v/>
      </c>
      <c r="CF102" s="33" t="n"/>
      <c r="CG102" s="233" t="n"/>
      <c r="CH102" s="233" t="n"/>
      <c r="CI102" s="233">
        <f>CG102+CH102</f>
        <v/>
      </c>
      <c r="CJ102" s="233" t="n"/>
      <c r="CK102" s="233" t="n"/>
      <c r="CL102" s="233">
        <f>CJ102+CK102</f>
        <v/>
      </c>
      <c r="CM102" s="238">
        <f>CL102-CI102</f>
        <v/>
      </c>
      <c r="CN102" s="235">
        <f>IF(CI102=0,"",CL102/CI102)</f>
        <v/>
      </c>
      <c r="CO102" s="26" t="n"/>
      <c r="CP102" s="236">
        <f>BX102+CG102</f>
        <v/>
      </c>
      <c r="CQ102" s="236">
        <f>BY102+CH102</f>
        <v/>
      </c>
      <c r="CR102" s="236">
        <f>CP102+CQ102</f>
        <v/>
      </c>
      <c r="CS102" s="236">
        <f>CA102+CJ102</f>
        <v/>
      </c>
      <c r="CT102" s="236">
        <f>CB102+CK102</f>
        <v/>
      </c>
      <c r="CU102" s="236">
        <f>CS102+CT102</f>
        <v/>
      </c>
      <c r="CV102" s="239">
        <f>CU102-CR102</f>
        <v/>
      </c>
      <c r="CW102" s="237">
        <f>IF(CR102=0,"",CU102/CR102)</f>
        <v/>
      </c>
      <c r="CX102" s="33" t="n"/>
      <c r="CY102" s="233" t="n"/>
      <c r="CZ102" s="233" t="n"/>
      <c r="DA102" s="233">
        <f>CY102+CZ102</f>
        <v/>
      </c>
      <c r="DB102" s="233" t="n"/>
      <c r="DC102" s="233" t="n"/>
      <c r="DD102" s="233">
        <f>DB102+DC102</f>
        <v/>
      </c>
      <c r="DE102" s="238">
        <f>DD102-DA102</f>
        <v/>
      </c>
      <c r="DF102" s="235">
        <f>IF(DA102=0,"",DD102/DA102)</f>
        <v/>
      </c>
      <c r="DG102" s="26" t="n"/>
      <c r="DH102" s="236">
        <f>CP102+CY102</f>
        <v/>
      </c>
      <c r="DI102" s="236">
        <f>CQ102+CZ102</f>
        <v/>
      </c>
      <c r="DJ102" s="236">
        <f>DH102+DI102</f>
        <v/>
      </c>
      <c r="DK102" s="236">
        <f>CS102+DB102</f>
        <v/>
      </c>
      <c r="DL102" s="236">
        <f>CT102+DC102</f>
        <v/>
      </c>
      <c r="DM102" s="236">
        <f>DK102+DL102</f>
        <v/>
      </c>
      <c r="DN102" s="239">
        <f>DM102-DJ102</f>
        <v/>
      </c>
      <c r="DO102" s="237">
        <f>IF(DJ102=0,"",DM102/DJ102)</f>
        <v/>
      </c>
      <c r="DP102" s="33" t="n"/>
      <c r="DQ102" s="233" t="n"/>
      <c r="DR102" s="233" t="n"/>
      <c r="DS102" s="233">
        <f>DQ102+DR102</f>
        <v/>
      </c>
      <c r="DT102" s="233" t="n"/>
      <c r="DU102" s="233" t="n"/>
      <c r="DV102" s="233">
        <f>DT102+DU102</f>
        <v/>
      </c>
      <c r="DW102" s="238">
        <f>DV102-DS102</f>
        <v/>
      </c>
      <c r="DX102" s="235">
        <f>IF(DS102=0,"",DV102/DS102)</f>
        <v/>
      </c>
      <c r="DY102" s="26" t="n"/>
      <c r="DZ102" s="236">
        <f>DH102+DQ102</f>
        <v/>
      </c>
      <c r="EA102" s="236">
        <f>DI102+DR102</f>
        <v/>
      </c>
      <c r="EB102" s="236">
        <f>DZ102+EA102</f>
        <v/>
      </c>
      <c r="EC102" s="236">
        <f>DK102+DT102</f>
        <v/>
      </c>
      <c r="ED102" s="236">
        <f>DL102+DU102</f>
        <v/>
      </c>
      <c r="EE102" s="236">
        <f>EC102+ED102</f>
        <v/>
      </c>
      <c r="EF102" s="239">
        <f>EE102-EB102</f>
        <v/>
      </c>
      <c r="EG102" s="237">
        <f>IF(EB102=0,"",EE102/EB102)</f>
        <v/>
      </c>
      <c r="EH102" s="33" t="n"/>
      <c r="EI102" s="233" t="n"/>
      <c r="EJ102" s="233" t="n"/>
      <c r="EK102" s="233">
        <f>EI102+EJ102</f>
        <v/>
      </c>
      <c r="EL102" s="233" t="n"/>
      <c r="EM102" s="233" t="n"/>
      <c r="EN102" s="233">
        <f>EL102+EM102</f>
        <v/>
      </c>
      <c r="EO102" s="238">
        <f>EN102-EK102</f>
        <v/>
      </c>
      <c r="EP102" s="235">
        <f>IF(EK102=0,"",EN102/EK102)</f>
        <v/>
      </c>
      <c r="EQ102" s="26" t="n"/>
      <c r="ER102" s="236">
        <f>DZ102+EI102</f>
        <v/>
      </c>
      <c r="ES102" s="236">
        <f>EA102+EJ102</f>
        <v/>
      </c>
      <c r="ET102" s="236">
        <f>ER102+ES102</f>
        <v/>
      </c>
      <c r="EU102" s="236">
        <f>EC102+EL102</f>
        <v/>
      </c>
      <c r="EV102" s="236">
        <f>ED102+EM102</f>
        <v/>
      </c>
      <c r="EW102" s="236">
        <f>EU102+EV102</f>
        <v/>
      </c>
      <c r="EX102" s="239">
        <f>EW102-ET102</f>
        <v/>
      </c>
      <c r="EY102" s="237">
        <f>IF(ET102=0,"",EW102/ET102)</f>
        <v/>
      </c>
      <c r="EZ102" s="33" t="n"/>
      <c r="FA102" s="233" t="n"/>
      <c r="FB102" s="233" t="n"/>
      <c r="FC102" s="233">
        <f>FA102+FB102</f>
        <v/>
      </c>
      <c r="FD102" s="233" t="n"/>
      <c r="FE102" s="233" t="n"/>
      <c r="FF102" s="233">
        <f>FD102+FE102</f>
        <v/>
      </c>
      <c r="FG102" s="238">
        <f>FF102-FC102</f>
        <v/>
      </c>
      <c r="FH102" s="235">
        <f>IF(FC102=0,"",FF102/FC102)</f>
        <v/>
      </c>
      <c r="FI102" s="26" t="n"/>
      <c r="FJ102" s="236">
        <f>ER102+FA102</f>
        <v/>
      </c>
      <c r="FK102" s="236">
        <f>ES102+FB102</f>
        <v/>
      </c>
      <c r="FL102" s="236">
        <f>FJ102+FK102</f>
        <v/>
      </c>
      <c r="FM102" s="236">
        <f>EU102+FD102</f>
        <v/>
      </c>
      <c r="FN102" s="236">
        <f>EV102+FE102</f>
        <v/>
      </c>
      <c r="FO102" s="236">
        <f>FM102+FN102</f>
        <v/>
      </c>
      <c r="FP102" s="239">
        <f>FO102-FL102</f>
        <v/>
      </c>
      <c r="FQ102" s="237">
        <f>IF(FL102=0,"",FO102/FL102)</f>
        <v/>
      </c>
      <c r="FR102" s="33" t="n"/>
      <c r="FS102" s="233" t="n"/>
      <c r="FT102" s="233" t="n"/>
      <c r="FU102" s="233">
        <f>FS102+FT102</f>
        <v/>
      </c>
      <c r="FV102" s="233" t="n"/>
      <c r="FW102" s="233" t="n"/>
      <c r="FX102" s="233">
        <f>FV102+FW102</f>
        <v/>
      </c>
      <c r="FY102" s="238">
        <f>FX102-FU102</f>
        <v/>
      </c>
      <c r="FZ102" s="235">
        <f>IF(FU102=0,"",FX102/FU102)</f>
        <v/>
      </c>
      <c r="GA102" s="26" t="n"/>
      <c r="GB102" s="236">
        <f>FJ102+FS102</f>
        <v/>
      </c>
      <c r="GC102" s="236">
        <f>FK102+FT102</f>
        <v/>
      </c>
      <c r="GD102" s="236">
        <f>GB102+GC102</f>
        <v/>
      </c>
      <c r="GE102" s="236">
        <f>FM102+FV102</f>
        <v/>
      </c>
      <c r="GF102" s="236">
        <f>FN102+FW102</f>
        <v/>
      </c>
      <c r="GG102" s="236">
        <f>GE102+GF102</f>
        <v/>
      </c>
      <c r="GH102" s="239">
        <f>GG102-GD102</f>
        <v/>
      </c>
      <c r="GI102" s="237">
        <f>IF(GD102=0,"",GG102/GD102)</f>
        <v/>
      </c>
      <c r="GJ102" s="33" t="n"/>
      <c r="GK102" s="233" t="n"/>
      <c r="GL102" s="233" t="n"/>
      <c r="GM102" s="233">
        <f>GK102+GL102</f>
        <v/>
      </c>
      <c r="GN102" s="233" t="n"/>
      <c r="GO102" s="233" t="n"/>
      <c r="GP102" s="233">
        <f>GN102+GO102</f>
        <v/>
      </c>
      <c r="GQ102" s="238">
        <f>GP102-GM102</f>
        <v/>
      </c>
      <c r="GR102" s="235">
        <f>IF(GM102=0,"",GP102/GM102)</f>
        <v/>
      </c>
      <c r="GS102" s="26" t="n"/>
      <c r="GT102" s="236">
        <f>GB102+GK102</f>
        <v/>
      </c>
      <c r="GU102" s="236">
        <f>GC102+GL102</f>
        <v/>
      </c>
      <c r="GV102" s="236">
        <f>GT102+GU102</f>
        <v/>
      </c>
      <c r="GW102" s="236">
        <f>GE102+GN102</f>
        <v/>
      </c>
      <c r="GX102" s="236">
        <f>GF102+GO102</f>
        <v/>
      </c>
      <c r="GY102" s="236">
        <f>GW102+GX102</f>
        <v/>
      </c>
      <c r="GZ102" s="239">
        <f>GY102-GV102</f>
        <v/>
      </c>
      <c r="HA102" s="237">
        <f>IF(GV102=0,"",GY102/GV102)</f>
        <v/>
      </c>
      <c r="HB102" s="33" t="n"/>
      <c r="HC102" s="233">
        <f>GT102</f>
        <v/>
      </c>
      <c r="HD102" s="233">
        <f>GU102</f>
        <v/>
      </c>
      <c r="HE102" s="233">
        <f>HC102+HD102</f>
        <v/>
      </c>
    </row>
    <row r="103" ht="15" customHeight="1" s="150">
      <c r="A103" s="18" t="n"/>
      <c r="B103" s="18" t="n"/>
      <c r="C103" s="18" t="n"/>
      <c r="D103" s="227">
        <f>SUM(D104:D107)</f>
        <v/>
      </c>
      <c r="E103" s="227">
        <f>SUM(E104:E107)</f>
        <v/>
      </c>
      <c r="F103" s="227">
        <f>D103+E103</f>
        <v/>
      </c>
      <c r="G103" s="227">
        <f>SUM(G104:G107)</f>
        <v/>
      </c>
      <c r="H103" s="227">
        <f>SUM(H104:H107)</f>
        <v/>
      </c>
      <c r="I103" s="227">
        <f>G103+H103</f>
        <v/>
      </c>
      <c r="J103" s="228">
        <f>I103-F103</f>
        <v/>
      </c>
      <c r="K103" s="229">
        <f>IF(F103=0,"",I103/F103)</f>
        <v/>
      </c>
      <c r="L103" s="18" t="n"/>
      <c r="M103" s="227">
        <f>SUM(M104:M107)</f>
        <v/>
      </c>
      <c r="N103" s="227">
        <f>SUM(N104:N107)</f>
        <v/>
      </c>
      <c r="O103" s="227">
        <f>M103+N103</f>
        <v/>
      </c>
      <c r="P103" s="227">
        <f>SUM(P104:P107)</f>
        <v/>
      </c>
      <c r="Q103" s="227">
        <f>SUM(Q104:Q107)</f>
        <v/>
      </c>
      <c r="R103" s="227">
        <f>P103+Q103</f>
        <v/>
      </c>
      <c r="S103" s="228">
        <f>R103-O103</f>
        <v/>
      </c>
      <c r="T103" s="229">
        <f>IF(O103=0,"",R103/O103)</f>
        <v/>
      </c>
      <c r="U103" s="18" t="n"/>
      <c r="V103" s="230">
        <f>SUM(V104:V107)</f>
        <v/>
      </c>
      <c r="W103" s="230">
        <f>SUM(W104:W107)</f>
        <v/>
      </c>
      <c r="X103" s="230">
        <f>V103+W103</f>
        <v/>
      </c>
      <c r="Y103" s="230">
        <f>SUM(Y104:Y107)</f>
        <v/>
      </c>
      <c r="Z103" s="230">
        <f>SUM(Z104:Z107)</f>
        <v/>
      </c>
      <c r="AA103" s="230">
        <f>Y103+Z103</f>
        <v/>
      </c>
      <c r="AB103" s="231">
        <f>AA103-X103</f>
        <v/>
      </c>
      <c r="AC103" s="232">
        <f>IF(X103=0,"",AA103/X103)</f>
        <v/>
      </c>
      <c r="AD103" s="25" t="n"/>
      <c r="AE103" s="227">
        <f>SUM(AE104:AE107)</f>
        <v/>
      </c>
      <c r="AF103" s="227">
        <f>SUM(AF104:AF107)</f>
        <v/>
      </c>
      <c r="AG103" s="227">
        <f>AE103+AF103</f>
        <v/>
      </c>
      <c r="AH103" s="227">
        <f>SUM(AH104:AH107)</f>
        <v/>
      </c>
      <c r="AI103" s="227">
        <f>SUM(AI104:AI107)</f>
        <v/>
      </c>
      <c r="AJ103" s="227">
        <f>AH103+AI103</f>
        <v/>
      </c>
      <c r="AK103" s="228">
        <f>AJ103-AG103</f>
        <v/>
      </c>
      <c r="AL103" s="229">
        <f>IF(AG103=0,"",AJ103/AG103)</f>
        <v/>
      </c>
      <c r="AM103" s="18" t="n"/>
      <c r="AN103" s="230">
        <f>SUM(AN104:AN107)</f>
        <v/>
      </c>
      <c r="AO103" s="230">
        <f>SUM(AO104:AO107)</f>
        <v/>
      </c>
      <c r="AP103" s="230">
        <f>AN103+AO103</f>
        <v/>
      </c>
      <c r="AQ103" s="230">
        <f>SUM(AQ104:AQ107)</f>
        <v/>
      </c>
      <c r="AR103" s="230">
        <f>SUM(AR104:AR107)</f>
        <v/>
      </c>
      <c r="AS103" s="230">
        <f>AQ103+AR103</f>
        <v/>
      </c>
      <c r="AT103" s="231">
        <f>AS103-AP103</f>
        <v/>
      </c>
      <c r="AU103" s="232">
        <f>IF(AP103=0,"",AS103/AP103)</f>
        <v/>
      </c>
      <c r="AV103" s="25" t="n"/>
      <c r="AW103" s="227">
        <f>SUM(AW104:AW107)</f>
        <v/>
      </c>
      <c r="AX103" s="227">
        <f>SUM(AX104:AX107)</f>
        <v/>
      </c>
      <c r="AY103" s="227">
        <f>AW103+AX103</f>
        <v/>
      </c>
      <c r="AZ103" s="227">
        <f>SUM(AZ104:AZ107)</f>
        <v/>
      </c>
      <c r="BA103" s="227">
        <f>SUM(BA104:BA107)</f>
        <v/>
      </c>
      <c r="BB103" s="227">
        <f>AZ103+BA103</f>
        <v/>
      </c>
      <c r="BC103" s="228">
        <f>BB103-AY103</f>
        <v/>
      </c>
      <c r="BD103" s="229">
        <f>IF(AY103=0,"",BB103/AY103)</f>
        <v/>
      </c>
      <c r="BE103" s="18" t="n"/>
      <c r="BF103" s="230">
        <f>SUM(BF104:BF107)</f>
        <v/>
      </c>
      <c r="BG103" s="230">
        <f>SUM(BG104:BG107)</f>
        <v/>
      </c>
      <c r="BH103" s="230">
        <f>BF103+BG103</f>
        <v/>
      </c>
      <c r="BI103" s="230">
        <f>SUM(BI104:BI107)</f>
        <v/>
      </c>
      <c r="BJ103" s="230">
        <f>SUM(BJ104:BJ107)</f>
        <v/>
      </c>
      <c r="BK103" s="230">
        <f>BI103+BJ103</f>
        <v/>
      </c>
      <c r="BL103" s="231">
        <f>BK103-BH103</f>
        <v/>
      </c>
      <c r="BM103" s="232">
        <f>IF(BH103=0,"",BK103/BH103)</f>
        <v/>
      </c>
      <c r="BN103" s="25" t="n"/>
      <c r="BO103" s="227">
        <f>SUM(BO104:BO107)</f>
        <v/>
      </c>
      <c r="BP103" s="227">
        <f>SUM(BP104:BP107)</f>
        <v/>
      </c>
      <c r="BQ103" s="227">
        <f>BO103+BP103</f>
        <v/>
      </c>
      <c r="BR103" s="227">
        <f>SUM(BR104:BR107)</f>
        <v/>
      </c>
      <c r="BS103" s="227">
        <f>SUM(BS104:BS107)</f>
        <v/>
      </c>
      <c r="BT103" s="227">
        <f>BR103+BS103</f>
        <v/>
      </c>
      <c r="BU103" s="228">
        <f>BT103-BQ103</f>
        <v/>
      </c>
      <c r="BV103" s="229">
        <f>IF(BQ103=0,"",BT103/BQ103)</f>
        <v/>
      </c>
      <c r="BW103" s="18" t="n"/>
      <c r="BX103" s="230">
        <f>SUM(BX104:BX107)</f>
        <v/>
      </c>
      <c r="BY103" s="230">
        <f>SUM(BY104:BY107)</f>
        <v/>
      </c>
      <c r="BZ103" s="230">
        <f>BX103+BY103</f>
        <v/>
      </c>
      <c r="CA103" s="230">
        <f>SUM(CA104:CA107)</f>
        <v/>
      </c>
      <c r="CB103" s="230">
        <f>SUM(CB104:CB107)</f>
        <v/>
      </c>
      <c r="CC103" s="230">
        <f>CA103+CB103</f>
        <v/>
      </c>
      <c r="CD103" s="231">
        <f>CC103-BZ103</f>
        <v/>
      </c>
      <c r="CE103" s="232">
        <f>IF(BZ103=0,"",CC103/BZ103)</f>
        <v/>
      </c>
      <c r="CF103" s="25" t="n"/>
      <c r="CG103" s="227">
        <f>SUM(CG104:CG107)</f>
        <v/>
      </c>
      <c r="CH103" s="227">
        <f>SUM(CH104:CH107)</f>
        <v/>
      </c>
      <c r="CI103" s="227">
        <f>CG103+CH103</f>
        <v/>
      </c>
      <c r="CJ103" s="227">
        <f>SUM(CJ104:CJ107)</f>
        <v/>
      </c>
      <c r="CK103" s="227">
        <f>SUM(CK104:CK107)</f>
        <v/>
      </c>
      <c r="CL103" s="227">
        <f>CJ103+CK103</f>
        <v/>
      </c>
      <c r="CM103" s="228">
        <f>CL103-CI103</f>
        <v/>
      </c>
      <c r="CN103" s="229">
        <f>IF(CI103=0,"",CL103/CI103)</f>
        <v/>
      </c>
      <c r="CO103" s="18" t="n"/>
      <c r="CP103" s="230">
        <f>SUM(CP104:CP107)</f>
        <v/>
      </c>
      <c r="CQ103" s="230">
        <f>SUM(CQ104:CQ107)</f>
        <v/>
      </c>
      <c r="CR103" s="230">
        <f>CP103+CQ103</f>
        <v/>
      </c>
      <c r="CS103" s="230">
        <f>SUM(CS104:CS107)</f>
        <v/>
      </c>
      <c r="CT103" s="230">
        <f>SUM(CT104:CT107)</f>
        <v/>
      </c>
      <c r="CU103" s="230">
        <f>CS103+CT103</f>
        <v/>
      </c>
      <c r="CV103" s="231">
        <f>CU103-CR103</f>
        <v/>
      </c>
      <c r="CW103" s="232">
        <f>IF(CR103=0,"",CU103/CR103)</f>
        <v/>
      </c>
      <c r="CX103" s="25" t="n"/>
      <c r="CY103" s="227">
        <f>SUM(CY104:CY107)</f>
        <v/>
      </c>
      <c r="CZ103" s="227">
        <f>SUM(CZ104:CZ107)</f>
        <v/>
      </c>
      <c r="DA103" s="227">
        <f>CY103+CZ103</f>
        <v/>
      </c>
      <c r="DB103" s="227">
        <f>SUM(DB104:DB107)</f>
        <v/>
      </c>
      <c r="DC103" s="227">
        <f>SUM(DC104:DC107)</f>
        <v/>
      </c>
      <c r="DD103" s="227">
        <f>DB103+DC103</f>
        <v/>
      </c>
      <c r="DE103" s="228">
        <f>DD103-DA103</f>
        <v/>
      </c>
      <c r="DF103" s="229">
        <f>IF(DA103=0,"",DD103/DA103)</f>
        <v/>
      </c>
      <c r="DG103" s="18" t="n"/>
      <c r="DH103" s="230">
        <f>SUM(DH104:DH107)</f>
        <v/>
      </c>
      <c r="DI103" s="230">
        <f>SUM(DI104:DI107)</f>
        <v/>
      </c>
      <c r="DJ103" s="230">
        <f>DH103+DI103</f>
        <v/>
      </c>
      <c r="DK103" s="230">
        <f>SUM(DK104:DK107)</f>
        <v/>
      </c>
      <c r="DL103" s="230">
        <f>SUM(DL104:DL107)</f>
        <v/>
      </c>
      <c r="DM103" s="230">
        <f>DK103+DL103</f>
        <v/>
      </c>
      <c r="DN103" s="231">
        <f>DM103-DJ103</f>
        <v/>
      </c>
      <c r="DO103" s="232">
        <f>IF(DJ103=0,"",DM103/DJ103)</f>
        <v/>
      </c>
      <c r="DP103" s="25" t="n"/>
      <c r="DQ103" s="227">
        <f>SUM(DQ104:DQ107)</f>
        <v/>
      </c>
      <c r="DR103" s="227">
        <f>SUM(DR104:DR107)</f>
        <v/>
      </c>
      <c r="DS103" s="227">
        <f>DQ103+DR103</f>
        <v/>
      </c>
      <c r="DT103" s="227">
        <f>SUM(DT104:DT107)</f>
        <v/>
      </c>
      <c r="DU103" s="227">
        <f>SUM(DU104:DU107)</f>
        <v/>
      </c>
      <c r="DV103" s="227">
        <f>DT103+DU103</f>
        <v/>
      </c>
      <c r="DW103" s="228">
        <f>DV103-DS103</f>
        <v/>
      </c>
      <c r="DX103" s="229">
        <f>IF(DS103=0,"",DV103/DS103)</f>
        <v/>
      </c>
      <c r="DY103" s="18" t="n"/>
      <c r="DZ103" s="230">
        <f>SUM(DZ104:DZ107)</f>
        <v/>
      </c>
      <c r="EA103" s="230">
        <f>SUM(EA104:EA107)</f>
        <v/>
      </c>
      <c r="EB103" s="230">
        <f>DZ103+EA103</f>
        <v/>
      </c>
      <c r="EC103" s="230">
        <f>SUM(EC104:EC107)</f>
        <v/>
      </c>
      <c r="ED103" s="230">
        <f>SUM(ED104:ED107)</f>
        <v/>
      </c>
      <c r="EE103" s="230">
        <f>EC103+ED103</f>
        <v/>
      </c>
      <c r="EF103" s="231">
        <f>EE103-EB103</f>
        <v/>
      </c>
      <c r="EG103" s="232">
        <f>IF(EB103=0,"",EE103/EB103)</f>
        <v/>
      </c>
      <c r="EH103" s="25" t="n"/>
      <c r="EI103" s="227">
        <f>SUM(EI104:EI107)</f>
        <v/>
      </c>
      <c r="EJ103" s="227">
        <f>SUM(EJ104:EJ107)</f>
        <v/>
      </c>
      <c r="EK103" s="227">
        <f>EI103+EJ103</f>
        <v/>
      </c>
      <c r="EL103" s="227">
        <f>SUM(EL104:EL107)</f>
        <v/>
      </c>
      <c r="EM103" s="227">
        <f>SUM(EM104:EM107)</f>
        <v/>
      </c>
      <c r="EN103" s="227">
        <f>EL103+EM103</f>
        <v/>
      </c>
      <c r="EO103" s="228">
        <f>EN103-EK103</f>
        <v/>
      </c>
      <c r="EP103" s="229">
        <f>IF(EK103=0,"",EN103/EK103)</f>
        <v/>
      </c>
      <c r="EQ103" s="18" t="n"/>
      <c r="ER103" s="230">
        <f>SUM(ER104:ER107)</f>
        <v/>
      </c>
      <c r="ES103" s="230">
        <f>SUM(ES104:ES107)</f>
        <v/>
      </c>
      <c r="ET103" s="230">
        <f>ER103+ES103</f>
        <v/>
      </c>
      <c r="EU103" s="230">
        <f>SUM(EU104:EU107)</f>
        <v/>
      </c>
      <c r="EV103" s="230">
        <f>SUM(EV104:EV107)</f>
        <v/>
      </c>
      <c r="EW103" s="230">
        <f>EU103+EV103</f>
        <v/>
      </c>
      <c r="EX103" s="231">
        <f>EW103-ET103</f>
        <v/>
      </c>
      <c r="EY103" s="232">
        <f>IF(ET103=0,"",EW103/ET103)</f>
        <v/>
      </c>
      <c r="EZ103" s="25" t="n"/>
      <c r="FA103" s="227">
        <f>SUM(FA104:FA107)</f>
        <v/>
      </c>
      <c r="FB103" s="227">
        <f>SUM(FB104:FB107)</f>
        <v/>
      </c>
      <c r="FC103" s="227">
        <f>FA103+FB103</f>
        <v/>
      </c>
      <c r="FD103" s="227">
        <f>SUM(FD104:FD107)</f>
        <v/>
      </c>
      <c r="FE103" s="227">
        <f>SUM(FE104:FE107)</f>
        <v/>
      </c>
      <c r="FF103" s="227">
        <f>FD103+FE103</f>
        <v/>
      </c>
      <c r="FG103" s="228">
        <f>FF103-FC103</f>
        <v/>
      </c>
      <c r="FH103" s="229">
        <f>IF(FC103=0,"",FF103/FC103)</f>
        <v/>
      </c>
      <c r="FI103" s="18" t="n"/>
      <c r="FJ103" s="230">
        <f>SUM(FJ104:FJ107)</f>
        <v/>
      </c>
      <c r="FK103" s="230">
        <f>SUM(FK104:FK107)</f>
        <v/>
      </c>
      <c r="FL103" s="230">
        <f>FJ103+FK103</f>
        <v/>
      </c>
      <c r="FM103" s="230">
        <f>SUM(FM104:FM107)</f>
        <v/>
      </c>
      <c r="FN103" s="230">
        <f>SUM(FN104:FN107)</f>
        <v/>
      </c>
      <c r="FO103" s="230">
        <f>FM103+FN103</f>
        <v/>
      </c>
      <c r="FP103" s="231">
        <f>FO103-FL103</f>
        <v/>
      </c>
      <c r="FQ103" s="232">
        <f>IF(FL103=0,"",FO103/FL103)</f>
        <v/>
      </c>
      <c r="FR103" s="25" t="n"/>
      <c r="FS103" s="227">
        <f>SUM(FS104:FS107)</f>
        <v/>
      </c>
      <c r="FT103" s="227">
        <f>SUM(FT104:FT107)</f>
        <v/>
      </c>
      <c r="FU103" s="227">
        <f>FS103+FT103</f>
        <v/>
      </c>
      <c r="FV103" s="227">
        <f>SUM(FV104:FV107)</f>
        <v/>
      </c>
      <c r="FW103" s="227">
        <f>SUM(FW104:FW107)</f>
        <v/>
      </c>
      <c r="FX103" s="227">
        <f>FV103+FW103</f>
        <v/>
      </c>
      <c r="FY103" s="228">
        <f>FX103-FU103</f>
        <v/>
      </c>
      <c r="FZ103" s="229">
        <f>IF(FU103=0,"",FX103/FU103)</f>
        <v/>
      </c>
      <c r="GA103" s="18" t="n"/>
      <c r="GB103" s="230">
        <f>SUM(GB104:GB107)</f>
        <v/>
      </c>
      <c r="GC103" s="230">
        <f>SUM(GC104:GC107)</f>
        <v/>
      </c>
      <c r="GD103" s="230">
        <f>GB103+GC103</f>
        <v/>
      </c>
      <c r="GE103" s="230">
        <f>SUM(GE104:GE107)</f>
        <v/>
      </c>
      <c r="GF103" s="230">
        <f>SUM(GF104:GF107)</f>
        <v/>
      </c>
      <c r="GG103" s="230">
        <f>GE103+GF103</f>
        <v/>
      </c>
      <c r="GH103" s="231">
        <f>GG103-GD103</f>
        <v/>
      </c>
      <c r="GI103" s="232">
        <f>IF(GD103=0,"",GG103/GD103)</f>
        <v/>
      </c>
      <c r="GJ103" s="25" t="n"/>
      <c r="GK103" s="227">
        <f>SUM(GK104:GK107)</f>
        <v/>
      </c>
      <c r="GL103" s="227">
        <f>SUM(GL104:GL107)</f>
        <v/>
      </c>
      <c r="GM103" s="227">
        <f>GK103+GL103</f>
        <v/>
      </c>
      <c r="GN103" s="227">
        <f>SUM(GN104:GN107)</f>
        <v/>
      </c>
      <c r="GO103" s="227">
        <f>SUM(GO104:GO107)</f>
        <v/>
      </c>
      <c r="GP103" s="227">
        <f>GN103+GO103</f>
        <v/>
      </c>
      <c r="GQ103" s="228">
        <f>GP103-GM103</f>
        <v/>
      </c>
      <c r="GR103" s="229">
        <f>IF(GM103=0,"",GP103/GM103)</f>
        <v/>
      </c>
      <c r="GS103" s="18" t="n"/>
      <c r="GT103" s="230">
        <f>SUM(GT104:GT107)</f>
        <v/>
      </c>
      <c r="GU103" s="230">
        <f>SUM(GU104:GU107)</f>
        <v/>
      </c>
      <c r="GV103" s="230">
        <f>GT103+GU103</f>
        <v/>
      </c>
      <c r="GW103" s="230">
        <f>SUM(GW104:GW107)</f>
        <v/>
      </c>
      <c r="GX103" s="230">
        <f>SUM(GX104:GX107)</f>
        <v/>
      </c>
      <c r="GY103" s="230">
        <f>GW103+GX103</f>
        <v/>
      </c>
      <c r="GZ103" s="231">
        <f>GY103-GV103</f>
        <v/>
      </c>
      <c r="HA103" s="232">
        <f>IF(GV103=0,"",GY103/GV103)</f>
        <v/>
      </c>
      <c r="HB103" s="25" t="n"/>
      <c r="HC103" s="227">
        <f>GT103</f>
        <v/>
      </c>
      <c r="HD103" s="227">
        <f>GU103</f>
        <v/>
      </c>
      <c r="HE103" s="227">
        <f>HC103+HD103</f>
        <v/>
      </c>
    </row>
    <row r="104" outlineLevel="1" ht="15" customHeight="1" s="150">
      <c r="A104" s="26" t="n"/>
      <c r="B104" s="26" t="n"/>
      <c r="C104" s="26" t="n"/>
      <c r="D104" s="233" t="n"/>
      <c r="E104" s="233" t="n"/>
      <c r="F104" s="233">
        <f>D104+E104</f>
        <v/>
      </c>
      <c r="G104" s="233" t="n"/>
      <c r="H104" s="233" t="n"/>
      <c r="I104" s="233">
        <f>G104+H104</f>
        <v/>
      </c>
      <c r="J104" s="238">
        <f>I104-F104</f>
        <v/>
      </c>
      <c r="K104" s="235">
        <f>IF(F104=0,"",I104/F104)</f>
        <v/>
      </c>
      <c r="L104" s="26" t="n"/>
      <c r="M104" s="233" t="n"/>
      <c r="N104" s="233" t="n"/>
      <c r="O104" s="233">
        <f>M104+N104</f>
        <v/>
      </c>
      <c r="P104" s="233" t="n"/>
      <c r="Q104" s="233" t="n"/>
      <c r="R104" s="233">
        <f>P104+Q104</f>
        <v/>
      </c>
      <c r="S104" s="238">
        <f>R104-O104</f>
        <v/>
      </c>
      <c r="T104" s="235">
        <f>IF(O104=0,"",R104/O104)</f>
        <v/>
      </c>
      <c r="U104" s="26" t="n"/>
      <c r="V104" s="236">
        <f>D104+M104</f>
        <v/>
      </c>
      <c r="W104" s="236">
        <f>E104+N104</f>
        <v/>
      </c>
      <c r="X104" s="236">
        <f>V104+W104</f>
        <v/>
      </c>
      <c r="Y104" s="236">
        <f>G104+P104</f>
        <v/>
      </c>
      <c r="Z104" s="236">
        <f>H104+Q104</f>
        <v/>
      </c>
      <c r="AA104" s="236">
        <f>Y104+Z104</f>
        <v/>
      </c>
      <c r="AB104" s="239">
        <f>AA104-X104</f>
        <v/>
      </c>
      <c r="AC104" s="237">
        <f>IF(X104=0,"",AA104/X104)</f>
        <v/>
      </c>
      <c r="AD104" s="33" t="n"/>
      <c r="AE104" s="233" t="n"/>
      <c r="AF104" s="233" t="n"/>
      <c r="AG104" s="233">
        <f>AE104+AF104</f>
        <v/>
      </c>
      <c r="AH104" s="233" t="n"/>
      <c r="AI104" s="233" t="n"/>
      <c r="AJ104" s="233">
        <f>AH104+AI104</f>
        <v/>
      </c>
      <c r="AK104" s="234">
        <f>AJ104-AG104</f>
        <v/>
      </c>
      <c r="AL104" s="235">
        <f>IF(AG104=0,"",AJ104/AG104)</f>
        <v/>
      </c>
      <c r="AM104" s="26" t="n"/>
      <c r="AN104" s="236">
        <f>V104+AE104</f>
        <v/>
      </c>
      <c r="AO104" s="236">
        <f>W104+AF104</f>
        <v/>
      </c>
      <c r="AP104" s="236">
        <f>AN104+AO104</f>
        <v/>
      </c>
      <c r="AQ104" s="236">
        <f>Y104+AH104</f>
        <v/>
      </c>
      <c r="AR104" s="236">
        <f>Z104+AI104</f>
        <v/>
      </c>
      <c r="AS104" s="236">
        <f>AQ104+AR104</f>
        <v/>
      </c>
      <c r="AT104" s="234">
        <f>AS104-AP104</f>
        <v/>
      </c>
      <c r="AU104" s="237">
        <f>IF(AP104=0,"",AS104/AP104)</f>
        <v/>
      </c>
      <c r="AV104" s="33" t="n"/>
      <c r="AW104" s="233" t="n"/>
      <c r="AX104" s="233" t="n"/>
      <c r="AY104" s="233">
        <f>AW104+AX104</f>
        <v/>
      </c>
      <c r="AZ104" s="233" t="n"/>
      <c r="BA104" s="233" t="n"/>
      <c r="BB104" s="233">
        <f>AZ104+BA104</f>
        <v/>
      </c>
      <c r="BC104" s="238">
        <f>BB104-AY104</f>
        <v/>
      </c>
      <c r="BD104" s="235">
        <f>IF(AY104=0,"",BB104/AY104)</f>
        <v/>
      </c>
      <c r="BE104" s="26" t="n"/>
      <c r="BF104" s="236">
        <f>AN104+AW104</f>
        <v/>
      </c>
      <c r="BG104" s="236">
        <f>AO104+AX104</f>
        <v/>
      </c>
      <c r="BH104" s="236">
        <f>BF104+BG104</f>
        <v/>
      </c>
      <c r="BI104" s="236">
        <f>AQ104+AZ104</f>
        <v/>
      </c>
      <c r="BJ104" s="236">
        <f>AR104+BA104</f>
        <v/>
      </c>
      <c r="BK104" s="236">
        <f>BI104+BJ104</f>
        <v/>
      </c>
      <c r="BL104" s="239">
        <f>BK104-BH104</f>
        <v/>
      </c>
      <c r="BM104" s="237">
        <f>IF(BH104=0,"",BK104/BH104)</f>
        <v/>
      </c>
      <c r="BN104" s="33" t="n"/>
      <c r="BO104" s="233" t="n"/>
      <c r="BP104" s="233" t="n"/>
      <c r="BQ104" s="233">
        <f>BO104+BP104</f>
        <v/>
      </c>
      <c r="BR104" s="233" t="n"/>
      <c r="BS104" s="233" t="n"/>
      <c r="BT104" s="233">
        <f>BR104+BS104</f>
        <v/>
      </c>
      <c r="BU104" s="238">
        <f>BT104-BQ104</f>
        <v/>
      </c>
      <c r="BV104" s="235">
        <f>IF(BQ104=0,"",BT104/BQ104)</f>
        <v/>
      </c>
      <c r="BW104" s="26" t="n"/>
      <c r="BX104" s="236">
        <f>BF104+BO104</f>
        <v/>
      </c>
      <c r="BY104" s="236">
        <f>BG104+BP104</f>
        <v/>
      </c>
      <c r="BZ104" s="236">
        <f>BX104+BY104</f>
        <v/>
      </c>
      <c r="CA104" s="236">
        <f>BI104+BR104</f>
        <v/>
      </c>
      <c r="CB104" s="236">
        <f>BJ104+BS104</f>
        <v/>
      </c>
      <c r="CC104" s="236">
        <f>CA104+CB104</f>
        <v/>
      </c>
      <c r="CD104" s="239">
        <f>CC104-BZ104</f>
        <v/>
      </c>
      <c r="CE104" s="237">
        <f>IF(BZ104=0,"",CC104/BZ104)</f>
        <v/>
      </c>
      <c r="CF104" s="33" t="n"/>
      <c r="CG104" s="233" t="n"/>
      <c r="CH104" s="233" t="n"/>
      <c r="CI104" s="233">
        <f>CG104+CH104</f>
        <v/>
      </c>
      <c r="CJ104" s="233" t="n"/>
      <c r="CK104" s="233" t="n"/>
      <c r="CL104" s="233">
        <f>CJ104+CK104</f>
        <v/>
      </c>
      <c r="CM104" s="238">
        <f>CL104-CI104</f>
        <v/>
      </c>
      <c r="CN104" s="235">
        <f>IF(CI104=0,"",CL104/CI104)</f>
        <v/>
      </c>
      <c r="CO104" s="26" t="n"/>
      <c r="CP104" s="236">
        <f>BX104+CG104</f>
        <v/>
      </c>
      <c r="CQ104" s="236">
        <f>BY104+CH104</f>
        <v/>
      </c>
      <c r="CR104" s="236">
        <f>CP104+CQ104</f>
        <v/>
      </c>
      <c r="CS104" s="236">
        <f>CA104+CJ104</f>
        <v/>
      </c>
      <c r="CT104" s="236">
        <f>CB104+CK104</f>
        <v/>
      </c>
      <c r="CU104" s="236">
        <f>CS104+CT104</f>
        <v/>
      </c>
      <c r="CV104" s="239">
        <f>CU104-CR104</f>
        <v/>
      </c>
      <c r="CW104" s="237">
        <f>IF(CR104=0,"",CU104/CR104)</f>
        <v/>
      </c>
      <c r="CX104" s="33" t="n"/>
      <c r="CY104" s="233" t="n"/>
      <c r="CZ104" s="233" t="n"/>
      <c r="DA104" s="233">
        <f>CY104+CZ104</f>
        <v/>
      </c>
      <c r="DB104" s="233" t="n"/>
      <c r="DC104" s="233" t="n"/>
      <c r="DD104" s="233">
        <f>DB104+DC104</f>
        <v/>
      </c>
      <c r="DE104" s="238">
        <f>DD104-DA104</f>
        <v/>
      </c>
      <c r="DF104" s="235">
        <f>IF(DA104=0,"",DD104/DA104)</f>
        <v/>
      </c>
      <c r="DG104" s="26" t="n"/>
      <c r="DH104" s="236">
        <f>CP104+CY104</f>
        <v/>
      </c>
      <c r="DI104" s="236">
        <f>CQ104+CZ104</f>
        <v/>
      </c>
      <c r="DJ104" s="236">
        <f>DH104+DI104</f>
        <v/>
      </c>
      <c r="DK104" s="236">
        <f>CS104+DB104</f>
        <v/>
      </c>
      <c r="DL104" s="236">
        <f>CT104+DC104</f>
        <v/>
      </c>
      <c r="DM104" s="236">
        <f>DK104+DL104</f>
        <v/>
      </c>
      <c r="DN104" s="239">
        <f>DM104-DJ104</f>
        <v/>
      </c>
      <c r="DO104" s="237">
        <f>IF(DJ104=0,"",DM104/DJ104)</f>
        <v/>
      </c>
      <c r="DP104" s="33" t="n"/>
      <c r="DQ104" s="233" t="n"/>
      <c r="DR104" s="233" t="n"/>
      <c r="DS104" s="233">
        <f>DQ104+DR104</f>
        <v/>
      </c>
      <c r="DT104" s="233" t="n"/>
      <c r="DU104" s="233" t="n"/>
      <c r="DV104" s="233">
        <f>DT104+DU104</f>
        <v/>
      </c>
      <c r="DW104" s="238">
        <f>DV104-DS104</f>
        <v/>
      </c>
      <c r="DX104" s="235">
        <f>IF(DS104=0,"",DV104/DS104)</f>
        <v/>
      </c>
      <c r="DY104" s="26" t="n"/>
      <c r="DZ104" s="236">
        <f>DH104+DQ104</f>
        <v/>
      </c>
      <c r="EA104" s="236">
        <f>DI104+DR104</f>
        <v/>
      </c>
      <c r="EB104" s="236">
        <f>DZ104+EA104</f>
        <v/>
      </c>
      <c r="EC104" s="236">
        <f>DK104+DT104</f>
        <v/>
      </c>
      <c r="ED104" s="236">
        <f>DL104+DU104</f>
        <v/>
      </c>
      <c r="EE104" s="236">
        <f>EC104+ED104</f>
        <v/>
      </c>
      <c r="EF104" s="239">
        <f>EE104-EB104</f>
        <v/>
      </c>
      <c r="EG104" s="237">
        <f>IF(EB104=0,"",EE104/EB104)</f>
        <v/>
      </c>
      <c r="EH104" s="33" t="n"/>
      <c r="EI104" s="233" t="n"/>
      <c r="EJ104" s="233" t="n"/>
      <c r="EK104" s="233">
        <f>EI104+EJ104</f>
        <v/>
      </c>
      <c r="EL104" s="233" t="n"/>
      <c r="EM104" s="233" t="n"/>
      <c r="EN104" s="233">
        <f>EL104+EM104</f>
        <v/>
      </c>
      <c r="EO104" s="238">
        <f>EN104-EK104</f>
        <v/>
      </c>
      <c r="EP104" s="235">
        <f>IF(EK104=0,"",EN104/EK104)</f>
        <v/>
      </c>
      <c r="EQ104" s="26" t="n"/>
      <c r="ER104" s="236">
        <f>DZ104+EI104</f>
        <v/>
      </c>
      <c r="ES104" s="236">
        <f>EA104+EJ104</f>
        <v/>
      </c>
      <c r="ET104" s="236">
        <f>ER104+ES104</f>
        <v/>
      </c>
      <c r="EU104" s="236">
        <f>EC104+EL104</f>
        <v/>
      </c>
      <c r="EV104" s="236">
        <f>ED104+EM104</f>
        <v/>
      </c>
      <c r="EW104" s="236">
        <f>EU104+EV104</f>
        <v/>
      </c>
      <c r="EX104" s="239">
        <f>EW104-ET104</f>
        <v/>
      </c>
      <c r="EY104" s="237">
        <f>IF(ET104=0,"",EW104/ET104)</f>
        <v/>
      </c>
      <c r="EZ104" s="33" t="n"/>
      <c r="FA104" s="233" t="n"/>
      <c r="FB104" s="233" t="n"/>
      <c r="FC104" s="233">
        <f>FA104+FB104</f>
        <v/>
      </c>
      <c r="FD104" s="233" t="n"/>
      <c r="FE104" s="233" t="n"/>
      <c r="FF104" s="233">
        <f>FD104+FE104</f>
        <v/>
      </c>
      <c r="FG104" s="238">
        <f>FF104-FC104</f>
        <v/>
      </c>
      <c r="FH104" s="235">
        <f>IF(FC104=0,"",FF104/FC104)</f>
        <v/>
      </c>
      <c r="FI104" s="26" t="n"/>
      <c r="FJ104" s="236">
        <f>ER104+FA104</f>
        <v/>
      </c>
      <c r="FK104" s="236">
        <f>ES104+FB104</f>
        <v/>
      </c>
      <c r="FL104" s="236">
        <f>FJ104+FK104</f>
        <v/>
      </c>
      <c r="FM104" s="236">
        <f>EU104+FD104</f>
        <v/>
      </c>
      <c r="FN104" s="236">
        <f>EV104+FE104</f>
        <v/>
      </c>
      <c r="FO104" s="236">
        <f>FM104+FN104</f>
        <v/>
      </c>
      <c r="FP104" s="239">
        <f>FO104-FL104</f>
        <v/>
      </c>
      <c r="FQ104" s="237">
        <f>IF(FL104=0,"",FO104/FL104)</f>
        <v/>
      </c>
      <c r="FR104" s="33" t="n"/>
      <c r="FS104" s="233" t="n"/>
      <c r="FT104" s="233" t="n"/>
      <c r="FU104" s="233">
        <f>FS104+FT104</f>
        <v/>
      </c>
      <c r="FV104" s="233" t="n"/>
      <c r="FW104" s="233" t="n"/>
      <c r="FX104" s="233">
        <f>FV104+FW104</f>
        <v/>
      </c>
      <c r="FY104" s="238">
        <f>FX104-FU104</f>
        <v/>
      </c>
      <c r="FZ104" s="235">
        <f>IF(FU104=0,"",FX104/FU104)</f>
        <v/>
      </c>
      <c r="GA104" s="26" t="n"/>
      <c r="GB104" s="236">
        <f>FJ104+FS104</f>
        <v/>
      </c>
      <c r="GC104" s="236">
        <f>FK104+FT104</f>
        <v/>
      </c>
      <c r="GD104" s="236">
        <f>GB104+GC104</f>
        <v/>
      </c>
      <c r="GE104" s="236">
        <f>FM104+FV104</f>
        <v/>
      </c>
      <c r="GF104" s="236">
        <f>FN104+FW104</f>
        <v/>
      </c>
      <c r="GG104" s="236">
        <f>GE104+GF104</f>
        <v/>
      </c>
      <c r="GH104" s="239">
        <f>GG104-GD104</f>
        <v/>
      </c>
      <c r="GI104" s="237">
        <f>IF(GD104=0,"",GG104/GD104)</f>
        <v/>
      </c>
      <c r="GJ104" s="33" t="n"/>
      <c r="GK104" s="233" t="n"/>
      <c r="GL104" s="233" t="n"/>
      <c r="GM104" s="233">
        <f>GK104+GL104</f>
        <v/>
      </c>
      <c r="GN104" s="233" t="n"/>
      <c r="GO104" s="233" t="n"/>
      <c r="GP104" s="233">
        <f>GN104+GO104</f>
        <v/>
      </c>
      <c r="GQ104" s="238">
        <f>GP104-GM104</f>
        <v/>
      </c>
      <c r="GR104" s="235">
        <f>IF(GM104=0,"",GP104/GM104)</f>
        <v/>
      </c>
      <c r="GS104" s="26" t="n"/>
      <c r="GT104" s="236">
        <f>GB104+GK104</f>
        <v/>
      </c>
      <c r="GU104" s="236">
        <f>GC104+GL104</f>
        <v/>
      </c>
      <c r="GV104" s="236">
        <f>GT104+GU104</f>
        <v/>
      </c>
      <c r="GW104" s="236">
        <f>GE104+GN104</f>
        <v/>
      </c>
      <c r="GX104" s="236">
        <f>GF104+GO104</f>
        <v/>
      </c>
      <c r="GY104" s="236">
        <f>GW104+GX104</f>
        <v/>
      </c>
      <c r="GZ104" s="239">
        <f>GY104-GV104</f>
        <v/>
      </c>
      <c r="HA104" s="237">
        <f>IF(GV104=0,"",GY104/GV104)</f>
        <v/>
      </c>
      <c r="HB104" s="33" t="n"/>
      <c r="HC104" s="233">
        <f>GT104</f>
        <v/>
      </c>
      <c r="HD104" s="233">
        <f>GU104</f>
        <v/>
      </c>
      <c r="HE104" s="233">
        <f>HC104+HD104</f>
        <v/>
      </c>
    </row>
    <row r="105" outlineLevel="1" ht="15" customHeight="1" s="150">
      <c r="A105" s="26" t="n"/>
      <c r="B105" s="26" t="n"/>
      <c r="C105" s="26" t="n"/>
      <c r="D105" s="233" t="n"/>
      <c r="E105" s="233" t="n"/>
      <c r="F105" s="233">
        <f>D105+E105</f>
        <v/>
      </c>
      <c r="G105" s="233" t="n"/>
      <c r="H105" s="233" t="n"/>
      <c r="I105" s="233">
        <f>G105+H105</f>
        <v/>
      </c>
      <c r="J105" s="238">
        <f>I105-F105</f>
        <v/>
      </c>
      <c r="K105" s="235">
        <f>IF(F105=0,"",I105/F105)</f>
        <v/>
      </c>
      <c r="L105" s="26" t="n"/>
      <c r="M105" s="233" t="n"/>
      <c r="N105" s="233" t="n"/>
      <c r="O105" s="233">
        <f>M105+N105</f>
        <v/>
      </c>
      <c r="P105" s="233" t="n"/>
      <c r="Q105" s="233" t="n"/>
      <c r="R105" s="233">
        <f>P105+Q105</f>
        <v/>
      </c>
      <c r="S105" s="238">
        <f>R105-O105</f>
        <v/>
      </c>
      <c r="T105" s="235">
        <f>IF(O105=0,"",R105/O105)</f>
        <v/>
      </c>
      <c r="U105" s="26" t="n"/>
      <c r="V105" s="236">
        <f>D105+M105</f>
        <v/>
      </c>
      <c r="W105" s="236">
        <f>E105+N105</f>
        <v/>
      </c>
      <c r="X105" s="236">
        <f>V105+W105</f>
        <v/>
      </c>
      <c r="Y105" s="236">
        <f>G105+P105</f>
        <v/>
      </c>
      <c r="Z105" s="236">
        <f>H105+Q105</f>
        <v/>
      </c>
      <c r="AA105" s="236">
        <f>Y105+Z105</f>
        <v/>
      </c>
      <c r="AB105" s="239">
        <f>AA105-X105</f>
        <v/>
      </c>
      <c r="AC105" s="237">
        <f>IF(X105=0,"",AA105/X105)</f>
        <v/>
      </c>
      <c r="AD105" s="33" t="n"/>
      <c r="AE105" s="233" t="n"/>
      <c r="AF105" s="233" t="n"/>
      <c r="AG105" s="233">
        <f>AE105+AF105</f>
        <v/>
      </c>
      <c r="AH105" s="233" t="n"/>
      <c r="AI105" s="233" t="n"/>
      <c r="AJ105" s="233">
        <f>AH105+AI105</f>
        <v/>
      </c>
      <c r="AK105" s="238">
        <f>AJ105-AG105</f>
        <v/>
      </c>
      <c r="AL105" s="235">
        <f>IF(AG105=0,"",AJ105/AG105)</f>
        <v/>
      </c>
      <c r="AM105" s="26" t="n"/>
      <c r="AN105" s="236">
        <f>V105+AE105</f>
        <v/>
      </c>
      <c r="AO105" s="236">
        <f>W105+AF105</f>
        <v/>
      </c>
      <c r="AP105" s="236">
        <f>AN105+AO105</f>
        <v/>
      </c>
      <c r="AQ105" s="236">
        <f>Y105+AH105</f>
        <v/>
      </c>
      <c r="AR105" s="236">
        <f>Z105+AI105</f>
        <v/>
      </c>
      <c r="AS105" s="236">
        <f>AQ105+AR105</f>
        <v/>
      </c>
      <c r="AT105" s="239">
        <f>AS105-AP105</f>
        <v/>
      </c>
      <c r="AU105" s="237">
        <f>IF(AP105=0,"",AS105/AP105)</f>
        <v/>
      </c>
      <c r="AV105" s="33" t="n"/>
      <c r="AW105" s="233" t="n"/>
      <c r="AX105" s="233" t="n"/>
      <c r="AY105" s="233">
        <f>AW105+AX105</f>
        <v/>
      </c>
      <c r="AZ105" s="233" t="n"/>
      <c r="BA105" s="233" t="n"/>
      <c r="BB105" s="233">
        <f>AZ105+BA105</f>
        <v/>
      </c>
      <c r="BC105" s="238">
        <f>BB105-AY105</f>
        <v/>
      </c>
      <c r="BD105" s="235">
        <f>IF(AY105=0,"",BB105/AY105)</f>
        <v/>
      </c>
      <c r="BE105" s="26" t="n"/>
      <c r="BF105" s="236">
        <f>AN105+AW105</f>
        <v/>
      </c>
      <c r="BG105" s="236">
        <f>AO105+AX105</f>
        <v/>
      </c>
      <c r="BH105" s="236">
        <f>BF105+BG105</f>
        <v/>
      </c>
      <c r="BI105" s="236">
        <f>AQ105+AZ105</f>
        <v/>
      </c>
      <c r="BJ105" s="236">
        <f>AR105+BA105</f>
        <v/>
      </c>
      <c r="BK105" s="236">
        <f>BI105+BJ105</f>
        <v/>
      </c>
      <c r="BL105" s="239">
        <f>BK105-BH105</f>
        <v/>
      </c>
      <c r="BM105" s="237">
        <f>IF(BH105=0,"",BK105/BH105)</f>
        <v/>
      </c>
      <c r="BN105" s="33" t="n"/>
      <c r="BO105" s="233" t="n"/>
      <c r="BP105" s="233" t="n"/>
      <c r="BQ105" s="233">
        <f>BO105+BP105</f>
        <v/>
      </c>
      <c r="BR105" s="233" t="n"/>
      <c r="BS105" s="233" t="n"/>
      <c r="BT105" s="233">
        <f>BR105+BS105</f>
        <v/>
      </c>
      <c r="BU105" s="238">
        <f>BT105-BQ105</f>
        <v/>
      </c>
      <c r="BV105" s="235">
        <f>IF(BQ105=0,"",BT105/BQ105)</f>
        <v/>
      </c>
      <c r="BW105" s="26" t="n"/>
      <c r="BX105" s="236">
        <f>BF105+BO105</f>
        <v/>
      </c>
      <c r="BY105" s="236">
        <f>BG105+BP105</f>
        <v/>
      </c>
      <c r="BZ105" s="236">
        <f>BX105+BY105</f>
        <v/>
      </c>
      <c r="CA105" s="236">
        <f>BI105+BR105</f>
        <v/>
      </c>
      <c r="CB105" s="236">
        <f>BJ105+BS105</f>
        <v/>
      </c>
      <c r="CC105" s="236">
        <f>CA105+CB105</f>
        <v/>
      </c>
      <c r="CD105" s="239">
        <f>CC105-BZ105</f>
        <v/>
      </c>
      <c r="CE105" s="237">
        <f>IF(BZ105=0,"",CC105/BZ105)</f>
        <v/>
      </c>
      <c r="CF105" s="33" t="n"/>
      <c r="CG105" s="233" t="n"/>
      <c r="CH105" s="233" t="n"/>
      <c r="CI105" s="233">
        <f>CG105+CH105</f>
        <v/>
      </c>
      <c r="CJ105" s="233" t="n"/>
      <c r="CK105" s="233" t="n"/>
      <c r="CL105" s="233">
        <f>CJ105+CK105</f>
        <v/>
      </c>
      <c r="CM105" s="238">
        <f>CL105-CI105</f>
        <v/>
      </c>
      <c r="CN105" s="235">
        <f>IF(CI105=0,"",CL105/CI105)</f>
        <v/>
      </c>
      <c r="CO105" s="26" t="n"/>
      <c r="CP105" s="236">
        <f>BX105+CG105</f>
        <v/>
      </c>
      <c r="CQ105" s="236">
        <f>BY105+CH105</f>
        <v/>
      </c>
      <c r="CR105" s="236">
        <f>CP105+CQ105</f>
        <v/>
      </c>
      <c r="CS105" s="236">
        <f>CA105+CJ105</f>
        <v/>
      </c>
      <c r="CT105" s="236">
        <f>CB105+CK105</f>
        <v/>
      </c>
      <c r="CU105" s="236">
        <f>CS105+CT105</f>
        <v/>
      </c>
      <c r="CV105" s="239">
        <f>CU105-CR105</f>
        <v/>
      </c>
      <c r="CW105" s="237">
        <f>IF(CR105=0,"",CU105/CR105)</f>
        <v/>
      </c>
      <c r="CX105" s="33" t="n"/>
      <c r="CY105" s="233" t="n"/>
      <c r="CZ105" s="233" t="n"/>
      <c r="DA105" s="233">
        <f>CY105+CZ105</f>
        <v/>
      </c>
      <c r="DB105" s="233" t="n"/>
      <c r="DC105" s="233" t="n"/>
      <c r="DD105" s="233">
        <f>DB105+DC105</f>
        <v/>
      </c>
      <c r="DE105" s="238">
        <f>DD105-DA105</f>
        <v/>
      </c>
      <c r="DF105" s="235">
        <f>IF(DA105=0,"",DD105/DA105)</f>
        <v/>
      </c>
      <c r="DG105" s="26" t="n"/>
      <c r="DH105" s="236">
        <f>CP105+CY105</f>
        <v/>
      </c>
      <c r="DI105" s="236">
        <f>CQ105+CZ105</f>
        <v/>
      </c>
      <c r="DJ105" s="236">
        <f>DH105+DI105</f>
        <v/>
      </c>
      <c r="DK105" s="236">
        <f>CS105+DB105</f>
        <v/>
      </c>
      <c r="DL105" s="236">
        <f>CT105+DC105</f>
        <v/>
      </c>
      <c r="DM105" s="236">
        <f>DK105+DL105</f>
        <v/>
      </c>
      <c r="DN105" s="239">
        <f>DM105-DJ105</f>
        <v/>
      </c>
      <c r="DO105" s="237">
        <f>IF(DJ105=0,"",DM105/DJ105)</f>
        <v/>
      </c>
      <c r="DP105" s="33" t="n"/>
      <c r="DQ105" s="233" t="n"/>
      <c r="DR105" s="233" t="n"/>
      <c r="DS105" s="233">
        <f>DQ105+DR105</f>
        <v/>
      </c>
      <c r="DT105" s="233" t="n"/>
      <c r="DU105" s="233" t="n"/>
      <c r="DV105" s="233">
        <f>DT105+DU105</f>
        <v/>
      </c>
      <c r="DW105" s="238">
        <f>DV105-DS105</f>
        <v/>
      </c>
      <c r="DX105" s="235">
        <f>IF(DS105=0,"",DV105/DS105)</f>
        <v/>
      </c>
      <c r="DY105" s="26" t="n"/>
      <c r="DZ105" s="236">
        <f>DH105+DQ105</f>
        <v/>
      </c>
      <c r="EA105" s="236">
        <f>DI105+DR105</f>
        <v/>
      </c>
      <c r="EB105" s="236">
        <f>DZ105+EA105</f>
        <v/>
      </c>
      <c r="EC105" s="236">
        <f>DK105+DT105</f>
        <v/>
      </c>
      <c r="ED105" s="236">
        <f>DL105+DU105</f>
        <v/>
      </c>
      <c r="EE105" s="236">
        <f>EC105+ED105</f>
        <v/>
      </c>
      <c r="EF105" s="239">
        <f>EE105-EB105</f>
        <v/>
      </c>
      <c r="EG105" s="237">
        <f>IF(EB105=0,"",EE105/EB105)</f>
        <v/>
      </c>
      <c r="EH105" s="33" t="n"/>
      <c r="EI105" s="233" t="n"/>
      <c r="EJ105" s="233" t="n"/>
      <c r="EK105" s="233">
        <f>EI105+EJ105</f>
        <v/>
      </c>
      <c r="EL105" s="233" t="n"/>
      <c r="EM105" s="233" t="n"/>
      <c r="EN105" s="233">
        <f>EL105+EM105</f>
        <v/>
      </c>
      <c r="EO105" s="238">
        <f>EN105-EK105</f>
        <v/>
      </c>
      <c r="EP105" s="235">
        <f>IF(EK105=0,"",EN105/EK105)</f>
        <v/>
      </c>
      <c r="EQ105" s="26" t="n"/>
      <c r="ER105" s="236">
        <f>DZ105+EI105</f>
        <v/>
      </c>
      <c r="ES105" s="236">
        <f>EA105+EJ105</f>
        <v/>
      </c>
      <c r="ET105" s="236">
        <f>ER105+ES105</f>
        <v/>
      </c>
      <c r="EU105" s="236">
        <f>EC105+EL105</f>
        <v/>
      </c>
      <c r="EV105" s="236">
        <f>ED105+EM105</f>
        <v/>
      </c>
      <c r="EW105" s="236">
        <f>EU105+EV105</f>
        <v/>
      </c>
      <c r="EX105" s="239">
        <f>EW105-ET105</f>
        <v/>
      </c>
      <c r="EY105" s="237">
        <f>IF(ET105=0,"",EW105/ET105)</f>
        <v/>
      </c>
      <c r="EZ105" s="33" t="n"/>
      <c r="FA105" s="233" t="n"/>
      <c r="FB105" s="233" t="n"/>
      <c r="FC105" s="233">
        <f>FA105+FB105</f>
        <v/>
      </c>
      <c r="FD105" s="233" t="n"/>
      <c r="FE105" s="233" t="n"/>
      <c r="FF105" s="233">
        <f>FD105+FE105</f>
        <v/>
      </c>
      <c r="FG105" s="238">
        <f>FF105-FC105</f>
        <v/>
      </c>
      <c r="FH105" s="235">
        <f>IF(FC105=0,"",FF105/FC105)</f>
        <v/>
      </c>
      <c r="FI105" s="26" t="n"/>
      <c r="FJ105" s="236">
        <f>ER105+FA105</f>
        <v/>
      </c>
      <c r="FK105" s="236">
        <f>ES105+FB105</f>
        <v/>
      </c>
      <c r="FL105" s="236">
        <f>FJ105+FK105</f>
        <v/>
      </c>
      <c r="FM105" s="236">
        <f>EU105+FD105</f>
        <v/>
      </c>
      <c r="FN105" s="236">
        <f>EV105+FE105</f>
        <v/>
      </c>
      <c r="FO105" s="236">
        <f>FM105+FN105</f>
        <v/>
      </c>
      <c r="FP105" s="239">
        <f>FO105-FL105</f>
        <v/>
      </c>
      <c r="FQ105" s="237">
        <f>IF(FL105=0,"",FO105/FL105)</f>
        <v/>
      </c>
      <c r="FR105" s="33" t="n"/>
      <c r="FS105" s="233" t="n"/>
      <c r="FT105" s="233" t="n"/>
      <c r="FU105" s="233">
        <f>FS105+FT105</f>
        <v/>
      </c>
      <c r="FV105" s="233" t="n"/>
      <c r="FW105" s="233" t="n"/>
      <c r="FX105" s="233">
        <f>FV105+FW105</f>
        <v/>
      </c>
      <c r="FY105" s="238">
        <f>FX105-FU105</f>
        <v/>
      </c>
      <c r="FZ105" s="235">
        <f>IF(FU105=0,"",FX105/FU105)</f>
        <v/>
      </c>
      <c r="GA105" s="26" t="n"/>
      <c r="GB105" s="236">
        <f>FJ105+FS105</f>
        <v/>
      </c>
      <c r="GC105" s="236">
        <f>FK105+FT105</f>
        <v/>
      </c>
      <c r="GD105" s="236">
        <f>GB105+GC105</f>
        <v/>
      </c>
      <c r="GE105" s="236">
        <f>FM105+FV105</f>
        <v/>
      </c>
      <c r="GF105" s="236">
        <f>FN105+FW105</f>
        <v/>
      </c>
      <c r="GG105" s="236">
        <f>GE105+GF105</f>
        <v/>
      </c>
      <c r="GH105" s="239">
        <f>GG105-GD105</f>
        <v/>
      </c>
      <c r="GI105" s="237">
        <f>IF(GD105=0,"",GG105/GD105)</f>
        <v/>
      </c>
      <c r="GJ105" s="33" t="n"/>
      <c r="GK105" s="233" t="n"/>
      <c r="GL105" s="233" t="n"/>
      <c r="GM105" s="233">
        <f>GK105+GL105</f>
        <v/>
      </c>
      <c r="GN105" s="233" t="n"/>
      <c r="GO105" s="233" t="n"/>
      <c r="GP105" s="233">
        <f>GN105+GO105</f>
        <v/>
      </c>
      <c r="GQ105" s="238">
        <f>GP105-GM105</f>
        <v/>
      </c>
      <c r="GR105" s="235">
        <f>IF(GM105=0,"",GP105/GM105)</f>
        <v/>
      </c>
      <c r="GS105" s="26" t="n"/>
      <c r="GT105" s="236">
        <f>GB105+GK105</f>
        <v/>
      </c>
      <c r="GU105" s="236">
        <f>GC105+GL105</f>
        <v/>
      </c>
      <c r="GV105" s="236">
        <f>GT105+GU105</f>
        <v/>
      </c>
      <c r="GW105" s="236">
        <f>GE105+GN105</f>
        <v/>
      </c>
      <c r="GX105" s="236">
        <f>GF105+GO105</f>
        <v/>
      </c>
      <c r="GY105" s="236">
        <f>GW105+GX105</f>
        <v/>
      </c>
      <c r="GZ105" s="239">
        <f>GY105-GV105</f>
        <v/>
      </c>
      <c r="HA105" s="237">
        <f>IF(GV105=0,"",GY105/GV105)</f>
        <v/>
      </c>
      <c r="HB105" s="33" t="n"/>
      <c r="HC105" s="233">
        <f>GT105</f>
        <v/>
      </c>
      <c r="HD105" s="233">
        <f>GU105</f>
        <v/>
      </c>
      <c r="HE105" s="233">
        <f>HC105+HD105</f>
        <v/>
      </c>
    </row>
    <row r="106" outlineLevel="1" ht="15" customHeight="1" s="150">
      <c r="A106" s="26" t="n"/>
      <c r="B106" s="26" t="n"/>
      <c r="C106" s="26" t="n"/>
      <c r="D106" s="233" t="n"/>
      <c r="E106" s="233" t="n"/>
      <c r="F106" s="233">
        <f>D106+E106</f>
        <v/>
      </c>
      <c r="G106" s="233" t="n"/>
      <c r="H106" s="233" t="n"/>
      <c r="I106" s="233">
        <f>G106+H106</f>
        <v/>
      </c>
      <c r="J106" s="234">
        <f>I106-F106</f>
        <v/>
      </c>
      <c r="K106" s="235">
        <f>IF(F106=0,"",I106/F106)</f>
        <v/>
      </c>
      <c r="L106" s="26" t="n"/>
      <c r="M106" s="233" t="n"/>
      <c r="N106" s="233" t="n"/>
      <c r="O106" s="233">
        <f>M106+N106</f>
        <v/>
      </c>
      <c r="P106" s="233" t="n"/>
      <c r="Q106" s="233" t="n"/>
      <c r="R106" s="233">
        <f>P106+Q106</f>
        <v/>
      </c>
      <c r="S106" s="234">
        <f>R106-O106</f>
        <v/>
      </c>
      <c r="T106" s="235">
        <f>IF(O106=0,"",R106/O106)</f>
        <v/>
      </c>
      <c r="U106" s="26" t="n"/>
      <c r="V106" s="236">
        <f>D106+M106</f>
        <v/>
      </c>
      <c r="W106" s="236">
        <f>E106+N106</f>
        <v/>
      </c>
      <c r="X106" s="236">
        <f>V106+W106</f>
        <v/>
      </c>
      <c r="Y106" s="236">
        <f>G106+P106</f>
        <v/>
      </c>
      <c r="Z106" s="236">
        <f>H106+Q106</f>
        <v/>
      </c>
      <c r="AA106" s="236">
        <f>Y106+Z106</f>
        <v/>
      </c>
      <c r="AB106" s="234">
        <f>AA106-X106</f>
        <v/>
      </c>
      <c r="AC106" s="237">
        <f>IF(X106=0,"",AA106/X106)</f>
        <v/>
      </c>
      <c r="AD106" s="33" t="n"/>
      <c r="AE106" s="233" t="n"/>
      <c r="AF106" s="233" t="n"/>
      <c r="AG106" s="233">
        <f>AE106+AF106</f>
        <v/>
      </c>
      <c r="AH106" s="233" t="n"/>
      <c r="AI106" s="233" t="n"/>
      <c r="AJ106" s="233">
        <f>AH106+AI106</f>
        <v/>
      </c>
      <c r="AK106" s="234">
        <f>AJ106-AG106</f>
        <v/>
      </c>
      <c r="AL106" s="235">
        <f>IF(AG106=0,"",AJ106/AG106)</f>
        <v/>
      </c>
      <c r="AM106" s="26" t="n"/>
      <c r="AN106" s="236">
        <f>V106+AE106</f>
        <v/>
      </c>
      <c r="AO106" s="236">
        <f>W106+AF106</f>
        <v/>
      </c>
      <c r="AP106" s="236">
        <f>AN106+AO106</f>
        <v/>
      </c>
      <c r="AQ106" s="236">
        <f>Y106+AH106</f>
        <v/>
      </c>
      <c r="AR106" s="236">
        <f>Z106+AI106</f>
        <v/>
      </c>
      <c r="AS106" s="236">
        <f>AQ106+AR106</f>
        <v/>
      </c>
      <c r="AT106" s="234">
        <f>AS106-AP106</f>
        <v/>
      </c>
      <c r="AU106" s="237">
        <f>IF(AP106=0,"",AS106/AP106)</f>
        <v/>
      </c>
      <c r="AV106" s="33" t="n"/>
      <c r="AW106" s="233" t="n"/>
      <c r="AX106" s="233" t="n"/>
      <c r="AY106" s="233">
        <f>AW106+AX106</f>
        <v/>
      </c>
      <c r="AZ106" s="233" t="n"/>
      <c r="BA106" s="233" t="n"/>
      <c r="BB106" s="233">
        <f>AZ106+BA106</f>
        <v/>
      </c>
      <c r="BC106" s="238">
        <f>BB106-AY106</f>
        <v/>
      </c>
      <c r="BD106" s="235">
        <f>IF(AY106=0,"",BB106/AY106)</f>
        <v/>
      </c>
      <c r="BE106" s="26" t="n"/>
      <c r="BF106" s="236">
        <f>AN106+AW106</f>
        <v/>
      </c>
      <c r="BG106" s="236">
        <f>AO106+AX106</f>
        <v/>
      </c>
      <c r="BH106" s="236">
        <f>BF106+BG106</f>
        <v/>
      </c>
      <c r="BI106" s="236">
        <f>AQ106+AZ106</f>
        <v/>
      </c>
      <c r="BJ106" s="236">
        <f>AR106+BA106</f>
        <v/>
      </c>
      <c r="BK106" s="236">
        <f>BI106+BJ106</f>
        <v/>
      </c>
      <c r="BL106" s="239">
        <f>BK106-BH106</f>
        <v/>
      </c>
      <c r="BM106" s="237">
        <f>IF(BH106=0,"",BK106/BH106)</f>
        <v/>
      </c>
      <c r="BN106" s="33" t="n"/>
      <c r="BO106" s="233" t="n"/>
      <c r="BP106" s="233" t="n"/>
      <c r="BQ106" s="233">
        <f>BO106+BP106</f>
        <v/>
      </c>
      <c r="BR106" s="233" t="n"/>
      <c r="BS106" s="233" t="n"/>
      <c r="BT106" s="233">
        <f>BR106+BS106</f>
        <v/>
      </c>
      <c r="BU106" s="238">
        <f>BT106-BQ106</f>
        <v/>
      </c>
      <c r="BV106" s="235">
        <f>IF(BQ106=0,"",BT106/BQ106)</f>
        <v/>
      </c>
      <c r="BW106" s="26" t="n"/>
      <c r="BX106" s="236">
        <f>BF106+BO106</f>
        <v/>
      </c>
      <c r="BY106" s="236">
        <f>BG106+BP106</f>
        <v/>
      </c>
      <c r="BZ106" s="236">
        <f>BX106+BY106</f>
        <v/>
      </c>
      <c r="CA106" s="236">
        <f>BI106+BR106</f>
        <v/>
      </c>
      <c r="CB106" s="236">
        <f>BJ106+BS106</f>
        <v/>
      </c>
      <c r="CC106" s="236">
        <f>CA106+CB106</f>
        <v/>
      </c>
      <c r="CD106" s="239">
        <f>CC106-BZ106</f>
        <v/>
      </c>
      <c r="CE106" s="237">
        <f>IF(BZ106=0,"",CC106/BZ106)</f>
        <v/>
      </c>
      <c r="CF106" s="33" t="n"/>
      <c r="CG106" s="233" t="n"/>
      <c r="CH106" s="233" t="n"/>
      <c r="CI106" s="233">
        <f>CG106+CH106</f>
        <v/>
      </c>
      <c r="CJ106" s="233" t="n"/>
      <c r="CK106" s="233" t="n"/>
      <c r="CL106" s="233">
        <f>CJ106+CK106</f>
        <v/>
      </c>
      <c r="CM106" s="238">
        <f>CL106-CI106</f>
        <v/>
      </c>
      <c r="CN106" s="235">
        <f>IF(CI106=0,"",CL106/CI106)</f>
        <v/>
      </c>
      <c r="CO106" s="26" t="n"/>
      <c r="CP106" s="236">
        <f>BX106+CG106</f>
        <v/>
      </c>
      <c r="CQ106" s="236">
        <f>BY106+CH106</f>
        <v/>
      </c>
      <c r="CR106" s="236">
        <f>CP106+CQ106</f>
        <v/>
      </c>
      <c r="CS106" s="236">
        <f>CA106+CJ106</f>
        <v/>
      </c>
      <c r="CT106" s="236">
        <f>CB106+CK106</f>
        <v/>
      </c>
      <c r="CU106" s="236">
        <f>CS106+CT106</f>
        <v/>
      </c>
      <c r="CV106" s="239">
        <f>CU106-CR106</f>
        <v/>
      </c>
      <c r="CW106" s="237">
        <f>IF(CR106=0,"",CU106/CR106)</f>
        <v/>
      </c>
      <c r="CX106" s="33" t="n"/>
      <c r="CY106" s="233" t="n"/>
      <c r="CZ106" s="233" t="n"/>
      <c r="DA106" s="233">
        <f>CY106+CZ106</f>
        <v/>
      </c>
      <c r="DB106" s="233" t="n"/>
      <c r="DC106" s="233" t="n"/>
      <c r="DD106" s="233">
        <f>DB106+DC106</f>
        <v/>
      </c>
      <c r="DE106" s="238">
        <f>DD106-DA106</f>
        <v/>
      </c>
      <c r="DF106" s="235">
        <f>IF(DA106=0,"",DD106/DA106)</f>
        <v/>
      </c>
      <c r="DG106" s="26" t="n"/>
      <c r="DH106" s="236">
        <f>CP106+CY106</f>
        <v/>
      </c>
      <c r="DI106" s="236">
        <f>CQ106+CZ106</f>
        <v/>
      </c>
      <c r="DJ106" s="236">
        <f>DH106+DI106</f>
        <v/>
      </c>
      <c r="DK106" s="236">
        <f>CS106+DB106</f>
        <v/>
      </c>
      <c r="DL106" s="236">
        <f>CT106+DC106</f>
        <v/>
      </c>
      <c r="DM106" s="236">
        <f>DK106+DL106</f>
        <v/>
      </c>
      <c r="DN106" s="239">
        <f>DM106-DJ106</f>
        <v/>
      </c>
      <c r="DO106" s="237">
        <f>IF(DJ106=0,"",DM106/DJ106)</f>
        <v/>
      </c>
      <c r="DP106" s="33" t="n"/>
      <c r="DQ106" s="233" t="n"/>
      <c r="DR106" s="233" t="n"/>
      <c r="DS106" s="233">
        <f>DQ106+DR106</f>
        <v/>
      </c>
      <c r="DT106" s="233" t="n"/>
      <c r="DU106" s="233" t="n"/>
      <c r="DV106" s="233">
        <f>DT106+DU106</f>
        <v/>
      </c>
      <c r="DW106" s="238">
        <f>DV106-DS106</f>
        <v/>
      </c>
      <c r="DX106" s="235">
        <f>IF(DS106=0,"",DV106/DS106)</f>
        <v/>
      </c>
      <c r="DY106" s="26" t="n"/>
      <c r="DZ106" s="236">
        <f>DH106+DQ106</f>
        <v/>
      </c>
      <c r="EA106" s="236">
        <f>DI106+DR106</f>
        <v/>
      </c>
      <c r="EB106" s="236">
        <f>DZ106+EA106</f>
        <v/>
      </c>
      <c r="EC106" s="236">
        <f>DK106+DT106</f>
        <v/>
      </c>
      <c r="ED106" s="236">
        <f>DL106+DU106</f>
        <v/>
      </c>
      <c r="EE106" s="236">
        <f>EC106+ED106</f>
        <v/>
      </c>
      <c r="EF106" s="239">
        <f>EE106-EB106</f>
        <v/>
      </c>
      <c r="EG106" s="237">
        <f>IF(EB106=0,"",EE106/EB106)</f>
        <v/>
      </c>
      <c r="EH106" s="33" t="n"/>
      <c r="EI106" s="233" t="n"/>
      <c r="EJ106" s="233" t="n"/>
      <c r="EK106" s="233">
        <f>EI106+EJ106</f>
        <v/>
      </c>
      <c r="EL106" s="233" t="n"/>
      <c r="EM106" s="233" t="n"/>
      <c r="EN106" s="233">
        <f>EL106+EM106</f>
        <v/>
      </c>
      <c r="EO106" s="238">
        <f>EN106-EK106</f>
        <v/>
      </c>
      <c r="EP106" s="235">
        <f>IF(EK106=0,"",EN106/EK106)</f>
        <v/>
      </c>
      <c r="EQ106" s="26" t="n"/>
      <c r="ER106" s="236">
        <f>DZ106+EI106</f>
        <v/>
      </c>
      <c r="ES106" s="236">
        <f>EA106+EJ106</f>
        <v/>
      </c>
      <c r="ET106" s="236">
        <f>ER106+ES106</f>
        <v/>
      </c>
      <c r="EU106" s="236">
        <f>EC106+EL106</f>
        <v/>
      </c>
      <c r="EV106" s="236">
        <f>ED106+EM106</f>
        <v/>
      </c>
      <c r="EW106" s="236">
        <f>EU106+EV106</f>
        <v/>
      </c>
      <c r="EX106" s="239">
        <f>EW106-ET106</f>
        <v/>
      </c>
      <c r="EY106" s="237">
        <f>IF(ET106=0,"",EW106/ET106)</f>
        <v/>
      </c>
      <c r="EZ106" s="33" t="n"/>
      <c r="FA106" s="233" t="n"/>
      <c r="FB106" s="233" t="n"/>
      <c r="FC106" s="233">
        <f>FA106+FB106</f>
        <v/>
      </c>
      <c r="FD106" s="233" t="n"/>
      <c r="FE106" s="233" t="n"/>
      <c r="FF106" s="233">
        <f>FD106+FE106</f>
        <v/>
      </c>
      <c r="FG106" s="238">
        <f>FF106-FC106</f>
        <v/>
      </c>
      <c r="FH106" s="235">
        <f>IF(FC106=0,"",FF106/FC106)</f>
        <v/>
      </c>
      <c r="FI106" s="26" t="n"/>
      <c r="FJ106" s="236">
        <f>ER106+FA106</f>
        <v/>
      </c>
      <c r="FK106" s="236">
        <f>ES106+FB106</f>
        <v/>
      </c>
      <c r="FL106" s="236">
        <f>FJ106+FK106</f>
        <v/>
      </c>
      <c r="FM106" s="236">
        <f>EU106+FD106</f>
        <v/>
      </c>
      <c r="FN106" s="236">
        <f>EV106+FE106</f>
        <v/>
      </c>
      <c r="FO106" s="236">
        <f>FM106+FN106</f>
        <v/>
      </c>
      <c r="FP106" s="239">
        <f>FO106-FL106</f>
        <v/>
      </c>
      <c r="FQ106" s="237">
        <f>IF(FL106=0,"",FO106/FL106)</f>
        <v/>
      </c>
      <c r="FR106" s="33" t="n"/>
      <c r="FS106" s="233" t="n"/>
      <c r="FT106" s="233" t="n"/>
      <c r="FU106" s="233">
        <f>FS106+FT106</f>
        <v/>
      </c>
      <c r="FV106" s="233" t="n"/>
      <c r="FW106" s="233" t="n"/>
      <c r="FX106" s="233">
        <f>FV106+FW106</f>
        <v/>
      </c>
      <c r="FY106" s="238">
        <f>FX106-FU106</f>
        <v/>
      </c>
      <c r="FZ106" s="235">
        <f>IF(FU106=0,"",FX106/FU106)</f>
        <v/>
      </c>
      <c r="GA106" s="26" t="n"/>
      <c r="GB106" s="236">
        <f>FJ106+FS106</f>
        <v/>
      </c>
      <c r="GC106" s="236">
        <f>FK106+FT106</f>
        <v/>
      </c>
      <c r="GD106" s="236">
        <f>GB106+GC106</f>
        <v/>
      </c>
      <c r="GE106" s="236">
        <f>FM106+FV106</f>
        <v/>
      </c>
      <c r="GF106" s="236">
        <f>FN106+FW106</f>
        <v/>
      </c>
      <c r="GG106" s="236">
        <f>GE106+GF106</f>
        <v/>
      </c>
      <c r="GH106" s="239">
        <f>GG106-GD106</f>
        <v/>
      </c>
      <c r="GI106" s="237">
        <f>IF(GD106=0,"",GG106/GD106)</f>
        <v/>
      </c>
      <c r="GJ106" s="33" t="n"/>
      <c r="GK106" s="233" t="n"/>
      <c r="GL106" s="233" t="n"/>
      <c r="GM106" s="233">
        <f>GK106+GL106</f>
        <v/>
      </c>
      <c r="GN106" s="233" t="n"/>
      <c r="GO106" s="233" t="n"/>
      <c r="GP106" s="233">
        <f>GN106+GO106</f>
        <v/>
      </c>
      <c r="GQ106" s="238">
        <f>GP106-GM106</f>
        <v/>
      </c>
      <c r="GR106" s="235">
        <f>IF(GM106=0,"",GP106/GM106)</f>
        <v/>
      </c>
      <c r="GS106" s="26" t="n"/>
      <c r="GT106" s="236">
        <f>GB106+GK106</f>
        <v/>
      </c>
      <c r="GU106" s="236">
        <f>GC106+GL106</f>
        <v/>
      </c>
      <c r="GV106" s="236">
        <f>GT106+GU106</f>
        <v/>
      </c>
      <c r="GW106" s="236">
        <f>GE106+GN106</f>
        <v/>
      </c>
      <c r="GX106" s="236">
        <f>GF106+GO106</f>
        <v/>
      </c>
      <c r="GY106" s="236">
        <f>GW106+GX106</f>
        <v/>
      </c>
      <c r="GZ106" s="239">
        <f>GY106-GV106</f>
        <v/>
      </c>
      <c r="HA106" s="237">
        <f>IF(GV106=0,"",GY106/GV106)</f>
        <v/>
      </c>
      <c r="HB106" s="33" t="n"/>
      <c r="HC106" s="233">
        <f>GT106</f>
        <v/>
      </c>
      <c r="HD106" s="233">
        <f>GU106</f>
        <v/>
      </c>
      <c r="HE106" s="233">
        <f>HC106+HD106</f>
        <v/>
      </c>
    </row>
    <row r="107" outlineLevel="1" ht="15" customHeight="1" s="150">
      <c r="A107" s="26" t="n"/>
      <c r="B107" s="26" t="n"/>
      <c r="C107" s="26" t="n"/>
      <c r="D107" s="233" t="n"/>
      <c r="E107" s="233" t="n"/>
      <c r="F107" s="233">
        <f>D107+E107</f>
        <v/>
      </c>
      <c r="G107" s="233" t="n"/>
      <c r="H107" s="233" t="n"/>
      <c r="I107" s="233">
        <f>G107+H107</f>
        <v/>
      </c>
      <c r="J107" s="238">
        <f>I107-F107</f>
        <v/>
      </c>
      <c r="K107" s="235">
        <f>IF(F107=0,"",I107/F107)</f>
        <v/>
      </c>
      <c r="L107" s="26" t="n"/>
      <c r="M107" s="233" t="n"/>
      <c r="N107" s="233" t="n"/>
      <c r="O107" s="233">
        <f>M107+N107</f>
        <v/>
      </c>
      <c r="P107" s="233" t="n"/>
      <c r="Q107" s="233" t="n"/>
      <c r="R107" s="233">
        <f>P107+Q107</f>
        <v/>
      </c>
      <c r="S107" s="238">
        <f>R107-O107</f>
        <v/>
      </c>
      <c r="T107" s="235">
        <f>IF(O107=0,"",R107/O107)</f>
        <v/>
      </c>
      <c r="U107" s="26" t="n"/>
      <c r="V107" s="236">
        <f>D107+M107</f>
        <v/>
      </c>
      <c r="W107" s="236">
        <f>E107+N107</f>
        <v/>
      </c>
      <c r="X107" s="236">
        <f>V107+W107</f>
        <v/>
      </c>
      <c r="Y107" s="236">
        <f>G107+P107</f>
        <v/>
      </c>
      <c r="Z107" s="236">
        <f>H107+Q107</f>
        <v/>
      </c>
      <c r="AA107" s="236">
        <f>Y107+Z107</f>
        <v/>
      </c>
      <c r="AB107" s="239">
        <f>AA107-X107</f>
        <v/>
      </c>
      <c r="AC107" s="237">
        <f>IF(X107=0,"",AA107/X107)</f>
        <v/>
      </c>
      <c r="AD107" s="33" t="n"/>
      <c r="AE107" s="233" t="n"/>
      <c r="AF107" s="233" t="n"/>
      <c r="AG107" s="233">
        <f>AE107+AF107</f>
        <v/>
      </c>
      <c r="AH107" s="233" t="n"/>
      <c r="AI107" s="233" t="n"/>
      <c r="AJ107" s="233">
        <f>AH107+AI107</f>
        <v/>
      </c>
      <c r="AK107" s="238">
        <f>AJ107-AG107</f>
        <v/>
      </c>
      <c r="AL107" s="235">
        <f>IF(AG107=0,"",AJ107/AG107)</f>
        <v/>
      </c>
      <c r="AM107" s="26" t="n"/>
      <c r="AN107" s="236">
        <f>V107+AE107</f>
        <v/>
      </c>
      <c r="AO107" s="236">
        <f>W107+AF107</f>
        <v/>
      </c>
      <c r="AP107" s="236">
        <f>AN107+AO107</f>
        <v/>
      </c>
      <c r="AQ107" s="236">
        <f>Y107+AH107</f>
        <v/>
      </c>
      <c r="AR107" s="236">
        <f>Z107+AI107</f>
        <v/>
      </c>
      <c r="AS107" s="236">
        <f>AQ107+AR107</f>
        <v/>
      </c>
      <c r="AT107" s="239">
        <f>AS107-AP107</f>
        <v/>
      </c>
      <c r="AU107" s="237">
        <f>IF(AP107=0,"",AS107/AP107)</f>
        <v/>
      </c>
      <c r="AV107" s="33" t="n"/>
      <c r="AW107" s="233" t="n"/>
      <c r="AX107" s="233" t="n"/>
      <c r="AY107" s="233">
        <f>AW107+AX107</f>
        <v/>
      </c>
      <c r="AZ107" s="233" t="n"/>
      <c r="BA107" s="233" t="n"/>
      <c r="BB107" s="233">
        <f>AZ107+BA107</f>
        <v/>
      </c>
      <c r="BC107" s="238">
        <f>BB107-AY107</f>
        <v/>
      </c>
      <c r="BD107" s="235">
        <f>IF(AY107=0,"",BB107/AY107)</f>
        <v/>
      </c>
      <c r="BE107" s="26" t="n"/>
      <c r="BF107" s="236">
        <f>AN107+AW107</f>
        <v/>
      </c>
      <c r="BG107" s="236">
        <f>AO107+AX107</f>
        <v/>
      </c>
      <c r="BH107" s="236">
        <f>BF107+BG107</f>
        <v/>
      </c>
      <c r="BI107" s="236">
        <f>AQ107+AZ107</f>
        <v/>
      </c>
      <c r="BJ107" s="236">
        <f>AR107+BA107</f>
        <v/>
      </c>
      <c r="BK107" s="236">
        <f>BI107+BJ107</f>
        <v/>
      </c>
      <c r="BL107" s="239">
        <f>BK107-BH107</f>
        <v/>
      </c>
      <c r="BM107" s="237">
        <f>IF(BH107=0,"",BK107/BH107)</f>
        <v/>
      </c>
      <c r="BN107" s="33" t="n"/>
      <c r="BO107" s="233" t="n"/>
      <c r="BP107" s="233" t="n"/>
      <c r="BQ107" s="233">
        <f>BO107+BP107</f>
        <v/>
      </c>
      <c r="BR107" s="233" t="n"/>
      <c r="BS107" s="233" t="n"/>
      <c r="BT107" s="233">
        <f>BR107+BS107</f>
        <v/>
      </c>
      <c r="BU107" s="238">
        <f>BT107-BQ107</f>
        <v/>
      </c>
      <c r="BV107" s="235">
        <f>IF(BQ107=0,"",BT107/BQ107)</f>
        <v/>
      </c>
      <c r="BW107" s="26" t="n"/>
      <c r="BX107" s="236">
        <f>BF107+BO107</f>
        <v/>
      </c>
      <c r="BY107" s="236">
        <f>BG107+BP107</f>
        <v/>
      </c>
      <c r="BZ107" s="236">
        <f>BX107+BY107</f>
        <v/>
      </c>
      <c r="CA107" s="236">
        <f>BI107+BR107</f>
        <v/>
      </c>
      <c r="CB107" s="236">
        <f>BJ107+BS107</f>
        <v/>
      </c>
      <c r="CC107" s="236">
        <f>CA107+CB107</f>
        <v/>
      </c>
      <c r="CD107" s="239">
        <f>CC107-BZ107</f>
        <v/>
      </c>
      <c r="CE107" s="237">
        <f>IF(BZ107=0,"",CC107/BZ107)</f>
        <v/>
      </c>
      <c r="CF107" s="33" t="n"/>
      <c r="CG107" s="233" t="n"/>
      <c r="CH107" s="233" t="n"/>
      <c r="CI107" s="233">
        <f>CG107+CH107</f>
        <v/>
      </c>
      <c r="CJ107" s="233" t="n"/>
      <c r="CK107" s="233" t="n"/>
      <c r="CL107" s="233">
        <f>CJ107+CK107</f>
        <v/>
      </c>
      <c r="CM107" s="238">
        <f>CL107-CI107</f>
        <v/>
      </c>
      <c r="CN107" s="235">
        <f>IF(CI107=0,"",CL107/CI107)</f>
        <v/>
      </c>
      <c r="CO107" s="26" t="n"/>
      <c r="CP107" s="236">
        <f>BX107+CG107</f>
        <v/>
      </c>
      <c r="CQ107" s="236">
        <f>BY107+CH107</f>
        <v/>
      </c>
      <c r="CR107" s="236">
        <f>CP107+CQ107</f>
        <v/>
      </c>
      <c r="CS107" s="236">
        <f>CA107+CJ107</f>
        <v/>
      </c>
      <c r="CT107" s="236">
        <f>CB107+CK107</f>
        <v/>
      </c>
      <c r="CU107" s="236">
        <f>CS107+CT107</f>
        <v/>
      </c>
      <c r="CV107" s="239">
        <f>CU107-CR107</f>
        <v/>
      </c>
      <c r="CW107" s="237">
        <f>IF(CR107=0,"",CU107/CR107)</f>
        <v/>
      </c>
      <c r="CX107" s="33" t="n"/>
      <c r="CY107" s="233" t="n"/>
      <c r="CZ107" s="233" t="n"/>
      <c r="DA107" s="233">
        <f>CY107+CZ107</f>
        <v/>
      </c>
      <c r="DB107" s="233" t="n"/>
      <c r="DC107" s="233" t="n"/>
      <c r="DD107" s="233">
        <f>DB107+DC107</f>
        <v/>
      </c>
      <c r="DE107" s="238">
        <f>DD107-DA107</f>
        <v/>
      </c>
      <c r="DF107" s="235">
        <f>IF(DA107=0,"",DD107/DA107)</f>
        <v/>
      </c>
      <c r="DG107" s="26" t="n"/>
      <c r="DH107" s="236">
        <f>CP107+CY107</f>
        <v/>
      </c>
      <c r="DI107" s="236">
        <f>CQ107+CZ107</f>
        <v/>
      </c>
      <c r="DJ107" s="236">
        <f>DH107+DI107</f>
        <v/>
      </c>
      <c r="DK107" s="236">
        <f>CS107+DB107</f>
        <v/>
      </c>
      <c r="DL107" s="236">
        <f>CT107+DC107</f>
        <v/>
      </c>
      <c r="DM107" s="236">
        <f>DK107+DL107</f>
        <v/>
      </c>
      <c r="DN107" s="239">
        <f>DM107-DJ107</f>
        <v/>
      </c>
      <c r="DO107" s="237">
        <f>IF(DJ107=0,"",DM107/DJ107)</f>
        <v/>
      </c>
      <c r="DP107" s="33" t="n"/>
      <c r="DQ107" s="233" t="n"/>
      <c r="DR107" s="233" t="n"/>
      <c r="DS107" s="233">
        <f>DQ107+DR107</f>
        <v/>
      </c>
      <c r="DT107" s="233" t="n"/>
      <c r="DU107" s="233" t="n"/>
      <c r="DV107" s="233">
        <f>DT107+DU107</f>
        <v/>
      </c>
      <c r="DW107" s="238">
        <f>DV107-DS107</f>
        <v/>
      </c>
      <c r="DX107" s="235">
        <f>IF(DS107=0,"",DV107/DS107)</f>
        <v/>
      </c>
      <c r="DY107" s="26" t="n"/>
      <c r="DZ107" s="236">
        <f>DH107+DQ107</f>
        <v/>
      </c>
      <c r="EA107" s="236">
        <f>DI107+DR107</f>
        <v/>
      </c>
      <c r="EB107" s="236">
        <f>DZ107+EA107</f>
        <v/>
      </c>
      <c r="EC107" s="236">
        <f>DK107+DT107</f>
        <v/>
      </c>
      <c r="ED107" s="236">
        <f>DL107+DU107</f>
        <v/>
      </c>
      <c r="EE107" s="236">
        <f>EC107+ED107</f>
        <v/>
      </c>
      <c r="EF107" s="239">
        <f>EE107-EB107</f>
        <v/>
      </c>
      <c r="EG107" s="237">
        <f>IF(EB107=0,"",EE107/EB107)</f>
        <v/>
      </c>
      <c r="EH107" s="33" t="n"/>
      <c r="EI107" s="233" t="n"/>
      <c r="EJ107" s="233" t="n"/>
      <c r="EK107" s="233">
        <f>EI107+EJ107</f>
        <v/>
      </c>
      <c r="EL107" s="233" t="n"/>
      <c r="EM107" s="233" t="n"/>
      <c r="EN107" s="233">
        <f>EL107+EM107</f>
        <v/>
      </c>
      <c r="EO107" s="238">
        <f>EN107-EK107</f>
        <v/>
      </c>
      <c r="EP107" s="235">
        <f>IF(EK107=0,"",EN107/EK107)</f>
        <v/>
      </c>
      <c r="EQ107" s="26" t="n"/>
      <c r="ER107" s="236">
        <f>DZ107+EI107</f>
        <v/>
      </c>
      <c r="ES107" s="236">
        <f>EA107+EJ107</f>
        <v/>
      </c>
      <c r="ET107" s="236">
        <f>ER107+ES107</f>
        <v/>
      </c>
      <c r="EU107" s="236">
        <f>EC107+EL107</f>
        <v/>
      </c>
      <c r="EV107" s="236">
        <f>ED107+EM107</f>
        <v/>
      </c>
      <c r="EW107" s="236">
        <f>EU107+EV107</f>
        <v/>
      </c>
      <c r="EX107" s="239">
        <f>EW107-ET107</f>
        <v/>
      </c>
      <c r="EY107" s="237">
        <f>IF(ET107=0,"",EW107/ET107)</f>
        <v/>
      </c>
      <c r="EZ107" s="33" t="n"/>
      <c r="FA107" s="233" t="n"/>
      <c r="FB107" s="233" t="n"/>
      <c r="FC107" s="233">
        <f>FA107+FB107</f>
        <v/>
      </c>
      <c r="FD107" s="233" t="n"/>
      <c r="FE107" s="233" t="n"/>
      <c r="FF107" s="233">
        <f>FD107+FE107</f>
        <v/>
      </c>
      <c r="FG107" s="238">
        <f>FF107-FC107</f>
        <v/>
      </c>
      <c r="FH107" s="235">
        <f>IF(FC107=0,"",FF107/FC107)</f>
        <v/>
      </c>
      <c r="FI107" s="26" t="n"/>
      <c r="FJ107" s="236">
        <f>ER107+FA107</f>
        <v/>
      </c>
      <c r="FK107" s="236">
        <f>ES107+FB107</f>
        <v/>
      </c>
      <c r="FL107" s="236">
        <f>FJ107+FK107</f>
        <v/>
      </c>
      <c r="FM107" s="236">
        <f>EU107+FD107</f>
        <v/>
      </c>
      <c r="FN107" s="236">
        <f>EV107+FE107</f>
        <v/>
      </c>
      <c r="FO107" s="236">
        <f>FM107+FN107</f>
        <v/>
      </c>
      <c r="FP107" s="239">
        <f>FO107-FL107</f>
        <v/>
      </c>
      <c r="FQ107" s="237">
        <f>IF(FL107=0,"",FO107/FL107)</f>
        <v/>
      </c>
      <c r="FR107" s="33" t="n"/>
      <c r="FS107" s="233" t="n"/>
      <c r="FT107" s="233" t="n"/>
      <c r="FU107" s="233">
        <f>FS107+FT107</f>
        <v/>
      </c>
      <c r="FV107" s="233" t="n"/>
      <c r="FW107" s="233" t="n"/>
      <c r="FX107" s="233">
        <f>FV107+FW107</f>
        <v/>
      </c>
      <c r="FY107" s="238">
        <f>FX107-FU107</f>
        <v/>
      </c>
      <c r="FZ107" s="235">
        <f>IF(FU107=0,"",FX107/FU107)</f>
        <v/>
      </c>
      <c r="GA107" s="26" t="n"/>
      <c r="GB107" s="236">
        <f>FJ107+FS107</f>
        <v/>
      </c>
      <c r="GC107" s="236">
        <f>FK107+FT107</f>
        <v/>
      </c>
      <c r="GD107" s="236">
        <f>GB107+GC107</f>
        <v/>
      </c>
      <c r="GE107" s="236">
        <f>FM107+FV107</f>
        <v/>
      </c>
      <c r="GF107" s="236">
        <f>FN107+FW107</f>
        <v/>
      </c>
      <c r="GG107" s="236">
        <f>GE107+GF107</f>
        <v/>
      </c>
      <c r="GH107" s="239">
        <f>GG107-GD107</f>
        <v/>
      </c>
      <c r="GI107" s="237">
        <f>IF(GD107=0,"",GG107/GD107)</f>
        <v/>
      </c>
      <c r="GJ107" s="33" t="n"/>
      <c r="GK107" s="233" t="n"/>
      <c r="GL107" s="233" t="n"/>
      <c r="GM107" s="233">
        <f>GK107+GL107</f>
        <v/>
      </c>
      <c r="GN107" s="233" t="n"/>
      <c r="GO107" s="233" t="n"/>
      <c r="GP107" s="233">
        <f>GN107+GO107</f>
        <v/>
      </c>
      <c r="GQ107" s="238">
        <f>GP107-GM107</f>
        <v/>
      </c>
      <c r="GR107" s="235">
        <f>IF(GM107=0,"",GP107/GM107)</f>
        <v/>
      </c>
      <c r="GS107" s="26" t="n"/>
      <c r="GT107" s="236">
        <f>GB107+GK107</f>
        <v/>
      </c>
      <c r="GU107" s="236">
        <f>GC107+GL107</f>
        <v/>
      </c>
      <c r="GV107" s="236">
        <f>GT107+GU107</f>
        <v/>
      </c>
      <c r="GW107" s="236">
        <f>GE107+GN107</f>
        <v/>
      </c>
      <c r="GX107" s="236">
        <f>GF107+GO107</f>
        <v/>
      </c>
      <c r="GY107" s="236">
        <f>GW107+GX107</f>
        <v/>
      </c>
      <c r="GZ107" s="239">
        <f>GY107-GV107</f>
        <v/>
      </c>
      <c r="HA107" s="237">
        <f>IF(GV107=0,"",GY107/GV107)</f>
        <v/>
      </c>
      <c r="HB107" s="33" t="n"/>
      <c r="HC107" s="233">
        <f>GT107</f>
        <v/>
      </c>
      <c r="HD107" s="233">
        <f>GU107</f>
        <v/>
      </c>
      <c r="HE107" s="233">
        <f>HC107+HD107</f>
        <v/>
      </c>
    </row>
    <row r="108" ht="15" customHeight="1" s="150">
      <c r="A108" s="6" t="n"/>
      <c r="B108" s="6" t="n"/>
      <c r="C108" s="6" t="n"/>
      <c r="D108" s="223">
        <f>SUM(D109,D134,D137)</f>
        <v/>
      </c>
      <c r="E108" s="223">
        <f>SUM(E109,E134,E137)</f>
        <v/>
      </c>
      <c r="F108" s="223">
        <f>D108+E108</f>
        <v/>
      </c>
      <c r="G108" s="223">
        <f>SUM(G109,G134,G137)</f>
        <v/>
      </c>
      <c r="H108" s="223">
        <f>SUM(H109,H134,H137)</f>
        <v/>
      </c>
      <c r="I108" s="223">
        <f>G108+H108</f>
        <v/>
      </c>
      <c r="J108" s="223">
        <f>I108-F108</f>
        <v/>
      </c>
      <c r="K108" s="224">
        <f>IF(F108=0,"",I108/F108)</f>
        <v/>
      </c>
      <c r="L108" s="6" t="n"/>
      <c r="M108" s="223">
        <f>SUM(M109,M134,M137)</f>
        <v/>
      </c>
      <c r="N108" s="223">
        <f>SUM(N109,N134,N137)</f>
        <v/>
      </c>
      <c r="O108" s="223">
        <f>M108+N108</f>
        <v/>
      </c>
      <c r="P108" s="223">
        <f>SUM(P109,P134,P137)</f>
        <v/>
      </c>
      <c r="Q108" s="223">
        <f>SUM(Q109,Q134,Q137)</f>
        <v/>
      </c>
      <c r="R108" s="223">
        <f>P108+Q108</f>
        <v/>
      </c>
      <c r="S108" s="223">
        <f>R108-O108</f>
        <v/>
      </c>
      <c r="T108" s="224">
        <f>IF(O108=0,"",R108/O108)</f>
        <v/>
      </c>
      <c r="U108" s="6" t="n"/>
      <c r="V108" s="225">
        <f>SUM(V109,V134,V137)</f>
        <v/>
      </c>
      <c r="W108" s="225">
        <f>SUM(W109,W134,W137)</f>
        <v/>
      </c>
      <c r="X108" s="225">
        <f>V108+W108</f>
        <v/>
      </c>
      <c r="Y108" s="225">
        <f>SUM(Y109,Y134,Y137)</f>
        <v/>
      </c>
      <c r="Z108" s="225">
        <f>SUM(Z109,Z134,Z137)</f>
        <v/>
      </c>
      <c r="AA108" s="225">
        <f>Y108+Z108</f>
        <v/>
      </c>
      <c r="AB108" s="225">
        <f>AA108-X108</f>
        <v/>
      </c>
      <c r="AC108" s="226">
        <f>IF(X108=0,"",AA108/X108)</f>
        <v/>
      </c>
      <c r="AD108" s="11" t="n"/>
      <c r="AE108" s="223">
        <f>SUM(AE109,AE134,AE137)</f>
        <v/>
      </c>
      <c r="AF108" s="223">
        <f>SUM(AF109,AF134,AF137)</f>
        <v/>
      </c>
      <c r="AG108" s="223">
        <f>AE108+AF108</f>
        <v/>
      </c>
      <c r="AH108" s="223">
        <f>SUM(AH109,AH134,AH137)</f>
        <v/>
      </c>
      <c r="AI108" s="223">
        <f>SUM(AI109,AI134,AI137)</f>
        <v/>
      </c>
      <c r="AJ108" s="223">
        <f>AH108+AI108</f>
        <v/>
      </c>
      <c r="AK108" s="223">
        <f>AJ108-AG108</f>
        <v/>
      </c>
      <c r="AL108" s="224">
        <f>IF(AG108=0,"",AJ108/AG108)</f>
        <v/>
      </c>
      <c r="AM108" s="6" t="n"/>
      <c r="AN108" s="225">
        <f>SUM(AN109,AN134,AN137)</f>
        <v/>
      </c>
      <c r="AO108" s="225">
        <f>SUM(AO109,AO134,AO137)</f>
        <v/>
      </c>
      <c r="AP108" s="225">
        <f>AN108+AO108</f>
        <v/>
      </c>
      <c r="AQ108" s="225">
        <f>SUM(AQ109,AQ134,AQ137)</f>
        <v/>
      </c>
      <c r="AR108" s="225">
        <f>SUM(AR109,AR134,AR137)</f>
        <v/>
      </c>
      <c r="AS108" s="225">
        <f>AQ108+AR108</f>
        <v/>
      </c>
      <c r="AT108" s="225">
        <f>AS108-AP108</f>
        <v/>
      </c>
      <c r="AU108" s="226">
        <f>IF(AP108=0,"",AS108/AP108)</f>
        <v/>
      </c>
      <c r="AV108" s="11" t="n"/>
      <c r="AW108" s="223">
        <f>SUM(AW109,AW134,AW137)</f>
        <v/>
      </c>
      <c r="AX108" s="223">
        <f>SUM(AX109,AX134,AX137)</f>
        <v/>
      </c>
      <c r="AY108" s="223">
        <f>AW108+AX108</f>
        <v/>
      </c>
      <c r="AZ108" s="223">
        <f>SUM(AZ109,AZ134,AZ137)</f>
        <v/>
      </c>
      <c r="BA108" s="223">
        <f>SUM(BA109,BA134,BA137)</f>
        <v/>
      </c>
      <c r="BB108" s="223">
        <f>AZ108+BA108</f>
        <v/>
      </c>
      <c r="BC108" s="223">
        <f>BB108-AY108</f>
        <v/>
      </c>
      <c r="BD108" s="224">
        <f>IF(AY108=0,"",BB108/AY108)</f>
        <v/>
      </c>
      <c r="BE108" s="6" t="n"/>
      <c r="BF108" s="225">
        <f>SUM(BF109,BF134,BF137)</f>
        <v/>
      </c>
      <c r="BG108" s="225">
        <f>SUM(BG109,BG134,BG137)</f>
        <v/>
      </c>
      <c r="BH108" s="225">
        <f>BF108+BG108</f>
        <v/>
      </c>
      <c r="BI108" s="225">
        <f>SUM(BI109,BI134,BI137)</f>
        <v/>
      </c>
      <c r="BJ108" s="225">
        <f>SUM(BJ109,BJ134,BJ137)</f>
        <v/>
      </c>
      <c r="BK108" s="225">
        <f>BI108+BJ108</f>
        <v/>
      </c>
      <c r="BL108" s="225">
        <f>BK108-BH108</f>
        <v/>
      </c>
      <c r="BM108" s="226">
        <f>IF(BH108=0,"",BK108/BH108)</f>
        <v/>
      </c>
      <c r="BN108" s="11" t="n"/>
      <c r="BO108" s="223">
        <f>SUM(BO109,BO134,BO137)</f>
        <v/>
      </c>
      <c r="BP108" s="223">
        <f>SUM(BP109,BP134,BP137)</f>
        <v/>
      </c>
      <c r="BQ108" s="223">
        <f>BO108+BP108</f>
        <v/>
      </c>
      <c r="BR108" s="223">
        <f>SUM(BR109,BR134,BR137)</f>
        <v/>
      </c>
      <c r="BS108" s="223">
        <f>SUM(BS109,BS134,BS137)</f>
        <v/>
      </c>
      <c r="BT108" s="223">
        <f>BR108+BS108</f>
        <v/>
      </c>
      <c r="BU108" s="223">
        <f>BT108-BQ108</f>
        <v/>
      </c>
      <c r="BV108" s="224">
        <f>IF(BQ108=0,"",BT108/BQ108)</f>
        <v/>
      </c>
      <c r="BW108" s="6" t="n"/>
      <c r="BX108" s="225">
        <f>SUM(BX109,BX134,BX137)</f>
        <v/>
      </c>
      <c r="BY108" s="225">
        <f>SUM(BY109,BY134,BY137)</f>
        <v/>
      </c>
      <c r="BZ108" s="225">
        <f>BX108+BY108</f>
        <v/>
      </c>
      <c r="CA108" s="225">
        <f>SUM(CA109,CA134,CA137)</f>
        <v/>
      </c>
      <c r="CB108" s="225">
        <f>SUM(CB109,CB134,CB137)</f>
        <v/>
      </c>
      <c r="CC108" s="225">
        <f>CA108+CB108</f>
        <v/>
      </c>
      <c r="CD108" s="225">
        <f>CC108-BZ108</f>
        <v/>
      </c>
      <c r="CE108" s="226">
        <f>IF(BZ108=0,"",CC108/BZ108)</f>
        <v/>
      </c>
      <c r="CF108" s="11" t="n"/>
      <c r="CG108" s="223">
        <f>SUM(CG109,CG134,CG137)</f>
        <v/>
      </c>
      <c r="CH108" s="223">
        <f>SUM(CH109,CH134,CH137)</f>
        <v/>
      </c>
      <c r="CI108" s="223">
        <f>CG108+CH108</f>
        <v/>
      </c>
      <c r="CJ108" s="223">
        <f>SUM(CJ109,CJ134,CJ137)</f>
        <v/>
      </c>
      <c r="CK108" s="223">
        <f>SUM(CK109,CK134,CK137)</f>
        <v/>
      </c>
      <c r="CL108" s="223">
        <f>CJ108+CK108</f>
        <v/>
      </c>
      <c r="CM108" s="223">
        <f>CL108-CI108</f>
        <v/>
      </c>
      <c r="CN108" s="224">
        <f>IF(CI108=0,"",CL108/CI108)</f>
        <v/>
      </c>
      <c r="CO108" s="6" t="n"/>
      <c r="CP108" s="225">
        <f>SUM(CP109,CP134,CP137)</f>
        <v/>
      </c>
      <c r="CQ108" s="225">
        <f>SUM(CQ109,CQ134,CQ137)</f>
        <v/>
      </c>
      <c r="CR108" s="225">
        <f>CP108+CQ108</f>
        <v/>
      </c>
      <c r="CS108" s="225">
        <f>SUM(CS109,CS134,CS137)</f>
        <v/>
      </c>
      <c r="CT108" s="225">
        <f>SUM(CT109,CT134,CT137)</f>
        <v/>
      </c>
      <c r="CU108" s="225">
        <f>CS108+CT108</f>
        <v/>
      </c>
      <c r="CV108" s="225">
        <f>CU108-CR108</f>
        <v/>
      </c>
      <c r="CW108" s="226">
        <f>IF(CR108=0,"",CU108/CR108)</f>
        <v/>
      </c>
      <c r="CX108" s="11" t="n"/>
      <c r="CY108" s="223">
        <f>SUM(CY109,CY134,CY137)</f>
        <v/>
      </c>
      <c r="CZ108" s="223">
        <f>SUM(CZ109,CZ134,CZ137)</f>
        <v/>
      </c>
      <c r="DA108" s="223">
        <f>CY108+CZ108</f>
        <v/>
      </c>
      <c r="DB108" s="223">
        <f>SUM(DB109,DB134,DB137)</f>
        <v/>
      </c>
      <c r="DC108" s="223">
        <f>SUM(DC109,DC134,DC137)</f>
        <v/>
      </c>
      <c r="DD108" s="223">
        <f>DB108+DC108</f>
        <v/>
      </c>
      <c r="DE108" s="223">
        <f>DD108-DA108</f>
        <v/>
      </c>
      <c r="DF108" s="224">
        <f>IF(DA108=0,"",DD108/DA108)</f>
        <v/>
      </c>
      <c r="DG108" s="6" t="n"/>
      <c r="DH108" s="225">
        <f>SUM(DH109,DH134,DH137)</f>
        <v/>
      </c>
      <c r="DI108" s="225">
        <f>SUM(DI109,DI134,DI137)</f>
        <v/>
      </c>
      <c r="DJ108" s="225">
        <f>DH108+DI108</f>
        <v/>
      </c>
      <c r="DK108" s="225">
        <f>SUM(DK109,DK134,DK137)</f>
        <v/>
      </c>
      <c r="DL108" s="225">
        <f>SUM(DL109,DL134,DL137)</f>
        <v/>
      </c>
      <c r="DM108" s="225">
        <f>DK108+DL108</f>
        <v/>
      </c>
      <c r="DN108" s="225">
        <f>DM108-DJ108</f>
        <v/>
      </c>
      <c r="DO108" s="226">
        <f>IF(DJ108=0,"",DM108/DJ108)</f>
        <v/>
      </c>
      <c r="DP108" s="11" t="n"/>
      <c r="DQ108" s="223">
        <f>SUM(DQ109,DQ134,DQ137)</f>
        <v/>
      </c>
      <c r="DR108" s="223">
        <f>SUM(DR109,DR134,DR137)</f>
        <v/>
      </c>
      <c r="DS108" s="223">
        <f>DQ108+DR108</f>
        <v/>
      </c>
      <c r="DT108" s="223">
        <f>SUM(DT109,DT134,DT137)</f>
        <v/>
      </c>
      <c r="DU108" s="223">
        <f>SUM(DU109,DU134,DU137)</f>
        <v/>
      </c>
      <c r="DV108" s="223">
        <f>DT108+DU108</f>
        <v/>
      </c>
      <c r="DW108" s="223">
        <f>DV108-DS108</f>
        <v/>
      </c>
      <c r="DX108" s="224">
        <f>IF(DS108=0,"",DV108/DS108)</f>
        <v/>
      </c>
      <c r="DY108" s="6" t="n"/>
      <c r="DZ108" s="225">
        <f>SUM(DZ109,DZ134,DZ137)</f>
        <v/>
      </c>
      <c r="EA108" s="225">
        <f>SUM(EA109,EA134,EA137)</f>
        <v/>
      </c>
      <c r="EB108" s="225">
        <f>DZ108+EA108</f>
        <v/>
      </c>
      <c r="EC108" s="225">
        <f>SUM(EC109,EC134,EC137)</f>
        <v/>
      </c>
      <c r="ED108" s="225">
        <f>SUM(ED109,ED134,ED137)</f>
        <v/>
      </c>
      <c r="EE108" s="225">
        <f>EC108+ED108</f>
        <v/>
      </c>
      <c r="EF108" s="225">
        <f>EE108-EB108</f>
        <v/>
      </c>
      <c r="EG108" s="226">
        <f>IF(EB108=0,"",EE108/EB108)</f>
        <v/>
      </c>
      <c r="EH108" s="11" t="n"/>
      <c r="EI108" s="223">
        <f>SUM(EI109,EI134,EI137)</f>
        <v/>
      </c>
      <c r="EJ108" s="223">
        <f>SUM(EJ109,EJ134,EJ137)</f>
        <v/>
      </c>
      <c r="EK108" s="223">
        <f>EI108+EJ108</f>
        <v/>
      </c>
      <c r="EL108" s="223">
        <f>SUM(EL109,EL134,EL137)</f>
        <v/>
      </c>
      <c r="EM108" s="223">
        <f>SUM(EM109,EM134,EM137)</f>
        <v/>
      </c>
      <c r="EN108" s="223">
        <f>EL108+EM108</f>
        <v/>
      </c>
      <c r="EO108" s="223">
        <f>EN108-EK108</f>
        <v/>
      </c>
      <c r="EP108" s="224">
        <f>IF(EK108=0,"",EN108/EK108)</f>
        <v/>
      </c>
      <c r="EQ108" s="6" t="n"/>
      <c r="ER108" s="225">
        <f>SUM(ER109,ER134,ER137)</f>
        <v/>
      </c>
      <c r="ES108" s="225">
        <f>SUM(ES109,ES134,ES137)</f>
        <v/>
      </c>
      <c r="ET108" s="225">
        <f>ER108+ES108</f>
        <v/>
      </c>
      <c r="EU108" s="225">
        <f>SUM(EU109,EU134,EU137)</f>
        <v/>
      </c>
      <c r="EV108" s="225">
        <f>SUM(EV109,EV134,EV137)</f>
        <v/>
      </c>
      <c r="EW108" s="225">
        <f>EU108+EV108</f>
        <v/>
      </c>
      <c r="EX108" s="225">
        <f>EW108-ET108</f>
        <v/>
      </c>
      <c r="EY108" s="226">
        <f>IF(ET108=0,"",EW108/ET108)</f>
        <v/>
      </c>
      <c r="EZ108" s="11" t="n"/>
      <c r="FA108" s="223">
        <f>SUM(FA109,FA134,FA137)</f>
        <v/>
      </c>
      <c r="FB108" s="223">
        <f>SUM(FB109,FB134,FB137)</f>
        <v/>
      </c>
      <c r="FC108" s="223">
        <f>FA108+FB108</f>
        <v/>
      </c>
      <c r="FD108" s="223">
        <f>SUM(FD109,FD134,FD137)</f>
        <v/>
      </c>
      <c r="FE108" s="223">
        <f>SUM(FE109,FE134,FE137)</f>
        <v/>
      </c>
      <c r="FF108" s="223">
        <f>FD108+FE108</f>
        <v/>
      </c>
      <c r="FG108" s="223">
        <f>FF108-FC108</f>
        <v/>
      </c>
      <c r="FH108" s="224">
        <f>IF(FC108=0,"",FF108/FC108)</f>
        <v/>
      </c>
      <c r="FI108" s="6" t="n"/>
      <c r="FJ108" s="225">
        <f>SUM(FJ109,FJ134,FJ137)</f>
        <v/>
      </c>
      <c r="FK108" s="225">
        <f>SUM(FK109,FK134,FK137)</f>
        <v/>
      </c>
      <c r="FL108" s="225">
        <f>FJ108+FK108</f>
        <v/>
      </c>
      <c r="FM108" s="225">
        <f>SUM(FM109,FM134,FM137)</f>
        <v/>
      </c>
      <c r="FN108" s="225">
        <f>SUM(FN109,FN134,FN137)</f>
        <v/>
      </c>
      <c r="FO108" s="225">
        <f>FM108+FN108</f>
        <v/>
      </c>
      <c r="FP108" s="225">
        <f>FO108-FL108</f>
        <v/>
      </c>
      <c r="FQ108" s="226">
        <f>IF(FL108=0,"",FO108/FL108)</f>
        <v/>
      </c>
      <c r="FR108" s="11" t="n"/>
      <c r="FS108" s="223">
        <f>SUM(FS109,FS134,FS137)</f>
        <v/>
      </c>
      <c r="FT108" s="223">
        <f>SUM(FT109,FT134,FT137)</f>
        <v/>
      </c>
      <c r="FU108" s="223">
        <f>FS108+FT108</f>
        <v/>
      </c>
      <c r="FV108" s="223">
        <f>SUM(FV109,FV134,FV137)</f>
        <v/>
      </c>
      <c r="FW108" s="223">
        <f>SUM(FW109,FW134,FW137)</f>
        <v/>
      </c>
      <c r="FX108" s="223">
        <f>FV108+FW108</f>
        <v/>
      </c>
      <c r="FY108" s="223">
        <f>FX108-FU108</f>
        <v/>
      </c>
      <c r="FZ108" s="224">
        <f>IF(FU108=0,"",FX108/FU108)</f>
        <v/>
      </c>
      <c r="GA108" s="6" t="n"/>
      <c r="GB108" s="225">
        <f>SUM(GB109,GB134,GB137)</f>
        <v/>
      </c>
      <c r="GC108" s="225">
        <f>SUM(GC109,GC134,GC137)</f>
        <v/>
      </c>
      <c r="GD108" s="225">
        <f>GB108+GC108</f>
        <v/>
      </c>
      <c r="GE108" s="225">
        <f>SUM(GE109,GE134,GE137)</f>
        <v/>
      </c>
      <c r="GF108" s="225">
        <f>SUM(GF109,GF134,GF137)</f>
        <v/>
      </c>
      <c r="GG108" s="225">
        <f>GE108+GF108</f>
        <v/>
      </c>
      <c r="GH108" s="225">
        <f>GG108-GD108</f>
        <v/>
      </c>
      <c r="GI108" s="226">
        <f>IF(GD108=0,"",GG108/GD108)</f>
        <v/>
      </c>
      <c r="GJ108" s="11" t="n"/>
      <c r="GK108" s="223">
        <f>SUM(GK109,GK134,GK137)</f>
        <v/>
      </c>
      <c r="GL108" s="223">
        <f>SUM(GL109,GL134,GL137)</f>
        <v/>
      </c>
      <c r="GM108" s="223">
        <f>GK108+GL108</f>
        <v/>
      </c>
      <c r="GN108" s="223">
        <f>SUM(GN109,GN134,GN137)</f>
        <v/>
      </c>
      <c r="GO108" s="223">
        <f>SUM(GO109,GO134,GO137)</f>
        <v/>
      </c>
      <c r="GP108" s="223">
        <f>GN108+GO108</f>
        <v/>
      </c>
      <c r="GQ108" s="223">
        <f>GP108-GM108</f>
        <v/>
      </c>
      <c r="GR108" s="224">
        <f>IF(GM108=0,"",GP108/GM108)</f>
        <v/>
      </c>
      <c r="GS108" s="6" t="n"/>
      <c r="GT108" s="225">
        <f>SUM(GT109,GT134,GT137)</f>
        <v/>
      </c>
      <c r="GU108" s="225">
        <f>SUM(GU109,GU134,GU137)</f>
        <v/>
      </c>
      <c r="GV108" s="225">
        <f>GT108+GU108</f>
        <v/>
      </c>
      <c r="GW108" s="225">
        <f>SUM(GW109,GW134,GW137)</f>
        <v/>
      </c>
      <c r="GX108" s="225">
        <f>SUM(GX109,GX134,GX137)</f>
        <v/>
      </c>
      <c r="GY108" s="225">
        <f>GW108+GX108</f>
        <v/>
      </c>
      <c r="GZ108" s="225">
        <f>GY108-GV108</f>
        <v/>
      </c>
      <c r="HA108" s="226">
        <f>IF(GV108=0,"",GY108/GV108)</f>
        <v/>
      </c>
      <c r="HB108" s="11" t="n"/>
      <c r="HC108" s="223">
        <f>GT108</f>
        <v/>
      </c>
      <c r="HD108" s="223">
        <f>GU108</f>
        <v/>
      </c>
      <c r="HE108" s="223">
        <f>HC108+HD108</f>
        <v/>
      </c>
    </row>
    <row r="109" ht="15" customHeight="1" s="150">
      <c r="A109" s="12" t="n"/>
      <c r="B109" s="12" t="n"/>
      <c r="C109" s="12" t="n"/>
      <c r="D109" s="240">
        <f>SUM(D110,D114,D116,D118,D120,D122)</f>
        <v/>
      </c>
      <c r="E109" s="240">
        <f>SUM(E110,E114,E116,E118,E120,E122)</f>
        <v/>
      </c>
      <c r="F109" s="240">
        <f>D109+E109</f>
        <v/>
      </c>
      <c r="G109" s="240">
        <f>SUM(G110,G114,G116,G118,G120,G122)</f>
        <v/>
      </c>
      <c r="H109" s="240">
        <f>SUM(H110,H114,H116,H118,H120,H122)</f>
        <v/>
      </c>
      <c r="I109" s="240">
        <f>G109+H109</f>
        <v/>
      </c>
      <c r="J109" s="240">
        <f>I109-F109</f>
        <v/>
      </c>
      <c r="K109" s="241">
        <f>IF(F109=0,"",I109/F109)</f>
        <v/>
      </c>
      <c r="L109" s="12" t="n"/>
      <c r="M109" s="240">
        <f>SUM(M110,M114,M116,M118,M120,M122)</f>
        <v/>
      </c>
      <c r="N109" s="240">
        <f>SUM(N110,N114,N116,N118,N120,N122)</f>
        <v/>
      </c>
      <c r="O109" s="240">
        <f>M109+N109</f>
        <v/>
      </c>
      <c r="P109" s="240">
        <f>SUM(P110,P114,P116,P118,P120,P122)</f>
        <v/>
      </c>
      <c r="Q109" s="240">
        <f>SUM(Q110,Q114,Q116,Q118,Q120,Q122)</f>
        <v/>
      </c>
      <c r="R109" s="240">
        <f>P109+Q109</f>
        <v/>
      </c>
      <c r="S109" s="240">
        <f>R109-O109</f>
        <v/>
      </c>
      <c r="T109" s="241">
        <f>IF(O109=0,"",R109/O109)</f>
        <v/>
      </c>
      <c r="U109" s="12" t="n"/>
      <c r="V109" s="242">
        <f>SUM(V110,V114,V116,V118,V120,V122)</f>
        <v/>
      </c>
      <c r="W109" s="242">
        <f>SUM(W110,W114,W116,W118,W120,W122)</f>
        <v/>
      </c>
      <c r="X109" s="242">
        <f>V109+W109</f>
        <v/>
      </c>
      <c r="Y109" s="242">
        <f>SUM(Y110,Y114,Y116,Y118,Y120,Y122)</f>
        <v/>
      </c>
      <c r="Z109" s="242">
        <f>SUM(Z110,Z114,Z116,Z118,Z120,Z122)</f>
        <v/>
      </c>
      <c r="AA109" s="242">
        <f>Y109+Z109</f>
        <v/>
      </c>
      <c r="AB109" s="242">
        <f>AA109-X109</f>
        <v/>
      </c>
      <c r="AC109" s="243">
        <f>IF(X109=0,"",AA109/X109)</f>
        <v/>
      </c>
      <c r="AD109" s="17" t="n"/>
      <c r="AE109" s="240">
        <f>SUM(AE110,AE114,AE116,AE118,AE120,AE122)</f>
        <v/>
      </c>
      <c r="AF109" s="240">
        <f>SUM(AF110,AF114,AF116,AF118,AF120,AF122)</f>
        <v/>
      </c>
      <c r="AG109" s="240">
        <f>AE109+AF109</f>
        <v/>
      </c>
      <c r="AH109" s="240">
        <f>SUM(AH110,AH114,AH116,AH118,AH120,AH122)</f>
        <v/>
      </c>
      <c r="AI109" s="240">
        <f>SUM(AI110,AI114,AI116,AI118,AI120,AI122)</f>
        <v/>
      </c>
      <c r="AJ109" s="240">
        <f>AH109+AI109</f>
        <v/>
      </c>
      <c r="AK109" s="240">
        <f>AJ109-AG109</f>
        <v/>
      </c>
      <c r="AL109" s="241">
        <f>IF(AG109=0,"",AJ109/AG109)</f>
        <v/>
      </c>
      <c r="AM109" s="12" t="n"/>
      <c r="AN109" s="242">
        <f>SUM(AN110,AN114,AN116,AN118,AN120,AN122)</f>
        <v/>
      </c>
      <c r="AO109" s="242">
        <f>SUM(AO110,AO114,AO116,AO118,AO120,AO122)</f>
        <v/>
      </c>
      <c r="AP109" s="242">
        <f>AN109+AO109</f>
        <v/>
      </c>
      <c r="AQ109" s="242">
        <f>SUM(AQ110,AQ114,AQ116,AQ118,AQ120,AQ122)</f>
        <v/>
      </c>
      <c r="AR109" s="242">
        <f>SUM(AR110,AR114,AR116,AR118,AR120,AR122)</f>
        <v/>
      </c>
      <c r="AS109" s="242">
        <f>AQ109+AR109</f>
        <v/>
      </c>
      <c r="AT109" s="242">
        <f>AS109-AP109</f>
        <v/>
      </c>
      <c r="AU109" s="243">
        <f>IF(AP109=0,"",AS109/AP109)</f>
        <v/>
      </c>
      <c r="AV109" s="17" t="n"/>
      <c r="AW109" s="240">
        <f>SUM(AW110,AW114,AW116,AW118,AW120,AW122)</f>
        <v/>
      </c>
      <c r="AX109" s="240">
        <f>SUM(AX110,AX114,AX116,AX118,AX120,AX122)</f>
        <v/>
      </c>
      <c r="AY109" s="240">
        <f>AW109+AX109</f>
        <v/>
      </c>
      <c r="AZ109" s="240">
        <f>SUM(AZ110,AZ114,AZ116,AZ118,AZ120,AZ122)</f>
        <v/>
      </c>
      <c r="BA109" s="240">
        <f>SUM(BA110,BA114,BA116,BA118,BA120,BA122)</f>
        <v/>
      </c>
      <c r="BB109" s="240">
        <f>AZ109+BA109</f>
        <v/>
      </c>
      <c r="BC109" s="240">
        <f>BB109-AY109</f>
        <v/>
      </c>
      <c r="BD109" s="241">
        <f>IF(AY109=0,"",BB109/AY109)</f>
        <v/>
      </c>
      <c r="BE109" s="12" t="n"/>
      <c r="BF109" s="242">
        <f>SUM(BF110,BF114,BF116,BF118,BF120,BF122)</f>
        <v/>
      </c>
      <c r="BG109" s="242">
        <f>SUM(BG110,BG114,BG116,BG118,BG120,BG122)</f>
        <v/>
      </c>
      <c r="BH109" s="242">
        <f>BF109+BG109</f>
        <v/>
      </c>
      <c r="BI109" s="242">
        <f>SUM(BI110,BI114,BI116,BI118,BI120,BI122)</f>
        <v/>
      </c>
      <c r="BJ109" s="242">
        <f>SUM(BJ110,BJ114,BJ116,BJ118,BJ120,BJ122)</f>
        <v/>
      </c>
      <c r="BK109" s="242">
        <f>BI109+BJ109</f>
        <v/>
      </c>
      <c r="BL109" s="242">
        <f>BK109-BH109</f>
        <v/>
      </c>
      <c r="BM109" s="243">
        <f>IF(BH109=0,"",BK109/BH109)</f>
        <v/>
      </c>
      <c r="BN109" s="17" t="n"/>
      <c r="BO109" s="240">
        <f>SUM(BO110,BO114,BO116,BO118,BO120,BO122)</f>
        <v/>
      </c>
      <c r="BP109" s="240">
        <f>SUM(BP110,BP114,BP116,BP118,BP120,BP122)</f>
        <v/>
      </c>
      <c r="BQ109" s="240">
        <f>BO109+BP109</f>
        <v/>
      </c>
      <c r="BR109" s="240">
        <f>SUM(BR110,BR114,BR116,BR118,BR120,BR122)</f>
        <v/>
      </c>
      <c r="BS109" s="240">
        <f>SUM(BS110,BS114,BS116,BS118,BS120,BS122)</f>
        <v/>
      </c>
      <c r="BT109" s="240">
        <f>BR109+BS109</f>
        <v/>
      </c>
      <c r="BU109" s="240">
        <f>BT109-BQ109</f>
        <v/>
      </c>
      <c r="BV109" s="241">
        <f>IF(BQ109=0,"",BT109/BQ109)</f>
        <v/>
      </c>
      <c r="BW109" s="12" t="n"/>
      <c r="BX109" s="242">
        <f>SUM(BX110,BX114,BX116,BX118,BX120,BX122)</f>
        <v/>
      </c>
      <c r="BY109" s="242">
        <f>SUM(BY110,BY114,BY116,BY118,BY120,BY122)</f>
        <v/>
      </c>
      <c r="BZ109" s="242">
        <f>BX109+BY109</f>
        <v/>
      </c>
      <c r="CA109" s="242">
        <f>SUM(CA110,CA114,CA116,CA118,CA120,CA122)</f>
        <v/>
      </c>
      <c r="CB109" s="242">
        <f>SUM(CB110,CB114,CB116,CB118,CB120,CB122)</f>
        <v/>
      </c>
      <c r="CC109" s="242">
        <f>CA109+CB109</f>
        <v/>
      </c>
      <c r="CD109" s="242">
        <f>CC109-BZ109</f>
        <v/>
      </c>
      <c r="CE109" s="243">
        <f>IF(BZ109=0,"",CC109/BZ109)</f>
        <v/>
      </c>
      <c r="CF109" s="17" t="n"/>
      <c r="CG109" s="240">
        <f>SUM(CG110,CG114,CG116,CG118,CG120,CG122)</f>
        <v/>
      </c>
      <c r="CH109" s="240">
        <f>SUM(CH110,CH114,CH116,CH118,CH120,CH122)</f>
        <v/>
      </c>
      <c r="CI109" s="240">
        <f>CG109+CH109</f>
        <v/>
      </c>
      <c r="CJ109" s="240">
        <f>SUM(CJ110,CJ114,CJ116,CJ118,CJ120,CJ122)</f>
        <v/>
      </c>
      <c r="CK109" s="240">
        <f>SUM(CK110,CK114,CK116,CK118,CK120,CK122)</f>
        <v/>
      </c>
      <c r="CL109" s="240">
        <f>CJ109+CK109</f>
        <v/>
      </c>
      <c r="CM109" s="240">
        <f>CL109-CI109</f>
        <v/>
      </c>
      <c r="CN109" s="241">
        <f>IF(CI109=0,"",CL109/CI109)</f>
        <v/>
      </c>
      <c r="CO109" s="12" t="n"/>
      <c r="CP109" s="242">
        <f>SUM(CP110,CP114,CP116,CP118,CP120,CP122)</f>
        <v/>
      </c>
      <c r="CQ109" s="242">
        <f>SUM(CQ110,CQ114,CQ116,CQ118,CQ120,CQ122)</f>
        <v/>
      </c>
      <c r="CR109" s="242">
        <f>CP109+CQ109</f>
        <v/>
      </c>
      <c r="CS109" s="242">
        <f>SUM(CS110,CS114,CS116,CS118,CS120,CS122)</f>
        <v/>
      </c>
      <c r="CT109" s="242">
        <f>SUM(CT110,CT114,CT116,CT118,CT120,CT122)</f>
        <v/>
      </c>
      <c r="CU109" s="242">
        <f>CS109+CT109</f>
        <v/>
      </c>
      <c r="CV109" s="242">
        <f>CU109-CR109</f>
        <v/>
      </c>
      <c r="CW109" s="243">
        <f>IF(CR109=0,"",CU109/CR109)</f>
        <v/>
      </c>
      <c r="CX109" s="17" t="n"/>
      <c r="CY109" s="240">
        <f>SUM(CY110,CY114,CY116,CY118,CY120,CY122)</f>
        <v/>
      </c>
      <c r="CZ109" s="240">
        <f>SUM(CZ110,CZ114,CZ116,CZ118,CZ120,CZ122)</f>
        <v/>
      </c>
      <c r="DA109" s="240">
        <f>CY109+CZ109</f>
        <v/>
      </c>
      <c r="DB109" s="240">
        <f>SUM(DB110,DB114,DB116,DB118,DB120,DB122)</f>
        <v/>
      </c>
      <c r="DC109" s="240">
        <f>SUM(DC110,DC114,DC116,DC118,DC120,DC122)</f>
        <v/>
      </c>
      <c r="DD109" s="240">
        <f>DB109+DC109</f>
        <v/>
      </c>
      <c r="DE109" s="240">
        <f>DD109-DA109</f>
        <v/>
      </c>
      <c r="DF109" s="241">
        <f>IF(DA109=0,"",DD109/DA109)</f>
        <v/>
      </c>
      <c r="DG109" s="12" t="n"/>
      <c r="DH109" s="242">
        <f>SUM(DH110,DH114,DH116,DH118,DH120,DH122)</f>
        <v/>
      </c>
      <c r="DI109" s="242">
        <f>SUM(DI110,DI114,DI116,DI118,DI120,DI122)</f>
        <v/>
      </c>
      <c r="DJ109" s="242">
        <f>DH109+DI109</f>
        <v/>
      </c>
      <c r="DK109" s="242">
        <f>SUM(DK110,DK114,DK116,DK118,DK120,DK122)</f>
        <v/>
      </c>
      <c r="DL109" s="242">
        <f>SUM(DL110,DL114,DL116,DL118,DL120,DL122)</f>
        <v/>
      </c>
      <c r="DM109" s="242">
        <f>DK109+DL109</f>
        <v/>
      </c>
      <c r="DN109" s="242">
        <f>DM109-DJ109</f>
        <v/>
      </c>
      <c r="DO109" s="243">
        <f>IF(DJ109=0,"",DM109/DJ109)</f>
        <v/>
      </c>
      <c r="DP109" s="17" t="n"/>
      <c r="DQ109" s="240">
        <f>SUM(DQ110,DQ114,DQ116,DQ118,DQ120,DQ122)</f>
        <v/>
      </c>
      <c r="DR109" s="240">
        <f>SUM(DR110,DR114,DR116,DR118,DR120,DR122)</f>
        <v/>
      </c>
      <c r="DS109" s="240">
        <f>DQ109+DR109</f>
        <v/>
      </c>
      <c r="DT109" s="240">
        <f>SUM(DT110,DT114,DT116,DT118,DT120,DT122)</f>
        <v/>
      </c>
      <c r="DU109" s="240">
        <f>SUM(DU110,DU114,DU116,DU118,DU120,DU122)</f>
        <v/>
      </c>
      <c r="DV109" s="240">
        <f>DT109+DU109</f>
        <v/>
      </c>
      <c r="DW109" s="240">
        <f>DV109-DS109</f>
        <v/>
      </c>
      <c r="DX109" s="241">
        <f>IF(DS109=0,"",DV109/DS109)</f>
        <v/>
      </c>
      <c r="DY109" s="12" t="n"/>
      <c r="DZ109" s="242">
        <f>SUM(DZ110,DZ114,DZ116,DZ118,DZ120,DZ122)</f>
        <v/>
      </c>
      <c r="EA109" s="242">
        <f>SUM(EA110,EA114,EA116,EA118,EA120,EA122)</f>
        <v/>
      </c>
      <c r="EB109" s="242">
        <f>DZ109+EA109</f>
        <v/>
      </c>
      <c r="EC109" s="242">
        <f>SUM(EC110,EC114,EC116,EC118,EC120,EC122)</f>
        <v/>
      </c>
      <c r="ED109" s="242">
        <f>SUM(ED110,ED114,ED116,ED118,ED120,ED122)</f>
        <v/>
      </c>
      <c r="EE109" s="242">
        <f>EC109+ED109</f>
        <v/>
      </c>
      <c r="EF109" s="242">
        <f>EE109-EB109</f>
        <v/>
      </c>
      <c r="EG109" s="243">
        <f>IF(EB109=0,"",EE109/EB109)</f>
        <v/>
      </c>
      <c r="EH109" s="17" t="n"/>
      <c r="EI109" s="240">
        <f>SUM(EI110,EI114,EI116,EI118,EI120,EI122)</f>
        <v/>
      </c>
      <c r="EJ109" s="240">
        <f>SUM(EJ110,EJ114,EJ116,EJ118,EJ120,EJ122)</f>
        <v/>
      </c>
      <c r="EK109" s="240">
        <f>EI109+EJ109</f>
        <v/>
      </c>
      <c r="EL109" s="240">
        <f>SUM(EL110,EL114,EL116,EL118,EL120,EL122)</f>
        <v/>
      </c>
      <c r="EM109" s="240">
        <f>SUM(EM110,EM114,EM116,EM118,EM120,EM122)</f>
        <v/>
      </c>
      <c r="EN109" s="240">
        <f>EL109+EM109</f>
        <v/>
      </c>
      <c r="EO109" s="240">
        <f>EN109-EK109</f>
        <v/>
      </c>
      <c r="EP109" s="241">
        <f>IF(EK109=0,"",EN109/EK109)</f>
        <v/>
      </c>
      <c r="EQ109" s="12" t="n"/>
      <c r="ER109" s="242">
        <f>SUM(ER110,ER114,ER116,ER118,ER120,ER122)</f>
        <v/>
      </c>
      <c r="ES109" s="242">
        <f>SUM(ES110,ES114,ES116,ES118,ES120,ES122)</f>
        <v/>
      </c>
      <c r="ET109" s="242">
        <f>ER109+ES109</f>
        <v/>
      </c>
      <c r="EU109" s="242">
        <f>SUM(EU110,EU114,EU116,EU118,EU120,EU122)</f>
        <v/>
      </c>
      <c r="EV109" s="242">
        <f>SUM(EV110,EV114,EV116,EV118,EV120,EV122)</f>
        <v/>
      </c>
      <c r="EW109" s="242">
        <f>EU109+EV109</f>
        <v/>
      </c>
      <c r="EX109" s="242">
        <f>EW109-ET109</f>
        <v/>
      </c>
      <c r="EY109" s="243">
        <f>IF(ET109=0,"",EW109/ET109)</f>
        <v/>
      </c>
      <c r="EZ109" s="17" t="n"/>
      <c r="FA109" s="240">
        <f>SUM(FA110,FA114,FA116,FA118,FA120,FA122)</f>
        <v/>
      </c>
      <c r="FB109" s="240">
        <f>SUM(FB110,FB114,FB116,FB118,FB120,FB122)</f>
        <v/>
      </c>
      <c r="FC109" s="240">
        <f>FA109+FB109</f>
        <v/>
      </c>
      <c r="FD109" s="240">
        <f>SUM(FD110,FD114,FD116,FD118,FD120,FD122)</f>
        <v/>
      </c>
      <c r="FE109" s="240">
        <f>SUM(FE110,FE114,FE116,FE118,FE120,FE122)</f>
        <v/>
      </c>
      <c r="FF109" s="240">
        <f>FD109+FE109</f>
        <v/>
      </c>
      <c r="FG109" s="240">
        <f>FF109-FC109</f>
        <v/>
      </c>
      <c r="FH109" s="241">
        <f>IF(FC109=0,"",FF109/FC109)</f>
        <v/>
      </c>
      <c r="FI109" s="12" t="n"/>
      <c r="FJ109" s="242">
        <f>SUM(FJ110,FJ114,FJ116,FJ118,FJ120,FJ122)</f>
        <v/>
      </c>
      <c r="FK109" s="242">
        <f>SUM(FK110,FK114,FK116,FK118,FK120,FK122)</f>
        <v/>
      </c>
      <c r="FL109" s="242">
        <f>FJ109+FK109</f>
        <v/>
      </c>
      <c r="FM109" s="242">
        <f>SUM(FM110,FM114,FM116,FM118,FM120,FM122)</f>
        <v/>
      </c>
      <c r="FN109" s="242">
        <f>SUM(FN110,FN114,FN116,FN118,FN120,FN122)</f>
        <v/>
      </c>
      <c r="FO109" s="242">
        <f>FM109+FN109</f>
        <v/>
      </c>
      <c r="FP109" s="242">
        <f>FO109-FL109</f>
        <v/>
      </c>
      <c r="FQ109" s="243">
        <f>IF(FL109=0,"",FO109/FL109)</f>
        <v/>
      </c>
      <c r="FR109" s="17" t="n"/>
      <c r="FS109" s="240">
        <f>SUM(FS110,FS114,FS116,FS118,FS120,FS122)</f>
        <v/>
      </c>
      <c r="FT109" s="240">
        <f>SUM(FT110,FT114,FT116,FT118,FT120,FT122)</f>
        <v/>
      </c>
      <c r="FU109" s="240">
        <f>FS109+FT109</f>
        <v/>
      </c>
      <c r="FV109" s="240">
        <f>SUM(FV110,FV114,FV116,FV118,FV120,FV122)</f>
        <v/>
      </c>
      <c r="FW109" s="240">
        <f>SUM(FW110,FW114,FW116,FW118,FW120,FW122)</f>
        <v/>
      </c>
      <c r="FX109" s="240">
        <f>FV109+FW109</f>
        <v/>
      </c>
      <c r="FY109" s="240">
        <f>FX109-FU109</f>
        <v/>
      </c>
      <c r="FZ109" s="241">
        <f>IF(FU109=0,"",FX109/FU109)</f>
        <v/>
      </c>
      <c r="GA109" s="12" t="n"/>
      <c r="GB109" s="242">
        <f>SUM(GB110,GB114,GB116,GB118,GB120,GB122)</f>
        <v/>
      </c>
      <c r="GC109" s="242">
        <f>SUM(GC110,GC114,GC116,GC118,GC120,GC122)</f>
        <v/>
      </c>
      <c r="GD109" s="242">
        <f>GB109+GC109</f>
        <v/>
      </c>
      <c r="GE109" s="242">
        <f>SUM(GE110,GE114,GE116,GE118,GE120,GE122)</f>
        <v/>
      </c>
      <c r="GF109" s="242">
        <f>SUM(GF110,GF114,GF116,GF118,GF120,GF122)</f>
        <v/>
      </c>
      <c r="GG109" s="242">
        <f>GE109+GF109</f>
        <v/>
      </c>
      <c r="GH109" s="242">
        <f>GG109-GD109</f>
        <v/>
      </c>
      <c r="GI109" s="243">
        <f>IF(GD109=0,"",GG109/GD109)</f>
        <v/>
      </c>
      <c r="GJ109" s="17" t="n"/>
      <c r="GK109" s="240">
        <f>SUM(GK110,GK114,GK116,GK118,GK120,GK122)</f>
        <v/>
      </c>
      <c r="GL109" s="240">
        <f>SUM(GL110,GL114,GL116,GL118,GL120,GL122)</f>
        <v/>
      </c>
      <c r="GM109" s="240">
        <f>GK109+GL109</f>
        <v/>
      </c>
      <c r="GN109" s="240">
        <f>SUM(GN110,GN114,GN116,GN118,GN120,GN122)</f>
        <v/>
      </c>
      <c r="GO109" s="240">
        <f>SUM(GO110,GO114,GO116,GO118,GO120,GO122)</f>
        <v/>
      </c>
      <c r="GP109" s="240">
        <f>GN109+GO109</f>
        <v/>
      </c>
      <c r="GQ109" s="240">
        <f>GP109-GM109</f>
        <v/>
      </c>
      <c r="GR109" s="241">
        <f>IF(GM109=0,"",GP109/GM109)</f>
        <v/>
      </c>
      <c r="GS109" s="12" t="n"/>
      <c r="GT109" s="242">
        <f>SUM(GT110,GT114,GT116,GT118,GT120,GT122)</f>
        <v/>
      </c>
      <c r="GU109" s="242">
        <f>SUM(GU110,GU114,GU116,GU118,GU120,GU122)</f>
        <v/>
      </c>
      <c r="GV109" s="242">
        <f>GT109+GU109</f>
        <v/>
      </c>
      <c r="GW109" s="242">
        <f>SUM(GW110,GW114,GW116,GW118,GW120,GW122)</f>
        <v/>
      </c>
      <c r="GX109" s="242">
        <f>SUM(GX110,GX114,GX116,GX118,GX120,GX122)</f>
        <v/>
      </c>
      <c r="GY109" s="242">
        <f>GW109+GX109</f>
        <v/>
      </c>
      <c r="GZ109" s="242">
        <f>GY109-GV109</f>
        <v/>
      </c>
      <c r="HA109" s="243">
        <f>IF(GV109=0,"",GY109/GV109)</f>
        <v/>
      </c>
      <c r="HB109" s="17" t="n"/>
      <c r="HC109" s="240">
        <f>GT109</f>
        <v/>
      </c>
      <c r="HD109" s="240">
        <f>GU109</f>
        <v/>
      </c>
      <c r="HE109" s="240">
        <f>HC109+HD109</f>
        <v/>
      </c>
    </row>
    <row r="110" ht="15" customHeight="1" s="150">
      <c r="A110" s="18" t="n"/>
      <c r="B110" s="18" t="n"/>
      <c r="C110" s="18" t="n"/>
      <c r="D110" s="227">
        <f>SUM(D111:D113)</f>
        <v/>
      </c>
      <c r="E110" s="227">
        <f>SUM(E111:E113)</f>
        <v/>
      </c>
      <c r="F110" s="227">
        <f>D110+E110</f>
        <v/>
      </c>
      <c r="G110" s="227">
        <f>SUM(G111:G113)</f>
        <v/>
      </c>
      <c r="H110" s="227">
        <f>SUM(H111:H113)</f>
        <v/>
      </c>
      <c r="I110" s="227">
        <f>G110+H110</f>
        <v/>
      </c>
      <c r="J110" s="228">
        <f>I110-F110</f>
        <v/>
      </c>
      <c r="K110" s="229">
        <f>IF(F110=0,"",I110/F110)</f>
        <v/>
      </c>
      <c r="L110" s="18" t="n"/>
      <c r="M110" s="227">
        <f>SUM(M111:M113)</f>
        <v/>
      </c>
      <c r="N110" s="227">
        <f>SUM(N111:N113)</f>
        <v/>
      </c>
      <c r="O110" s="227">
        <f>M110+N110</f>
        <v/>
      </c>
      <c r="P110" s="227">
        <f>SUM(P111:P113)</f>
        <v/>
      </c>
      <c r="Q110" s="227">
        <f>SUM(Q111:Q113)</f>
        <v/>
      </c>
      <c r="R110" s="227">
        <f>P110+Q110</f>
        <v/>
      </c>
      <c r="S110" s="228">
        <f>R110-O110</f>
        <v/>
      </c>
      <c r="T110" s="229">
        <f>IF(O110=0,"",R110/O110)</f>
        <v/>
      </c>
      <c r="U110" s="18" t="n"/>
      <c r="V110" s="230">
        <f>SUM(V111:V113)</f>
        <v/>
      </c>
      <c r="W110" s="230">
        <f>SUM(W111:W113)</f>
        <v/>
      </c>
      <c r="X110" s="230">
        <f>V110+W110</f>
        <v/>
      </c>
      <c r="Y110" s="230">
        <f>SUM(Y111:Y113)</f>
        <v/>
      </c>
      <c r="Z110" s="230">
        <f>SUM(Z111:Z113)</f>
        <v/>
      </c>
      <c r="AA110" s="230">
        <f>Y110+Z110</f>
        <v/>
      </c>
      <c r="AB110" s="231">
        <f>AA110-X110</f>
        <v/>
      </c>
      <c r="AC110" s="232">
        <f>IF(X110=0,"",AA110/X110)</f>
        <v/>
      </c>
      <c r="AD110" s="25" t="n"/>
      <c r="AE110" s="227">
        <f>SUM(AE111:AE113)</f>
        <v/>
      </c>
      <c r="AF110" s="227">
        <f>SUM(AF111:AF113)</f>
        <v/>
      </c>
      <c r="AG110" s="227">
        <f>AE110+AF110</f>
        <v/>
      </c>
      <c r="AH110" s="227">
        <f>SUM(AH111:AH113)</f>
        <v/>
      </c>
      <c r="AI110" s="227">
        <f>SUM(AI111:AI113)</f>
        <v/>
      </c>
      <c r="AJ110" s="227">
        <f>AH110+AI110</f>
        <v/>
      </c>
      <c r="AK110" s="228">
        <f>AJ110-AG110</f>
        <v/>
      </c>
      <c r="AL110" s="229">
        <f>IF(AG110=0,"",AJ110/AG110)</f>
        <v/>
      </c>
      <c r="AM110" s="18" t="n"/>
      <c r="AN110" s="230">
        <f>SUM(AN111:AN113)</f>
        <v/>
      </c>
      <c r="AO110" s="230">
        <f>SUM(AO111:AO113)</f>
        <v/>
      </c>
      <c r="AP110" s="230">
        <f>AN110+AO110</f>
        <v/>
      </c>
      <c r="AQ110" s="230">
        <f>SUM(AQ111:AQ113)</f>
        <v/>
      </c>
      <c r="AR110" s="230">
        <f>SUM(AR111:AR113)</f>
        <v/>
      </c>
      <c r="AS110" s="230">
        <f>AQ110+AR110</f>
        <v/>
      </c>
      <c r="AT110" s="231">
        <f>AS110-AP110</f>
        <v/>
      </c>
      <c r="AU110" s="232">
        <f>IF(AP110=0,"",AS110/AP110)</f>
        <v/>
      </c>
      <c r="AV110" s="25" t="n"/>
      <c r="AW110" s="227">
        <f>SUM(AW111:AW113)</f>
        <v/>
      </c>
      <c r="AX110" s="227">
        <f>SUM(AX111:AX113)</f>
        <v/>
      </c>
      <c r="AY110" s="227">
        <f>AW110+AX110</f>
        <v/>
      </c>
      <c r="AZ110" s="227">
        <f>SUM(AZ111:AZ113)</f>
        <v/>
      </c>
      <c r="BA110" s="227">
        <f>SUM(BA111:BA113)</f>
        <v/>
      </c>
      <c r="BB110" s="227">
        <f>AZ110+BA110</f>
        <v/>
      </c>
      <c r="BC110" s="228">
        <f>BB110-AY110</f>
        <v/>
      </c>
      <c r="BD110" s="229">
        <f>IF(AY110=0,"",BB110/AY110)</f>
        <v/>
      </c>
      <c r="BE110" s="18" t="n"/>
      <c r="BF110" s="230">
        <f>SUM(BF111:BF113)</f>
        <v/>
      </c>
      <c r="BG110" s="230">
        <f>SUM(BG111:BG113)</f>
        <v/>
      </c>
      <c r="BH110" s="230">
        <f>BF110+BG110</f>
        <v/>
      </c>
      <c r="BI110" s="230">
        <f>SUM(BI111:BI113)</f>
        <v/>
      </c>
      <c r="BJ110" s="230">
        <f>SUM(BJ111:BJ113)</f>
        <v/>
      </c>
      <c r="BK110" s="230">
        <f>BI110+BJ110</f>
        <v/>
      </c>
      <c r="BL110" s="231">
        <f>BK110-BH110</f>
        <v/>
      </c>
      <c r="BM110" s="232">
        <f>IF(BH110=0,"",BK110/BH110)</f>
        <v/>
      </c>
      <c r="BN110" s="25" t="n"/>
      <c r="BO110" s="227">
        <f>SUM(BO111:BO113)</f>
        <v/>
      </c>
      <c r="BP110" s="227">
        <f>SUM(BP111:BP113)</f>
        <v/>
      </c>
      <c r="BQ110" s="227">
        <f>BO110+BP110</f>
        <v/>
      </c>
      <c r="BR110" s="227">
        <f>SUM(BR111:BR113)</f>
        <v/>
      </c>
      <c r="BS110" s="227">
        <f>SUM(BS111:BS113)</f>
        <v/>
      </c>
      <c r="BT110" s="227">
        <f>BR110+BS110</f>
        <v/>
      </c>
      <c r="BU110" s="228">
        <f>BT110-BQ110</f>
        <v/>
      </c>
      <c r="BV110" s="229">
        <f>IF(BQ110=0,"",BT110/BQ110)</f>
        <v/>
      </c>
      <c r="BW110" s="18" t="n"/>
      <c r="BX110" s="230">
        <f>SUM(BX111:BX113)</f>
        <v/>
      </c>
      <c r="BY110" s="230">
        <f>SUM(BY111:BY113)</f>
        <v/>
      </c>
      <c r="BZ110" s="230">
        <f>BX110+BY110</f>
        <v/>
      </c>
      <c r="CA110" s="230">
        <f>SUM(CA111:CA113)</f>
        <v/>
      </c>
      <c r="CB110" s="230">
        <f>SUM(CB111:CB113)</f>
        <v/>
      </c>
      <c r="CC110" s="230">
        <f>CA110+CB110</f>
        <v/>
      </c>
      <c r="CD110" s="231">
        <f>CC110-BZ110</f>
        <v/>
      </c>
      <c r="CE110" s="232">
        <f>IF(BZ110=0,"",CC110/BZ110)</f>
        <v/>
      </c>
      <c r="CF110" s="25" t="n"/>
      <c r="CG110" s="227">
        <f>SUM(CG111:CG113)</f>
        <v/>
      </c>
      <c r="CH110" s="227">
        <f>SUM(CH111:CH113)</f>
        <v/>
      </c>
      <c r="CI110" s="227">
        <f>CG110+CH110</f>
        <v/>
      </c>
      <c r="CJ110" s="227">
        <f>SUM(CJ111:CJ113)</f>
        <v/>
      </c>
      <c r="CK110" s="227">
        <f>SUM(CK111:CK113)</f>
        <v/>
      </c>
      <c r="CL110" s="227">
        <f>CJ110+CK110</f>
        <v/>
      </c>
      <c r="CM110" s="228">
        <f>CL110-CI110</f>
        <v/>
      </c>
      <c r="CN110" s="229">
        <f>IF(CI110=0,"",CL110/CI110)</f>
        <v/>
      </c>
      <c r="CO110" s="18" t="n"/>
      <c r="CP110" s="230">
        <f>SUM(CP111:CP113)</f>
        <v/>
      </c>
      <c r="CQ110" s="230">
        <f>SUM(CQ111:CQ113)</f>
        <v/>
      </c>
      <c r="CR110" s="230">
        <f>CP110+CQ110</f>
        <v/>
      </c>
      <c r="CS110" s="230">
        <f>SUM(CS111:CS113)</f>
        <v/>
      </c>
      <c r="CT110" s="230">
        <f>SUM(CT111:CT113)</f>
        <v/>
      </c>
      <c r="CU110" s="230">
        <f>CS110+CT110</f>
        <v/>
      </c>
      <c r="CV110" s="231">
        <f>CU110-CR110</f>
        <v/>
      </c>
      <c r="CW110" s="232">
        <f>IF(CR110=0,"",CU110/CR110)</f>
        <v/>
      </c>
      <c r="CX110" s="25" t="n"/>
      <c r="CY110" s="227">
        <f>SUM(CY111:CY113)</f>
        <v/>
      </c>
      <c r="CZ110" s="227">
        <f>SUM(CZ111:CZ113)</f>
        <v/>
      </c>
      <c r="DA110" s="227">
        <f>CY110+CZ110</f>
        <v/>
      </c>
      <c r="DB110" s="227">
        <f>SUM(DB111:DB113)</f>
        <v/>
      </c>
      <c r="DC110" s="227">
        <f>SUM(DC111:DC113)</f>
        <v/>
      </c>
      <c r="DD110" s="227">
        <f>DB110+DC110</f>
        <v/>
      </c>
      <c r="DE110" s="228">
        <f>DD110-DA110</f>
        <v/>
      </c>
      <c r="DF110" s="229">
        <f>IF(DA110=0,"",DD110/DA110)</f>
        <v/>
      </c>
      <c r="DG110" s="18" t="n"/>
      <c r="DH110" s="230">
        <f>SUM(DH111:DH113)</f>
        <v/>
      </c>
      <c r="DI110" s="230">
        <f>SUM(DI111:DI113)</f>
        <v/>
      </c>
      <c r="DJ110" s="230">
        <f>DH110+DI110</f>
        <v/>
      </c>
      <c r="DK110" s="230">
        <f>SUM(DK111:DK113)</f>
        <v/>
      </c>
      <c r="DL110" s="230">
        <f>SUM(DL111:DL113)</f>
        <v/>
      </c>
      <c r="DM110" s="230">
        <f>DK110+DL110</f>
        <v/>
      </c>
      <c r="DN110" s="231">
        <f>DM110-DJ110</f>
        <v/>
      </c>
      <c r="DO110" s="232">
        <f>IF(DJ110=0,"",DM110/DJ110)</f>
        <v/>
      </c>
      <c r="DP110" s="25" t="n"/>
      <c r="DQ110" s="227">
        <f>SUM(DQ111:DQ113)</f>
        <v/>
      </c>
      <c r="DR110" s="227">
        <f>SUM(DR111:DR113)</f>
        <v/>
      </c>
      <c r="DS110" s="227">
        <f>DQ110+DR110</f>
        <v/>
      </c>
      <c r="DT110" s="227">
        <f>SUM(DT111:DT113)</f>
        <v/>
      </c>
      <c r="DU110" s="227">
        <f>SUM(DU111:DU113)</f>
        <v/>
      </c>
      <c r="DV110" s="227">
        <f>DT110+DU110</f>
        <v/>
      </c>
      <c r="DW110" s="228">
        <f>DV110-DS110</f>
        <v/>
      </c>
      <c r="DX110" s="229">
        <f>IF(DS110=0,"",DV110/DS110)</f>
        <v/>
      </c>
      <c r="DY110" s="18" t="n"/>
      <c r="DZ110" s="230">
        <f>SUM(DZ111:DZ113)</f>
        <v/>
      </c>
      <c r="EA110" s="230">
        <f>SUM(EA111:EA113)</f>
        <v/>
      </c>
      <c r="EB110" s="230">
        <f>DZ110+EA110</f>
        <v/>
      </c>
      <c r="EC110" s="230">
        <f>SUM(EC111:EC113)</f>
        <v/>
      </c>
      <c r="ED110" s="230">
        <f>SUM(ED111:ED113)</f>
        <v/>
      </c>
      <c r="EE110" s="230">
        <f>EC110+ED110</f>
        <v/>
      </c>
      <c r="EF110" s="231">
        <f>EE110-EB110</f>
        <v/>
      </c>
      <c r="EG110" s="232">
        <f>IF(EB110=0,"",EE110/EB110)</f>
        <v/>
      </c>
      <c r="EH110" s="25" t="n"/>
      <c r="EI110" s="227">
        <f>SUM(EI111:EI113)</f>
        <v/>
      </c>
      <c r="EJ110" s="227">
        <f>SUM(EJ111:EJ113)</f>
        <v/>
      </c>
      <c r="EK110" s="227">
        <f>EI110+EJ110</f>
        <v/>
      </c>
      <c r="EL110" s="227">
        <f>SUM(EL111:EL113)</f>
        <v/>
      </c>
      <c r="EM110" s="227">
        <f>SUM(EM111:EM113)</f>
        <v/>
      </c>
      <c r="EN110" s="227">
        <f>EL110+EM110</f>
        <v/>
      </c>
      <c r="EO110" s="228">
        <f>EN110-EK110</f>
        <v/>
      </c>
      <c r="EP110" s="229">
        <f>IF(EK110=0,"",EN110/EK110)</f>
        <v/>
      </c>
      <c r="EQ110" s="18" t="n"/>
      <c r="ER110" s="230">
        <f>SUM(ER111:ER113)</f>
        <v/>
      </c>
      <c r="ES110" s="230">
        <f>SUM(ES111:ES113)</f>
        <v/>
      </c>
      <c r="ET110" s="230">
        <f>ER110+ES110</f>
        <v/>
      </c>
      <c r="EU110" s="230">
        <f>SUM(EU111:EU113)</f>
        <v/>
      </c>
      <c r="EV110" s="230">
        <f>SUM(EV111:EV113)</f>
        <v/>
      </c>
      <c r="EW110" s="230">
        <f>EU110+EV110</f>
        <v/>
      </c>
      <c r="EX110" s="231">
        <f>EW110-ET110</f>
        <v/>
      </c>
      <c r="EY110" s="232">
        <f>IF(ET110=0,"",EW110/ET110)</f>
        <v/>
      </c>
      <c r="EZ110" s="25" t="n"/>
      <c r="FA110" s="227">
        <f>SUM(FA111:FA113)</f>
        <v/>
      </c>
      <c r="FB110" s="227">
        <f>SUM(FB111:FB113)</f>
        <v/>
      </c>
      <c r="FC110" s="227">
        <f>FA110+FB110</f>
        <v/>
      </c>
      <c r="FD110" s="227">
        <f>SUM(FD111:FD113)</f>
        <v/>
      </c>
      <c r="FE110" s="227">
        <f>SUM(FE111:FE113)</f>
        <v/>
      </c>
      <c r="FF110" s="227">
        <f>FD110+FE110</f>
        <v/>
      </c>
      <c r="FG110" s="228">
        <f>FF110-FC110</f>
        <v/>
      </c>
      <c r="FH110" s="229">
        <f>IF(FC110=0,"",FF110/FC110)</f>
        <v/>
      </c>
      <c r="FI110" s="18" t="n"/>
      <c r="FJ110" s="230">
        <f>SUM(FJ111:FJ113)</f>
        <v/>
      </c>
      <c r="FK110" s="230">
        <f>SUM(FK111:FK113)</f>
        <v/>
      </c>
      <c r="FL110" s="230">
        <f>FJ110+FK110</f>
        <v/>
      </c>
      <c r="FM110" s="230">
        <f>SUM(FM111:FM113)</f>
        <v/>
      </c>
      <c r="FN110" s="230">
        <f>SUM(FN111:FN113)</f>
        <v/>
      </c>
      <c r="FO110" s="230">
        <f>FM110+FN110</f>
        <v/>
      </c>
      <c r="FP110" s="231">
        <f>FO110-FL110</f>
        <v/>
      </c>
      <c r="FQ110" s="232">
        <f>IF(FL110=0,"",FO110/FL110)</f>
        <v/>
      </c>
      <c r="FR110" s="25" t="n"/>
      <c r="FS110" s="227">
        <f>SUM(FS111:FS113)</f>
        <v/>
      </c>
      <c r="FT110" s="227">
        <f>SUM(FT111:FT113)</f>
        <v/>
      </c>
      <c r="FU110" s="227">
        <f>FS110+FT110</f>
        <v/>
      </c>
      <c r="FV110" s="227">
        <f>SUM(FV111:FV113)</f>
        <v/>
      </c>
      <c r="FW110" s="227">
        <f>SUM(FW111:FW113)</f>
        <v/>
      </c>
      <c r="FX110" s="227">
        <f>FV110+FW110</f>
        <v/>
      </c>
      <c r="FY110" s="228">
        <f>FX110-FU110</f>
        <v/>
      </c>
      <c r="FZ110" s="229">
        <f>IF(FU110=0,"",FX110/FU110)</f>
        <v/>
      </c>
      <c r="GA110" s="18" t="n"/>
      <c r="GB110" s="230">
        <f>SUM(GB111:GB113)</f>
        <v/>
      </c>
      <c r="GC110" s="230">
        <f>SUM(GC111:GC113)</f>
        <v/>
      </c>
      <c r="GD110" s="230">
        <f>GB110+GC110</f>
        <v/>
      </c>
      <c r="GE110" s="230">
        <f>SUM(GE111:GE113)</f>
        <v/>
      </c>
      <c r="GF110" s="230">
        <f>SUM(GF111:GF113)</f>
        <v/>
      </c>
      <c r="GG110" s="230">
        <f>GE110+GF110</f>
        <v/>
      </c>
      <c r="GH110" s="231">
        <f>GG110-GD110</f>
        <v/>
      </c>
      <c r="GI110" s="232">
        <f>IF(GD110=0,"",GG110/GD110)</f>
        <v/>
      </c>
      <c r="GJ110" s="25" t="n"/>
      <c r="GK110" s="227">
        <f>SUM(GK111:GK113)</f>
        <v/>
      </c>
      <c r="GL110" s="227">
        <f>SUM(GL111:GL113)</f>
        <v/>
      </c>
      <c r="GM110" s="227">
        <f>GK110+GL110</f>
        <v/>
      </c>
      <c r="GN110" s="227">
        <f>SUM(GN111:GN113)</f>
        <v/>
      </c>
      <c r="GO110" s="227">
        <f>SUM(GO111:GO113)</f>
        <v/>
      </c>
      <c r="GP110" s="227">
        <f>GN110+GO110</f>
        <v/>
      </c>
      <c r="GQ110" s="228">
        <f>GP110-GM110</f>
        <v/>
      </c>
      <c r="GR110" s="229">
        <f>IF(GM110=0,"",GP110/GM110)</f>
        <v/>
      </c>
      <c r="GS110" s="18" t="n"/>
      <c r="GT110" s="230">
        <f>SUM(GT111:GT113)</f>
        <v/>
      </c>
      <c r="GU110" s="230">
        <f>SUM(GU111:GU113)</f>
        <v/>
      </c>
      <c r="GV110" s="230">
        <f>GT110+GU110</f>
        <v/>
      </c>
      <c r="GW110" s="230">
        <f>SUM(GW111:GW113)</f>
        <v/>
      </c>
      <c r="GX110" s="230">
        <f>SUM(GX111:GX113)</f>
        <v/>
      </c>
      <c r="GY110" s="230">
        <f>GW110+GX110</f>
        <v/>
      </c>
      <c r="GZ110" s="231">
        <f>GY110-GV110</f>
        <v/>
      </c>
      <c r="HA110" s="232">
        <f>IF(GV110=0,"",GY110/GV110)</f>
        <v/>
      </c>
      <c r="HB110" s="25" t="n"/>
      <c r="HC110" s="227">
        <f>GT110</f>
        <v/>
      </c>
      <c r="HD110" s="227">
        <f>GU110</f>
        <v/>
      </c>
      <c r="HE110" s="227">
        <f>HC110+HD110</f>
        <v/>
      </c>
    </row>
    <row r="111" outlineLevel="1" ht="47.25" customHeight="1" s="150">
      <c r="A111" s="26" t="n"/>
      <c r="B111" s="26" t="n"/>
      <c r="C111" s="26" t="n"/>
      <c r="D111" s="233" t="n"/>
      <c r="E111" s="233" t="n"/>
      <c r="F111" s="233">
        <f>D111+E111</f>
        <v/>
      </c>
      <c r="G111" s="233" t="n"/>
      <c r="H111" s="233" t="n"/>
      <c r="I111" s="233">
        <f>G111+H111</f>
        <v/>
      </c>
      <c r="J111" s="234">
        <f>I111-F111</f>
        <v/>
      </c>
      <c r="K111" s="235">
        <f>IF(F111=0,"",I111/F111)</f>
        <v/>
      </c>
      <c r="L111" s="42" t="n"/>
      <c r="M111" s="233" t="n"/>
      <c r="N111" s="233" t="n"/>
      <c r="O111" s="233">
        <f>M111+N111</f>
        <v/>
      </c>
      <c r="P111" s="233" t="n"/>
      <c r="Q111" s="233" t="n"/>
      <c r="R111" s="233">
        <f>P111+Q111</f>
        <v/>
      </c>
      <c r="S111" s="234">
        <f>R111-O111</f>
        <v/>
      </c>
      <c r="T111" s="235">
        <f>IF(O111=0,"",R111/O111)</f>
        <v/>
      </c>
      <c r="U111" s="42" t="n"/>
      <c r="V111" s="236">
        <f>D111+M111</f>
        <v/>
      </c>
      <c r="W111" s="236">
        <f>E111+N111</f>
        <v/>
      </c>
      <c r="X111" s="236">
        <f>V111+W111</f>
        <v/>
      </c>
      <c r="Y111" s="236">
        <f>G111+P111</f>
        <v/>
      </c>
      <c r="Z111" s="236">
        <f>H111+Q111</f>
        <v/>
      </c>
      <c r="AA111" s="236">
        <f>Y111+Z111</f>
        <v/>
      </c>
      <c r="AB111" s="234">
        <f>AA111-X111</f>
        <v/>
      </c>
      <c r="AC111" s="237">
        <f>IF(X111=0,"",AA111/X111)</f>
        <v/>
      </c>
      <c r="AD111" s="44" t="n"/>
      <c r="AE111" s="233" t="n"/>
      <c r="AF111" s="233" t="n"/>
      <c r="AG111" s="233">
        <f>AE111+AF111</f>
        <v/>
      </c>
      <c r="AH111" s="233" t="n"/>
      <c r="AI111" s="233" t="n"/>
      <c r="AJ111" s="233">
        <f>AH111+AI111</f>
        <v/>
      </c>
      <c r="AK111" s="238">
        <f>AJ111-AG111</f>
        <v/>
      </c>
      <c r="AL111" s="235">
        <f>IF(AG111=0,"",AJ111/AG111)</f>
        <v/>
      </c>
      <c r="AM111" s="26" t="n"/>
      <c r="AN111" s="236">
        <f>V111+AE111</f>
        <v/>
      </c>
      <c r="AO111" s="236">
        <f>W111+AF111</f>
        <v/>
      </c>
      <c r="AP111" s="236">
        <f>AN111+AO111</f>
        <v/>
      </c>
      <c r="AQ111" s="236">
        <f>Y111+AH111</f>
        <v/>
      </c>
      <c r="AR111" s="236">
        <f>Z111+AI111</f>
        <v/>
      </c>
      <c r="AS111" s="236">
        <f>AQ111+AR111</f>
        <v/>
      </c>
      <c r="AT111" s="234">
        <f>AS111-AP111</f>
        <v/>
      </c>
      <c r="AU111" s="237">
        <f>IF(AP111=0,"",AS111/AP111)</f>
        <v/>
      </c>
      <c r="AV111" s="44" t="n"/>
      <c r="AW111" s="233" t="n"/>
      <c r="AX111" s="233" t="n"/>
      <c r="AY111" s="233">
        <f>AW111+AX111</f>
        <v/>
      </c>
      <c r="AZ111" s="233" t="n"/>
      <c r="BA111" s="233" t="n"/>
      <c r="BB111" s="233">
        <f>AZ111+BA111</f>
        <v/>
      </c>
      <c r="BC111" s="238">
        <f>BB111-AY111</f>
        <v/>
      </c>
      <c r="BD111" s="235">
        <f>IF(AY111=0,"",BB111/AY111)</f>
        <v/>
      </c>
      <c r="BE111" s="26" t="n"/>
      <c r="BF111" s="236">
        <f>AN111+AW111</f>
        <v/>
      </c>
      <c r="BG111" s="236">
        <f>AO111+AX111</f>
        <v/>
      </c>
      <c r="BH111" s="236">
        <f>BF111+BG111</f>
        <v/>
      </c>
      <c r="BI111" s="236">
        <f>AQ111+AZ111</f>
        <v/>
      </c>
      <c r="BJ111" s="236">
        <f>AR111+BA111</f>
        <v/>
      </c>
      <c r="BK111" s="236">
        <f>BI111+BJ111</f>
        <v/>
      </c>
      <c r="BL111" s="239">
        <f>BK111-BH111</f>
        <v/>
      </c>
      <c r="BM111" s="237">
        <f>IF(BH111=0,"",BK111/BH111)</f>
        <v/>
      </c>
      <c r="BN111" s="33" t="n"/>
      <c r="BO111" s="233" t="n"/>
      <c r="BP111" s="233" t="n"/>
      <c r="BQ111" s="233">
        <f>BO111+BP111</f>
        <v/>
      </c>
      <c r="BR111" s="233" t="n"/>
      <c r="BS111" s="233" t="n"/>
      <c r="BT111" s="233">
        <f>BR111+BS111</f>
        <v/>
      </c>
      <c r="BU111" s="238">
        <f>BT111-BQ111</f>
        <v/>
      </c>
      <c r="BV111" s="235">
        <f>IF(BQ111=0,"",BT111/BQ111)</f>
        <v/>
      </c>
      <c r="BW111" s="26" t="n"/>
      <c r="BX111" s="236">
        <f>BF111+BO111</f>
        <v/>
      </c>
      <c r="BY111" s="236">
        <f>BG111+BP111</f>
        <v/>
      </c>
      <c r="BZ111" s="236">
        <f>BX111+BY111</f>
        <v/>
      </c>
      <c r="CA111" s="236">
        <f>BI111+BR111</f>
        <v/>
      </c>
      <c r="CB111" s="236">
        <f>BJ111+BS111</f>
        <v/>
      </c>
      <c r="CC111" s="236">
        <f>CA111+CB111</f>
        <v/>
      </c>
      <c r="CD111" s="239">
        <f>CC111-BZ111</f>
        <v/>
      </c>
      <c r="CE111" s="237">
        <f>IF(BZ111=0,"",CC111/BZ111)</f>
        <v/>
      </c>
      <c r="CF111" s="33" t="n"/>
      <c r="CG111" s="233" t="n"/>
      <c r="CH111" s="233" t="n"/>
      <c r="CI111" s="233">
        <f>CG111+CH111</f>
        <v/>
      </c>
      <c r="CJ111" s="233" t="n"/>
      <c r="CK111" s="233" t="n"/>
      <c r="CL111" s="233">
        <f>CJ111+CK111</f>
        <v/>
      </c>
      <c r="CM111" s="238">
        <f>CL111-CI111</f>
        <v/>
      </c>
      <c r="CN111" s="235">
        <f>IF(CI111=0,"",CL111/CI111)</f>
        <v/>
      </c>
      <c r="CO111" s="26" t="n"/>
      <c r="CP111" s="236">
        <f>BX111+CG111</f>
        <v/>
      </c>
      <c r="CQ111" s="236">
        <f>BY111+CH111</f>
        <v/>
      </c>
      <c r="CR111" s="236">
        <f>CP111+CQ111</f>
        <v/>
      </c>
      <c r="CS111" s="236">
        <f>CA111+CJ111</f>
        <v/>
      </c>
      <c r="CT111" s="236">
        <f>CB111+CK111</f>
        <v/>
      </c>
      <c r="CU111" s="236">
        <f>CS111+CT111</f>
        <v/>
      </c>
      <c r="CV111" s="239">
        <f>CU111-CR111</f>
        <v/>
      </c>
      <c r="CW111" s="237">
        <f>IF(CR111=0,"",CU111/CR111)</f>
        <v/>
      </c>
      <c r="CX111" s="33" t="n"/>
      <c r="CY111" s="233" t="n"/>
      <c r="CZ111" s="233" t="n"/>
      <c r="DA111" s="233">
        <f>CY111+CZ111</f>
        <v/>
      </c>
      <c r="DB111" s="233" t="n"/>
      <c r="DC111" s="233" t="n"/>
      <c r="DD111" s="233">
        <f>DB111+DC111</f>
        <v/>
      </c>
      <c r="DE111" s="238">
        <f>DD111-DA111</f>
        <v/>
      </c>
      <c r="DF111" s="235">
        <f>IF(DA111=0,"",DD111/DA111)</f>
        <v/>
      </c>
      <c r="DG111" s="26" t="n"/>
      <c r="DH111" s="236">
        <f>CP111+CY111</f>
        <v/>
      </c>
      <c r="DI111" s="236">
        <f>CQ111+CZ111</f>
        <v/>
      </c>
      <c r="DJ111" s="236">
        <f>DH111+DI111</f>
        <v/>
      </c>
      <c r="DK111" s="236">
        <f>CS111+DB111</f>
        <v/>
      </c>
      <c r="DL111" s="236">
        <f>CT111+DC111</f>
        <v/>
      </c>
      <c r="DM111" s="236">
        <f>DK111+DL111</f>
        <v/>
      </c>
      <c r="DN111" s="239">
        <f>DM111-DJ111</f>
        <v/>
      </c>
      <c r="DO111" s="237">
        <f>IF(DJ111=0,"",DM111/DJ111)</f>
        <v/>
      </c>
      <c r="DP111" s="33" t="n"/>
      <c r="DQ111" s="233" t="n"/>
      <c r="DR111" s="233" t="n"/>
      <c r="DS111" s="233">
        <f>DQ111+DR111</f>
        <v/>
      </c>
      <c r="DT111" s="233" t="n"/>
      <c r="DU111" s="233" t="n"/>
      <c r="DV111" s="233">
        <f>DT111+DU111</f>
        <v/>
      </c>
      <c r="DW111" s="238">
        <f>DV111-DS111</f>
        <v/>
      </c>
      <c r="DX111" s="235">
        <f>IF(DS111=0,"",DV111/DS111)</f>
        <v/>
      </c>
      <c r="DY111" s="26" t="n"/>
      <c r="DZ111" s="236">
        <f>DH111+DQ111</f>
        <v/>
      </c>
      <c r="EA111" s="236">
        <f>DI111+DR111</f>
        <v/>
      </c>
      <c r="EB111" s="236">
        <f>DZ111+EA111</f>
        <v/>
      </c>
      <c r="EC111" s="236">
        <f>DK111+DT111</f>
        <v/>
      </c>
      <c r="ED111" s="236">
        <f>DL111+DU111</f>
        <v/>
      </c>
      <c r="EE111" s="236">
        <f>EC111+ED111</f>
        <v/>
      </c>
      <c r="EF111" s="239">
        <f>EE111-EB111</f>
        <v/>
      </c>
      <c r="EG111" s="237">
        <f>IF(EB111=0,"",EE111/EB111)</f>
        <v/>
      </c>
      <c r="EH111" s="33" t="n"/>
      <c r="EI111" s="233" t="n"/>
      <c r="EJ111" s="233" t="n"/>
      <c r="EK111" s="233">
        <f>EI111+EJ111</f>
        <v/>
      </c>
      <c r="EL111" s="233" t="n"/>
      <c r="EM111" s="233" t="n"/>
      <c r="EN111" s="233">
        <f>EL111+EM111</f>
        <v/>
      </c>
      <c r="EO111" s="238">
        <f>EN111-EK111</f>
        <v/>
      </c>
      <c r="EP111" s="235">
        <f>IF(EK111=0,"",EN111/EK111)</f>
        <v/>
      </c>
      <c r="EQ111" s="26" t="n"/>
      <c r="ER111" s="236">
        <f>DZ111+EI111</f>
        <v/>
      </c>
      <c r="ES111" s="236">
        <f>EA111+EJ111</f>
        <v/>
      </c>
      <c r="ET111" s="236">
        <f>ER111+ES111</f>
        <v/>
      </c>
      <c r="EU111" s="236">
        <f>EC111+EL111</f>
        <v/>
      </c>
      <c r="EV111" s="236">
        <f>ED111+EM111</f>
        <v/>
      </c>
      <c r="EW111" s="236">
        <f>EU111+EV111</f>
        <v/>
      </c>
      <c r="EX111" s="239">
        <f>EW111-ET111</f>
        <v/>
      </c>
      <c r="EY111" s="237">
        <f>IF(ET111=0,"",EW111/ET111)</f>
        <v/>
      </c>
      <c r="EZ111" s="33" t="n"/>
      <c r="FA111" s="233" t="n"/>
      <c r="FB111" s="233" t="n"/>
      <c r="FC111" s="233">
        <f>FA111+FB111</f>
        <v/>
      </c>
      <c r="FD111" s="233" t="n"/>
      <c r="FE111" s="233" t="n"/>
      <c r="FF111" s="233">
        <f>FD111+FE111</f>
        <v/>
      </c>
      <c r="FG111" s="238">
        <f>FF111-FC111</f>
        <v/>
      </c>
      <c r="FH111" s="235">
        <f>IF(FC111=0,"",FF111/FC111)</f>
        <v/>
      </c>
      <c r="FI111" s="26" t="n"/>
      <c r="FJ111" s="236">
        <f>ER111+FA111</f>
        <v/>
      </c>
      <c r="FK111" s="236">
        <f>ES111+FB111</f>
        <v/>
      </c>
      <c r="FL111" s="236">
        <f>FJ111+FK111</f>
        <v/>
      </c>
      <c r="FM111" s="236">
        <f>EU111+FD111</f>
        <v/>
      </c>
      <c r="FN111" s="236">
        <f>EV111+FE111</f>
        <v/>
      </c>
      <c r="FO111" s="236">
        <f>FM111+FN111</f>
        <v/>
      </c>
      <c r="FP111" s="239">
        <f>FO111-FL111</f>
        <v/>
      </c>
      <c r="FQ111" s="237">
        <f>IF(FL111=0,"",FO111/FL111)</f>
        <v/>
      </c>
      <c r="FR111" s="33" t="n"/>
      <c r="FS111" s="233" t="n"/>
      <c r="FT111" s="233" t="n"/>
      <c r="FU111" s="233">
        <f>FS111+FT111</f>
        <v/>
      </c>
      <c r="FV111" s="233" t="n"/>
      <c r="FW111" s="233" t="n"/>
      <c r="FX111" s="233">
        <f>FV111+FW111</f>
        <v/>
      </c>
      <c r="FY111" s="238">
        <f>FX111-FU111</f>
        <v/>
      </c>
      <c r="FZ111" s="235">
        <f>IF(FU111=0,"",FX111/FU111)</f>
        <v/>
      </c>
      <c r="GA111" s="26" t="n"/>
      <c r="GB111" s="236">
        <f>FJ111+FS111</f>
        <v/>
      </c>
      <c r="GC111" s="236">
        <f>FK111+FT111</f>
        <v/>
      </c>
      <c r="GD111" s="236">
        <f>GB111+GC111</f>
        <v/>
      </c>
      <c r="GE111" s="236">
        <f>FM111+FV111</f>
        <v/>
      </c>
      <c r="GF111" s="236">
        <f>FN111+FW111</f>
        <v/>
      </c>
      <c r="GG111" s="236">
        <f>GE111+GF111</f>
        <v/>
      </c>
      <c r="GH111" s="239">
        <f>GG111-GD111</f>
        <v/>
      </c>
      <c r="GI111" s="237">
        <f>IF(GD111=0,"",GG111/GD111)</f>
        <v/>
      </c>
      <c r="GJ111" s="33" t="n"/>
      <c r="GK111" s="233" t="n"/>
      <c r="GL111" s="233" t="n"/>
      <c r="GM111" s="233">
        <f>GK111+GL111</f>
        <v/>
      </c>
      <c r="GN111" s="233" t="n"/>
      <c r="GO111" s="233" t="n"/>
      <c r="GP111" s="233">
        <f>GN111+GO111</f>
        <v/>
      </c>
      <c r="GQ111" s="238">
        <f>GP111-GM111</f>
        <v/>
      </c>
      <c r="GR111" s="235">
        <f>IF(GM111=0,"",GP111/GM111)</f>
        <v/>
      </c>
      <c r="GS111" s="26" t="n"/>
      <c r="GT111" s="236">
        <f>GB111+GK111</f>
        <v/>
      </c>
      <c r="GU111" s="236">
        <f>GC111+GL111</f>
        <v/>
      </c>
      <c r="GV111" s="236">
        <f>GT111+GU111</f>
        <v/>
      </c>
      <c r="GW111" s="236">
        <f>GE111+GN111</f>
        <v/>
      </c>
      <c r="GX111" s="236">
        <f>GF111+GO111</f>
        <v/>
      </c>
      <c r="GY111" s="236">
        <f>GW111+GX111</f>
        <v/>
      </c>
      <c r="GZ111" s="239">
        <f>GY111-GV111</f>
        <v/>
      </c>
      <c r="HA111" s="237">
        <f>IF(GV111=0,"",GY111/GV111)</f>
        <v/>
      </c>
      <c r="HB111" s="33" t="n"/>
      <c r="HC111" s="233">
        <f>GT111</f>
        <v/>
      </c>
      <c r="HD111" s="233">
        <f>GU111</f>
        <v/>
      </c>
      <c r="HE111" s="233">
        <f>HC111+HD111</f>
        <v/>
      </c>
    </row>
    <row r="112" outlineLevel="1" ht="15" customHeight="1" s="150">
      <c r="A112" s="26" t="n"/>
      <c r="B112" s="26" t="n"/>
      <c r="C112" s="26" t="n"/>
      <c r="D112" s="233" t="n"/>
      <c r="E112" s="233" t="n"/>
      <c r="F112" s="233">
        <f>D112+E112</f>
        <v/>
      </c>
      <c r="G112" s="233" t="n"/>
      <c r="H112" s="233" t="n"/>
      <c r="I112" s="233">
        <f>G112+H112</f>
        <v/>
      </c>
      <c r="J112" s="238">
        <f>I112-F112</f>
        <v/>
      </c>
      <c r="K112" s="235">
        <f>IF(F112=0,"",I112/F112)</f>
        <v/>
      </c>
      <c r="L112" s="26" t="n"/>
      <c r="M112" s="233" t="n"/>
      <c r="N112" s="233" t="n"/>
      <c r="O112" s="233">
        <f>M112+N112</f>
        <v/>
      </c>
      <c r="P112" s="233" t="n"/>
      <c r="Q112" s="233" t="n"/>
      <c r="R112" s="233">
        <f>P112+Q112</f>
        <v/>
      </c>
      <c r="S112" s="238">
        <f>R112-O112</f>
        <v/>
      </c>
      <c r="T112" s="235">
        <f>IF(O112=0,"",R112/O112)</f>
        <v/>
      </c>
      <c r="U112" s="26" t="n"/>
      <c r="V112" s="236">
        <f>D112+M112</f>
        <v/>
      </c>
      <c r="W112" s="236">
        <f>E112+N112</f>
        <v/>
      </c>
      <c r="X112" s="236">
        <f>V112+W112</f>
        <v/>
      </c>
      <c r="Y112" s="236">
        <f>G112+P112</f>
        <v/>
      </c>
      <c r="Z112" s="236">
        <f>H112+Q112</f>
        <v/>
      </c>
      <c r="AA112" s="236">
        <f>Y112+Z112</f>
        <v/>
      </c>
      <c r="AB112" s="239">
        <f>AA112-X112</f>
        <v/>
      </c>
      <c r="AC112" s="237">
        <f>IF(X112=0,"",AA112/X112)</f>
        <v/>
      </c>
      <c r="AD112" s="33" t="n"/>
      <c r="AE112" s="233" t="n"/>
      <c r="AF112" s="233" t="n"/>
      <c r="AG112" s="233">
        <f>AE112+AF112</f>
        <v/>
      </c>
      <c r="AH112" s="233" t="n"/>
      <c r="AI112" s="233" t="n"/>
      <c r="AJ112" s="233">
        <f>AH112+AI112</f>
        <v/>
      </c>
      <c r="AK112" s="238">
        <f>AJ112-AG112</f>
        <v/>
      </c>
      <c r="AL112" s="235">
        <f>IF(AG112=0,"",AJ112/AG112)</f>
        <v/>
      </c>
      <c r="AM112" s="26" t="n"/>
      <c r="AN112" s="236">
        <f>V112+AE112</f>
        <v/>
      </c>
      <c r="AO112" s="236">
        <f>W112+AF112</f>
        <v/>
      </c>
      <c r="AP112" s="236">
        <f>AN112+AO112</f>
        <v/>
      </c>
      <c r="AQ112" s="236">
        <f>Y112+AH112</f>
        <v/>
      </c>
      <c r="AR112" s="236">
        <f>Z112+AI112</f>
        <v/>
      </c>
      <c r="AS112" s="236">
        <f>AQ112+AR112</f>
        <v/>
      </c>
      <c r="AT112" s="239">
        <f>AS112-AP112</f>
        <v/>
      </c>
      <c r="AU112" s="237">
        <f>IF(AP112=0,"",AS112/AP112)</f>
        <v/>
      </c>
      <c r="AV112" s="33" t="n"/>
      <c r="AW112" s="233" t="n"/>
      <c r="AX112" s="233" t="n"/>
      <c r="AY112" s="233">
        <f>AW112+AX112</f>
        <v/>
      </c>
      <c r="AZ112" s="233" t="n"/>
      <c r="BA112" s="233" t="n"/>
      <c r="BB112" s="233">
        <f>AZ112+BA112</f>
        <v/>
      </c>
      <c r="BC112" s="238">
        <f>BB112-AY112</f>
        <v/>
      </c>
      <c r="BD112" s="235">
        <f>IF(AY112=0,"",BB112/AY112)</f>
        <v/>
      </c>
      <c r="BE112" s="26" t="n"/>
      <c r="BF112" s="236">
        <f>AN112+AW112</f>
        <v/>
      </c>
      <c r="BG112" s="236">
        <f>AO112+AX112</f>
        <v/>
      </c>
      <c r="BH112" s="236">
        <f>BF112+BG112</f>
        <v/>
      </c>
      <c r="BI112" s="236">
        <f>AQ112+AZ112</f>
        <v/>
      </c>
      <c r="BJ112" s="236">
        <f>AR112+BA112</f>
        <v/>
      </c>
      <c r="BK112" s="236">
        <f>BI112+BJ112</f>
        <v/>
      </c>
      <c r="BL112" s="239">
        <f>BK112-BH112</f>
        <v/>
      </c>
      <c r="BM112" s="237">
        <f>IF(BH112=0,"",BK112/BH112)</f>
        <v/>
      </c>
      <c r="BN112" s="33" t="n"/>
      <c r="BO112" s="233" t="n"/>
      <c r="BP112" s="233" t="n"/>
      <c r="BQ112" s="233">
        <f>BO112+BP112</f>
        <v/>
      </c>
      <c r="BR112" s="233" t="n"/>
      <c r="BS112" s="233" t="n"/>
      <c r="BT112" s="233">
        <f>BR112+BS112</f>
        <v/>
      </c>
      <c r="BU112" s="238">
        <f>BT112-BQ112</f>
        <v/>
      </c>
      <c r="BV112" s="235">
        <f>IF(BQ112=0,"",BT112/BQ112)</f>
        <v/>
      </c>
      <c r="BW112" s="26" t="n"/>
      <c r="BX112" s="236">
        <f>BF112+BO112</f>
        <v/>
      </c>
      <c r="BY112" s="236">
        <f>BG112+BP112</f>
        <v/>
      </c>
      <c r="BZ112" s="236">
        <f>BX112+BY112</f>
        <v/>
      </c>
      <c r="CA112" s="236">
        <f>BI112+BR112</f>
        <v/>
      </c>
      <c r="CB112" s="236">
        <f>BJ112+BS112</f>
        <v/>
      </c>
      <c r="CC112" s="236">
        <f>CA112+CB112</f>
        <v/>
      </c>
      <c r="CD112" s="239">
        <f>CC112-BZ112</f>
        <v/>
      </c>
      <c r="CE112" s="237">
        <f>IF(BZ112=0,"",CC112/BZ112)</f>
        <v/>
      </c>
      <c r="CF112" s="33" t="n"/>
      <c r="CG112" s="233" t="n"/>
      <c r="CH112" s="233" t="n"/>
      <c r="CI112" s="233">
        <f>CG112+CH112</f>
        <v/>
      </c>
      <c r="CJ112" s="233" t="n"/>
      <c r="CK112" s="233" t="n"/>
      <c r="CL112" s="233">
        <f>CJ112+CK112</f>
        <v/>
      </c>
      <c r="CM112" s="238">
        <f>CL112-CI112</f>
        <v/>
      </c>
      <c r="CN112" s="235">
        <f>IF(CI112=0,"",CL112/CI112)</f>
        <v/>
      </c>
      <c r="CO112" s="26" t="n"/>
      <c r="CP112" s="236">
        <f>BX112+CG112</f>
        <v/>
      </c>
      <c r="CQ112" s="236">
        <f>BY112+CH112</f>
        <v/>
      </c>
      <c r="CR112" s="236">
        <f>CP112+CQ112</f>
        <v/>
      </c>
      <c r="CS112" s="236">
        <f>CA112+CJ112</f>
        <v/>
      </c>
      <c r="CT112" s="236">
        <f>CB112+CK112</f>
        <v/>
      </c>
      <c r="CU112" s="236">
        <f>CS112+CT112</f>
        <v/>
      </c>
      <c r="CV112" s="239">
        <f>CU112-CR112</f>
        <v/>
      </c>
      <c r="CW112" s="237">
        <f>IF(CR112=0,"",CU112/CR112)</f>
        <v/>
      </c>
      <c r="CX112" s="33" t="n"/>
      <c r="CY112" s="233" t="n"/>
      <c r="CZ112" s="233" t="n"/>
      <c r="DA112" s="233">
        <f>CY112+CZ112</f>
        <v/>
      </c>
      <c r="DB112" s="233" t="n"/>
      <c r="DC112" s="233" t="n"/>
      <c r="DD112" s="233">
        <f>DB112+DC112</f>
        <v/>
      </c>
      <c r="DE112" s="238">
        <f>DD112-DA112</f>
        <v/>
      </c>
      <c r="DF112" s="235">
        <f>IF(DA112=0,"",DD112/DA112)</f>
        <v/>
      </c>
      <c r="DG112" s="26" t="n"/>
      <c r="DH112" s="236">
        <f>CP112+CY112</f>
        <v/>
      </c>
      <c r="DI112" s="236">
        <f>CQ112+CZ112</f>
        <v/>
      </c>
      <c r="DJ112" s="236">
        <f>DH112+DI112</f>
        <v/>
      </c>
      <c r="DK112" s="236">
        <f>CS112+DB112</f>
        <v/>
      </c>
      <c r="DL112" s="236">
        <f>CT112+DC112</f>
        <v/>
      </c>
      <c r="DM112" s="236">
        <f>DK112+DL112</f>
        <v/>
      </c>
      <c r="DN112" s="239">
        <f>DM112-DJ112</f>
        <v/>
      </c>
      <c r="DO112" s="237">
        <f>IF(DJ112=0,"",DM112/DJ112)</f>
        <v/>
      </c>
      <c r="DP112" s="33" t="n"/>
      <c r="DQ112" s="233" t="n"/>
      <c r="DR112" s="233" t="n"/>
      <c r="DS112" s="233">
        <f>DQ112+DR112</f>
        <v/>
      </c>
      <c r="DT112" s="233" t="n"/>
      <c r="DU112" s="233" t="n"/>
      <c r="DV112" s="233">
        <f>DT112+DU112</f>
        <v/>
      </c>
      <c r="DW112" s="238">
        <f>DV112-DS112</f>
        <v/>
      </c>
      <c r="DX112" s="235">
        <f>IF(DS112=0,"",DV112/DS112)</f>
        <v/>
      </c>
      <c r="DY112" s="26" t="n"/>
      <c r="DZ112" s="236">
        <f>DH112+DQ112</f>
        <v/>
      </c>
      <c r="EA112" s="236">
        <f>DI112+DR112</f>
        <v/>
      </c>
      <c r="EB112" s="236">
        <f>DZ112+EA112</f>
        <v/>
      </c>
      <c r="EC112" s="236">
        <f>DK112+DT112</f>
        <v/>
      </c>
      <c r="ED112" s="236">
        <f>DL112+DU112</f>
        <v/>
      </c>
      <c r="EE112" s="236">
        <f>EC112+ED112</f>
        <v/>
      </c>
      <c r="EF112" s="239">
        <f>EE112-EB112</f>
        <v/>
      </c>
      <c r="EG112" s="237">
        <f>IF(EB112=0,"",EE112/EB112)</f>
        <v/>
      </c>
      <c r="EH112" s="33" t="n"/>
      <c r="EI112" s="233" t="n"/>
      <c r="EJ112" s="233" t="n"/>
      <c r="EK112" s="233">
        <f>EI112+EJ112</f>
        <v/>
      </c>
      <c r="EL112" s="233" t="n"/>
      <c r="EM112" s="233" t="n"/>
      <c r="EN112" s="233">
        <f>EL112+EM112</f>
        <v/>
      </c>
      <c r="EO112" s="238">
        <f>EN112-EK112</f>
        <v/>
      </c>
      <c r="EP112" s="235">
        <f>IF(EK112=0,"",EN112/EK112)</f>
        <v/>
      </c>
      <c r="EQ112" s="26" t="n"/>
      <c r="ER112" s="236">
        <f>DZ112+EI112</f>
        <v/>
      </c>
      <c r="ES112" s="236">
        <f>EA112+EJ112</f>
        <v/>
      </c>
      <c r="ET112" s="236">
        <f>ER112+ES112</f>
        <v/>
      </c>
      <c r="EU112" s="236">
        <f>EC112+EL112</f>
        <v/>
      </c>
      <c r="EV112" s="236">
        <f>ED112+EM112</f>
        <v/>
      </c>
      <c r="EW112" s="236">
        <f>EU112+EV112</f>
        <v/>
      </c>
      <c r="EX112" s="239">
        <f>EW112-ET112</f>
        <v/>
      </c>
      <c r="EY112" s="237">
        <f>IF(ET112=0,"",EW112/ET112)</f>
        <v/>
      </c>
      <c r="EZ112" s="33" t="n"/>
      <c r="FA112" s="233" t="n"/>
      <c r="FB112" s="233" t="n"/>
      <c r="FC112" s="233">
        <f>FA112+FB112</f>
        <v/>
      </c>
      <c r="FD112" s="233" t="n"/>
      <c r="FE112" s="233" t="n"/>
      <c r="FF112" s="233">
        <f>FD112+FE112</f>
        <v/>
      </c>
      <c r="FG112" s="238">
        <f>FF112-FC112</f>
        <v/>
      </c>
      <c r="FH112" s="235">
        <f>IF(FC112=0,"",FF112/FC112)</f>
        <v/>
      </c>
      <c r="FI112" s="26" t="n"/>
      <c r="FJ112" s="236">
        <f>ER112+FA112</f>
        <v/>
      </c>
      <c r="FK112" s="236">
        <f>ES112+FB112</f>
        <v/>
      </c>
      <c r="FL112" s="236">
        <f>FJ112+FK112</f>
        <v/>
      </c>
      <c r="FM112" s="236">
        <f>EU112+FD112</f>
        <v/>
      </c>
      <c r="FN112" s="236">
        <f>EV112+FE112</f>
        <v/>
      </c>
      <c r="FO112" s="236">
        <f>FM112+FN112</f>
        <v/>
      </c>
      <c r="FP112" s="239">
        <f>FO112-FL112</f>
        <v/>
      </c>
      <c r="FQ112" s="237">
        <f>IF(FL112=0,"",FO112/FL112)</f>
        <v/>
      </c>
      <c r="FR112" s="33" t="n"/>
      <c r="FS112" s="233" t="n"/>
      <c r="FT112" s="233" t="n"/>
      <c r="FU112" s="233">
        <f>FS112+FT112</f>
        <v/>
      </c>
      <c r="FV112" s="233" t="n"/>
      <c r="FW112" s="233" t="n"/>
      <c r="FX112" s="233">
        <f>FV112+FW112</f>
        <v/>
      </c>
      <c r="FY112" s="238">
        <f>FX112-FU112</f>
        <v/>
      </c>
      <c r="FZ112" s="235">
        <f>IF(FU112=0,"",FX112/FU112)</f>
        <v/>
      </c>
      <c r="GA112" s="26" t="n"/>
      <c r="GB112" s="236">
        <f>FJ112+FS112</f>
        <v/>
      </c>
      <c r="GC112" s="236">
        <f>FK112+FT112</f>
        <v/>
      </c>
      <c r="GD112" s="236">
        <f>GB112+GC112</f>
        <v/>
      </c>
      <c r="GE112" s="236">
        <f>FM112+FV112</f>
        <v/>
      </c>
      <c r="GF112" s="236">
        <f>FN112+FW112</f>
        <v/>
      </c>
      <c r="GG112" s="236">
        <f>GE112+GF112</f>
        <v/>
      </c>
      <c r="GH112" s="239">
        <f>GG112-GD112</f>
        <v/>
      </c>
      <c r="GI112" s="237">
        <f>IF(GD112=0,"",GG112/GD112)</f>
        <v/>
      </c>
      <c r="GJ112" s="33" t="n"/>
      <c r="GK112" s="233" t="n"/>
      <c r="GL112" s="233" t="n"/>
      <c r="GM112" s="233">
        <f>GK112+GL112</f>
        <v/>
      </c>
      <c r="GN112" s="233" t="n"/>
      <c r="GO112" s="233" t="n"/>
      <c r="GP112" s="233">
        <f>GN112+GO112</f>
        <v/>
      </c>
      <c r="GQ112" s="238">
        <f>GP112-GM112</f>
        <v/>
      </c>
      <c r="GR112" s="235">
        <f>IF(GM112=0,"",GP112/GM112)</f>
        <v/>
      </c>
      <c r="GS112" s="26" t="n"/>
      <c r="GT112" s="236">
        <f>GB112+GK112</f>
        <v/>
      </c>
      <c r="GU112" s="236">
        <f>GC112+GL112</f>
        <v/>
      </c>
      <c r="GV112" s="236">
        <f>GT112+GU112</f>
        <v/>
      </c>
      <c r="GW112" s="236">
        <f>GE112+GN112</f>
        <v/>
      </c>
      <c r="GX112" s="236">
        <f>GF112+GO112</f>
        <v/>
      </c>
      <c r="GY112" s="236">
        <f>GW112+GX112</f>
        <v/>
      </c>
      <c r="GZ112" s="239">
        <f>GY112-GV112</f>
        <v/>
      </c>
      <c r="HA112" s="237">
        <f>IF(GV112=0,"",GY112/GV112)</f>
        <v/>
      </c>
      <c r="HB112" s="33" t="n"/>
      <c r="HC112" s="233">
        <f>GT112</f>
        <v/>
      </c>
      <c r="HD112" s="233">
        <f>GU112</f>
        <v/>
      </c>
      <c r="HE112" s="233">
        <f>HC112+HD112</f>
        <v/>
      </c>
    </row>
    <row r="113" outlineLevel="1" ht="15" customHeight="1" s="150">
      <c r="A113" s="26" t="n"/>
      <c r="B113" s="26" t="n"/>
      <c r="C113" s="26" t="n"/>
      <c r="D113" s="233" t="n"/>
      <c r="E113" s="233" t="n"/>
      <c r="F113" s="233">
        <f>D113+E113</f>
        <v/>
      </c>
      <c r="G113" s="233" t="n"/>
      <c r="H113" s="233" t="n"/>
      <c r="I113" s="233">
        <f>G113+H113</f>
        <v/>
      </c>
      <c r="J113" s="238">
        <f>I113-F113</f>
        <v/>
      </c>
      <c r="K113" s="235">
        <f>IF(F113=0,"",I113/F113)</f>
        <v/>
      </c>
      <c r="L113" s="26" t="n"/>
      <c r="M113" s="233" t="n"/>
      <c r="N113" s="233" t="n"/>
      <c r="O113" s="233">
        <f>M113+N113</f>
        <v/>
      </c>
      <c r="P113" s="233" t="n"/>
      <c r="Q113" s="233" t="n"/>
      <c r="R113" s="233">
        <f>P113+Q113</f>
        <v/>
      </c>
      <c r="S113" s="238">
        <f>R113-O113</f>
        <v/>
      </c>
      <c r="T113" s="235">
        <f>IF(O113=0,"",R113/O113)</f>
        <v/>
      </c>
      <c r="U113" s="26" t="n"/>
      <c r="V113" s="236">
        <f>D113+M113</f>
        <v/>
      </c>
      <c r="W113" s="236">
        <f>E113+N113</f>
        <v/>
      </c>
      <c r="X113" s="236">
        <f>V113+W113</f>
        <v/>
      </c>
      <c r="Y113" s="236">
        <f>G113+P113</f>
        <v/>
      </c>
      <c r="Z113" s="236">
        <f>H113+Q113</f>
        <v/>
      </c>
      <c r="AA113" s="236">
        <f>Y113+Z113</f>
        <v/>
      </c>
      <c r="AB113" s="239">
        <f>AA113-X113</f>
        <v/>
      </c>
      <c r="AC113" s="237">
        <f>IF(X113=0,"",AA113/X113)</f>
        <v/>
      </c>
      <c r="AD113" s="33" t="n"/>
      <c r="AE113" s="233" t="n"/>
      <c r="AF113" s="233" t="n"/>
      <c r="AG113" s="233">
        <f>AE113+AF113</f>
        <v/>
      </c>
      <c r="AH113" s="233" t="n"/>
      <c r="AI113" s="233" t="n"/>
      <c r="AJ113" s="233">
        <f>AH113+AI113</f>
        <v/>
      </c>
      <c r="AK113" s="238">
        <f>AJ113-AG113</f>
        <v/>
      </c>
      <c r="AL113" s="235">
        <f>IF(AG113=0,"",AJ113/AG113)</f>
        <v/>
      </c>
      <c r="AM113" s="26" t="n"/>
      <c r="AN113" s="236">
        <f>V113+AE113</f>
        <v/>
      </c>
      <c r="AO113" s="236">
        <f>W113+AF113</f>
        <v/>
      </c>
      <c r="AP113" s="236">
        <f>AN113+AO113</f>
        <v/>
      </c>
      <c r="AQ113" s="236">
        <f>Y113+AH113</f>
        <v/>
      </c>
      <c r="AR113" s="236">
        <f>Z113+AI113</f>
        <v/>
      </c>
      <c r="AS113" s="236">
        <f>AQ113+AR113</f>
        <v/>
      </c>
      <c r="AT113" s="239">
        <f>AS113-AP113</f>
        <v/>
      </c>
      <c r="AU113" s="237">
        <f>IF(AP113=0,"",AS113/AP113)</f>
        <v/>
      </c>
      <c r="AV113" s="33" t="n"/>
      <c r="AW113" s="233" t="n"/>
      <c r="AX113" s="233" t="n"/>
      <c r="AY113" s="233">
        <f>AW113+AX113</f>
        <v/>
      </c>
      <c r="AZ113" s="233" t="n"/>
      <c r="BA113" s="233" t="n"/>
      <c r="BB113" s="233">
        <f>AZ113+BA113</f>
        <v/>
      </c>
      <c r="BC113" s="238">
        <f>BB113-AY113</f>
        <v/>
      </c>
      <c r="BD113" s="235">
        <f>IF(AY113=0,"",BB113/AY113)</f>
        <v/>
      </c>
      <c r="BE113" s="26" t="n"/>
      <c r="BF113" s="236">
        <f>AN113+AW113</f>
        <v/>
      </c>
      <c r="BG113" s="236">
        <f>AO113+AX113</f>
        <v/>
      </c>
      <c r="BH113" s="236">
        <f>BF113+BG113</f>
        <v/>
      </c>
      <c r="BI113" s="236">
        <f>AQ113+AZ113</f>
        <v/>
      </c>
      <c r="BJ113" s="236">
        <f>AR113+BA113</f>
        <v/>
      </c>
      <c r="BK113" s="236">
        <f>BI113+BJ113</f>
        <v/>
      </c>
      <c r="BL113" s="239">
        <f>BK113-BH113</f>
        <v/>
      </c>
      <c r="BM113" s="237">
        <f>IF(BH113=0,"",BK113/BH113)</f>
        <v/>
      </c>
      <c r="BN113" s="33" t="n"/>
      <c r="BO113" s="233" t="n"/>
      <c r="BP113" s="233" t="n"/>
      <c r="BQ113" s="233">
        <f>BO113+BP113</f>
        <v/>
      </c>
      <c r="BR113" s="233" t="n"/>
      <c r="BS113" s="233" t="n"/>
      <c r="BT113" s="233">
        <f>BR113+BS113</f>
        <v/>
      </c>
      <c r="BU113" s="238">
        <f>BT113-BQ113</f>
        <v/>
      </c>
      <c r="BV113" s="235">
        <f>IF(BQ113=0,"",BT113/BQ113)</f>
        <v/>
      </c>
      <c r="BW113" s="26" t="n"/>
      <c r="BX113" s="236">
        <f>BF113+BO113</f>
        <v/>
      </c>
      <c r="BY113" s="236">
        <f>BG113+BP113</f>
        <v/>
      </c>
      <c r="BZ113" s="236">
        <f>BX113+BY113</f>
        <v/>
      </c>
      <c r="CA113" s="236">
        <f>BI113+BR113</f>
        <v/>
      </c>
      <c r="CB113" s="236">
        <f>BJ113+BS113</f>
        <v/>
      </c>
      <c r="CC113" s="236">
        <f>CA113+CB113</f>
        <v/>
      </c>
      <c r="CD113" s="239">
        <f>CC113-BZ113</f>
        <v/>
      </c>
      <c r="CE113" s="237">
        <f>IF(BZ113=0,"",CC113/BZ113)</f>
        <v/>
      </c>
      <c r="CF113" s="33" t="n"/>
      <c r="CG113" s="233" t="n"/>
      <c r="CH113" s="233" t="n"/>
      <c r="CI113" s="233">
        <f>CG113+CH113</f>
        <v/>
      </c>
      <c r="CJ113" s="233" t="n"/>
      <c r="CK113" s="233" t="n"/>
      <c r="CL113" s="233">
        <f>CJ113+CK113</f>
        <v/>
      </c>
      <c r="CM113" s="238">
        <f>CL113-CI113</f>
        <v/>
      </c>
      <c r="CN113" s="235">
        <f>IF(CI113=0,"",CL113/CI113)</f>
        <v/>
      </c>
      <c r="CO113" s="26" t="n"/>
      <c r="CP113" s="236">
        <f>BX113+CG113</f>
        <v/>
      </c>
      <c r="CQ113" s="236">
        <f>BY113+CH113</f>
        <v/>
      </c>
      <c r="CR113" s="236">
        <f>CP113+CQ113</f>
        <v/>
      </c>
      <c r="CS113" s="236">
        <f>CA113+CJ113</f>
        <v/>
      </c>
      <c r="CT113" s="236">
        <f>CB113+CK113</f>
        <v/>
      </c>
      <c r="CU113" s="236">
        <f>CS113+CT113</f>
        <v/>
      </c>
      <c r="CV113" s="239">
        <f>CU113-CR113</f>
        <v/>
      </c>
      <c r="CW113" s="237">
        <f>IF(CR113=0,"",CU113/CR113)</f>
        <v/>
      </c>
      <c r="CX113" s="33" t="n"/>
      <c r="CY113" s="233" t="n"/>
      <c r="CZ113" s="233" t="n"/>
      <c r="DA113" s="233">
        <f>CY113+CZ113</f>
        <v/>
      </c>
      <c r="DB113" s="233" t="n"/>
      <c r="DC113" s="233" t="n"/>
      <c r="DD113" s="233">
        <f>DB113+DC113</f>
        <v/>
      </c>
      <c r="DE113" s="238">
        <f>DD113-DA113</f>
        <v/>
      </c>
      <c r="DF113" s="235">
        <f>IF(DA113=0,"",DD113/DA113)</f>
        <v/>
      </c>
      <c r="DG113" s="26" t="n"/>
      <c r="DH113" s="236">
        <f>CP113+CY113</f>
        <v/>
      </c>
      <c r="DI113" s="236">
        <f>CQ113+CZ113</f>
        <v/>
      </c>
      <c r="DJ113" s="236">
        <f>DH113+DI113</f>
        <v/>
      </c>
      <c r="DK113" s="236">
        <f>CS113+DB113</f>
        <v/>
      </c>
      <c r="DL113" s="236">
        <f>CT113+DC113</f>
        <v/>
      </c>
      <c r="DM113" s="236">
        <f>DK113+DL113</f>
        <v/>
      </c>
      <c r="DN113" s="239">
        <f>DM113-DJ113</f>
        <v/>
      </c>
      <c r="DO113" s="237">
        <f>IF(DJ113=0,"",DM113/DJ113)</f>
        <v/>
      </c>
      <c r="DP113" s="33" t="n"/>
      <c r="DQ113" s="233" t="n"/>
      <c r="DR113" s="233" t="n"/>
      <c r="DS113" s="233">
        <f>DQ113+DR113</f>
        <v/>
      </c>
      <c r="DT113" s="233" t="n"/>
      <c r="DU113" s="233" t="n"/>
      <c r="DV113" s="233">
        <f>DT113+DU113</f>
        <v/>
      </c>
      <c r="DW113" s="238">
        <f>DV113-DS113</f>
        <v/>
      </c>
      <c r="DX113" s="235">
        <f>IF(DS113=0,"",DV113/DS113)</f>
        <v/>
      </c>
      <c r="DY113" s="26" t="n"/>
      <c r="DZ113" s="236">
        <f>DH113+DQ113</f>
        <v/>
      </c>
      <c r="EA113" s="236">
        <f>DI113+DR113</f>
        <v/>
      </c>
      <c r="EB113" s="236">
        <f>DZ113+EA113</f>
        <v/>
      </c>
      <c r="EC113" s="236">
        <f>DK113+DT113</f>
        <v/>
      </c>
      <c r="ED113" s="236">
        <f>DL113+DU113</f>
        <v/>
      </c>
      <c r="EE113" s="236">
        <f>EC113+ED113</f>
        <v/>
      </c>
      <c r="EF113" s="239">
        <f>EE113-EB113</f>
        <v/>
      </c>
      <c r="EG113" s="237">
        <f>IF(EB113=0,"",EE113/EB113)</f>
        <v/>
      </c>
      <c r="EH113" s="33" t="n"/>
      <c r="EI113" s="233" t="n"/>
      <c r="EJ113" s="233" t="n"/>
      <c r="EK113" s="233">
        <f>EI113+EJ113</f>
        <v/>
      </c>
      <c r="EL113" s="233" t="n"/>
      <c r="EM113" s="233" t="n"/>
      <c r="EN113" s="233">
        <f>EL113+EM113</f>
        <v/>
      </c>
      <c r="EO113" s="238">
        <f>EN113-EK113</f>
        <v/>
      </c>
      <c r="EP113" s="235">
        <f>IF(EK113=0,"",EN113/EK113)</f>
        <v/>
      </c>
      <c r="EQ113" s="26" t="n"/>
      <c r="ER113" s="236">
        <f>DZ113+EI113</f>
        <v/>
      </c>
      <c r="ES113" s="236">
        <f>EA113+EJ113</f>
        <v/>
      </c>
      <c r="ET113" s="236">
        <f>ER113+ES113</f>
        <v/>
      </c>
      <c r="EU113" s="236">
        <f>EC113+EL113</f>
        <v/>
      </c>
      <c r="EV113" s="236">
        <f>ED113+EM113</f>
        <v/>
      </c>
      <c r="EW113" s="236">
        <f>EU113+EV113</f>
        <v/>
      </c>
      <c r="EX113" s="239">
        <f>EW113-ET113</f>
        <v/>
      </c>
      <c r="EY113" s="237">
        <f>IF(ET113=0,"",EW113/ET113)</f>
        <v/>
      </c>
      <c r="EZ113" s="33" t="n"/>
      <c r="FA113" s="233" t="n"/>
      <c r="FB113" s="233" t="n"/>
      <c r="FC113" s="233">
        <f>FA113+FB113</f>
        <v/>
      </c>
      <c r="FD113" s="233" t="n"/>
      <c r="FE113" s="233" t="n"/>
      <c r="FF113" s="233">
        <f>FD113+FE113</f>
        <v/>
      </c>
      <c r="FG113" s="238">
        <f>FF113-FC113</f>
        <v/>
      </c>
      <c r="FH113" s="235">
        <f>IF(FC113=0,"",FF113/FC113)</f>
        <v/>
      </c>
      <c r="FI113" s="26" t="n"/>
      <c r="FJ113" s="236">
        <f>ER113+FA113</f>
        <v/>
      </c>
      <c r="FK113" s="236">
        <f>ES113+FB113</f>
        <v/>
      </c>
      <c r="FL113" s="236">
        <f>FJ113+FK113</f>
        <v/>
      </c>
      <c r="FM113" s="236">
        <f>EU113+FD113</f>
        <v/>
      </c>
      <c r="FN113" s="236">
        <f>EV113+FE113</f>
        <v/>
      </c>
      <c r="FO113" s="236">
        <f>FM113+FN113</f>
        <v/>
      </c>
      <c r="FP113" s="239">
        <f>FO113-FL113</f>
        <v/>
      </c>
      <c r="FQ113" s="237">
        <f>IF(FL113=0,"",FO113/FL113)</f>
        <v/>
      </c>
      <c r="FR113" s="33" t="n"/>
      <c r="FS113" s="233" t="n"/>
      <c r="FT113" s="233" t="n"/>
      <c r="FU113" s="233">
        <f>FS113+FT113</f>
        <v/>
      </c>
      <c r="FV113" s="233" t="n"/>
      <c r="FW113" s="233" t="n"/>
      <c r="FX113" s="233">
        <f>FV113+FW113</f>
        <v/>
      </c>
      <c r="FY113" s="238">
        <f>FX113-FU113</f>
        <v/>
      </c>
      <c r="FZ113" s="235">
        <f>IF(FU113=0,"",FX113/FU113)</f>
        <v/>
      </c>
      <c r="GA113" s="26" t="n"/>
      <c r="GB113" s="236">
        <f>FJ113+FS113</f>
        <v/>
      </c>
      <c r="GC113" s="236">
        <f>FK113+FT113</f>
        <v/>
      </c>
      <c r="GD113" s="236">
        <f>GB113+GC113</f>
        <v/>
      </c>
      <c r="GE113" s="236">
        <f>FM113+FV113</f>
        <v/>
      </c>
      <c r="GF113" s="236">
        <f>FN113+FW113</f>
        <v/>
      </c>
      <c r="GG113" s="236">
        <f>GE113+GF113</f>
        <v/>
      </c>
      <c r="GH113" s="239">
        <f>GG113-GD113</f>
        <v/>
      </c>
      <c r="GI113" s="237">
        <f>IF(GD113=0,"",GG113/GD113)</f>
        <v/>
      </c>
      <c r="GJ113" s="33" t="n"/>
      <c r="GK113" s="233" t="n"/>
      <c r="GL113" s="233" t="n"/>
      <c r="GM113" s="233">
        <f>GK113+GL113</f>
        <v/>
      </c>
      <c r="GN113" s="233" t="n"/>
      <c r="GO113" s="233" t="n"/>
      <c r="GP113" s="233">
        <f>GN113+GO113</f>
        <v/>
      </c>
      <c r="GQ113" s="238">
        <f>GP113-GM113</f>
        <v/>
      </c>
      <c r="GR113" s="235">
        <f>IF(GM113=0,"",GP113/GM113)</f>
        <v/>
      </c>
      <c r="GS113" s="26" t="n"/>
      <c r="GT113" s="236">
        <f>GB113+GK113</f>
        <v/>
      </c>
      <c r="GU113" s="236">
        <f>GC113+GL113</f>
        <v/>
      </c>
      <c r="GV113" s="236">
        <f>GT113+GU113</f>
        <v/>
      </c>
      <c r="GW113" s="236">
        <f>GE113+GN113</f>
        <v/>
      </c>
      <c r="GX113" s="236">
        <f>GF113+GO113</f>
        <v/>
      </c>
      <c r="GY113" s="236">
        <f>GW113+GX113</f>
        <v/>
      </c>
      <c r="GZ113" s="239">
        <f>GY113-GV113</f>
        <v/>
      </c>
      <c r="HA113" s="237">
        <f>IF(GV113=0,"",GY113/GV113)</f>
        <v/>
      </c>
      <c r="HB113" s="33" t="n"/>
      <c r="HC113" s="233">
        <f>GT113</f>
        <v/>
      </c>
      <c r="HD113" s="233">
        <f>GU113</f>
        <v/>
      </c>
      <c r="HE113" s="233">
        <f>HC113+HD113</f>
        <v/>
      </c>
    </row>
    <row r="114" ht="15" customHeight="1" s="150">
      <c r="A114" s="18" t="n"/>
      <c r="B114" s="18" t="n"/>
      <c r="C114" s="18" t="n"/>
      <c r="D114" s="227">
        <f>D115</f>
        <v/>
      </c>
      <c r="E114" s="227">
        <f>E115</f>
        <v/>
      </c>
      <c r="F114" s="227">
        <f>D114+E114</f>
        <v/>
      </c>
      <c r="G114" s="227">
        <f>G115</f>
        <v/>
      </c>
      <c r="H114" s="227">
        <f>H115</f>
        <v/>
      </c>
      <c r="I114" s="227">
        <f>G114+H114</f>
        <v/>
      </c>
      <c r="J114" s="228">
        <f>I114-F114</f>
        <v/>
      </c>
      <c r="K114" s="229">
        <f>IF(F114=0,"",I114/F114)</f>
        <v/>
      </c>
      <c r="L114" s="18" t="n"/>
      <c r="M114" s="227">
        <f>M115</f>
        <v/>
      </c>
      <c r="N114" s="227">
        <f>N115</f>
        <v/>
      </c>
      <c r="O114" s="227">
        <f>M114+N114</f>
        <v/>
      </c>
      <c r="P114" s="227">
        <f>P115</f>
        <v/>
      </c>
      <c r="Q114" s="227">
        <f>Q115</f>
        <v/>
      </c>
      <c r="R114" s="227">
        <f>P114+Q114</f>
        <v/>
      </c>
      <c r="S114" s="228">
        <f>R114-O114</f>
        <v/>
      </c>
      <c r="T114" s="229">
        <f>IF(O114=0,"",R114/O114)</f>
        <v/>
      </c>
      <c r="U114" s="18" t="n"/>
      <c r="V114" s="230">
        <f>V115</f>
        <v/>
      </c>
      <c r="W114" s="230">
        <f>W115</f>
        <v/>
      </c>
      <c r="X114" s="230">
        <f>V114+W114</f>
        <v/>
      </c>
      <c r="Y114" s="230">
        <f>Y115</f>
        <v/>
      </c>
      <c r="Z114" s="230">
        <f>Z115</f>
        <v/>
      </c>
      <c r="AA114" s="230">
        <f>Y114+Z114</f>
        <v/>
      </c>
      <c r="AB114" s="231">
        <f>AA114-X114</f>
        <v/>
      </c>
      <c r="AC114" s="232">
        <f>IF(X114=0,"",AA114/X114)</f>
        <v/>
      </c>
      <c r="AD114" s="25" t="n"/>
      <c r="AE114" s="227">
        <f>AE115</f>
        <v/>
      </c>
      <c r="AF114" s="227">
        <f>AF115</f>
        <v/>
      </c>
      <c r="AG114" s="227">
        <f>AE114+AF114</f>
        <v/>
      </c>
      <c r="AH114" s="227">
        <f>AH115</f>
        <v/>
      </c>
      <c r="AI114" s="227">
        <f>AI115</f>
        <v/>
      </c>
      <c r="AJ114" s="227">
        <f>AH114+AI114</f>
        <v/>
      </c>
      <c r="AK114" s="228">
        <f>AJ114-AG114</f>
        <v/>
      </c>
      <c r="AL114" s="229">
        <f>IF(AG114=0,"",AJ114/AG114)</f>
        <v/>
      </c>
      <c r="AM114" s="18" t="n"/>
      <c r="AN114" s="230">
        <f>AN115</f>
        <v/>
      </c>
      <c r="AO114" s="230">
        <f>AO115</f>
        <v/>
      </c>
      <c r="AP114" s="230">
        <f>AN114+AO114</f>
        <v/>
      </c>
      <c r="AQ114" s="230">
        <f>AQ115</f>
        <v/>
      </c>
      <c r="AR114" s="230">
        <f>AR115</f>
        <v/>
      </c>
      <c r="AS114" s="230">
        <f>AQ114+AR114</f>
        <v/>
      </c>
      <c r="AT114" s="231">
        <f>AS114-AP114</f>
        <v/>
      </c>
      <c r="AU114" s="232">
        <f>IF(AP114=0,"",AS114/AP114)</f>
        <v/>
      </c>
      <c r="AV114" s="25" t="n"/>
      <c r="AW114" s="227">
        <f>AW115</f>
        <v/>
      </c>
      <c r="AX114" s="227">
        <f>AX115</f>
        <v/>
      </c>
      <c r="AY114" s="227">
        <f>AW114+AX114</f>
        <v/>
      </c>
      <c r="AZ114" s="227">
        <f>AZ115</f>
        <v/>
      </c>
      <c r="BA114" s="227">
        <f>BA115</f>
        <v/>
      </c>
      <c r="BB114" s="227">
        <f>AZ114+BA114</f>
        <v/>
      </c>
      <c r="BC114" s="228">
        <f>BB114-AY114</f>
        <v/>
      </c>
      <c r="BD114" s="229">
        <f>IF(AY114=0,"",BB114/AY114)</f>
        <v/>
      </c>
      <c r="BE114" s="18" t="n"/>
      <c r="BF114" s="230">
        <f>BF115</f>
        <v/>
      </c>
      <c r="BG114" s="230">
        <f>BG115</f>
        <v/>
      </c>
      <c r="BH114" s="230">
        <f>BF114+BG114</f>
        <v/>
      </c>
      <c r="BI114" s="230">
        <f>BI115</f>
        <v/>
      </c>
      <c r="BJ114" s="230">
        <f>BJ115</f>
        <v/>
      </c>
      <c r="BK114" s="230">
        <f>BI114+BJ114</f>
        <v/>
      </c>
      <c r="BL114" s="231">
        <f>BK114-BH114</f>
        <v/>
      </c>
      <c r="BM114" s="232">
        <f>IF(BH114=0,"",BK114/BH114)</f>
        <v/>
      </c>
      <c r="BN114" s="25" t="n"/>
      <c r="BO114" s="227">
        <f>BO115</f>
        <v/>
      </c>
      <c r="BP114" s="227">
        <f>BP115</f>
        <v/>
      </c>
      <c r="BQ114" s="227">
        <f>BO114+BP114</f>
        <v/>
      </c>
      <c r="BR114" s="227">
        <f>BR115</f>
        <v/>
      </c>
      <c r="BS114" s="227">
        <f>BS115</f>
        <v/>
      </c>
      <c r="BT114" s="227">
        <f>BR114+BS114</f>
        <v/>
      </c>
      <c r="BU114" s="228">
        <f>BT114-BQ114</f>
        <v/>
      </c>
      <c r="BV114" s="229">
        <f>IF(BQ114=0,"",BT114/BQ114)</f>
        <v/>
      </c>
      <c r="BW114" s="18" t="n"/>
      <c r="BX114" s="230">
        <f>BX115</f>
        <v/>
      </c>
      <c r="BY114" s="230">
        <f>BY115</f>
        <v/>
      </c>
      <c r="BZ114" s="230">
        <f>BX114+BY114</f>
        <v/>
      </c>
      <c r="CA114" s="230">
        <f>CA115</f>
        <v/>
      </c>
      <c r="CB114" s="230">
        <f>CB115</f>
        <v/>
      </c>
      <c r="CC114" s="230">
        <f>CA114+CB114</f>
        <v/>
      </c>
      <c r="CD114" s="231">
        <f>CC114-BZ114</f>
        <v/>
      </c>
      <c r="CE114" s="232">
        <f>IF(BZ114=0,"",CC114/BZ114)</f>
        <v/>
      </c>
      <c r="CF114" s="25" t="n"/>
      <c r="CG114" s="227">
        <f>CG115</f>
        <v/>
      </c>
      <c r="CH114" s="227">
        <f>CH115</f>
        <v/>
      </c>
      <c r="CI114" s="227">
        <f>CG114+CH114</f>
        <v/>
      </c>
      <c r="CJ114" s="227">
        <f>CJ115</f>
        <v/>
      </c>
      <c r="CK114" s="227">
        <f>CK115</f>
        <v/>
      </c>
      <c r="CL114" s="227">
        <f>CJ114+CK114</f>
        <v/>
      </c>
      <c r="CM114" s="228">
        <f>CL114-CI114</f>
        <v/>
      </c>
      <c r="CN114" s="229">
        <f>IF(CI114=0,"",CL114/CI114)</f>
        <v/>
      </c>
      <c r="CO114" s="18" t="n"/>
      <c r="CP114" s="230">
        <f>CP115</f>
        <v/>
      </c>
      <c r="CQ114" s="230">
        <f>CQ115</f>
        <v/>
      </c>
      <c r="CR114" s="230">
        <f>CP114+CQ114</f>
        <v/>
      </c>
      <c r="CS114" s="230">
        <f>CS115</f>
        <v/>
      </c>
      <c r="CT114" s="230">
        <f>CT115</f>
        <v/>
      </c>
      <c r="CU114" s="230">
        <f>CS114+CT114</f>
        <v/>
      </c>
      <c r="CV114" s="231">
        <f>CU114-CR114</f>
        <v/>
      </c>
      <c r="CW114" s="232">
        <f>IF(CR114=0,"",CU114/CR114)</f>
        <v/>
      </c>
      <c r="CX114" s="25" t="n"/>
      <c r="CY114" s="227">
        <f>CY115</f>
        <v/>
      </c>
      <c r="CZ114" s="227">
        <f>CZ115</f>
        <v/>
      </c>
      <c r="DA114" s="227">
        <f>CY114+CZ114</f>
        <v/>
      </c>
      <c r="DB114" s="227">
        <f>DB115</f>
        <v/>
      </c>
      <c r="DC114" s="227">
        <f>DC115</f>
        <v/>
      </c>
      <c r="DD114" s="227">
        <f>DB114+DC114</f>
        <v/>
      </c>
      <c r="DE114" s="228">
        <f>DD114-DA114</f>
        <v/>
      </c>
      <c r="DF114" s="229">
        <f>IF(DA114=0,"",DD114/DA114)</f>
        <v/>
      </c>
      <c r="DG114" s="18" t="n"/>
      <c r="DH114" s="230">
        <f>DH115</f>
        <v/>
      </c>
      <c r="DI114" s="230">
        <f>DI115</f>
        <v/>
      </c>
      <c r="DJ114" s="230">
        <f>DH114+DI114</f>
        <v/>
      </c>
      <c r="DK114" s="230">
        <f>DK115</f>
        <v/>
      </c>
      <c r="DL114" s="230">
        <f>DL115</f>
        <v/>
      </c>
      <c r="DM114" s="230">
        <f>DK114+DL114</f>
        <v/>
      </c>
      <c r="DN114" s="231">
        <f>DM114-DJ114</f>
        <v/>
      </c>
      <c r="DO114" s="232">
        <f>IF(DJ114=0,"",DM114/DJ114)</f>
        <v/>
      </c>
      <c r="DP114" s="25" t="n"/>
      <c r="DQ114" s="227">
        <f>DQ115</f>
        <v/>
      </c>
      <c r="DR114" s="227">
        <f>DR115</f>
        <v/>
      </c>
      <c r="DS114" s="227">
        <f>DQ114+DR114</f>
        <v/>
      </c>
      <c r="DT114" s="227">
        <f>DT115</f>
        <v/>
      </c>
      <c r="DU114" s="227">
        <f>DU115</f>
        <v/>
      </c>
      <c r="DV114" s="227">
        <f>DT114+DU114</f>
        <v/>
      </c>
      <c r="DW114" s="228">
        <f>DV114-DS114</f>
        <v/>
      </c>
      <c r="DX114" s="229">
        <f>IF(DS114=0,"",DV114/DS114)</f>
        <v/>
      </c>
      <c r="DY114" s="18" t="n"/>
      <c r="DZ114" s="230">
        <f>DZ115</f>
        <v/>
      </c>
      <c r="EA114" s="230">
        <f>EA115</f>
        <v/>
      </c>
      <c r="EB114" s="230">
        <f>DZ114+EA114</f>
        <v/>
      </c>
      <c r="EC114" s="230">
        <f>EC115</f>
        <v/>
      </c>
      <c r="ED114" s="230">
        <f>ED115</f>
        <v/>
      </c>
      <c r="EE114" s="230">
        <f>EC114+ED114</f>
        <v/>
      </c>
      <c r="EF114" s="231">
        <f>EE114-EB114</f>
        <v/>
      </c>
      <c r="EG114" s="232">
        <f>IF(EB114=0,"",EE114/EB114)</f>
        <v/>
      </c>
      <c r="EH114" s="25" t="n"/>
      <c r="EI114" s="227">
        <f>EI115</f>
        <v/>
      </c>
      <c r="EJ114" s="227">
        <f>EJ115</f>
        <v/>
      </c>
      <c r="EK114" s="227">
        <f>EI114+EJ114</f>
        <v/>
      </c>
      <c r="EL114" s="227">
        <f>EL115</f>
        <v/>
      </c>
      <c r="EM114" s="227">
        <f>EM115</f>
        <v/>
      </c>
      <c r="EN114" s="227">
        <f>EL114+EM114</f>
        <v/>
      </c>
      <c r="EO114" s="228">
        <f>EN114-EK114</f>
        <v/>
      </c>
      <c r="EP114" s="229">
        <f>IF(EK114=0,"",EN114/EK114)</f>
        <v/>
      </c>
      <c r="EQ114" s="18" t="n"/>
      <c r="ER114" s="230">
        <f>ER115</f>
        <v/>
      </c>
      <c r="ES114" s="230">
        <f>ES115</f>
        <v/>
      </c>
      <c r="ET114" s="230">
        <f>ER114+ES114</f>
        <v/>
      </c>
      <c r="EU114" s="230">
        <f>EU115</f>
        <v/>
      </c>
      <c r="EV114" s="230">
        <f>EV115</f>
        <v/>
      </c>
      <c r="EW114" s="230">
        <f>EU114+EV114</f>
        <v/>
      </c>
      <c r="EX114" s="231">
        <f>EW114-ET114</f>
        <v/>
      </c>
      <c r="EY114" s="232">
        <f>IF(ET114=0,"",EW114/ET114)</f>
        <v/>
      </c>
      <c r="EZ114" s="25" t="n"/>
      <c r="FA114" s="227">
        <f>FA115</f>
        <v/>
      </c>
      <c r="FB114" s="227">
        <f>FB115</f>
        <v/>
      </c>
      <c r="FC114" s="227">
        <f>FA114+FB114</f>
        <v/>
      </c>
      <c r="FD114" s="227">
        <f>FD115</f>
        <v/>
      </c>
      <c r="FE114" s="227">
        <f>FE115</f>
        <v/>
      </c>
      <c r="FF114" s="227">
        <f>FD114+FE114</f>
        <v/>
      </c>
      <c r="FG114" s="228">
        <f>FF114-FC114</f>
        <v/>
      </c>
      <c r="FH114" s="229">
        <f>IF(FC114=0,"",FF114/FC114)</f>
        <v/>
      </c>
      <c r="FI114" s="18" t="n"/>
      <c r="FJ114" s="230">
        <f>FJ115</f>
        <v/>
      </c>
      <c r="FK114" s="230">
        <f>FK115</f>
        <v/>
      </c>
      <c r="FL114" s="230">
        <f>FJ114+FK114</f>
        <v/>
      </c>
      <c r="FM114" s="230">
        <f>FM115</f>
        <v/>
      </c>
      <c r="FN114" s="230">
        <f>FN115</f>
        <v/>
      </c>
      <c r="FO114" s="230">
        <f>FM114+FN114</f>
        <v/>
      </c>
      <c r="FP114" s="231">
        <f>FO114-FL114</f>
        <v/>
      </c>
      <c r="FQ114" s="232">
        <f>IF(FL114=0,"",FO114/FL114)</f>
        <v/>
      </c>
      <c r="FR114" s="25" t="n"/>
      <c r="FS114" s="227">
        <f>FS115</f>
        <v/>
      </c>
      <c r="FT114" s="227">
        <f>FT115</f>
        <v/>
      </c>
      <c r="FU114" s="227">
        <f>FS114+FT114</f>
        <v/>
      </c>
      <c r="FV114" s="227">
        <f>FV115</f>
        <v/>
      </c>
      <c r="FW114" s="227">
        <f>FW115</f>
        <v/>
      </c>
      <c r="FX114" s="227">
        <f>FV114+FW114</f>
        <v/>
      </c>
      <c r="FY114" s="228">
        <f>FX114-FU114</f>
        <v/>
      </c>
      <c r="FZ114" s="229">
        <f>IF(FU114=0,"",FX114/FU114)</f>
        <v/>
      </c>
      <c r="GA114" s="18" t="n"/>
      <c r="GB114" s="230">
        <f>GB115</f>
        <v/>
      </c>
      <c r="GC114" s="230">
        <f>GC115</f>
        <v/>
      </c>
      <c r="GD114" s="230">
        <f>GB114+GC114</f>
        <v/>
      </c>
      <c r="GE114" s="230">
        <f>GE115</f>
        <v/>
      </c>
      <c r="GF114" s="230">
        <f>GF115</f>
        <v/>
      </c>
      <c r="GG114" s="230">
        <f>GE114+GF114</f>
        <v/>
      </c>
      <c r="GH114" s="231">
        <f>GG114-GD114</f>
        <v/>
      </c>
      <c r="GI114" s="232">
        <f>IF(GD114=0,"",GG114/GD114)</f>
        <v/>
      </c>
      <c r="GJ114" s="25" t="n"/>
      <c r="GK114" s="227">
        <f>GK115</f>
        <v/>
      </c>
      <c r="GL114" s="227">
        <f>GL115</f>
        <v/>
      </c>
      <c r="GM114" s="227">
        <f>GK114+GL114</f>
        <v/>
      </c>
      <c r="GN114" s="227">
        <f>GN115</f>
        <v/>
      </c>
      <c r="GO114" s="227">
        <f>GO115</f>
        <v/>
      </c>
      <c r="GP114" s="227">
        <f>GN114+GO114</f>
        <v/>
      </c>
      <c r="GQ114" s="228">
        <f>GP114-GM114</f>
        <v/>
      </c>
      <c r="GR114" s="229">
        <f>IF(GM114=0,"",GP114/GM114)</f>
        <v/>
      </c>
      <c r="GS114" s="18" t="n"/>
      <c r="GT114" s="230">
        <f>GT115</f>
        <v/>
      </c>
      <c r="GU114" s="230">
        <f>GU115</f>
        <v/>
      </c>
      <c r="GV114" s="230">
        <f>GT114+GU114</f>
        <v/>
      </c>
      <c r="GW114" s="230">
        <f>GW115</f>
        <v/>
      </c>
      <c r="GX114" s="230">
        <f>GX115</f>
        <v/>
      </c>
      <c r="GY114" s="230">
        <f>GW114+GX114</f>
        <v/>
      </c>
      <c r="GZ114" s="231">
        <f>GY114-GV114</f>
        <v/>
      </c>
      <c r="HA114" s="232">
        <f>IF(GV114=0,"",GY114/GV114)</f>
        <v/>
      </c>
      <c r="HB114" s="25" t="n"/>
      <c r="HC114" s="227">
        <f>GT114</f>
        <v/>
      </c>
      <c r="HD114" s="227">
        <f>GU114</f>
        <v/>
      </c>
      <c r="HE114" s="227">
        <f>HC114+HD114</f>
        <v/>
      </c>
    </row>
    <row r="115" outlineLevel="1" ht="15" customHeight="1" s="150">
      <c r="A115" s="26" t="n"/>
      <c r="B115" s="26" t="n"/>
      <c r="C115" s="26" t="n"/>
      <c r="D115" s="233" t="n"/>
      <c r="E115" s="233" t="n"/>
      <c r="F115" s="233">
        <f>D115+E115</f>
        <v/>
      </c>
      <c r="G115" s="233" t="n"/>
      <c r="H115" s="233" t="n"/>
      <c r="I115" s="233">
        <f>G115+H115</f>
        <v/>
      </c>
      <c r="J115" s="238">
        <f>I115-F115</f>
        <v/>
      </c>
      <c r="K115" s="235">
        <f>IF(F115=0,"",I115/F115)</f>
        <v/>
      </c>
      <c r="L115" s="26" t="n"/>
      <c r="M115" s="233" t="n"/>
      <c r="N115" s="233" t="n"/>
      <c r="O115" s="233">
        <f>M115+N115</f>
        <v/>
      </c>
      <c r="P115" s="233" t="n"/>
      <c r="Q115" s="233" t="n"/>
      <c r="R115" s="233">
        <f>P115+Q115</f>
        <v/>
      </c>
      <c r="S115" s="238">
        <f>R115-O115</f>
        <v/>
      </c>
      <c r="T115" s="235">
        <f>IF(O115=0,"",R115/O115)</f>
        <v/>
      </c>
      <c r="U115" s="26" t="n"/>
      <c r="V115" s="236">
        <f>D115+M115</f>
        <v/>
      </c>
      <c r="W115" s="236">
        <f>E115+N115</f>
        <v/>
      </c>
      <c r="X115" s="236">
        <f>V115+W115</f>
        <v/>
      </c>
      <c r="Y115" s="236">
        <f>G115+P115</f>
        <v/>
      </c>
      <c r="Z115" s="236">
        <f>H115+Q115</f>
        <v/>
      </c>
      <c r="AA115" s="236">
        <f>Y115+Z115</f>
        <v/>
      </c>
      <c r="AB115" s="239">
        <f>AA115-X115</f>
        <v/>
      </c>
      <c r="AC115" s="237">
        <f>IF(X115=0,"",AA115/X115)</f>
        <v/>
      </c>
      <c r="AD115" s="33" t="n"/>
      <c r="AE115" s="233" t="n"/>
      <c r="AF115" s="233" t="n"/>
      <c r="AG115" s="233">
        <f>AE115+AF115</f>
        <v/>
      </c>
      <c r="AH115" s="233" t="n"/>
      <c r="AI115" s="233" t="n"/>
      <c r="AJ115" s="233">
        <f>AH115+AI115</f>
        <v/>
      </c>
      <c r="AK115" s="238">
        <f>AJ115-AG115</f>
        <v/>
      </c>
      <c r="AL115" s="235">
        <f>IF(AG115=0,"",AJ115/AG115)</f>
        <v/>
      </c>
      <c r="AM115" s="26" t="n"/>
      <c r="AN115" s="236">
        <f>V115+AE115</f>
        <v/>
      </c>
      <c r="AO115" s="236">
        <f>W115+AF115</f>
        <v/>
      </c>
      <c r="AP115" s="236">
        <f>AN115+AO115</f>
        <v/>
      </c>
      <c r="AQ115" s="236">
        <f>Y115+AH115</f>
        <v/>
      </c>
      <c r="AR115" s="236">
        <f>Z115+AI115</f>
        <v/>
      </c>
      <c r="AS115" s="236">
        <f>AQ115+AR115</f>
        <v/>
      </c>
      <c r="AT115" s="239">
        <f>AS115-AP115</f>
        <v/>
      </c>
      <c r="AU115" s="237">
        <f>IF(AP115=0,"",AS115/AP115)</f>
        <v/>
      </c>
      <c r="AV115" s="33" t="n"/>
      <c r="AW115" s="233" t="n"/>
      <c r="AX115" s="233" t="n"/>
      <c r="AY115" s="233">
        <f>AW115+AX115</f>
        <v/>
      </c>
      <c r="AZ115" s="233" t="n"/>
      <c r="BA115" s="233" t="n"/>
      <c r="BB115" s="233">
        <f>AZ115+BA115</f>
        <v/>
      </c>
      <c r="BC115" s="238">
        <f>BB115-AY115</f>
        <v/>
      </c>
      <c r="BD115" s="235">
        <f>IF(AY115=0,"",BB115/AY115)</f>
        <v/>
      </c>
      <c r="BE115" s="26" t="n"/>
      <c r="BF115" s="236">
        <f>AN115+AW115</f>
        <v/>
      </c>
      <c r="BG115" s="236">
        <f>AO115+AX115</f>
        <v/>
      </c>
      <c r="BH115" s="236">
        <f>BF115+BG115</f>
        <v/>
      </c>
      <c r="BI115" s="236">
        <f>AQ115+AZ115</f>
        <v/>
      </c>
      <c r="BJ115" s="236">
        <f>AR115+BA115</f>
        <v/>
      </c>
      <c r="BK115" s="236">
        <f>BI115+BJ115</f>
        <v/>
      </c>
      <c r="BL115" s="239">
        <f>BK115-BH115</f>
        <v/>
      </c>
      <c r="BM115" s="237">
        <f>IF(BH115=0,"",BK115/BH115)</f>
        <v/>
      </c>
      <c r="BN115" s="33" t="n"/>
      <c r="BO115" s="233" t="n"/>
      <c r="BP115" s="233" t="n"/>
      <c r="BQ115" s="233">
        <f>BO115+BP115</f>
        <v/>
      </c>
      <c r="BR115" s="233" t="n"/>
      <c r="BS115" s="233" t="n"/>
      <c r="BT115" s="233">
        <f>BR115+BS115</f>
        <v/>
      </c>
      <c r="BU115" s="238">
        <f>BT115-BQ115</f>
        <v/>
      </c>
      <c r="BV115" s="235">
        <f>IF(BQ115=0,"",BT115/BQ115)</f>
        <v/>
      </c>
      <c r="BW115" s="26" t="n"/>
      <c r="BX115" s="236">
        <f>BF115+BO115</f>
        <v/>
      </c>
      <c r="BY115" s="236">
        <f>BG115+BP115</f>
        <v/>
      </c>
      <c r="BZ115" s="236">
        <f>BX115+BY115</f>
        <v/>
      </c>
      <c r="CA115" s="236">
        <f>BI115+BR115</f>
        <v/>
      </c>
      <c r="CB115" s="236">
        <f>BJ115+BS115</f>
        <v/>
      </c>
      <c r="CC115" s="236">
        <f>CA115+CB115</f>
        <v/>
      </c>
      <c r="CD115" s="239">
        <f>CC115-BZ115</f>
        <v/>
      </c>
      <c r="CE115" s="237">
        <f>IF(BZ115=0,"",CC115/BZ115)</f>
        <v/>
      </c>
      <c r="CF115" s="33" t="n"/>
      <c r="CG115" s="233" t="n"/>
      <c r="CH115" s="233" t="n"/>
      <c r="CI115" s="233">
        <f>CG115+CH115</f>
        <v/>
      </c>
      <c r="CJ115" s="233" t="n"/>
      <c r="CK115" s="233" t="n"/>
      <c r="CL115" s="233">
        <f>CJ115+CK115</f>
        <v/>
      </c>
      <c r="CM115" s="238">
        <f>CL115-CI115</f>
        <v/>
      </c>
      <c r="CN115" s="235">
        <f>IF(CI115=0,"",CL115/CI115)</f>
        <v/>
      </c>
      <c r="CO115" s="26" t="n"/>
      <c r="CP115" s="236">
        <f>BX115+CG115</f>
        <v/>
      </c>
      <c r="CQ115" s="236">
        <f>BY115+CH115</f>
        <v/>
      </c>
      <c r="CR115" s="236">
        <f>CP115+CQ115</f>
        <v/>
      </c>
      <c r="CS115" s="236">
        <f>CA115+CJ115</f>
        <v/>
      </c>
      <c r="CT115" s="236">
        <f>CB115+CK115</f>
        <v/>
      </c>
      <c r="CU115" s="236">
        <f>CS115+CT115</f>
        <v/>
      </c>
      <c r="CV115" s="239">
        <f>CU115-CR115</f>
        <v/>
      </c>
      <c r="CW115" s="237">
        <f>IF(CR115=0,"",CU115/CR115)</f>
        <v/>
      </c>
      <c r="CX115" s="33" t="n"/>
      <c r="CY115" s="233" t="n"/>
      <c r="CZ115" s="233" t="n"/>
      <c r="DA115" s="233">
        <f>CY115+CZ115</f>
        <v/>
      </c>
      <c r="DB115" s="233" t="n"/>
      <c r="DC115" s="233" t="n"/>
      <c r="DD115" s="233">
        <f>DB115+DC115</f>
        <v/>
      </c>
      <c r="DE115" s="238">
        <f>DD115-DA115</f>
        <v/>
      </c>
      <c r="DF115" s="235">
        <f>IF(DA115=0,"",DD115/DA115)</f>
        <v/>
      </c>
      <c r="DG115" s="26" t="n"/>
      <c r="DH115" s="236">
        <f>CP115+CY115</f>
        <v/>
      </c>
      <c r="DI115" s="236">
        <f>CQ115+CZ115</f>
        <v/>
      </c>
      <c r="DJ115" s="236">
        <f>DH115+DI115</f>
        <v/>
      </c>
      <c r="DK115" s="236">
        <f>CS115+DB115</f>
        <v/>
      </c>
      <c r="DL115" s="236">
        <f>CT115+DC115</f>
        <v/>
      </c>
      <c r="DM115" s="236">
        <f>DK115+DL115</f>
        <v/>
      </c>
      <c r="DN115" s="239">
        <f>DM115-DJ115</f>
        <v/>
      </c>
      <c r="DO115" s="237">
        <f>IF(DJ115=0,"",DM115/DJ115)</f>
        <v/>
      </c>
      <c r="DP115" s="33" t="n"/>
      <c r="DQ115" s="233" t="n"/>
      <c r="DR115" s="233" t="n"/>
      <c r="DS115" s="233">
        <f>DQ115+DR115</f>
        <v/>
      </c>
      <c r="DT115" s="233" t="n"/>
      <c r="DU115" s="233" t="n"/>
      <c r="DV115" s="233">
        <f>DT115+DU115</f>
        <v/>
      </c>
      <c r="DW115" s="238">
        <f>DV115-DS115</f>
        <v/>
      </c>
      <c r="DX115" s="235">
        <f>IF(DS115=0,"",DV115/DS115)</f>
        <v/>
      </c>
      <c r="DY115" s="26" t="n"/>
      <c r="DZ115" s="236">
        <f>DH115+DQ115</f>
        <v/>
      </c>
      <c r="EA115" s="236">
        <f>DI115+DR115</f>
        <v/>
      </c>
      <c r="EB115" s="236">
        <f>DZ115+EA115</f>
        <v/>
      </c>
      <c r="EC115" s="236">
        <f>DK115+DT115</f>
        <v/>
      </c>
      <c r="ED115" s="236">
        <f>DL115+DU115</f>
        <v/>
      </c>
      <c r="EE115" s="236">
        <f>EC115+ED115</f>
        <v/>
      </c>
      <c r="EF115" s="239">
        <f>EE115-EB115</f>
        <v/>
      </c>
      <c r="EG115" s="237">
        <f>IF(EB115=0,"",EE115/EB115)</f>
        <v/>
      </c>
      <c r="EH115" s="33" t="n"/>
      <c r="EI115" s="233" t="n"/>
      <c r="EJ115" s="233" t="n"/>
      <c r="EK115" s="233">
        <f>EI115+EJ115</f>
        <v/>
      </c>
      <c r="EL115" s="233" t="n"/>
      <c r="EM115" s="233" t="n"/>
      <c r="EN115" s="233">
        <f>EL115+EM115</f>
        <v/>
      </c>
      <c r="EO115" s="238">
        <f>EN115-EK115</f>
        <v/>
      </c>
      <c r="EP115" s="235">
        <f>IF(EK115=0,"",EN115/EK115)</f>
        <v/>
      </c>
      <c r="EQ115" s="26" t="n"/>
      <c r="ER115" s="236">
        <f>DZ115+EI115</f>
        <v/>
      </c>
      <c r="ES115" s="236">
        <f>EA115+EJ115</f>
        <v/>
      </c>
      <c r="ET115" s="236">
        <f>ER115+ES115</f>
        <v/>
      </c>
      <c r="EU115" s="236">
        <f>EC115+EL115</f>
        <v/>
      </c>
      <c r="EV115" s="236">
        <f>ED115+EM115</f>
        <v/>
      </c>
      <c r="EW115" s="236">
        <f>EU115+EV115</f>
        <v/>
      </c>
      <c r="EX115" s="239">
        <f>EW115-ET115</f>
        <v/>
      </c>
      <c r="EY115" s="237">
        <f>IF(ET115=0,"",EW115/ET115)</f>
        <v/>
      </c>
      <c r="EZ115" s="33" t="n"/>
      <c r="FA115" s="233" t="n"/>
      <c r="FB115" s="233" t="n"/>
      <c r="FC115" s="233">
        <f>FA115+FB115</f>
        <v/>
      </c>
      <c r="FD115" s="233" t="n"/>
      <c r="FE115" s="233" t="n"/>
      <c r="FF115" s="233">
        <f>FD115+FE115</f>
        <v/>
      </c>
      <c r="FG115" s="238">
        <f>FF115-FC115</f>
        <v/>
      </c>
      <c r="FH115" s="235">
        <f>IF(FC115=0,"",FF115/FC115)</f>
        <v/>
      </c>
      <c r="FI115" s="26" t="n"/>
      <c r="FJ115" s="236">
        <f>ER115+FA115</f>
        <v/>
      </c>
      <c r="FK115" s="236">
        <f>ES115+FB115</f>
        <v/>
      </c>
      <c r="FL115" s="236">
        <f>FJ115+FK115</f>
        <v/>
      </c>
      <c r="FM115" s="236">
        <f>EU115+FD115</f>
        <v/>
      </c>
      <c r="FN115" s="236">
        <f>EV115+FE115</f>
        <v/>
      </c>
      <c r="FO115" s="236">
        <f>FM115+FN115</f>
        <v/>
      </c>
      <c r="FP115" s="239">
        <f>FO115-FL115</f>
        <v/>
      </c>
      <c r="FQ115" s="237">
        <f>IF(FL115=0,"",FO115/FL115)</f>
        <v/>
      </c>
      <c r="FR115" s="33" t="n"/>
      <c r="FS115" s="233" t="n"/>
      <c r="FT115" s="233" t="n"/>
      <c r="FU115" s="233">
        <f>FS115+FT115</f>
        <v/>
      </c>
      <c r="FV115" s="233" t="n"/>
      <c r="FW115" s="233" t="n"/>
      <c r="FX115" s="233">
        <f>FV115+FW115</f>
        <v/>
      </c>
      <c r="FY115" s="238">
        <f>FX115-FU115</f>
        <v/>
      </c>
      <c r="FZ115" s="235">
        <f>IF(FU115=0,"",FX115/FU115)</f>
        <v/>
      </c>
      <c r="GA115" s="26" t="n"/>
      <c r="GB115" s="236">
        <f>FJ115+FS115</f>
        <v/>
      </c>
      <c r="GC115" s="236">
        <f>FK115+FT115</f>
        <v/>
      </c>
      <c r="GD115" s="236">
        <f>GB115+GC115</f>
        <v/>
      </c>
      <c r="GE115" s="236">
        <f>FM115+FV115</f>
        <v/>
      </c>
      <c r="GF115" s="236">
        <f>FN115+FW115</f>
        <v/>
      </c>
      <c r="GG115" s="236">
        <f>GE115+GF115</f>
        <v/>
      </c>
      <c r="GH115" s="239">
        <f>GG115-GD115</f>
        <v/>
      </c>
      <c r="GI115" s="237">
        <f>IF(GD115=0,"",GG115/GD115)</f>
        <v/>
      </c>
      <c r="GJ115" s="33" t="n"/>
      <c r="GK115" s="233" t="n"/>
      <c r="GL115" s="233" t="n"/>
      <c r="GM115" s="233">
        <f>GK115+GL115</f>
        <v/>
      </c>
      <c r="GN115" s="233" t="n"/>
      <c r="GO115" s="233" t="n"/>
      <c r="GP115" s="233">
        <f>GN115+GO115</f>
        <v/>
      </c>
      <c r="GQ115" s="238">
        <f>GP115-GM115</f>
        <v/>
      </c>
      <c r="GR115" s="235">
        <f>IF(GM115=0,"",GP115/GM115)</f>
        <v/>
      </c>
      <c r="GS115" s="26" t="n"/>
      <c r="GT115" s="236">
        <f>GB115+GK115</f>
        <v/>
      </c>
      <c r="GU115" s="236">
        <f>GC115+GL115</f>
        <v/>
      </c>
      <c r="GV115" s="236">
        <f>GT115+GU115</f>
        <v/>
      </c>
      <c r="GW115" s="236">
        <f>GE115+GN115</f>
        <v/>
      </c>
      <c r="GX115" s="236">
        <f>GF115+GO115</f>
        <v/>
      </c>
      <c r="GY115" s="236">
        <f>GW115+GX115</f>
        <v/>
      </c>
      <c r="GZ115" s="239">
        <f>GY115-GV115</f>
        <v/>
      </c>
      <c r="HA115" s="237">
        <f>IF(GV115=0,"",GY115/GV115)</f>
        <v/>
      </c>
      <c r="HB115" s="33" t="n"/>
      <c r="HC115" s="233">
        <f>GT115</f>
        <v/>
      </c>
      <c r="HD115" s="233">
        <f>GU115</f>
        <v/>
      </c>
      <c r="HE115" s="233">
        <f>HC115+HD115</f>
        <v/>
      </c>
    </row>
    <row r="116" ht="15" customHeight="1" s="150">
      <c r="A116" s="18" t="n"/>
      <c r="B116" s="18" t="n"/>
      <c r="C116" s="18" t="n"/>
      <c r="D116" s="227">
        <f>D117</f>
        <v/>
      </c>
      <c r="E116" s="227">
        <f>E117</f>
        <v/>
      </c>
      <c r="F116" s="227">
        <f>D116+E116</f>
        <v/>
      </c>
      <c r="G116" s="227">
        <f>G117</f>
        <v/>
      </c>
      <c r="H116" s="227">
        <f>H117</f>
        <v/>
      </c>
      <c r="I116" s="227">
        <f>G116+H116</f>
        <v/>
      </c>
      <c r="J116" s="228">
        <f>I116-F116</f>
        <v/>
      </c>
      <c r="K116" s="229">
        <f>IF(F116=0,"",I116/F116)</f>
        <v/>
      </c>
      <c r="L116" s="18" t="n"/>
      <c r="M116" s="227">
        <f>M117</f>
        <v/>
      </c>
      <c r="N116" s="227">
        <f>N117</f>
        <v/>
      </c>
      <c r="O116" s="227">
        <f>M116+N116</f>
        <v/>
      </c>
      <c r="P116" s="227">
        <f>P117</f>
        <v/>
      </c>
      <c r="Q116" s="227">
        <f>Q117</f>
        <v/>
      </c>
      <c r="R116" s="227">
        <f>P116+Q116</f>
        <v/>
      </c>
      <c r="S116" s="228">
        <f>R116-O116</f>
        <v/>
      </c>
      <c r="T116" s="229">
        <f>IF(O116=0,"",R116/O116)</f>
        <v/>
      </c>
      <c r="U116" s="18" t="n"/>
      <c r="V116" s="230">
        <f>V117</f>
        <v/>
      </c>
      <c r="W116" s="230">
        <f>W117</f>
        <v/>
      </c>
      <c r="X116" s="230">
        <f>V116+W116</f>
        <v/>
      </c>
      <c r="Y116" s="230">
        <f>Y117</f>
        <v/>
      </c>
      <c r="Z116" s="230">
        <f>Z117</f>
        <v/>
      </c>
      <c r="AA116" s="230">
        <f>Y116+Z116</f>
        <v/>
      </c>
      <c r="AB116" s="231">
        <f>AA116-X116</f>
        <v/>
      </c>
      <c r="AC116" s="232">
        <f>IF(X116=0,"",AA116/X116)</f>
        <v/>
      </c>
      <c r="AD116" s="25" t="n"/>
      <c r="AE116" s="227">
        <f>AE117</f>
        <v/>
      </c>
      <c r="AF116" s="227">
        <f>AF117</f>
        <v/>
      </c>
      <c r="AG116" s="227">
        <f>AE116+AF116</f>
        <v/>
      </c>
      <c r="AH116" s="227">
        <f>AH117</f>
        <v/>
      </c>
      <c r="AI116" s="227">
        <f>AI117</f>
        <v/>
      </c>
      <c r="AJ116" s="227">
        <f>AH116+AI116</f>
        <v/>
      </c>
      <c r="AK116" s="228">
        <f>AJ116-AG116</f>
        <v/>
      </c>
      <c r="AL116" s="229">
        <f>IF(AG116=0,"",AJ116/AG116)</f>
        <v/>
      </c>
      <c r="AM116" s="18" t="n"/>
      <c r="AN116" s="230">
        <f>AN117</f>
        <v/>
      </c>
      <c r="AO116" s="230">
        <f>AO117</f>
        <v/>
      </c>
      <c r="AP116" s="230">
        <f>AN116+AO116</f>
        <v/>
      </c>
      <c r="AQ116" s="230">
        <f>AQ117</f>
        <v/>
      </c>
      <c r="AR116" s="230">
        <f>AR117</f>
        <v/>
      </c>
      <c r="AS116" s="230">
        <f>AQ116+AR116</f>
        <v/>
      </c>
      <c r="AT116" s="231">
        <f>AS116-AP116</f>
        <v/>
      </c>
      <c r="AU116" s="232">
        <f>IF(AP116=0,"",AS116/AP116)</f>
        <v/>
      </c>
      <c r="AV116" s="25" t="n"/>
      <c r="AW116" s="227">
        <f>AW117</f>
        <v/>
      </c>
      <c r="AX116" s="227">
        <f>AX117</f>
        <v/>
      </c>
      <c r="AY116" s="227">
        <f>AW116+AX116</f>
        <v/>
      </c>
      <c r="AZ116" s="227">
        <f>AZ117</f>
        <v/>
      </c>
      <c r="BA116" s="227">
        <f>BA117</f>
        <v/>
      </c>
      <c r="BB116" s="227">
        <f>AZ116+BA116</f>
        <v/>
      </c>
      <c r="BC116" s="228">
        <f>BB116-AY116</f>
        <v/>
      </c>
      <c r="BD116" s="229">
        <f>IF(AY116=0,"",BB116/AY116)</f>
        <v/>
      </c>
      <c r="BE116" s="18" t="n"/>
      <c r="BF116" s="230">
        <f>BF117</f>
        <v/>
      </c>
      <c r="BG116" s="230">
        <f>BG117</f>
        <v/>
      </c>
      <c r="BH116" s="230">
        <f>BF116+BG116</f>
        <v/>
      </c>
      <c r="BI116" s="230">
        <f>BI117</f>
        <v/>
      </c>
      <c r="BJ116" s="230">
        <f>BJ117</f>
        <v/>
      </c>
      <c r="BK116" s="230">
        <f>BI116+BJ116</f>
        <v/>
      </c>
      <c r="BL116" s="231">
        <f>BK116-BH116</f>
        <v/>
      </c>
      <c r="BM116" s="232">
        <f>IF(BH116=0,"",BK116/BH116)</f>
        <v/>
      </c>
      <c r="BN116" s="25" t="n"/>
      <c r="BO116" s="227">
        <f>BO117</f>
        <v/>
      </c>
      <c r="BP116" s="227">
        <f>BP117</f>
        <v/>
      </c>
      <c r="BQ116" s="227">
        <f>BO116+BP116</f>
        <v/>
      </c>
      <c r="BR116" s="227">
        <f>BR117</f>
        <v/>
      </c>
      <c r="BS116" s="227">
        <f>BS117</f>
        <v/>
      </c>
      <c r="BT116" s="227">
        <f>BR116+BS116</f>
        <v/>
      </c>
      <c r="BU116" s="228">
        <f>BT116-BQ116</f>
        <v/>
      </c>
      <c r="BV116" s="229">
        <f>IF(BQ116=0,"",BT116/BQ116)</f>
        <v/>
      </c>
      <c r="BW116" s="18" t="n"/>
      <c r="BX116" s="230">
        <f>BX117</f>
        <v/>
      </c>
      <c r="BY116" s="230">
        <f>BY117</f>
        <v/>
      </c>
      <c r="BZ116" s="230">
        <f>BX116+BY116</f>
        <v/>
      </c>
      <c r="CA116" s="230">
        <f>CA117</f>
        <v/>
      </c>
      <c r="CB116" s="230">
        <f>CB117</f>
        <v/>
      </c>
      <c r="CC116" s="230">
        <f>CA116+CB116</f>
        <v/>
      </c>
      <c r="CD116" s="231">
        <f>CC116-BZ116</f>
        <v/>
      </c>
      <c r="CE116" s="232">
        <f>IF(BZ116=0,"",CC116/BZ116)</f>
        <v/>
      </c>
      <c r="CF116" s="25" t="n"/>
      <c r="CG116" s="227">
        <f>CG117</f>
        <v/>
      </c>
      <c r="CH116" s="227">
        <f>CH117</f>
        <v/>
      </c>
      <c r="CI116" s="227">
        <f>CG116+CH116</f>
        <v/>
      </c>
      <c r="CJ116" s="227">
        <f>CJ117</f>
        <v/>
      </c>
      <c r="CK116" s="227">
        <f>CK117</f>
        <v/>
      </c>
      <c r="CL116" s="227">
        <f>CJ116+CK116</f>
        <v/>
      </c>
      <c r="CM116" s="228">
        <f>CL116-CI116</f>
        <v/>
      </c>
      <c r="CN116" s="229">
        <f>IF(CI116=0,"",CL116/CI116)</f>
        <v/>
      </c>
      <c r="CO116" s="18" t="n"/>
      <c r="CP116" s="230">
        <f>CP117</f>
        <v/>
      </c>
      <c r="CQ116" s="230">
        <f>CQ117</f>
        <v/>
      </c>
      <c r="CR116" s="230">
        <f>CP116+CQ116</f>
        <v/>
      </c>
      <c r="CS116" s="230">
        <f>CS117</f>
        <v/>
      </c>
      <c r="CT116" s="230">
        <f>CT117</f>
        <v/>
      </c>
      <c r="CU116" s="230">
        <f>CS116+CT116</f>
        <v/>
      </c>
      <c r="CV116" s="231">
        <f>CU116-CR116</f>
        <v/>
      </c>
      <c r="CW116" s="232">
        <f>IF(CR116=0,"",CU116/CR116)</f>
        <v/>
      </c>
      <c r="CX116" s="25" t="n"/>
      <c r="CY116" s="227">
        <f>CY117</f>
        <v/>
      </c>
      <c r="CZ116" s="227">
        <f>CZ117</f>
        <v/>
      </c>
      <c r="DA116" s="227">
        <f>CY116+CZ116</f>
        <v/>
      </c>
      <c r="DB116" s="227">
        <f>DB117</f>
        <v/>
      </c>
      <c r="DC116" s="227">
        <f>DC117</f>
        <v/>
      </c>
      <c r="DD116" s="227">
        <f>DB116+DC116</f>
        <v/>
      </c>
      <c r="DE116" s="228">
        <f>DD116-DA116</f>
        <v/>
      </c>
      <c r="DF116" s="229">
        <f>IF(DA116=0,"",DD116/DA116)</f>
        <v/>
      </c>
      <c r="DG116" s="18" t="n"/>
      <c r="DH116" s="230">
        <f>DH117</f>
        <v/>
      </c>
      <c r="DI116" s="230">
        <f>DI117</f>
        <v/>
      </c>
      <c r="DJ116" s="230">
        <f>DH116+DI116</f>
        <v/>
      </c>
      <c r="DK116" s="230">
        <f>DK117</f>
        <v/>
      </c>
      <c r="DL116" s="230">
        <f>DL117</f>
        <v/>
      </c>
      <c r="DM116" s="230">
        <f>DK116+DL116</f>
        <v/>
      </c>
      <c r="DN116" s="231">
        <f>DM116-DJ116</f>
        <v/>
      </c>
      <c r="DO116" s="232">
        <f>IF(DJ116=0,"",DM116/DJ116)</f>
        <v/>
      </c>
      <c r="DP116" s="25" t="n"/>
      <c r="DQ116" s="227">
        <f>DQ117</f>
        <v/>
      </c>
      <c r="DR116" s="227">
        <f>DR117</f>
        <v/>
      </c>
      <c r="DS116" s="227">
        <f>DQ116+DR116</f>
        <v/>
      </c>
      <c r="DT116" s="227">
        <f>DT117</f>
        <v/>
      </c>
      <c r="DU116" s="227">
        <f>DU117</f>
        <v/>
      </c>
      <c r="DV116" s="227">
        <f>DT116+DU116</f>
        <v/>
      </c>
      <c r="DW116" s="228">
        <f>DV116-DS116</f>
        <v/>
      </c>
      <c r="DX116" s="229">
        <f>IF(DS116=0,"",DV116/DS116)</f>
        <v/>
      </c>
      <c r="DY116" s="18" t="n"/>
      <c r="DZ116" s="230">
        <f>DZ117</f>
        <v/>
      </c>
      <c r="EA116" s="230">
        <f>EA117</f>
        <v/>
      </c>
      <c r="EB116" s="230">
        <f>DZ116+EA116</f>
        <v/>
      </c>
      <c r="EC116" s="230">
        <f>EC117</f>
        <v/>
      </c>
      <c r="ED116" s="230">
        <f>ED117</f>
        <v/>
      </c>
      <c r="EE116" s="230">
        <f>EC116+ED116</f>
        <v/>
      </c>
      <c r="EF116" s="231">
        <f>EE116-EB116</f>
        <v/>
      </c>
      <c r="EG116" s="232">
        <f>IF(EB116=0,"",EE116/EB116)</f>
        <v/>
      </c>
      <c r="EH116" s="25" t="n"/>
      <c r="EI116" s="227">
        <f>EI117</f>
        <v/>
      </c>
      <c r="EJ116" s="227">
        <f>EJ117</f>
        <v/>
      </c>
      <c r="EK116" s="227">
        <f>EI116+EJ116</f>
        <v/>
      </c>
      <c r="EL116" s="227">
        <f>EL117</f>
        <v/>
      </c>
      <c r="EM116" s="227">
        <f>EM117</f>
        <v/>
      </c>
      <c r="EN116" s="227">
        <f>EL116+EM116</f>
        <v/>
      </c>
      <c r="EO116" s="228">
        <f>EN116-EK116</f>
        <v/>
      </c>
      <c r="EP116" s="229">
        <f>IF(EK116=0,"",EN116/EK116)</f>
        <v/>
      </c>
      <c r="EQ116" s="18" t="n"/>
      <c r="ER116" s="230">
        <f>ER117</f>
        <v/>
      </c>
      <c r="ES116" s="230">
        <f>ES117</f>
        <v/>
      </c>
      <c r="ET116" s="230">
        <f>ER116+ES116</f>
        <v/>
      </c>
      <c r="EU116" s="230">
        <f>EU117</f>
        <v/>
      </c>
      <c r="EV116" s="230">
        <f>EV117</f>
        <v/>
      </c>
      <c r="EW116" s="230">
        <f>EU116+EV116</f>
        <v/>
      </c>
      <c r="EX116" s="231">
        <f>EW116-ET116</f>
        <v/>
      </c>
      <c r="EY116" s="232">
        <f>IF(ET116=0,"",EW116/ET116)</f>
        <v/>
      </c>
      <c r="EZ116" s="25" t="n"/>
      <c r="FA116" s="227">
        <f>FA117</f>
        <v/>
      </c>
      <c r="FB116" s="227">
        <f>FB117</f>
        <v/>
      </c>
      <c r="FC116" s="227">
        <f>FA116+FB116</f>
        <v/>
      </c>
      <c r="FD116" s="227">
        <f>FD117</f>
        <v/>
      </c>
      <c r="FE116" s="227">
        <f>FE117</f>
        <v/>
      </c>
      <c r="FF116" s="227">
        <f>FD116+FE116</f>
        <v/>
      </c>
      <c r="FG116" s="228">
        <f>FF116-FC116</f>
        <v/>
      </c>
      <c r="FH116" s="229">
        <f>IF(FC116=0,"",FF116/FC116)</f>
        <v/>
      </c>
      <c r="FI116" s="18" t="n"/>
      <c r="FJ116" s="230">
        <f>FJ117</f>
        <v/>
      </c>
      <c r="FK116" s="230">
        <f>FK117</f>
        <v/>
      </c>
      <c r="FL116" s="230">
        <f>FJ116+FK116</f>
        <v/>
      </c>
      <c r="FM116" s="230">
        <f>FM117</f>
        <v/>
      </c>
      <c r="FN116" s="230">
        <f>FN117</f>
        <v/>
      </c>
      <c r="FO116" s="230">
        <f>FM116+FN116</f>
        <v/>
      </c>
      <c r="FP116" s="231">
        <f>FO116-FL116</f>
        <v/>
      </c>
      <c r="FQ116" s="232">
        <f>IF(FL116=0,"",FO116/FL116)</f>
        <v/>
      </c>
      <c r="FR116" s="25" t="n"/>
      <c r="FS116" s="227">
        <f>FS117</f>
        <v/>
      </c>
      <c r="FT116" s="227">
        <f>FT117</f>
        <v/>
      </c>
      <c r="FU116" s="227">
        <f>FS116+FT116</f>
        <v/>
      </c>
      <c r="FV116" s="227">
        <f>FV117</f>
        <v/>
      </c>
      <c r="FW116" s="227">
        <f>FW117</f>
        <v/>
      </c>
      <c r="FX116" s="227">
        <f>FV116+FW116</f>
        <v/>
      </c>
      <c r="FY116" s="228">
        <f>FX116-FU116</f>
        <v/>
      </c>
      <c r="FZ116" s="229">
        <f>IF(FU116=0,"",FX116/FU116)</f>
        <v/>
      </c>
      <c r="GA116" s="18" t="n"/>
      <c r="GB116" s="230">
        <f>GB117</f>
        <v/>
      </c>
      <c r="GC116" s="230">
        <f>GC117</f>
        <v/>
      </c>
      <c r="GD116" s="230">
        <f>GB116+GC116</f>
        <v/>
      </c>
      <c r="GE116" s="230">
        <f>GE117</f>
        <v/>
      </c>
      <c r="GF116" s="230">
        <f>GF117</f>
        <v/>
      </c>
      <c r="GG116" s="230">
        <f>GE116+GF116</f>
        <v/>
      </c>
      <c r="GH116" s="231">
        <f>GG116-GD116</f>
        <v/>
      </c>
      <c r="GI116" s="232">
        <f>IF(GD116=0,"",GG116/GD116)</f>
        <v/>
      </c>
      <c r="GJ116" s="25" t="n"/>
      <c r="GK116" s="227">
        <f>GK117</f>
        <v/>
      </c>
      <c r="GL116" s="227">
        <f>GL117</f>
        <v/>
      </c>
      <c r="GM116" s="227">
        <f>GK116+GL116</f>
        <v/>
      </c>
      <c r="GN116" s="227">
        <f>GN117</f>
        <v/>
      </c>
      <c r="GO116" s="227">
        <f>GO117</f>
        <v/>
      </c>
      <c r="GP116" s="227">
        <f>GN116+GO116</f>
        <v/>
      </c>
      <c r="GQ116" s="228">
        <f>GP116-GM116</f>
        <v/>
      </c>
      <c r="GR116" s="229">
        <f>IF(GM116=0,"",GP116/GM116)</f>
        <v/>
      </c>
      <c r="GS116" s="18" t="n"/>
      <c r="GT116" s="230">
        <f>GT117</f>
        <v/>
      </c>
      <c r="GU116" s="230">
        <f>GU117</f>
        <v/>
      </c>
      <c r="GV116" s="230">
        <f>GT116+GU116</f>
        <v/>
      </c>
      <c r="GW116" s="230">
        <f>GW117</f>
        <v/>
      </c>
      <c r="GX116" s="230">
        <f>GX117</f>
        <v/>
      </c>
      <c r="GY116" s="230">
        <f>GW116+GX116</f>
        <v/>
      </c>
      <c r="GZ116" s="231">
        <f>GY116-GV116</f>
        <v/>
      </c>
      <c r="HA116" s="232">
        <f>IF(GV116=0,"",GY116/GV116)</f>
        <v/>
      </c>
      <c r="HB116" s="25" t="n"/>
      <c r="HC116" s="227">
        <f>GT116</f>
        <v/>
      </c>
      <c r="HD116" s="227">
        <f>GU116</f>
        <v/>
      </c>
      <c r="HE116" s="227">
        <f>HC116+HD116</f>
        <v/>
      </c>
    </row>
    <row r="117" outlineLevel="1" ht="47.25" customHeight="1" s="150">
      <c r="A117" s="26" t="n"/>
      <c r="B117" s="26" t="n"/>
      <c r="C117" s="26" t="n"/>
      <c r="D117" s="233" t="n"/>
      <c r="E117" s="233" t="n"/>
      <c r="F117" s="233">
        <f>D117+E117</f>
        <v/>
      </c>
      <c r="G117" s="233" t="n"/>
      <c r="H117" s="233" t="n"/>
      <c r="I117" s="233">
        <f>G117+H117</f>
        <v/>
      </c>
      <c r="J117" s="238">
        <f>I117-F117</f>
        <v/>
      </c>
      <c r="K117" s="235">
        <f>IF(F117=0,"",I117/F117)</f>
        <v/>
      </c>
      <c r="L117" s="26" t="n"/>
      <c r="M117" s="233" t="n"/>
      <c r="N117" s="233" t="n"/>
      <c r="O117" s="233">
        <f>M117+N117</f>
        <v/>
      </c>
      <c r="P117" s="233" t="n"/>
      <c r="Q117" s="233" t="n"/>
      <c r="R117" s="233">
        <f>P117+Q117</f>
        <v/>
      </c>
      <c r="S117" s="234">
        <f>R117-O117</f>
        <v/>
      </c>
      <c r="T117" s="235">
        <f>IF(O117=0,"",R117/O117)</f>
        <v/>
      </c>
      <c r="U117" s="42" t="n"/>
      <c r="V117" s="236">
        <f>D117+M117</f>
        <v/>
      </c>
      <c r="W117" s="236">
        <f>E117+N117</f>
        <v/>
      </c>
      <c r="X117" s="236">
        <f>V117+W117</f>
        <v/>
      </c>
      <c r="Y117" s="236">
        <f>G117+P117</f>
        <v/>
      </c>
      <c r="Z117" s="236">
        <f>H117+Q117</f>
        <v/>
      </c>
      <c r="AA117" s="236">
        <f>Y117+Z117</f>
        <v/>
      </c>
      <c r="AB117" s="234">
        <f>AA117-X117</f>
        <v/>
      </c>
      <c r="AC117" s="237">
        <f>IF(X117=0,"",AA117/X117)</f>
        <v/>
      </c>
      <c r="AD117" s="44" t="n"/>
      <c r="AE117" s="233" t="n"/>
      <c r="AF117" s="233" t="n"/>
      <c r="AG117" s="233">
        <f>AE117+AF117</f>
        <v/>
      </c>
      <c r="AH117" s="233" t="n"/>
      <c r="AI117" s="233" t="n"/>
      <c r="AJ117" s="233">
        <f>AH117+AI117</f>
        <v/>
      </c>
      <c r="AK117" s="234">
        <f>AJ117-AG117</f>
        <v/>
      </c>
      <c r="AL117" s="235">
        <f>IF(AG117=0,"",AJ117/AG117)</f>
        <v/>
      </c>
      <c r="AM117" s="26" t="n"/>
      <c r="AN117" s="236">
        <f>V117+AE117</f>
        <v/>
      </c>
      <c r="AO117" s="236">
        <f>W117+AF117</f>
        <v/>
      </c>
      <c r="AP117" s="236">
        <f>AN117+AO117</f>
        <v/>
      </c>
      <c r="AQ117" s="236">
        <f>Y117+AH117</f>
        <v/>
      </c>
      <c r="AR117" s="236">
        <f>Z117+AI117</f>
        <v/>
      </c>
      <c r="AS117" s="236">
        <f>AQ117+AR117</f>
        <v/>
      </c>
      <c r="AT117" s="234">
        <f>AS117-AP117</f>
        <v/>
      </c>
      <c r="AU117" s="237">
        <f>IF(AP117=0,"",AS117/AP117)</f>
        <v/>
      </c>
      <c r="AV117" s="44" t="n"/>
      <c r="AW117" s="233" t="n"/>
      <c r="AX117" s="233" t="n"/>
      <c r="AY117" s="233">
        <f>AW117+AX117</f>
        <v/>
      </c>
      <c r="AZ117" s="233" t="n"/>
      <c r="BA117" s="233" t="n"/>
      <c r="BB117" s="233">
        <f>AZ117+BA117</f>
        <v/>
      </c>
      <c r="BC117" s="238">
        <f>BB117-AY117</f>
        <v/>
      </c>
      <c r="BD117" s="235">
        <f>IF(AY117=0,"",BB117/AY117)</f>
        <v/>
      </c>
      <c r="BE117" s="26" t="n"/>
      <c r="BF117" s="236">
        <f>AN117+AW117</f>
        <v/>
      </c>
      <c r="BG117" s="236">
        <f>AO117+AX117</f>
        <v/>
      </c>
      <c r="BH117" s="236">
        <f>BF117+BG117</f>
        <v/>
      </c>
      <c r="BI117" s="236">
        <f>AQ117+AZ117</f>
        <v/>
      </c>
      <c r="BJ117" s="236">
        <f>AR117+BA117</f>
        <v/>
      </c>
      <c r="BK117" s="236">
        <f>BI117+BJ117</f>
        <v/>
      </c>
      <c r="BL117" s="239">
        <f>BK117-BH117</f>
        <v/>
      </c>
      <c r="BM117" s="237">
        <f>IF(BH117=0,"",BK117/BH117)</f>
        <v/>
      </c>
      <c r="BN117" s="33" t="n"/>
      <c r="BO117" s="233" t="n"/>
      <c r="BP117" s="233" t="n"/>
      <c r="BQ117" s="233">
        <f>BO117+BP117</f>
        <v/>
      </c>
      <c r="BR117" s="233" t="n"/>
      <c r="BS117" s="233" t="n"/>
      <c r="BT117" s="233">
        <f>BR117+BS117</f>
        <v/>
      </c>
      <c r="BU117" s="238">
        <f>BT117-BQ117</f>
        <v/>
      </c>
      <c r="BV117" s="235">
        <f>IF(BQ117=0,"",BT117/BQ117)</f>
        <v/>
      </c>
      <c r="BW117" s="26" t="n"/>
      <c r="BX117" s="236">
        <f>BF117+BO117</f>
        <v/>
      </c>
      <c r="BY117" s="236">
        <f>BG117+BP117</f>
        <v/>
      </c>
      <c r="BZ117" s="236">
        <f>BX117+BY117</f>
        <v/>
      </c>
      <c r="CA117" s="236">
        <f>BI117+BR117</f>
        <v/>
      </c>
      <c r="CB117" s="236">
        <f>BJ117+BS117</f>
        <v/>
      </c>
      <c r="CC117" s="236">
        <f>CA117+CB117</f>
        <v/>
      </c>
      <c r="CD117" s="239">
        <f>CC117-BZ117</f>
        <v/>
      </c>
      <c r="CE117" s="237">
        <f>IF(BZ117=0,"",CC117/BZ117)</f>
        <v/>
      </c>
      <c r="CF117" s="33" t="n"/>
      <c r="CG117" s="233" t="n"/>
      <c r="CH117" s="233" t="n"/>
      <c r="CI117" s="233">
        <f>CG117+CH117</f>
        <v/>
      </c>
      <c r="CJ117" s="233" t="n"/>
      <c r="CK117" s="233" t="n"/>
      <c r="CL117" s="233">
        <f>CJ117+CK117</f>
        <v/>
      </c>
      <c r="CM117" s="238">
        <f>CL117-CI117</f>
        <v/>
      </c>
      <c r="CN117" s="235">
        <f>IF(CI117=0,"",CL117/CI117)</f>
        <v/>
      </c>
      <c r="CO117" s="26" t="n"/>
      <c r="CP117" s="236">
        <f>BX117+CG117</f>
        <v/>
      </c>
      <c r="CQ117" s="236">
        <f>BY117+CH117</f>
        <v/>
      </c>
      <c r="CR117" s="236">
        <f>CP117+CQ117</f>
        <v/>
      </c>
      <c r="CS117" s="236">
        <f>CA117+CJ117</f>
        <v/>
      </c>
      <c r="CT117" s="236">
        <f>CB117+CK117</f>
        <v/>
      </c>
      <c r="CU117" s="236">
        <f>CS117+CT117</f>
        <v/>
      </c>
      <c r="CV117" s="239">
        <f>CU117-CR117</f>
        <v/>
      </c>
      <c r="CW117" s="237">
        <f>IF(CR117=0,"",CU117/CR117)</f>
        <v/>
      </c>
      <c r="CX117" s="33" t="n"/>
      <c r="CY117" s="233" t="n"/>
      <c r="CZ117" s="233" t="n"/>
      <c r="DA117" s="233">
        <f>CY117+CZ117</f>
        <v/>
      </c>
      <c r="DB117" s="233" t="n"/>
      <c r="DC117" s="233" t="n"/>
      <c r="DD117" s="233">
        <f>DB117+DC117</f>
        <v/>
      </c>
      <c r="DE117" s="238">
        <f>DD117-DA117</f>
        <v/>
      </c>
      <c r="DF117" s="235">
        <f>IF(DA117=0,"",DD117/DA117)</f>
        <v/>
      </c>
      <c r="DG117" s="26" t="n"/>
      <c r="DH117" s="236">
        <f>CP117+CY117</f>
        <v/>
      </c>
      <c r="DI117" s="236">
        <f>CQ117+CZ117</f>
        <v/>
      </c>
      <c r="DJ117" s="236">
        <f>DH117+DI117</f>
        <v/>
      </c>
      <c r="DK117" s="236">
        <f>CS117+DB117</f>
        <v/>
      </c>
      <c r="DL117" s="236">
        <f>CT117+DC117</f>
        <v/>
      </c>
      <c r="DM117" s="236">
        <f>DK117+DL117</f>
        <v/>
      </c>
      <c r="DN117" s="239">
        <f>DM117-DJ117</f>
        <v/>
      </c>
      <c r="DO117" s="237">
        <f>IF(DJ117=0,"",DM117/DJ117)</f>
        <v/>
      </c>
      <c r="DP117" s="33" t="n"/>
      <c r="DQ117" s="233" t="n"/>
      <c r="DR117" s="233" t="n"/>
      <c r="DS117" s="233">
        <f>DQ117+DR117</f>
        <v/>
      </c>
      <c r="DT117" s="233" t="n"/>
      <c r="DU117" s="233" t="n"/>
      <c r="DV117" s="233">
        <f>DT117+DU117</f>
        <v/>
      </c>
      <c r="DW117" s="238">
        <f>DV117-DS117</f>
        <v/>
      </c>
      <c r="DX117" s="235">
        <f>IF(DS117=0,"",DV117/DS117)</f>
        <v/>
      </c>
      <c r="DY117" s="26" t="n"/>
      <c r="DZ117" s="236">
        <f>DH117+DQ117</f>
        <v/>
      </c>
      <c r="EA117" s="236">
        <f>DI117+DR117</f>
        <v/>
      </c>
      <c r="EB117" s="236">
        <f>DZ117+EA117</f>
        <v/>
      </c>
      <c r="EC117" s="236">
        <f>DK117+DT117</f>
        <v/>
      </c>
      <c r="ED117" s="236">
        <f>DL117+DU117</f>
        <v/>
      </c>
      <c r="EE117" s="236">
        <f>EC117+ED117</f>
        <v/>
      </c>
      <c r="EF117" s="239">
        <f>EE117-EB117</f>
        <v/>
      </c>
      <c r="EG117" s="237">
        <f>IF(EB117=0,"",EE117/EB117)</f>
        <v/>
      </c>
      <c r="EH117" s="33" t="n"/>
      <c r="EI117" s="233" t="n"/>
      <c r="EJ117" s="233" t="n"/>
      <c r="EK117" s="233">
        <f>EI117+EJ117</f>
        <v/>
      </c>
      <c r="EL117" s="233" t="n"/>
      <c r="EM117" s="233" t="n"/>
      <c r="EN117" s="233">
        <f>EL117+EM117</f>
        <v/>
      </c>
      <c r="EO117" s="238">
        <f>EN117-EK117</f>
        <v/>
      </c>
      <c r="EP117" s="235">
        <f>IF(EK117=0,"",EN117/EK117)</f>
        <v/>
      </c>
      <c r="EQ117" s="26" t="n"/>
      <c r="ER117" s="236">
        <f>DZ117+EI117</f>
        <v/>
      </c>
      <c r="ES117" s="236">
        <f>EA117+EJ117</f>
        <v/>
      </c>
      <c r="ET117" s="236">
        <f>ER117+ES117</f>
        <v/>
      </c>
      <c r="EU117" s="236">
        <f>EC117+EL117</f>
        <v/>
      </c>
      <c r="EV117" s="236">
        <f>ED117+EM117</f>
        <v/>
      </c>
      <c r="EW117" s="236">
        <f>EU117+EV117</f>
        <v/>
      </c>
      <c r="EX117" s="239">
        <f>EW117-ET117</f>
        <v/>
      </c>
      <c r="EY117" s="237">
        <f>IF(ET117=0,"",EW117/ET117)</f>
        <v/>
      </c>
      <c r="EZ117" s="33" t="n"/>
      <c r="FA117" s="233" t="n"/>
      <c r="FB117" s="233" t="n"/>
      <c r="FC117" s="233">
        <f>FA117+FB117</f>
        <v/>
      </c>
      <c r="FD117" s="233" t="n"/>
      <c r="FE117" s="233" t="n"/>
      <c r="FF117" s="233">
        <f>FD117+FE117</f>
        <v/>
      </c>
      <c r="FG117" s="238">
        <f>FF117-FC117</f>
        <v/>
      </c>
      <c r="FH117" s="235">
        <f>IF(FC117=0,"",FF117/FC117)</f>
        <v/>
      </c>
      <c r="FI117" s="26" t="n"/>
      <c r="FJ117" s="236">
        <f>ER117+FA117</f>
        <v/>
      </c>
      <c r="FK117" s="236">
        <f>ES117+FB117</f>
        <v/>
      </c>
      <c r="FL117" s="236">
        <f>FJ117+FK117</f>
        <v/>
      </c>
      <c r="FM117" s="236">
        <f>EU117+FD117</f>
        <v/>
      </c>
      <c r="FN117" s="236">
        <f>EV117+FE117</f>
        <v/>
      </c>
      <c r="FO117" s="236">
        <f>FM117+FN117</f>
        <v/>
      </c>
      <c r="FP117" s="239">
        <f>FO117-FL117</f>
        <v/>
      </c>
      <c r="FQ117" s="237">
        <f>IF(FL117=0,"",FO117/FL117)</f>
        <v/>
      </c>
      <c r="FR117" s="33" t="n"/>
      <c r="FS117" s="233" t="n"/>
      <c r="FT117" s="233" t="n"/>
      <c r="FU117" s="233">
        <f>FS117+FT117</f>
        <v/>
      </c>
      <c r="FV117" s="233" t="n"/>
      <c r="FW117" s="233" t="n"/>
      <c r="FX117" s="233">
        <f>FV117+FW117</f>
        <v/>
      </c>
      <c r="FY117" s="238">
        <f>FX117-FU117</f>
        <v/>
      </c>
      <c r="FZ117" s="235">
        <f>IF(FU117=0,"",FX117/FU117)</f>
        <v/>
      </c>
      <c r="GA117" s="26" t="n"/>
      <c r="GB117" s="236">
        <f>FJ117+FS117</f>
        <v/>
      </c>
      <c r="GC117" s="236">
        <f>FK117+FT117</f>
        <v/>
      </c>
      <c r="GD117" s="236">
        <f>GB117+GC117</f>
        <v/>
      </c>
      <c r="GE117" s="236">
        <f>FM117+FV117</f>
        <v/>
      </c>
      <c r="GF117" s="236">
        <f>FN117+FW117</f>
        <v/>
      </c>
      <c r="GG117" s="236">
        <f>GE117+GF117</f>
        <v/>
      </c>
      <c r="GH117" s="239">
        <f>GG117-GD117</f>
        <v/>
      </c>
      <c r="GI117" s="237">
        <f>IF(GD117=0,"",GG117/GD117)</f>
        <v/>
      </c>
      <c r="GJ117" s="33" t="n"/>
      <c r="GK117" s="233" t="n"/>
      <c r="GL117" s="233" t="n"/>
      <c r="GM117" s="233">
        <f>GK117+GL117</f>
        <v/>
      </c>
      <c r="GN117" s="233" t="n"/>
      <c r="GO117" s="233" t="n"/>
      <c r="GP117" s="233">
        <f>GN117+GO117</f>
        <v/>
      </c>
      <c r="GQ117" s="238">
        <f>GP117-GM117</f>
        <v/>
      </c>
      <c r="GR117" s="235">
        <f>IF(GM117=0,"",GP117/GM117)</f>
        <v/>
      </c>
      <c r="GS117" s="26" t="n"/>
      <c r="GT117" s="236">
        <f>GB117+GK117</f>
        <v/>
      </c>
      <c r="GU117" s="236">
        <f>GC117+GL117</f>
        <v/>
      </c>
      <c r="GV117" s="236">
        <f>GT117+GU117</f>
        <v/>
      </c>
      <c r="GW117" s="236">
        <f>GE117+GN117</f>
        <v/>
      </c>
      <c r="GX117" s="236">
        <f>GF117+GO117</f>
        <v/>
      </c>
      <c r="GY117" s="236">
        <f>GW117+GX117</f>
        <v/>
      </c>
      <c r="GZ117" s="239">
        <f>GY117-GV117</f>
        <v/>
      </c>
      <c r="HA117" s="237">
        <f>IF(GV117=0,"",GY117/GV117)</f>
        <v/>
      </c>
      <c r="HB117" s="33" t="n"/>
      <c r="HC117" s="233">
        <f>GT117</f>
        <v/>
      </c>
      <c r="HD117" s="233">
        <f>GU117</f>
        <v/>
      </c>
      <c r="HE117" s="233">
        <f>HC117+HD117</f>
        <v/>
      </c>
    </row>
    <row r="118" ht="15" customHeight="1" s="150">
      <c r="A118" s="18" t="n"/>
      <c r="B118" s="18" t="n"/>
      <c r="C118" s="18" t="n"/>
      <c r="D118" s="227">
        <f>D119</f>
        <v/>
      </c>
      <c r="E118" s="227">
        <f>E119</f>
        <v/>
      </c>
      <c r="F118" s="227">
        <f>D118+E118</f>
        <v/>
      </c>
      <c r="G118" s="227">
        <f>G119</f>
        <v/>
      </c>
      <c r="H118" s="227">
        <f>H119</f>
        <v/>
      </c>
      <c r="I118" s="227">
        <f>G118+H118</f>
        <v/>
      </c>
      <c r="J118" s="228">
        <f>I118-F118</f>
        <v/>
      </c>
      <c r="K118" s="229">
        <f>IF(F118=0,"",I118/F118)</f>
        <v/>
      </c>
      <c r="L118" s="18" t="n"/>
      <c r="M118" s="227">
        <f>M119</f>
        <v/>
      </c>
      <c r="N118" s="227">
        <f>N119</f>
        <v/>
      </c>
      <c r="O118" s="227">
        <f>M118+N118</f>
        <v/>
      </c>
      <c r="P118" s="227">
        <f>P119</f>
        <v/>
      </c>
      <c r="Q118" s="227">
        <f>Q119</f>
        <v/>
      </c>
      <c r="R118" s="227">
        <f>P118+Q118</f>
        <v/>
      </c>
      <c r="S118" s="228">
        <f>R118-O118</f>
        <v/>
      </c>
      <c r="T118" s="229">
        <f>IF(O118=0,"",R118/O118)</f>
        <v/>
      </c>
      <c r="U118" s="18" t="n"/>
      <c r="V118" s="230">
        <f>V119</f>
        <v/>
      </c>
      <c r="W118" s="230">
        <f>W119</f>
        <v/>
      </c>
      <c r="X118" s="230">
        <f>V118+W118</f>
        <v/>
      </c>
      <c r="Y118" s="230">
        <f>Y119</f>
        <v/>
      </c>
      <c r="Z118" s="230">
        <f>Z119</f>
        <v/>
      </c>
      <c r="AA118" s="230">
        <f>Y118+Z118</f>
        <v/>
      </c>
      <c r="AB118" s="231">
        <f>AA118-X118</f>
        <v/>
      </c>
      <c r="AC118" s="232">
        <f>IF(X118=0,"",AA118/X118)</f>
        <v/>
      </c>
      <c r="AD118" s="25" t="n"/>
      <c r="AE118" s="227">
        <f>AE119</f>
        <v/>
      </c>
      <c r="AF118" s="227">
        <f>AF119</f>
        <v/>
      </c>
      <c r="AG118" s="227">
        <f>AE118+AF118</f>
        <v/>
      </c>
      <c r="AH118" s="227">
        <f>AH119</f>
        <v/>
      </c>
      <c r="AI118" s="227">
        <f>AI119</f>
        <v/>
      </c>
      <c r="AJ118" s="227">
        <f>AH118+AI118</f>
        <v/>
      </c>
      <c r="AK118" s="228">
        <f>AJ118-AG118</f>
        <v/>
      </c>
      <c r="AL118" s="229">
        <f>IF(AG118=0,"",AJ118/AG118)</f>
        <v/>
      </c>
      <c r="AM118" s="18" t="n"/>
      <c r="AN118" s="230">
        <f>AN119</f>
        <v/>
      </c>
      <c r="AO118" s="230">
        <f>AO119</f>
        <v/>
      </c>
      <c r="AP118" s="230">
        <f>AN118+AO118</f>
        <v/>
      </c>
      <c r="AQ118" s="230">
        <f>AQ119</f>
        <v/>
      </c>
      <c r="AR118" s="230">
        <f>AR119</f>
        <v/>
      </c>
      <c r="AS118" s="230">
        <f>AQ118+AR118</f>
        <v/>
      </c>
      <c r="AT118" s="231">
        <f>AS118-AP118</f>
        <v/>
      </c>
      <c r="AU118" s="232">
        <f>IF(AP118=0,"",AS118/AP118)</f>
        <v/>
      </c>
      <c r="AV118" s="25" t="n"/>
      <c r="AW118" s="227">
        <f>AW119</f>
        <v/>
      </c>
      <c r="AX118" s="227">
        <f>AX119</f>
        <v/>
      </c>
      <c r="AY118" s="227">
        <f>AW118+AX118</f>
        <v/>
      </c>
      <c r="AZ118" s="227">
        <f>AZ119</f>
        <v/>
      </c>
      <c r="BA118" s="227">
        <f>BA119</f>
        <v/>
      </c>
      <c r="BB118" s="227">
        <f>AZ118+BA118</f>
        <v/>
      </c>
      <c r="BC118" s="228">
        <f>BB118-AY118</f>
        <v/>
      </c>
      <c r="BD118" s="229">
        <f>IF(AY118=0,"",BB118/AY118)</f>
        <v/>
      </c>
      <c r="BE118" s="18" t="n"/>
      <c r="BF118" s="230">
        <f>BF119</f>
        <v/>
      </c>
      <c r="BG118" s="230">
        <f>BG119</f>
        <v/>
      </c>
      <c r="BH118" s="230">
        <f>BF118+BG118</f>
        <v/>
      </c>
      <c r="BI118" s="230">
        <f>BI119</f>
        <v/>
      </c>
      <c r="BJ118" s="230">
        <f>BJ119</f>
        <v/>
      </c>
      <c r="BK118" s="230">
        <f>BI118+BJ118</f>
        <v/>
      </c>
      <c r="BL118" s="231">
        <f>BK118-BH118</f>
        <v/>
      </c>
      <c r="BM118" s="232">
        <f>IF(BH118=0,"",BK118/BH118)</f>
        <v/>
      </c>
      <c r="BN118" s="25" t="n"/>
      <c r="BO118" s="227">
        <f>BO119</f>
        <v/>
      </c>
      <c r="BP118" s="227">
        <f>BP119</f>
        <v/>
      </c>
      <c r="BQ118" s="227">
        <f>BO118+BP118</f>
        <v/>
      </c>
      <c r="BR118" s="227">
        <f>BR119</f>
        <v/>
      </c>
      <c r="BS118" s="227">
        <f>BS119</f>
        <v/>
      </c>
      <c r="BT118" s="227">
        <f>BR118+BS118</f>
        <v/>
      </c>
      <c r="BU118" s="228">
        <f>BT118-BQ118</f>
        <v/>
      </c>
      <c r="BV118" s="229">
        <f>IF(BQ118=0,"",BT118/BQ118)</f>
        <v/>
      </c>
      <c r="BW118" s="18" t="n"/>
      <c r="BX118" s="230">
        <f>BX119</f>
        <v/>
      </c>
      <c r="BY118" s="230">
        <f>BY119</f>
        <v/>
      </c>
      <c r="BZ118" s="230">
        <f>BX118+BY118</f>
        <v/>
      </c>
      <c r="CA118" s="230">
        <f>CA119</f>
        <v/>
      </c>
      <c r="CB118" s="230">
        <f>CB119</f>
        <v/>
      </c>
      <c r="CC118" s="230">
        <f>CA118+CB118</f>
        <v/>
      </c>
      <c r="CD118" s="231">
        <f>CC118-BZ118</f>
        <v/>
      </c>
      <c r="CE118" s="232">
        <f>IF(BZ118=0,"",CC118/BZ118)</f>
        <v/>
      </c>
      <c r="CF118" s="25" t="n"/>
      <c r="CG118" s="227">
        <f>CG119</f>
        <v/>
      </c>
      <c r="CH118" s="227">
        <f>CH119</f>
        <v/>
      </c>
      <c r="CI118" s="227">
        <f>CG118+CH118</f>
        <v/>
      </c>
      <c r="CJ118" s="227">
        <f>CJ119</f>
        <v/>
      </c>
      <c r="CK118" s="227">
        <f>CK119</f>
        <v/>
      </c>
      <c r="CL118" s="227">
        <f>CJ118+CK118</f>
        <v/>
      </c>
      <c r="CM118" s="228">
        <f>CL118-CI118</f>
        <v/>
      </c>
      <c r="CN118" s="229">
        <f>IF(CI118=0,"",CL118/CI118)</f>
        <v/>
      </c>
      <c r="CO118" s="18" t="n"/>
      <c r="CP118" s="230">
        <f>CP119</f>
        <v/>
      </c>
      <c r="CQ118" s="230">
        <f>CQ119</f>
        <v/>
      </c>
      <c r="CR118" s="230">
        <f>CP118+CQ118</f>
        <v/>
      </c>
      <c r="CS118" s="230">
        <f>CS119</f>
        <v/>
      </c>
      <c r="CT118" s="230">
        <f>CT119</f>
        <v/>
      </c>
      <c r="CU118" s="230">
        <f>CS118+CT118</f>
        <v/>
      </c>
      <c r="CV118" s="231">
        <f>CU118-CR118</f>
        <v/>
      </c>
      <c r="CW118" s="232">
        <f>IF(CR118=0,"",CU118/CR118)</f>
        <v/>
      </c>
      <c r="CX118" s="25" t="n"/>
      <c r="CY118" s="227">
        <f>CY119</f>
        <v/>
      </c>
      <c r="CZ118" s="227">
        <f>CZ119</f>
        <v/>
      </c>
      <c r="DA118" s="227">
        <f>CY118+CZ118</f>
        <v/>
      </c>
      <c r="DB118" s="227">
        <f>DB119</f>
        <v/>
      </c>
      <c r="DC118" s="227">
        <f>DC119</f>
        <v/>
      </c>
      <c r="DD118" s="227">
        <f>DB118+DC118</f>
        <v/>
      </c>
      <c r="DE118" s="228">
        <f>DD118-DA118</f>
        <v/>
      </c>
      <c r="DF118" s="229">
        <f>IF(DA118=0,"",DD118/DA118)</f>
        <v/>
      </c>
      <c r="DG118" s="18" t="n"/>
      <c r="DH118" s="230">
        <f>DH119</f>
        <v/>
      </c>
      <c r="DI118" s="230">
        <f>DI119</f>
        <v/>
      </c>
      <c r="DJ118" s="230">
        <f>DH118+DI118</f>
        <v/>
      </c>
      <c r="DK118" s="230">
        <f>DK119</f>
        <v/>
      </c>
      <c r="DL118" s="230">
        <f>DL119</f>
        <v/>
      </c>
      <c r="DM118" s="230">
        <f>DK118+DL118</f>
        <v/>
      </c>
      <c r="DN118" s="231">
        <f>DM118-DJ118</f>
        <v/>
      </c>
      <c r="DO118" s="232">
        <f>IF(DJ118=0,"",DM118/DJ118)</f>
        <v/>
      </c>
      <c r="DP118" s="25" t="n"/>
      <c r="DQ118" s="227">
        <f>DQ119</f>
        <v/>
      </c>
      <c r="DR118" s="227">
        <f>DR119</f>
        <v/>
      </c>
      <c r="DS118" s="227">
        <f>DQ118+DR118</f>
        <v/>
      </c>
      <c r="DT118" s="227">
        <f>DT119</f>
        <v/>
      </c>
      <c r="DU118" s="227">
        <f>DU119</f>
        <v/>
      </c>
      <c r="DV118" s="227">
        <f>DT118+DU118</f>
        <v/>
      </c>
      <c r="DW118" s="228">
        <f>DV118-DS118</f>
        <v/>
      </c>
      <c r="DX118" s="229">
        <f>IF(DS118=0,"",DV118/DS118)</f>
        <v/>
      </c>
      <c r="DY118" s="18" t="n"/>
      <c r="DZ118" s="230">
        <f>DZ119</f>
        <v/>
      </c>
      <c r="EA118" s="230">
        <f>EA119</f>
        <v/>
      </c>
      <c r="EB118" s="230">
        <f>DZ118+EA118</f>
        <v/>
      </c>
      <c r="EC118" s="230">
        <f>EC119</f>
        <v/>
      </c>
      <c r="ED118" s="230">
        <f>ED119</f>
        <v/>
      </c>
      <c r="EE118" s="230">
        <f>EC118+ED118</f>
        <v/>
      </c>
      <c r="EF118" s="231">
        <f>EE118-EB118</f>
        <v/>
      </c>
      <c r="EG118" s="232">
        <f>IF(EB118=0,"",EE118/EB118)</f>
        <v/>
      </c>
      <c r="EH118" s="25" t="n"/>
      <c r="EI118" s="227">
        <f>EI119</f>
        <v/>
      </c>
      <c r="EJ118" s="227">
        <f>EJ119</f>
        <v/>
      </c>
      <c r="EK118" s="227">
        <f>EI118+EJ118</f>
        <v/>
      </c>
      <c r="EL118" s="227">
        <f>EL119</f>
        <v/>
      </c>
      <c r="EM118" s="227">
        <f>EM119</f>
        <v/>
      </c>
      <c r="EN118" s="227">
        <f>EL118+EM118</f>
        <v/>
      </c>
      <c r="EO118" s="228">
        <f>EN118-EK118</f>
        <v/>
      </c>
      <c r="EP118" s="229">
        <f>IF(EK118=0,"",EN118/EK118)</f>
        <v/>
      </c>
      <c r="EQ118" s="18" t="n"/>
      <c r="ER118" s="230">
        <f>ER119</f>
        <v/>
      </c>
      <c r="ES118" s="230">
        <f>ES119</f>
        <v/>
      </c>
      <c r="ET118" s="230">
        <f>ER118+ES118</f>
        <v/>
      </c>
      <c r="EU118" s="230">
        <f>EU119</f>
        <v/>
      </c>
      <c r="EV118" s="230">
        <f>EV119</f>
        <v/>
      </c>
      <c r="EW118" s="230">
        <f>EU118+EV118</f>
        <v/>
      </c>
      <c r="EX118" s="231">
        <f>EW118-ET118</f>
        <v/>
      </c>
      <c r="EY118" s="232">
        <f>IF(ET118=0,"",EW118/ET118)</f>
        <v/>
      </c>
      <c r="EZ118" s="25" t="n"/>
      <c r="FA118" s="227">
        <f>FA119</f>
        <v/>
      </c>
      <c r="FB118" s="227">
        <f>FB119</f>
        <v/>
      </c>
      <c r="FC118" s="227">
        <f>FA118+FB118</f>
        <v/>
      </c>
      <c r="FD118" s="227">
        <f>FD119</f>
        <v/>
      </c>
      <c r="FE118" s="227">
        <f>FE119</f>
        <v/>
      </c>
      <c r="FF118" s="227">
        <f>FD118+FE118</f>
        <v/>
      </c>
      <c r="FG118" s="228">
        <f>FF118-FC118</f>
        <v/>
      </c>
      <c r="FH118" s="229">
        <f>IF(FC118=0,"",FF118/FC118)</f>
        <v/>
      </c>
      <c r="FI118" s="18" t="n"/>
      <c r="FJ118" s="230">
        <f>FJ119</f>
        <v/>
      </c>
      <c r="FK118" s="230">
        <f>FK119</f>
        <v/>
      </c>
      <c r="FL118" s="230">
        <f>FJ118+FK118</f>
        <v/>
      </c>
      <c r="FM118" s="230">
        <f>FM119</f>
        <v/>
      </c>
      <c r="FN118" s="230">
        <f>FN119</f>
        <v/>
      </c>
      <c r="FO118" s="230">
        <f>FM118+FN118</f>
        <v/>
      </c>
      <c r="FP118" s="231">
        <f>FO118-FL118</f>
        <v/>
      </c>
      <c r="FQ118" s="232">
        <f>IF(FL118=0,"",FO118/FL118)</f>
        <v/>
      </c>
      <c r="FR118" s="25" t="n"/>
      <c r="FS118" s="227">
        <f>FS119</f>
        <v/>
      </c>
      <c r="FT118" s="227">
        <f>FT119</f>
        <v/>
      </c>
      <c r="FU118" s="227">
        <f>FS118+FT118</f>
        <v/>
      </c>
      <c r="FV118" s="227">
        <f>FV119</f>
        <v/>
      </c>
      <c r="FW118" s="227">
        <f>FW119</f>
        <v/>
      </c>
      <c r="FX118" s="227">
        <f>FV118+FW118</f>
        <v/>
      </c>
      <c r="FY118" s="228">
        <f>FX118-FU118</f>
        <v/>
      </c>
      <c r="FZ118" s="229">
        <f>IF(FU118=0,"",FX118/FU118)</f>
        <v/>
      </c>
      <c r="GA118" s="18" t="n"/>
      <c r="GB118" s="230">
        <f>GB119</f>
        <v/>
      </c>
      <c r="GC118" s="230">
        <f>GC119</f>
        <v/>
      </c>
      <c r="GD118" s="230">
        <f>GB118+GC118</f>
        <v/>
      </c>
      <c r="GE118" s="230">
        <f>GE119</f>
        <v/>
      </c>
      <c r="GF118" s="230">
        <f>GF119</f>
        <v/>
      </c>
      <c r="GG118" s="230">
        <f>GE118+GF118</f>
        <v/>
      </c>
      <c r="GH118" s="231">
        <f>GG118-GD118</f>
        <v/>
      </c>
      <c r="GI118" s="232">
        <f>IF(GD118=0,"",GG118/GD118)</f>
        <v/>
      </c>
      <c r="GJ118" s="25" t="n"/>
      <c r="GK118" s="227">
        <f>GK119</f>
        <v/>
      </c>
      <c r="GL118" s="227">
        <f>GL119</f>
        <v/>
      </c>
      <c r="GM118" s="227">
        <f>GK118+GL118</f>
        <v/>
      </c>
      <c r="GN118" s="227">
        <f>GN119</f>
        <v/>
      </c>
      <c r="GO118" s="227">
        <f>GO119</f>
        <v/>
      </c>
      <c r="GP118" s="227">
        <f>GN118+GO118</f>
        <v/>
      </c>
      <c r="GQ118" s="228">
        <f>GP118-GM118</f>
        <v/>
      </c>
      <c r="GR118" s="229">
        <f>IF(GM118=0,"",GP118/GM118)</f>
        <v/>
      </c>
      <c r="GS118" s="18" t="n"/>
      <c r="GT118" s="230">
        <f>GT119</f>
        <v/>
      </c>
      <c r="GU118" s="230">
        <f>GU119</f>
        <v/>
      </c>
      <c r="GV118" s="230">
        <f>GT118+GU118</f>
        <v/>
      </c>
      <c r="GW118" s="230">
        <f>GW119</f>
        <v/>
      </c>
      <c r="GX118" s="230">
        <f>GX119</f>
        <v/>
      </c>
      <c r="GY118" s="230">
        <f>GW118+GX118</f>
        <v/>
      </c>
      <c r="GZ118" s="231">
        <f>GY118-GV118</f>
        <v/>
      </c>
      <c r="HA118" s="232">
        <f>IF(GV118=0,"",GY118/GV118)</f>
        <v/>
      </c>
      <c r="HB118" s="25" t="n"/>
      <c r="HC118" s="227">
        <f>GT118</f>
        <v/>
      </c>
      <c r="HD118" s="227">
        <f>GU118</f>
        <v/>
      </c>
      <c r="HE118" s="227">
        <f>HC118+HD118</f>
        <v/>
      </c>
    </row>
    <row r="119" outlineLevel="1" ht="15" customHeight="1" s="150">
      <c r="A119" s="26" t="n"/>
      <c r="B119" s="26" t="n"/>
      <c r="C119" s="26" t="n"/>
      <c r="D119" s="233" t="n"/>
      <c r="E119" s="233" t="n"/>
      <c r="F119" s="233">
        <f>D119+E119</f>
        <v/>
      </c>
      <c r="G119" s="233" t="n"/>
      <c r="H119" s="233" t="n"/>
      <c r="I119" s="233">
        <f>G119+H119</f>
        <v/>
      </c>
      <c r="J119" s="238">
        <f>I119-F119</f>
        <v/>
      </c>
      <c r="K119" s="235">
        <f>IF(F119=0,"",I119/F119)</f>
        <v/>
      </c>
      <c r="L119" s="26" t="n"/>
      <c r="M119" s="233" t="n"/>
      <c r="N119" s="233" t="n"/>
      <c r="O119" s="233">
        <f>M119+N119</f>
        <v/>
      </c>
      <c r="P119" s="233" t="n"/>
      <c r="Q119" s="233" t="n"/>
      <c r="R119" s="233">
        <f>P119+Q119</f>
        <v/>
      </c>
      <c r="S119" s="238">
        <f>R119-O119</f>
        <v/>
      </c>
      <c r="T119" s="235">
        <f>IF(O119=0,"",R119/O119)</f>
        <v/>
      </c>
      <c r="U119" s="26" t="n"/>
      <c r="V119" s="236">
        <f>D119+M119</f>
        <v/>
      </c>
      <c r="W119" s="236">
        <f>E119+N119</f>
        <v/>
      </c>
      <c r="X119" s="236">
        <f>V119+W119</f>
        <v/>
      </c>
      <c r="Y119" s="236">
        <f>G119+P119</f>
        <v/>
      </c>
      <c r="Z119" s="236">
        <f>H119+Q119</f>
        <v/>
      </c>
      <c r="AA119" s="236">
        <f>Y119+Z119</f>
        <v/>
      </c>
      <c r="AB119" s="239">
        <f>AA119-X119</f>
        <v/>
      </c>
      <c r="AC119" s="237">
        <f>IF(X119=0,"",AA119/X119)</f>
        <v/>
      </c>
      <c r="AD119" s="33" t="n"/>
      <c r="AE119" s="233" t="n"/>
      <c r="AF119" s="233" t="n"/>
      <c r="AG119" s="233">
        <f>AE119+AF119</f>
        <v/>
      </c>
      <c r="AH119" s="233" t="n"/>
      <c r="AI119" s="233" t="n"/>
      <c r="AJ119" s="233">
        <f>AH119+AI119</f>
        <v/>
      </c>
      <c r="AK119" s="238">
        <f>AJ119-AG119</f>
        <v/>
      </c>
      <c r="AL119" s="235">
        <f>IF(AG119=0,"",AJ119/AG119)</f>
        <v/>
      </c>
      <c r="AM119" s="26" t="n"/>
      <c r="AN119" s="236">
        <f>V119+AE119</f>
        <v/>
      </c>
      <c r="AO119" s="236">
        <f>W119+AF119</f>
        <v/>
      </c>
      <c r="AP119" s="236">
        <f>AN119+AO119</f>
        <v/>
      </c>
      <c r="AQ119" s="236">
        <f>Y119+AH119</f>
        <v/>
      </c>
      <c r="AR119" s="236">
        <f>Z119+AI119</f>
        <v/>
      </c>
      <c r="AS119" s="236">
        <f>AQ119+AR119</f>
        <v/>
      </c>
      <c r="AT119" s="239">
        <f>AS119-AP119</f>
        <v/>
      </c>
      <c r="AU119" s="237">
        <f>IF(AP119=0,"",AS119/AP119)</f>
        <v/>
      </c>
      <c r="AV119" s="33" t="n"/>
      <c r="AW119" s="233" t="n"/>
      <c r="AX119" s="233" t="n"/>
      <c r="AY119" s="233">
        <f>AW119+AX119</f>
        <v/>
      </c>
      <c r="AZ119" s="233" t="n"/>
      <c r="BA119" s="233" t="n"/>
      <c r="BB119" s="233">
        <f>AZ119+BA119</f>
        <v/>
      </c>
      <c r="BC119" s="238">
        <f>BB119-AY119</f>
        <v/>
      </c>
      <c r="BD119" s="235">
        <f>IF(AY119=0,"",BB119/AY119)</f>
        <v/>
      </c>
      <c r="BE119" s="26" t="n"/>
      <c r="BF119" s="236">
        <f>AN119+AW119</f>
        <v/>
      </c>
      <c r="BG119" s="236">
        <f>AO119+AX119</f>
        <v/>
      </c>
      <c r="BH119" s="236">
        <f>BF119+BG119</f>
        <v/>
      </c>
      <c r="BI119" s="236">
        <f>AQ119+AZ119</f>
        <v/>
      </c>
      <c r="BJ119" s="236">
        <f>AR119+BA119</f>
        <v/>
      </c>
      <c r="BK119" s="236">
        <f>BI119+BJ119</f>
        <v/>
      </c>
      <c r="BL119" s="239">
        <f>BK119-BH119</f>
        <v/>
      </c>
      <c r="BM119" s="237">
        <f>IF(BH119=0,"",BK119/BH119)</f>
        <v/>
      </c>
      <c r="BN119" s="33" t="n"/>
      <c r="BO119" s="233" t="n"/>
      <c r="BP119" s="233" t="n"/>
      <c r="BQ119" s="233">
        <f>BO119+BP119</f>
        <v/>
      </c>
      <c r="BR119" s="233" t="n"/>
      <c r="BS119" s="233" t="n"/>
      <c r="BT119" s="233">
        <f>BR119+BS119</f>
        <v/>
      </c>
      <c r="BU119" s="238">
        <f>BT119-BQ119</f>
        <v/>
      </c>
      <c r="BV119" s="235">
        <f>IF(BQ119=0,"",BT119/BQ119)</f>
        <v/>
      </c>
      <c r="BW119" s="26" t="n"/>
      <c r="BX119" s="236">
        <f>BF119+BO119</f>
        <v/>
      </c>
      <c r="BY119" s="236">
        <f>BG119+BP119</f>
        <v/>
      </c>
      <c r="BZ119" s="236">
        <f>BX119+BY119</f>
        <v/>
      </c>
      <c r="CA119" s="236">
        <f>BI119+BR119</f>
        <v/>
      </c>
      <c r="CB119" s="236">
        <f>BJ119+BS119</f>
        <v/>
      </c>
      <c r="CC119" s="236">
        <f>CA119+CB119</f>
        <v/>
      </c>
      <c r="CD119" s="239">
        <f>CC119-BZ119</f>
        <v/>
      </c>
      <c r="CE119" s="237">
        <f>IF(BZ119=0,"",CC119/BZ119)</f>
        <v/>
      </c>
      <c r="CF119" s="33" t="n"/>
      <c r="CG119" s="233" t="n"/>
      <c r="CH119" s="233" t="n"/>
      <c r="CI119" s="233">
        <f>CG119+CH119</f>
        <v/>
      </c>
      <c r="CJ119" s="233" t="n"/>
      <c r="CK119" s="233" t="n"/>
      <c r="CL119" s="233">
        <f>CJ119+CK119</f>
        <v/>
      </c>
      <c r="CM119" s="238">
        <f>CL119-CI119</f>
        <v/>
      </c>
      <c r="CN119" s="235">
        <f>IF(CI119=0,"",CL119/CI119)</f>
        <v/>
      </c>
      <c r="CO119" s="26" t="n"/>
      <c r="CP119" s="236">
        <f>BX119+CG119</f>
        <v/>
      </c>
      <c r="CQ119" s="236">
        <f>BY119+CH119</f>
        <v/>
      </c>
      <c r="CR119" s="236">
        <f>CP119+CQ119</f>
        <v/>
      </c>
      <c r="CS119" s="236">
        <f>CA119+CJ119</f>
        <v/>
      </c>
      <c r="CT119" s="236">
        <f>CB119+CK119</f>
        <v/>
      </c>
      <c r="CU119" s="236">
        <f>CS119+CT119</f>
        <v/>
      </c>
      <c r="CV119" s="239">
        <f>CU119-CR119</f>
        <v/>
      </c>
      <c r="CW119" s="237">
        <f>IF(CR119=0,"",CU119/CR119)</f>
        <v/>
      </c>
      <c r="CX119" s="33" t="n"/>
      <c r="CY119" s="233" t="n"/>
      <c r="CZ119" s="233" t="n"/>
      <c r="DA119" s="233">
        <f>CY119+CZ119</f>
        <v/>
      </c>
      <c r="DB119" s="233" t="n"/>
      <c r="DC119" s="233" t="n"/>
      <c r="DD119" s="233">
        <f>DB119+DC119</f>
        <v/>
      </c>
      <c r="DE119" s="238">
        <f>DD119-DA119</f>
        <v/>
      </c>
      <c r="DF119" s="235">
        <f>IF(DA119=0,"",DD119/DA119)</f>
        <v/>
      </c>
      <c r="DG119" s="26" t="n"/>
      <c r="DH119" s="236">
        <f>CP119+CY119</f>
        <v/>
      </c>
      <c r="DI119" s="236">
        <f>CQ119+CZ119</f>
        <v/>
      </c>
      <c r="DJ119" s="236">
        <f>DH119+DI119</f>
        <v/>
      </c>
      <c r="DK119" s="236">
        <f>CS119+DB119</f>
        <v/>
      </c>
      <c r="DL119" s="236">
        <f>CT119+DC119</f>
        <v/>
      </c>
      <c r="DM119" s="236">
        <f>DK119+DL119</f>
        <v/>
      </c>
      <c r="DN119" s="239">
        <f>DM119-DJ119</f>
        <v/>
      </c>
      <c r="DO119" s="237">
        <f>IF(DJ119=0,"",DM119/DJ119)</f>
        <v/>
      </c>
      <c r="DP119" s="33" t="n"/>
      <c r="DQ119" s="233" t="n"/>
      <c r="DR119" s="233" t="n"/>
      <c r="DS119" s="233">
        <f>DQ119+DR119</f>
        <v/>
      </c>
      <c r="DT119" s="233" t="n"/>
      <c r="DU119" s="233" t="n"/>
      <c r="DV119" s="233">
        <f>DT119+DU119</f>
        <v/>
      </c>
      <c r="DW119" s="238">
        <f>DV119-DS119</f>
        <v/>
      </c>
      <c r="DX119" s="235">
        <f>IF(DS119=0,"",DV119/DS119)</f>
        <v/>
      </c>
      <c r="DY119" s="26" t="n"/>
      <c r="DZ119" s="236">
        <f>DH119+DQ119</f>
        <v/>
      </c>
      <c r="EA119" s="236">
        <f>DI119+DR119</f>
        <v/>
      </c>
      <c r="EB119" s="236">
        <f>DZ119+EA119</f>
        <v/>
      </c>
      <c r="EC119" s="236">
        <f>DK119+DT119</f>
        <v/>
      </c>
      <c r="ED119" s="236">
        <f>DL119+DU119</f>
        <v/>
      </c>
      <c r="EE119" s="236">
        <f>EC119+ED119</f>
        <v/>
      </c>
      <c r="EF119" s="239">
        <f>EE119-EB119</f>
        <v/>
      </c>
      <c r="EG119" s="237">
        <f>IF(EB119=0,"",EE119/EB119)</f>
        <v/>
      </c>
      <c r="EH119" s="33" t="n"/>
      <c r="EI119" s="233" t="n"/>
      <c r="EJ119" s="233" t="n"/>
      <c r="EK119" s="233">
        <f>EI119+EJ119</f>
        <v/>
      </c>
      <c r="EL119" s="233" t="n"/>
      <c r="EM119" s="233" t="n"/>
      <c r="EN119" s="233">
        <f>EL119+EM119</f>
        <v/>
      </c>
      <c r="EO119" s="238">
        <f>EN119-EK119</f>
        <v/>
      </c>
      <c r="EP119" s="235">
        <f>IF(EK119=0,"",EN119/EK119)</f>
        <v/>
      </c>
      <c r="EQ119" s="26" t="n"/>
      <c r="ER119" s="236">
        <f>DZ119+EI119</f>
        <v/>
      </c>
      <c r="ES119" s="236">
        <f>EA119+EJ119</f>
        <v/>
      </c>
      <c r="ET119" s="236">
        <f>ER119+ES119</f>
        <v/>
      </c>
      <c r="EU119" s="236">
        <f>EC119+EL119</f>
        <v/>
      </c>
      <c r="EV119" s="236">
        <f>ED119+EM119</f>
        <v/>
      </c>
      <c r="EW119" s="236">
        <f>EU119+EV119</f>
        <v/>
      </c>
      <c r="EX119" s="239">
        <f>EW119-ET119</f>
        <v/>
      </c>
      <c r="EY119" s="237">
        <f>IF(ET119=0,"",EW119/ET119)</f>
        <v/>
      </c>
      <c r="EZ119" s="33" t="n"/>
      <c r="FA119" s="233" t="n"/>
      <c r="FB119" s="233" t="n"/>
      <c r="FC119" s="233">
        <f>FA119+FB119</f>
        <v/>
      </c>
      <c r="FD119" s="233" t="n"/>
      <c r="FE119" s="233" t="n"/>
      <c r="FF119" s="233">
        <f>FD119+FE119</f>
        <v/>
      </c>
      <c r="FG119" s="238">
        <f>FF119-FC119</f>
        <v/>
      </c>
      <c r="FH119" s="235">
        <f>IF(FC119=0,"",FF119/FC119)</f>
        <v/>
      </c>
      <c r="FI119" s="26" t="n"/>
      <c r="FJ119" s="236">
        <f>ER119+FA119</f>
        <v/>
      </c>
      <c r="FK119" s="236">
        <f>ES119+FB119</f>
        <v/>
      </c>
      <c r="FL119" s="236">
        <f>FJ119+FK119</f>
        <v/>
      </c>
      <c r="FM119" s="236">
        <f>EU119+FD119</f>
        <v/>
      </c>
      <c r="FN119" s="236">
        <f>EV119+FE119</f>
        <v/>
      </c>
      <c r="FO119" s="236">
        <f>FM119+FN119</f>
        <v/>
      </c>
      <c r="FP119" s="239">
        <f>FO119-FL119</f>
        <v/>
      </c>
      <c r="FQ119" s="237">
        <f>IF(FL119=0,"",FO119/FL119)</f>
        <v/>
      </c>
      <c r="FR119" s="33" t="n"/>
      <c r="FS119" s="233" t="n"/>
      <c r="FT119" s="233" t="n"/>
      <c r="FU119" s="233">
        <f>FS119+FT119</f>
        <v/>
      </c>
      <c r="FV119" s="233" t="n"/>
      <c r="FW119" s="233" t="n"/>
      <c r="FX119" s="233">
        <f>FV119+FW119</f>
        <v/>
      </c>
      <c r="FY119" s="238">
        <f>FX119-FU119</f>
        <v/>
      </c>
      <c r="FZ119" s="235">
        <f>IF(FU119=0,"",FX119/FU119)</f>
        <v/>
      </c>
      <c r="GA119" s="26" t="n"/>
      <c r="GB119" s="236">
        <f>FJ119+FS119</f>
        <v/>
      </c>
      <c r="GC119" s="236">
        <f>FK119+FT119</f>
        <v/>
      </c>
      <c r="GD119" s="236">
        <f>GB119+GC119</f>
        <v/>
      </c>
      <c r="GE119" s="236">
        <f>FM119+FV119</f>
        <v/>
      </c>
      <c r="GF119" s="236">
        <f>FN119+FW119</f>
        <v/>
      </c>
      <c r="GG119" s="236">
        <f>GE119+GF119</f>
        <v/>
      </c>
      <c r="GH119" s="239">
        <f>GG119-GD119</f>
        <v/>
      </c>
      <c r="GI119" s="237">
        <f>IF(GD119=0,"",GG119/GD119)</f>
        <v/>
      </c>
      <c r="GJ119" s="33" t="n"/>
      <c r="GK119" s="233" t="n"/>
      <c r="GL119" s="233" t="n"/>
      <c r="GM119" s="233">
        <f>GK119+GL119</f>
        <v/>
      </c>
      <c r="GN119" s="233" t="n"/>
      <c r="GO119" s="233" t="n"/>
      <c r="GP119" s="233">
        <f>GN119+GO119</f>
        <v/>
      </c>
      <c r="GQ119" s="238">
        <f>GP119-GM119</f>
        <v/>
      </c>
      <c r="GR119" s="235">
        <f>IF(GM119=0,"",GP119/GM119)</f>
        <v/>
      </c>
      <c r="GS119" s="26" t="n"/>
      <c r="GT119" s="236">
        <f>GB119+GK119</f>
        <v/>
      </c>
      <c r="GU119" s="236">
        <f>GC119+GL119</f>
        <v/>
      </c>
      <c r="GV119" s="236">
        <f>GT119+GU119</f>
        <v/>
      </c>
      <c r="GW119" s="236">
        <f>GE119+GN119</f>
        <v/>
      </c>
      <c r="GX119" s="236">
        <f>GF119+GO119</f>
        <v/>
      </c>
      <c r="GY119" s="236">
        <f>GW119+GX119</f>
        <v/>
      </c>
      <c r="GZ119" s="239">
        <f>GY119-GV119</f>
        <v/>
      </c>
      <c r="HA119" s="237">
        <f>IF(GV119=0,"",GY119/GV119)</f>
        <v/>
      </c>
      <c r="HB119" s="33" t="n"/>
      <c r="HC119" s="233">
        <f>GT119</f>
        <v/>
      </c>
      <c r="HD119" s="233">
        <f>GU119</f>
        <v/>
      </c>
      <c r="HE119" s="233">
        <f>HC119+HD119</f>
        <v/>
      </c>
    </row>
    <row r="120" ht="15" customHeight="1" s="150">
      <c r="A120" s="18" t="n"/>
      <c r="B120" s="18" t="n"/>
      <c r="C120" s="18" t="n"/>
      <c r="D120" s="227">
        <f>D121</f>
        <v/>
      </c>
      <c r="E120" s="227">
        <f>E121</f>
        <v/>
      </c>
      <c r="F120" s="227">
        <f>D120+E120</f>
        <v/>
      </c>
      <c r="G120" s="227">
        <f>G121</f>
        <v/>
      </c>
      <c r="H120" s="227">
        <f>H121</f>
        <v/>
      </c>
      <c r="I120" s="227">
        <f>G120+H120</f>
        <v/>
      </c>
      <c r="J120" s="228">
        <f>I120-F120</f>
        <v/>
      </c>
      <c r="K120" s="229">
        <f>IF(F120=0,"",I120/F120)</f>
        <v/>
      </c>
      <c r="L120" s="18" t="n"/>
      <c r="M120" s="227">
        <f>M121</f>
        <v/>
      </c>
      <c r="N120" s="227">
        <f>N121</f>
        <v/>
      </c>
      <c r="O120" s="227">
        <f>M120+N120</f>
        <v/>
      </c>
      <c r="P120" s="227">
        <f>P121</f>
        <v/>
      </c>
      <c r="Q120" s="227">
        <f>Q121</f>
        <v/>
      </c>
      <c r="R120" s="227">
        <f>P120+Q120</f>
        <v/>
      </c>
      <c r="S120" s="228">
        <f>R120-O120</f>
        <v/>
      </c>
      <c r="T120" s="229">
        <f>IF(O120=0,"",R120/O120)</f>
        <v/>
      </c>
      <c r="U120" s="18" t="n"/>
      <c r="V120" s="230">
        <f>V121</f>
        <v/>
      </c>
      <c r="W120" s="230">
        <f>W121</f>
        <v/>
      </c>
      <c r="X120" s="230">
        <f>V120+W120</f>
        <v/>
      </c>
      <c r="Y120" s="230">
        <f>Y121</f>
        <v/>
      </c>
      <c r="Z120" s="230">
        <f>Z121</f>
        <v/>
      </c>
      <c r="AA120" s="230">
        <f>Y120+Z120</f>
        <v/>
      </c>
      <c r="AB120" s="231">
        <f>AA120-X120</f>
        <v/>
      </c>
      <c r="AC120" s="232">
        <f>IF(X120=0,"",AA120/X120)</f>
        <v/>
      </c>
      <c r="AD120" s="25" t="n"/>
      <c r="AE120" s="227">
        <f>AE121</f>
        <v/>
      </c>
      <c r="AF120" s="227">
        <f>AF121</f>
        <v/>
      </c>
      <c r="AG120" s="227">
        <f>AE120+AF120</f>
        <v/>
      </c>
      <c r="AH120" s="227">
        <f>AH121</f>
        <v/>
      </c>
      <c r="AI120" s="227">
        <f>AI121</f>
        <v/>
      </c>
      <c r="AJ120" s="227">
        <f>AH120+AI120</f>
        <v/>
      </c>
      <c r="AK120" s="228">
        <f>AJ120-AG120</f>
        <v/>
      </c>
      <c r="AL120" s="229">
        <f>IF(AG120=0,"",AJ120/AG120)</f>
        <v/>
      </c>
      <c r="AM120" s="18" t="n"/>
      <c r="AN120" s="230">
        <f>AN121</f>
        <v/>
      </c>
      <c r="AO120" s="230">
        <f>AO121</f>
        <v/>
      </c>
      <c r="AP120" s="230">
        <f>AN120+AO120</f>
        <v/>
      </c>
      <c r="AQ120" s="230">
        <f>AQ121</f>
        <v/>
      </c>
      <c r="AR120" s="230">
        <f>AR121</f>
        <v/>
      </c>
      <c r="AS120" s="230">
        <f>AQ120+AR120</f>
        <v/>
      </c>
      <c r="AT120" s="231">
        <f>AS120-AP120</f>
        <v/>
      </c>
      <c r="AU120" s="232">
        <f>IF(AP120=0,"",AS120/AP120)</f>
        <v/>
      </c>
      <c r="AV120" s="25" t="n"/>
      <c r="AW120" s="227">
        <f>AW121</f>
        <v/>
      </c>
      <c r="AX120" s="227">
        <f>AX121</f>
        <v/>
      </c>
      <c r="AY120" s="227">
        <f>AW120+AX120</f>
        <v/>
      </c>
      <c r="AZ120" s="227">
        <f>AZ121</f>
        <v/>
      </c>
      <c r="BA120" s="227">
        <f>BA121</f>
        <v/>
      </c>
      <c r="BB120" s="227">
        <f>AZ120+BA120</f>
        <v/>
      </c>
      <c r="BC120" s="228">
        <f>BB120-AY120</f>
        <v/>
      </c>
      <c r="BD120" s="229">
        <f>IF(AY120=0,"",BB120/AY120)</f>
        <v/>
      </c>
      <c r="BE120" s="18" t="n"/>
      <c r="BF120" s="230">
        <f>BF121</f>
        <v/>
      </c>
      <c r="BG120" s="230">
        <f>BG121</f>
        <v/>
      </c>
      <c r="BH120" s="230">
        <f>BF120+BG120</f>
        <v/>
      </c>
      <c r="BI120" s="230">
        <f>BI121</f>
        <v/>
      </c>
      <c r="BJ120" s="230">
        <f>BJ121</f>
        <v/>
      </c>
      <c r="BK120" s="230">
        <f>BI120+BJ120</f>
        <v/>
      </c>
      <c r="BL120" s="231">
        <f>BK120-BH120</f>
        <v/>
      </c>
      <c r="BM120" s="232">
        <f>IF(BH120=0,"",BK120/BH120)</f>
        <v/>
      </c>
      <c r="BN120" s="25" t="n"/>
      <c r="BO120" s="227">
        <f>BO121</f>
        <v/>
      </c>
      <c r="BP120" s="227">
        <f>BP121</f>
        <v/>
      </c>
      <c r="BQ120" s="227">
        <f>BO120+BP120</f>
        <v/>
      </c>
      <c r="BR120" s="227">
        <f>BR121</f>
        <v/>
      </c>
      <c r="BS120" s="227">
        <f>BS121</f>
        <v/>
      </c>
      <c r="BT120" s="227">
        <f>BR120+BS120</f>
        <v/>
      </c>
      <c r="BU120" s="228">
        <f>BT120-BQ120</f>
        <v/>
      </c>
      <c r="BV120" s="229">
        <f>IF(BQ120=0,"",BT120/BQ120)</f>
        <v/>
      </c>
      <c r="BW120" s="18" t="n"/>
      <c r="BX120" s="230">
        <f>BX121</f>
        <v/>
      </c>
      <c r="BY120" s="230">
        <f>BY121</f>
        <v/>
      </c>
      <c r="BZ120" s="230">
        <f>BX120+BY120</f>
        <v/>
      </c>
      <c r="CA120" s="230">
        <f>CA121</f>
        <v/>
      </c>
      <c r="CB120" s="230">
        <f>CB121</f>
        <v/>
      </c>
      <c r="CC120" s="230">
        <f>CA120+CB120</f>
        <v/>
      </c>
      <c r="CD120" s="231">
        <f>CC120-BZ120</f>
        <v/>
      </c>
      <c r="CE120" s="232">
        <f>IF(BZ120=0,"",CC120/BZ120)</f>
        <v/>
      </c>
      <c r="CF120" s="25" t="n"/>
      <c r="CG120" s="227">
        <f>CG121</f>
        <v/>
      </c>
      <c r="CH120" s="227">
        <f>CH121</f>
        <v/>
      </c>
      <c r="CI120" s="227">
        <f>CG120+CH120</f>
        <v/>
      </c>
      <c r="CJ120" s="227">
        <f>CJ121</f>
        <v/>
      </c>
      <c r="CK120" s="227">
        <f>CK121</f>
        <v/>
      </c>
      <c r="CL120" s="227">
        <f>CJ120+CK120</f>
        <v/>
      </c>
      <c r="CM120" s="228">
        <f>CL120-CI120</f>
        <v/>
      </c>
      <c r="CN120" s="229">
        <f>IF(CI120=0,"",CL120/CI120)</f>
        <v/>
      </c>
      <c r="CO120" s="18" t="n"/>
      <c r="CP120" s="230">
        <f>CP121</f>
        <v/>
      </c>
      <c r="CQ120" s="230">
        <f>CQ121</f>
        <v/>
      </c>
      <c r="CR120" s="230">
        <f>CP120+CQ120</f>
        <v/>
      </c>
      <c r="CS120" s="230">
        <f>CS121</f>
        <v/>
      </c>
      <c r="CT120" s="230">
        <f>CT121</f>
        <v/>
      </c>
      <c r="CU120" s="230">
        <f>CS120+CT120</f>
        <v/>
      </c>
      <c r="CV120" s="231">
        <f>CU120-CR120</f>
        <v/>
      </c>
      <c r="CW120" s="232">
        <f>IF(CR120=0,"",CU120/CR120)</f>
        <v/>
      </c>
      <c r="CX120" s="25" t="n"/>
      <c r="CY120" s="227">
        <f>CY121</f>
        <v/>
      </c>
      <c r="CZ120" s="227">
        <f>CZ121</f>
        <v/>
      </c>
      <c r="DA120" s="227">
        <f>CY120+CZ120</f>
        <v/>
      </c>
      <c r="DB120" s="227">
        <f>DB121</f>
        <v/>
      </c>
      <c r="DC120" s="227">
        <f>DC121</f>
        <v/>
      </c>
      <c r="DD120" s="227">
        <f>DB120+DC120</f>
        <v/>
      </c>
      <c r="DE120" s="228">
        <f>DD120-DA120</f>
        <v/>
      </c>
      <c r="DF120" s="229">
        <f>IF(DA120=0,"",DD120/DA120)</f>
        <v/>
      </c>
      <c r="DG120" s="18" t="n"/>
      <c r="DH120" s="230">
        <f>DH121</f>
        <v/>
      </c>
      <c r="DI120" s="230">
        <f>DI121</f>
        <v/>
      </c>
      <c r="DJ120" s="230">
        <f>DH120+DI120</f>
        <v/>
      </c>
      <c r="DK120" s="230">
        <f>DK121</f>
        <v/>
      </c>
      <c r="DL120" s="230">
        <f>DL121</f>
        <v/>
      </c>
      <c r="DM120" s="230">
        <f>DK120+DL120</f>
        <v/>
      </c>
      <c r="DN120" s="231">
        <f>DM120-DJ120</f>
        <v/>
      </c>
      <c r="DO120" s="232">
        <f>IF(DJ120=0,"",DM120/DJ120)</f>
        <v/>
      </c>
      <c r="DP120" s="25" t="n"/>
      <c r="DQ120" s="227">
        <f>DQ121</f>
        <v/>
      </c>
      <c r="DR120" s="227">
        <f>DR121</f>
        <v/>
      </c>
      <c r="DS120" s="227">
        <f>DQ120+DR120</f>
        <v/>
      </c>
      <c r="DT120" s="227">
        <f>DT121</f>
        <v/>
      </c>
      <c r="DU120" s="227">
        <f>DU121</f>
        <v/>
      </c>
      <c r="DV120" s="227">
        <f>DT120+DU120</f>
        <v/>
      </c>
      <c r="DW120" s="228">
        <f>DV120-DS120</f>
        <v/>
      </c>
      <c r="DX120" s="229">
        <f>IF(DS120=0,"",DV120/DS120)</f>
        <v/>
      </c>
      <c r="DY120" s="18" t="n"/>
      <c r="DZ120" s="230">
        <f>DZ121</f>
        <v/>
      </c>
      <c r="EA120" s="230">
        <f>EA121</f>
        <v/>
      </c>
      <c r="EB120" s="230">
        <f>DZ120+EA120</f>
        <v/>
      </c>
      <c r="EC120" s="230">
        <f>EC121</f>
        <v/>
      </c>
      <c r="ED120" s="230">
        <f>ED121</f>
        <v/>
      </c>
      <c r="EE120" s="230">
        <f>EC120+ED120</f>
        <v/>
      </c>
      <c r="EF120" s="231">
        <f>EE120-EB120</f>
        <v/>
      </c>
      <c r="EG120" s="232">
        <f>IF(EB120=0,"",EE120/EB120)</f>
        <v/>
      </c>
      <c r="EH120" s="25" t="n"/>
      <c r="EI120" s="227">
        <f>EI121</f>
        <v/>
      </c>
      <c r="EJ120" s="227">
        <f>EJ121</f>
        <v/>
      </c>
      <c r="EK120" s="227">
        <f>EI120+EJ120</f>
        <v/>
      </c>
      <c r="EL120" s="227">
        <f>EL121</f>
        <v/>
      </c>
      <c r="EM120" s="227">
        <f>EM121</f>
        <v/>
      </c>
      <c r="EN120" s="227">
        <f>EL120+EM120</f>
        <v/>
      </c>
      <c r="EO120" s="228">
        <f>EN120-EK120</f>
        <v/>
      </c>
      <c r="EP120" s="229">
        <f>IF(EK120=0,"",EN120/EK120)</f>
        <v/>
      </c>
      <c r="EQ120" s="18" t="n"/>
      <c r="ER120" s="230">
        <f>ER121</f>
        <v/>
      </c>
      <c r="ES120" s="230">
        <f>ES121</f>
        <v/>
      </c>
      <c r="ET120" s="230">
        <f>ER120+ES120</f>
        <v/>
      </c>
      <c r="EU120" s="230">
        <f>EU121</f>
        <v/>
      </c>
      <c r="EV120" s="230">
        <f>EV121</f>
        <v/>
      </c>
      <c r="EW120" s="230">
        <f>EU120+EV120</f>
        <v/>
      </c>
      <c r="EX120" s="231">
        <f>EW120-ET120</f>
        <v/>
      </c>
      <c r="EY120" s="232">
        <f>IF(ET120=0,"",EW120/ET120)</f>
        <v/>
      </c>
      <c r="EZ120" s="25" t="n"/>
      <c r="FA120" s="227">
        <f>FA121</f>
        <v/>
      </c>
      <c r="FB120" s="227">
        <f>FB121</f>
        <v/>
      </c>
      <c r="FC120" s="227">
        <f>FA120+FB120</f>
        <v/>
      </c>
      <c r="FD120" s="227">
        <f>FD121</f>
        <v/>
      </c>
      <c r="FE120" s="227">
        <f>FE121</f>
        <v/>
      </c>
      <c r="FF120" s="227">
        <f>FD120+FE120</f>
        <v/>
      </c>
      <c r="FG120" s="228">
        <f>FF120-FC120</f>
        <v/>
      </c>
      <c r="FH120" s="229">
        <f>IF(FC120=0,"",FF120/FC120)</f>
        <v/>
      </c>
      <c r="FI120" s="18" t="n"/>
      <c r="FJ120" s="230">
        <f>FJ121</f>
        <v/>
      </c>
      <c r="FK120" s="230">
        <f>FK121</f>
        <v/>
      </c>
      <c r="FL120" s="230">
        <f>FJ120+FK120</f>
        <v/>
      </c>
      <c r="FM120" s="230">
        <f>FM121</f>
        <v/>
      </c>
      <c r="FN120" s="230">
        <f>FN121</f>
        <v/>
      </c>
      <c r="FO120" s="230">
        <f>FM120+FN120</f>
        <v/>
      </c>
      <c r="FP120" s="231">
        <f>FO120-FL120</f>
        <v/>
      </c>
      <c r="FQ120" s="232">
        <f>IF(FL120=0,"",FO120/FL120)</f>
        <v/>
      </c>
      <c r="FR120" s="25" t="n"/>
      <c r="FS120" s="227">
        <f>FS121</f>
        <v/>
      </c>
      <c r="FT120" s="227">
        <f>FT121</f>
        <v/>
      </c>
      <c r="FU120" s="227">
        <f>FS120+FT120</f>
        <v/>
      </c>
      <c r="FV120" s="227">
        <f>FV121</f>
        <v/>
      </c>
      <c r="FW120" s="227">
        <f>FW121</f>
        <v/>
      </c>
      <c r="FX120" s="227">
        <f>FV120+FW120</f>
        <v/>
      </c>
      <c r="FY120" s="228">
        <f>FX120-FU120</f>
        <v/>
      </c>
      <c r="FZ120" s="229">
        <f>IF(FU120=0,"",FX120/FU120)</f>
        <v/>
      </c>
      <c r="GA120" s="18" t="n"/>
      <c r="GB120" s="230">
        <f>GB121</f>
        <v/>
      </c>
      <c r="GC120" s="230">
        <f>GC121</f>
        <v/>
      </c>
      <c r="GD120" s="230">
        <f>GB120+GC120</f>
        <v/>
      </c>
      <c r="GE120" s="230">
        <f>GE121</f>
        <v/>
      </c>
      <c r="GF120" s="230">
        <f>GF121</f>
        <v/>
      </c>
      <c r="GG120" s="230">
        <f>GE120+GF120</f>
        <v/>
      </c>
      <c r="GH120" s="231">
        <f>GG120-GD120</f>
        <v/>
      </c>
      <c r="GI120" s="232">
        <f>IF(GD120=0,"",GG120/GD120)</f>
        <v/>
      </c>
      <c r="GJ120" s="25" t="n"/>
      <c r="GK120" s="227">
        <f>GK121</f>
        <v/>
      </c>
      <c r="GL120" s="227">
        <f>GL121</f>
        <v/>
      </c>
      <c r="GM120" s="227">
        <f>GK120+GL120</f>
        <v/>
      </c>
      <c r="GN120" s="227">
        <f>GN121</f>
        <v/>
      </c>
      <c r="GO120" s="227">
        <f>GO121</f>
        <v/>
      </c>
      <c r="GP120" s="227">
        <f>GN120+GO120</f>
        <v/>
      </c>
      <c r="GQ120" s="228">
        <f>GP120-GM120</f>
        <v/>
      </c>
      <c r="GR120" s="229">
        <f>IF(GM120=0,"",GP120/GM120)</f>
        <v/>
      </c>
      <c r="GS120" s="18" t="n"/>
      <c r="GT120" s="230">
        <f>GT121</f>
        <v/>
      </c>
      <c r="GU120" s="230">
        <f>GU121</f>
        <v/>
      </c>
      <c r="GV120" s="230">
        <f>GT120+GU120</f>
        <v/>
      </c>
      <c r="GW120" s="230">
        <f>GW121</f>
        <v/>
      </c>
      <c r="GX120" s="230">
        <f>GX121</f>
        <v/>
      </c>
      <c r="GY120" s="230">
        <f>GW120+GX120</f>
        <v/>
      </c>
      <c r="GZ120" s="231">
        <f>GY120-GV120</f>
        <v/>
      </c>
      <c r="HA120" s="232">
        <f>IF(GV120=0,"",GY120/GV120)</f>
        <v/>
      </c>
      <c r="HB120" s="25" t="n"/>
      <c r="HC120" s="227">
        <f>GT120</f>
        <v/>
      </c>
      <c r="HD120" s="227">
        <f>GU120</f>
        <v/>
      </c>
      <c r="HE120" s="227">
        <f>HC120+HD120</f>
        <v/>
      </c>
    </row>
    <row r="121" outlineLevel="1" ht="15" customHeight="1" s="150">
      <c r="A121" s="26" t="n"/>
      <c r="B121" s="26" t="n"/>
      <c r="C121" s="26" t="n"/>
      <c r="D121" s="233" t="n"/>
      <c r="E121" s="233" t="n"/>
      <c r="F121" s="233">
        <f>D121+E121</f>
        <v/>
      </c>
      <c r="G121" s="233" t="n"/>
      <c r="H121" s="233" t="n"/>
      <c r="I121" s="233">
        <f>G121+H121</f>
        <v/>
      </c>
      <c r="J121" s="238">
        <f>I121-F121</f>
        <v/>
      </c>
      <c r="K121" s="235">
        <f>IF(F121=0,"",I121/F121)</f>
        <v/>
      </c>
      <c r="L121" s="26" t="n"/>
      <c r="M121" s="233" t="n"/>
      <c r="N121" s="233" t="n"/>
      <c r="O121" s="233">
        <f>M121+N121</f>
        <v/>
      </c>
      <c r="P121" s="233" t="n"/>
      <c r="Q121" s="233" t="n"/>
      <c r="R121" s="233">
        <f>P121+Q121</f>
        <v/>
      </c>
      <c r="S121" s="234">
        <f>R121-O121</f>
        <v/>
      </c>
      <c r="T121" s="235">
        <f>IF(O121=0,"",R121/O121)</f>
        <v/>
      </c>
      <c r="U121" s="26" t="n"/>
      <c r="V121" s="236">
        <f>D121+M121</f>
        <v/>
      </c>
      <c r="W121" s="236">
        <f>E121+N121</f>
        <v/>
      </c>
      <c r="X121" s="236">
        <f>V121+W121</f>
        <v/>
      </c>
      <c r="Y121" s="236">
        <f>G121+P121</f>
        <v/>
      </c>
      <c r="Z121" s="236">
        <f>H121+Q121</f>
        <v/>
      </c>
      <c r="AA121" s="236">
        <f>Y121+Z121</f>
        <v/>
      </c>
      <c r="AB121" s="234">
        <f>AA121-X121</f>
        <v/>
      </c>
      <c r="AC121" s="237">
        <f>IF(X121=0,"",AA121/X121)</f>
        <v/>
      </c>
      <c r="AD121" s="33" t="n"/>
      <c r="AE121" s="233" t="n"/>
      <c r="AF121" s="233" t="n"/>
      <c r="AG121" s="233">
        <f>AE121+AF121</f>
        <v/>
      </c>
      <c r="AH121" s="233" t="n"/>
      <c r="AI121" s="233" t="n"/>
      <c r="AJ121" s="233">
        <f>AH121+AI121</f>
        <v/>
      </c>
      <c r="AK121" s="238">
        <f>AJ121-AG121</f>
        <v/>
      </c>
      <c r="AL121" s="235">
        <f>IF(AG121=0,"",AJ121/AG121)</f>
        <v/>
      </c>
      <c r="AM121" s="26" t="n"/>
      <c r="AN121" s="236">
        <f>V121+AE121</f>
        <v/>
      </c>
      <c r="AO121" s="236">
        <f>W121+AF121</f>
        <v/>
      </c>
      <c r="AP121" s="236">
        <f>AN121+AO121</f>
        <v/>
      </c>
      <c r="AQ121" s="236">
        <f>Y121+AH121</f>
        <v/>
      </c>
      <c r="AR121" s="236">
        <f>Z121+AI121</f>
        <v/>
      </c>
      <c r="AS121" s="236">
        <f>AQ121+AR121</f>
        <v/>
      </c>
      <c r="AT121" s="234">
        <f>AS121-AP121</f>
        <v/>
      </c>
      <c r="AU121" s="237">
        <f>IF(AP121=0,"",AS121/AP121)</f>
        <v/>
      </c>
      <c r="AV121" s="33" t="n"/>
      <c r="AW121" s="233" t="n"/>
      <c r="AX121" s="233" t="n"/>
      <c r="AY121" s="233">
        <f>AW121+AX121</f>
        <v/>
      </c>
      <c r="AZ121" s="233" t="n"/>
      <c r="BA121" s="233" t="n"/>
      <c r="BB121" s="233">
        <f>AZ121+BA121</f>
        <v/>
      </c>
      <c r="BC121" s="238">
        <f>BB121-AY121</f>
        <v/>
      </c>
      <c r="BD121" s="235">
        <f>IF(AY121=0,"",BB121/AY121)</f>
        <v/>
      </c>
      <c r="BE121" s="26" t="n"/>
      <c r="BF121" s="236">
        <f>AN121+AW121</f>
        <v/>
      </c>
      <c r="BG121" s="236">
        <f>AO121+AX121</f>
        <v/>
      </c>
      <c r="BH121" s="236">
        <f>BF121+BG121</f>
        <v/>
      </c>
      <c r="BI121" s="236">
        <f>AQ121+AZ121</f>
        <v/>
      </c>
      <c r="BJ121" s="236">
        <f>AR121+BA121</f>
        <v/>
      </c>
      <c r="BK121" s="236">
        <f>BI121+BJ121</f>
        <v/>
      </c>
      <c r="BL121" s="239">
        <f>BK121-BH121</f>
        <v/>
      </c>
      <c r="BM121" s="237">
        <f>IF(BH121=0,"",BK121/BH121)</f>
        <v/>
      </c>
      <c r="BN121" s="33" t="n"/>
      <c r="BO121" s="233" t="n"/>
      <c r="BP121" s="233" t="n"/>
      <c r="BQ121" s="233">
        <f>BO121+BP121</f>
        <v/>
      </c>
      <c r="BR121" s="233" t="n"/>
      <c r="BS121" s="233" t="n"/>
      <c r="BT121" s="233">
        <f>BR121+BS121</f>
        <v/>
      </c>
      <c r="BU121" s="238">
        <f>BT121-BQ121</f>
        <v/>
      </c>
      <c r="BV121" s="235">
        <f>IF(BQ121=0,"",BT121/BQ121)</f>
        <v/>
      </c>
      <c r="BW121" s="26" t="n"/>
      <c r="BX121" s="236">
        <f>BF121+BO121</f>
        <v/>
      </c>
      <c r="BY121" s="236">
        <f>BG121+BP121</f>
        <v/>
      </c>
      <c r="BZ121" s="236">
        <f>BX121+BY121</f>
        <v/>
      </c>
      <c r="CA121" s="236">
        <f>BI121+BR121</f>
        <v/>
      </c>
      <c r="CB121" s="236">
        <f>BJ121+BS121</f>
        <v/>
      </c>
      <c r="CC121" s="236">
        <f>CA121+CB121</f>
        <v/>
      </c>
      <c r="CD121" s="239">
        <f>CC121-BZ121</f>
        <v/>
      </c>
      <c r="CE121" s="237">
        <f>IF(BZ121=0,"",CC121/BZ121)</f>
        <v/>
      </c>
      <c r="CF121" s="33" t="n"/>
      <c r="CG121" s="233" t="n"/>
      <c r="CH121" s="233" t="n"/>
      <c r="CI121" s="233">
        <f>CG121+CH121</f>
        <v/>
      </c>
      <c r="CJ121" s="233" t="n"/>
      <c r="CK121" s="233" t="n"/>
      <c r="CL121" s="233">
        <f>CJ121+CK121</f>
        <v/>
      </c>
      <c r="CM121" s="238">
        <f>CL121-CI121</f>
        <v/>
      </c>
      <c r="CN121" s="235">
        <f>IF(CI121=0,"",CL121/CI121)</f>
        <v/>
      </c>
      <c r="CO121" s="26" t="n"/>
      <c r="CP121" s="236">
        <f>BX121+CG121</f>
        <v/>
      </c>
      <c r="CQ121" s="236">
        <f>BY121+CH121</f>
        <v/>
      </c>
      <c r="CR121" s="236">
        <f>CP121+CQ121</f>
        <v/>
      </c>
      <c r="CS121" s="236">
        <f>CA121+CJ121</f>
        <v/>
      </c>
      <c r="CT121" s="236">
        <f>CB121+CK121</f>
        <v/>
      </c>
      <c r="CU121" s="236">
        <f>CS121+CT121</f>
        <v/>
      </c>
      <c r="CV121" s="239">
        <f>CU121-CR121</f>
        <v/>
      </c>
      <c r="CW121" s="237">
        <f>IF(CR121=0,"",CU121/CR121)</f>
        <v/>
      </c>
      <c r="CX121" s="33" t="n"/>
      <c r="CY121" s="233" t="n"/>
      <c r="CZ121" s="233" t="n"/>
      <c r="DA121" s="233">
        <f>CY121+CZ121</f>
        <v/>
      </c>
      <c r="DB121" s="233" t="n"/>
      <c r="DC121" s="233" t="n"/>
      <c r="DD121" s="233">
        <f>DB121+DC121</f>
        <v/>
      </c>
      <c r="DE121" s="238">
        <f>DD121-DA121</f>
        <v/>
      </c>
      <c r="DF121" s="235">
        <f>IF(DA121=0,"",DD121/DA121)</f>
        <v/>
      </c>
      <c r="DG121" s="26" t="n"/>
      <c r="DH121" s="236">
        <f>CP121+CY121</f>
        <v/>
      </c>
      <c r="DI121" s="236">
        <f>CQ121+CZ121</f>
        <v/>
      </c>
      <c r="DJ121" s="236">
        <f>DH121+DI121</f>
        <v/>
      </c>
      <c r="DK121" s="236">
        <f>CS121+DB121</f>
        <v/>
      </c>
      <c r="DL121" s="236">
        <f>CT121+DC121</f>
        <v/>
      </c>
      <c r="DM121" s="236">
        <f>DK121+DL121</f>
        <v/>
      </c>
      <c r="DN121" s="239">
        <f>DM121-DJ121</f>
        <v/>
      </c>
      <c r="DO121" s="237">
        <f>IF(DJ121=0,"",DM121/DJ121)</f>
        <v/>
      </c>
      <c r="DP121" s="33" t="n"/>
      <c r="DQ121" s="233" t="n"/>
      <c r="DR121" s="233" t="n"/>
      <c r="DS121" s="233">
        <f>DQ121+DR121</f>
        <v/>
      </c>
      <c r="DT121" s="233" t="n"/>
      <c r="DU121" s="233" t="n"/>
      <c r="DV121" s="233">
        <f>DT121+DU121</f>
        <v/>
      </c>
      <c r="DW121" s="238">
        <f>DV121-DS121</f>
        <v/>
      </c>
      <c r="DX121" s="235">
        <f>IF(DS121=0,"",DV121/DS121)</f>
        <v/>
      </c>
      <c r="DY121" s="26" t="n"/>
      <c r="DZ121" s="236">
        <f>DH121+DQ121</f>
        <v/>
      </c>
      <c r="EA121" s="236">
        <f>DI121+DR121</f>
        <v/>
      </c>
      <c r="EB121" s="236">
        <f>DZ121+EA121</f>
        <v/>
      </c>
      <c r="EC121" s="236">
        <f>DK121+DT121</f>
        <v/>
      </c>
      <c r="ED121" s="236">
        <f>DL121+DU121</f>
        <v/>
      </c>
      <c r="EE121" s="236">
        <f>EC121+ED121</f>
        <v/>
      </c>
      <c r="EF121" s="239">
        <f>EE121-EB121</f>
        <v/>
      </c>
      <c r="EG121" s="237">
        <f>IF(EB121=0,"",EE121/EB121)</f>
        <v/>
      </c>
      <c r="EH121" s="33" t="n"/>
      <c r="EI121" s="233" t="n"/>
      <c r="EJ121" s="233" t="n"/>
      <c r="EK121" s="233">
        <f>EI121+EJ121</f>
        <v/>
      </c>
      <c r="EL121" s="233" t="n"/>
      <c r="EM121" s="233" t="n"/>
      <c r="EN121" s="233">
        <f>EL121+EM121</f>
        <v/>
      </c>
      <c r="EO121" s="238">
        <f>EN121-EK121</f>
        <v/>
      </c>
      <c r="EP121" s="235">
        <f>IF(EK121=0,"",EN121/EK121)</f>
        <v/>
      </c>
      <c r="EQ121" s="26" t="n"/>
      <c r="ER121" s="236">
        <f>DZ121+EI121</f>
        <v/>
      </c>
      <c r="ES121" s="236">
        <f>EA121+EJ121</f>
        <v/>
      </c>
      <c r="ET121" s="236">
        <f>ER121+ES121</f>
        <v/>
      </c>
      <c r="EU121" s="236">
        <f>EC121+EL121</f>
        <v/>
      </c>
      <c r="EV121" s="236">
        <f>ED121+EM121</f>
        <v/>
      </c>
      <c r="EW121" s="236">
        <f>EU121+EV121</f>
        <v/>
      </c>
      <c r="EX121" s="239">
        <f>EW121-ET121</f>
        <v/>
      </c>
      <c r="EY121" s="237">
        <f>IF(ET121=0,"",EW121/ET121)</f>
        <v/>
      </c>
      <c r="EZ121" s="33" t="n"/>
      <c r="FA121" s="233" t="n"/>
      <c r="FB121" s="233" t="n"/>
      <c r="FC121" s="233">
        <f>FA121+FB121</f>
        <v/>
      </c>
      <c r="FD121" s="233" t="n"/>
      <c r="FE121" s="233" t="n"/>
      <c r="FF121" s="233">
        <f>FD121+FE121</f>
        <v/>
      </c>
      <c r="FG121" s="238">
        <f>FF121-FC121</f>
        <v/>
      </c>
      <c r="FH121" s="235">
        <f>IF(FC121=0,"",FF121/FC121)</f>
        <v/>
      </c>
      <c r="FI121" s="26" t="n"/>
      <c r="FJ121" s="236">
        <f>ER121+FA121</f>
        <v/>
      </c>
      <c r="FK121" s="236">
        <f>ES121+FB121</f>
        <v/>
      </c>
      <c r="FL121" s="236">
        <f>FJ121+FK121</f>
        <v/>
      </c>
      <c r="FM121" s="236">
        <f>EU121+FD121</f>
        <v/>
      </c>
      <c r="FN121" s="236">
        <f>EV121+FE121</f>
        <v/>
      </c>
      <c r="FO121" s="236">
        <f>FM121+FN121</f>
        <v/>
      </c>
      <c r="FP121" s="239">
        <f>FO121-FL121</f>
        <v/>
      </c>
      <c r="FQ121" s="237">
        <f>IF(FL121=0,"",FO121/FL121)</f>
        <v/>
      </c>
      <c r="FR121" s="33" t="n"/>
      <c r="FS121" s="233" t="n"/>
      <c r="FT121" s="233" t="n"/>
      <c r="FU121" s="233">
        <f>FS121+FT121</f>
        <v/>
      </c>
      <c r="FV121" s="233" t="n"/>
      <c r="FW121" s="233" t="n"/>
      <c r="FX121" s="233">
        <f>FV121+FW121</f>
        <v/>
      </c>
      <c r="FY121" s="238">
        <f>FX121-FU121</f>
        <v/>
      </c>
      <c r="FZ121" s="235">
        <f>IF(FU121=0,"",FX121/FU121)</f>
        <v/>
      </c>
      <c r="GA121" s="26" t="n"/>
      <c r="GB121" s="236">
        <f>FJ121+FS121</f>
        <v/>
      </c>
      <c r="GC121" s="236">
        <f>FK121+FT121</f>
        <v/>
      </c>
      <c r="GD121" s="236">
        <f>GB121+GC121</f>
        <v/>
      </c>
      <c r="GE121" s="236">
        <f>FM121+FV121</f>
        <v/>
      </c>
      <c r="GF121" s="236">
        <f>FN121+FW121</f>
        <v/>
      </c>
      <c r="GG121" s="236">
        <f>GE121+GF121</f>
        <v/>
      </c>
      <c r="GH121" s="239">
        <f>GG121-GD121</f>
        <v/>
      </c>
      <c r="GI121" s="237">
        <f>IF(GD121=0,"",GG121/GD121)</f>
        <v/>
      </c>
      <c r="GJ121" s="33" t="n"/>
      <c r="GK121" s="233" t="n"/>
      <c r="GL121" s="233" t="n"/>
      <c r="GM121" s="233">
        <f>GK121+GL121</f>
        <v/>
      </c>
      <c r="GN121" s="233" t="n"/>
      <c r="GO121" s="233" t="n"/>
      <c r="GP121" s="233">
        <f>GN121+GO121</f>
        <v/>
      </c>
      <c r="GQ121" s="238">
        <f>GP121-GM121</f>
        <v/>
      </c>
      <c r="GR121" s="235">
        <f>IF(GM121=0,"",GP121/GM121)</f>
        <v/>
      </c>
      <c r="GS121" s="26" t="n"/>
      <c r="GT121" s="236">
        <f>GB121+GK121</f>
        <v/>
      </c>
      <c r="GU121" s="236">
        <f>GC121+GL121</f>
        <v/>
      </c>
      <c r="GV121" s="236">
        <f>GT121+GU121</f>
        <v/>
      </c>
      <c r="GW121" s="236">
        <f>GE121+GN121</f>
        <v/>
      </c>
      <c r="GX121" s="236">
        <f>GF121+GO121</f>
        <v/>
      </c>
      <c r="GY121" s="236">
        <f>GW121+GX121</f>
        <v/>
      </c>
      <c r="GZ121" s="239">
        <f>GY121-GV121</f>
        <v/>
      </c>
      <c r="HA121" s="237">
        <f>IF(GV121=0,"",GY121/GV121)</f>
        <v/>
      </c>
      <c r="HB121" s="33" t="n"/>
      <c r="HC121" s="233">
        <f>GT121</f>
        <v/>
      </c>
      <c r="HD121" s="233">
        <f>GU121</f>
        <v/>
      </c>
      <c r="HE121" s="233">
        <f>HC121+HD121</f>
        <v/>
      </c>
    </row>
    <row r="122" ht="15" customHeight="1" s="150">
      <c r="A122" s="18" t="n"/>
      <c r="B122" s="18" t="n"/>
      <c r="C122" s="18" t="n"/>
      <c r="D122" s="227">
        <f>SUM(D123:D133)</f>
        <v/>
      </c>
      <c r="E122" s="227">
        <f>SUM(E123:E133)</f>
        <v/>
      </c>
      <c r="F122" s="227">
        <f>D122+E122</f>
        <v/>
      </c>
      <c r="G122" s="227">
        <f>SUM(G123:G133)</f>
        <v/>
      </c>
      <c r="H122" s="227">
        <f>SUM(H123:H133)</f>
        <v/>
      </c>
      <c r="I122" s="227">
        <f>G122+H122</f>
        <v/>
      </c>
      <c r="J122" s="228">
        <f>I122-F122</f>
        <v/>
      </c>
      <c r="K122" s="229">
        <f>IF(F122=0,"",I122/F122)</f>
        <v/>
      </c>
      <c r="L122" s="18" t="n"/>
      <c r="M122" s="227">
        <f>SUM(M123:M133)</f>
        <v/>
      </c>
      <c r="N122" s="227">
        <f>SUM(N123:N133)</f>
        <v/>
      </c>
      <c r="O122" s="227">
        <f>M122+N122</f>
        <v/>
      </c>
      <c r="P122" s="227">
        <f>SUM(P123:P133)</f>
        <v/>
      </c>
      <c r="Q122" s="227">
        <f>SUM(Q123:Q133)</f>
        <v/>
      </c>
      <c r="R122" s="227">
        <f>P122+Q122</f>
        <v/>
      </c>
      <c r="S122" s="228">
        <f>R122-O122</f>
        <v/>
      </c>
      <c r="T122" s="229">
        <f>IF(O122=0,"",R122/O122)</f>
        <v/>
      </c>
      <c r="U122" s="18" t="n"/>
      <c r="V122" s="230">
        <f>SUM(V123:V133)</f>
        <v/>
      </c>
      <c r="W122" s="230">
        <f>SUM(W123:W133)</f>
        <v/>
      </c>
      <c r="X122" s="230">
        <f>V122+W122</f>
        <v/>
      </c>
      <c r="Y122" s="230">
        <f>SUM(Y123:Y133)</f>
        <v/>
      </c>
      <c r="Z122" s="230">
        <f>SUM(Z123:Z133)</f>
        <v/>
      </c>
      <c r="AA122" s="230">
        <f>Y122+Z122</f>
        <v/>
      </c>
      <c r="AB122" s="231">
        <f>AA122-X122</f>
        <v/>
      </c>
      <c r="AC122" s="232">
        <f>IF(X122=0,"",AA122/X122)</f>
        <v/>
      </c>
      <c r="AD122" s="25" t="n"/>
      <c r="AE122" s="227">
        <f>SUM(AE123:AE133)</f>
        <v/>
      </c>
      <c r="AF122" s="227">
        <f>SUM(AF123:AF133)</f>
        <v/>
      </c>
      <c r="AG122" s="227">
        <f>AE122+AF122</f>
        <v/>
      </c>
      <c r="AH122" s="227">
        <f>SUM(AH123:AH133)</f>
        <v/>
      </c>
      <c r="AI122" s="227">
        <f>SUM(AI123:AI133)</f>
        <v/>
      </c>
      <c r="AJ122" s="227">
        <f>AH122+AI122</f>
        <v/>
      </c>
      <c r="AK122" s="228">
        <f>AJ122-AG122</f>
        <v/>
      </c>
      <c r="AL122" s="229">
        <f>IF(AG122=0,"",AJ122/AG122)</f>
        <v/>
      </c>
      <c r="AM122" s="18" t="n"/>
      <c r="AN122" s="230">
        <f>SUM(AN123:AN133)</f>
        <v/>
      </c>
      <c r="AO122" s="230">
        <f>SUM(AO123:AO133)</f>
        <v/>
      </c>
      <c r="AP122" s="230">
        <f>AN122+AO122</f>
        <v/>
      </c>
      <c r="AQ122" s="230">
        <f>SUM(AQ123:AQ133)</f>
        <v/>
      </c>
      <c r="AR122" s="230">
        <f>SUM(AR123:AR133)</f>
        <v/>
      </c>
      <c r="AS122" s="230">
        <f>AQ122+AR122</f>
        <v/>
      </c>
      <c r="AT122" s="231">
        <f>AS122-AP122</f>
        <v/>
      </c>
      <c r="AU122" s="232">
        <f>IF(AP122=0,"",AS122/AP122)</f>
        <v/>
      </c>
      <c r="AV122" s="25" t="n"/>
      <c r="AW122" s="227">
        <f>SUM(AW123:AW133)</f>
        <v/>
      </c>
      <c r="AX122" s="227">
        <f>SUM(AX123:AX133)</f>
        <v/>
      </c>
      <c r="AY122" s="227">
        <f>AW122+AX122</f>
        <v/>
      </c>
      <c r="AZ122" s="227">
        <f>SUM(AZ123:AZ133)</f>
        <v/>
      </c>
      <c r="BA122" s="227">
        <f>SUM(BA123:BA133)</f>
        <v/>
      </c>
      <c r="BB122" s="227">
        <f>AZ122+BA122</f>
        <v/>
      </c>
      <c r="BC122" s="228">
        <f>BB122-AY122</f>
        <v/>
      </c>
      <c r="BD122" s="229">
        <f>IF(AY122=0,"",BB122/AY122)</f>
        <v/>
      </c>
      <c r="BE122" s="18" t="n"/>
      <c r="BF122" s="230">
        <f>SUM(BF123:BF133)</f>
        <v/>
      </c>
      <c r="BG122" s="230">
        <f>SUM(BG123:BG133)</f>
        <v/>
      </c>
      <c r="BH122" s="230">
        <f>BF122+BG122</f>
        <v/>
      </c>
      <c r="BI122" s="230">
        <f>SUM(BI123:BI133)</f>
        <v/>
      </c>
      <c r="BJ122" s="230">
        <f>SUM(BJ123:BJ133)</f>
        <v/>
      </c>
      <c r="BK122" s="230">
        <f>BI122+BJ122</f>
        <v/>
      </c>
      <c r="BL122" s="231">
        <f>BK122-BH122</f>
        <v/>
      </c>
      <c r="BM122" s="232">
        <f>IF(BH122=0,"",BK122/BH122)</f>
        <v/>
      </c>
      <c r="BN122" s="25" t="n"/>
      <c r="BO122" s="227">
        <f>SUM(BO123:BO133)</f>
        <v/>
      </c>
      <c r="BP122" s="227">
        <f>SUM(BP123:BP133)</f>
        <v/>
      </c>
      <c r="BQ122" s="227">
        <f>BO122+BP122</f>
        <v/>
      </c>
      <c r="BR122" s="227">
        <f>SUM(BR123:BR133)</f>
        <v/>
      </c>
      <c r="BS122" s="227">
        <f>SUM(BS123:BS133)</f>
        <v/>
      </c>
      <c r="BT122" s="227">
        <f>BR122+BS122</f>
        <v/>
      </c>
      <c r="BU122" s="228">
        <f>BT122-BQ122</f>
        <v/>
      </c>
      <c r="BV122" s="229">
        <f>IF(BQ122=0,"",BT122/BQ122)</f>
        <v/>
      </c>
      <c r="BW122" s="18" t="n"/>
      <c r="BX122" s="230">
        <f>SUM(BX123:BX133)</f>
        <v/>
      </c>
      <c r="BY122" s="230">
        <f>SUM(BY123:BY133)</f>
        <v/>
      </c>
      <c r="BZ122" s="230">
        <f>BX122+BY122</f>
        <v/>
      </c>
      <c r="CA122" s="230">
        <f>SUM(CA123:CA133)</f>
        <v/>
      </c>
      <c r="CB122" s="230">
        <f>SUM(CB123:CB133)</f>
        <v/>
      </c>
      <c r="CC122" s="230">
        <f>CA122+CB122</f>
        <v/>
      </c>
      <c r="CD122" s="231">
        <f>CC122-BZ122</f>
        <v/>
      </c>
      <c r="CE122" s="232">
        <f>IF(BZ122=0,"",CC122/BZ122)</f>
        <v/>
      </c>
      <c r="CF122" s="25" t="n"/>
      <c r="CG122" s="227">
        <f>SUM(CG123:CG133)</f>
        <v/>
      </c>
      <c r="CH122" s="227">
        <f>SUM(CH123:CH133)</f>
        <v/>
      </c>
      <c r="CI122" s="227">
        <f>CG122+CH122</f>
        <v/>
      </c>
      <c r="CJ122" s="227">
        <f>SUM(CJ123:CJ133)</f>
        <v/>
      </c>
      <c r="CK122" s="227">
        <f>SUM(CK123:CK133)</f>
        <v/>
      </c>
      <c r="CL122" s="227">
        <f>CJ122+CK122</f>
        <v/>
      </c>
      <c r="CM122" s="228">
        <f>CL122-CI122</f>
        <v/>
      </c>
      <c r="CN122" s="229">
        <f>IF(CI122=0,"",CL122/CI122)</f>
        <v/>
      </c>
      <c r="CO122" s="18" t="n"/>
      <c r="CP122" s="230">
        <f>SUM(CP123:CP133)</f>
        <v/>
      </c>
      <c r="CQ122" s="230">
        <f>SUM(CQ123:CQ133)</f>
        <v/>
      </c>
      <c r="CR122" s="230">
        <f>CP122+CQ122</f>
        <v/>
      </c>
      <c r="CS122" s="230">
        <f>SUM(CS123:CS133)</f>
        <v/>
      </c>
      <c r="CT122" s="230">
        <f>SUM(CT123:CT133)</f>
        <v/>
      </c>
      <c r="CU122" s="230">
        <f>CS122+CT122</f>
        <v/>
      </c>
      <c r="CV122" s="231">
        <f>CU122-CR122</f>
        <v/>
      </c>
      <c r="CW122" s="232">
        <f>IF(CR122=0,"",CU122/CR122)</f>
        <v/>
      </c>
      <c r="CX122" s="25" t="n"/>
      <c r="CY122" s="227">
        <f>SUM(CY123:CY133)</f>
        <v/>
      </c>
      <c r="CZ122" s="227">
        <f>SUM(CZ123:CZ133)</f>
        <v/>
      </c>
      <c r="DA122" s="227">
        <f>CY122+CZ122</f>
        <v/>
      </c>
      <c r="DB122" s="227">
        <f>SUM(DB123:DB133)</f>
        <v/>
      </c>
      <c r="DC122" s="227">
        <f>SUM(DC123:DC133)</f>
        <v/>
      </c>
      <c r="DD122" s="227">
        <f>DB122+DC122</f>
        <v/>
      </c>
      <c r="DE122" s="228">
        <f>DD122-DA122</f>
        <v/>
      </c>
      <c r="DF122" s="229">
        <f>IF(DA122=0,"",DD122/DA122)</f>
        <v/>
      </c>
      <c r="DG122" s="18" t="n"/>
      <c r="DH122" s="230">
        <f>SUM(DH123:DH133)</f>
        <v/>
      </c>
      <c r="DI122" s="230">
        <f>SUM(DI123:DI133)</f>
        <v/>
      </c>
      <c r="DJ122" s="230">
        <f>DH122+DI122</f>
        <v/>
      </c>
      <c r="DK122" s="230">
        <f>SUM(DK123:DK133)</f>
        <v/>
      </c>
      <c r="DL122" s="230">
        <f>SUM(DL123:DL133)</f>
        <v/>
      </c>
      <c r="DM122" s="230">
        <f>DK122+DL122</f>
        <v/>
      </c>
      <c r="DN122" s="231">
        <f>DM122-DJ122</f>
        <v/>
      </c>
      <c r="DO122" s="232">
        <f>IF(DJ122=0,"",DM122/DJ122)</f>
        <v/>
      </c>
      <c r="DP122" s="25" t="n"/>
      <c r="DQ122" s="227">
        <f>SUM(DQ123:DQ133)</f>
        <v/>
      </c>
      <c r="DR122" s="227">
        <f>SUM(DR123:DR133)</f>
        <v/>
      </c>
      <c r="DS122" s="227">
        <f>DQ122+DR122</f>
        <v/>
      </c>
      <c r="DT122" s="227">
        <f>SUM(DT123:DT133)</f>
        <v/>
      </c>
      <c r="DU122" s="227">
        <f>SUM(DU123:DU133)</f>
        <v/>
      </c>
      <c r="DV122" s="227">
        <f>DT122+DU122</f>
        <v/>
      </c>
      <c r="DW122" s="228">
        <f>DV122-DS122</f>
        <v/>
      </c>
      <c r="DX122" s="229">
        <f>IF(DS122=0,"",DV122/DS122)</f>
        <v/>
      </c>
      <c r="DY122" s="18" t="n"/>
      <c r="DZ122" s="230">
        <f>SUM(DZ123:DZ133)</f>
        <v/>
      </c>
      <c r="EA122" s="230">
        <f>SUM(EA123:EA133)</f>
        <v/>
      </c>
      <c r="EB122" s="230">
        <f>DZ122+EA122</f>
        <v/>
      </c>
      <c r="EC122" s="230">
        <f>SUM(EC123:EC133)</f>
        <v/>
      </c>
      <c r="ED122" s="230">
        <f>SUM(ED123:ED133)</f>
        <v/>
      </c>
      <c r="EE122" s="230">
        <f>EC122+ED122</f>
        <v/>
      </c>
      <c r="EF122" s="231">
        <f>EE122-EB122</f>
        <v/>
      </c>
      <c r="EG122" s="232">
        <f>IF(EB122=0,"",EE122/EB122)</f>
        <v/>
      </c>
      <c r="EH122" s="25" t="n"/>
      <c r="EI122" s="227">
        <f>SUM(EI123:EI133)</f>
        <v/>
      </c>
      <c r="EJ122" s="227">
        <f>SUM(EJ123:EJ133)</f>
        <v/>
      </c>
      <c r="EK122" s="227">
        <f>EI122+EJ122</f>
        <v/>
      </c>
      <c r="EL122" s="227">
        <f>SUM(EL123:EL133)</f>
        <v/>
      </c>
      <c r="EM122" s="227">
        <f>SUM(EM123:EM133)</f>
        <v/>
      </c>
      <c r="EN122" s="227">
        <f>EL122+EM122</f>
        <v/>
      </c>
      <c r="EO122" s="228">
        <f>EN122-EK122</f>
        <v/>
      </c>
      <c r="EP122" s="229">
        <f>IF(EK122=0,"",EN122/EK122)</f>
        <v/>
      </c>
      <c r="EQ122" s="18" t="n"/>
      <c r="ER122" s="230">
        <f>SUM(ER123:ER133)</f>
        <v/>
      </c>
      <c r="ES122" s="230">
        <f>SUM(ES123:ES133)</f>
        <v/>
      </c>
      <c r="ET122" s="230">
        <f>ER122+ES122</f>
        <v/>
      </c>
      <c r="EU122" s="230">
        <f>SUM(EU123:EU133)</f>
        <v/>
      </c>
      <c r="EV122" s="230">
        <f>SUM(EV123:EV133)</f>
        <v/>
      </c>
      <c r="EW122" s="230">
        <f>EU122+EV122</f>
        <v/>
      </c>
      <c r="EX122" s="231">
        <f>EW122-ET122</f>
        <v/>
      </c>
      <c r="EY122" s="232">
        <f>IF(ET122=0,"",EW122/ET122)</f>
        <v/>
      </c>
      <c r="EZ122" s="25" t="n"/>
      <c r="FA122" s="227">
        <f>SUM(FA123:FA133)</f>
        <v/>
      </c>
      <c r="FB122" s="227">
        <f>SUM(FB123:FB133)</f>
        <v/>
      </c>
      <c r="FC122" s="227">
        <f>FA122+FB122</f>
        <v/>
      </c>
      <c r="FD122" s="227">
        <f>SUM(FD123:FD133)</f>
        <v/>
      </c>
      <c r="FE122" s="227">
        <f>SUM(FE123:FE133)</f>
        <v/>
      </c>
      <c r="FF122" s="227">
        <f>FD122+FE122</f>
        <v/>
      </c>
      <c r="FG122" s="228">
        <f>FF122-FC122</f>
        <v/>
      </c>
      <c r="FH122" s="229">
        <f>IF(FC122=0,"",FF122/FC122)</f>
        <v/>
      </c>
      <c r="FI122" s="18" t="n"/>
      <c r="FJ122" s="230">
        <f>SUM(FJ123:FJ133)</f>
        <v/>
      </c>
      <c r="FK122" s="230">
        <f>SUM(FK123:FK133)</f>
        <v/>
      </c>
      <c r="FL122" s="230">
        <f>FJ122+FK122</f>
        <v/>
      </c>
      <c r="FM122" s="230">
        <f>SUM(FM123:FM133)</f>
        <v/>
      </c>
      <c r="FN122" s="230">
        <f>SUM(FN123:FN133)</f>
        <v/>
      </c>
      <c r="FO122" s="230">
        <f>FM122+FN122</f>
        <v/>
      </c>
      <c r="FP122" s="231">
        <f>FO122-FL122</f>
        <v/>
      </c>
      <c r="FQ122" s="232">
        <f>IF(FL122=0,"",FO122/FL122)</f>
        <v/>
      </c>
      <c r="FR122" s="25" t="n"/>
      <c r="FS122" s="227">
        <f>SUM(FS123:FS133)</f>
        <v/>
      </c>
      <c r="FT122" s="227">
        <f>SUM(FT123:FT133)</f>
        <v/>
      </c>
      <c r="FU122" s="227">
        <f>FS122+FT122</f>
        <v/>
      </c>
      <c r="FV122" s="227">
        <f>SUM(FV123:FV133)</f>
        <v/>
      </c>
      <c r="FW122" s="227">
        <f>SUM(FW123:FW133)</f>
        <v/>
      </c>
      <c r="FX122" s="227">
        <f>FV122+FW122</f>
        <v/>
      </c>
      <c r="FY122" s="228">
        <f>FX122-FU122</f>
        <v/>
      </c>
      <c r="FZ122" s="229">
        <f>IF(FU122=0,"",FX122/FU122)</f>
        <v/>
      </c>
      <c r="GA122" s="18" t="n"/>
      <c r="GB122" s="230">
        <f>SUM(GB123:GB133)</f>
        <v/>
      </c>
      <c r="GC122" s="230">
        <f>SUM(GC123:GC133)</f>
        <v/>
      </c>
      <c r="GD122" s="230">
        <f>GB122+GC122</f>
        <v/>
      </c>
      <c r="GE122" s="230">
        <f>SUM(GE123:GE133)</f>
        <v/>
      </c>
      <c r="GF122" s="230">
        <f>SUM(GF123:GF133)</f>
        <v/>
      </c>
      <c r="GG122" s="230">
        <f>GE122+GF122</f>
        <v/>
      </c>
      <c r="GH122" s="231">
        <f>GG122-GD122</f>
        <v/>
      </c>
      <c r="GI122" s="232">
        <f>IF(GD122=0,"",GG122/GD122)</f>
        <v/>
      </c>
      <c r="GJ122" s="25" t="n"/>
      <c r="GK122" s="227">
        <f>SUM(GK123:GK133)</f>
        <v/>
      </c>
      <c r="GL122" s="227">
        <f>SUM(GL123:GL133)</f>
        <v/>
      </c>
      <c r="GM122" s="227">
        <f>GK122+GL122</f>
        <v/>
      </c>
      <c r="GN122" s="227">
        <f>SUM(GN123:GN133)</f>
        <v/>
      </c>
      <c r="GO122" s="227">
        <f>SUM(GO123:GO133)</f>
        <v/>
      </c>
      <c r="GP122" s="227">
        <f>GN122+GO122</f>
        <v/>
      </c>
      <c r="GQ122" s="228">
        <f>GP122-GM122</f>
        <v/>
      </c>
      <c r="GR122" s="229">
        <f>IF(GM122=0,"",GP122/GM122)</f>
        <v/>
      </c>
      <c r="GS122" s="18" t="n"/>
      <c r="GT122" s="230">
        <f>SUM(GT123:GT133)</f>
        <v/>
      </c>
      <c r="GU122" s="230">
        <f>SUM(GU123:GU133)</f>
        <v/>
      </c>
      <c r="GV122" s="230">
        <f>GT122+GU122</f>
        <v/>
      </c>
      <c r="GW122" s="230">
        <f>SUM(GW123:GW133)</f>
        <v/>
      </c>
      <c r="GX122" s="230">
        <f>SUM(GX123:GX133)</f>
        <v/>
      </c>
      <c r="GY122" s="230">
        <f>GW122+GX122</f>
        <v/>
      </c>
      <c r="GZ122" s="231">
        <f>GY122-GV122</f>
        <v/>
      </c>
      <c r="HA122" s="232">
        <f>IF(GV122=0,"",GY122/GV122)</f>
        <v/>
      </c>
      <c r="HB122" s="25" t="n"/>
      <c r="HC122" s="227">
        <f>GT122</f>
        <v/>
      </c>
      <c r="HD122" s="227">
        <f>GU122</f>
        <v/>
      </c>
      <c r="HE122" s="227">
        <f>HC122+HD122</f>
        <v/>
      </c>
    </row>
    <row r="123" outlineLevel="1" ht="15" customHeight="1" s="150">
      <c r="A123" s="26" t="n"/>
      <c r="B123" s="26" t="n"/>
      <c r="C123" s="26" t="n"/>
      <c r="D123" s="233" t="n"/>
      <c r="E123" s="233" t="n"/>
      <c r="F123" s="233">
        <f>D123+E123</f>
        <v/>
      </c>
      <c r="G123" s="233" t="n"/>
      <c r="H123" s="233" t="n"/>
      <c r="I123" s="233">
        <f>G123+H123</f>
        <v/>
      </c>
      <c r="J123" s="234">
        <f>I123-F123</f>
        <v/>
      </c>
      <c r="K123" s="235">
        <f>IF(F123=0,"",I123/F123)</f>
        <v/>
      </c>
      <c r="L123" s="26" t="n"/>
      <c r="M123" s="233" t="n"/>
      <c r="N123" s="233" t="n"/>
      <c r="O123" s="233">
        <f>M123+N123</f>
        <v/>
      </c>
      <c r="P123" s="233" t="n"/>
      <c r="Q123" s="233" t="n"/>
      <c r="R123" s="233">
        <f>P123+Q123</f>
        <v/>
      </c>
      <c r="S123" s="238">
        <f>R123-O123</f>
        <v/>
      </c>
      <c r="T123" s="235">
        <f>IF(O123=0,"",R123/O123)</f>
        <v/>
      </c>
      <c r="U123" s="26" t="n"/>
      <c r="V123" s="236">
        <f>D123+M123</f>
        <v/>
      </c>
      <c r="W123" s="236">
        <f>E123+N123</f>
        <v/>
      </c>
      <c r="X123" s="236">
        <f>V123+W123</f>
        <v/>
      </c>
      <c r="Y123" s="236">
        <f>G123+P123</f>
        <v/>
      </c>
      <c r="Z123" s="236">
        <f>H123+Q123</f>
        <v/>
      </c>
      <c r="AA123" s="236">
        <f>Y123+Z123</f>
        <v/>
      </c>
      <c r="AB123" s="234">
        <f>AA123-X123</f>
        <v/>
      </c>
      <c r="AC123" s="237">
        <f>IF(X123=0,"",AA123/X123)</f>
        <v/>
      </c>
      <c r="AD123" s="33" t="n"/>
      <c r="AE123" s="233" t="n"/>
      <c r="AF123" s="233" t="n"/>
      <c r="AG123" s="233">
        <f>AE123+AF123</f>
        <v/>
      </c>
      <c r="AH123" s="233" t="n"/>
      <c r="AI123" s="233" t="n"/>
      <c r="AJ123" s="233">
        <f>AH123+AI123</f>
        <v/>
      </c>
      <c r="AK123" s="238">
        <f>AJ123-AG123</f>
        <v/>
      </c>
      <c r="AL123" s="235">
        <f>IF(AG123=0,"",AJ123/AG123)</f>
        <v/>
      </c>
      <c r="AM123" s="26" t="n"/>
      <c r="AN123" s="236">
        <f>V123+AE123</f>
        <v/>
      </c>
      <c r="AO123" s="236">
        <f>W123+AF123</f>
        <v/>
      </c>
      <c r="AP123" s="236">
        <f>AN123+AO123</f>
        <v/>
      </c>
      <c r="AQ123" s="236">
        <f>Y123+AH123</f>
        <v/>
      </c>
      <c r="AR123" s="236">
        <f>Z123+AI123</f>
        <v/>
      </c>
      <c r="AS123" s="236">
        <f>AQ123+AR123</f>
        <v/>
      </c>
      <c r="AT123" s="234">
        <f>AS123-AP123</f>
        <v/>
      </c>
      <c r="AU123" s="237">
        <f>IF(AP123=0,"",AS123/AP123)</f>
        <v/>
      </c>
      <c r="AV123" s="33" t="n"/>
      <c r="AW123" s="233" t="n"/>
      <c r="AX123" s="233" t="n"/>
      <c r="AY123" s="233">
        <f>AW123+AX123</f>
        <v/>
      </c>
      <c r="AZ123" s="233" t="n"/>
      <c r="BA123" s="233" t="n"/>
      <c r="BB123" s="233">
        <f>AZ123+BA123</f>
        <v/>
      </c>
      <c r="BC123" s="238">
        <f>BB123-AY123</f>
        <v/>
      </c>
      <c r="BD123" s="235">
        <f>IF(AY123=0,"",BB123/AY123)</f>
        <v/>
      </c>
      <c r="BE123" s="26" t="n"/>
      <c r="BF123" s="236">
        <f>AN123+AW123</f>
        <v/>
      </c>
      <c r="BG123" s="236">
        <f>AO123+AX123</f>
        <v/>
      </c>
      <c r="BH123" s="236">
        <f>BF123+BG123</f>
        <v/>
      </c>
      <c r="BI123" s="236">
        <f>AQ123+AZ123</f>
        <v/>
      </c>
      <c r="BJ123" s="236">
        <f>AR123+BA123</f>
        <v/>
      </c>
      <c r="BK123" s="236">
        <f>BI123+BJ123</f>
        <v/>
      </c>
      <c r="BL123" s="239">
        <f>BK123-BH123</f>
        <v/>
      </c>
      <c r="BM123" s="237">
        <f>IF(BH123=0,"",BK123/BH123)</f>
        <v/>
      </c>
      <c r="BN123" s="33" t="n"/>
      <c r="BO123" s="233" t="n"/>
      <c r="BP123" s="233" t="n"/>
      <c r="BQ123" s="233">
        <f>BO123+BP123</f>
        <v/>
      </c>
      <c r="BR123" s="233" t="n"/>
      <c r="BS123" s="233" t="n"/>
      <c r="BT123" s="233">
        <f>BR123+BS123</f>
        <v/>
      </c>
      <c r="BU123" s="238">
        <f>BT123-BQ123</f>
        <v/>
      </c>
      <c r="BV123" s="235">
        <f>IF(BQ123=0,"",BT123/BQ123)</f>
        <v/>
      </c>
      <c r="BW123" s="26" t="n"/>
      <c r="BX123" s="236">
        <f>BF123+BO123</f>
        <v/>
      </c>
      <c r="BY123" s="236">
        <f>BG123+BP123</f>
        <v/>
      </c>
      <c r="BZ123" s="236">
        <f>BX123+BY123</f>
        <v/>
      </c>
      <c r="CA123" s="236">
        <f>BI123+BR123</f>
        <v/>
      </c>
      <c r="CB123" s="236">
        <f>BJ123+BS123</f>
        <v/>
      </c>
      <c r="CC123" s="236">
        <f>CA123+CB123</f>
        <v/>
      </c>
      <c r="CD123" s="239">
        <f>CC123-BZ123</f>
        <v/>
      </c>
      <c r="CE123" s="237">
        <f>IF(BZ123=0,"",CC123/BZ123)</f>
        <v/>
      </c>
      <c r="CF123" s="33" t="n"/>
      <c r="CG123" s="233" t="n"/>
      <c r="CH123" s="233" t="n"/>
      <c r="CI123" s="233">
        <f>CG123+CH123</f>
        <v/>
      </c>
      <c r="CJ123" s="233" t="n"/>
      <c r="CK123" s="233" t="n"/>
      <c r="CL123" s="233">
        <f>CJ123+CK123</f>
        <v/>
      </c>
      <c r="CM123" s="238">
        <f>CL123-CI123</f>
        <v/>
      </c>
      <c r="CN123" s="235">
        <f>IF(CI123=0,"",CL123/CI123)</f>
        <v/>
      </c>
      <c r="CO123" s="26" t="n"/>
      <c r="CP123" s="236">
        <f>BX123+CG123</f>
        <v/>
      </c>
      <c r="CQ123" s="236">
        <f>BY123+CH123</f>
        <v/>
      </c>
      <c r="CR123" s="236">
        <f>CP123+CQ123</f>
        <v/>
      </c>
      <c r="CS123" s="236">
        <f>CA123+CJ123</f>
        <v/>
      </c>
      <c r="CT123" s="236">
        <f>CB123+CK123</f>
        <v/>
      </c>
      <c r="CU123" s="236">
        <f>CS123+CT123</f>
        <v/>
      </c>
      <c r="CV123" s="239">
        <f>CU123-CR123</f>
        <v/>
      </c>
      <c r="CW123" s="237">
        <f>IF(CR123=0,"",CU123/CR123)</f>
        <v/>
      </c>
      <c r="CX123" s="33" t="n"/>
      <c r="CY123" s="233" t="n"/>
      <c r="CZ123" s="233" t="n"/>
      <c r="DA123" s="233">
        <f>CY123+CZ123</f>
        <v/>
      </c>
      <c r="DB123" s="233" t="n"/>
      <c r="DC123" s="233" t="n"/>
      <c r="DD123" s="233">
        <f>DB123+DC123</f>
        <v/>
      </c>
      <c r="DE123" s="238">
        <f>DD123-DA123</f>
        <v/>
      </c>
      <c r="DF123" s="235">
        <f>IF(DA123=0,"",DD123/DA123)</f>
        <v/>
      </c>
      <c r="DG123" s="26" t="n"/>
      <c r="DH123" s="236">
        <f>CP123+CY123</f>
        <v/>
      </c>
      <c r="DI123" s="236">
        <f>CQ123+CZ123</f>
        <v/>
      </c>
      <c r="DJ123" s="236">
        <f>DH123+DI123</f>
        <v/>
      </c>
      <c r="DK123" s="236">
        <f>CS123+DB123</f>
        <v/>
      </c>
      <c r="DL123" s="236">
        <f>CT123+DC123</f>
        <v/>
      </c>
      <c r="DM123" s="236">
        <f>DK123+DL123</f>
        <v/>
      </c>
      <c r="DN123" s="239">
        <f>DM123-DJ123</f>
        <v/>
      </c>
      <c r="DO123" s="237">
        <f>IF(DJ123=0,"",DM123/DJ123)</f>
        <v/>
      </c>
      <c r="DP123" s="33" t="n"/>
      <c r="DQ123" s="233" t="n"/>
      <c r="DR123" s="233" t="n"/>
      <c r="DS123" s="233">
        <f>DQ123+DR123</f>
        <v/>
      </c>
      <c r="DT123" s="233" t="n"/>
      <c r="DU123" s="233" t="n"/>
      <c r="DV123" s="233">
        <f>DT123+DU123</f>
        <v/>
      </c>
      <c r="DW123" s="238">
        <f>DV123-DS123</f>
        <v/>
      </c>
      <c r="DX123" s="235">
        <f>IF(DS123=0,"",DV123/DS123)</f>
        <v/>
      </c>
      <c r="DY123" s="26" t="n"/>
      <c r="DZ123" s="236">
        <f>DH123+DQ123</f>
        <v/>
      </c>
      <c r="EA123" s="236">
        <f>DI123+DR123</f>
        <v/>
      </c>
      <c r="EB123" s="236">
        <f>DZ123+EA123</f>
        <v/>
      </c>
      <c r="EC123" s="236">
        <f>DK123+DT123</f>
        <v/>
      </c>
      <c r="ED123" s="236">
        <f>DL123+DU123</f>
        <v/>
      </c>
      <c r="EE123" s="236">
        <f>EC123+ED123</f>
        <v/>
      </c>
      <c r="EF123" s="239">
        <f>EE123-EB123</f>
        <v/>
      </c>
      <c r="EG123" s="237">
        <f>IF(EB123=0,"",EE123/EB123)</f>
        <v/>
      </c>
      <c r="EH123" s="33" t="n"/>
      <c r="EI123" s="233" t="n"/>
      <c r="EJ123" s="233" t="n"/>
      <c r="EK123" s="233">
        <f>EI123+EJ123</f>
        <v/>
      </c>
      <c r="EL123" s="233" t="n"/>
      <c r="EM123" s="233" t="n"/>
      <c r="EN123" s="233">
        <f>EL123+EM123</f>
        <v/>
      </c>
      <c r="EO123" s="238">
        <f>EN123-EK123</f>
        <v/>
      </c>
      <c r="EP123" s="235">
        <f>IF(EK123=0,"",EN123/EK123)</f>
        <v/>
      </c>
      <c r="EQ123" s="26" t="n"/>
      <c r="ER123" s="236">
        <f>DZ123+EI123</f>
        <v/>
      </c>
      <c r="ES123" s="236">
        <f>EA123+EJ123</f>
        <v/>
      </c>
      <c r="ET123" s="236">
        <f>ER123+ES123</f>
        <v/>
      </c>
      <c r="EU123" s="236">
        <f>EC123+EL123</f>
        <v/>
      </c>
      <c r="EV123" s="236">
        <f>ED123+EM123</f>
        <v/>
      </c>
      <c r="EW123" s="236">
        <f>EU123+EV123</f>
        <v/>
      </c>
      <c r="EX123" s="239">
        <f>EW123-ET123</f>
        <v/>
      </c>
      <c r="EY123" s="237">
        <f>IF(ET123=0,"",EW123/ET123)</f>
        <v/>
      </c>
      <c r="EZ123" s="33" t="n"/>
      <c r="FA123" s="233" t="n"/>
      <c r="FB123" s="233" t="n"/>
      <c r="FC123" s="233">
        <f>FA123+FB123</f>
        <v/>
      </c>
      <c r="FD123" s="233" t="n"/>
      <c r="FE123" s="233" t="n"/>
      <c r="FF123" s="233">
        <f>FD123+FE123</f>
        <v/>
      </c>
      <c r="FG123" s="238">
        <f>FF123-FC123</f>
        <v/>
      </c>
      <c r="FH123" s="235">
        <f>IF(FC123=0,"",FF123/FC123)</f>
        <v/>
      </c>
      <c r="FI123" s="26" t="n"/>
      <c r="FJ123" s="236">
        <f>ER123+FA123</f>
        <v/>
      </c>
      <c r="FK123" s="236">
        <f>ES123+FB123</f>
        <v/>
      </c>
      <c r="FL123" s="236">
        <f>FJ123+FK123</f>
        <v/>
      </c>
      <c r="FM123" s="236">
        <f>EU123+FD123</f>
        <v/>
      </c>
      <c r="FN123" s="236">
        <f>EV123+FE123</f>
        <v/>
      </c>
      <c r="FO123" s="236">
        <f>FM123+FN123</f>
        <v/>
      </c>
      <c r="FP123" s="239">
        <f>FO123-FL123</f>
        <v/>
      </c>
      <c r="FQ123" s="237">
        <f>IF(FL123=0,"",FO123/FL123)</f>
        <v/>
      </c>
      <c r="FR123" s="33" t="n"/>
      <c r="FS123" s="233" t="n"/>
      <c r="FT123" s="233" t="n"/>
      <c r="FU123" s="233">
        <f>FS123+FT123</f>
        <v/>
      </c>
      <c r="FV123" s="233" t="n"/>
      <c r="FW123" s="233" t="n"/>
      <c r="FX123" s="233">
        <f>FV123+FW123</f>
        <v/>
      </c>
      <c r="FY123" s="238">
        <f>FX123-FU123</f>
        <v/>
      </c>
      <c r="FZ123" s="235">
        <f>IF(FU123=0,"",FX123/FU123)</f>
        <v/>
      </c>
      <c r="GA123" s="26" t="n"/>
      <c r="GB123" s="236">
        <f>FJ123+FS123</f>
        <v/>
      </c>
      <c r="GC123" s="236">
        <f>FK123+FT123</f>
        <v/>
      </c>
      <c r="GD123" s="236">
        <f>GB123+GC123</f>
        <v/>
      </c>
      <c r="GE123" s="236">
        <f>FM123+FV123</f>
        <v/>
      </c>
      <c r="GF123" s="236">
        <f>FN123+FW123</f>
        <v/>
      </c>
      <c r="GG123" s="236">
        <f>GE123+GF123</f>
        <v/>
      </c>
      <c r="GH123" s="239">
        <f>GG123-GD123</f>
        <v/>
      </c>
      <c r="GI123" s="237">
        <f>IF(GD123=0,"",GG123/GD123)</f>
        <v/>
      </c>
      <c r="GJ123" s="33" t="n"/>
      <c r="GK123" s="233" t="n"/>
      <c r="GL123" s="233" t="n"/>
      <c r="GM123" s="233">
        <f>GK123+GL123</f>
        <v/>
      </c>
      <c r="GN123" s="233" t="n"/>
      <c r="GO123" s="233" t="n"/>
      <c r="GP123" s="233">
        <f>GN123+GO123</f>
        <v/>
      </c>
      <c r="GQ123" s="238">
        <f>GP123-GM123</f>
        <v/>
      </c>
      <c r="GR123" s="235">
        <f>IF(GM123=0,"",GP123/GM123)</f>
        <v/>
      </c>
      <c r="GS123" s="26" t="n"/>
      <c r="GT123" s="236">
        <f>GB123+GK123</f>
        <v/>
      </c>
      <c r="GU123" s="236">
        <f>GC123+GL123</f>
        <v/>
      </c>
      <c r="GV123" s="236">
        <f>GT123+GU123</f>
        <v/>
      </c>
      <c r="GW123" s="236">
        <f>GE123+GN123</f>
        <v/>
      </c>
      <c r="GX123" s="236">
        <f>GF123+GO123</f>
        <v/>
      </c>
      <c r="GY123" s="236">
        <f>GW123+GX123</f>
        <v/>
      </c>
      <c r="GZ123" s="239">
        <f>GY123-GV123</f>
        <v/>
      </c>
      <c r="HA123" s="237">
        <f>IF(GV123=0,"",GY123/GV123)</f>
        <v/>
      </c>
      <c r="HB123" s="33" t="n"/>
      <c r="HC123" s="233">
        <f>GT123</f>
        <v/>
      </c>
      <c r="HD123" s="233">
        <f>GU123</f>
        <v/>
      </c>
      <c r="HE123" s="233">
        <f>HC123+HD123</f>
        <v/>
      </c>
    </row>
    <row r="124" outlineLevel="1" ht="15" customHeight="1" s="150">
      <c r="A124" s="26" t="n"/>
      <c r="B124" s="26" t="n"/>
      <c r="C124" s="26" t="n"/>
      <c r="D124" s="233" t="n"/>
      <c r="E124" s="233" t="n"/>
      <c r="F124" s="233">
        <f>D124+E124</f>
        <v/>
      </c>
      <c r="G124" s="233" t="n"/>
      <c r="H124" s="233" t="n"/>
      <c r="I124" s="233">
        <f>G124+H124</f>
        <v/>
      </c>
      <c r="J124" s="238">
        <f>I124-F124</f>
        <v/>
      </c>
      <c r="K124" s="235">
        <f>IF(F124=0,"",I124/F124)</f>
        <v/>
      </c>
      <c r="L124" s="26" t="n"/>
      <c r="M124" s="233" t="n"/>
      <c r="N124" s="233" t="n"/>
      <c r="O124" s="233">
        <f>M124+N124</f>
        <v/>
      </c>
      <c r="P124" s="233" t="n"/>
      <c r="Q124" s="233" t="n"/>
      <c r="R124" s="233">
        <f>P124+Q124</f>
        <v/>
      </c>
      <c r="S124" s="238">
        <f>R124-O124</f>
        <v/>
      </c>
      <c r="T124" s="235">
        <f>IF(O124=0,"",R124/O124)</f>
        <v/>
      </c>
      <c r="U124" s="26" t="n"/>
      <c r="V124" s="236">
        <f>D124+M124</f>
        <v/>
      </c>
      <c r="W124" s="236">
        <f>E124+N124</f>
        <v/>
      </c>
      <c r="X124" s="236">
        <f>V124+W124</f>
        <v/>
      </c>
      <c r="Y124" s="236">
        <f>G124+P124</f>
        <v/>
      </c>
      <c r="Z124" s="236">
        <f>H124+Q124</f>
        <v/>
      </c>
      <c r="AA124" s="236">
        <f>Y124+Z124</f>
        <v/>
      </c>
      <c r="AB124" s="239">
        <f>AA124-X124</f>
        <v/>
      </c>
      <c r="AC124" s="237">
        <f>IF(X124=0,"",AA124/X124)</f>
        <v/>
      </c>
      <c r="AD124" s="33" t="n"/>
      <c r="AE124" s="233" t="n"/>
      <c r="AF124" s="233" t="n"/>
      <c r="AG124" s="233">
        <f>AE124+AF124</f>
        <v/>
      </c>
      <c r="AH124" s="233" t="n"/>
      <c r="AI124" s="233" t="n"/>
      <c r="AJ124" s="233">
        <f>AH124+AI124</f>
        <v/>
      </c>
      <c r="AK124" s="238">
        <f>AJ124-AG124</f>
        <v/>
      </c>
      <c r="AL124" s="235">
        <f>IF(AG124=0,"",AJ124/AG124)</f>
        <v/>
      </c>
      <c r="AM124" s="26" t="n"/>
      <c r="AN124" s="236">
        <f>V124+AE124</f>
        <v/>
      </c>
      <c r="AO124" s="236">
        <f>W124+AF124</f>
        <v/>
      </c>
      <c r="AP124" s="236">
        <f>AN124+AO124</f>
        <v/>
      </c>
      <c r="AQ124" s="236">
        <f>Y124+AH124</f>
        <v/>
      </c>
      <c r="AR124" s="236">
        <f>Z124+AI124</f>
        <v/>
      </c>
      <c r="AS124" s="236">
        <f>AQ124+AR124</f>
        <v/>
      </c>
      <c r="AT124" s="239">
        <f>AS124-AP124</f>
        <v/>
      </c>
      <c r="AU124" s="237">
        <f>IF(AP124=0,"",AS124/AP124)</f>
        <v/>
      </c>
      <c r="AV124" s="33" t="n"/>
      <c r="AW124" s="233" t="n"/>
      <c r="AX124" s="233" t="n"/>
      <c r="AY124" s="233">
        <f>AW124+AX124</f>
        <v/>
      </c>
      <c r="AZ124" s="233" t="n"/>
      <c r="BA124" s="233" t="n"/>
      <c r="BB124" s="233">
        <f>AZ124+BA124</f>
        <v/>
      </c>
      <c r="BC124" s="238">
        <f>BB124-AY124</f>
        <v/>
      </c>
      <c r="BD124" s="235">
        <f>IF(AY124=0,"",BB124/AY124)</f>
        <v/>
      </c>
      <c r="BE124" s="26" t="n"/>
      <c r="BF124" s="236">
        <f>AN124+AW124</f>
        <v/>
      </c>
      <c r="BG124" s="236">
        <f>AO124+AX124</f>
        <v/>
      </c>
      <c r="BH124" s="236">
        <f>BF124+BG124</f>
        <v/>
      </c>
      <c r="BI124" s="236">
        <f>AQ124+AZ124</f>
        <v/>
      </c>
      <c r="BJ124" s="236">
        <f>AR124+BA124</f>
        <v/>
      </c>
      <c r="BK124" s="236">
        <f>BI124+BJ124</f>
        <v/>
      </c>
      <c r="BL124" s="239">
        <f>BK124-BH124</f>
        <v/>
      </c>
      <c r="BM124" s="237">
        <f>IF(BH124=0,"",BK124/BH124)</f>
        <v/>
      </c>
      <c r="BN124" s="33" t="n"/>
      <c r="BO124" s="233" t="n"/>
      <c r="BP124" s="233" t="n"/>
      <c r="BQ124" s="233">
        <f>BO124+BP124</f>
        <v/>
      </c>
      <c r="BR124" s="233" t="n"/>
      <c r="BS124" s="233" t="n"/>
      <c r="BT124" s="233">
        <f>BR124+BS124</f>
        <v/>
      </c>
      <c r="BU124" s="238">
        <f>BT124-BQ124</f>
        <v/>
      </c>
      <c r="BV124" s="235">
        <f>IF(BQ124=0,"",BT124/BQ124)</f>
        <v/>
      </c>
      <c r="BW124" s="26" t="n"/>
      <c r="BX124" s="236">
        <f>BF124+BO124</f>
        <v/>
      </c>
      <c r="BY124" s="236">
        <f>BG124+BP124</f>
        <v/>
      </c>
      <c r="BZ124" s="236">
        <f>BX124+BY124</f>
        <v/>
      </c>
      <c r="CA124" s="236">
        <f>BI124+BR124</f>
        <v/>
      </c>
      <c r="CB124" s="236">
        <f>BJ124+BS124</f>
        <v/>
      </c>
      <c r="CC124" s="236">
        <f>CA124+CB124</f>
        <v/>
      </c>
      <c r="CD124" s="239">
        <f>CC124-BZ124</f>
        <v/>
      </c>
      <c r="CE124" s="237">
        <f>IF(BZ124=0,"",CC124/BZ124)</f>
        <v/>
      </c>
      <c r="CF124" s="33" t="n"/>
      <c r="CG124" s="233" t="n"/>
      <c r="CH124" s="233" t="n"/>
      <c r="CI124" s="233">
        <f>CG124+CH124</f>
        <v/>
      </c>
      <c r="CJ124" s="233" t="n"/>
      <c r="CK124" s="233" t="n"/>
      <c r="CL124" s="233">
        <f>CJ124+CK124</f>
        <v/>
      </c>
      <c r="CM124" s="238">
        <f>CL124-CI124</f>
        <v/>
      </c>
      <c r="CN124" s="235">
        <f>IF(CI124=0,"",CL124/CI124)</f>
        <v/>
      </c>
      <c r="CO124" s="26" t="n"/>
      <c r="CP124" s="236">
        <f>BX124+CG124</f>
        <v/>
      </c>
      <c r="CQ124" s="236">
        <f>BY124+CH124</f>
        <v/>
      </c>
      <c r="CR124" s="236">
        <f>CP124+CQ124</f>
        <v/>
      </c>
      <c r="CS124" s="236">
        <f>CA124+CJ124</f>
        <v/>
      </c>
      <c r="CT124" s="236">
        <f>CB124+CK124</f>
        <v/>
      </c>
      <c r="CU124" s="236">
        <f>CS124+CT124</f>
        <v/>
      </c>
      <c r="CV124" s="239">
        <f>CU124-CR124</f>
        <v/>
      </c>
      <c r="CW124" s="237">
        <f>IF(CR124=0,"",CU124/CR124)</f>
        <v/>
      </c>
      <c r="CX124" s="33" t="n"/>
      <c r="CY124" s="233" t="n"/>
      <c r="CZ124" s="233" t="n"/>
      <c r="DA124" s="233">
        <f>CY124+CZ124</f>
        <v/>
      </c>
      <c r="DB124" s="233" t="n"/>
      <c r="DC124" s="233" t="n"/>
      <c r="DD124" s="233">
        <f>DB124+DC124</f>
        <v/>
      </c>
      <c r="DE124" s="238">
        <f>DD124-DA124</f>
        <v/>
      </c>
      <c r="DF124" s="235">
        <f>IF(DA124=0,"",DD124/DA124)</f>
        <v/>
      </c>
      <c r="DG124" s="26" t="n"/>
      <c r="DH124" s="236">
        <f>CP124+CY124</f>
        <v/>
      </c>
      <c r="DI124" s="236">
        <f>CQ124+CZ124</f>
        <v/>
      </c>
      <c r="DJ124" s="236">
        <f>DH124+DI124</f>
        <v/>
      </c>
      <c r="DK124" s="236">
        <f>CS124+DB124</f>
        <v/>
      </c>
      <c r="DL124" s="236">
        <f>CT124+DC124</f>
        <v/>
      </c>
      <c r="DM124" s="236">
        <f>DK124+DL124</f>
        <v/>
      </c>
      <c r="DN124" s="239">
        <f>DM124-DJ124</f>
        <v/>
      </c>
      <c r="DO124" s="237">
        <f>IF(DJ124=0,"",DM124/DJ124)</f>
        <v/>
      </c>
      <c r="DP124" s="33" t="n"/>
      <c r="DQ124" s="233" t="n"/>
      <c r="DR124" s="233" t="n"/>
      <c r="DS124" s="233">
        <f>DQ124+DR124</f>
        <v/>
      </c>
      <c r="DT124" s="233" t="n"/>
      <c r="DU124" s="233" t="n"/>
      <c r="DV124" s="233">
        <f>DT124+DU124</f>
        <v/>
      </c>
      <c r="DW124" s="238">
        <f>DV124-DS124</f>
        <v/>
      </c>
      <c r="DX124" s="235">
        <f>IF(DS124=0,"",DV124/DS124)</f>
        <v/>
      </c>
      <c r="DY124" s="26" t="n"/>
      <c r="DZ124" s="236">
        <f>DH124+DQ124</f>
        <v/>
      </c>
      <c r="EA124" s="236">
        <f>DI124+DR124</f>
        <v/>
      </c>
      <c r="EB124" s="236">
        <f>DZ124+EA124</f>
        <v/>
      </c>
      <c r="EC124" s="236">
        <f>DK124+DT124</f>
        <v/>
      </c>
      <c r="ED124" s="236">
        <f>DL124+DU124</f>
        <v/>
      </c>
      <c r="EE124" s="236">
        <f>EC124+ED124</f>
        <v/>
      </c>
      <c r="EF124" s="239">
        <f>EE124-EB124</f>
        <v/>
      </c>
      <c r="EG124" s="237">
        <f>IF(EB124=0,"",EE124/EB124)</f>
        <v/>
      </c>
      <c r="EH124" s="33" t="n"/>
      <c r="EI124" s="233" t="n"/>
      <c r="EJ124" s="233" t="n"/>
      <c r="EK124" s="233">
        <f>EI124+EJ124</f>
        <v/>
      </c>
      <c r="EL124" s="233" t="n"/>
      <c r="EM124" s="233" t="n"/>
      <c r="EN124" s="233">
        <f>EL124+EM124</f>
        <v/>
      </c>
      <c r="EO124" s="238">
        <f>EN124-EK124</f>
        <v/>
      </c>
      <c r="EP124" s="235">
        <f>IF(EK124=0,"",EN124/EK124)</f>
        <v/>
      </c>
      <c r="EQ124" s="26" t="n"/>
      <c r="ER124" s="236">
        <f>DZ124+EI124</f>
        <v/>
      </c>
      <c r="ES124" s="236">
        <f>EA124+EJ124</f>
        <v/>
      </c>
      <c r="ET124" s="236">
        <f>ER124+ES124</f>
        <v/>
      </c>
      <c r="EU124" s="236">
        <f>EC124+EL124</f>
        <v/>
      </c>
      <c r="EV124" s="236">
        <f>ED124+EM124</f>
        <v/>
      </c>
      <c r="EW124" s="236">
        <f>EU124+EV124</f>
        <v/>
      </c>
      <c r="EX124" s="239">
        <f>EW124-ET124</f>
        <v/>
      </c>
      <c r="EY124" s="237">
        <f>IF(ET124=0,"",EW124/ET124)</f>
        <v/>
      </c>
      <c r="EZ124" s="33" t="n"/>
      <c r="FA124" s="233" t="n"/>
      <c r="FB124" s="233" t="n"/>
      <c r="FC124" s="233">
        <f>FA124+FB124</f>
        <v/>
      </c>
      <c r="FD124" s="233" t="n"/>
      <c r="FE124" s="233" t="n"/>
      <c r="FF124" s="233">
        <f>FD124+FE124</f>
        <v/>
      </c>
      <c r="FG124" s="238">
        <f>FF124-FC124</f>
        <v/>
      </c>
      <c r="FH124" s="235">
        <f>IF(FC124=0,"",FF124/FC124)</f>
        <v/>
      </c>
      <c r="FI124" s="26" t="n"/>
      <c r="FJ124" s="236">
        <f>ER124+FA124</f>
        <v/>
      </c>
      <c r="FK124" s="236">
        <f>ES124+FB124</f>
        <v/>
      </c>
      <c r="FL124" s="236">
        <f>FJ124+FK124</f>
        <v/>
      </c>
      <c r="FM124" s="236">
        <f>EU124+FD124</f>
        <v/>
      </c>
      <c r="FN124" s="236">
        <f>EV124+FE124</f>
        <v/>
      </c>
      <c r="FO124" s="236">
        <f>FM124+FN124</f>
        <v/>
      </c>
      <c r="FP124" s="239">
        <f>FO124-FL124</f>
        <v/>
      </c>
      <c r="FQ124" s="237">
        <f>IF(FL124=0,"",FO124/FL124)</f>
        <v/>
      </c>
      <c r="FR124" s="33" t="n"/>
      <c r="FS124" s="233" t="n"/>
      <c r="FT124" s="233" t="n"/>
      <c r="FU124" s="233">
        <f>FS124+FT124</f>
        <v/>
      </c>
      <c r="FV124" s="233" t="n"/>
      <c r="FW124" s="233" t="n"/>
      <c r="FX124" s="233">
        <f>FV124+FW124</f>
        <v/>
      </c>
      <c r="FY124" s="238">
        <f>FX124-FU124</f>
        <v/>
      </c>
      <c r="FZ124" s="235">
        <f>IF(FU124=0,"",FX124/FU124)</f>
        <v/>
      </c>
      <c r="GA124" s="26" t="n"/>
      <c r="GB124" s="236">
        <f>FJ124+FS124</f>
        <v/>
      </c>
      <c r="GC124" s="236">
        <f>FK124+FT124</f>
        <v/>
      </c>
      <c r="GD124" s="236">
        <f>GB124+GC124</f>
        <v/>
      </c>
      <c r="GE124" s="236">
        <f>FM124+FV124</f>
        <v/>
      </c>
      <c r="GF124" s="236">
        <f>FN124+FW124</f>
        <v/>
      </c>
      <c r="GG124" s="236">
        <f>GE124+GF124</f>
        <v/>
      </c>
      <c r="GH124" s="239">
        <f>GG124-GD124</f>
        <v/>
      </c>
      <c r="GI124" s="237">
        <f>IF(GD124=0,"",GG124/GD124)</f>
        <v/>
      </c>
      <c r="GJ124" s="33" t="n"/>
      <c r="GK124" s="233" t="n"/>
      <c r="GL124" s="233" t="n"/>
      <c r="GM124" s="233">
        <f>GK124+GL124</f>
        <v/>
      </c>
      <c r="GN124" s="233" t="n"/>
      <c r="GO124" s="233" t="n"/>
      <c r="GP124" s="233">
        <f>GN124+GO124</f>
        <v/>
      </c>
      <c r="GQ124" s="238">
        <f>GP124-GM124</f>
        <v/>
      </c>
      <c r="GR124" s="235">
        <f>IF(GM124=0,"",GP124/GM124)</f>
        <v/>
      </c>
      <c r="GS124" s="26" t="n"/>
      <c r="GT124" s="236">
        <f>GB124+GK124</f>
        <v/>
      </c>
      <c r="GU124" s="236">
        <f>GC124+GL124</f>
        <v/>
      </c>
      <c r="GV124" s="236">
        <f>GT124+GU124</f>
        <v/>
      </c>
      <c r="GW124" s="236">
        <f>GE124+GN124</f>
        <v/>
      </c>
      <c r="GX124" s="236">
        <f>GF124+GO124</f>
        <v/>
      </c>
      <c r="GY124" s="236">
        <f>GW124+GX124</f>
        <v/>
      </c>
      <c r="GZ124" s="239">
        <f>GY124-GV124</f>
        <v/>
      </c>
      <c r="HA124" s="237">
        <f>IF(GV124=0,"",GY124/GV124)</f>
        <v/>
      </c>
      <c r="HB124" s="33" t="n"/>
      <c r="HC124" s="233">
        <f>GT124</f>
        <v/>
      </c>
      <c r="HD124" s="233">
        <f>GU124</f>
        <v/>
      </c>
      <c r="HE124" s="233">
        <f>HC124+HD124</f>
        <v/>
      </c>
    </row>
    <row r="125" outlineLevel="1" ht="15" customHeight="1" s="150">
      <c r="A125" s="26" t="n"/>
      <c r="B125" s="26" t="n"/>
      <c r="C125" s="26" t="n"/>
      <c r="D125" s="233" t="n"/>
      <c r="E125" s="233" t="n"/>
      <c r="F125" s="233">
        <f>D125+E125</f>
        <v/>
      </c>
      <c r="G125" s="233" t="n"/>
      <c r="H125" s="233" t="n"/>
      <c r="I125" s="233">
        <f>G125+H125</f>
        <v/>
      </c>
      <c r="J125" s="238">
        <f>I125-F125</f>
        <v/>
      </c>
      <c r="K125" s="235">
        <f>IF(F125=0,"",I125/F125)</f>
        <v/>
      </c>
      <c r="L125" s="26" t="n"/>
      <c r="M125" s="233" t="n"/>
      <c r="N125" s="233" t="n"/>
      <c r="O125" s="233">
        <f>M125+N125</f>
        <v/>
      </c>
      <c r="P125" s="233" t="n"/>
      <c r="Q125" s="233" t="n"/>
      <c r="R125" s="233">
        <f>P125+Q125</f>
        <v/>
      </c>
      <c r="S125" s="238">
        <f>R125-O125</f>
        <v/>
      </c>
      <c r="T125" s="235">
        <f>IF(O125=0,"",R125/O125)</f>
        <v/>
      </c>
      <c r="U125" s="26" t="n"/>
      <c r="V125" s="236">
        <f>D125+M125</f>
        <v/>
      </c>
      <c r="W125" s="236">
        <f>E125+N125</f>
        <v/>
      </c>
      <c r="X125" s="236">
        <f>V125+W125</f>
        <v/>
      </c>
      <c r="Y125" s="236">
        <f>G125+P125</f>
        <v/>
      </c>
      <c r="Z125" s="236">
        <f>H125+Q125</f>
        <v/>
      </c>
      <c r="AA125" s="236">
        <f>Y125+Z125</f>
        <v/>
      </c>
      <c r="AB125" s="239">
        <f>AA125-X125</f>
        <v/>
      </c>
      <c r="AC125" s="237">
        <f>IF(X125=0,"",AA125/X125)</f>
        <v/>
      </c>
      <c r="AD125" s="33" t="n"/>
      <c r="AE125" s="233" t="n"/>
      <c r="AF125" s="233" t="n"/>
      <c r="AG125" s="233">
        <f>AE125+AF125</f>
        <v/>
      </c>
      <c r="AH125" s="233" t="n"/>
      <c r="AI125" s="233" t="n"/>
      <c r="AJ125" s="233">
        <f>AH125+AI125</f>
        <v/>
      </c>
      <c r="AK125" s="238">
        <f>AJ125-AG125</f>
        <v/>
      </c>
      <c r="AL125" s="235">
        <f>IF(AG125=0,"",AJ125/AG125)</f>
        <v/>
      </c>
      <c r="AM125" s="26" t="n"/>
      <c r="AN125" s="236">
        <f>V125+AE125</f>
        <v/>
      </c>
      <c r="AO125" s="236">
        <f>W125+AF125</f>
        <v/>
      </c>
      <c r="AP125" s="236">
        <f>AN125+AO125</f>
        <v/>
      </c>
      <c r="AQ125" s="236">
        <f>Y125+AH125</f>
        <v/>
      </c>
      <c r="AR125" s="236">
        <f>Z125+AI125</f>
        <v/>
      </c>
      <c r="AS125" s="236">
        <f>AQ125+AR125</f>
        <v/>
      </c>
      <c r="AT125" s="239">
        <f>AS125-AP125</f>
        <v/>
      </c>
      <c r="AU125" s="237">
        <f>IF(AP125=0,"",AS125/AP125)</f>
        <v/>
      </c>
      <c r="AV125" s="33" t="n"/>
      <c r="AW125" s="233" t="n"/>
      <c r="AX125" s="233" t="n"/>
      <c r="AY125" s="233">
        <f>AW125+AX125</f>
        <v/>
      </c>
      <c r="AZ125" s="233" t="n"/>
      <c r="BA125" s="233" t="n"/>
      <c r="BB125" s="233">
        <f>AZ125+BA125</f>
        <v/>
      </c>
      <c r="BC125" s="238">
        <f>BB125-AY125</f>
        <v/>
      </c>
      <c r="BD125" s="235">
        <f>IF(AY125=0,"",BB125/AY125)</f>
        <v/>
      </c>
      <c r="BE125" s="26" t="n"/>
      <c r="BF125" s="236">
        <f>AN125+AW125</f>
        <v/>
      </c>
      <c r="BG125" s="236">
        <f>AO125+AX125</f>
        <v/>
      </c>
      <c r="BH125" s="236">
        <f>BF125+BG125</f>
        <v/>
      </c>
      <c r="BI125" s="236">
        <f>AQ125+AZ125</f>
        <v/>
      </c>
      <c r="BJ125" s="236">
        <f>AR125+BA125</f>
        <v/>
      </c>
      <c r="BK125" s="236">
        <f>BI125+BJ125</f>
        <v/>
      </c>
      <c r="BL125" s="239">
        <f>BK125-BH125</f>
        <v/>
      </c>
      <c r="BM125" s="237">
        <f>IF(BH125=0,"",BK125/BH125)</f>
        <v/>
      </c>
      <c r="BN125" s="33" t="n"/>
      <c r="BO125" s="233" t="n"/>
      <c r="BP125" s="233" t="n"/>
      <c r="BQ125" s="233">
        <f>BO125+BP125</f>
        <v/>
      </c>
      <c r="BR125" s="233" t="n"/>
      <c r="BS125" s="233" t="n"/>
      <c r="BT125" s="233">
        <f>BR125+BS125</f>
        <v/>
      </c>
      <c r="BU125" s="238">
        <f>BT125-BQ125</f>
        <v/>
      </c>
      <c r="BV125" s="235">
        <f>IF(BQ125=0,"",BT125/BQ125)</f>
        <v/>
      </c>
      <c r="BW125" s="26" t="n"/>
      <c r="BX125" s="236">
        <f>BF125+BO125</f>
        <v/>
      </c>
      <c r="BY125" s="236">
        <f>BG125+BP125</f>
        <v/>
      </c>
      <c r="BZ125" s="236">
        <f>BX125+BY125</f>
        <v/>
      </c>
      <c r="CA125" s="236">
        <f>BI125+BR125</f>
        <v/>
      </c>
      <c r="CB125" s="236">
        <f>BJ125+BS125</f>
        <v/>
      </c>
      <c r="CC125" s="236">
        <f>CA125+CB125</f>
        <v/>
      </c>
      <c r="CD125" s="239">
        <f>CC125-BZ125</f>
        <v/>
      </c>
      <c r="CE125" s="237">
        <f>IF(BZ125=0,"",CC125/BZ125)</f>
        <v/>
      </c>
      <c r="CF125" s="33" t="n"/>
      <c r="CG125" s="233" t="n"/>
      <c r="CH125" s="233" t="n"/>
      <c r="CI125" s="233">
        <f>CG125+CH125</f>
        <v/>
      </c>
      <c r="CJ125" s="233" t="n"/>
      <c r="CK125" s="233" t="n"/>
      <c r="CL125" s="233">
        <f>CJ125+CK125</f>
        <v/>
      </c>
      <c r="CM125" s="238">
        <f>CL125-CI125</f>
        <v/>
      </c>
      <c r="CN125" s="235">
        <f>IF(CI125=0,"",CL125/CI125)</f>
        <v/>
      </c>
      <c r="CO125" s="26" t="n"/>
      <c r="CP125" s="236">
        <f>BX125+CG125</f>
        <v/>
      </c>
      <c r="CQ125" s="236">
        <f>BY125+CH125</f>
        <v/>
      </c>
      <c r="CR125" s="236">
        <f>CP125+CQ125</f>
        <v/>
      </c>
      <c r="CS125" s="236">
        <f>CA125+CJ125</f>
        <v/>
      </c>
      <c r="CT125" s="236">
        <f>CB125+CK125</f>
        <v/>
      </c>
      <c r="CU125" s="236">
        <f>CS125+CT125</f>
        <v/>
      </c>
      <c r="CV125" s="239">
        <f>CU125-CR125</f>
        <v/>
      </c>
      <c r="CW125" s="237">
        <f>IF(CR125=0,"",CU125/CR125)</f>
        <v/>
      </c>
      <c r="CX125" s="33" t="n"/>
      <c r="CY125" s="233" t="n"/>
      <c r="CZ125" s="233" t="n"/>
      <c r="DA125" s="233">
        <f>CY125+CZ125</f>
        <v/>
      </c>
      <c r="DB125" s="233" t="n"/>
      <c r="DC125" s="233" t="n"/>
      <c r="DD125" s="233">
        <f>DB125+DC125</f>
        <v/>
      </c>
      <c r="DE125" s="238">
        <f>DD125-DA125</f>
        <v/>
      </c>
      <c r="DF125" s="235">
        <f>IF(DA125=0,"",DD125/DA125)</f>
        <v/>
      </c>
      <c r="DG125" s="26" t="n"/>
      <c r="DH125" s="236">
        <f>CP125+CY125</f>
        <v/>
      </c>
      <c r="DI125" s="236">
        <f>CQ125+CZ125</f>
        <v/>
      </c>
      <c r="DJ125" s="236">
        <f>DH125+DI125</f>
        <v/>
      </c>
      <c r="DK125" s="236">
        <f>CS125+DB125</f>
        <v/>
      </c>
      <c r="DL125" s="236">
        <f>CT125+DC125</f>
        <v/>
      </c>
      <c r="DM125" s="236">
        <f>DK125+DL125</f>
        <v/>
      </c>
      <c r="DN125" s="239">
        <f>DM125-DJ125</f>
        <v/>
      </c>
      <c r="DO125" s="237">
        <f>IF(DJ125=0,"",DM125/DJ125)</f>
        <v/>
      </c>
      <c r="DP125" s="33" t="n"/>
      <c r="DQ125" s="233" t="n"/>
      <c r="DR125" s="233" t="n"/>
      <c r="DS125" s="233">
        <f>DQ125+DR125</f>
        <v/>
      </c>
      <c r="DT125" s="233" t="n"/>
      <c r="DU125" s="233" t="n"/>
      <c r="DV125" s="233">
        <f>DT125+DU125</f>
        <v/>
      </c>
      <c r="DW125" s="238">
        <f>DV125-DS125</f>
        <v/>
      </c>
      <c r="DX125" s="235">
        <f>IF(DS125=0,"",DV125/DS125)</f>
        <v/>
      </c>
      <c r="DY125" s="26" t="n"/>
      <c r="DZ125" s="236">
        <f>DH125+DQ125</f>
        <v/>
      </c>
      <c r="EA125" s="236">
        <f>DI125+DR125</f>
        <v/>
      </c>
      <c r="EB125" s="236">
        <f>DZ125+EA125</f>
        <v/>
      </c>
      <c r="EC125" s="236">
        <f>DK125+DT125</f>
        <v/>
      </c>
      <c r="ED125" s="236">
        <f>DL125+DU125</f>
        <v/>
      </c>
      <c r="EE125" s="236">
        <f>EC125+ED125</f>
        <v/>
      </c>
      <c r="EF125" s="239">
        <f>EE125-EB125</f>
        <v/>
      </c>
      <c r="EG125" s="237">
        <f>IF(EB125=0,"",EE125/EB125)</f>
        <v/>
      </c>
      <c r="EH125" s="33" t="n"/>
      <c r="EI125" s="233" t="n"/>
      <c r="EJ125" s="233" t="n"/>
      <c r="EK125" s="233">
        <f>EI125+EJ125</f>
        <v/>
      </c>
      <c r="EL125" s="233" t="n"/>
      <c r="EM125" s="233" t="n"/>
      <c r="EN125" s="233">
        <f>EL125+EM125</f>
        <v/>
      </c>
      <c r="EO125" s="238">
        <f>EN125-EK125</f>
        <v/>
      </c>
      <c r="EP125" s="235">
        <f>IF(EK125=0,"",EN125/EK125)</f>
        <v/>
      </c>
      <c r="EQ125" s="26" t="n"/>
      <c r="ER125" s="236">
        <f>DZ125+EI125</f>
        <v/>
      </c>
      <c r="ES125" s="236">
        <f>EA125+EJ125</f>
        <v/>
      </c>
      <c r="ET125" s="236">
        <f>ER125+ES125</f>
        <v/>
      </c>
      <c r="EU125" s="236">
        <f>EC125+EL125</f>
        <v/>
      </c>
      <c r="EV125" s="236">
        <f>ED125+EM125</f>
        <v/>
      </c>
      <c r="EW125" s="236">
        <f>EU125+EV125</f>
        <v/>
      </c>
      <c r="EX125" s="239">
        <f>EW125-ET125</f>
        <v/>
      </c>
      <c r="EY125" s="237">
        <f>IF(ET125=0,"",EW125/ET125)</f>
        <v/>
      </c>
      <c r="EZ125" s="33" t="n"/>
      <c r="FA125" s="233" t="n"/>
      <c r="FB125" s="233" t="n"/>
      <c r="FC125" s="233">
        <f>FA125+FB125</f>
        <v/>
      </c>
      <c r="FD125" s="233" t="n"/>
      <c r="FE125" s="233" t="n"/>
      <c r="FF125" s="233">
        <f>FD125+FE125</f>
        <v/>
      </c>
      <c r="FG125" s="238">
        <f>FF125-FC125</f>
        <v/>
      </c>
      <c r="FH125" s="235">
        <f>IF(FC125=0,"",FF125/FC125)</f>
        <v/>
      </c>
      <c r="FI125" s="26" t="n"/>
      <c r="FJ125" s="236">
        <f>ER125+FA125</f>
        <v/>
      </c>
      <c r="FK125" s="236">
        <f>ES125+FB125</f>
        <v/>
      </c>
      <c r="FL125" s="236">
        <f>FJ125+FK125</f>
        <v/>
      </c>
      <c r="FM125" s="236">
        <f>EU125+FD125</f>
        <v/>
      </c>
      <c r="FN125" s="236">
        <f>EV125+FE125</f>
        <v/>
      </c>
      <c r="FO125" s="236">
        <f>FM125+FN125</f>
        <v/>
      </c>
      <c r="FP125" s="239">
        <f>FO125-FL125</f>
        <v/>
      </c>
      <c r="FQ125" s="237">
        <f>IF(FL125=0,"",FO125/FL125)</f>
        <v/>
      </c>
      <c r="FR125" s="33" t="n"/>
      <c r="FS125" s="233" t="n"/>
      <c r="FT125" s="233" t="n"/>
      <c r="FU125" s="233">
        <f>FS125+FT125</f>
        <v/>
      </c>
      <c r="FV125" s="233" t="n"/>
      <c r="FW125" s="233" t="n"/>
      <c r="FX125" s="233">
        <f>FV125+FW125</f>
        <v/>
      </c>
      <c r="FY125" s="238">
        <f>FX125-FU125</f>
        <v/>
      </c>
      <c r="FZ125" s="235">
        <f>IF(FU125=0,"",FX125/FU125)</f>
        <v/>
      </c>
      <c r="GA125" s="26" t="n"/>
      <c r="GB125" s="236">
        <f>FJ125+FS125</f>
        <v/>
      </c>
      <c r="GC125" s="236">
        <f>FK125+FT125</f>
        <v/>
      </c>
      <c r="GD125" s="236">
        <f>GB125+GC125</f>
        <v/>
      </c>
      <c r="GE125" s="236">
        <f>FM125+FV125</f>
        <v/>
      </c>
      <c r="GF125" s="236">
        <f>FN125+FW125</f>
        <v/>
      </c>
      <c r="GG125" s="236">
        <f>GE125+GF125</f>
        <v/>
      </c>
      <c r="GH125" s="239">
        <f>GG125-GD125</f>
        <v/>
      </c>
      <c r="GI125" s="237">
        <f>IF(GD125=0,"",GG125/GD125)</f>
        <v/>
      </c>
      <c r="GJ125" s="33" t="n"/>
      <c r="GK125" s="233" t="n"/>
      <c r="GL125" s="233" t="n"/>
      <c r="GM125" s="233">
        <f>GK125+GL125</f>
        <v/>
      </c>
      <c r="GN125" s="233" t="n"/>
      <c r="GO125" s="233" t="n"/>
      <c r="GP125" s="233">
        <f>GN125+GO125</f>
        <v/>
      </c>
      <c r="GQ125" s="238">
        <f>GP125-GM125</f>
        <v/>
      </c>
      <c r="GR125" s="235">
        <f>IF(GM125=0,"",GP125/GM125)</f>
        <v/>
      </c>
      <c r="GS125" s="26" t="n"/>
      <c r="GT125" s="236">
        <f>GB125+GK125</f>
        <v/>
      </c>
      <c r="GU125" s="236">
        <f>GC125+GL125</f>
        <v/>
      </c>
      <c r="GV125" s="236">
        <f>GT125+GU125</f>
        <v/>
      </c>
      <c r="GW125" s="236">
        <f>GE125+GN125</f>
        <v/>
      </c>
      <c r="GX125" s="236">
        <f>GF125+GO125</f>
        <v/>
      </c>
      <c r="GY125" s="236">
        <f>GW125+GX125</f>
        <v/>
      </c>
      <c r="GZ125" s="239">
        <f>GY125-GV125</f>
        <v/>
      </c>
      <c r="HA125" s="237">
        <f>IF(GV125=0,"",GY125/GV125)</f>
        <v/>
      </c>
      <c r="HB125" s="33" t="n"/>
      <c r="HC125" s="233">
        <f>GT125</f>
        <v/>
      </c>
      <c r="HD125" s="233">
        <f>GU125</f>
        <v/>
      </c>
      <c r="HE125" s="233">
        <f>HC125+HD125</f>
        <v/>
      </c>
    </row>
    <row r="126" outlineLevel="1" ht="15" customHeight="1" s="150">
      <c r="A126" s="26" t="n"/>
      <c r="B126" s="26" t="n"/>
      <c r="C126" s="26" t="n"/>
      <c r="D126" s="233" t="n"/>
      <c r="E126" s="233" t="n"/>
      <c r="F126" s="233">
        <f>D126+E126</f>
        <v/>
      </c>
      <c r="G126" s="233" t="n"/>
      <c r="H126" s="233" t="n"/>
      <c r="I126" s="233">
        <f>G126+H126</f>
        <v/>
      </c>
      <c r="J126" s="238">
        <f>I126-F126</f>
        <v/>
      </c>
      <c r="K126" s="235">
        <f>IF(F126=0,"",I126/F126)</f>
        <v/>
      </c>
      <c r="L126" s="26" t="n"/>
      <c r="M126" s="233" t="n"/>
      <c r="N126" s="233" t="n"/>
      <c r="O126" s="233">
        <f>M126+N126</f>
        <v/>
      </c>
      <c r="P126" s="233" t="n"/>
      <c r="Q126" s="233" t="n"/>
      <c r="R126" s="233">
        <f>P126+Q126</f>
        <v/>
      </c>
      <c r="S126" s="238">
        <f>R126-O126</f>
        <v/>
      </c>
      <c r="T126" s="235">
        <f>IF(O126=0,"",R126/O126)</f>
        <v/>
      </c>
      <c r="U126" s="26" t="n"/>
      <c r="V126" s="236">
        <f>D126+M126</f>
        <v/>
      </c>
      <c r="W126" s="236">
        <f>E126+N126</f>
        <v/>
      </c>
      <c r="X126" s="236">
        <f>V126+W126</f>
        <v/>
      </c>
      <c r="Y126" s="236">
        <f>G126+P126</f>
        <v/>
      </c>
      <c r="Z126" s="236">
        <f>H126+Q126</f>
        <v/>
      </c>
      <c r="AA126" s="236">
        <f>Y126+Z126</f>
        <v/>
      </c>
      <c r="AB126" s="234">
        <f>AA126-X126</f>
        <v/>
      </c>
      <c r="AC126" s="237">
        <f>IF(X126=0,"",AA126/X126)</f>
        <v/>
      </c>
      <c r="AD126" s="33" t="n"/>
      <c r="AE126" s="233" t="n"/>
      <c r="AF126" s="233" t="n"/>
      <c r="AG126" s="233">
        <f>AE126+AF126</f>
        <v/>
      </c>
      <c r="AH126" s="233" t="n"/>
      <c r="AI126" s="233" t="n"/>
      <c r="AJ126" s="233">
        <f>AH126+AI126</f>
        <v/>
      </c>
      <c r="AK126" s="238">
        <f>AJ126-AG126</f>
        <v/>
      </c>
      <c r="AL126" s="235">
        <f>IF(AG126=0,"",AJ126/AG126)</f>
        <v/>
      </c>
      <c r="AM126" s="26" t="n"/>
      <c r="AN126" s="236">
        <f>V126+AE126</f>
        <v/>
      </c>
      <c r="AO126" s="236">
        <f>W126+AF126</f>
        <v/>
      </c>
      <c r="AP126" s="236">
        <f>AN126+AO126</f>
        <v/>
      </c>
      <c r="AQ126" s="236">
        <f>Y126+AH126</f>
        <v/>
      </c>
      <c r="AR126" s="236">
        <f>Z126+AI126</f>
        <v/>
      </c>
      <c r="AS126" s="236">
        <f>AQ126+AR126</f>
        <v/>
      </c>
      <c r="AT126" s="234">
        <f>AS126-AP126</f>
        <v/>
      </c>
      <c r="AU126" s="237">
        <f>IF(AP126=0,"",AS126/AP126)</f>
        <v/>
      </c>
      <c r="AV126" s="33" t="n"/>
      <c r="AW126" s="233" t="n"/>
      <c r="AX126" s="233" t="n"/>
      <c r="AY126" s="233">
        <f>AW126+AX126</f>
        <v/>
      </c>
      <c r="AZ126" s="233" t="n"/>
      <c r="BA126" s="233" t="n"/>
      <c r="BB126" s="233">
        <f>AZ126+BA126</f>
        <v/>
      </c>
      <c r="BC126" s="238">
        <f>BB126-AY126</f>
        <v/>
      </c>
      <c r="BD126" s="235">
        <f>IF(AY126=0,"",BB126/AY126)</f>
        <v/>
      </c>
      <c r="BE126" s="26" t="n"/>
      <c r="BF126" s="236">
        <f>AN126+AW126</f>
        <v/>
      </c>
      <c r="BG126" s="236">
        <f>AO126+AX126</f>
        <v/>
      </c>
      <c r="BH126" s="236">
        <f>BF126+BG126</f>
        <v/>
      </c>
      <c r="BI126" s="236">
        <f>AQ126+AZ126</f>
        <v/>
      </c>
      <c r="BJ126" s="236">
        <f>AR126+BA126</f>
        <v/>
      </c>
      <c r="BK126" s="236">
        <f>BI126+BJ126</f>
        <v/>
      </c>
      <c r="BL126" s="239">
        <f>BK126-BH126</f>
        <v/>
      </c>
      <c r="BM126" s="237">
        <f>IF(BH126=0,"",BK126/BH126)</f>
        <v/>
      </c>
      <c r="BN126" s="33" t="n"/>
      <c r="BO126" s="233" t="n"/>
      <c r="BP126" s="233" t="n"/>
      <c r="BQ126" s="233">
        <f>BO126+BP126</f>
        <v/>
      </c>
      <c r="BR126" s="233" t="n"/>
      <c r="BS126" s="233" t="n"/>
      <c r="BT126" s="233">
        <f>BR126+BS126</f>
        <v/>
      </c>
      <c r="BU126" s="238">
        <f>BT126-BQ126</f>
        <v/>
      </c>
      <c r="BV126" s="235">
        <f>IF(BQ126=0,"",BT126/BQ126)</f>
        <v/>
      </c>
      <c r="BW126" s="26" t="n"/>
      <c r="BX126" s="236">
        <f>BF126+BO126</f>
        <v/>
      </c>
      <c r="BY126" s="236">
        <f>BG126+BP126</f>
        <v/>
      </c>
      <c r="BZ126" s="236">
        <f>BX126+BY126</f>
        <v/>
      </c>
      <c r="CA126" s="236">
        <f>BI126+BR126</f>
        <v/>
      </c>
      <c r="CB126" s="236">
        <f>BJ126+BS126</f>
        <v/>
      </c>
      <c r="CC126" s="236">
        <f>CA126+CB126</f>
        <v/>
      </c>
      <c r="CD126" s="239">
        <f>CC126-BZ126</f>
        <v/>
      </c>
      <c r="CE126" s="237">
        <f>IF(BZ126=0,"",CC126/BZ126)</f>
        <v/>
      </c>
      <c r="CF126" s="33" t="n"/>
      <c r="CG126" s="233" t="n"/>
      <c r="CH126" s="233" t="n"/>
      <c r="CI126" s="233">
        <f>CG126+CH126</f>
        <v/>
      </c>
      <c r="CJ126" s="233" t="n"/>
      <c r="CK126" s="233" t="n"/>
      <c r="CL126" s="233">
        <f>CJ126+CK126</f>
        <v/>
      </c>
      <c r="CM126" s="238">
        <f>CL126-CI126</f>
        <v/>
      </c>
      <c r="CN126" s="235">
        <f>IF(CI126=0,"",CL126/CI126)</f>
        <v/>
      </c>
      <c r="CO126" s="26" t="n"/>
      <c r="CP126" s="236">
        <f>BX126+CG126</f>
        <v/>
      </c>
      <c r="CQ126" s="236">
        <f>BY126+CH126</f>
        <v/>
      </c>
      <c r="CR126" s="236">
        <f>CP126+CQ126</f>
        <v/>
      </c>
      <c r="CS126" s="236">
        <f>CA126+CJ126</f>
        <v/>
      </c>
      <c r="CT126" s="236">
        <f>CB126+CK126</f>
        <v/>
      </c>
      <c r="CU126" s="236">
        <f>CS126+CT126</f>
        <v/>
      </c>
      <c r="CV126" s="239">
        <f>CU126-CR126</f>
        <v/>
      </c>
      <c r="CW126" s="237">
        <f>IF(CR126=0,"",CU126/CR126)</f>
        <v/>
      </c>
      <c r="CX126" s="33" t="n"/>
      <c r="CY126" s="233" t="n"/>
      <c r="CZ126" s="233" t="n"/>
      <c r="DA126" s="233">
        <f>CY126+CZ126</f>
        <v/>
      </c>
      <c r="DB126" s="233" t="n"/>
      <c r="DC126" s="233" t="n"/>
      <c r="DD126" s="233">
        <f>DB126+DC126</f>
        <v/>
      </c>
      <c r="DE126" s="238">
        <f>DD126-DA126</f>
        <v/>
      </c>
      <c r="DF126" s="235">
        <f>IF(DA126=0,"",DD126/DA126)</f>
        <v/>
      </c>
      <c r="DG126" s="26" t="n"/>
      <c r="DH126" s="236">
        <f>CP126+CY126</f>
        <v/>
      </c>
      <c r="DI126" s="236">
        <f>CQ126+CZ126</f>
        <v/>
      </c>
      <c r="DJ126" s="236">
        <f>DH126+DI126</f>
        <v/>
      </c>
      <c r="DK126" s="236">
        <f>CS126+DB126</f>
        <v/>
      </c>
      <c r="DL126" s="236">
        <f>CT126+DC126</f>
        <v/>
      </c>
      <c r="DM126" s="236">
        <f>DK126+DL126</f>
        <v/>
      </c>
      <c r="DN126" s="239">
        <f>DM126-DJ126</f>
        <v/>
      </c>
      <c r="DO126" s="237">
        <f>IF(DJ126=0,"",DM126/DJ126)</f>
        <v/>
      </c>
      <c r="DP126" s="33" t="n"/>
      <c r="DQ126" s="233" t="n"/>
      <c r="DR126" s="233" t="n"/>
      <c r="DS126" s="233">
        <f>DQ126+DR126</f>
        <v/>
      </c>
      <c r="DT126" s="233" t="n"/>
      <c r="DU126" s="233" t="n"/>
      <c r="DV126" s="233">
        <f>DT126+DU126</f>
        <v/>
      </c>
      <c r="DW126" s="238">
        <f>DV126-DS126</f>
        <v/>
      </c>
      <c r="DX126" s="235">
        <f>IF(DS126=0,"",DV126/DS126)</f>
        <v/>
      </c>
      <c r="DY126" s="26" t="n"/>
      <c r="DZ126" s="236">
        <f>DH126+DQ126</f>
        <v/>
      </c>
      <c r="EA126" s="236">
        <f>DI126+DR126</f>
        <v/>
      </c>
      <c r="EB126" s="236">
        <f>DZ126+EA126</f>
        <v/>
      </c>
      <c r="EC126" s="236">
        <f>DK126+DT126</f>
        <v/>
      </c>
      <c r="ED126" s="236">
        <f>DL126+DU126</f>
        <v/>
      </c>
      <c r="EE126" s="236">
        <f>EC126+ED126</f>
        <v/>
      </c>
      <c r="EF126" s="239">
        <f>EE126-EB126</f>
        <v/>
      </c>
      <c r="EG126" s="237">
        <f>IF(EB126=0,"",EE126/EB126)</f>
        <v/>
      </c>
      <c r="EH126" s="33" t="n"/>
      <c r="EI126" s="233" t="n"/>
      <c r="EJ126" s="233" t="n"/>
      <c r="EK126" s="233">
        <f>EI126+EJ126</f>
        <v/>
      </c>
      <c r="EL126" s="233" t="n"/>
      <c r="EM126" s="233" t="n"/>
      <c r="EN126" s="233">
        <f>EL126+EM126</f>
        <v/>
      </c>
      <c r="EO126" s="238">
        <f>EN126-EK126</f>
        <v/>
      </c>
      <c r="EP126" s="235">
        <f>IF(EK126=0,"",EN126/EK126)</f>
        <v/>
      </c>
      <c r="EQ126" s="26" t="n"/>
      <c r="ER126" s="236">
        <f>DZ126+EI126</f>
        <v/>
      </c>
      <c r="ES126" s="236">
        <f>EA126+EJ126</f>
        <v/>
      </c>
      <c r="ET126" s="236">
        <f>ER126+ES126</f>
        <v/>
      </c>
      <c r="EU126" s="236">
        <f>EC126+EL126</f>
        <v/>
      </c>
      <c r="EV126" s="236">
        <f>ED126+EM126</f>
        <v/>
      </c>
      <c r="EW126" s="236">
        <f>EU126+EV126</f>
        <v/>
      </c>
      <c r="EX126" s="239">
        <f>EW126-ET126</f>
        <v/>
      </c>
      <c r="EY126" s="237">
        <f>IF(ET126=0,"",EW126/ET126)</f>
        <v/>
      </c>
      <c r="EZ126" s="33" t="n"/>
      <c r="FA126" s="233" t="n"/>
      <c r="FB126" s="233" t="n"/>
      <c r="FC126" s="233">
        <f>FA126+FB126</f>
        <v/>
      </c>
      <c r="FD126" s="233" t="n"/>
      <c r="FE126" s="233" t="n"/>
      <c r="FF126" s="233">
        <f>FD126+FE126</f>
        <v/>
      </c>
      <c r="FG126" s="238">
        <f>FF126-FC126</f>
        <v/>
      </c>
      <c r="FH126" s="235">
        <f>IF(FC126=0,"",FF126/FC126)</f>
        <v/>
      </c>
      <c r="FI126" s="26" t="n"/>
      <c r="FJ126" s="236">
        <f>ER126+FA126</f>
        <v/>
      </c>
      <c r="FK126" s="236">
        <f>ES126+FB126</f>
        <v/>
      </c>
      <c r="FL126" s="236">
        <f>FJ126+FK126</f>
        <v/>
      </c>
      <c r="FM126" s="236">
        <f>EU126+FD126</f>
        <v/>
      </c>
      <c r="FN126" s="236">
        <f>EV126+FE126</f>
        <v/>
      </c>
      <c r="FO126" s="236">
        <f>FM126+FN126</f>
        <v/>
      </c>
      <c r="FP126" s="239">
        <f>FO126-FL126</f>
        <v/>
      </c>
      <c r="FQ126" s="237">
        <f>IF(FL126=0,"",FO126/FL126)</f>
        <v/>
      </c>
      <c r="FR126" s="33" t="n"/>
      <c r="FS126" s="233" t="n"/>
      <c r="FT126" s="233" t="n"/>
      <c r="FU126" s="233">
        <f>FS126+FT126</f>
        <v/>
      </c>
      <c r="FV126" s="233" t="n"/>
      <c r="FW126" s="233" t="n"/>
      <c r="FX126" s="233">
        <f>FV126+FW126</f>
        <v/>
      </c>
      <c r="FY126" s="238">
        <f>FX126-FU126</f>
        <v/>
      </c>
      <c r="FZ126" s="235">
        <f>IF(FU126=0,"",FX126/FU126)</f>
        <v/>
      </c>
      <c r="GA126" s="26" t="n"/>
      <c r="GB126" s="236">
        <f>FJ126+FS126</f>
        <v/>
      </c>
      <c r="GC126" s="236">
        <f>FK126+FT126</f>
        <v/>
      </c>
      <c r="GD126" s="236">
        <f>GB126+GC126</f>
        <v/>
      </c>
      <c r="GE126" s="236">
        <f>FM126+FV126</f>
        <v/>
      </c>
      <c r="GF126" s="236">
        <f>FN126+FW126</f>
        <v/>
      </c>
      <c r="GG126" s="236">
        <f>GE126+GF126</f>
        <v/>
      </c>
      <c r="GH126" s="239">
        <f>GG126-GD126</f>
        <v/>
      </c>
      <c r="GI126" s="237">
        <f>IF(GD126=0,"",GG126/GD126)</f>
        <v/>
      </c>
      <c r="GJ126" s="33" t="n"/>
      <c r="GK126" s="233" t="n"/>
      <c r="GL126" s="233" t="n"/>
      <c r="GM126" s="233">
        <f>GK126+GL126</f>
        <v/>
      </c>
      <c r="GN126" s="233" t="n"/>
      <c r="GO126" s="233" t="n"/>
      <c r="GP126" s="233">
        <f>GN126+GO126</f>
        <v/>
      </c>
      <c r="GQ126" s="238">
        <f>GP126-GM126</f>
        <v/>
      </c>
      <c r="GR126" s="235">
        <f>IF(GM126=0,"",GP126/GM126)</f>
        <v/>
      </c>
      <c r="GS126" s="26" t="n"/>
      <c r="GT126" s="236">
        <f>GB126+GK126</f>
        <v/>
      </c>
      <c r="GU126" s="236">
        <f>GC126+GL126</f>
        <v/>
      </c>
      <c r="GV126" s="236">
        <f>GT126+GU126</f>
        <v/>
      </c>
      <c r="GW126" s="236">
        <f>GE126+GN126</f>
        <v/>
      </c>
      <c r="GX126" s="236">
        <f>GF126+GO126</f>
        <v/>
      </c>
      <c r="GY126" s="236">
        <f>GW126+GX126</f>
        <v/>
      </c>
      <c r="GZ126" s="239">
        <f>GY126-GV126</f>
        <v/>
      </c>
      <c r="HA126" s="237">
        <f>IF(GV126=0,"",GY126/GV126)</f>
        <v/>
      </c>
      <c r="HB126" s="33" t="n"/>
      <c r="HC126" s="233">
        <f>GT126</f>
        <v/>
      </c>
      <c r="HD126" s="233">
        <f>GU126</f>
        <v/>
      </c>
      <c r="HE126" s="233">
        <f>HC126+HD126</f>
        <v/>
      </c>
    </row>
    <row r="127" outlineLevel="1" ht="15" customHeight="1" s="150">
      <c r="A127" s="26" t="n"/>
      <c r="B127" s="26" t="n"/>
      <c r="C127" s="26" t="n"/>
      <c r="D127" s="233" t="n"/>
      <c r="E127" s="233" t="n"/>
      <c r="F127" s="233">
        <f>D127+E127</f>
        <v/>
      </c>
      <c r="G127" s="233" t="n"/>
      <c r="H127" s="233" t="n"/>
      <c r="I127" s="233">
        <f>G127+H127</f>
        <v/>
      </c>
      <c r="J127" s="238">
        <f>I127-F127</f>
        <v/>
      </c>
      <c r="K127" s="235">
        <f>IF(F127=0,"",I127/F127)</f>
        <v/>
      </c>
      <c r="L127" s="26" t="n"/>
      <c r="M127" s="233" t="n"/>
      <c r="N127" s="233" t="n"/>
      <c r="O127" s="233">
        <f>M127+N127</f>
        <v/>
      </c>
      <c r="P127" s="233" t="n"/>
      <c r="Q127" s="233" t="n"/>
      <c r="R127" s="233">
        <f>P127+Q127</f>
        <v/>
      </c>
      <c r="S127" s="238">
        <f>R127-O127</f>
        <v/>
      </c>
      <c r="T127" s="235">
        <f>IF(O127=0,"",R127/O127)</f>
        <v/>
      </c>
      <c r="U127" s="26" t="n"/>
      <c r="V127" s="236">
        <f>D127+M127</f>
        <v/>
      </c>
      <c r="W127" s="236">
        <f>E127+N127</f>
        <v/>
      </c>
      <c r="X127" s="236">
        <f>V127+W127</f>
        <v/>
      </c>
      <c r="Y127" s="236">
        <f>G127+P127</f>
        <v/>
      </c>
      <c r="Z127" s="236">
        <f>H127+Q127</f>
        <v/>
      </c>
      <c r="AA127" s="236">
        <f>Y127+Z127</f>
        <v/>
      </c>
      <c r="AB127" s="239">
        <f>AA127-X127</f>
        <v/>
      </c>
      <c r="AC127" s="237">
        <f>IF(X127=0,"",AA127/X127)</f>
        <v/>
      </c>
      <c r="AD127" s="33" t="n"/>
      <c r="AE127" s="233" t="n"/>
      <c r="AF127" s="233" t="n"/>
      <c r="AG127" s="233">
        <f>AE127+AF127</f>
        <v/>
      </c>
      <c r="AH127" s="233" t="n"/>
      <c r="AI127" s="233" t="n"/>
      <c r="AJ127" s="233">
        <f>AH127+AI127</f>
        <v/>
      </c>
      <c r="AK127" s="238">
        <f>AJ127-AG127</f>
        <v/>
      </c>
      <c r="AL127" s="235">
        <f>IF(AG127=0,"",AJ127/AG127)</f>
        <v/>
      </c>
      <c r="AM127" s="26" t="n"/>
      <c r="AN127" s="236">
        <f>V127+AE127</f>
        <v/>
      </c>
      <c r="AO127" s="236">
        <f>W127+AF127</f>
        <v/>
      </c>
      <c r="AP127" s="236">
        <f>AN127+AO127</f>
        <v/>
      </c>
      <c r="AQ127" s="236">
        <f>Y127+AH127</f>
        <v/>
      </c>
      <c r="AR127" s="236">
        <f>Z127+AI127</f>
        <v/>
      </c>
      <c r="AS127" s="236">
        <f>AQ127+AR127</f>
        <v/>
      </c>
      <c r="AT127" s="239">
        <f>AS127-AP127</f>
        <v/>
      </c>
      <c r="AU127" s="237">
        <f>IF(AP127=0,"",AS127/AP127)</f>
        <v/>
      </c>
      <c r="AV127" s="33" t="n"/>
      <c r="AW127" s="233" t="n"/>
      <c r="AX127" s="233" t="n"/>
      <c r="AY127" s="233">
        <f>AW127+AX127</f>
        <v/>
      </c>
      <c r="AZ127" s="233" t="n"/>
      <c r="BA127" s="233" t="n"/>
      <c r="BB127" s="233">
        <f>AZ127+BA127</f>
        <v/>
      </c>
      <c r="BC127" s="238">
        <f>BB127-AY127</f>
        <v/>
      </c>
      <c r="BD127" s="235">
        <f>IF(AY127=0,"",BB127/AY127)</f>
        <v/>
      </c>
      <c r="BE127" s="26" t="n"/>
      <c r="BF127" s="236">
        <f>AN127+AW127</f>
        <v/>
      </c>
      <c r="BG127" s="236">
        <f>AO127+AX127</f>
        <v/>
      </c>
      <c r="BH127" s="236">
        <f>BF127+BG127</f>
        <v/>
      </c>
      <c r="BI127" s="236">
        <f>AQ127+AZ127</f>
        <v/>
      </c>
      <c r="BJ127" s="236">
        <f>AR127+BA127</f>
        <v/>
      </c>
      <c r="BK127" s="236">
        <f>BI127+BJ127</f>
        <v/>
      </c>
      <c r="BL127" s="239">
        <f>BK127-BH127</f>
        <v/>
      </c>
      <c r="BM127" s="237">
        <f>IF(BH127=0,"",BK127/BH127)</f>
        <v/>
      </c>
      <c r="BN127" s="33" t="n"/>
      <c r="BO127" s="233" t="n"/>
      <c r="BP127" s="233" t="n"/>
      <c r="BQ127" s="233">
        <f>BO127+BP127</f>
        <v/>
      </c>
      <c r="BR127" s="233" t="n"/>
      <c r="BS127" s="233" t="n"/>
      <c r="BT127" s="233">
        <f>BR127+BS127</f>
        <v/>
      </c>
      <c r="BU127" s="238">
        <f>BT127-BQ127</f>
        <v/>
      </c>
      <c r="BV127" s="235">
        <f>IF(BQ127=0,"",BT127/BQ127)</f>
        <v/>
      </c>
      <c r="BW127" s="26" t="n"/>
      <c r="BX127" s="236">
        <f>BF127+BO127</f>
        <v/>
      </c>
      <c r="BY127" s="236">
        <f>BG127+BP127</f>
        <v/>
      </c>
      <c r="BZ127" s="236">
        <f>BX127+BY127</f>
        <v/>
      </c>
      <c r="CA127" s="236">
        <f>BI127+BR127</f>
        <v/>
      </c>
      <c r="CB127" s="236">
        <f>BJ127+BS127</f>
        <v/>
      </c>
      <c r="CC127" s="236">
        <f>CA127+CB127</f>
        <v/>
      </c>
      <c r="CD127" s="239">
        <f>CC127-BZ127</f>
        <v/>
      </c>
      <c r="CE127" s="237">
        <f>IF(BZ127=0,"",CC127/BZ127)</f>
        <v/>
      </c>
      <c r="CF127" s="33" t="n"/>
      <c r="CG127" s="233" t="n"/>
      <c r="CH127" s="233" t="n"/>
      <c r="CI127" s="233">
        <f>CG127+CH127</f>
        <v/>
      </c>
      <c r="CJ127" s="233" t="n"/>
      <c r="CK127" s="233" t="n"/>
      <c r="CL127" s="233">
        <f>CJ127+CK127</f>
        <v/>
      </c>
      <c r="CM127" s="238">
        <f>CL127-CI127</f>
        <v/>
      </c>
      <c r="CN127" s="235">
        <f>IF(CI127=0,"",CL127/CI127)</f>
        <v/>
      </c>
      <c r="CO127" s="26" t="n"/>
      <c r="CP127" s="236">
        <f>BX127+CG127</f>
        <v/>
      </c>
      <c r="CQ127" s="236">
        <f>BY127+CH127</f>
        <v/>
      </c>
      <c r="CR127" s="236">
        <f>CP127+CQ127</f>
        <v/>
      </c>
      <c r="CS127" s="236">
        <f>CA127+CJ127</f>
        <v/>
      </c>
      <c r="CT127" s="236">
        <f>CB127+CK127</f>
        <v/>
      </c>
      <c r="CU127" s="236">
        <f>CS127+CT127</f>
        <v/>
      </c>
      <c r="CV127" s="239">
        <f>CU127-CR127</f>
        <v/>
      </c>
      <c r="CW127" s="237">
        <f>IF(CR127=0,"",CU127/CR127)</f>
        <v/>
      </c>
      <c r="CX127" s="33" t="n"/>
      <c r="CY127" s="233" t="n"/>
      <c r="CZ127" s="233" t="n"/>
      <c r="DA127" s="233">
        <f>CY127+CZ127</f>
        <v/>
      </c>
      <c r="DB127" s="233" t="n"/>
      <c r="DC127" s="233" t="n"/>
      <c r="DD127" s="233">
        <f>DB127+DC127</f>
        <v/>
      </c>
      <c r="DE127" s="238">
        <f>DD127-DA127</f>
        <v/>
      </c>
      <c r="DF127" s="235">
        <f>IF(DA127=0,"",DD127/DA127)</f>
        <v/>
      </c>
      <c r="DG127" s="26" t="n"/>
      <c r="DH127" s="236">
        <f>CP127+CY127</f>
        <v/>
      </c>
      <c r="DI127" s="236">
        <f>CQ127+CZ127</f>
        <v/>
      </c>
      <c r="DJ127" s="236">
        <f>DH127+DI127</f>
        <v/>
      </c>
      <c r="DK127" s="236">
        <f>CS127+DB127</f>
        <v/>
      </c>
      <c r="DL127" s="236">
        <f>CT127+DC127</f>
        <v/>
      </c>
      <c r="DM127" s="236">
        <f>DK127+DL127</f>
        <v/>
      </c>
      <c r="DN127" s="239">
        <f>DM127-DJ127</f>
        <v/>
      </c>
      <c r="DO127" s="237">
        <f>IF(DJ127=0,"",DM127/DJ127)</f>
        <v/>
      </c>
      <c r="DP127" s="33" t="n"/>
      <c r="DQ127" s="233" t="n"/>
      <c r="DR127" s="233" t="n"/>
      <c r="DS127" s="233">
        <f>DQ127+DR127</f>
        <v/>
      </c>
      <c r="DT127" s="233" t="n"/>
      <c r="DU127" s="233" t="n"/>
      <c r="DV127" s="233">
        <f>DT127+DU127</f>
        <v/>
      </c>
      <c r="DW127" s="238">
        <f>DV127-DS127</f>
        <v/>
      </c>
      <c r="DX127" s="235">
        <f>IF(DS127=0,"",DV127/DS127)</f>
        <v/>
      </c>
      <c r="DY127" s="26" t="n"/>
      <c r="DZ127" s="236">
        <f>DH127+DQ127</f>
        <v/>
      </c>
      <c r="EA127" s="236">
        <f>DI127+DR127</f>
        <v/>
      </c>
      <c r="EB127" s="236">
        <f>DZ127+EA127</f>
        <v/>
      </c>
      <c r="EC127" s="236">
        <f>DK127+DT127</f>
        <v/>
      </c>
      <c r="ED127" s="236">
        <f>DL127+DU127</f>
        <v/>
      </c>
      <c r="EE127" s="236">
        <f>EC127+ED127</f>
        <v/>
      </c>
      <c r="EF127" s="239">
        <f>EE127-EB127</f>
        <v/>
      </c>
      <c r="EG127" s="237">
        <f>IF(EB127=0,"",EE127/EB127)</f>
        <v/>
      </c>
      <c r="EH127" s="33" t="n"/>
      <c r="EI127" s="233" t="n"/>
      <c r="EJ127" s="233" t="n"/>
      <c r="EK127" s="233">
        <f>EI127+EJ127</f>
        <v/>
      </c>
      <c r="EL127" s="233" t="n"/>
      <c r="EM127" s="233" t="n"/>
      <c r="EN127" s="233">
        <f>EL127+EM127</f>
        <v/>
      </c>
      <c r="EO127" s="238">
        <f>EN127-EK127</f>
        <v/>
      </c>
      <c r="EP127" s="235">
        <f>IF(EK127=0,"",EN127/EK127)</f>
        <v/>
      </c>
      <c r="EQ127" s="26" t="n"/>
      <c r="ER127" s="236">
        <f>DZ127+EI127</f>
        <v/>
      </c>
      <c r="ES127" s="236">
        <f>EA127+EJ127</f>
        <v/>
      </c>
      <c r="ET127" s="236">
        <f>ER127+ES127</f>
        <v/>
      </c>
      <c r="EU127" s="236">
        <f>EC127+EL127</f>
        <v/>
      </c>
      <c r="EV127" s="236">
        <f>ED127+EM127</f>
        <v/>
      </c>
      <c r="EW127" s="236">
        <f>EU127+EV127</f>
        <v/>
      </c>
      <c r="EX127" s="239">
        <f>EW127-ET127</f>
        <v/>
      </c>
      <c r="EY127" s="237">
        <f>IF(ET127=0,"",EW127/ET127)</f>
        <v/>
      </c>
      <c r="EZ127" s="33" t="n"/>
      <c r="FA127" s="233" t="n"/>
      <c r="FB127" s="233" t="n"/>
      <c r="FC127" s="233">
        <f>FA127+FB127</f>
        <v/>
      </c>
      <c r="FD127" s="233" t="n"/>
      <c r="FE127" s="233" t="n"/>
      <c r="FF127" s="233">
        <f>FD127+FE127</f>
        <v/>
      </c>
      <c r="FG127" s="238">
        <f>FF127-FC127</f>
        <v/>
      </c>
      <c r="FH127" s="235">
        <f>IF(FC127=0,"",FF127/FC127)</f>
        <v/>
      </c>
      <c r="FI127" s="26" t="n"/>
      <c r="FJ127" s="236">
        <f>ER127+FA127</f>
        <v/>
      </c>
      <c r="FK127" s="236">
        <f>ES127+FB127</f>
        <v/>
      </c>
      <c r="FL127" s="236">
        <f>FJ127+FK127</f>
        <v/>
      </c>
      <c r="FM127" s="236">
        <f>EU127+FD127</f>
        <v/>
      </c>
      <c r="FN127" s="236">
        <f>EV127+FE127</f>
        <v/>
      </c>
      <c r="FO127" s="236">
        <f>FM127+FN127</f>
        <v/>
      </c>
      <c r="FP127" s="239">
        <f>FO127-FL127</f>
        <v/>
      </c>
      <c r="FQ127" s="237">
        <f>IF(FL127=0,"",FO127/FL127)</f>
        <v/>
      </c>
      <c r="FR127" s="33" t="n"/>
      <c r="FS127" s="233" t="n"/>
      <c r="FT127" s="233" t="n"/>
      <c r="FU127" s="233">
        <f>FS127+FT127</f>
        <v/>
      </c>
      <c r="FV127" s="233" t="n"/>
      <c r="FW127" s="233" t="n"/>
      <c r="FX127" s="233">
        <f>FV127+FW127</f>
        <v/>
      </c>
      <c r="FY127" s="238">
        <f>FX127-FU127</f>
        <v/>
      </c>
      <c r="FZ127" s="235">
        <f>IF(FU127=0,"",FX127/FU127)</f>
        <v/>
      </c>
      <c r="GA127" s="26" t="n"/>
      <c r="GB127" s="236">
        <f>FJ127+FS127</f>
        <v/>
      </c>
      <c r="GC127" s="236">
        <f>FK127+FT127</f>
        <v/>
      </c>
      <c r="GD127" s="236">
        <f>GB127+GC127</f>
        <v/>
      </c>
      <c r="GE127" s="236">
        <f>FM127+FV127</f>
        <v/>
      </c>
      <c r="GF127" s="236">
        <f>FN127+FW127</f>
        <v/>
      </c>
      <c r="GG127" s="236">
        <f>GE127+GF127</f>
        <v/>
      </c>
      <c r="GH127" s="239">
        <f>GG127-GD127</f>
        <v/>
      </c>
      <c r="GI127" s="237">
        <f>IF(GD127=0,"",GG127/GD127)</f>
        <v/>
      </c>
      <c r="GJ127" s="33" t="n"/>
      <c r="GK127" s="233" t="n"/>
      <c r="GL127" s="233" t="n"/>
      <c r="GM127" s="233">
        <f>GK127+GL127</f>
        <v/>
      </c>
      <c r="GN127" s="233" t="n"/>
      <c r="GO127" s="233" t="n"/>
      <c r="GP127" s="233">
        <f>GN127+GO127</f>
        <v/>
      </c>
      <c r="GQ127" s="238">
        <f>GP127-GM127</f>
        <v/>
      </c>
      <c r="GR127" s="235">
        <f>IF(GM127=0,"",GP127/GM127)</f>
        <v/>
      </c>
      <c r="GS127" s="26" t="n"/>
      <c r="GT127" s="236">
        <f>GB127+GK127</f>
        <v/>
      </c>
      <c r="GU127" s="236">
        <f>GC127+GL127</f>
        <v/>
      </c>
      <c r="GV127" s="236">
        <f>GT127+GU127</f>
        <v/>
      </c>
      <c r="GW127" s="236">
        <f>GE127+GN127</f>
        <v/>
      </c>
      <c r="GX127" s="236">
        <f>GF127+GO127</f>
        <v/>
      </c>
      <c r="GY127" s="236">
        <f>GW127+GX127</f>
        <v/>
      </c>
      <c r="GZ127" s="239">
        <f>GY127-GV127</f>
        <v/>
      </c>
      <c r="HA127" s="237">
        <f>IF(GV127=0,"",GY127/GV127)</f>
        <v/>
      </c>
      <c r="HB127" s="33" t="n"/>
      <c r="HC127" s="233">
        <f>GT127</f>
        <v/>
      </c>
      <c r="HD127" s="233">
        <f>GU127</f>
        <v/>
      </c>
      <c r="HE127" s="233">
        <f>HC127+HD127</f>
        <v/>
      </c>
    </row>
    <row r="128" outlineLevel="1" ht="15" customHeight="1" s="150">
      <c r="A128" s="26" t="n"/>
      <c r="B128" s="26" t="n"/>
      <c r="C128" s="26" t="n"/>
      <c r="D128" s="233" t="n"/>
      <c r="E128" s="233" t="n"/>
      <c r="F128" s="233">
        <f>D128+E128</f>
        <v/>
      </c>
      <c r="G128" s="233" t="n"/>
      <c r="H128" s="233" t="n"/>
      <c r="I128" s="233">
        <f>G128+H128</f>
        <v/>
      </c>
      <c r="J128" s="238">
        <f>I128-F128</f>
        <v/>
      </c>
      <c r="K128" s="235">
        <f>IF(F128=0,"",I128/F128)</f>
        <v/>
      </c>
      <c r="L128" s="26" t="n"/>
      <c r="M128" s="233" t="n"/>
      <c r="N128" s="233" t="n"/>
      <c r="O128" s="233">
        <f>M128+N128</f>
        <v/>
      </c>
      <c r="P128" s="233" t="n"/>
      <c r="Q128" s="233" t="n"/>
      <c r="R128" s="233">
        <f>P128+Q128</f>
        <v/>
      </c>
      <c r="S128" s="238">
        <f>R128-O128</f>
        <v/>
      </c>
      <c r="T128" s="235">
        <f>IF(O128=0,"",R128/O128)</f>
        <v/>
      </c>
      <c r="U128" s="26" t="n"/>
      <c r="V128" s="236">
        <f>D128+M128</f>
        <v/>
      </c>
      <c r="W128" s="236">
        <f>E128+N128</f>
        <v/>
      </c>
      <c r="X128" s="236">
        <f>V128+W128</f>
        <v/>
      </c>
      <c r="Y128" s="236">
        <f>G128+P128</f>
        <v/>
      </c>
      <c r="Z128" s="236">
        <f>H128+Q128</f>
        <v/>
      </c>
      <c r="AA128" s="236">
        <f>Y128+Z128</f>
        <v/>
      </c>
      <c r="AB128" s="239">
        <f>AA128-X128</f>
        <v/>
      </c>
      <c r="AC128" s="237">
        <f>IF(X128=0,"",AA128/X128)</f>
        <v/>
      </c>
      <c r="AD128" s="33" t="n"/>
      <c r="AE128" s="233" t="n"/>
      <c r="AF128" s="233" t="n"/>
      <c r="AG128" s="233">
        <f>AE128+AF128</f>
        <v/>
      </c>
      <c r="AH128" s="233" t="n"/>
      <c r="AI128" s="233" t="n"/>
      <c r="AJ128" s="233">
        <f>AH128+AI128</f>
        <v/>
      </c>
      <c r="AK128" s="238">
        <f>AJ128-AG128</f>
        <v/>
      </c>
      <c r="AL128" s="235">
        <f>IF(AG128=0,"",AJ128/AG128)</f>
        <v/>
      </c>
      <c r="AM128" s="26" t="n"/>
      <c r="AN128" s="236">
        <f>V128+AE128</f>
        <v/>
      </c>
      <c r="AO128" s="236">
        <f>W128+AF128</f>
        <v/>
      </c>
      <c r="AP128" s="236">
        <f>AN128+AO128</f>
        <v/>
      </c>
      <c r="AQ128" s="236">
        <f>Y128+AH128</f>
        <v/>
      </c>
      <c r="AR128" s="236">
        <f>Z128+AI128</f>
        <v/>
      </c>
      <c r="AS128" s="236">
        <f>AQ128+AR128</f>
        <v/>
      </c>
      <c r="AT128" s="239">
        <f>AS128-AP128</f>
        <v/>
      </c>
      <c r="AU128" s="237">
        <f>IF(AP128=0,"",AS128/AP128)</f>
        <v/>
      </c>
      <c r="AV128" s="33" t="n"/>
      <c r="AW128" s="233" t="n"/>
      <c r="AX128" s="233" t="n"/>
      <c r="AY128" s="233">
        <f>AW128+AX128</f>
        <v/>
      </c>
      <c r="AZ128" s="233" t="n"/>
      <c r="BA128" s="233" t="n"/>
      <c r="BB128" s="233">
        <f>AZ128+BA128</f>
        <v/>
      </c>
      <c r="BC128" s="238">
        <f>BB128-AY128</f>
        <v/>
      </c>
      <c r="BD128" s="235">
        <f>IF(AY128=0,"",BB128/AY128)</f>
        <v/>
      </c>
      <c r="BE128" s="26" t="n"/>
      <c r="BF128" s="236">
        <f>AN128+AW128</f>
        <v/>
      </c>
      <c r="BG128" s="236">
        <f>AO128+AX128</f>
        <v/>
      </c>
      <c r="BH128" s="236">
        <f>BF128+BG128</f>
        <v/>
      </c>
      <c r="BI128" s="236">
        <f>AQ128+AZ128</f>
        <v/>
      </c>
      <c r="BJ128" s="236">
        <f>AR128+BA128</f>
        <v/>
      </c>
      <c r="BK128" s="236">
        <f>BI128+BJ128</f>
        <v/>
      </c>
      <c r="BL128" s="239">
        <f>BK128-BH128</f>
        <v/>
      </c>
      <c r="BM128" s="237">
        <f>IF(BH128=0,"",BK128/BH128)</f>
        <v/>
      </c>
      <c r="BN128" s="33" t="n"/>
      <c r="BO128" s="233" t="n"/>
      <c r="BP128" s="233" t="n"/>
      <c r="BQ128" s="233">
        <f>BO128+BP128</f>
        <v/>
      </c>
      <c r="BR128" s="233" t="n"/>
      <c r="BS128" s="233" t="n"/>
      <c r="BT128" s="233">
        <f>BR128+BS128</f>
        <v/>
      </c>
      <c r="BU128" s="238">
        <f>BT128-BQ128</f>
        <v/>
      </c>
      <c r="BV128" s="235">
        <f>IF(BQ128=0,"",BT128/BQ128)</f>
        <v/>
      </c>
      <c r="BW128" s="26" t="n"/>
      <c r="BX128" s="236">
        <f>BF128+BO128</f>
        <v/>
      </c>
      <c r="BY128" s="236">
        <f>BG128+BP128</f>
        <v/>
      </c>
      <c r="BZ128" s="236">
        <f>BX128+BY128</f>
        <v/>
      </c>
      <c r="CA128" s="236">
        <f>BI128+BR128</f>
        <v/>
      </c>
      <c r="CB128" s="236">
        <f>BJ128+BS128</f>
        <v/>
      </c>
      <c r="CC128" s="236">
        <f>CA128+CB128</f>
        <v/>
      </c>
      <c r="CD128" s="239">
        <f>CC128-BZ128</f>
        <v/>
      </c>
      <c r="CE128" s="237">
        <f>IF(BZ128=0,"",CC128/BZ128)</f>
        <v/>
      </c>
      <c r="CF128" s="33" t="n"/>
      <c r="CG128" s="233" t="n"/>
      <c r="CH128" s="233" t="n"/>
      <c r="CI128" s="233">
        <f>CG128+CH128</f>
        <v/>
      </c>
      <c r="CJ128" s="233" t="n"/>
      <c r="CK128" s="233" t="n"/>
      <c r="CL128" s="233">
        <f>CJ128+CK128</f>
        <v/>
      </c>
      <c r="CM128" s="238">
        <f>CL128-CI128</f>
        <v/>
      </c>
      <c r="CN128" s="235">
        <f>IF(CI128=0,"",CL128/CI128)</f>
        <v/>
      </c>
      <c r="CO128" s="26" t="n"/>
      <c r="CP128" s="236">
        <f>BX128+CG128</f>
        <v/>
      </c>
      <c r="CQ128" s="236">
        <f>BY128+CH128</f>
        <v/>
      </c>
      <c r="CR128" s="236">
        <f>CP128+CQ128</f>
        <v/>
      </c>
      <c r="CS128" s="236">
        <f>CA128+CJ128</f>
        <v/>
      </c>
      <c r="CT128" s="236">
        <f>CB128+CK128</f>
        <v/>
      </c>
      <c r="CU128" s="236">
        <f>CS128+CT128</f>
        <v/>
      </c>
      <c r="CV128" s="239">
        <f>CU128-CR128</f>
        <v/>
      </c>
      <c r="CW128" s="237">
        <f>IF(CR128=0,"",CU128/CR128)</f>
        <v/>
      </c>
      <c r="CX128" s="33" t="n"/>
      <c r="CY128" s="233" t="n"/>
      <c r="CZ128" s="233" t="n"/>
      <c r="DA128" s="233">
        <f>CY128+CZ128</f>
        <v/>
      </c>
      <c r="DB128" s="233" t="n"/>
      <c r="DC128" s="233" t="n"/>
      <c r="DD128" s="233">
        <f>DB128+DC128</f>
        <v/>
      </c>
      <c r="DE128" s="238">
        <f>DD128-DA128</f>
        <v/>
      </c>
      <c r="DF128" s="235">
        <f>IF(DA128=0,"",DD128/DA128)</f>
        <v/>
      </c>
      <c r="DG128" s="26" t="n"/>
      <c r="DH128" s="236">
        <f>CP128+CY128</f>
        <v/>
      </c>
      <c r="DI128" s="236">
        <f>CQ128+CZ128</f>
        <v/>
      </c>
      <c r="DJ128" s="236">
        <f>DH128+DI128</f>
        <v/>
      </c>
      <c r="DK128" s="236">
        <f>CS128+DB128</f>
        <v/>
      </c>
      <c r="DL128" s="236">
        <f>CT128+DC128</f>
        <v/>
      </c>
      <c r="DM128" s="236">
        <f>DK128+DL128</f>
        <v/>
      </c>
      <c r="DN128" s="239">
        <f>DM128-DJ128</f>
        <v/>
      </c>
      <c r="DO128" s="237">
        <f>IF(DJ128=0,"",DM128/DJ128)</f>
        <v/>
      </c>
      <c r="DP128" s="33" t="n"/>
      <c r="DQ128" s="233" t="n"/>
      <c r="DR128" s="233" t="n"/>
      <c r="DS128" s="233">
        <f>DQ128+DR128</f>
        <v/>
      </c>
      <c r="DT128" s="233" t="n"/>
      <c r="DU128" s="233" t="n"/>
      <c r="DV128" s="233">
        <f>DT128+DU128</f>
        <v/>
      </c>
      <c r="DW128" s="238">
        <f>DV128-DS128</f>
        <v/>
      </c>
      <c r="DX128" s="235">
        <f>IF(DS128=0,"",DV128/DS128)</f>
        <v/>
      </c>
      <c r="DY128" s="26" t="n"/>
      <c r="DZ128" s="236">
        <f>DH128+DQ128</f>
        <v/>
      </c>
      <c r="EA128" s="236">
        <f>DI128+DR128</f>
        <v/>
      </c>
      <c r="EB128" s="236">
        <f>DZ128+EA128</f>
        <v/>
      </c>
      <c r="EC128" s="236">
        <f>DK128+DT128</f>
        <v/>
      </c>
      <c r="ED128" s="236">
        <f>DL128+DU128</f>
        <v/>
      </c>
      <c r="EE128" s="236">
        <f>EC128+ED128</f>
        <v/>
      </c>
      <c r="EF128" s="239">
        <f>EE128-EB128</f>
        <v/>
      </c>
      <c r="EG128" s="237">
        <f>IF(EB128=0,"",EE128/EB128)</f>
        <v/>
      </c>
      <c r="EH128" s="33" t="n"/>
      <c r="EI128" s="233" t="n"/>
      <c r="EJ128" s="233" t="n"/>
      <c r="EK128" s="233">
        <f>EI128+EJ128</f>
        <v/>
      </c>
      <c r="EL128" s="233" t="n"/>
      <c r="EM128" s="233" t="n"/>
      <c r="EN128" s="233">
        <f>EL128+EM128</f>
        <v/>
      </c>
      <c r="EO128" s="238">
        <f>EN128-EK128</f>
        <v/>
      </c>
      <c r="EP128" s="235">
        <f>IF(EK128=0,"",EN128/EK128)</f>
        <v/>
      </c>
      <c r="EQ128" s="26" t="n"/>
      <c r="ER128" s="236">
        <f>DZ128+EI128</f>
        <v/>
      </c>
      <c r="ES128" s="236">
        <f>EA128+EJ128</f>
        <v/>
      </c>
      <c r="ET128" s="236">
        <f>ER128+ES128</f>
        <v/>
      </c>
      <c r="EU128" s="236">
        <f>EC128+EL128</f>
        <v/>
      </c>
      <c r="EV128" s="236">
        <f>ED128+EM128</f>
        <v/>
      </c>
      <c r="EW128" s="236">
        <f>EU128+EV128</f>
        <v/>
      </c>
      <c r="EX128" s="239">
        <f>EW128-ET128</f>
        <v/>
      </c>
      <c r="EY128" s="237">
        <f>IF(ET128=0,"",EW128/ET128)</f>
        <v/>
      </c>
      <c r="EZ128" s="33" t="n"/>
      <c r="FA128" s="233" t="n"/>
      <c r="FB128" s="233" t="n"/>
      <c r="FC128" s="233">
        <f>FA128+FB128</f>
        <v/>
      </c>
      <c r="FD128" s="233" t="n"/>
      <c r="FE128" s="233" t="n"/>
      <c r="FF128" s="233">
        <f>FD128+FE128</f>
        <v/>
      </c>
      <c r="FG128" s="238">
        <f>FF128-FC128</f>
        <v/>
      </c>
      <c r="FH128" s="235">
        <f>IF(FC128=0,"",FF128/FC128)</f>
        <v/>
      </c>
      <c r="FI128" s="26" t="n"/>
      <c r="FJ128" s="236">
        <f>ER128+FA128</f>
        <v/>
      </c>
      <c r="FK128" s="236">
        <f>ES128+FB128</f>
        <v/>
      </c>
      <c r="FL128" s="236">
        <f>FJ128+FK128</f>
        <v/>
      </c>
      <c r="FM128" s="236">
        <f>EU128+FD128</f>
        <v/>
      </c>
      <c r="FN128" s="236">
        <f>EV128+FE128</f>
        <v/>
      </c>
      <c r="FO128" s="236">
        <f>FM128+FN128</f>
        <v/>
      </c>
      <c r="FP128" s="239">
        <f>FO128-FL128</f>
        <v/>
      </c>
      <c r="FQ128" s="237">
        <f>IF(FL128=0,"",FO128/FL128)</f>
        <v/>
      </c>
      <c r="FR128" s="33" t="n"/>
      <c r="FS128" s="233" t="n"/>
      <c r="FT128" s="233" t="n"/>
      <c r="FU128" s="233">
        <f>FS128+FT128</f>
        <v/>
      </c>
      <c r="FV128" s="233" t="n"/>
      <c r="FW128" s="233" t="n"/>
      <c r="FX128" s="233">
        <f>FV128+FW128</f>
        <v/>
      </c>
      <c r="FY128" s="238">
        <f>FX128-FU128</f>
        <v/>
      </c>
      <c r="FZ128" s="235">
        <f>IF(FU128=0,"",FX128/FU128)</f>
        <v/>
      </c>
      <c r="GA128" s="26" t="n"/>
      <c r="GB128" s="236">
        <f>FJ128+FS128</f>
        <v/>
      </c>
      <c r="GC128" s="236">
        <f>FK128+FT128</f>
        <v/>
      </c>
      <c r="GD128" s="236">
        <f>GB128+GC128</f>
        <v/>
      </c>
      <c r="GE128" s="236">
        <f>FM128+FV128</f>
        <v/>
      </c>
      <c r="GF128" s="236">
        <f>FN128+FW128</f>
        <v/>
      </c>
      <c r="GG128" s="236">
        <f>GE128+GF128</f>
        <v/>
      </c>
      <c r="GH128" s="239">
        <f>GG128-GD128</f>
        <v/>
      </c>
      <c r="GI128" s="237">
        <f>IF(GD128=0,"",GG128/GD128)</f>
        <v/>
      </c>
      <c r="GJ128" s="33" t="n"/>
      <c r="GK128" s="233" t="n"/>
      <c r="GL128" s="233" t="n"/>
      <c r="GM128" s="233">
        <f>GK128+GL128</f>
        <v/>
      </c>
      <c r="GN128" s="233" t="n"/>
      <c r="GO128" s="233" t="n"/>
      <c r="GP128" s="233">
        <f>GN128+GO128</f>
        <v/>
      </c>
      <c r="GQ128" s="238">
        <f>GP128-GM128</f>
        <v/>
      </c>
      <c r="GR128" s="235">
        <f>IF(GM128=0,"",GP128/GM128)</f>
        <v/>
      </c>
      <c r="GS128" s="26" t="n"/>
      <c r="GT128" s="236">
        <f>GB128+GK128</f>
        <v/>
      </c>
      <c r="GU128" s="236">
        <f>GC128+GL128</f>
        <v/>
      </c>
      <c r="GV128" s="236">
        <f>GT128+GU128</f>
        <v/>
      </c>
      <c r="GW128" s="236">
        <f>GE128+GN128</f>
        <v/>
      </c>
      <c r="GX128" s="236">
        <f>GF128+GO128</f>
        <v/>
      </c>
      <c r="GY128" s="236">
        <f>GW128+GX128</f>
        <v/>
      </c>
      <c r="GZ128" s="239">
        <f>GY128-GV128</f>
        <v/>
      </c>
      <c r="HA128" s="237">
        <f>IF(GV128=0,"",GY128/GV128)</f>
        <v/>
      </c>
      <c r="HB128" s="33" t="n"/>
      <c r="HC128" s="233">
        <f>GT128</f>
        <v/>
      </c>
      <c r="HD128" s="233">
        <f>GU128</f>
        <v/>
      </c>
      <c r="HE128" s="233">
        <f>HC128+HD128</f>
        <v/>
      </c>
    </row>
    <row r="129" outlineLevel="1" ht="15" customHeight="1" s="150">
      <c r="A129" s="26" t="n"/>
      <c r="B129" s="26" t="n"/>
      <c r="C129" s="26" t="n"/>
      <c r="D129" s="233" t="n"/>
      <c r="E129" s="233" t="n"/>
      <c r="F129" s="233">
        <f>D129+E129</f>
        <v/>
      </c>
      <c r="G129" s="233" t="n"/>
      <c r="H129" s="233" t="n"/>
      <c r="I129" s="233">
        <f>G129+H129</f>
        <v/>
      </c>
      <c r="J129" s="238">
        <f>I129-F129</f>
        <v/>
      </c>
      <c r="K129" s="235">
        <f>IF(F129=0,"",I129/F129)</f>
        <v/>
      </c>
      <c r="L129" s="26" t="n"/>
      <c r="M129" s="233" t="n"/>
      <c r="N129" s="233" t="n"/>
      <c r="O129" s="233">
        <f>M129+N129</f>
        <v/>
      </c>
      <c r="P129" s="233" t="n"/>
      <c r="Q129" s="233" t="n"/>
      <c r="R129" s="233">
        <f>P129+Q129</f>
        <v/>
      </c>
      <c r="S129" s="238">
        <f>R129-O129</f>
        <v/>
      </c>
      <c r="T129" s="235">
        <f>IF(O129=0,"",R129/O129)</f>
        <v/>
      </c>
      <c r="U129" s="26" t="n"/>
      <c r="V129" s="236">
        <f>D129+M129</f>
        <v/>
      </c>
      <c r="W129" s="236">
        <f>E129+N129</f>
        <v/>
      </c>
      <c r="X129" s="236">
        <f>V129+W129</f>
        <v/>
      </c>
      <c r="Y129" s="236">
        <f>G129+P129</f>
        <v/>
      </c>
      <c r="Z129" s="236">
        <f>H129+Q129</f>
        <v/>
      </c>
      <c r="AA129" s="236">
        <f>Y129+Z129</f>
        <v/>
      </c>
      <c r="AB129" s="239">
        <f>AA129-X129</f>
        <v/>
      </c>
      <c r="AC129" s="237">
        <f>IF(X129=0,"",AA129/X129)</f>
        <v/>
      </c>
      <c r="AD129" s="33" t="n"/>
      <c r="AE129" s="233" t="n"/>
      <c r="AF129" s="233" t="n"/>
      <c r="AG129" s="233">
        <f>AE129+AF129</f>
        <v/>
      </c>
      <c r="AH129" s="233" t="n"/>
      <c r="AI129" s="233" t="n"/>
      <c r="AJ129" s="233">
        <f>AH129+AI129</f>
        <v/>
      </c>
      <c r="AK129" s="238">
        <f>AJ129-AG129</f>
        <v/>
      </c>
      <c r="AL129" s="235">
        <f>IF(AG129=0,"",AJ129/AG129)</f>
        <v/>
      </c>
      <c r="AM129" s="26" t="n"/>
      <c r="AN129" s="236">
        <f>V129+AE129</f>
        <v/>
      </c>
      <c r="AO129" s="236">
        <f>W129+AF129</f>
        <v/>
      </c>
      <c r="AP129" s="236">
        <f>AN129+AO129</f>
        <v/>
      </c>
      <c r="AQ129" s="236">
        <f>Y129+AH129</f>
        <v/>
      </c>
      <c r="AR129" s="236">
        <f>Z129+AI129</f>
        <v/>
      </c>
      <c r="AS129" s="236">
        <f>AQ129+AR129</f>
        <v/>
      </c>
      <c r="AT129" s="239">
        <f>AS129-AP129</f>
        <v/>
      </c>
      <c r="AU129" s="237">
        <f>IF(AP129=0,"",AS129/AP129)</f>
        <v/>
      </c>
      <c r="AV129" s="33" t="n"/>
      <c r="AW129" s="233" t="n"/>
      <c r="AX129" s="233" t="n"/>
      <c r="AY129" s="233">
        <f>AW129+AX129</f>
        <v/>
      </c>
      <c r="AZ129" s="233" t="n"/>
      <c r="BA129" s="233" t="n"/>
      <c r="BB129" s="233">
        <f>AZ129+BA129</f>
        <v/>
      </c>
      <c r="BC129" s="238">
        <f>BB129-AY129</f>
        <v/>
      </c>
      <c r="BD129" s="235">
        <f>IF(AY129=0,"",BB129/AY129)</f>
        <v/>
      </c>
      <c r="BE129" s="26" t="n"/>
      <c r="BF129" s="236">
        <f>AN129+AW129</f>
        <v/>
      </c>
      <c r="BG129" s="236">
        <f>AO129+AX129</f>
        <v/>
      </c>
      <c r="BH129" s="236">
        <f>BF129+BG129</f>
        <v/>
      </c>
      <c r="BI129" s="236">
        <f>AQ129+AZ129</f>
        <v/>
      </c>
      <c r="BJ129" s="236">
        <f>AR129+BA129</f>
        <v/>
      </c>
      <c r="BK129" s="236">
        <f>BI129+BJ129</f>
        <v/>
      </c>
      <c r="BL129" s="239">
        <f>BK129-BH129</f>
        <v/>
      </c>
      <c r="BM129" s="237">
        <f>IF(BH129=0,"",BK129/BH129)</f>
        <v/>
      </c>
      <c r="BN129" s="33" t="n"/>
      <c r="BO129" s="233" t="n"/>
      <c r="BP129" s="233" t="n"/>
      <c r="BQ129" s="233">
        <f>BO129+BP129</f>
        <v/>
      </c>
      <c r="BR129" s="233" t="n"/>
      <c r="BS129" s="233" t="n"/>
      <c r="BT129" s="233">
        <f>BR129+BS129</f>
        <v/>
      </c>
      <c r="BU129" s="238">
        <f>BT129-BQ129</f>
        <v/>
      </c>
      <c r="BV129" s="235">
        <f>IF(BQ129=0,"",BT129/BQ129)</f>
        <v/>
      </c>
      <c r="BW129" s="26" t="n"/>
      <c r="BX129" s="236">
        <f>BF129+BO129</f>
        <v/>
      </c>
      <c r="BY129" s="236">
        <f>BG129+BP129</f>
        <v/>
      </c>
      <c r="BZ129" s="236">
        <f>BX129+BY129</f>
        <v/>
      </c>
      <c r="CA129" s="236">
        <f>BI129+BR129</f>
        <v/>
      </c>
      <c r="CB129" s="236">
        <f>BJ129+BS129</f>
        <v/>
      </c>
      <c r="CC129" s="236">
        <f>CA129+CB129</f>
        <v/>
      </c>
      <c r="CD129" s="239">
        <f>CC129-BZ129</f>
        <v/>
      </c>
      <c r="CE129" s="237">
        <f>IF(BZ129=0,"",CC129/BZ129)</f>
        <v/>
      </c>
      <c r="CF129" s="33" t="n"/>
      <c r="CG129" s="233" t="n"/>
      <c r="CH129" s="233" t="n"/>
      <c r="CI129" s="233">
        <f>CG129+CH129</f>
        <v/>
      </c>
      <c r="CJ129" s="233" t="n"/>
      <c r="CK129" s="233" t="n"/>
      <c r="CL129" s="233">
        <f>CJ129+CK129</f>
        <v/>
      </c>
      <c r="CM129" s="238">
        <f>CL129-CI129</f>
        <v/>
      </c>
      <c r="CN129" s="235">
        <f>IF(CI129=0,"",CL129/CI129)</f>
        <v/>
      </c>
      <c r="CO129" s="26" t="n"/>
      <c r="CP129" s="236">
        <f>BX129+CG129</f>
        <v/>
      </c>
      <c r="CQ129" s="236">
        <f>BY129+CH129</f>
        <v/>
      </c>
      <c r="CR129" s="236">
        <f>CP129+CQ129</f>
        <v/>
      </c>
      <c r="CS129" s="236">
        <f>CA129+CJ129</f>
        <v/>
      </c>
      <c r="CT129" s="236">
        <f>CB129+CK129</f>
        <v/>
      </c>
      <c r="CU129" s="236">
        <f>CS129+CT129</f>
        <v/>
      </c>
      <c r="CV129" s="239">
        <f>CU129-CR129</f>
        <v/>
      </c>
      <c r="CW129" s="237">
        <f>IF(CR129=0,"",CU129/CR129)</f>
        <v/>
      </c>
      <c r="CX129" s="33" t="n"/>
      <c r="CY129" s="233" t="n"/>
      <c r="CZ129" s="233" t="n"/>
      <c r="DA129" s="233">
        <f>CY129+CZ129</f>
        <v/>
      </c>
      <c r="DB129" s="233" t="n"/>
      <c r="DC129" s="233" t="n"/>
      <c r="DD129" s="233">
        <f>DB129+DC129</f>
        <v/>
      </c>
      <c r="DE129" s="238">
        <f>DD129-DA129</f>
        <v/>
      </c>
      <c r="DF129" s="235">
        <f>IF(DA129=0,"",DD129/DA129)</f>
        <v/>
      </c>
      <c r="DG129" s="26" t="n"/>
      <c r="DH129" s="236">
        <f>CP129+CY129</f>
        <v/>
      </c>
      <c r="DI129" s="236">
        <f>CQ129+CZ129</f>
        <v/>
      </c>
      <c r="DJ129" s="236">
        <f>DH129+DI129</f>
        <v/>
      </c>
      <c r="DK129" s="236">
        <f>CS129+DB129</f>
        <v/>
      </c>
      <c r="DL129" s="236">
        <f>CT129+DC129</f>
        <v/>
      </c>
      <c r="DM129" s="236">
        <f>DK129+DL129</f>
        <v/>
      </c>
      <c r="DN129" s="239">
        <f>DM129-DJ129</f>
        <v/>
      </c>
      <c r="DO129" s="237">
        <f>IF(DJ129=0,"",DM129/DJ129)</f>
        <v/>
      </c>
      <c r="DP129" s="33" t="n"/>
      <c r="DQ129" s="233" t="n"/>
      <c r="DR129" s="233" t="n"/>
      <c r="DS129" s="233">
        <f>DQ129+DR129</f>
        <v/>
      </c>
      <c r="DT129" s="233" t="n"/>
      <c r="DU129" s="233" t="n"/>
      <c r="DV129" s="233">
        <f>DT129+DU129</f>
        <v/>
      </c>
      <c r="DW129" s="238">
        <f>DV129-DS129</f>
        <v/>
      </c>
      <c r="DX129" s="235">
        <f>IF(DS129=0,"",DV129/DS129)</f>
        <v/>
      </c>
      <c r="DY129" s="26" t="n"/>
      <c r="DZ129" s="236">
        <f>DH129+DQ129</f>
        <v/>
      </c>
      <c r="EA129" s="236">
        <f>DI129+DR129</f>
        <v/>
      </c>
      <c r="EB129" s="236">
        <f>DZ129+EA129</f>
        <v/>
      </c>
      <c r="EC129" s="236">
        <f>DK129+DT129</f>
        <v/>
      </c>
      <c r="ED129" s="236">
        <f>DL129+DU129</f>
        <v/>
      </c>
      <c r="EE129" s="236">
        <f>EC129+ED129</f>
        <v/>
      </c>
      <c r="EF129" s="239">
        <f>EE129-EB129</f>
        <v/>
      </c>
      <c r="EG129" s="237">
        <f>IF(EB129=0,"",EE129/EB129)</f>
        <v/>
      </c>
      <c r="EH129" s="33" t="n"/>
      <c r="EI129" s="233" t="n"/>
      <c r="EJ129" s="233" t="n"/>
      <c r="EK129" s="233">
        <f>EI129+EJ129</f>
        <v/>
      </c>
      <c r="EL129" s="233" t="n"/>
      <c r="EM129" s="233" t="n"/>
      <c r="EN129" s="233">
        <f>EL129+EM129</f>
        <v/>
      </c>
      <c r="EO129" s="238">
        <f>EN129-EK129</f>
        <v/>
      </c>
      <c r="EP129" s="235">
        <f>IF(EK129=0,"",EN129/EK129)</f>
        <v/>
      </c>
      <c r="EQ129" s="26" t="n"/>
      <c r="ER129" s="236">
        <f>DZ129+EI129</f>
        <v/>
      </c>
      <c r="ES129" s="236">
        <f>EA129+EJ129</f>
        <v/>
      </c>
      <c r="ET129" s="236">
        <f>ER129+ES129</f>
        <v/>
      </c>
      <c r="EU129" s="236">
        <f>EC129+EL129</f>
        <v/>
      </c>
      <c r="EV129" s="236">
        <f>ED129+EM129</f>
        <v/>
      </c>
      <c r="EW129" s="236">
        <f>EU129+EV129</f>
        <v/>
      </c>
      <c r="EX129" s="239">
        <f>EW129-ET129</f>
        <v/>
      </c>
      <c r="EY129" s="237">
        <f>IF(ET129=0,"",EW129/ET129)</f>
        <v/>
      </c>
      <c r="EZ129" s="33" t="n"/>
      <c r="FA129" s="233" t="n"/>
      <c r="FB129" s="233" t="n"/>
      <c r="FC129" s="233">
        <f>FA129+FB129</f>
        <v/>
      </c>
      <c r="FD129" s="233" t="n"/>
      <c r="FE129" s="233" t="n"/>
      <c r="FF129" s="233">
        <f>FD129+FE129</f>
        <v/>
      </c>
      <c r="FG129" s="238">
        <f>FF129-FC129</f>
        <v/>
      </c>
      <c r="FH129" s="235">
        <f>IF(FC129=0,"",FF129/FC129)</f>
        <v/>
      </c>
      <c r="FI129" s="26" t="n"/>
      <c r="FJ129" s="236">
        <f>ER129+FA129</f>
        <v/>
      </c>
      <c r="FK129" s="236">
        <f>ES129+FB129</f>
        <v/>
      </c>
      <c r="FL129" s="236">
        <f>FJ129+FK129</f>
        <v/>
      </c>
      <c r="FM129" s="236">
        <f>EU129+FD129</f>
        <v/>
      </c>
      <c r="FN129" s="236">
        <f>EV129+FE129</f>
        <v/>
      </c>
      <c r="FO129" s="236">
        <f>FM129+FN129</f>
        <v/>
      </c>
      <c r="FP129" s="239">
        <f>FO129-FL129</f>
        <v/>
      </c>
      <c r="FQ129" s="237">
        <f>IF(FL129=0,"",FO129/FL129)</f>
        <v/>
      </c>
      <c r="FR129" s="33" t="n"/>
      <c r="FS129" s="233" t="n"/>
      <c r="FT129" s="233" t="n"/>
      <c r="FU129" s="233">
        <f>FS129+FT129</f>
        <v/>
      </c>
      <c r="FV129" s="233" t="n"/>
      <c r="FW129" s="233" t="n"/>
      <c r="FX129" s="233">
        <f>FV129+FW129</f>
        <v/>
      </c>
      <c r="FY129" s="238">
        <f>FX129-FU129</f>
        <v/>
      </c>
      <c r="FZ129" s="235">
        <f>IF(FU129=0,"",FX129/FU129)</f>
        <v/>
      </c>
      <c r="GA129" s="26" t="n"/>
      <c r="GB129" s="236">
        <f>FJ129+FS129</f>
        <v/>
      </c>
      <c r="GC129" s="236">
        <f>FK129+FT129</f>
        <v/>
      </c>
      <c r="GD129" s="236">
        <f>GB129+GC129</f>
        <v/>
      </c>
      <c r="GE129" s="236">
        <f>FM129+FV129</f>
        <v/>
      </c>
      <c r="GF129" s="236">
        <f>FN129+FW129</f>
        <v/>
      </c>
      <c r="GG129" s="236">
        <f>GE129+GF129</f>
        <v/>
      </c>
      <c r="GH129" s="239">
        <f>GG129-GD129</f>
        <v/>
      </c>
      <c r="GI129" s="237">
        <f>IF(GD129=0,"",GG129/GD129)</f>
        <v/>
      </c>
      <c r="GJ129" s="33" t="n"/>
      <c r="GK129" s="233" t="n"/>
      <c r="GL129" s="233" t="n"/>
      <c r="GM129" s="233">
        <f>GK129+GL129</f>
        <v/>
      </c>
      <c r="GN129" s="233" t="n"/>
      <c r="GO129" s="233" t="n"/>
      <c r="GP129" s="233">
        <f>GN129+GO129</f>
        <v/>
      </c>
      <c r="GQ129" s="238">
        <f>GP129-GM129</f>
        <v/>
      </c>
      <c r="GR129" s="235">
        <f>IF(GM129=0,"",GP129/GM129)</f>
        <v/>
      </c>
      <c r="GS129" s="26" t="n"/>
      <c r="GT129" s="236">
        <f>GB129+GK129</f>
        <v/>
      </c>
      <c r="GU129" s="236">
        <f>GC129+GL129</f>
        <v/>
      </c>
      <c r="GV129" s="236">
        <f>GT129+GU129</f>
        <v/>
      </c>
      <c r="GW129" s="236">
        <f>GE129+GN129</f>
        <v/>
      </c>
      <c r="GX129" s="236">
        <f>GF129+GO129</f>
        <v/>
      </c>
      <c r="GY129" s="236">
        <f>GW129+GX129</f>
        <v/>
      </c>
      <c r="GZ129" s="239">
        <f>GY129-GV129</f>
        <v/>
      </c>
      <c r="HA129" s="237">
        <f>IF(GV129=0,"",GY129/GV129)</f>
        <v/>
      </c>
      <c r="HB129" s="33" t="n"/>
      <c r="HC129" s="233">
        <f>GT129</f>
        <v/>
      </c>
      <c r="HD129" s="233">
        <f>GU129</f>
        <v/>
      </c>
      <c r="HE129" s="233">
        <f>HC129+HD129</f>
        <v/>
      </c>
    </row>
    <row r="130" outlineLevel="1" ht="15" customHeight="1" s="150">
      <c r="A130" s="26" t="n"/>
      <c r="B130" s="26" t="n"/>
      <c r="C130" s="26" t="n"/>
      <c r="D130" s="233" t="n"/>
      <c r="E130" s="233" t="n"/>
      <c r="F130" s="233">
        <f>D130+E130</f>
        <v/>
      </c>
      <c r="G130" s="233" t="n"/>
      <c r="H130" s="233" t="n"/>
      <c r="I130" s="233">
        <f>G130+H130</f>
        <v/>
      </c>
      <c r="J130" s="238">
        <f>I130-F130</f>
        <v/>
      </c>
      <c r="K130" s="235">
        <f>IF(F130=0,"",I130/F130)</f>
        <v/>
      </c>
      <c r="L130" s="26" t="n"/>
      <c r="M130" s="233" t="n"/>
      <c r="N130" s="233" t="n"/>
      <c r="O130" s="233">
        <f>M130+N130</f>
        <v/>
      </c>
      <c r="P130" s="233" t="n"/>
      <c r="Q130" s="233" t="n"/>
      <c r="R130" s="233">
        <f>P130+Q130</f>
        <v/>
      </c>
      <c r="S130" s="238">
        <f>R130-O130</f>
        <v/>
      </c>
      <c r="T130" s="235">
        <f>IF(O130=0,"",R130/O130)</f>
        <v/>
      </c>
      <c r="U130" s="26" t="n"/>
      <c r="V130" s="236">
        <f>D130+M130</f>
        <v/>
      </c>
      <c r="W130" s="236">
        <f>E130+N130</f>
        <v/>
      </c>
      <c r="X130" s="236">
        <f>V130+W130</f>
        <v/>
      </c>
      <c r="Y130" s="236">
        <f>G130+P130</f>
        <v/>
      </c>
      <c r="Z130" s="236">
        <f>H130+Q130</f>
        <v/>
      </c>
      <c r="AA130" s="236">
        <f>Y130+Z130</f>
        <v/>
      </c>
      <c r="AB130" s="239">
        <f>AA130-X130</f>
        <v/>
      </c>
      <c r="AC130" s="237">
        <f>IF(X130=0,"",AA130/X130)</f>
        <v/>
      </c>
      <c r="AD130" s="33" t="n"/>
      <c r="AE130" s="233" t="n"/>
      <c r="AF130" s="233" t="n"/>
      <c r="AG130" s="233">
        <f>AE130+AF130</f>
        <v/>
      </c>
      <c r="AH130" s="233" t="n"/>
      <c r="AI130" s="233" t="n"/>
      <c r="AJ130" s="233">
        <f>AH130+AI130</f>
        <v/>
      </c>
      <c r="AK130" s="238">
        <f>AJ130-AG130</f>
        <v/>
      </c>
      <c r="AL130" s="235">
        <f>IF(AG130=0,"",AJ130/AG130)</f>
        <v/>
      </c>
      <c r="AM130" s="26" t="n"/>
      <c r="AN130" s="236">
        <f>V130+AE130</f>
        <v/>
      </c>
      <c r="AO130" s="236">
        <f>W130+AF130</f>
        <v/>
      </c>
      <c r="AP130" s="236">
        <f>AN130+AO130</f>
        <v/>
      </c>
      <c r="AQ130" s="236">
        <f>Y130+AH130</f>
        <v/>
      </c>
      <c r="AR130" s="236">
        <f>Z130+AI130</f>
        <v/>
      </c>
      <c r="AS130" s="236">
        <f>AQ130+AR130</f>
        <v/>
      </c>
      <c r="AT130" s="239">
        <f>AS130-AP130</f>
        <v/>
      </c>
      <c r="AU130" s="237">
        <f>IF(AP130=0,"",AS130/AP130)</f>
        <v/>
      </c>
      <c r="AV130" s="33" t="n"/>
      <c r="AW130" s="233" t="n"/>
      <c r="AX130" s="233" t="n"/>
      <c r="AY130" s="233">
        <f>AW130+AX130</f>
        <v/>
      </c>
      <c r="AZ130" s="233" t="n"/>
      <c r="BA130" s="233" t="n"/>
      <c r="BB130" s="233">
        <f>AZ130+BA130</f>
        <v/>
      </c>
      <c r="BC130" s="238">
        <f>BB130-AY130</f>
        <v/>
      </c>
      <c r="BD130" s="235">
        <f>IF(AY130=0,"",BB130/AY130)</f>
        <v/>
      </c>
      <c r="BE130" s="26" t="n"/>
      <c r="BF130" s="236">
        <f>AN130+AW130</f>
        <v/>
      </c>
      <c r="BG130" s="236">
        <f>AO130+AX130</f>
        <v/>
      </c>
      <c r="BH130" s="236">
        <f>BF130+BG130</f>
        <v/>
      </c>
      <c r="BI130" s="236">
        <f>AQ130+AZ130</f>
        <v/>
      </c>
      <c r="BJ130" s="236">
        <f>AR130+BA130</f>
        <v/>
      </c>
      <c r="BK130" s="236">
        <f>BI130+BJ130</f>
        <v/>
      </c>
      <c r="BL130" s="239">
        <f>BK130-BH130</f>
        <v/>
      </c>
      <c r="BM130" s="237">
        <f>IF(BH130=0,"",BK130/BH130)</f>
        <v/>
      </c>
      <c r="BN130" s="33" t="n"/>
      <c r="BO130" s="233" t="n"/>
      <c r="BP130" s="233" t="n"/>
      <c r="BQ130" s="233">
        <f>BO130+BP130</f>
        <v/>
      </c>
      <c r="BR130" s="233" t="n"/>
      <c r="BS130" s="233" t="n"/>
      <c r="BT130" s="233">
        <f>BR130+BS130</f>
        <v/>
      </c>
      <c r="BU130" s="238">
        <f>BT130-BQ130</f>
        <v/>
      </c>
      <c r="BV130" s="235">
        <f>IF(BQ130=0,"",BT130/BQ130)</f>
        <v/>
      </c>
      <c r="BW130" s="26" t="n"/>
      <c r="BX130" s="236">
        <f>BF130+BO130</f>
        <v/>
      </c>
      <c r="BY130" s="236">
        <f>BG130+BP130</f>
        <v/>
      </c>
      <c r="BZ130" s="236">
        <f>BX130+BY130</f>
        <v/>
      </c>
      <c r="CA130" s="236">
        <f>BI130+BR130</f>
        <v/>
      </c>
      <c r="CB130" s="236">
        <f>BJ130+BS130</f>
        <v/>
      </c>
      <c r="CC130" s="236">
        <f>CA130+CB130</f>
        <v/>
      </c>
      <c r="CD130" s="239">
        <f>CC130-BZ130</f>
        <v/>
      </c>
      <c r="CE130" s="237">
        <f>IF(BZ130=0,"",CC130/BZ130)</f>
        <v/>
      </c>
      <c r="CF130" s="33" t="n"/>
      <c r="CG130" s="233" t="n"/>
      <c r="CH130" s="233" t="n"/>
      <c r="CI130" s="233">
        <f>CG130+CH130</f>
        <v/>
      </c>
      <c r="CJ130" s="233" t="n"/>
      <c r="CK130" s="233" t="n"/>
      <c r="CL130" s="233">
        <f>CJ130+CK130</f>
        <v/>
      </c>
      <c r="CM130" s="238">
        <f>CL130-CI130</f>
        <v/>
      </c>
      <c r="CN130" s="235">
        <f>IF(CI130=0,"",CL130/CI130)</f>
        <v/>
      </c>
      <c r="CO130" s="26" t="n"/>
      <c r="CP130" s="236">
        <f>BX130+CG130</f>
        <v/>
      </c>
      <c r="CQ130" s="236">
        <f>BY130+CH130</f>
        <v/>
      </c>
      <c r="CR130" s="236">
        <f>CP130+CQ130</f>
        <v/>
      </c>
      <c r="CS130" s="236">
        <f>CA130+CJ130</f>
        <v/>
      </c>
      <c r="CT130" s="236">
        <f>CB130+CK130</f>
        <v/>
      </c>
      <c r="CU130" s="236">
        <f>CS130+CT130</f>
        <v/>
      </c>
      <c r="CV130" s="239">
        <f>CU130-CR130</f>
        <v/>
      </c>
      <c r="CW130" s="237">
        <f>IF(CR130=0,"",CU130/CR130)</f>
        <v/>
      </c>
      <c r="CX130" s="33" t="n"/>
      <c r="CY130" s="233" t="n"/>
      <c r="CZ130" s="233" t="n"/>
      <c r="DA130" s="233">
        <f>CY130+CZ130</f>
        <v/>
      </c>
      <c r="DB130" s="233" t="n"/>
      <c r="DC130" s="233" t="n"/>
      <c r="DD130" s="233">
        <f>DB130+DC130</f>
        <v/>
      </c>
      <c r="DE130" s="238">
        <f>DD130-DA130</f>
        <v/>
      </c>
      <c r="DF130" s="235">
        <f>IF(DA130=0,"",DD130/DA130)</f>
        <v/>
      </c>
      <c r="DG130" s="26" t="n"/>
      <c r="DH130" s="236">
        <f>CP130+CY130</f>
        <v/>
      </c>
      <c r="DI130" s="236">
        <f>CQ130+CZ130</f>
        <v/>
      </c>
      <c r="DJ130" s="236">
        <f>DH130+DI130</f>
        <v/>
      </c>
      <c r="DK130" s="236">
        <f>CS130+DB130</f>
        <v/>
      </c>
      <c r="DL130" s="236">
        <f>CT130+DC130</f>
        <v/>
      </c>
      <c r="DM130" s="236">
        <f>DK130+DL130</f>
        <v/>
      </c>
      <c r="DN130" s="239">
        <f>DM130-DJ130</f>
        <v/>
      </c>
      <c r="DO130" s="237">
        <f>IF(DJ130=0,"",DM130/DJ130)</f>
        <v/>
      </c>
      <c r="DP130" s="33" t="n"/>
      <c r="DQ130" s="233" t="n"/>
      <c r="DR130" s="233" t="n"/>
      <c r="DS130" s="233">
        <f>DQ130+DR130</f>
        <v/>
      </c>
      <c r="DT130" s="233" t="n"/>
      <c r="DU130" s="233" t="n"/>
      <c r="DV130" s="233">
        <f>DT130+DU130</f>
        <v/>
      </c>
      <c r="DW130" s="238">
        <f>DV130-DS130</f>
        <v/>
      </c>
      <c r="DX130" s="235">
        <f>IF(DS130=0,"",DV130/DS130)</f>
        <v/>
      </c>
      <c r="DY130" s="26" t="n"/>
      <c r="DZ130" s="236">
        <f>DH130+DQ130</f>
        <v/>
      </c>
      <c r="EA130" s="236">
        <f>DI130+DR130</f>
        <v/>
      </c>
      <c r="EB130" s="236">
        <f>DZ130+EA130</f>
        <v/>
      </c>
      <c r="EC130" s="236">
        <f>DK130+DT130</f>
        <v/>
      </c>
      <c r="ED130" s="236">
        <f>DL130+DU130</f>
        <v/>
      </c>
      <c r="EE130" s="236">
        <f>EC130+ED130</f>
        <v/>
      </c>
      <c r="EF130" s="239">
        <f>EE130-EB130</f>
        <v/>
      </c>
      <c r="EG130" s="237">
        <f>IF(EB130=0,"",EE130/EB130)</f>
        <v/>
      </c>
      <c r="EH130" s="33" t="n"/>
      <c r="EI130" s="233" t="n"/>
      <c r="EJ130" s="233" t="n"/>
      <c r="EK130" s="233">
        <f>EI130+EJ130</f>
        <v/>
      </c>
      <c r="EL130" s="233" t="n"/>
      <c r="EM130" s="233" t="n"/>
      <c r="EN130" s="233">
        <f>EL130+EM130</f>
        <v/>
      </c>
      <c r="EO130" s="238">
        <f>EN130-EK130</f>
        <v/>
      </c>
      <c r="EP130" s="235">
        <f>IF(EK130=0,"",EN130/EK130)</f>
        <v/>
      </c>
      <c r="EQ130" s="26" t="n"/>
      <c r="ER130" s="236">
        <f>DZ130+EI130</f>
        <v/>
      </c>
      <c r="ES130" s="236">
        <f>EA130+EJ130</f>
        <v/>
      </c>
      <c r="ET130" s="236">
        <f>ER130+ES130</f>
        <v/>
      </c>
      <c r="EU130" s="236">
        <f>EC130+EL130</f>
        <v/>
      </c>
      <c r="EV130" s="236">
        <f>ED130+EM130</f>
        <v/>
      </c>
      <c r="EW130" s="236">
        <f>EU130+EV130</f>
        <v/>
      </c>
      <c r="EX130" s="239">
        <f>EW130-ET130</f>
        <v/>
      </c>
      <c r="EY130" s="237">
        <f>IF(ET130=0,"",EW130/ET130)</f>
        <v/>
      </c>
      <c r="EZ130" s="33" t="n"/>
      <c r="FA130" s="233" t="n"/>
      <c r="FB130" s="233" t="n"/>
      <c r="FC130" s="233">
        <f>FA130+FB130</f>
        <v/>
      </c>
      <c r="FD130" s="233" t="n"/>
      <c r="FE130" s="233" t="n"/>
      <c r="FF130" s="233">
        <f>FD130+FE130</f>
        <v/>
      </c>
      <c r="FG130" s="238">
        <f>FF130-FC130</f>
        <v/>
      </c>
      <c r="FH130" s="235">
        <f>IF(FC130=0,"",FF130/FC130)</f>
        <v/>
      </c>
      <c r="FI130" s="26" t="n"/>
      <c r="FJ130" s="236">
        <f>ER130+FA130</f>
        <v/>
      </c>
      <c r="FK130" s="236">
        <f>ES130+FB130</f>
        <v/>
      </c>
      <c r="FL130" s="236">
        <f>FJ130+FK130</f>
        <v/>
      </c>
      <c r="FM130" s="236">
        <f>EU130+FD130</f>
        <v/>
      </c>
      <c r="FN130" s="236">
        <f>EV130+FE130</f>
        <v/>
      </c>
      <c r="FO130" s="236">
        <f>FM130+FN130</f>
        <v/>
      </c>
      <c r="FP130" s="239">
        <f>FO130-FL130</f>
        <v/>
      </c>
      <c r="FQ130" s="237">
        <f>IF(FL130=0,"",FO130/FL130)</f>
        <v/>
      </c>
      <c r="FR130" s="33" t="n"/>
      <c r="FS130" s="233" t="n"/>
      <c r="FT130" s="233" t="n"/>
      <c r="FU130" s="233">
        <f>FS130+FT130</f>
        <v/>
      </c>
      <c r="FV130" s="233" t="n"/>
      <c r="FW130" s="233" t="n"/>
      <c r="FX130" s="233">
        <f>FV130+FW130</f>
        <v/>
      </c>
      <c r="FY130" s="238">
        <f>FX130-FU130</f>
        <v/>
      </c>
      <c r="FZ130" s="235">
        <f>IF(FU130=0,"",FX130/FU130)</f>
        <v/>
      </c>
      <c r="GA130" s="26" t="n"/>
      <c r="GB130" s="236">
        <f>FJ130+FS130</f>
        <v/>
      </c>
      <c r="GC130" s="236">
        <f>FK130+FT130</f>
        <v/>
      </c>
      <c r="GD130" s="236">
        <f>GB130+GC130</f>
        <v/>
      </c>
      <c r="GE130" s="236">
        <f>FM130+FV130</f>
        <v/>
      </c>
      <c r="GF130" s="236">
        <f>FN130+FW130</f>
        <v/>
      </c>
      <c r="GG130" s="236">
        <f>GE130+GF130</f>
        <v/>
      </c>
      <c r="GH130" s="239">
        <f>GG130-GD130</f>
        <v/>
      </c>
      <c r="GI130" s="237">
        <f>IF(GD130=0,"",GG130/GD130)</f>
        <v/>
      </c>
      <c r="GJ130" s="33" t="n"/>
      <c r="GK130" s="233" t="n"/>
      <c r="GL130" s="233" t="n"/>
      <c r="GM130" s="233">
        <f>GK130+GL130</f>
        <v/>
      </c>
      <c r="GN130" s="233" t="n"/>
      <c r="GO130" s="233" t="n"/>
      <c r="GP130" s="233">
        <f>GN130+GO130</f>
        <v/>
      </c>
      <c r="GQ130" s="238">
        <f>GP130-GM130</f>
        <v/>
      </c>
      <c r="GR130" s="235">
        <f>IF(GM130=0,"",GP130/GM130)</f>
        <v/>
      </c>
      <c r="GS130" s="26" t="n"/>
      <c r="GT130" s="236">
        <f>GB130+GK130</f>
        <v/>
      </c>
      <c r="GU130" s="236">
        <f>GC130+GL130</f>
        <v/>
      </c>
      <c r="GV130" s="236">
        <f>GT130+GU130</f>
        <v/>
      </c>
      <c r="GW130" s="236">
        <f>GE130+GN130</f>
        <v/>
      </c>
      <c r="GX130" s="236">
        <f>GF130+GO130</f>
        <v/>
      </c>
      <c r="GY130" s="236">
        <f>GW130+GX130</f>
        <v/>
      </c>
      <c r="GZ130" s="239">
        <f>GY130-GV130</f>
        <v/>
      </c>
      <c r="HA130" s="237">
        <f>IF(GV130=0,"",GY130/GV130)</f>
        <v/>
      </c>
      <c r="HB130" s="33" t="n"/>
      <c r="HC130" s="233">
        <f>GT130</f>
        <v/>
      </c>
      <c r="HD130" s="233">
        <f>GU130</f>
        <v/>
      </c>
      <c r="HE130" s="233">
        <f>HC130+HD130</f>
        <v/>
      </c>
    </row>
    <row r="131" outlineLevel="1" ht="15" customHeight="1" s="150">
      <c r="A131" s="26" t="n"/>
      <c r="B131" s="26" t="n"/>
      <c r="C131" s="26" t="n"/>
      <c r="D131" s="233" t="n"/>
      <c r="E131" s="233" t="n"/>
      <c r="F131" s="233">
        <f>D131+E131</f>
        <v/>
      </c>
      <c r="G131" s="233" t="n"/>
      <c r="H131" s="233" t="n"/>
      <c r="I131" s="233">
        <f>G131+H131</f>
        <v/>
      </c>
      <c r="J131" s="238">
        <f>I131-F131</f>
        <v/>
      </c>
      <c r="K131" s="235">
        <f>IF(F131=0,"",I131/F131)</f>
        <v/>
      </c>
      <c r="L131" s="26" t="n"/>
      <c r="M131" s="233" t="n"/>
      <c r="N131" s="233" t="n"/>
      <c r="O131" s="233">
        <f>M131+N131</f>
        <v/>
      </c>
      <c r="P131" s="233" t="n"/>
      <c r="Q131" s="233" t="n"/>
      <c r="R131" s="233">
        <f>P131+Q131</f>
        <v/>
      </c>
      <c r="S131" s="238">
        <f>R131-O131</f>
        <v/>
      </c>
      <c r="T131" s="235">
        <f>IF(O131=0,"",R131/O131)</f>
        <v/>
      </c>
      <c r="U131" s="26" t="n"/>
      <c r="V131" s="236">
        <f>D131+M131</f>
        <v/>
      </c>
      <c r="W131" s="236">
        <f>E131+N131</f>
        <v/>
      </c>
      <c r="X131" s="236">
        <f>V131+W131</f>
        <v/>
      </c>
      <c r="Y131" s="236">
        <f>G131+P131</f>
        <v/>
      </c>
      <c r="Z131" s="236">
        <f>H131+Q131</f>
        <v/>
      </c>
      <c r="AA131" s="236">
        <f>Y131+Z131</f>
        <v/>
      </c>
      <c r="AB131" s="239">
        <f>AA131-X131</f>
        <v/>
      </c>
      <c r="AC131" s="237">
        <f>IF(X131=0,"",AA131/X131)</f>
        <v/>
      </c>
      <c r="AD131" s="33" t="n"/>
      <c r="AE131" s="233" t="n"/>
      <c r="AF131" s="233" t="n"/>
      <c r="AG131" s="233">
        <f>AE131+AF131</f>
        <v/>
      </c>
      <c r="AH131" s="233" t="n"/>
      <c r="AI131" s="233" t="n"/>
      <c r="AJ131" s="233">
        <f>AH131+AI131</f>
        <v/>
      </c>
      <c r="AK131" s="238">
        <f>AJ131-AG131</f>
        <v/>
      </c>
      <c r="AL131" s="235">
        <f>IF(AG131=0,"",AJ131/AG131)</f>
        <v/>
      </c>
      <c r="AM131" s="26" t="n"/>
      <c r="AN131" s="236">
        <f>V131+AE131</f>
        <v/>
      </c>
      <c r="AO131" s="236">
        <f>W131+AF131</f>
        <v/>
      </c>
      <c r="AP131" s="236">
        <f>AN131+AO131</f>
        <v/>
      </c>
      <c r="AQ131" s="236">
        <f>Y131+AH131</f>
        <v/>
      </c>
      <c r="AR131" s="236">
        <f>Z131+AI131</f>
        <v/>
      </c>
      <c r="AS131" s="236">
        <f>AQ131+AR131</f>
        <v/>
      </c>
      <c r="AT131" s="239">
        <f>AS131-AP131</f>
        <v/>
      </c>
      <c r="AU131" s="237">
        <f>IF(AP131=0,"",AS131/AP131)</f>
        <v/>
      </c>
      <c r="AV131" s="33" t="n"/>
      <c r="AW131" s="233" t="n"/>
      <c r="AX131" s="233" t="n"/>
      <c r="AY131" s="233">
        <f>AW131+AX131</f>
        <v/>
      </c>
      <c r="AZ131" s="233" t="n"/>
      <c r="BA131" s="233" t="n"/>
      <c r="BB131" s="233">
        <f>AZ131+BA131</f>
        <v/>
      </c>
      <c r="BC131" s="238">
        <f>BB131-AY131</f>
        <v/>
      </c>
      <c r="BD131" s="235">
        <f>IF(AY131=0,"",BB131/AY131)</f>
        <v/>
      </c>
      <c r="BE131" s="26" t="n"/>
      <c r="BF131" s="236">
        <f>AN131+AW131</f>
        <v/>
      </c>
      <c r="BG131" s="236">
        <f>AO131+AX131</f>
        <v/>
      </c>
      <c r="BH131" s="236">
        <f>BF131+BG131</f>
        <v/>
      </c>
      <c r="BI131" s="236">
        <f>AQ131+AZ131</f>
        <v/>
      </c>
      <c r="BJ131" s="236">
        <f>AR131+BA131</f>
        <v/>
      </c>
      <c r="BK131" s="236">
        <f>BI131+BJ131</f>
        <v/>
      </c>
      <c r="BL131" s="239">
        <f>BK131-BH131</f>
        <v/>
      </c>
      <c r="BM131" s="237">
        <f>IF(BH131=0,"",BK131/BH131)</f>
        <v/>
      </c>
      <c r="BN131" s="33" t="n"/>
      <c r="BO131" s="233" t="n"/>
      <c r="BP131" s="233" t="n"/>
      <c r="BQ131" s="233">
        <f>BO131+BP131</f>
        <v/>
      </c>
      <c r="BR131" s="233" t="n"/>
      <c r="BS131" s="233" t="n"/>
      <c r="BT131" s="233">
        <f>BR131+BS131</f>
        <v/>
      </c>
      <c r="BU131" s="238">
        <f>BT131-BQ131</f>
        <v/>
      </c>
      <c r="BV131" s="235">
        <f>IF(BQ131=0,"",BT131/BQ131)</f>
        <v/>
      </c>
      <c r="BW131" s="26" t="n"/>
      <c r="BX131" s="236">
        <f>BF131+BO131</f>
        <v/>
      </c>
      <c r="BY131" s="236">
        <f>BG131+BP131</f>
        <v/>
      </c>
      <c r="BZ131" s="236">
        <f>BX131+BY131</f>
        <v/>
      </c>
      <c r="CA131" s="236">
        <f>BI131+BR131</f>
        <v/>
      </c>
      <c r="CB131" s="236">
        <f>BJ131+BS131</f>
        <v/>
      </c>
      <c r="CC131" s="236">
        <f>CA131+CB131</f>
        <v/>
      </c>
      <c r="CD131" s="239">
        <f>CC131-BZ131</f>
        <v/>
      </c>
      <c r="CE131" s="237">
        <f>IF(BZ131=0,"",CC131/BZ131)</f>
        <v/>
      </c>
      <c r="CF131" s="33" t="n"/>
      <c r="CG131" s="233" t="n"/>
      <c r="CH131" s="233" t="n"/>
      <c r="CI131" s="233">
        <f>CG131+CH131</f>
        <v/>
      </c>
      <c r="CJ131" s="233" t="n"/>
      <c r="CK131" s="233" t="n"/>
      <c r="CL131" s="233">
        <f>CJ131+CK131</f>
        <v/>
      </c>
      <c r="CM131" s="238">
        <f>CL131-CI131</f>
        <v/>
      </c>
      <c r="CN131" s="235">
        <f>IF(CI131=0,"",CL131/CI131)</f>
        <v/>
      </c>
      <c r="CO131" s="26" t="n"/>
      <c r="CP131" s="236">
        <f>BX131+CG131</f>
        <v/>
      </c>
      <c r="CQ131" s="236">
        <f>BY131+CH131</f>
        <v/>
      </c>
      <c r="CR131" s="236">
        <f>CP131+CQ131</f>
        <v/>
      </c>
      <c r="CS131" s="236">
        <f>CA131+CJ131</f>
        <v/>
      </c>
      <c r="CT131" s="236">
        <f>CB131+CK131</f>
        <v/>
      </c>
      <c r="CU131" s="236">
        <f>CS131+CT131</f>
        <v/>
      </c>
      <c r="CV131" s="239">
        <f>CU131-CR131</f>
        <v/>
      </c>
      <c r="CW131" s="237">
        <f>IF(CR131=0,"",CU131/CR131)</f>
        <v/>
      </c>
      <c r="CX131" s="33" t="n"/>
      <c r="CY131" s="233" t="n"/>
      <c r="CZ131" s="233" t="n"/>
      <c r="DA131" s="233">
        <f>CY131+CZ131</f>
        <v/>
      </c>
      <c r="DB131" s="233" t="n"/>
      <c r="DC131" s="233" t="n"/>
      <c r="DD131" s="233">
        <f>DB131+DC131</f>
        <v/>
      </c>
      <c r="DE131" s="238">
        <f>DD131-DA131</f>
        <v/>
      </c>
      <c r="DF131" s="235">
        <f>IF(DA131=0,"",DD131/DA131)</f>
        <v/>
      </c>
      <c r="DG131" s="26" t="n"/>
      <c r="DH131" s="236">
        <f>CP131+CY131</f>
        <v/>
      </c>
      <c r="DI131" s="236">
        <f>CQ131+CZ131</f>
        <v/>
      </c>
      <c r="DJ131" s="236">
        <f>DH131+DI131</f>
        <v/>
      </c>
      <c r="DK131" s="236">
        <f>CS131+DB131</f>
        <v/>
      </c>
      <c r="DL131" s="236">
        <f>CT131+DC131</f>
        <v/>
      </c>
      <c r="DM131" s="236">
        <f>DK131+DL131</f>
        <v/>
      </c>
      <c r="DN131" s="239">
        <f>DM131-DJ131</f>
        <v/>
      </c>
      <c r="DO131" s="237">
        <f>IF(DJ131=0,"",DM131/DJ131)</f>
        <v/>
      </c>
      <c r="DP131" s="33" t="n"/>
      <c r="DQ131" s="233" t="n"/>
      <c r="DR131" s="233" t="n"/>
      <c r="DS131" s="233">
        <f>DQ131+DR131</f>
        <v/>
      </c>
      <c r="DT131" s="233" t="n"/>
      <c r="DU131" s="233" t="n"/>
      <c r="DV131" s="233">
        <f>DT131+DU131</f>
        <v/>
      </c>
      <c r="DW131" s="238">
        <f>DV131-DS131</f>
        <v/>
      </c>
      <c r="DX131" s="235">
        <f>IF(DS131=0,"",DV131/DS131)</f>
        <v/>
      </c>
      <c r="DY131" s="26" t="n"/>
      <c r="DZ131" s="236">
        <f>DH131+DQ131</f>
        <v/>
      </c>
      <c r="EA131" s="236">
        <f>DI131+DR131</f>
        <v/>
      </c>
      <c r="EB131" s="236">
        <f>DZ131+EA131</f>
        <v/>
      </c>
      <c r="EC131" s="236">
        <f>DK131+DT131</f>
        <v/>
      </c>
      <c r="ED131" s="236">
        <f>DL131+DU131</f>
        <v/>
      </c>
      <c r="EE131" s="236">
        <f>EC131+ED131</f>
        <v/>
      </c>
      <c r="EF131" s="239">
        <f>EE131-EB131</f>
        <v/>
      </c>
      <c r="EG131" s="237">
        <f>IF(EB131=0,"",EE131/EB131)</f>
        <v/>
      </c>
      <c r="EH131" s="33" t="n"/>
      <c r="EI131" s="233" t="n"/>
      <c r="EJ131" s="233" t="n"/>
      <c r="EK131" s="233">
        <f>EI131+EJ131</f>
        <v/>
      </c>
      <c r="EL131" s="233" t="n"/>
      <c r="EM131" s="233" t="n"/>
      <c r="EN131" s="233">
        <f>EL131+EM131</f>
        <v/>
      </c>
      <c r="EO131" s="238">
        <f>EN131-EK131</f>
        <v/>
      </c>
      <c r="EP131" s="235">
        <f>IF(EK131=0,"",EN131/EK131)</f>
        <v/>
      </c>
      <c r="EQ131" s="26" t="n"/>
      <c r="ER131" s="236">
        <f>DZ131+EI131</f>
        <v/>
      </c>
      <c r="ES131" s="236">
        <f>EA131+EJ131</f>
        <v/>
      </c>
      <c r="ET131" s="236">
        <f>ER131+ES131</f>
        <v/>
      </c>
      <c r="EU131" s="236">
        <f>EC131+EL131</f>
        <v/>
      </c>
      <c r="EV131" s="236">
        <f>ED131+EM131</f>
        <v/>
      </c>
      <c r="EW131" s="236">
        <f>EU131+EV131</f>
        <v/>
      </c>
      <c r="EX131" s="239">
        <f>EW131-ET131</f>
        <v/>
      </c>
      <c r="EY131" s="237">
        <f>IF(ET131=0,"",EW131/ET131)</f>
        <v/>
      </c>
      <c r="EZ131" s="33" t="n"/>
      <c r="FA131" s="233" t="n"/>
      <c r="FB131" s="233" t="n"/>
      <c r="FC131" s="233">
        <f>FA131+FB131</f>
        <v/>
      </c>
      <c r="FD131" s="233" t="n"/>
      <c r="FE131" s="233" t="n"/>
      <c r="FF131" s="233">
        <f>FD131+FE131</f>
        <v/>
      </c>
      <c r="FG131" s="238">
        <f>FF131-FC131</f>
        <v/>
      </c>
      <c r="FH131" s="235">
        <f>IF(FC131=0,"",FF131/FC131)</f>
        <v/>
      </c>
      <c r="FI131" s="26" t="n"/>
      <c r="FJ131" s="236">
        <f>ER131+FA131</f>
        <v/>
      </c>
      <c r="FK131" s="236">
        <f>ES131+FB131</f>
        <v/>
      </c>
      <c r="FL131" s="236">
        <f>FJ131+FK131</f>
        <v/>
      </c>
      <c r="FM131" s="236">
        <f>EU131+FD131</f>
        <v/>
      </c>
      <c r="FN131" s="236">
        <f>EV131+FE131</f>
        <v/>
      </c>
      <c r="FO131" s="236">
        <f>FM131+FN131</f>
        <v/>
      </c>
      <c r="FP131" s="239">
        <f>FO131-FL131</f>
        <v/>
      </c>
      <c r="FQ131" s="237">
        <f>IF(FL131=0,"",FO131/FL131)</f>
        <v/>
      </c>
      <c r="FR131" s="33" t="n"/>
      <c r="FS131" s="233" t="n"/>
      <c r="FT131" s="233" t="n"/>
      <c r="FU131" s="233">
        <f>FS131+FT131</f>
        <v/>
      </c>
      <c r="FV131" s="233" t="n"/>
      <c r="FW131" s="233" t="n"/>
      <c r="FX131" s="233">
        <f>FV131+FW131</f>
        <v/>
      </c>
      <c r="FY131" s="238">
        <f>FX131-FU131</f>
        <v/>
      </c>
      <c r="FZ131" s="235">
        <f>IF(FU131=0,"",FX131/FU131)</f>
        <v/>
      </c>
      <c r="GA131" s="26" t="n"/>
      <c r="GB131" s="236">
        <f>FJ131+FS131</f>
        <v/>
      </c>
      <c r="GC131" s="236">
        <f>FK131+FT131</f>
        <v/>
      </c>
      <c r="GD131" s="236">
        <f>GB131+GC131</f>
        <v/>
      </c>
      <c r="GE131" s="236">
        <f>FM131+FV131</f>
        <v/>
      </c>
      <c r="GF131" s="236">
        <f>FN131+FW131</f>
        <v/>
      </c>
      <c r="GG131" s="236">
        <f>GE131+GF131</f>
        <v/>
      </c>
      <c r="GH131" s="239">
        <f>GG131-GD131</f>
        <v/>
      </c>
      <c r="GI131" s="237">
        <f>IF(GD131=0,"",GG131/GD131)</f>
        <v/>
      </c>
      <c r="GJ131" s="33" t="n"/>
      <c r="GK131" s="233" t="n"/>
      <c r="GL131" s="233" t="n"/>
      <c r="GM131" s="233">
        <f>GK131+GL131</f>
        <v/>
      </c>
      <c r="GN131" s="233" t="n"/>
      <c r="GO131" s="233" t="n"/>
      <c r="GP131" s="233">
        <f>GN131+GO131</f>
        <v/>
      </c>
      <c r="GQ131" s="238">
        <f>GP131-GM131</f>
        <v/>
      </c>
      <c r="GR131" s="235">
        <f>IF(GM131=0,"",GP131/GM131)</f>
        <v/>
      </c>
      <c r="GS131" s="26" t="n"/>
      <c r="GT131" s="236">
        <f>GB131+GK131</f>
        <v/>
      </c>
      <c r="GU131" s="236">
        <f>GC131+GL131</f>
        <v/>
      </c>
      <c r="GV131" s="236">
        <f>GT131+GU131</f>
        <v/>
      </c>
      <c r="GW131" s="236">
        <f>GE131+GN131</f>
        <v/>
      </c>
      <c r="GX131" s="236">
        <f>GF131+GO131</f>
        <v/>
      </c>
      <c r="GY131" s="236">
        <f>GW131+GX131</f>
        <v/>
      </c>
      <c r="GZ131" s="239">
        <f>GY131-GV131</f>
        <v/>
      </c>
      <c r="HA131" s="237">
        <f>IF(GV131=0,"",GY131/GV131)</f>
        <v/>
      </c>
      <c r="HB131" s="33" t="n"/>
      <c r="HC131" s="233">
        <f>GT131</f>
        <v/>
      </c>
      <c r="HD131" s="233">
        <f>GU131</f>
        <v/>
      </c>
      <c r="HE131" s="233">
        <f>HC131+HD131</f>
        <v/>
      </c>
    </row>
    <row r="132" outlineLevel="1" ht="15" customHeight="1" s="150">
      <c r="A132" s="26" t="n"/>
      <c r="B132" s="26" t="n"/>
      <c r="C132" s="26" t="n"/>
      <c r="D132" s="233" t="n"/>
      <c r="E132" s="233" t="n"/>
      <c r="F132" s="233">
        <f>D132+E132</f>
        <v/>
      </c>
      <c r="G132" s="233" t="n"/>
      <c r="H132" s="233" t="n"/>
      <c r="I132" s="233">
        <f>G132+H132</f>
        <v/>
      </c>
      <c r="J132" s="238">
        <f>I132-F132</f>
        <v/>
      </c>
      <c r="K132" s="235">
        <f>IF(F132=0,"",I132/F132)</f>
        <v/>
      </c>
      <c r="L132" s="26" t="n"/>
      <c r="M132" s="233" t="n"/>
      <c r="N132" s="233" t="n"/>
      <c r="O132" s="233">
        <f>M132+N132</f>
        <v/>
      </c>
      <c r="P132" s="233" t="n"/>
      <c r="Q132" s="233" t="n"/>
      <c r="R132" s="233">
        <f>P132+Q132</f>
        <v/>
      </c>
      <c r="S132" s="234">
        <f>R132-O132</f>
        <v/>
      </c>
      <c r="T132" s="235">
        <f>IF(O132=0,"",R132/O132)</f>
        <v/>
      </c>
      <c r="U132" s="26" t="n"/>
      <c r="V132" s="236">
        <f>D132+M132</f>
        <v/>
      </c>
      <c r="W132" s="236">
        <f>E132+N132</f>
        <v/>
      </c>
      <c r="X132" s="236">
        <f>V132+W132</f>
        <v/>
      </c>
      <c r="Y132" s="236">
        <f>G132+P132</f>
        <v/>
      </c>
      <c r="Z132" s="236">
        <f>H132+Q132</f>
        <v/>
      </c>
      <c r="AA132" s="236">
        <f>Y132+Z132</f>
        <v/>
      </c>
      <c r="AB132" s="234">
        <f>AA132-X132</f>
        <v/>
      </c>
      <c r="AC132" s="237">
        <f>IF(X132=0,"",AA132/X132)</f>
        <v/>
      </c>
      <c r="AD132" s="33" t="n"/>
      <c r="AE132" s="233" t="n"/>
      <c r="AF132" s="233" t="n"/>
      <c r="AG132" s="233">
        <f>AE132+AF132</f>
        <v/>
      </c>
      <c r="AH132" s="233" t="n"/>
      <c r="AI132" s="233" t="n"/>
      <c r="AJ132" s="233">
        <f>AH132+AI132</f>
        <v/>
      </c>
      <c r="AK132" s="234">
        <f>AJ132-AG132</f>
        <v/>
      </c>
      <c r="AL132" s="235">
        <f>IF(AG132=0,"",AJ132/AG132)</f>
        <v/>
      </c>
      <c r="AM132" s="26" t="n"/>
      <c r="AN132" s="236">
        <f>V132+AE132</f>
        <v/>
      </c>
      <c r="AO132" s="236">
        <f>W132+AF132</f>
        <v/>
      </c>
      <c r="AP132" s="236">
        <f>AN132+AO132</f>
        <v/>
      </c>
      <c r="AQ132" s="236">
        <f>Y132+AH132</f>
        <v/>
      </c>
      <c r="AR132" s="236">
        <f>Z132+AI132</f>
        <v/>
      </c>
      <c r="AS132" s="236">
        <f>AQ132+AR132</f>
        <v/>
      </c>
      <c r="AT132" s="239">
        <f>AS132-AP132</f>
        <v/>
      </c>
      <c r="AU132" s="237">
        <f>IF(AP132=0,"",AS132/AP132)</f>
        <v/>
      </c>
      <c r="AV132" s="33" t="n"/>
      <c r="AW132" s="233" t="n"/>
      <c r="AX132" s="233" t="n"/>
      <c r="AY132" s="233">
        <f>AW132+AX132</f>
        <v/>
      </c>
      <c r="AZ132" s="233" t="n"/>
      <c r="BA132" s="233" t="n"/>
      <c r="BB132" s="233">
        <f>AZ132+BA132</f>
        <v/>
      </c>
      <c r="BC132" s="238">
        <f>BB132-AY132</f>
        <v/>
      </c>
      <c r="BD132" s="235">
        <f>IF(AY132=0,"",BB132/AY132)</f>
        <v/>
      </c>
      <c r="BE132" s="26" t="n"/>
      <c r="BF132" s="236">
        <f>AN132+AW132</f>
        <v/>
      </c>
      <c r="BG132" s="236">
        <f>AO132+AX132</f>
        <v/>
      </c>
      <c r="BH132" s="236">
        <f>BF132+BG132</f>
        <v/>
      </c>
      <c r="BI132" s="236">
        <f>AQ132+AZ132</f>
        <v/>
      </c>
      <c r="BJ132" s="236">
        <f>AR132+BA132</f>
        <v/>
      </c>
      <c r="BK132" s="236">
        <f>BI132+BJ132</f>
        <v/>
      </c>
      <c r="BL132" s="239">
        <f>BK132-BH132</f>
        <v/>
      </c>
      <c r="BM132" s="237">
        <f>IF(BH132=0,"",BK132/BH132)</f>
        <v/>
      </c>
      <c r="BN132" s="33" t="n"/>
      <c r="BO132" s="233" t="n"/>
      <c r="BP132" s="233" t="n"/>
      <c r="BQ132" s="233">
        <f>BO132+BP132</f>
        <v/>
      </c>
      <c r="BR132" s="233" t="n"/>
      <c r="BS132" s="233" t="n"/>
      <c r="BT132" s="233">
        <f>BR132+BS132</f>
        <v/>
      </c>
      <c r="BU132" s="238">
        <f>BT132-BQ132</f>
        <v/>
      </c>
      <c r="BV132" s="235">
        <f>IF(BQ132=0,"",BT132/BQ132)</f>
        <v/>
      </c>
      <c r="BW132" s="26" t="n"/>
      <c r="BX132" s="236">
        <f>BF132+BO132</f>
        <v/>
      </c>
      <c r="BY132" s="236">
        <f>BG132+BP132</f>
        <v/>
      </c>
      <c r="BZ132" s="236">
        <f>BX132+BY132</f>
        <v/>
      </c>
      <c r="CA132" s="236">
        <f>BI132+BR132</f>
        <v/>
      </c>
      <c r="CB132" s="236">
        <f>BJ132+BS132</f>
        <v/>
      </c>
      <c r="CC132" s="236">
        <f>CA132+CB132</f>
        <v/>
      </c>
      <c r="CD132" s="239">
        <f>CC132-BZ132</f>
        <v/>
      </c>
      <c r="CE132" s="237">
        <f>IF(BZ132=0,"",CC132/BZ132)</f>
        <v/>
      </c>
      <c r="CF132" s="33" t="n"/>
      <c r="CG132" s="233" t="n"/>
      <c r="CH132" s="233" t="n"/>
      <c r="CI132" s="233">
        <f>CG132+CH132</f>
        <v/>
      </c>
      <c r="CJ132" s="233" t="n"/>
      <c r="CK132" s="233" t="n"/>
      <c r="CL132" s="233">
        <f>CJ132+CK132</f>
        <v/>
      </c>
      <c r="CM132" s="238">
        <f>CL132-CI132</f>
        <v/>
      </c>
      <c r="CN132" s="235">
        <f>IF(CI132=0,"",CL132/CI132)</f>
        <v/>
      </c>
      <c r="CO132" s="26" t="n"/>
      <c r="CP132" s="236">
        <f>BX132+CG132</f>
        <v/>
      </c>
      <c r="CQ132" s="236">
        <f>BY132+CH132</f>
        <v/>
      </c>
      <c r="CR132" s="236">
        <f>CP132+CQ132</f>
        <v/>
      </c>
      <c r="CS132" s="236">
        <f>CA132+CJ132</f>
        <v/>
      </c>
      <c r="CT132" s="236">
        <f>CB132+CK132</f>
        <v/>
      </c>
      <c r="CU132" s="236">
        <f>CS132+CT132</f>
        <v/>
      </c>
      <c r="CV132" s="239">
        <f>CU132-CR132</f>
        <v/>
      </c>
      <c r="CW132" s="237">
        <f>IF(CR132=0,"",CU132/CR132)</f>
        <v/>
      </c>
      <c r="CX132" s="33" t="n"/>
      <c r="CY132" s="233" t="n"/>
      <c r="CZ132" s="233" t="n"/>
      <c r="DA132" s="233">
        <f>CY132+CZ132</f>
        <v/>
      </c>
      <c r="DB132" s="233" t="n"/>
      <c r="DC132" s="233" t="n"/>
      <c r="DD132" s="233">
        <f>DB132+DC132</f>
        <v/>
      </c>
      <c r="DE132" s="238">
        <f>DD132-DA132</f>
        <v/>
      </c>
      <c r="DF132" s="235">
        <f>IF(DA132=0,"",DD132/DA132)</f>
        <v/>
      </c>
      <c r="DG132" s="26" t="n"/>
      <c r="DH132" s="236">
        <f>CP132+CY132</f>
        <v/>
      </c>
      <c r="DI132" s="236">
        <f>CQ132+CZ132</f>
        <v/>
      </c>
      <c r="DJ132" s="236">
        <f>DH132+DI132</f>
        <v/>
      </c>
      <c r="DK132" s="236">
        <f>CS132+DB132</f>
        <v/>
      </c>
      <c r="DL132" s="236">
        <f>CT132+DC132</f>
        <v/>
      </c>
      <c r="DM132" s="236">
        <f>DK132+DL132</f>
        <v/>
      </c>
      <c r="DN132" s="239">
        <f>DM132-DJ132</f>
        <v/>
      </c>
      <c r="DO132" s="237">
        <f>IF(DJ132=0,"",DM132/DJ132)</f>
        <v/>
      </c>
      <c r="DP132" s="33" t="n"/>
      <c r="DQ132" s="233" t="n"/>
      <c r="DR132" s="233" t="n"/>
      <c r="DS132" s="233">
        <f>DQ132+DR132</f>
        <v/>
      </c>
      <c r="DT132" s="233" t="n"/>
      <c r="DU132" s="233" t="n"/>
      <c r="DV132" s="233">
        <f>DT132+DU132</f>
        <v/>
      </c>
      <c r="DW132" s="238">
        <f>DV132-DS132</f>
        <v/>
      </c>
      <c r="DX132" s="235">
        <f>IF(DS132=0,"",DV132/DS132)</f>
        <v/>
      </c>
      <c r="DY132" s="26" t="n"/>
      <c r="DZ132" s="236">
        <f>DH132+DQ132</f>
        <v/>
      </c>
      <c r="EA132" s="236">
        <f>DI132+DR132</f>
        <v/>
      </c>
      <c r="EB132" s="236">
        <f>DZ132+EA132</f>
        <v/>
      </c>
      <c r="EC132" s="236">
        <f>DK132+DT132</f>
        <v/>
      </c>
      <c r="ED132" s="236">
        <f>DL132+DU132</f>
        <v/>
      </c>
      <c r="EE132" s="236">
        <f>EC132+ED132</f>
        <v/>
      </c>
      <c r="EF132" s="239">
        <f>EE132-EB132</f>
        <v/>
      </c>
      <c r="EG132" s="237">
        <f>IF(EB132=0,"",EE132/EB132)</f>
        <v/>
      </c>
      <c r="EH132" s="33" t="n"/>
      <c r="EI132" s="233" t="n"/>
      <c r="EJ132" s="233" t="n"/>
      <c r="EK132" s="233">
        <f>EI132+EJ132</f>
        <v/>
      </c>
      <c r="EL132" s="233" t="n"/>
      <c r="EM132" s="233" t="n"/>
      <c r="EN132" s="233">
        <f>EL132+EM132</f>
        <v/>
      </c>
      <c r="EO132" s="238">
        <f>EN132-EK132</f>
        <v/>
      </c>
      <c r="EP132" s="235">
        <f>IF(EK132=0,"",EN132/EK132)</f>
        <v/>
      </c>
      <c r="EQ132" s="26" t="n"/>
      <c r="ER132" s="236">
        <f>DZ132+EI132</f>
        <v/>
      </c>
      <c r="ES132" s="236">
        <f>EA132+EJ132</f>
        <v/>
      </c>
      <c r="ET132" s="236">
        <f>ER132+ES132</f>
        <v/>
      </c>
      <c r="EU132" s="236">
        <f>EC132+EL132</f>
        <v/>
      </c>
      <c r="EV132" s="236">
        <f>ED132+EM132</f>
        <v/>
      </c>
      <c r="EW132" s="236">
        <f>EU132+EV132</f>
        <v/>
      </c>
      <c r="EX132" s="239">
        <f>EW132-ET132</f>
        <v/>
      </c>
      <c r="EY132" s="237">
        <f>IF(ET132=0,"",EW132/ET132)</f>
        <v/>
      </c>
      <c r="EZ132" s="33" t="n"/>
      <c r="FA132" s="233" t="n"/>
      <c r="FB132" s="233" t="n"/>
      <c r="FC132" s="233">
        <f>FA132+FB132</f>
        <v/>
      </c>
      <c r="FD132" s="233" t="n"/>
      <c r="FE132" s="233" t="n"/>
      <c r="FF132" s="233">
        <f>FD132+FE132</f>
        <v/>
      </c>
      <c r="FG132" s="238">
        <f>FF132-FC132</f>
        <v/>
      </c>
      <c r="FH132" s="235">
        <f>IF(FC132=0,"",FF132/FC132)</f>
        <v/>
      </c>
      <c r="FI132" s="26" t="n"/>
      <c r="FJ132" s="236">
        <f>ER132+FA132</f>
        <v/>
      </c>
      <c r="FK132" s="236">
        <f>ES132+FB132</f>
        <v/>
      </c>
      <c r="FL132" s="236">
        <f>FJ132+FK132</f>
        <v/>
      </c>
      <c r="FM132" s="236">
        <f>EU132+FD132</f>
        <v/>
      </c>
      <c r="FN132" s="236">
        <f>EV132+FE132</f>
        <v/>
      </c>
      <c r="FO132" s="236">
        <f>FM132+FN132</f>
        <v/>
      </c>
      <c r="FP132" s="239">
        <f>FO132-FL132</f>
        <v/>
      </c>
      <c r="FQ132" s="237">
        <f>IF(FL132=0,"",FO132/FL132)</f>
        <v/>
      </c>
      <c r="FR132" s="33" t="n"/>
      <c r="FS132" s="233" t="n"/>
      <c r="FT132" s="233" t="n"/>
      <c r="FU132" s="233">
        <f>FS132+FT132</f>
        <v/>
      </c>
      <c r="FV132" s="233" t="n"/>
      <c r="FW132" s="233" t="n"/>
      <c r="FX132" s="233">
        <f>FV132+FW132</f>
        <v/>
      </c>
      <c r="FY132" s="238">
        <f>FX132-FU132</f>
        <v/>
      </c>
      <c r="FZ132" s="235">
        <f>IF(FU132=0,"",FX132/FU132)</f>
        <v/>
      </c>
      <c r="GA132" s="26" t="n"/>
      <c r="GB132" s="236">
        <f>FJ132+FS132</f>
        <v/>
      </c>
      <c r="GC132" s="236">
        <f>FK132+FT132</f>
        <v/>
      </c>
      <c r="GD132" s="236">
        <f>GB132+GC132</f>
        <v/>
      </c>
      <c r="GE132" s="236">
        <f>FM132+FV132</f>
        <v/>
      </c>
      <c r="GF132" s="236">
        <f>FN132+FW132</f>
        <v/>
      </c>
      <c r="GG132" s="236">
        <f>GE132+GF132</f>
        <v/>
      </c>
      <c r="GH132" s="239">
        <f>GG132-GD132</f>
        <v/>
      </c>
      <c r="GI132" s="237">
        <f>IF(GD132=0,"",GG132/GD132)</f>
        <v/>
      </c>
      <c r="GJ132" s="33" t="n"/>
      <c r="GK132" s="233" t="n"/>
      <c r="GL132" s="233" t="n"/>
      <c r="GM132" s="233">
        <f>GK132+GL132</f>
        <v/>
      </c>
      <c r="GN132" s="233" t="n"/>
      <c r="GO132" s="233" t="n"/>
      <c r="GP132" s="233">
        <f>GN132+GO132</f>
        <v/>
      </c>
      <c r="GQ132" s="238">
        <f>GP132-GM132</f>
        <v/>
      </c>
      <c r="GR132" s="235">
        <f>IF(GM132=0,"",GP132/GM132)</f>
        <v/>
      </c>
      <c r="GS132" s="26" t="n"/>
      <c r="GT132" s="236">
        <f>GB132+GK132</f>
        <v/>
      </c>
      <c r="GU132" s="236">
        <f>GC132+GL132</f>
        <v/>
      </c>
      <c r="GV132" s="236">
        <f>GT132+GU132</f>
        <v/>
      </c>
      <c r="GW132" s="236">
        <f>GE132+GN132</f>
        <v/>
      </c>
      <c r="GX132" s="236">
        <f>GF132+GO132</f>
        <v/>
      </c>
      <c r="GY132" s="236">
        <f>GW132+GX132</f>
        <v/>
      </c>
      <c r="GZ132" s="239">
        <f>GY132-GV132</f>
        <v/>
      </c>
      <c r="HA132" s="237">
        <f>IF(GV132=0,"",GY132/GV132)</f>
        <v/>
      </c>
      <c r="HB132" s="33" t="n"/>
      <c r="HC132" s="233">
        <f>GT132</f>
        <v/>
      </c>
      <c r="HD132" s="233">
        <f>GU132</f>
        <v/>
      </c>
      <c r="HE132" s="233">
        <f>HC132+HD132</f>
        <v/>
      </c>
    </row>
    <row r="133" outlineLevel="1" ht="15" customHeight="1" s="150">
      <c r="A133" s="26" t="n"/>
      <c r="B133" s="26" t="n"/>
      <c r="C133" s="26" t="n"/>
      <c r="D133" s="233" t="n"/>
      <c r="E133" s="233" t="n"/>
      <c r="F133" s="233">
        <f>D133+E133</f>
        <v/>
      </c>
      <c r="G133" s="233" t="n"/>
      <c r="H133" s="233" t="n"/>
      <c r="I133" s="233">
        <f>G133+H133</f>
        <v/>
      </c>
      <c r="J133" s="238">
        <f>I133-F133</f>
        <v/>
      </c>
      <c r="K133" s="235">
        <f>IF(F133=0,"",I133/F133)</f>
        <v/>
      </c>
      <c r="L133" s="26" t="n"/>
      <c r="M133" s="233" t="n"/>
      <c r="N133" s="233" t="n"/>
      <c r="O133" s="233">
        <f>M133+N133</f>
        <v/>
      </c>
      <c r="P133" s="233" t="n"/>
      <c r="Q133" s="233" t="n"/>
      <c r="R133" s="233">
        <f>P133+Q133</f>
        <v/>
      </c>
      <c r="S133" s="238">
        <f>R133-O133</f>
        <v/>
      </c>
      <c r="T133" s="235">
        <f>IF(O133=0,"",R133/O133)</f>
        <v/>
      </c>
      <c r="U133" s="26" t="n"/>
      <c r="V133" s="236">
        <f>D133+M133</f>
        <v/>
      </c>
      <c r="W133" s="236">
        <f>E133+N133</f>
        <v/>
      </c>
      <c r="X133" s="236">
        <f>V133+W133</f>
        <v/>
      </c>
      <c r="Y133" s="236">
        <f>G133+P133</f>
        <v/>
      </c>
      <c r="Z133" s="236">
        <f>H133+Q133</f>
        <v/>
      </c>
      <c r="AA133" s="236">
        <f>Y133+Z133</f>
        <v/>
      </c>
      <c r="AB133" s="239">
        <f>AA133-X133</f>
        <v/>
      </c>
      <c r="AC133" s="237">
        <f>IF(X133=0,"",AA133/X133)</f>
        <v/>
      </c>
      <c r="AD133" s="33" t="n"/>
      <c r="AE133" s="233" t="n"/>
      <c r="AF133" s="233" t="n"/>
      <c r="AG133" s="233">
        <f>AE133+AF133</f>
        <v/>
      </c>
      <c r="AH133" s="233" t="n"/>
      <c r="AI133" s="233" t="n"/>
      <c r="AJ133" s="233">
        <f>AH133+AI133</f>
        <v/>
      </c>
      <c r="AK133" s="238">
        <f>AJ133-AG133</f>
        <v/>
      </c>
      <c r="AL133" s="235">
        <f>IF(AG133=0,"",AJ133/AG133)</f>
        <v/>
      </c>
      <c r="AM133" s="26" t="n"/>
      <c r="AN133" s="236">
        <f>V133+AE133</f>
        <v/>
      </c>
      <c r="AO133" s="236">
        <f>W133+AF133</f>
        <v/>
      </c>
      <c r="AP133" s="236">
        <f>AN133+AO133</f>
        <v/>
      </c>
      <c r="AQ133" s="236">
        <f>Y133+AH133</f>
        <v/>
      </c>
      <c r="AR133" s="236">
        <f>Z133+AI133</f>
        <v/>
      </c>
      <c r="AS133" s="236">
        <f>AQ133+AR133</f>
        <v/>
      </c>
      <c r="AT133" s="239">
        <f>AS133-AP133</f>
        <v/>
      </c>
      <c r="AU133" s="237">
        <f>IF(AP133=0,"",AS133/AP133)</f>
        <v/>
      </c>
      <c r="AV133" s="33" t="n"/>
      <c r="AW133" s="233" t="n"/>
      <c r="AX133" s="233" t="n"/>
      <c r="AY133" s="233">
        <f>AW133+AX133</f>
        <v/>
      </c>
      <c r="AZ133" s="233" t="n"/>
      <c r="BA133" s="233" t="n"/>
      <c r="BB133" s="233">
        <f>AZ133+BA133</f>
        <v/>
      </c>
      <c r="BC133" s="238">
        <f>BB133-AY133</f>
        <v/>
      </c>
      <c r="BD133" s="235">
        <f>IF(AY133=0,"",BB133/AY133)</f>
        <v/>
      </c>
      <c r="BE133" s="26" t="n"/>
      <c r="BF133" s="236">
        <f>AN133+AW133</f>
        <v/>
      </c>
      <c r="BG133" s="236">
        <f>AO133+AX133</f>
        <v/>
      </c>
      <c r="BH133" s="236">
        <f>BF133+BG133</f>
        <v/>
      </c>
      <c r="BI133" s="236">
        <f>AQ133+AZ133</f>
        <v/>
      </c>
      <c r="BJ133" s="236">
        <f>AR133+BA133</f>
        <v/>
      </c>
      <c r="BK133" s="236">
        <f>BI133+BJ133</f>
        <v/>
      </c>
      <c r="BL133" s="239">
        <f>BK133-BH133</f>
        <v/>
      </c>
      <c r="BM133" s="237">
        <f>IF(BH133=0,"",BK133/BH133)</f>
        <v/>
      </c>
      <c r="BN133" s="33" t="n"/>
      <c r="BO133" s="233" t="n"/>
      <c r="BP133" s="233" t="n"/>
      <c r="BQ133" s="233">
        <f>BO133+BP133</f>
        <v/>
      </c>
      <c r="BR133" s="233" t="n"/>
      <c r="BS133" s="233" t="n"/>
      <c r="BT133" s="233">
        <f>BR133+BS133</f>
        <v/>
      </c>
      <c r="BU133" s="238">
        <f>BT133-BQ133</f>
        <v/>
      </c>
      <c r="BV133" s="235">
        <f>IF(BQ133=0,"",BT133/BQ133)</f>
        <v/>
      </c>
      <c r="BW133" s="26" t="n"/>
      <c r="BX133" s="236">
        <f>BF133+BO133</f>
        <v/>
      </c>
      <c r="BY133" s="236">
        <f>BG133+BP133</f>
        <v/>
      </c>
      <c r="BZ133" s="236">
        <f>BX133+BY133</f>
        <v/>
      </c>
      <c r="CA133" s="236">
        <f>BI133+BR133</f>
        <v/>
      </c>
      <c r="CB133" s="236">
        <f>BJ133+BS133</f>
        <v/>
      </c>
      <c r="CC133" s="236">
        <f>CA133+CB133</f>
        <v/>
      </c>
      <c r="CD133" s="239">
        <f>CC133-BZ133</f>
        <v/>
      </c>
      <c r="CE133" s="237">
        <f>IF(BZ133=0,"",CC133/BZ133)</f>
        <v/>
      </c>
      <c r="CF133" s="33" t="n"/>
      <c r="CG133" s="233" t="n"/>
      <c r="CH133" s="233" t="n"/>
      <c r="CI133" s="233">
        <f>CG133+CH133</f>
        <v/>
      </c>
      <c r="CJ133" s="233" t="n"/>
      <c r="CK133" s="233" t="n"/>
      <c r="CL133" s="233">
        <f>CJ133+CK133</f>
        <v/>
      </c>
      <c r="CM133" s="238">
        <f>CL133-CI133</f>
        <v/>
      </c>
      <c r="CN133" s="235">
        <f>IF(CI133=0,"",CL133/CI133)</f>
        <v/>
      </c>
      <c r="CO133" s="26" t="n"/>
      <c r="CP133" s="236">
        <f>BX133+CG133</f>
        <v/>
      </c>
      <c r="CQ133" s="236">
        <f>BY133+CH133</f>
        <v/>
      </c>
      <c r="CR133" s="236">
        <f>CP133+CQ133</f>
        <v/>
      </c>
      <c r="CS133" s="236">
        <f>CA133+CJ133</f>
        <v/>
      </c>
      <c r="CT133" s="236">
        <f>CB133+CK133</f>
        <v/>
      </c>
      <c r="CU133" s="236">
        <f>CS133+CT133</f>
        <v/>
      </c>
      <c r="CV133" s="239">
        <f>CU133-CR133</f>
        <v/>
      </c>
      <c r="CW133" s="237">
        <f>IF(CR133=0,"",CU133/CR133)</f>
        <v/>
      </c>
      <c r="CX133" s="33" t="n"/>
      <c r="CY133" s="233" t="n"/>
      <c r="CZ133" s="233" t="n"/>
      <c r="DA133" s="233">
        <f>CY133+CZ133</f>
        <v/>
      </c>
      <c r="DB133" s="233" t="n"/>
      <c r="DC133" s="233" t="n"/>
      <c r="DD133" s="233">
        <f>DB133+DC133</f>
        <v/>
      </c>
      <c r="DE133" s="238">
        <f>DD133-DA133</f>
        <v/>
      </c>
      <c r="DF133" s="235">
        <f>IF(DA133=0,"",DD133/DA133)</f>
        <v/>
      </c>
      <c r="DG133" s="26" t="n"/>
      <c r="DH133" s="236">
        <f>CP133+CY133</f>
        <v/>
      </c>
      <c r="DI133" s="236">
        <f>CQ133+CZ133</f>
        <v/>
      </c>
      <c r="DJ133" s="236">
        <f>DH133+DI133</f>
        <v/>
      </c>
      <c r="DK133" s="236">
        <f>CS133+DB133</f>
        <v/>
      </c>
      <c r="DL133" s="236">
        <f>CT133+DC133</f>
        <v/>
      </c>
      <c r="DM133" s="236">
        <f>DK133+DL133</f>
        <v/>
      </c>
      <c r="DN133" s="239">
        <f>DM133-DJ133</f>
        <v/>
      </c>
      <c r="DO133" s="237">
        <f>IF(DJ133=0,"",DM133/DJ133)</f>
        <v/>
      </c>
      <c r="DP133" s="33" t="n"/>
      <c r="DQ133" s="233" t="n"/>
      <c r="DR133" s="233" t="n"/>
      <c r="DS133" s="233">
        <f>DQ133+DR133</f>
        <v/>
      </c>
      <c r="DT133" s="233" t="n"/>
      <c r="DU133" s="233" t="n"/>
      <c r="DV133" s="233">
        <f>DT133+DU133</f>
        <v/>
      </c>
      <c r="DW133" s="238">
        <f>DV133-DS133</f>
        <v/>
      </c>
      <c r="DX133" s="235">
        <f>IF(DS133=0,"",DV133/DS133)</f>
        <v/>
      </c>
      <c r="DY133" s="26" t="n"/>
      <c r="DZ133" s="236">
        <f>DH133+DQ133</f>
        <v/>
      </c>
      <c r="EA133" s="236">
        <f>DI133+DR133</f>
        <v/>
      </c>
      <c r="EB133" s="236">
        <f>DZ133+EA133</f>
        <v/>
      </c>
      <c r="EC133" s="236">
        <f>DK133+DT133</f>
        <v/>
      </c>
      <c r="ED133" s="236">
        <f>DL133+DU133</f>
        <v/>
      </c>
      <c r="EE133" s="236">
        <f>EC133+ED133</f>
        <v/>
      </c>
      <c r="EF133" s="239">
        <f>EE133-EB133</f>
        <v/>
      </c>
      <c r="EG133" s="237">
        <f>IF(EB133=0,"",EE133/EB133)</f>
        <v/>
      </c>
      <c r="EH133" s="33" t="n"/>
      <c r="EI133" s="233" t="n"/>
      <c r="EJ133" s="233" t="n"/>
      <c r="EK133" s="233">
        <f>EI133+EJ133</f>
        <v/>
      </c>
      <c r="EL133" s="233" t="n"/>
      <c r="EM133" s="233" t="n"/>
      <c r="EN133" s="233">
        <f>EL133+EM133</f>
        <v/>
      </c>
      <c r="EO133" s="238">
        <f>EN133-EK133</f>
        <v/>
      </c>
      <c r="EP133" s="235">
        <f>IF(EK133=0,"",EN133/EK133)</f>
        <v/>
      </c>
      <c r="EQ133" s="26" t="n"/>
      <c r="ER133" s="236">
        <f>DZ133+EI133</f>
        <v/>
      </c>
      <c r="ES133" s="236">
        <f>EA133+EJ133</f>
        <v/>
      </c>
      <c r="ET133" s="236">
        <f>ER133+ES133</f>
        <v/>
      </c>
      <c r="EU133" s="236">
        <f>EC133+EL133</f>
        <v/>
      </c>
      <c r="EV133" s="236">
        <f>ED133+EM133</f>
        <v/>
      </c>
      <c r="EW133" s="236">
        <f>EU133+EV133</f>
        <v/>
      </c>
      <c r="EX133" s="239">
        <f>EW133-ET133</f>
        <v/>
      </c>
      <c r="EY133" s="237">
        <f>IF(ET133=0,"",EW133/ET133)</f>
        <v/>
      </c>
      <c r="EZ133" s="33" t="n"/>
      <c r="FA133" s="233" t="n"/>
      <c r="FB133" s="233" t="n"/>
      <c r="FC133" s="233">
        <f>FA133+FB133</f>
        <v/>
      </c>
      <c r="FD133" s="233" t="n"/>
      <c r="FE133" s="233" t="n"/>
      <c r="FF133" s="233">
        <f>FD133+FE133</f>
        <v/>
      </c>
      <c r="FG133" s="238">
        <f>FF133-FC133</f>
        <v/>
      </c>
      <c r="FH133" s="235">
        <f>IF(FC133=0,"",FF133/FC133)</f>
        <v/>
      </c>
      <c r="FI133" s="26" t="n"/>
      <c r="FJ133" s="236">
        <f>ER133+FA133</f>
        <v/>
      </c>
      <c r="FK133" s="236">
        <f>ES133+FB133</f>
        <v/>
      </c>
      <c r="FL133" s="236">
        <f>FJ133+FK133</f>
        <v/>
      </c>
      <c r="FM133" s="236">
        <f>EU133+FD133</f>
        <v/>
      </c>
      <c r="FN133" s="236">
        <f>EV133+FE133</f>
        <v/>
      </c>
      <c r="FO133" s="236">
        <f>FM133+FN133</f>
        <v/>
      </c>
      <c r="FP133" s="239">
        <f>FO133-FL133</f>
        <v/>
      </c>
      <c r="FQ133" s="237">
        <f>IF(FL133=0,"",FO133/FL133)</f>
        <v/>
      </c>
      <c r="FR133" s="33" t="n"/>
      <c r="FS133" s="233" t="n"/>
      <c r="FT133" s="233" t="n"/>
      <c r="FU133" s="233">
        <f>FS133+FT133</f>
        <v/>
      </c>
      <c r="FV133" s="233" t="n"/>
      <c r="FW133" s="233" t="n"/>
      <c r="FX133" s="233">
        <f>FV133+FW133</f>
        <v/>
      </c>
      <c r="FY133" s="238">
        <f>FX133-FU133</f>
        <v/>
      </c>
      <c r="FZ133" s="235">
        <f>IF(FU133=0,"",FX133/FU133)</f>
        <v/>
      </c>
      <c r="GA133" s="26" t="n"/>
      <c r="GB133" s="236">
        <f>FJ133+FS133</f>
        <v/>
      </c>
      <c r="GC133" s="236">
        <f>FK133+FT133</f>
        <v/>
      </c>
      <c r="GD133" s="236">
        <f>GB133+GC133</f>
        <v/>
      </c>
      <c r="GE133" s="236">
        <f>FM133+FV133</f>
        <v/>
      </c>
      <c r="GF133" s="236">
        <f>FN133+FW133</f>
        <v/>
      </c>
      <c r="GG133" s="236">
        <f>GE133+GF133</f>
        <v/>
      </c>
      <c r="GH133" s="239">
        <f>GG133-GD133</f>
        <v/>
      </c>
      <c r="GI133" s="237">
        <f>IF(GD133=0,"",GG133/GD133)</f>
        <v/>
      </c>
      <c r="GJ133" s="33" t="n"/>
      <c r="GK133" s="233" t="n"/>
      <c r="GL133" s="233" t="n"/>
      <c r="GM133" s="233">
        <f>GK133+GL133</f>
        <v/>
      </c>
      <c r="GN133" s="233" t="n"/>
      <c r="GO133" s="233" t="n"/>
      <c r="GP133" s="233">
        <f>GN133+GO133</f>
        <v/>
      </c>
      <c r="GQ133" s="238">
        <f>GP133-GM133</f>
        <v/>
      </c>
      <c r="GR133" s="235">
        <f>IF(GM133=0,"",GP133/GM133)</f>
        <v/>
      </c>
      <c r="GS133" s="26" t="n"/>
      <c r="GT133" s="236">
        <f>GB133+GK133</f>
        <v/>
      </c>
      <c r="GU133" s="236">
        <f>GC133+GL133</f>
        <v/>
      </c>
      <c r="GV133" s="236">
        <f>GT133+GU133</f>
        <v/>
      </c>
      <c r="GW133" s="236">
        <f>GE133+GN133</f>
        <v/>
      </c>
      <c r="GX133" s="236">
        <f>GF133+GO133</f>
        <v/>
      </c>
      <c r="GY133" s="236">
        <f>GW133+GX133</f>
        <v/>
      </c>
      <c r="GZ133" s="239">
        <f>GY133-GV133</f>
        <v/>
      </c>
      <c r="HA133" s="237">
        <f>IF(GV133=0,"",GY133/GV133)</f>
        <v/>
      </c>
      <c r="HB133" s="33" t="n"/>
      <c r="HC133" s="233">
        <f>GT133</f>
        <v/>
      </c>
      <c r="HD133" s="233">
        <f>GU133</f>
        <v/>
      </c>
      <c r="HE133" s="233">
        <f>HC133+HD133</f>
        <v/>
      </c>
    </row>
    <row r="134" ht="15" customHeight="1" s="150">
      <c r="A134" s="12" t="n"/>
      <c r="B134" s="12" t="n"/>
      <c r="C134" s="12" t="n"/>
      <c r="D134" s="240">
        <f>D135</f>
        <v/>
      </c>
      <c r="E134" s="240">
        <f>E135</f>
        <v/>
      </c>
      <c r="F134" s="240">
        <f>D134+E134</f>
        <v/>
      </c>
      <c r="G134" s="240">
        <f>G135</f>
        <v/>
      </c>
      <c r="H134" s="240">
        <f>H135</f>
        <v/>
      </c>
      <c r="I134" s="240">
        <f>G134+H134</f>
        <v/>
      </c>
      <c r="J134" s="240">
        <f>I134-F134</f>
        <v/>
      </c>
      <c r="K134" s="241">
        <f>IF(F134=0,"",I134/F134)</f>
        <v/>
      </c>
      <c r="L134" s="12" t="n"/>
      <c r="M134" s="240">
        <f>M135</f>
        <v/>
      </c>
      <c r="N134" s="240">
        <f>N135</f>
        <v/>
      </c>
      <c r="O134" s="240">
        <f>M134+N134</f>
        <v/>
      </c>
      <c r="P134" s="240">
        <f>P135</f>
        <v/>
      </c>
      <c r="Q134" s="240">
        <f>Q135</f>
        <v/>
      </c>
      <c r="R134" s="240">
        <f>P134+Q134</f>
        <v/>
      </c>
      <c r="S134" s="240">
        <f>R134-O134</f>
        <v/>
      </c>
      <c r="T134" s="241">
        <f>IF(O134=0,"",R134/O134)</f>
        <v/>
      </c>
      <c r="U134" s="12" t="n"/>
      <c r="V134" s="242">
        <f>V135</f>
        <v/>
      </c>
      <c r="W134" s="242">
        <f>W135</f>
        <v/>
      </c>
      <c r="X134" s="242">
        <f>V134+W134</f>
        <v/>
      </c>
      <c r="Y134" s="242">
        <f>Y135</f>
        <v/>
      </c>
      <c r="Z134" s="242">
        <f>Z135</f>
        <v/>
      </c>
      <c r="AA134" s="242">
        <f>Y134+Z134</f>
        <v/>
      </c>
      <c r="AB134" s="242">
        <f>AA134-X134</f>
        <v/>
      </c>
      <c r="AC134" s="243">
        <f>IF(X134=0,"",AA134/X134)</f>
        <v/>
      </c>
      <c r="AD134" s="17" t="n"/>
      <c r="AE134" s="240">
        <f>AE135</f>
        <v/>
      </c>
      <c r="AF134" s="240">
        <f>AF135</f>
        <v/>
      </c>
      <c r="AG134" s="240">
        <f>AE134+AF134</f>
        <v/>
      </c>
      <c r="AH134" s="240">
        <f>AH135</f>
        <v/>
      </c>
      <c r="AI134" s="240">
        <f>AI135</f>
        <v/>
      </c>
      <c r="AJ134" s="240">
        <f>AH134+AI134</f>
        <v/>
      </c>
      <c r="AK134" s="240">
        <f>AJ134-AG134</f>
        <v/>
      </c>
      <c r="AL134" s="241">
        <f>IF(AG134=0,"",AJ134/AG134)</f>
        <v/>
      </c>
      <c r="AM134" s="12" t="n"/>
      <c r="AN134" s="242">
        <f>AN135</f>
        <v/>
      </c>
      <c r="AO134" s="242">
        <f>AO135</f>
        <v/>
      </c>
      <c r="AP134" s="242">
        <f>AN134+AO134</f>
        <v/>
      </c>
      <c r="AQ134" s="242">
        <f>AQ135</f>
        <v/>
      </c>
      <c r="AR134" s="242">
        <f>AR135</f>
        <v/>
      </c>
      <c r="AS134" s="242">
        <f>AQ134+AR134</f>
        <v/>
      </c>
      <c r="AT134" s="242">
        <f>AS134-AP134</f>
        <v/>
      </c>
      <c r="AU134" s="243">
        <f>IF(AP134=0,"",AS134/AP134)</f>
        <v/>
      </c>
      <c r="AV134" s="17" t="n"/>
      <c r="AW134" s="240">
        <f>AW135</f>
        <v/>
      </c>
      <c r="AX134" s="240">
        <f>AX135</f>
        <v/>
      </c>
      <c r="AY134" s="240">
        <f>AW134+AX134</f>
        <v/>
      </c>
      <c r="AZ134" s="240">
        <f>AZ135</f>
        <v/>
      </c>
      <c r="BA134" s="240">
        <f>BA135</f>
        <v/>
      </c>
      <c r="BB134" s="240">
        <f>AZ134+BA134</f>
        <v/>
      </c>
      <c r="BC134" s="240">
        <f>BB134-AY134</f>
        <v/>
      </c>
      <c r="BD134" s="241">
        <f>IF(AY134=0,"",BB134/AY134)</f>
        <v/>
      </c>
      <c r="BE134" s="12" t="n"/>
      <c r="BF134" s="242">
        <f>BF135</f>
        <v/>
      </c>
      <c r="BG134" s="242">
        <f>BG135</f>
        <v/>
      </c>
      <c r="BH134" s="242">
        <f>BF134+BG134</f>
        <v/>
      </c>
      <c r="BI134" s="242">
        <f>BI135</f>
        <v/>
      </c>
      <c r="BJ134" s="242">
        <f>BJ135</f>
        <v/>
      </c>
      <c r="BK134" s="242">
        <f>BI134+BJ134</f>
        <v/>
      </c>
      <c r="BL134" s="242">
        <f>BK134-BH134</f>
        <v/>
      </c>
      <c r="BM134" s="243">
        <f>IF(BH134=0,"",BK134/BH134)</f>
        <v/>
      </c>
      <c r="BN134" s="17" t="n"/>
      <c r="BO134" s="240">
        <f>BO135</f>
        <v/>
      </c>
      <c r="BP134" s="240">
        <f>BP135</f>
        <v/>
      </c>
      <c r="BQ134" s="240">
        <f>BO134+BP134</f>
        <v/>
      </c>
      <c r="BR134" s="240">
        <f>BR135</f>
        <v/>
      </c>
      <c r="BS134" s="240">
        <f>BS135</f>
        <v/>
      </c>
      <c r="BT134" s="240">
        <f>BR134+BS134</f>
        <v/>
      </c>
      <c r="BU134" s="240">
        <f>BT134-BQ134</f>
        <v/>
      </c>
      <c r="BV134" s="241">
        <f>IF(BQ134=0,"",BT134/BQ134)</f>
        <v/>
      </c>
      <c r="BW134" s="12" t="n"/>
      <c r="BX134" s="242">
        <f>BX135</f>
        <v/>
      </c>
      <c r="BY134" s="242">
        <f>BY135</f>
        <v/>
      </c>
      <c r="BZ134" s="242">
        <f>BX134+BY134</f>
        <v/>
      </c>
      <c r="CA134" s="242">
        <f>CA135</f>
        <v/>
      </c>
      <c r="CB134" s="242">
        <f>CB135</f>
        <v/>
      </c>
      <c r="CC134" s="242">
        <f>CA134+CB134</f>
        <v/>
      </c>
      <c r="CD134" s="242">
        <f>CC134-BZ134</f>
        <v/>
      </c>
      <c r="CE134" s="243">
        <f>IF(BZ134=0,"",CC134/BZ134)</f>
        <v/>
      </c>
      <c r="CF134" s="17" t="n"/>
      <c r="CG134" s="240">
        <f>CG135</f>
        <v/>
      </c>
      <c r="CH134" s="240">
        <f>CH135</f>
        <v/>
      </c>
      <c r="CI134" s="240">
        <f>CG134+CH134</f>
        <v/>
      </c>
      <c r="CJ134" s="240">
        <f>CJ135</f>
        <v/>
      </c>
      <c r="CK134" s="240">
        <f>CK135</f>
        <v/>
      </c>
      <c r="CL134" s="240">
        <f>CJ134+CK134</f>
        <v/>
      </c>
      <c r="CM134" s="240">
        <f>CL134-CI134</f>
        <v/>
      </c>
      <c r="CN134" s="241">
        <f>IF(CI134=0,"",CL134/CI134)</f>
        <v/>
      </c>
      <c r="CO134" s="12" t="n"/>
      <c r="CP134" s="242">
        <f>CP135</f>
        <v/>
      </c>
      <c r="CQ134" s="242">
        <f>CQ135</f>
        <v/>
      </c>
      <c r="CR134" s="242">
        <f>CP134+CQ134</f>
        <v/>
      </c>
      <c r="CS134" s="242">
        <f>CS135</f>
        <v/>
      </c>
      <c r="CT134" s="242">
        <f>CT135</f>
        <v/>
      </c>
      <c r="CU134" s="242">
        <f>CS134+CT134</f>
        <v/>
      </c>
      <c r="CV134" s="242">
        <f>CU134-CR134</f>
        <v/>
      </c>
      <c r="CW134" s="243">
        <f>IF(CR134=0,"",CU134/CR134)</f>
        <v/>
      </c>
      <c r="CX134" s="17" t="n"/>
      <c r="CY134" s="240">
        <f>CY135</f>
        <v/>
      </c>
      <c r="CZ134" s="240">
        <f>CZ135</f>
        <v/>
      </c>
      <c r="DA134" s="240">
        <f>CY134+CZ134</f>
        <v/>
      </c>
      <c r="DB134" s="240">
        <f>DB135</f>
        <v/>
      </c>
      <c r="DC134" s="240">
        <f>DC135</f>
        <v/>
      </c>
      <c r="DD134" s="240">
        <f>DB134+DC134</f>
        <v/>
      </c>
      <c r="DE134" s="240">
        <f>DD134-DA134</f>
        <v/>
      </c>
      <c r="DF134" s="241">
        <f>IF(DA134=0,"",DD134/DA134)</f>
        <v/>
      </c>
      <c r="DG134" s="12" t="n"/>
      <c r="DH134" s="242">
        <f>DH135</f>
        <v/>
      </c>
      <c r="DI134" s="242">
        <f>DI135</f>
        <v/>
      </c>
      <c r="DJ134" s="242">
        <f>DH134+DI134</f>
        <v/>
      </c>
      <c r="DK134" s="242">
        <f>DK135</f>
        <v/>
      </c>
      <c r="DL134" s="242">
        <f>DL135</f>
        <v/>
      </c>
      <c r="DM134" s="242">
        <f>DK134+DL134</f>
        <v/>
      </c>
      <c r="DN134" s="242">
        <f>DM134-DJ134</f>
        <v/>
      </c>
      <c r="DO134" s="243">
        <f>IF(DJ134=0,"",DM134/DJ134)</f>
        <v/>
      </c>
      <c r="DP134" s="17" t="n"/>
      <c r="DQ134" s="240">
        <f>DQ135</f>
        <v/>
      </c>
      <c r="DR134" s="240">
        <f>DR135</f>
        <v/>
      </c>
      <c r="DS134" s="240">
        <f>DQ134+DR134</f>
        <v/>
      </c>
      <c r="DT134" s="240">
        <f>DT135</f>
        <v/>
      </c>
      <c r="DU134" s="240">
        <f>DU135</f>
        <v/>
      </c>
      <c r="DV134" s="240">
        <f>DT134+DU134</f>
        <v/>
      </c>
      <c r="DW134" s="240">
        <f>DV134-DS134</f>
        <v/>
      </c>
      <c r="DX134" s="241">
        <f>IF(DS134=0,"",DV134/DS134)</f>
        <v/>
      </c>
      <c r="DY134" s="12" t="n"/>
      <c r="DZ134" s="242">
        <f>DZ135</f>
        <v/>
      </c>
      <c r="EA134" s="242">
        <f>EA135</f>
        <v/>
      </c>
      <c r="EB134" s="242">
        <f>DZ134+EA134</f>
        <v/>
      </c>
      <c r="EC134" s="242">
        <f>EC135</f>
        <v/>
      </c>
      <c r="ED134" s="242">
        <f>ED135</f>
        <v/>
      </c>
      <c r="EE134" s="242">
        <f>EC134+ED134</f>
        <v/>
      </c>
      <c r="EF134" s="242">
        <f>EE134-EB134</f>
        <v/>
      </c>
      <c r="EG134" s="243">
        <f>IF(EB134=0,"",EE134/EB134)</f>
        <v/>
      </c>
      <c r="EH134" s="17" t="n"/>
      <c r="EI134" s="240">
        <f>EI135</f>
        <v/>
      </c>
      <c r="EJ134" s="240">
        <f>EJ135</f>
        <v/>
      </c>
      <c r="EK134" s="240">
        <f>EI134+EJ134</f>
        <v/>
      </c>
      <c r="EL134" s="240">
        <f>EL135</f>
        <v/>
      </c>
      <c r="EM134" s="240">
        <f>EM135</f>
        <v/>
      </c>
      <c r="EN134" s="240">
        <f>EL134+EM134</f>
        <v/>
      </c>
      <c r="EO134" s="240">
        <f>EN134-EK134</f>
        <v/>
      </c>
      <c r="EP134" s="241">
        <f>IF(EK134=0,"",EN134/EK134)</f>
        <v/>
      </c>
      <c r="EQ134" s="12" t="n"/>
      <c r="ER134" s="242">
        <f>ER135</f>
        <v/>
      </c>
      <c r="ES134" s="242">
        <f>ES135</f>
        <v/>
      </c>
      <c r="ET134" s="242">
        <f>ER134+ES134</f>
        <v/>
      </c>
      <c r="EU134" s="242">
        <f>EU135</f>
        <v/>
      </c>
      <c r="EV134" s="242">
        <f>EV135</f>
        <v/>
      </c>
      <c r="EW134" s="242">
        <f>EU134+EV134</f>
        <v/>
      </c>
      <c r="EX134" s="242">
        <f>EW134-ET134</f>
        <v/>
      </c>
      <c r="EY134" s="243">
        <f>IF(ET134=0,"",EW134/ET134)</f>
        <v/>
      </c>
      <c r="EZ134" s="17" t="n"/>
      <c r="FA134" s="240">
        <f>FA135</f>
        <v/>
      </c>
      <c r="FB134" s="240">
        <f>FB135</f>
        <v/>
      </c>
      <c r="FC134" s="240">
        <f>FA134+FB134</f>
        <v/>
      </c>
      <c r="FD134" s="240">
        <f>FD135</f>
        <v/>
      </c>
      <c r="FE134" s="240">
        <f>FE135</f>
        <v/>
      </c>
      <c r="FF134" s="240">
        <f>FD134+FE134</f>
        <v/>
      </c>
      <c r="FG134" s="240">
        <f>FF134-FC134</f>
        <v/>
      </c>
      <c r="FH134" s="241">
        <f>IF(FC134=0,"",FF134/FC134)</f>
        <v/>
      </c>
      <c r="FI134" s="12" t="n"/>
      <c r="FJ134" s="242">
        <f>FJ135</f>
        <v/>
      </c>
      <c r="FK134" s="242">
        <f>FK135</f>
        <v/>
      </c>
      <c r="FL134" s="242">
        <f>FJ134+FK134</f>
        <v/>
      </c>
      <c r="FM134" s="242">
        <f>FM135</f>
        <v/>
      </c>
      <c r="FN134" s="242">
        <f>FN135</f>
        <v/>
      </c>
      <c r="FO134" s="242">
        <f>FM134+FN134</f>
        <v/>
      </c>
      <c r="FP134" s="242">
        <f>FO134-FL134</f>
        <v/>
      </c>
      <c r="FQ134" s="243">
        <f>IF(FL134=0,"",FO134/FL134)</f>
        <v/>
      </c>
      <c r="FR134" s="17" t="n"/>
      <c r="FS134" s="240">
        <f>FS135</f>
        <v/>
      </c>
      <c r="FT134" s="240">
        <f>FT135</f>
        <v/>
      </c>
      <c r="FU134" s="240">
        <f>FS134+FT134</f>
        <v/>
      </c>
      <c r="FV134" s="240">
        <f>FV135</f>
        <v/>
      </c>
      <c r="FW134" s="240">
        <f>FW135</f>
        <v/>
      </c>
      <c r="FX134" s="240">
        <f>FV134+FW134</f>
        <v/>
      </c>
      <c r="FY134" s="240">
        <f>FX134-FU134</f>
        <v/>
      </c>
      <c r="FZ134" s="241">
        <f>IF(FU134=0,"",FX134/FU134)</f>
        <v/>
      </c>
      <c r="GA134" s="12" t="n"/>
      <c r="GB134" s="242">
        <f>GB135</f>
        <v/>
      </c>
      <c r="GC134" s="242">
        <f>GC135</f>
        <v/>
      </c>
      <c r="GD134" s="242">
        <f>GB134+GC134</f>
        <v/>
      </c>
      <c r="GE134" s="242">
        <f>GE135</f>
        <v/>
      </c>
      <c r="GF134" s="242">
        <f>GF135</f>
        <v/>
      </c>
      <c r="GG134" s="242">
        <f>GE134+GF134</f>
        <v/>
      </c>
      <c r="GH134" s="242">
        <f>GG134-GD134</f>
        <v/>
      </c>
      <c r="GI134" s="243">
        <f>IF(GD134=0,"",GG134/GD134)</f>
        <v/>
      </c>
      <c r="GJ134" s="17" t="n"/>
      <c r="GK134" s="240">
        <f>GK135</f>
        <v/>
      </c>
      <c r="GL134" s="240">
        <f>GL135</f>
        <v/>
      </c>
      <c r="GM134" s="240">
        <f>GK134+GL134</f>
        <v/>
      </c>
      <c r="GN134" s="240">
        <f>GN135</f>
        <v/>
      </c>
      <c r="GO134" s="240">
        <f>GO135</f>
        <v/>
      </c>
      <c r="GP134" s="240">
        <f>GN134+GO134</f>
        <v/>
      </c>
      <c r="GQ134" s="240">
        <f>GP134-GM134</f>
        <v/>
      </c>
      <c r="GR134" s="241">
        <f>IF(GM134=0,"",GP134/GM134)</f>
        <v/>
      </c>
      <c r="GS134" s="12" t="n"/>
      <c r="GT134" s="242">
        <f>GT135</f>
        <v/>
      </c>
      <c r="GU134" s="242">
        <f>GU135</f>
        <v/>
      </c>
      <c r="GV134" s="242">
        <f>GT134+GU134</f>
        <v/>
      </c>
      <c r="GW134" s="242">
        <f>GW135</f>
        <v/>
      </c>
      <c r="GX134" s="242">
        <f>GX135</f>
        <v/>
      </c>
      <c r="GY134" s="242">
        <f>GW134+GX134</f>
        <v/>
      </c>
      <c r="GZ134" s="242">
        <f>GY134-GV134</f>
        <v/>
      </c>
      <c r="HA134" s="243">
        <f>IF(GV134=0,"",GY134/GV134)</f>
        <v/>
      </c>
      <c r="HB134" s="17" t="n"/>
      <c r="HC134" s="240">
        <f>GT134</f>
        <v/>
      </c>
      <c r="HD134" s="240">
        <f>GU134</f>
        <v/>
      </c>
      <c r="HE134" s="240">
        <f>HC134+HD134</f>
        <v/>
      </c>
    </row>
    <row r="135" ht="15" customHeight="1" s="150">
      <c r="A135" s="18" t="n"/>
      <c r="B135" s="18" t="n"/>
      <c r="C135" s="18" t="n"/>
      <c r="D135" s="227">
        <f>D136</f>
        <v/>
      </c>
      <c r="E135" s="227">
        <f>E136</f>
        <v/>
      </c>
      <c r="F135" s="227">
        <f>D135+E135</f>
        <v/>
      </c>
      <c r="G135" s="227">
        <f>G136</f>
        <v/>
      </c>
      <c r="H135" s="227">
        <f>H136</f>
        <v/>
      </c>
      <c r="I135" s="227">
        <f>G135+H135</f>
        <v/>
      </c>
      <c r="J135" s="228">
        <f>I135-F135</f>
        <v/>
      </c>
      <c r="K135" s="229">
        <f>IF(F135=0,"",I135/F135)</f>
        <v/>
      </c>
      <c r="L135" s="18" t="n"/>
      <c r="M135" s="227">
        <f>M136</f>
        <v/>
      </c>
      <c r="N135" s="227">
        <f>N136</f>
        <v/>
      </c>
      <c r="O135" s="227">
        <f>M135+N135</f>
        <v/>
      </c>
      <c r="P135" s="227">
        <f>P136</f>
        <v/>
      </c>
      <c r="Q135" s="227">
        <f>Q136</f>
        <v/>
      </c>
      <c r="R135" s="227">
        <f>P135+Q135</f>
        <v/>
      </c>
      <c r="S135" s="228">
        <f>R135-O135</f>
        <v/>
      </c>
      <c r="T135" s="229">
        <f>IF(O135=0,"",R135/O135)</f>
        <v/>
      </c>
      <c r="U135" s="18" t="n"/>
      <c r="V135" s="230">
        <f>V136</f>
        <v/>
      </c>
      <c r="W135" s="230">
        <f>W136</f>
        <v/>
      </c>
      <c r="X135" s="230">
        <f>V135+W135</f>
        <v/>
      </c>
      <c r="Y135" s="230">
        <f>Y136</f>
        <v/>
      </c>
      <c r="Z135" s="230">
        <f>Z136</f>
        <v/>
      </c>
      <c r="AA135" s="230">
        <f>Y135+Z135</f>
        <v/>
      </c>
      <c r="AB135" s="231">
        <f>AA135-X135</f>
        <v/>
      </c>
      <c r="AC135" s="232">
        <f>IF(X135=0,"",AA135/X135)</f>
        <v/>
      </c>
      <c r="AD135" s="25" t="n"/>
      <c r="AE135" s="227">
        <f>AE136</f>
        <v/>
      </c>
      <c r="AF135" s="227">
        <f>AF136</f>
        <v/>
      </c>
      <c r="AG135" s="227">
        <f>AE135+AF135</f>
        <v/>
      </c>
      <c r="AH135" s="227">
        <f>AH136</f>
        <v/>
      </c>
      <c r="AI135" s="227">
        <f>AI136</f>
        <v/>
      </c>
      <c r="AJ135" s="227">
        <f>AH135+AI135</f>
        <v/>
      </c>
      <c r="AK135" s="228">
        <f>AJ135-AG135</f>
        <v/>
      </c>
      <c r="AL135" s="229">
        <f>IF(AG135=0,"",AJ135/AG135)</f>
        <v/>
      </c>
      <c r="AM135" s="18" t="n"/>
      <c r="AN135" s="230">
        <f>AN136</f>
        <v/>
      </c>
      <c r="AO135" s="230">
        <f>AO136</f>
        <v/>
      </c>
      <c r="AP135" s="230">
        <f>AN135+AO135</f>
        <v/>
      </c>
      <c r="AQ135" s="230">
        <f>AQ136</f>
        <v/>
      </c>
      <c r="AR135" s="230">
        <f>AR136</f>
        <v/>
      </c>
      <c r="AS135" s="230">
        <f>AQ135+AR135</f>
        <v/>
      </c>
      <c r="AT135" s="231">
        <f>AS135-AP135</f>
        <v/>
      </c>
      <c r="AU135" s="232">
        <f>IF(AP135=0,"",AS135/AP135)</f>
        <v/>
      </c>
      <c r="AV135" s="25" t="n"/>
      <c r="AW135" s="227">
        <f>AW136</f>
        <v/>
      </c>
      <c r="AX135" s="227">
        <f>AX136</f>
        <v/>
      </c>
      <c r="AY135" s="227">
        <f>AW135+AX135</f>
        <v/>
      </c>
      <c r="AZ135" s="227">
        <f>AZ136</f>
        <v/>
      </c>
      <c r="BA135" s="227">
        <f>BA136</f>
        <v/>
      </c>
      <c r="BB135" s="227">
        <f>AZ135+BA135</f>
        <v/>
      </c>
      <c r="BC135" s="228">
        <f>BB135-AY135</f>
        <v/>
      </c>
      <c r="BD135" s="229">
        <f>IF(AY135=0,"",BB135/AY135)</f>
        <v/>
      </c>
      <c r="BE135" s="18" t="n"/>
      <c r="BF135" s="230">
        <f>BF136</f>
        <v/>
      </c>
      <c r="BG135" s="230">
        <f>BG136</f>
        <v/>
      </c>
      <c r="BH135" s="230">
        <f>BF135+BG135</f>
        <v/>
      </c>
      <c r="BI135" s="230">
        <f>BI136</f>
        <v/>
      </c>
      <c r="BJ135" s="230">
        <f>BJ136</f>
        <v/>
      </c>
      <c r="BK135" s="230">
        <f>BI135+BJ135</f>
        <v/>
      </c>
      <c r="BL135" s="231">
        <f>BK135-BH135</f>
        <v/>
      </c>
      <c r="BM135" s="232">
        <f>IF(BH135=0,"",BK135/BH135)</f>
        <v/>
      </c>
      <c r="BN135" s="25" t="n"/>
      <c r="BO135" s="227">
        <f>BO136</f>
        <v/>
      </c>
      <c r="BP135" s="227">
        <f>BP136</f>
        <v/>
      </c>
      <c r="BQ135" s="227">
        <f>BO135+BP135</f>
        <v/>
      </c>
      <c r="BR135" s="227">
        <f>BR136</f>
        <v/>
      </c>
      <c r="BS135" s="227">
        <f>BS136</f>
        <v/>
      </c>
      <c r="BT135" s="227">
        <f>BR135+BS135</f>
        <v/>
      </c>
      <c r="BU135" s="228">
        <f>BT135-BQ135</f>
        <v/>
      </c>
      <c r="BV135" s="229">
        <f>IF(BQ135=0,"",BT135/BQ135)</f>
        <v/>
      </c>
      <c r="BW135" s="18" t="n"/>
      <c r="BX135" s="230">
        <f>BX136</f>
        <v/>
      </c>
      <c r="BY135" s="230">
        <f>BY136</f>
        <v/>
      </c>
      <c r="BZ135" s="230">
        <f>BX135+BY135</f>
        <v/>
      </c>
      <c r="CA135" s="230">
        <f>CA136</f>
        <v/>
      </c>
      <c r="CB135" s="230">
        <f>CB136</f>
        <v/>
      </c>
      <c r="CC135" s="230">
        <f>CA135+CB135</f>
        <v/>
      </c>
      <c r="CD135" s="231">
        <f>CC135-BZ135</f>
        <v/>
      </c>
      <c r="CE135" s="232">
        <f>IF(BZ135=0,"",CC135/BZ135)</f>
        <v/>
      </c>
      <c r="CF135" s="25" t="n"/>
      <c r="CG135" s="227">
        <f>CG136</f>
        <v/>
      </c>
      <c r="CH135" s="227">
        <f>CH136</f>
        <v/>
      </c>
      <c r="CI135" s="227">
        <f>CG135+CH135</f>
        <v/>
      </c>
      <c r="CJ135" s="227">
        <f>CJ136</f>
        <v/>
      </c>
      <c r="CK135" s="227">
        <f>CK136</f>
        <v/>
      </c>
      <c r="CL135" s="227">
        <f>CJ135+CK135</f>
        <v/>
      </c>
      <c r="CM135" s="228">
        <f>CL135-CI135</f>
        <v/>
      </c>
      <c r="CN135" s="229">
        <f>IF(CI135=0,"",CL135/CI135)</f>
        <v/>
      </c>
      <c r="CO135" s="18" t="n"/>
      <c r="CP135" s="230">
        <f>CP136</f>
        <v/>
      </c>
      <c r="CQ135" s="230">
        <f>CQ136</f>
        <v/>
      </c>
      <c r="CR135" s="230">
        <f>CP135+CQ135</f>
        <v/>
      </c>
      <c r="CS135" s="230">
        <f>CS136</f>
        <v/>
      </c>
      <c r="CT135" s="230">
        <f>CT136</f>
        <v/>
      </c>
      <c r="CU135" s="230">
        <f>CS135+CT135</f>
        <v/>
      </c>
      <c r="CV135" s="231">
        <f>CU135-CR135</f>
        <v/>
      </c>
      <c r="CW135" s="232">
        <f>IF(CR135=0,"",CU135/CR135)</f>
        <v/>
      </c>
      <c r="CX135" s="25" t="n"/>
      <c r="CY135" s="227">
        <f>CY136</f>
        <v/>
      </c>
      <c r="CZ135" s="227">
        <f>CZ136</f>
        <v/>
      </c>
      <c r="DA135" s="227">
        <f>CY135+CZ135</f>
        <v/>
      </c>
      <c r="DB135" s="227">
        <f>DB136</f>
        <v/>
      </c>
      <c r="DC135" s="227">
        <f>DC136</f>
        <v/>
      </c>
      <c r="DD135" s="227">
        <f>DB135+DC135</f>
        <v/>
      </c>
      <c r="DE135" s="228">
        <f>DD135-DA135</f>
        <v/>
      </c>
      <c r="DF135" s="229">
        <f>IF(DA135=0,"",DD135/DA135)</f>
        <v/>
      </c>
      <c r="DG135" s="18" t="n"/>
      <c r="DH135" s="230">
        <f>DH136</f>
        <v/>
      </c>
      <c r="DI135" s="230">
        <f>DI136</f>
        <v/>
      </c>
      <c r="DJ135" s="230">
        <f>DH135+DI135</f>
        <v/>
      </c>
      <c r="DK135" s="230">
        <f>DK136</f>
        <v/>
      </c>
      <c r="DL135" s="230">
        <f>DL136</f>
        <v/>
      </c>
      <c r="DM135" s="230">
        <f>DK135+DL135</f>
        <v/>
      </c>
      <c r="DN135" s="231">
        <f>DM135-DJ135</f>
        <v/>
      </c>
      <c r="DO135" s="232">
        <f>IF(DJ135=0,"",DM135/DJ135)</f>
        <v/>
      </c>
      <c r="DP135" s="25" t="n"/>
      <c r="DQ135" s="227">
        <f>DQ136</f>
        <v/>
      </c>
      <c r="DR135" s="227">
        <f>DR136</f>
        <v/>
      </c>
      <c r="DS135" s="227">
        <f>DQ135+DR135</f>
        <v/>
      </c>
      <c r="DT135" s="227">
        <f>DT136</f>
        <v/>
      </c>
      <c r="DU135" s="227">
        <f>DU136</f>
        <v/>
      </c>
      <c r="DV135" s="227">
        <f>DT135+DU135</f>
        <v/>
      </c>
      <c r="DW135" s="228">
        <f>DV135-DS135</f>
        <v/>
      </c>
      <c r="DX135" s="229">
        <f>IF(DS135=0,"",DV135/DS135)</f>
        <v/>
      </c>
      <c r="DY135" s="18" t="n"/>
      <c r="DZ135" s="230">
        <f>DZ136</f>
        <v/>
      </c>
      <c r="EA135" s="230">
        <f>EA136</f>
        <v/>
      </c>
      <c r="EB135" s="230">
        <f>DZ135+EA135</f>
        <v/>
      </c>
      <c r="EC135" s="230">
        <f>EC136</f>
        <v/>
      </c>
      <c r="ED135" s="230">
        <f>ED136</f>
        <v/>
      </c>
      <c r="EE135" s="230">
        <f>EC135+ED135</f>
        <v/>
      </c>
      <c r="EF135" s="231">
        <f>EE135-EB135</f>
        <v/>
      </c>
      <c r="EG135" s="232">
        <f>IF(EB135=0,"",EE135/EB135)</f>
        <v/>
      </c>
      <c r="EH135" s="25" t="n"/>
      <c r="EI135" s="227">
        <f>EI136</f>
        <v/>
      </c>
      <c r="EJ135" s="227">
        <f>EJ136</f>
        <v/>
      </c>
      <c r="EK135" s="227">
        <f>EI135+EJ135</f>
        <v/>
      </c>
      <c r="EL135" s="227">
        <f>EL136</f>
        <v/>
      </c>
      <c r="EM135" s="227">
        <f>EM136</f>
        <v/>
      </c>
      <c r="EN135" s="227">
        <f>EL135+EM135</f>
        <v/>
      </c>
      <c r="EO135" s="228">
        <f>EN135-EK135</f>
        <v/>
      </c>
      <c r="EP135" s="229">
        <f>IF(EK135=0,"",EN135/EK135)</f>
        <v/>
      </c>
      <c r="EQ135" s="18" t="n"/>
      <c r="ER135" s="230">
        <f>ER136</f>
        <v/>
      </c>
      <c r="ES135" s="230">
        <f>ES136</f>
        <v/>
      </c>
      <c r="ET135" s="230">
        <f>ER135+ES135</f>
        <v/>
      </c>
      <c r="EU135" s="230">
        <f>EU136</f>
        <v/>
      </c>
      <c r="EV135" s="230">
        <f>EV136</f>
        <v/>
      </c>
      <c r="EW135" s="230">
        <f>EU135+EV135</f>
        <v/>
      </c>
      <c r="EX135" s="231">
        <f>EW135-ET135</f>
        <v/>
      </c>
      <c r="EY135" s="232">
        <f>IF(ET135=0,"",EW135/ET135)</f>
        <v/>
      </c>
      <c r="EZ135" s="25" t="n"/>
      <c r="FA135" s="227">
        <f>FA136</f>
        <v/>
      </c>
      <c r="FB135" s="227">
        <f>FB136</f>
        <v/>
      </c>
      <c r="FC135" s="227">
        <f>FA135+FB135</f>
        <v/>
      </c>
      <c r="FD135" s="227">
        <f>FD136</f>
        <v/>
      </c>
      <c r="FE135" s="227">
        <f>FE136</f>
        <v/>
      </c>
      <c r="FF135" s="227">
        <f>FD135+FE135</f>
        <v/>
      </c>
      <c r="FG135" s="228">
        <f>FF135-FC135</f>
        <v/>
      </c>
      <c r="FH135" s="229">
        <f>IF(FC135=0,"",FF135/FC135)</f>
        <v/>
      </c>
      <c r="FI135" s="18" t="n"/>
      <c r="FJ135" s="230">
        <f>FJ136</f>
        <v/>
      </c>
      <c r="FK135" s="230">
        <f>FK136</f>
        <v/>
      </c>
      <c r="FL135" s="230">
        <f>FJ135+FK135</f>
        <v/>
      </c>
      <c r="FM135" s="230">
        <f>FM136</f>
        <v/>
      </c>
      <c r="FN135" s="230">
        <f>FN136</f>
        <v/>
      </c>
      <c r="FO135" s="230">
        <f>FM135+FN135</f>
        <v/>
      </c>
      <c r="FP135" s="231">
        <f>FO135-FL135</f>
        <v/>
      </c>
      <c r="FQ135" s="232">
        <f>IF(FL135=0,"",FO135/FL135)</f>
        <v/>
      </c>
      <c r="FR135" s="25" t="n"/>
      <c r="FS135" s="227">
        <f>FS136</f>
        <v/>
      </c>
      <c r="FT135" s="227">
        <f>FT136</f>
        <v/>
      </c>
      <c r="FU135" s="227">
        <f>FS135+FT135</f>
        <v/>
      </c>
      <c r="FV135" s="227">
        <f>FV136</f>
        <v/>
      </c>
      <c r="FW135" s="227">
        <f>FW136</f>
        <v/>
      </c>
      <c r="FX135" s="227">
        <f>FV135+FW135</f>
        <v/>
      </c>
      <c r="FY135" s="228">
        <f>FX135-FU135</f>
        <v/>
      </c>
      <c r="FZ135" s="229">
        <f>IF(FU135=0,"",FX135/FU135)</f>
        <v/>
      </c>
      <c r="GA135" s="18" t="n"/>
      <c r="GB135" s="230">
        <f>GB136</f>
        <v/>
      </c>
      <c r="GC135" s="230">
        <f>GC136</f>
        <v/>
      </c>
      <c r="GD135" s="230">
        <f>GB135+GC135</f>
        <v/>
      </c>
      <c r="GE135" s="230">
        <f>GE136</f>
        <v/>
      </c>
      <c r="GF135" s="230">
        <f>GF136</f>
        <v/>
      </c>
      <c r="GG135" s="230">
        <f>GE135+GF135</f>
        <v/>
      </c>
      <c r="GH135" s="231">
        <f>GG135-GD135</f>
        <v/>
      </c>
      <c r="GI135" s="232">
        <f>IF(GD135=0,"",GG135/GD135)</f>
        <v/>
      </c>
      <c r="GJ135" s="25" t="n"/>
      <c r="GK135" s="227">
        <f>GK136</f>
        <v/>
      </c>
      <c r="GL135" s="227">
        <f>GL136</f>
        <v/>
      </c>
      <c r="GM135" s="227">
        <f>GK135+GL135</f>
        <v/>
      </c>
      <c r="GN135" s="227">
        <f>GN136</f>
        <v/>
      </c>
      <c r="GO135" s="227">
        <f>GO136</f>
        <v/>
      </c>
      <c r="GP135" s="227">
        <f>GN135+GO135</f>
        <v/>
      </c>
      <c r="GQ135" s="228">
        <f>GP135-GM135</f>
        <v/>
      </c>
      <c r="GR135" s="229">
        <f>IF(GM135=0,"",GP135/GM135)</f>
        <v/>
      </c>
      <c r="GS135" s="18" t="n"/>
      <c r="GT135" s="230">
        <f>GT136</f>
        <v/>
      </c>
      <c r="GU135" s="230">
        <f>GU136</f>
        <v/>
      </c>
      <c r="GV135" s="230">
        <f>GT135+GU135</f>
        <v/>
      </c>
      <c r="GW135" s="230">
        <f>GW136</f>
        <v/>
      </c>
      <c r="GX135" s="230">
        <f>GX136</f>
        <v/>
      </c>
      <c r="GY135" s="230">
        <f>GW135+GX135</f>
        <v/>
      </c>
      <c r="GZ135" s="231">
        <f>GY135-GV135</f>
        <v/>
      </c>
      <c r="HA135" s="232">
        <f>IF(GV135=0,"",GY135/GV135)</f>
        <v/>
      </c>
      <c r="HB135" s="25" t="n"/>
      <c r="HC135" s="227">
        <f>GT135</f>
        <v/>
      </c>
      <c r="HD135" s="227">
        <f>GU135</f>
        <v/>
      </c>
      <c r="HE135" s="227">
        <f>HC135+HD135</f>
        <v/>
      </c>
    </row>
    <row r="136" outlineLevel="1" ht="15" customHeight="1" s="150">
      <c r="A136" s="26" t="n"/>
      <c r="B136" s="26" t="n"/>
      <c r="C136" s="26" t="n"/>
      <c r="D136" s="233" t="n"/>
      <c r="E136" s="233" t="n"/>
      <c r="F136" s="233">
        <f>D136+E136</f>
        <v/>
      </c>
      <c r="G136" s="233" t="n"/>
      <c r="H136" s="233" t="n"/>
      <c r="I136" s="233">
        <f>G136+H136</f>
        <v/>
      </c>
      <c r="J136" s="238">
        <f>I136-F136</f>
        <v/>
      </c>
      <c r="K136" s="235">
        <f>IF(F136=0,"",I136/F136)</f>
        <v/>
      </c>
      <c r="L136" s="26" t="n"/>
      <c r="M136" s="233" t="n"/>
      <c r="N136" s="233" t="n"/>
      <c r="O136" s="233">
        <f>M136+N136</f>
        <v/>
      </c>
      <c r="P136" s="233" t="n"/>
      <c r="Q136" s="233" t="n"/>
      <c r="R136" s="233">
        <f>P136+Q136</f>
        <v/>
      </c>
      <c r="S136" s="238">
        <f>R136-O136</f>
        <v/>
      </c>
      <c r="T136" s="235">
        <f>IF(O136=0,"",R136/O136)</f>
        <v/>
      </c>
      <c r="U136" s="26" t="n"/>
      <c r="V136" s="236">
        <f>D136+M136</f>
        <v/>
      </c>
      <c r="W136" s="236">
        <f>E136+N136</f>
        <v/>
      </c>
      <c r="X136" s="236">
        <f>V136+W136</f>
        <v/>
      </c>
      <c r="Y136" s="236">
        <f>G136+P136</f>
        <v/>
      </c>
      <c r="Z136" s="236">
        <f>H136+Q136</f>
        <v/>
      </c>
      <c r="AA136" s="236">
        <f>Y136+Z136</f>
        <v/>
      </c>
      <c r="AB136" s="239">
        <f>AA136-X136</f>
        <v/>
      </c>
      <c r="AC136" s="237">
        <f>IF(X136=0,"",AA136/X136)</f>
        <v/>
      </c>
      <c r="AD136" s="33" t="n"/>
      <c r="AE136" s="233" t="n"/>
      <c r="AF136" s="233" t="n"/>
      <c r="AG136" s="233">
        <f>AE136+AF136</f>
        <v/>
      </c>
      <c r="AH136" s="233" t="n"/>
      <c r="AI136" s="233" t="n"/>
      <c r="AJ136" s="233">
        <f>AH136+AI136</f>
        <v/>
      </c>
      <c r="AK136" s="238">
        <f>AJ136-AG136</f>
        <v/>
      </c>
      <c r="AL136" s="235">
        <f>IF(AG136=0,"",AJ136/AG136)</f>
        <v/>
      </c>
      <c r="AM136" s="26" t="n"/>
      <c r="AN136" s="236">
        <f>V136+AE136</f>
        <v/>
      </c>
      <c r="AO136" s="236">
        <f>W136+AF136</f>
        <v/>
      </c>
      <c r="AP136" s="236">
        <f>AN136+AO136</f>
        <v/>
      </c>
      <c r="AQ136" s="236">
        <f>Y136+AH136</f>
        <v/>
      </c>
      <c r="AR136" s="236">
        <f>Z136+AI136</f>
        <v/>
      </c>
      <c r="AS136" s="236">
        <f>AQ136+AR136</f>
        <v/>
      </c>
      <c r="AT136" s="239">
        <f>AS136-AP136</f>
        <v/>
      </c>
      <c r="AU136" s="237">
        <f>IF(AP136=0,"",AS136/AP136)</f>
        <v/>
      </c>
      <c r="AV136" s="33" t="n"/>
      <c r="AW136" s="233" t="n"/>
      <c r="AX136" s="233" t="n"/>
      <c r="AY136" s="233">
        <f>AW136+AX136</f>
        <v/>
      </c>
      <c r="AZ136" s="233" t="n"/>
      <c r="BA136" s="233" t="n"/>
      <c r="BB136" s="233">
        <f>AZ136+BA136</f>
        <v/>
      </c>
      <c r="BC136" s="238">
        <f>BB136-AY136</f>
        <v/>
      </c>
      <c r="BD136" s="235">
        <f>IF(AY136=0,"",BB136/AY136)</f>
        <v/>
      </c>
      <c r="BE136" s="26" t="n"/>
      <c r="BF136" s="236">
        <f>AN136+AW136</f>
        <v/>
      </c>
      <c r="BG136" s="236">
        <f>AO136+AX136</f>
        <v/>
      </c>
      <c r="BH136" s="236">
        <f>BF136+BG136</f>
        <v/>
      </c>
      <c r="BI136" s="236">
        <f>AQ136+AZ136</f>
        <v/>
      </c>
      <c r="BJ136" s="236">
        <f>AR136+BA136</f>
        <v/>
      </c>
      <c r="BK136" s="236">
        <f>BI136+BJ136</f>
        <v/>
      </c>
      <c r="BL136" s="239">
        <f>BK136-BH136</f>
        <v/>
      </c>
      <c r="BM136" s="237">
        <f>IF(BH136=0,"",BK136/BH136)</f>
        <v/>
      </c>
      <c r="BN136" s="33" t="n"/>
      <c r="BO136" s="233" t="n"/>
      <c r="BP136" s="233" t="n"/>
      <c r="BQ136" s="233">
        <f>BO136+BP136</f>
        <v/>
      </c>
      <c r="BR136" s="233" t="n"/>
      <c r="BS136" s="233" t="n"/>
      <c r="BT136" s="233">
        <f>BR136+BS136</f>
        <v/>
      </c>
      <c r="BU136" s="238">
        <f>BT136-BQ136</f>
        <v/>
      </c>
      <c r="BV136" s="235">
        <f>IF(BQ136=0,"",BT136/BQ136)</f>
        <v/>
      </c>
      <c r="BW136" s="26" t="n"/>
      <c r="BX136" s="236">
        <f>BF136+BO136</f>
        <v/>
      </c>
      <c r="BY136" s="236">
        <f>BG136+BP136</f>
        <v/>
      </c>
      <c r="BZ136" s="236">
        <f>BX136+BY136</f>
        <v/>
      </c>
      <c r="CA136" s="236">
        <f>BI136+BR136</f>
        <v/>
      </c>
      <c r="CB136" s="236">
        <f>BJ136+BS136</f>
        <v/>
      </c>
      <c r="CC136" s="236">
        <f>CA136+CB136</f>
        <v/>
      </c>
      <c r="CD136" s="239">
        <f>CC136-BZ136</f>
        <v/>
      </c>
      <c r="CE136" s="237">
        <f>IF(BZ136=0,"",CC136/BZ136)</f>
        <v/>
      </c>
      <c r="CF136" s="33" t="n"/>
      <c r="CG136" s="233" t="n"/>
      <c r="CH136" s="233" t="n"/>
      <c r="CI136" s="233">
        <f>CG136+CH136</f>
        <v/>
      </c>
      <c r="CJ136" s="233" t="n"/>
      <c r="CK136" s="233" t="n"/>
      <c r="CL136" s="233">
        <f>CJ136+CK136</f>
        <v/>
      </c>
      <c r="CM136" s="238">
        <f>CL136-CI136</f>
        <v/>
      </c>
      <c r="CN136" s="235">
        <f>IF(CI136=0,"",CL136/CI136)</f>
        <v/>
      </c>
      <c r="CO136" s="26" t="n"/>
      <c r="CP136" s="236">
        <f>BX136+CG136</f>
        <v/>
      </c>
      <c r="CQ136" s="236">
        <f>BY136+CH136</f>
        <v/>
      </c>
      <c r="CR136" s="236">
        <f>CP136+CQ136</f>
        <v/>
      </c>
      <c r="CS136" s="236">
        <f>CA136+CJ136</f>
        <v/>
      </c>
      <c r="CT136" s="236">
        <f>CB136+CK136</f>
        <v/>
      </c>
      <c r="CU136" s="236">
        <f>CS136+CT136</f>
        <v/>
      </c>
      <c r="CV136" s="239">
        <f>CU136-CR136</f>
        <v/>
      </c>
      <c r="CW136" s="237">
        <f>IF(CR136=0,"",CU136/CR136)</f>
        <v/>
      </c>
      <c r="CX136" s="33" t="n"/>
      <c r="CY136" s="233" t="n"/>
      <c r="CZ136" s="233" t="n"/>
      <c r="DA136" s="233">
        <f>CY136+CZ136</f>
        <v/>
      </c>
      <c r="DB136" s="233" t="n"/>
      <c r="DC136" s="233" t="n"/>
      <c r="DD136" s="233">
        <f>DB136+DC136</f>
        <v/>
      </c>
      <c r="DE136" s="238">
        <f>DD136-DA136</f>
        <v/>
      </c>
      <c r="DF136" s="235">
        <f>IF(DA136=0,"",DD136/DA136)</f>
        <v/>
      </c>
      <c r="DG136" s="26" t="n"/>
      <c r="DH136" s="236">
        <f>CP136+CY136</f>
        <v/>
      </c>
      <c r="DI136" s="236">
        <f>CQ136+CZ136</f>
        <v/>
      </c>
      <c r="DJ136" s="236">
        <f>DH136+DI136</f>
        <v/>
      </c>
      <c r="DK136" s="236">
        <f>CS136+DB136</f>
        <v/>
      </c>
      <c r="DL136" s="236">
        <f>CT136+DC136</f>
        <v/>
      </c>
      <c r="DM136" s="236">
        <f>DK136+DL136</f>
        <v/>
      </c>
      <c r="DN136" s="239">
        <f>DM136-DJ136</f>
        <v/>
      </c>
      <c r="DO136" s="237">
        <f>IF(DJ136=0,"",DM136/DJ136)</f>
        <v/>
      </c>
      <c r="DP136" s="33" t="n"/>
      <c r="DQ136" s="233" t="n"/>
      <c r="DR136" s="233" t="n"/>
      <c r="DS136" s="233">
        <f>DQ136+DR136</f>
        <v/>
      </c>
      <c r="DT136" s="233" t="n"/>
      <c r="DU136" s="233" t="n"/>
      <c r="DV136" s="233">
        <f>DT136+DU136</f>
        <v/>
      </c>
      <c r="DW136" s="238">
        <f>DV136-DS136</f>
        <v/>
      </c>
      <c r="DX136" s="235">
        <f>IF(DS136=0,"",DV136/DS136)</f>
        <v/>
      </c>
      <c r="DY136" s="26" t="n"/>
      <c r="DZ136" s="236">
        <f>DH136+DQ136</f>
        <v/>
      </c>
      <c r="EA136" s="236">
        <f>DI136+DR136</f>
        <v/>
      </c>
      <c r="EB136" s="236">
        <f>DZ136+EA136</f>
        <v/>
      </c>
      <c r="EC136" s="236">
        <f>DK136+DT136</f>
        <v/>
      </c>
      <c r="ED136" s="236">
        <f>DL136+DU136</f>
        <v/>
      </c>
      <c r="EE136" s="236">
        <f>EC136+ED136</f>
        <v/>
      </c>
      <c r="EF136" s="239">
        <f>EE136-EB136</f>
        <v/>
      </c>
      <c r="EG136" s="237">
        <f>IF(EB136=0,"",EE136/EB136)</f>
        <v/>
      </c>
      <c r="EH136" s="33" t="n"/>
      <c r="EI136" s="233" t="n"/>
      <c r="EJ136" s="233" t="n"/>
      <c r="EK136" s="233">
        <f>EI136+EJ136</f>
        <v/>
      </c>
      <c r="EL136" s="233" t="n"/>
      <c r="EM136" s="233" t="n"/>
      <c r="EN136" s="233">
        <f>EL136+EM136</f>
        <v/>
      </c>
      <c r="EO136" s="238">
        <f>EN136-EK136</f>
        <v/>
      </c>
      <c r="EP136" s="235">
        <f>IF(EK136=0,"",EN136/EK136)</f>
        <v/>
      </c>
      <c r="EQ136" s="26" t="n"/>
      <c r="ER136" s="236">
        <f>DZ136+EI136</f>
        <v/>
      </c>
      <c r="ES136" s="236">
        <f>EA136+EJ136</f>
        <v/>
      </c>
      <c r="ET136" s="236">
        <f>ER136+ES136</f>
        <v/>
      </c>
      <c r="EU136" s="236">
        <f>EC136+EL136</f>
        <v/>
      </c>
      <c r="EV136" s="236">
        <f>ED136+EM136</f>
        <v/>
      </c>
      <c r="EW136" s="236">
        <f>EU136+EV136</f>
        <v/>
      </c>
      <c r="EX136" s="239">
        <f>EW136-ET136</f>
        <v/>
      </c>
      <c r="EY136" s="237">
        <f>IF(ET136=0,"",EW136/ET136)</f>
        <v/>
      </c>
      <c r="EZ136" s="33" t="n"/>
      <c r="FA136" s="233" t="n"/>
      <c r="FB136" s="233" t="n"/>
      <c r="FC136" s="233">
        <f>FA136+FB136</f>
        <v/>
      </c>
      <c r="FD136" s="233" t="n"/>
      <c r="FE136" s="233" t="n"/>
      <c r="FF136" s="233">
        <f>FD136+FE136</f>
        <v/>
      </c>
      <c r="FG136" s="238">
        <f>FF136-FC136</f>
        <v/>
      </c>
      <c r="FH136" s="235">
        <f>IF(FC136=0,"",FF136/FC136)</f>
        <v/>
      </c>
      <c r="FI136" s="26" t="n"/>
      <c r="FJ136" s="236">
        <f>ER136+FA136</f>
        <v/>
      </c>
      <c r="FK136" s="236">
        <f>ES136+FB136</f>
        <v/>
      </c>
      <c r="FL136" s="236">
        <f>FJ136+FK136</f>
        <v/>
      </c>
      <c r="FM136" s="236">
        <f>EU136+FD136</f>
        <v/>
      </c>
      <c r="FN136" s="236">
        <f>EV136+FE136</f>
        <v/>
      </c>
      <c r="FO136" s="236">
        <f>FM136+FN136</f>
        <v/>
      </c>
      <c r="FP136" s="239">
        <f>FO136-FL136</f>
        <v/>
      </c>
      <c r="FQ136" s="237">
        <f>IF(FL136=0,"",FO136/FL136)</f>
        <v/>
      </c>
      <c r="FR136" s="33" t="n"/>
      <c r="FS136" s="233" t="n"/>
      <c r="FT136" s="233" t="n"/>
      <c r="FU136" s="233">
        <f>FS136+FT136</f>
        <v/>
      </c>
      <c r="FV136" s="233" t="n"/>
      <c r="FW136" s="233" t="n"/>
      <c r="FX136" s="233">
        <f>FV136+FW136</f>
        <v/>
      </c>
      <c r="FY136" s="238">
        <f>FX136-FU136</f>
        <v/>
      </c>
      <c r="FZ136" s="235">
        <f>IF(FU136=0,"",FX136/FU136)</f>
        <v/>
      </c>
      <c r="GA136" s="26" t="n"/>
      <c r="GB136" s="236">
        <f>FJ136+FS136</f>
        <v/>
      </c>
      <c r="GC136" s="236">
        <f>FK136+FT136</f>
        <v/>
      </c>
      <c r="GD136" s="236">
        <f>GB136+GC136</f>
        <v/>
      </c>
      <c r="GE136" s="236">
        <f>FM136+FV136</f>
        <v/>
      </c>
      <c r="GF136" s="236">
        <f>FN136+FW136</f>
        <v/>
      </c>
      <c r="GG136" s="236">
        <f>GE136+GF136</f>
        <v/>
      </c>
      <c r="GH136" s="239">
        <f>GG136-GD136</f>
        <v/>
      </c>
      <c r="GI136" s="237">
        <f>IF(GD136=0,"",GG136/GD136)</f>
        <v/>
      </c>
      <c r="GJ136" s="33" t="n"/>
      <c r="GK136" s="233" t="n"/>
      <c r="GL136" s="233" t="n"/>
      <c r="GM136" s="233">
        <f>GK136+GL136</f>
        <v/>
      </c>
      <c r="GN136" s="233" t="n"/>
      <c r="GO136" s="233" t="n"/>
      <c r="GP136" s="233">
        <f>GN136+GO136</f>
        <v/>
      </c>
      <c r="GQ136" s="238">
        <f>GP136-GM136</f>
        <v/>
      </c>
      <c r="GR136" s="235">
        <f>IF(GM136=0,"",GP136/GM136)</f>
        <v/>
      </c>
      <c r="GS136" s="26" t="n"/>
      <c r="GT136" s="236">
        <f>GB136+GK136</f>
        <v/>
      </c>
      <c r="GU136" s="236">
        <f>GC136+GL136</f>
        <v/>
      </c>
      <c r="GV136" s="236">
        <f>GT136+GU136</f>
        <v/>
      </c>
      <c r="GW136" s="236">
        <f>GE136+GN136</f>
        <v/>
      </c>
      <c r="GX136" s="236">
        <f>GF136+GO136</f>
        <v/>
      </c>
      <c r="GY136" s="236">
        <f>GW136+GX136</f>
        <v/>
      </c>
      <c r="GZ136" s="239">
        <f>GY136-GV136</f>
        <v/>
      </c>
      <c r="HA136" s="237">
        <f>IF(GV136=0,"",GY136/GV136)</f>
        <v/>
      </c>
      <c r="HB136" s="33" t="n"/>
      <c r="HC136" s="233">
        <f>GT136</f>
        <v/>
      </c>
      <c r="HD136" s="233">
        <f>GU136</f>
        <v/>
      </c>
      <c r="HE136" s="233">
        <f>HC136+HD136</f>
        <v/>
      </c>
    </row>
    <row r="137" ht="15" customHeight="1" s="150">
      <c r="A137" s="12" t="n"/>
      <c r="B137" s="12" t="n"/>
      <c r="C137" s="12" t="n"/>
      <c r="D137" s="240">
        <f>SUM(D138,D142,D144,D146,D148)</f>
        <v/>
      </c>
      <c r="E137" s="240">
        <f>SUM(E138,E142,E144,E146,E148)</f>
        <v/>
      </c>
      <c r="F137" s="240">
        <f>D137+E137</f>
        <v/>
      </c>
      <c r="G137" s="240">
        <f>SUM(G138,G142,G144,G146,G148)</f>
        <v/>
      </c>
      <c r="H137" s="240">
        <f>SUM(H138,H142,H144,H146,H148)</f>
        <v/>
      </c>
      <c r="I137" s="240">
        <f>G137+H137</f>
        <v/>
      </c>
      <c r="J137" s="240">
        <f>I137-F137</f>
        <v/>
      </c>
      <c r="K137" s="241">
        <f>IF(F137=0,"",I137/F137)</f>
        <v/>
      </c>
      <c r="L137" s="12" t="n"/>
      <c r="M137" s="240">
        <f>SUM(M138,M142,M144,M146,M148)</f>
        <v/>
      </c>
      <c r="N137" s="240">
        <f>SUM(N138,N142,N144,N146,N148)</f>
        <v/>
      </c>
      <c r="O137" s="240">
        <f>M137+N137</f>
        <v/>
      </c>
      <c r="P137" s="240">
        <f>SUM(P138,P142,P144,P146,P148)</f>
        <v/>
      </c>
      <c r="Q137" s="240">
        <f>SUM(Q138,Q142,Q144,Q146,Q148)</f>
        <v/>
      </c>
      <c r="R137" s="240">
        <f>P137+Q137</f>
        <v/>
      </c>
      <c r="S137" s="240">
        <f>R137-O137</f>
        <v/>
      </c>
      <c r="T137" s="241">
        <f>IF(O137=0,"",R137/O137)</f>
        <v/>
      </c>
      <c r="U137" s="12" t="n"/>
      <c r="V137" s="242">
        <f>SUM(V138,V142,V144,V146,V148)</f>
        <v/>
      </c>
      <c r="W137" s="242">
        <f>SUM(W138,W142,W144,W146,W148)</f>
        <v/>
      </c>
      <c r="X137" s="242">
        <f>V137+W137</f>
        <v/>
      </c>
      <c r="Y137" s="242">
        <f>SUM(Y138,Y142,Y144,Y146,Y148)</f>
        <v/>
      </c>
      <c r="Z137" s="242">
        <f>SUM(Z138,Z142,Z144,Z146,Z148)</f>
        <v/>
      </c>
      <c r="AA137" s="242">
        <f>Y137+Z137</f>
        <v/>
      </c>
      <c r="AB137" s="242">
        <f>AA137-X137</f>
        <v/>
      </c>
      <c r="AC137" s="243">
        <f>IF(X137=0,"",AA137/X137)</f>
        <v/>
      </c>
      <c r="AD137" s="17" t="n"/>
      <c r="AE137" s="240">
        <f>SUM(AE138,AE142,AE144,AE146,AE148)</f>
        <v/>
      </c>
      <c r="AF137" s="240">
        <f>SUM(AF138,AF142,AF144,AF146,AF148)</f>
        <v/>
      </c>
      <c r="AG137" s="240">
        <f>AE137+AF137</f>
        <v/>
      </c>
      <c r="AH137" s="240">
        <f>SUM(AH138,AH142,AH144,AH146,AH148)</f>
        <v/>
      </c>
      <c r="AI137" s="240">
        <f>SUM(AI138,AI142,AI144,AI146,AI148)</f>
        <v/>
      </c>
      <c r="AJ137" s="240">
        <f>AH137+AI137</f>
        <v/>
      </c>
      <c r="AK137" s="240">
        <f>AJ137-AG137</f>
        <v/>
      </c>
      <c r="AL137" s="241">
        <f>IF(AG137=0,"",AJ137/AG137)</f>
        <v/>
      </c>
      <c r="AM137" s="12" t="n"/>
      <c r="AN137" s="242">
        <f>SUM(AN138,AN142,AN144,AN146,AN148)</f>
        <v/>
      </c>
      <c r="AO137" s="242">
        <f>SUM(AO138,AO142,AO144,AO146,AO148)</f>
        <v/>
      </c>
      <c r="AP137" s="242">
        <f>AN137+AO137</f>
        <v/>
      </c>
      <c r="AQ137" s="242">
        <f>SUM(AQ138,AQ142,AQ144,AQ146,AQ148)</f>
        <v/>
      </c>
      <c r="AR137" s="242">
        <f>SUM(AR138,AR142,AR144,AR146,AR148)</f>
        <v/>
      </c>
      <c r="AS137" s="242">
        <f>AQ137+AR137</f>
        <v/>
      </c>
      <c r="AT137" s="242">
        <f>AS137-AP137</f>
        <v/>
      </c>
      <c r="AU137" s="243">
        <f>IF(AP137=0,"",AS137/AP137)</f>
        <v/>
      </c>
      <c r="AV137" s="17" t="n"/>
      <c r="AW137" s="240">
        <f>SUM(AW138,AW142,AW144,AW146,AW148)</f>
        <v/>
      </c>
      <c r="AX137" s="240">
        <f>SUM(AX138,AX142,AX144,AX146,AX148)</f>
        <v/>
      </c>
      <c r="AY137" s="240">
        <f>AW137+AX137</f>
        <v/>
      </c>
      <c r="AZ137" s="240">
        <f>SUM(AZ138,AZ142,AZ144,AZ146,AZ148)</f>
        <v/>
      </c>
      <c r="BA137" s="240">
        <f>SUM(BA138,BA142,BA144,BA146,BA148)</f>
        <v/>
      </c>
      <c r="BB137" s="240">
        <f>AZ137+BA137</f>
        <v/>
      </c>
      <c r="BC137" s="240">
        <f>BB137-AY137</f>
        <v/>
      </c>
      <c r="BD137" s="241">
        <f>IF(AY137=0,"",BB137/AY137)</f>
        <v/>
      </c>
      <c r="BE137" s="12" t="n"/>
      <c r="BF137" s="242">
        <f>SUM(BF138,BF142,BF144,BF146,BF148)</f>
        <v/>
      </c>
      <c r="BG137" s="242">
        <f>SUM(BG138,BG142,BG144,BG146,BG148)</f>
        <v/>
      </c>
      <c r="BH137" s="242">
        <f>BF137+BG137</f>
        <v/>
      </c>
      <c r="BI137" s="242">
        <f>SUM(BI138,BI142,BI144,BI146,BI148)</f>
        <v/>
      </c>
      <c r="BJ137" s="242">
        <f>SUM(BJ138,BJ142,BJ144,BJ146,BJ148)</f>
        <v/>
      </c>
      <c r="BK137" s="242">
        <f>BI137+BJ137</f>
        <v/>
      </c>
      <c r="BL137" s="242">
        <f>BK137-BH137</f>
        <v/>
      </c>
      <c r="BM137" s="243">
        <f>IF(BH137=0,"",BK137/BH137)</f>
        <v/>
      </c>
      <c r="BN137" s="17" t="n"/>
      <c r="BO137" s="240">
        <f>SUM(BO138,BO142,BO144,BO146,BO148)</f>
        <v/>
      </c>
      <c r="BP137" s="240">
        <f>SUM(BP138,BP142,BP144,BP146,BP148)</f>
        <v/>
      </c>
      <c r="BQ137" s="240">
        <f>BO137+BP137</f>
        <v/>
      </c>
      <c r="BR137" s="240">
        <f>SUM(BR138,BR142,BR144,BR146,BR148)</f>
        <v/>
      </c>
      <c r="BS137" s="240">
        <f>SUM(BS138,BS142,BS144,BS146,BS148)</f>
        <v/>
      </c>
      <c r="BT137" s="240">
        <f>BR137+BS137</f>
        <v/>
      </c>
      <c r="BU137" s="240">
        <f>BT137-BQ137</f>
        <v/>
      </c>
      <c r="BV137" s="241">
        <f>IF(BQ137=0,"",BT137/BQ137)</f>
        <v/>
      </c>
      <c r="BW137" s="12" t="n"/>
      <c r="BX137" s="242">
        <f>SUM(BX138,BX142,BX144,BX146,BX148)</f>
        <v/>
      </c>
      <c r="BY137" s="242">
        <f>SUM(BY138,BY142,BY144,BY146,BY148)</f>
        <v/>
      </c>
      <c r="BZ137" s="242">
        <f>BX137+BY137</f>
        <v/>
      </c>
      <c r="CA137" s="242">
        <f>SUM(CA138,CA142,CA144,CA146,CA148)</f>
        <v/>
      </c>
      <c r="CB137" s="242">
        <f>SUM(CB138,CB142,CB144,CB146,CB148)</f>
        <v/>
      </c>
      <c r="CC137" s="242">
        <f>CA137+CB137</f>
        <v/>
      </c>
      <c r="CD137" s="242">
        <f>CC137-BZ137</f>
        <v/>
      </c>
      <c r="CE137" s="243">
        <f>IF(BZ137=0,"",CC137/BZ137)</f>
        <v/>
      </c>
      <c r="CF137" s="17" t="n"/>
      <c r="CG137" s="240">
        <f>SUM(CG138,CG142,CG144,CG146,CG148)</f>
        <v/>
      </c>
      <c r="CH137" s="240">
        <f>SUM(CH138,CH142,CH144,CH146,CH148)</f>
        <v/>
      </c>
      <c r="CI137" s="240">
        <f>CG137+CH137</f>
        <v/>
      </c>
      <c r="CJ137" s="240">
        <f>SUM(CJ138,CJ142,CJ144,CJ146,CJ148)</f>
        <v/>
      </c>
      <c r="CK137" s="240">
        <f>SUM(CK138,CK142,CK144,CK146,CK148)</f>
        <v/>
      </c>
      <c r="CL137" s="240">
        <f>CJ137+CK137</f>
        <v/>
      </c>
      <c r="CM137" s="240">
        <f>CL137-CI137</f>
        <v/>
      </c>
      <c r="CN137" s="241">
        <f>IF(CI137=0,"",CL137/CI137)</f>
        <v/>
      </c>
      <c r="CO137" s="12" t="n"/>
      <c r="CP137" s="242">
        <f>SUM(CP138,CP142,CP144,CP146,CP148)</f>
        <v/>
      </c>
      <c r="CQ137" s="242">
        <f>SUM(CQ138,CQ142,CQ144,CQ146,CQ148)</f>
        <v/>
      </c>
      <c r="CR137" s="242">
        <f>CP137+CQ137</f>
        <v/>
      </c>
      <c r="CS137" s="242">
        <f>SUM(CS138,CS142,CS144,CS146,CS148)</f>
        <v/>
      </c>
      <c r="CT137" s="242">
        <f>SUM(CT138,CT142,CT144,CT146,CT148)</f>
        <v/>
      </c>
      <c r="CU137" s="242">
        <f>CS137+CT137</f>
        <v/>
      </c>
      <c r="CV137" s="242">
        <f>CU137-CR137</f>
        <v/>
      </c>
      <c r="CW137" s="243">
        <f>IF(CR137=0,"",CU137/CR137)</f>
        <v/>
      </c>
      <c r="CX137" s="17" t="n"/>
      <c r="CY137" s="240">
        <f>SUM(CY138,CY142,CY144,CY146,CY148)</f>
        <v/>
      </c>
      <c r="CZ137" s="240">
        <f>SUM(CZ138,CZ142,CZ144,CZ146,CZ148)</f>
        <v/>
      </c>
      <c r="DA137" s="240">
        <f>CY137+CZ137</f>
        <v/>
      </c>
      <c r="DB137" s="240">
        <f>SUM(DB138,DB142,DB144,DB146,DB148)</f>
        <v/>
      </c>
      <c r="DC137" s="240">
        <f>SUM(DC138,DC142,DC144,DC146,DC148)</f>
        <v/>
      </c>
      <c r="DD137" s="240">
        <f>DB137+DC137</f>
        <v/>
      </c>
      <c r="DE137" s="240">
        <f>DD137-DA137</f>
        <v/>
      </c>
      <c r="DF137" s="241">
        <f>IF(DA137=0,"",DD137/DA137)</f>
        <v/>
      </c>
      <c r="DG137" s="12" t="n"/>
      <c r="DH137" s="242">
        <f>SUM(DH138,DH142,DH144,DH146,DH148)</f>
        <v/>
      </c>
      <c r="DI137" s="242">
        <f>SUM(DI138,DI142,DI144,DI146,DI148)</f>
        <v/>
      </c>
      <c r="DJ137" s="242">
        <f>DH137+DI137</f>
        <v/>
      </c>
      <c r="DK137" s="242">
        <f>SUM(DK138,DK142,DK144,DK146,DK148)</f>
        <v/>
      </c>
      <c r="DL137" s="242">
        <f>SUM(DL138,DL142,DL144,DL146,DL148)</f>
        <v/>
      </c>
      <c r="DM137" s="242">
        <f>DK137+DL137</f>
        <v/>
      </c>
      <c r="DN137" s="242">
        <f>DM137-DJ137</f>
        <v/>
      </c>
      <c r="DO137" s="243">
        <f>IF(DJ137=0,"",DM137/DJ137)</f>
        <v/>
      </c>
      <c r="DP137" s="17" t="n"/>
      <c r="DQ137" s="240">
        <f>SUM(DQ138,DQ142,DQ144,DQ146,DQ148)</f>
        <v/>
      </c>
      <c r="DR137" s="240">
        <f>SUM(DR138,DR142,DR144,DR146,DR148)</f>
        <v/>
      </c>
      <c r="DS137" s="240">
        <f>DQ137+DR137</f>
        <v/>
      </c>
      <c r="DT137" s="240">
        <f>SUM(DT138,DT142,DT144,DT146,DT148)</f>
        <v/>
      </c>
      <c r="DU137" s="240">
        <f>SUM(DU138,DU142,DU144,DU146,DU148)</f>
        <v/>
      </c>
      <c r="DV137" s="240">
        <f>DT137+DU137</f>
        <v/>
      </c>
      <c r="DW137" s="240">
        <f>DV137-DS137</f>
        <v/>
      </c>
      <c r="DX137" s="241">
        <f>IF(DS137=0,"",DV137/DS137)</f>
        <v/>
      </c>
      <c r="DY137" s="12" t="n"/>
      <c r="DZ137" s="242">
        <f>SUM(DZ138,DZ142,DZ144,DZ146,DZ148)</f>
        <v/>
      </c>
      <c r="EA137" s="242">
        <f>SUM(EA138,EA142,EA144,EA146,EA148)</f>
        <v/>
      </c>
      <c r="EB137" s="242">
        <f>DZ137+EA137</f>
        <v/>
      </c>
      <c r="EC137" s="242">
        <f>SUM(EC138,EC142,EC144,EC146,EC148)</f>
        <v/>
      </c>
      <c r="ED137" s="242">
        <f>SUM(ED138,ED142,ED144,ED146,ED148)</f>
        <v/>
      </c>
      <c r="EE137" s="242">
        <f>EC137+ED137</f>
        <v/>
      </c>
      <c r="EF137" s="242">
        <f>EE137-EB137</f>
        <v/>
      </c>
      <c r="EG137" s="243">
        <f>IF(EB137=0,"",EE137/EB137)</f>
        <v/>
      </c>
      <c r="EH137" s="17" t="n"/>
      <c r="EI137" s="240">
        <f>SUM(EI138,EI142,EI144,EI146,EI148)</f>
        <v/>
      </c>
      <c r="EJ137" s="240">
        <f>SUM(EJ138,EJ142,EJ144,EJ146,EJ148)</f>
        <v/>
      </c>
      <c r="EK137" s="240">
        <f>EI137+EJ137</f>
        <v/>
      </c>
      <c r="EL137" s="240">
        <f>SUM(EL138,EL142,EL144,EL146,EL148)</f>
        <v/>
      </c>
      <c r="EM137" s="240">
        <f>SUM(EM138,EM142,EM144,EM146,EM148)</f>
        <v/>
      </c>
      <c r="EN137" s="240">
        <f>EL137+EM137</f>
        <v/>
      </c>
      <c r="EO137" s="240">
        <f>EN137-EK137</f>
        <v/>
      </c>
      <c r="EP137" s="241">
        <f>IF(EK137=0,"",EN137/EK137)</f>
        <v/>
      </c>
      <c r="EQ137" s="12" t="n"/>
      <c r="ER137" s="242">
        <f>SUM(ER138,ER142,ER144,ER146,ER148)</f>
        <v/>
      </c>
      <c r="ES137" s="242">
        <f>SUM(ES138,ES142,ES144,ES146,ES148)</f>
        <v/>
      </c>
      <c r="ET137" s="242">
        <f>ER137+ES137</f>
        <v/>
      </c>
      <c r="EU137" s="242">
        <f>SUM(EU138,EU142,EU144,EU146,EU148)</f>
        <v/>
      </c>
      <c r="EV137" s="242">
        <f>SUM(EV138,EV142,EV144,EV146,EV148)</f>
        <v/>
      </c>
      <c r="EW137" s="242">
        <f>EU137+EV137</f>
        <v/>
      </c>
      <c r="EX137" s="242">
        <f>EW137-ET137</f>
        <v/>
      </c>
      <c r="EY137" s="243">
        <f>IF(ET137=0,"",EW137/ET137)</f>
        <v/>
      </c>
      <c r="EZ137" s="17" t="n"/>
      <c r="FA137" s="240">
        <f>SUM(FA138,FA142,FA144,FA146,FA148)</f>
        <v/>
      </c>
      <c r="FB137" s="240">
        <f>SUM(FB138,FB142,FB144,FB146,FB148)</f>
        <v/>
      </c>
      <c r="FC137" s="240">
        <f>FA137+FB137</f>
        <v/>
      </c>
      <c r="FD137" s="240">
        <f>SUM(FD138,FD142,FD144,FD146,FD148)</f>
        <v/>
      </c>
      <c r="FE137" s="240">
        <f>SUM(FE138,FE142,FE144,FE146,FE148)</f>
        <v/>
      </c>
      <c r="FF137" s="240">
        <f>FD137+FE137</f>
        <v/>
      </c>
      <c r="FG137" s="240">
        <f>FF137-FC137</f>
        <v/>
      </c>
      <c r="FH137" s="241">
        <f>IF(FC137=0,"",FF137/FC137)</f>
        <v/>
      </c>
      <c r="FI137" s="12" t="n"/>
      <c r="FJ137" s="242">
        <f>SUM(FJ138,FJ142,FJ144,FJ146,FJ148)</f>
        <v/>
      </c>
      <c r="FK137" s="242">
        <f>SUM(FK138,FK142,FK144,FK146,FK148)</f>
        <v/>
      </c>
      <c r="FL137" s="242">
        <f>FJ137+FK137</f>
        <v/>
      </c>
      <c r="FM137" s="242">
        <f>SUM(FM138,FM142,FM144,FM146,FM148)</f>
        <v/>
      </c>
      <c r="FN137" s="242">
        <f>SUM(FN138,FN142,FN144,FN146,FN148)</f>
        <v/>
      </c>
      <c r="FO137" s="242">
        <f>FM137+FN137</f>
        <v/>
      </c>
      <c r="FP137" s="242">
        <f>FO137-FL137</f>
        <v/>
      </c>
      <c r="FQ137" s="243">
        <f>IF(FL137=0,"",FO137/FL137)</f>
        <v/>
      </c>
      <c r="FR137" s="17" t="n"/>
      <c r="FS137" s="240">
        <f>SUM(FS138,FS142,FS144,FS146,FS148)</f>
        <v/>
      </c>
      <c r="FT137" s="240">
        <f>SUM(FT138,FT142,FT144,FT146,FT148)</f>
        <v/>
      </c>
      <c r="FU137" s="240">
        <f>FS137+FT137</f>
        <v/>
      </c>
      <c r="FV137" s="240">
        <f>SUM(FV138,FV142,FV144,FV146,FV148)</f>
        <v/>
      </c>
      <c r="FW137" s="240">
        <f>SUM(FW138,FW142,FW144,FW146,FW148)</f>
        <v/>
      </c>
      <c r="FX137" s="240">
        <f>FV137+FW137</f>
        <v/>
      </c>
      <c r="FY137" s="240">
        <f>FX137-FU137</f>
        <v/>
      </c>
      <c r="FZ137" s="241">
        <f>IF(FU137=0,"",FX137/FU137)</f>
        <v/>
      </c>
      <c r="GA137" s="12" t="n"/>
      <c r="GB137" s="242">
        <f>SUM(GB138,GB142,GB144,GB146,GB148)</f>
        <v/>
      </c>
      <c r="GC137" s="242">
        <f>SUM(GC138,GC142,GC144,GC146,GC148)</f>
        <v/>
      </c>
      <c r="GD137" s="242">
        <f>GB137+GC137</f>
        <v/>
      </c>
      <c r="GE137" s="242">
        <f>SUM(GE138,GE142,GE144,GE146,GE148)</f>
        <v/>
      </c>
      <c r="GF137" s="242">
        <f>SUM(GF138,GF142,GF144,GF146,GF148)</f>
        <v/>
      </c>
      <c r="GG137" s="242">
        <f>GE137+GF137</f>
        <v/>
      </c>
      <c r="GH137" s="242">
        <f>GG137-GD137</f>
        <v/>
      </c>
      <c r="GI137" s="243">
        <f>IF(GD137=0,"",GG137/GD137)</f>
        <v/>
      </c>
      <c r="GJ137" s="17" t="n"/>
      <c r="GK137" s="240">
        <f>SUM(GK138,GK142,GK144,GK146,GK148)</f>
        <v/>
      </c>
      <c r="GL137" s="240">
        <f>SUM(GL138,GL142,GL144,GL146,GL148)</f>
        <v/>
      </c>
      <c r="GM137" s="240">
        <f>GK137+GL137</f>
        <v/>
      </c>
      <c r="GN137" s="240">
        <f>SUM(GN138,GN142,GN144,GN146,GN148)</f>
        <v/>
      </c>
      <c r="GO137" s="240">
        <f>SUM(GO138,GO142,GO144,GO146,GO148)</f>
        <v/>
      </c>
      <c r="GP137" s="240">
        <f>GN137+GO137</f>
        <v/>
      </c>
      <c r="GQ137" s="240">
        <f>GP137-GM137</f>
        <v/>
      </c>
      <c r="GR137" s="241">
        <f>IF(GM137=0,"",GP137/GM137)</f>
        <v/>
      </c>
      <c r="GS137" s="12" t="n"/>
      <c r="GT137" s="242">
        <f>SUM(GT138,GT142,GT144,GT146,GT148)</f>
        <v/>
      </c>
      <c r="GU137" s="242">
        <f>SUM(GU138,GU142,GU144,GU146,GU148)</f>
        <v/>
      </c>
      <c r="GV137" s="242">
        <f>GT137+GU137</f>
        <v/>
      </c>
      <c r="GW137" s="242">
        <f>SUM(GW138,GW142,GW144,GW146,GW148)</f>
        <v/>
      </c>
      <c r="GX137" s="242">
        <f>SUM(GX138,GX142,GX144,GX146,GX148)</f>
        <v/>
      </c>
      <c r="GY137" s="242">
        <f>GW137+GX137</f>
        <v/>
      </c>
      <c r="GZ137" s="242">
        <f>GY137-GV137</f>
        <v/>
      </c>
      <c r="HA137" s="243">
        <f>IF(GV137=0,"",GY137/GV137)</f>
        <v/>
      </c>
      <c r="HB137" s="17" t="n"/>
      <c r="HC137" s="240">
        <f>GT137</f>
        <v/>
      </c>
      <c r="HD137" s="240">
        <f>GU137</f>
        <v/>
      </c>
      <c r="HE137" s="240">
        <f>HC137+HD137</f>
        <v/>
      </c>
    </row>
    <row r="138" ht="15" customHeight="1" s="150">
      <c r="A138" s="18" t="n"/>
      <c r="B138" s="18" t="n"/>
      <c r="C138" s="18" t="n"/>
      <c r="D138" s="227">
        <f>SUM(D139:D141)</f>
        <v/>
      </c>
      <c r="E138" s="227">
        <f>SUM(E139:E141)</f>
        <v/>
      </c>
      <c r="F138" s="227">
        <f>D138+E138</f>
        <v/>
      </c>
      <c r="G138" s="227">
        <f>SUM(G139:G141)</f>
        <v/>
      </c>
      <c r="H138" s="227">
        <f>SUM(H139:H141)</f>
        <v/>
      </c>
      <c r="I138" s="227">
        <f>G138+H138</f>
        <v/>
      </c>
      <c r="J138" s="228">
        <f>I138-F138</f>
        <v/>
      </c>
      <c r="K138" s="229">
        <f>IF(F138=0,"",I138/F138)</f>
        <v/>
      </c>
      <c r="L138" s="18" t="n"/>
      <c r="M138" s="227">
        <f>SUM(M139:M141)</f>
        <v/>
      </c>
      <c r="N138" s="227">
        <f>SUM(N139:N141)</f>
        <v/>
      </c>
      <c r="O138" s="227">
        <f>M138+N138</f>
        <v/>
      </c>
      <c r="P138" s="227">
        <f>SUM(P139:P141)</f>
        <v/>
      </c>
      <c r="Q138" s="227">
        <f>SUM(Q139:Q141)</f>
        <v/>
      </c>
      <c r="R138" s="227">
        <f>P138+Q138</f>
        <v/>
      </c>
      <c r="S138" s="228">
        <f>R138-O138</f>
        <v/>
      </c>
      <c r="T138" s="229">
        <f>IF(O138=0,"",R138/O138)</f>
        <v/>
      </c>
      <c r="U138" s="18" t="n"/>
      <c r="V138" s="230">
        <f>SUM(V139:V141)</f>
        <v/>
      </c>
      <c r="W138" s="230">
        <f>SUM(W139:W141)</f>
        <v/>
      </c>
      <c r="X138" s="230">
        <f>V138+W138</f>
        <v/>
      </c>
      <c r="Y138" s="230">
        <f>SUM(Y139:Y141)</f>
        <v/>
      </c>
      <c r="Z138" s="230">
        <f>SUM(Z139:Z141)</f>
        <v/>
      </c>
      <c r="AA138" s="230">
        <f>Y138+Z138</f>
        <v/>
      </c>
      <c r="AB138" s="231">
        <f>AA138-X138</f>
        <v/>
      </c>
      <c r="AC138" s="232">
        <f>IF(X138=0,"",AA138/X138)</f>
        <v/>
      </c>
      <c r="AD138" s="25" t="n"/>
      <c r="AE138" s="227">
        <f>SUM(AE139:AE141)</f>
        <v/>
      </c>
      <c r="AF138" s="227">
        <f>SUM(AF139:AF141)</f>
        <v/>
      </c>
      <c r="AG138" s="227">
        <f>AE138+AF138</f>
        <v/>
      </c>
      <c r="AH138" s="227">
        <f>SUM(AH139:AH141)</f>
        <v/>
      </c>
      <c r="AI138" s="227">
        <f>SUM(AI139:AI141)</f>
        <v/>
      </c>
      <c r="AJ138" s="227">
        <f>AH138+AI138</f>
        <v/>
      </c>
      <c r="AK138" s="228">
        <f>AJ138-AG138</f>
        <v/>
      </c>
      <c r="AL138" s="229">
        <f>IF(AG138=0,"",AJ138/AG138)</f>
        <v/>
      </c>
      <c r="AM138" s="18" t="n"/>
      <c r="AN138" s="230">
        <f>SUM(AN139:AN141)</f>
        <v/>
      </c>
      <c r="AO138" s="230">
        <f>SUM(AO139:AO141)</f>
        <v/>
      </c>
      <c r="AP138" s="230">
        <f>AN138+AO138</f>
        <v/>
      </c>
      <c r="AQ138" s="230">
        <f>SUM(AQ139:AQ141)</f>
        <v/>
      </c>
      <c r="AR138" s="230">
        <f>SUM(AR139:AR141)</f>
        <v/>
      </c>
      <c r="AS138" s="230">
        <f>AQ138+AR138</f>
        <v/>
      </c>
      <c r="AT138" s="231">
        <f>AS138-AP138</f>
        <v/>
      </c>
      <c r="AU138" s="232">
        <f>IF(AP138=0,"",AS138/AP138)</f>
        <v/>
      </c>
      <c r="AV138" s="25" t="n"/>
      <c r="AW138" s="227">
        <f>SUM(AW139:AW141)</f>
        <v/>
      </c>
      <c r="AX138" s="227">
        <f>SUM(AX139:AX141)</f>
        <v/>
      </c>
      <c r="AY138" s="227">
        <f>AW138+AX138</f>
        <v/>
      </c>
      <c r="AZ138" s="227">
        <f>SUM(AZ139:AZ141)</f>
        <v/>
      </c>
      <c r="BA138" s="227">
        <f>SUM(BA139:BA141)</f>
        <v/>
      </c>
      <c r="BB138" s="227">
        <f>AZ138+BA138</f>
        <v/>
      </c>
      <c r="BC138" s="228">
        <f>BB138-AY138</f>
        <v/>
      </c>
      <c r="BD138" s="229">
        <f>IF(AY138=0,"",BB138/AY138)</f>
        <v/>
      </c>
      <c r="BE138" s="18" t="n"/>
      <c r="BF138" s="230">
        <f>SUM(BF139:BF141)</f>
        <v/>
      </c>
      <c r="BG138" s="230">
        <f>SUM(BG139:BG141)</f>
        <v/>
      </c>
      <c r="BH138" s="230">
        <f>BF138+BG138</f>
        <v/>
      </c>
      <c r="BI138" s="230">
        <f>SUM(BI139:BI141)</f>
        <v/>
      </c>
      <c r="BJ138" s="230">
        <f>SUM(BJ139:BJ141)</f>
        <v/>
      </c>
      <c r="BK138" s="230">
        <f>BI138+BJ138</f>
        <v/>
      </c>
      <c r="BL138" s="231">
        <f>BK138-BH138</f>
        <v/>
      </c>
      <c r="BM138" s="232">
        <f>IF(BH138=0,"",BK138/BH138)</f>
        <v/>
      </c>
      <c r="BN138" s="25" t="n"/>
      <c r="BO138" s="227">
        <f>SUM(BO139:BO141)</f>
        <v/>
      </c>
      <c r="BP138" s="227">
        <f>SUM(BP139:BP141)</f>
        <v/>
      </c>
      <c r="BQ138" s="227">
        <f>BO138+BP138</f>
        <v/>
      </c>
      <c r="BR138" s="227">
        <f>SUM(BR139:BR141)</f>
        <v/>
      </c>
      <c r="BS138" s="227">
        <f>SUM(BS139:BS141)</f>
        <v/>
      </c>
      <c r="BT138" s="227">
        <f>BR138+BS138</f>
        <v/>
      </c>
      <c r="BU138" s="228">
        <f>BT138-BQ138</f>
        <v/>
      </c>
      <c r="BV138" s="229">
        <f>IF(BQ138=0,"",BT138/BQ138)</f>
        <v/>
      </c>
      <c r="BW138" s="18" t="n"/>
      <c r="BX138" s="230">
        <f>SUM(BX139:BX141)</f>
        <v/>
      </c>
      <c r="BY138" s="230">
        <f>SUM(BY139:BY141)</f>
        <v/>
      </c>
      <c r="BZ138" s="230">
        <f>BX138+BY138</f>
        <v/>
      </c>
      <c r="CA138" s="230">
        <f>SUM(CA139:CA141)</f>
        <v/>
      </c>
      <c r="CB138" s="230">
        <f>SUM(CB139:CB141)</f>
        <v/>
      </c>
      <c r="CC138" s="230">
        <f>CA138+CB138</f>
        <v/>
      </c>
      <c r="CD138" s="231">
        <f>CC138-BZ138</f>
        <v/>
      </c>
      <c r="CE138" s="232">
        <f>IF(BZ138=0,"",CC138/BZ138)</f>
        <v/>
      </c>
      <c r="CF138" s="25" t="n"/>
      <c r="CG138" s="227">
        <f>SUM(CG139:CG141)</f>
        <v/>
      </c>
      <c r="CH138" s="227">
        <f>SUM(CH139:CH141)</f>
        <v/>
      </c>
      <c r="CI138" s="227">
        <f>CG138+CH138</f>
        <v/>
      </c>
      <c r="CJ138" s="227">
        <f>SUM(CJ139:CJ141)</f>
        <v/>
      </c>
      <c r="CK138" s="227">
        <f>SUM(CK139:CK141)</f>
        <v/>
      </c>
      <c r="CL138" s="227">
        <f>CJ138+CK138</f>
        <v/>
      </c>
      <c r="CM138" s="228">
        <f>CL138-CI138</f>
        <v/>
      </c>
      <c r="CN138" s="229">
        <f>IF(CI138=0,"",CL138/CI138)</f>
        <v/>
      </c>
      <c r="CO138" s="18" t="n"/>
      <c r="CP138" s="230">
        <f>SUM(CP139:CP141)</f>
        <v/>
      </c>
      <c r="CQ138" s="230">
        <f>SUM(CQ139:CQ141)</f>
        <v/>
      </c>
      <c r="CR138" s="230">
        <f>CP138+CQ138</f>
        <v/>
      </c>
      <c r="CS138" s="230">
        <f>SUM(CS139:CS141)</f>
        <v/>
      </c>
      <c r="CT138" s="230">
        <f>SUM(CT139:CT141)</f>
        <v/>
      </c>
      <c r="CU138" s="230">
        <f>CS138+CT138</f>
        <v/>
      </c>
      <c r="CV138" s="231">
        <f>CU138-CR138</f>
        <v/>
      </c>
      <c r="CW138" s="232">
        <f>IF(CR138=0,"",CU138/CR138)</f>
        <v/>
      </c>
      <c r="CX138" s="25" t="n"/>
      <c r="CY138" s="227">
        <f>SUM(CY139:CY141)</f>
        <v/>
      </c>
      <c r="CZ138" s="227">
        <f>SUM(CZ139:CZ141)</f>
        <v/>
      </c>
      <c r="DA138" s="227">
        <f>CY138+CZ138</f>
        <v/>
      </c>
      <c r="DB138" s="227">
        <f>SUM(DB139:DB141)</f>
        <v/>
      </c>
      <c r="DC138" s="227">
        <f>SUM(DC139:DC141)</f>
        <v/>
      </c>
      <c r="DD138" s="227">
        <f>DB138+DC138</f>
        <v/>
      </c>
      <c r="DE138" s="228">
        <f>DD138-DA138</f>
        <v/>
      </c>
      <c r="DF138" s="229">
        <f>IF(DA138=0,"",DD138/DA138)</f>
        <v/>
      </c>
      <c r="DG138" s="18" t="n"/>
      <c r="DH138" s="230">
        <f>SUM(DH139:DH141)</f>
        <v/>
      </c>
      <c r="DI138" s="230">
        <f>SUM(DI139:DI141)</f>
        <v/>
      </c>
      <c r="DJ138" s="230">
        <f>DH138+DI138</f>
        <v/>
      </c>
      <c r="DK138" s="230">
        <f>SUM(DK139:DK141)</f>
        <v/>
      </c>
      <c r="DL138" s="230">
        <f>SUM(DL139:DL141)</f>
        <v/>
      </c>
      <c r="DM138" s="230">
        <f>DK138+DL138</f>
        <v/>
      </c>
      <c r="DN138" s="231">
        <f>DM138-DJ138</f>
        <v/>
      </c>
      <c r="DO138" s="232">
        <f>IF(DJ138=0,"",DM138/DJ138)</f>
        <v/>
      </c>
      <c r="DP138" s="25" t="n"/>
      <c r="DQ138" s="227">
        <f>SUM(DQ139:DQ141)</f>
        <v/>
      </c>
      <c r="DR138" s="227">
        <f>SUM(DR139:DR141)</f>
        <v/>
      </c>
      <c r="DS138" s="227">
        <f>DQ138+DR138</f>
        <v/>
      </c>
      <c r="DT138" s="227">
        <f>SUM(DT139:DT141)</f>
        <v/>
      </c>
      <c r="DU138" s="227">
        <f>SUM(DU139:DU141)</f>
        <v/>
      </c>
      <c r="DV138" s="227">
        <f>DT138+DU138</f>
        <v/>
      </c>
      <c r="DW138" s="228">
        <f>DV138-DS138</f>
        <v/>
      </c>
      <c r="DX138" s="229">
        <f>IF(DS138=0,"",DV138/DS138)</f>
        <v/>
      </c>
      <c r="DY138" s="18" t="n"/>
      <c r="DZ138" s="230">
        <f>SUM(DZ139:DZ141)</f>
        <v/>
      </c>
      <c r="EA138" s="230">
        <f>SUM(EA139:EA141)</f>
        <v/>
      </c>
      <c r="EB138" s="230">
        <f>DZ138+EA138</f>
        <v/>
      </c>
      <c r="EC138" s="230">
        <f>SUM(EC139:EC141)</f>
        <v/>
      </c>
      <c r="ED138" s="230">
        <f>SUM(ED139:ED141)</f>
        <v/>
      </c>
      <c r="EE138" s="230">
        <f>EC138+ED138</f>
        <v/>
      </c>
      <c r="EF138" s="231">
        <f>EE138-EB138</f>
        <v/>
      </c>
      <c r="EG138" s="232">
        <f>IF(EB138=0,"",EE138/EB138)</f>
        <v/>
      </c>
      <c r="EH138" s="25" t="n"/>
      <c r="EI138" s="227">
        <f>SUM(EI139:EI141)</f>
        <v/>
      </c>
      <c r="EJ138" s="227">
        <f>SUM(EJ139:EJ141)</f>
        <v/>
      </c>
      <c r="EK138" s="227">
        <f>EI138+EJ138</f>
        <v/>
      </c>
      <c r="EL138" s="227">
        <f>SUM(EL139:EL141)</f>
        <v/>
      </c>
      <c r="EM138" s="227">
        <f>SUM(EM139:EM141)</f>
        <v/>
      </c>
      <c r="EN138" s="227">
        <f>EL138+EM138</f>
        <v/>
      </c>
      <c r="EO138" s="228">
        <f>EN138-EK138</f>
        <v/>
      </c>
      <c r="EP138" s="229">
        <f>IF(EK138=0,"",EN138/EK138)</f>
        <v/>
      </c>
      <c r="EQ138" s="18" t="n"/>
      <c r="ER138" s="230">
        <f>SUM(ER139:ER141)</f>
        <v/>
      </c>
      <c r="ES138" s="230">
        <f>SUM(ES139:ES141)</f>
        <v/>
      </c>
      <c r="ET138" s="230">
        <f>ER138+ES138</f>
        <v/>
      </c>
      <c r="EU138" s="230">
        <f>SUM(EU139:EU141)</f>
        <v/>
      </c>
      <c r="EV138" s="230">
        <f>SUM(EV139:EV141)</f>
        <v/>
      </c>
      <c r="EW138" s="230">
        <f>EU138+EV138</f>
        <v/>
      </c>
      <c r="EX138" s="231">
        <f>EW138-ET138</f>
        <v/>
      </c>
      <c r="EY138" s="232">
        <f>IF(ET138=0,"",EW138/ET138)</f>
        <v/>
      </c>
      <c r="EZ138" s="25" t="n"/>
      <c r="FA138" s="227">
        <f>SUM(FA139:FA141)</f>
        <v/>
      </c>
      <c r="FB138" s="227">
        <f>SUM(FB139:FB141)</f>
        <v/>
      </c>
      <c r="FC138" s="227">
        <f>FA138+FB138</f>
        <v/>
      </c>
      <c r="FD138" s="227">
        <f>SUM(FD139:FD141)</f>
        <v/>
      </c>
      <c r="FE138" s="227">
        <f>SUM(FE139:FE141)</f>
        <v/>
      </c>
      <c r="FF138" s="227">
        <f>FD138+FE138</f>
        <v/>
      </c>
      <c r="FG138" s="228">
        <f>FF138-FC138</f>
        <v/>
      </c>
      <c r="FH138" s="229">
        <f>IF(FC138=0,"",FF138/FC138)</f>
        <v/>
      </c>
      <c r="FI138" s="18" t="n"/>
      <c r="FJ138" s="230">
        <f>SUM(FJ139:FJ141)</f>
        <v/>
      </c>
      <c r="FK138" s="230">
        <f>SUM(FK139:FK141)</f>
        <v/>
      </c>
      <c r="FL138" s="230">
        <f>FJ138+FK138</f>
        <v/>
      </c>
      <c r="FM138" s="230">
        <f>SUM(FM139:FM141)</f>
        <v/>
      </c>
      <c r="FN138" s="230">
        <f>SUM(FN139:FN141)</f>
        <v/>
      </c>
      <c r="FO138" s="230">
        <f>FM138+FN138</f>
        <v/>
      </c>
      <c r="FP138" s="231">
        <f>FO138-FL138</f>
        <v/>
      </c>
      <c r="FQ138" s="232">
        <f>IF(FL138=0,"",FO138/FL138)</f>
        <v/>
      </c>
      <c r="FR138" s="25" t="n"/>
      <c r="FS138" s="227">
        <f>SUM(FS139:FS141)</f>
        <v/>
      </c>
      <c r="FT138" s="227">
        <f>SUM(FT139:FT141)</f>
        <v/>
      </c>
      <c r="FU138" s="227">
        <f>FS138+FT138</f>
        <v/>
      </c>
      <c r="FV138" s="227">
        <f>SUM(FV139:FV141)</f>
        <v/>
      </c>
      <c r="FW138" s="227">
        <f>SUM(FW139:FW141)</f>
        <v/>
      </c>
      <c r="FX138" s="227">
        <f>FV138+FW138</f>
        <v/>
      </c>
      <c r="FY138" s="228">
        <f>FX138-FU138</f>
        <v/>
      </c>
      <c r="FZ138" s="229">
        <f>IF(FU138=0,"",FX138/FU138)</f>
        <v/>
      </c>
      <c r="GA138" s="18" t="n"/>
      <c r="GB138" s="230">
        <f>SUM(GB139:GB141)</f>
        <v/>
      </c>
      <c r="GC138" s="230">
        <f>SUM(GC139:GC141)</f>
        <v/>
      </c>
      <c r="GD138" s="230">
        <f>GB138+GC138</f>
        <v/>
      </c>
      <c r="GE138" s="230">
        <f>SUM(GE139:GE141)</f>
        <v/>
      </c>
      <c r="GF138" s="230">
        <f>SUM(GF139:GF141)</f>
        <v/>
      </c>
      <c r="GG138" s="230">
        <f>GE138+GF138</f>
        <v/>
      </c>
      <c r="GH138" s="231">
        <f>GG138-GD138</f>
        <v/>
      </c>
      <c r="GI138" s="232">
        <f>IF(GD138=0,"",GG138/GD138)</f>
        <v/>
      </c>
      <c r="GJ138" s="25" t="n"/>
      <c r="GK138" s="227">
        <f>SUM(GK139:GK141)</f>
        <v/>
      </c>
      <c r="GL138" s="227">
        <f>SUM(GL139:GL141)</f>
        <v/>
      </c>
      <c r="GM138" s="227">
        <f>GK138+GL138</f>
        <v/>
      </c>
      <c r="GN138" s="227">
        <f>SUM(GN139:GN141)</f>
        <v/>
      </c>
      <c r="GO138" s="227">
        <f>SUM(GO139:GO141)</f>
        <v/>
      </c>
      <c r="GP138" s="227">
        <f>GN138+GO138</f>
        <v/>
      </c>
      <c r="GQ138" s="228">
        <f>GP138-GM138</f>
        <v/>
      </c>
      <c r="GR138" s="229">
        <f>IF(GM138=0,"",GP138/GM138)</f>
        <v/>
      </c>
      <c r="GS138" s="18" t="n"/>
      <c r="GT138" s="230">
        <f>SUM(GT139:GT141)</f>
        <v/>
      </c>
      <c r="GU138" s="230">
        <f>SUM(GU139:GU141)</f>
        <v/>
      </c>
      <c r="GV138" s="230">
        <f>GT138+GU138</f>
        <v/>
      </c>
      <c r="GW138" s="230">
        <f>SUM(GW139:GW141)</f>
        <v/>
      </c>
      <c r="GX138" s="230">
        <f>SUM(GX139:GX141)</f>
        <v/>
      </c>
      <c r="GY138" s="230">
        <f>GW138+GX138</f>
        <v/>
      </c>
      <c r="GZ138" s="231">
        <f>GY138-GV138</f>
        <v/>
      </c>
      <c r="HA138" s="232">
        <f>IF(GV138=0,"",GY138/GV138)</f>
        <v/>
      </c>
      <c r="HB138" s="25" t="n"/>
      <c r="HC138" s="227">
        <f>GT138</f>
        <v/>
      </c>
      <c r="HD138" s="227">
        <f>GU138</f>
        <v/>
      </c>
      <c r="HE138" s="227">
        <f>HC138+HD138</f>
        <v/>
      </c>
    </row>
    <row r="139" outlineLevel="1" ht="15" customHeight="1" s="150">
      <c r="A139" s="26" t="n"/>
      <c r="B139" s="26" t="n"/>
      <c r="C139" s="26" t="n"/>
      <c r="D139" s="233" t="n"/>
      <c r="E139" s="233" t="n"/>
      <c r="F139" s="233">
        <f>D139+E139</f>
        <v/>
      </c>
      <c r="G139" s="233" t="n"/>
      <c r="H139" s="233" t="n"/>
      <c r="I139" s="233">
        <f>G139+H139</f>
        <v/>
      </c>
      <c r="J139" s="238">
        <f>I139-F139</f>
        <v/>
      </c>
      <c r="K139" s="235">
        <f>IF(F139=0,"",I139/F139)</f>
        <v/>
      </c>
      <c r="L139" s="26" t="n"/>
      <c r="M139" s="233" t="n"/>
      <c r="N139" s="233" t="n"/>
      <c r="O139" s="233">
        <f>M139+N139</f>
        <v/>
      </c>
      <c r="P139" s="233" t="n"/>
      <c r="Q139" s="233" t="n"/>
      <c r="R139" s="233">
        <f>P139+Q139</f>
        <v/>
      </c>
      <c r="S139" s="238">
        <f>R139-O139</f>
        <v/>
      </c>
      <c r="T139" s="235">
        <f>IF(O139=0,"",R139/O139)</f>
        <v/>
      </c>
      <c r="U139" s="26" t="n"/>
      <c r="V139" s="236">
        <f>D139+M139</f>
        <v/>
      </c>
      <c r="W139" s="236">
        <f>E139+N139</f>
        <v/>
      </c>
      <c r="X139" s="236">
        <f>V139+W139</f>
        <v/>
      </c>
      <c r="Y139" s="236">
        <f>G139+P139</f>
        <v/>
      </c>
      <c r="Z139" s="236">
        <f>H139+Q139</f>
        <v/>
      </c>
      <c r="AA139" s="236">
        <f>Y139+Z139</f>
        <v/>
      </c>
      <c r="AB139" s="239">
        <f>AA139-X139</f>
        <v/>
      </c>
      <c r="AC139" s="237">
        <f>IF(X139=0,"",AA139/X139)</f>
        <v/>
      </c>
      <c r="AD139" s="33" t="n"/>
      <c r="AE139" s="233" t="n"/>
      <c r="AF139" s="233" t="n"/>
      <c r="AG139" s="233">
        <f>AE139+AF139</f>
        <v/>
      </c>
      <c r="AH139" s="233" t="n"/>
      <c r="AI139" s="233" t="n"/>
      <c r="AJ139" s="233">
        <f>AH139+AI139</f>
        <v/>
      </c>
      <c r="AK139" s="238">
        <f>AJ139-AG139</f>
        <v/>
      </c>
      <c r="AL139" s="235">
        <f>IF(AG139=0,"",AJ139/AG139)</f>
        <v/>
      </c>
      <c r="AM139" s="26" t="n"/>
      <c r="AN139" s="236">
        <f>V139+AE139</f>
        <v/>
      </c>
      <c r="AO139" s="236">
        <f>W139+AF139</f>
        <v/>
      </c>
      <c r="AP139" s="236">
        <f>AN139+AO139</f>
        <v/>
      </c>
      <c r="AQ139" s="236">
        <f>Y139+AH139</f>
        <v/>
      </c>
      <c r="AR139" s="236">
        <f>Z139+AI139</f>
        <v/>
      </c>
      <c r="AS139" s="236">
        <f>AQ139+AR139</f>
        <v/>
      </c>
      <c r="AT139" s="239">
        <f>AS139-AP139</f>
        <v/>
      </c>
      <c r="AU139" s="237">
        <f>IF(AP139=0,"",AS139/AP139)</f>
        <v/>
      </c>
      <c r="AV139" s="33" t="n"/>
      <c r="AW139" s="233" t="n"/>
      <c r="AX139" s="233" t="n"/>
      <c r="AY139" s="233">
        <f>AW139+AX139</f>
        <v/>
      </c>
      <c r="AZ139" s="233" t="n"/>
      <c r="BA139" s="233" t="n"/>
      <c r="BB139" s="233">
        <f>AZ139+BA139</f>
        <v/>
      </c>
      <c r="BC139" s="238">
        <f>BB139-AY139</f>
        <v/>
      </c>
      <c r="BD139" s="235">
        <f>IF(AY139=0,"",BB139/AY139)</f>
        <v/>
      </c>
      <c r="BE139" s="26" t="n"/>
      <c r="BF139" s="236">
        <f>AN139+AW139</f>
        <v/>
      </c>
      <c r="BG139" s="236">
        <f>AO139+AX139</f>
        <v/>
      </c>
      <c r="BH139" s="236">
        <f>BF139+BG139</f>
        <v/>
      </c>
      <c r="BI139" s="236">
        <f>AQ139+AZ139</f>
        <v/>
      </c>
      <c r="BJ139" s="236">
        <f>AR139+BA139</f>
        <v/>
      </c>
      <c r="BK139" s="236">
        <f>BI139+BJ139</f>
        <v/>
      </c>
      <c r="BL139" s="239">
        <f>BK139-BH139</f>
        <v/>
      </c>
      <c r="BM139" s="237">
        <f>IF(BH139=0,"",BK139/BH139)</f>
        <v/>
      </c>
      <c r="BN139" s="33" t="n"/>
      <c r="BO139" s="233" t="n"/>
      <c r="BP139" s="233" t="n"/>
      <c r="BQ139" s="233">
        <f>BO139+BP139</f>
        <v/>
      </c>
      <c r="BR139" s="233" t="n"/>
      <c r="BS139" s="233" t="n"/>
      <c r="BT139" s="233">
        <f>BR139+BS139</f>
        <v/>
      </c>
      <c r="BU139" s="238">
        <f>BT139-BQ139</f>
        <v/>
      </c>
      <c r="BV139" s="235">
        <f>IF(BQ139=0,"",BT139/BQ139)</f>
        <v/>
      </c>
      <c r="BW139" s="26" t="n"/>
      <c r="BX139" s="236">
        <f>BF139+BO139</f>
        <v/>
      </c>
      <c r="BY139" s="236">
        <f>BG139+BP139</f>
        <v/>
      </c>
      <c r="BZ139" s="236">
        <f>BX139+BY139</f>
        <v/>
      </c>
      <c r="CA139" s="236">
        <f>BI139+BR139</f>
        <v/>
      </c>
      <c r="CB139" s="236">
        <f>BJ139+BS139</f>
        <v/>
      </c>
      <c r="CC139" s="236">
        <f>CA139+CB139</f>
        <v/>
      </c>
      <c r="CD139" s="239">
        <f>CC139-BZ139</f>
        <v/>
      </c>
      <c r="CE139" s="237">
        <f>IF(BZ139=0,"",CC139/BZ139)</f>
        <v/>
      </c>
      <c r="CF139" s="33" t="n"/>
      <c r="CG139" s="233" t="n"/>
      <c r="CH139" s="233" t="n"/>
      <c r="CI139" s="233">
        <f>CG139+CH139</f>
        <v/>
      </c>
      <c r="CJ139" s="233" t="n"/>
      <c r="CK139" s="233" t="n"/>
      <c r="CL139" s="233">
        <f>CJ139+CK139</f>
        <v/>
      </c>
      <c r="CM139" s="238">
        <f>CL139-CI139</f>
        <v/>
      </c>
      <c r="CN139" s="235">
        <f>IF(CI139=0,"",CL139/CI139)</f>
        <v/>
      </c>
      <c r="CO139" s="26" t="n"/>
      <c r="CP139" s="236">
        <f>BX139+CG139</f>
        <v/>
      </c>
      <c r="CQ139" s="236">
        <f>BY139+CH139</f>
        <v/>
      </c>
      <c r="CR139" s="236">
        <f>CP139+CQ139</f>
        <v/>
      </c>
      <c r="CS139" s="236">
        <f>CA139+CJ139</f>
        <v/>
      </c>
      <c r="CT139" s="236">
        <f>CB139+CK139</f>
        <v/>
      </c>
      <c r="CU139" s="236">
        <f>CS139+CT139</f>
        <v/>
      </c>
      <c r="CV139" s="239">
        <f>CU139-CR139</f>
        <v/>
      </c>
      <c r="CW139" s="237">
        <f>IF(CR139=0,"",CU139/CR139)</f>
        <v/>
      </c>
      <c r="CX139" s="33" t="n"/>
      <c r="CY139" s="233" t="n"/>
      <c r="CZ139" s="233" t="n"/>
      <c r="DA139" s="233">
        <f>CY139+CZ139</f>
        <v/>
      </c>
      <c r="DB139" s="233" t="n"/>
      <c r="DC139" s="233" t="n"/>
      <c r="DD139" s="233">
        <f>DB139+DC139</f>
        <v/>
      </c>
      <c r="DE139" s="238">
        <f>DD139-DA139</f>
        <v/>
      </c>
      <c r="DF139" s="235">
        <f>IF(DA139=0,"",DD139/DA139)</f>
        <v/>
      </c>
      <c r="DG139" s="26" t="n"/>
      <c r="DH139" s="236">
        <f>CP139+CY139</f>
        <v/>
      </c>
      <c r="DI139" s="236">
        <f>CQ139+CZ139</f>
        <v/>
      </c>
      <c r="DJ139" s="236">
        <f>DH139+DI139</f>
        <v/>
      </c>
      <c r="DK139" s="236">
        <f>CS139+DB139</f>
        <v/>
      </c>
      <c r="DL139" s="236">
        <f>CT139+DC139</f>
        <v/>
      </c>
      <c r="DM139" s="236">
        <f>DK139+DL139</f>
        <v/>
      </c>
      <c r="DN139" s="239">
        <f>DM139-DJ139</f>
        <v/>
      </c>
      <c r="DO139" s="237">
        <f>IF(DJ139=0,"",DM139/DJ139)</f>
        <v/>
      </c>
      <c r="DP139" s="33" t="n"/>
      <c r="DQ139" s="233" t="n"/>
      <c r="DR139" s="233" t="n"/>
      <c r="DS139" s="233">
        <f>DQ139+DR139</f>
        <v/>
      </c>
      <c r="DT139" s="233" t="n"/>
      <c r="DU139" s="233" t="n"/>
      <c r="DV139" s="233">
        <f>DT139+DU139</f>
        <v/>
      </c>
      <c r="DW139" s="238">
        <f>DV139-DS139</f>
        <v/>
      </c>
      <c r="DX139" s="235">
        <f>IF(DS139=0,"",DV139/DS139)</f>
        <v/>
      </c>
      <c r="DY139" s="26" t="n"/>
      <c r="DZ139" s="236">
        <f>DH139+DQ139</f>
        <v/>
      </c>
      <c r="EA139" s="236">
        <f>DI139+DR139</f>
        <v/>
      </c>
      <c r="EB139" s="236">
        <f>DZ139+EA139</f>
        <v/>
      </c>
      <c r="EC139" s="236">
        <f>DK139+DT139</f>
        <v/>
      </c>
      <c r="ED139" s="236">
        <f>DL139+DU139</f>
        <v/>
      </c>
      <c r="EE139" s="236">
        <f>EC139+ED139</f>
        <v/>
      </c>
      <c r="EF139" s="239">
        <f>EE139-EB139</f>
        <v/>
      </c>
      <c r="EG139" s="237">
        <f>IF(EB139=0,"",EE139/EB139)</f>
        <v/>
      </c>
      <c r="EH139" s="33" t="n"/>
      <c r="EI139" s="233" t="n"/>
      <c r="EJ139" s="233" t="n"/>
      <c r="EK139" s="233">
        <f>EI139+EJ139</f>
        <v/>
      </c>
      <c r="EL139" s="233" t="n"/>
      <c r="EM139" s="233" t="n"/>
      <c r="EN139" s="233">
        <f>EL139+EM139</f>
        <v/>
      </c>
      <c r="EO139" s="238">
        <f>EN139-EK139</f>
        <v/>
      </c>
      <c r="EP139" s="235">
        <f>IF(EK139=0,"",EN139/EK139)</f>
        <v/>
      </c>
      <c r="EQ139" s="26" t="n"/>
      <c r="ER139" s="236">
        <f>DZ139+EI139</f>
        <v/>
      </c>
      <c r="ES139" s="236">
        <f>EA139+EJ139</f>
        <v/>
      </c>
      <c r="ET139" s="236">
        <f>ER139+ES139</f>
        <v/>
      </c>
      <c r="EU139" s="236">
        <f>EC139+EL139</f>
        <v/>
      </c>
      <c r="EV139" s="236">
        <f>ED139+EM139</f>
        <v/>
      </c>
      <c r="EW139" s="236">
        <f>EU139+EV139</f>
        <v/>
      </c>
      <c r="EX139" s="239">
        <f>EW139-ET139</f>
        <v/>
      </c>
      <c r="EY139" s="237">
        <f>IF(ET139=0,"",EW139/ET139)</f>
        <v/>
      </c>
      <c r="EZ139" s="33" t="n"/>
      <c r="FA139" s="233" t="n"/>
      <c r="FB139" s="233" t="n"/>
      <c r="FC139" s="233">
        <f>FA139+FB139</f>
        <v/>
      </c>
      <c r="FD139" s="233" t="n"/>
      <c r="FE139" s="233" t="n"/>
      <c r="FF139" s="233">
        <f>FD139+FE139</f>
        <v/>
      </c>
      <c r="FG139" s="238">
        <f>FF139-FC139</f>
        <v/>
      </c>
      <c r="FH139" s="235">
        <f>IF(FC139=0,"",FF139/FC139)</f>
        <v/>
      </c>
      <c r="FI139" s="26" t="n"/>
      <c r="FJ139" s="236">
        <f>ER139+FA139</f>
        <v/>
      </c>
      <c r="FK139" s="236">
        <f>ES139+FB139</f>
        <v/>
      </c>
      <c r="FL139" s="236">
        <f>FJ139+FK139</f>
        <v/>
      </c>
      <c r="FM139" s="236">
        <f>EU139+FD139</f>
        <v/>
      </c>
      <c r="FN139" s="236">
        <f>EV139+FE139</f>
        <v/>
      </c>
      <c r="FO139" s="236">
        <f>FM139+FN139</f>
        <v/>
      </c>
      <c r="FP139" s="239">
        <f>FO139-FL139</f>
        <v/>
      </c>
      <c r="FQ139" s="237">
        <f>IF(FL139=0,"",FO139/FL139)</f>
        <v/>
      </c>
      <c r="FR139" s="33" t="n"/>
      <c r="FS139" s="233" t="n"/>
      <c r="FT139" s="233" t="n"/>
      <c r="FU139" s="233">
        <f>FS139+FT139</f>
        <v/>
      </c>
      <c r="FV139" s="233" t="n"/>
      <c r="FW139" s="233" t="n"/>
      <c r="FX139" s="233">
        <f>FV139+FW139</f>
        <v/>
      </c>
      <c r="FY139" s="238">
        <f>FX139-FU139</f>
        <v/>
      </c>
      <c r="FZ139" s="235">
        <f>IF(FU139=0,"",FX139/FU139)</f>
        <v/>
      </c>
      <c r="GA139" s="26" t="n"/>
      <c r="GB139" s="236">
        <f>FJ139+FS139</f>
        <v/>
      </c>
      <c r="GC139" s="236">
        <f>FK139+FT139</f>
        <v/>
      </c>
      <c r="GD139" s="236">
        <f>GB139+GC139</f>
        <v/>
      </c>
      <c r="GE139" s="236">
        <f>FM139+FV139</f>
        <v/>
      </c>
      <c r="GF139" s="236">
        <f>FN139+FW139</f>
        <v/>
      </c>
      <c r="GG139" s="236">
        <f>GE139+GF139</f>
        <v/>
      </c>
      <c r="GH139" s="239">
        <f>GG139-GD139</f>
        <v/>
      </c>
      <c r="GI139" s="237">
        <f>IF(GD139=0,"",GG139/GD139)</f>
        <v/>
      </c>
      <c r="GJ139" s="33" t="n"/>
      <c r="GK139" s="233" t="n"/>
      <c r="GL139" s="233" t="n"/>
      <c r="GM139" s="233">
        <f>GK139+GL139</f>
        <v/>
      </c>
      <c r="GN139" s="233" t="n"/>
      <c r="GO139" s="233" t="n"/>
      <c r="GP139" s="233">
        <f>GN139+GO139</f>
        <v/>
      </c>
      <c r="GQ139" s="238">
        <f>GP139-GM139</f>
        <v/>
      </c>
      <c r="GR139" s="235">
        <f>IF(GM139=0,"",GP139/GM139)</f>
        <v/>
      </c>
      <c r="GS139" s="26" t="n"/>
      <c r="GT139" s="236">
        <f>GB139+GK139</f>
        <v/>
      </c>
      <c r="GU139" s="236">
        <f>GC139+GL139</f>
        <v/>
      </c>
      <c r="GV139" s="236">
        <f>GT139+GU139</f>
        <v/>
      </c>
      <c r="GW139" s="236">
        <f>GE139+GN139</f>
        <v/>
      </c>
      <c r="GX139" s="236">
        <f>GF139+GO139</f>
        <v/>
      </c>
      <c r="GY139" s="236">
        <f>GW139+GX139</f>
        <v/>
      </c>
      <c r="GZ139" s="239">
        <f>GY139-GV139</f>
        <v/>
      </c>
      <c r="HA139" s="237">
        <f>IF(GV139=0,"",GY139/GV139)</f>
        <v/>
      </c>
      <c r="HB139" s="33" t="n"/>
      <c r="HC139" s="233">
        <f>GT139</f>
        <v/>
      </c>
      <c r="HD139" s="233">
        <f>GU139</f>
        <v/>
      </c>
      <c r="HE139" s="233">
        <f>HC139+HD139</f>
        <v/>
      </c>
    </row>
    <row r="140" outlineLevel="1" ht="15" customHeight="1" s="150">
      <c r="A140" s="26" t="n"/>
      <c r="B140" s="26" t="n"/>
      <c r="C140" s="26" t="n"/>
      <c r="D140" s="233" t="n"/>
      <c r="E140" s="233" t="n"/>
      <c r="F140" s="233">
        <f>D140+E140</f>
        <v/>
      </c>
      <c r="G140" s="233" t="n"/>
      <c r="H140" s="233" t="n"/>
      <c r="I140" s="233">
        <f>G140+H140</f>
        <v/>
      </c>
      <c r="J140" s="238">
        <f>I140-F140</f>
        <v/>
      </c>
      <c r="K140" s="235">
        <f>IF(F140=0,"",I140/F140)</f>
        <v/>
      </c>
      <c r="L140" s="26" t="n"/>
      <c r="M140" s="233" t="n"/>
      <c r="N140" s="233" t="n"/>
      <c r="O140" s="233">
        <f>M140+N140</f>
        <v/>
      </c>
      <c r="P140" s="233" t="n"/>
      <c r="Q140" s="233" t="n"/>
      <c r="R140" s="233">
        <f>P140+Q140</f>
        <v/>
      </c>
      <c r="S140" s="238">
        <f>R140-O140</f>
        <v/>
      </c>
      <c r="T140" s="235">
        <f>IF(O140=0,"",R140/O140)</f>
        <v/>
      </c>
      <c r="U140" s="26" t="n"/>
      <c r="V140" s="236">
        <f>D140+M140</f>
        <v/>
      </c>
      <c r="W140" s="236">
        <f>E140+N140</f>
        <v/>
      </c>
      <c r="X140" s="236">
        <f>V140+W140</f>
        <v/>
      </c>
      <c r="Y140" s="236">
        <f>G140+P140</f>
        <v/>
      </c>
      <c r="Z140" s="236">
        <f>H140+Q140</f>
        <v/>
      </c>
      <c r="AA140" s="236">
        <f>Y140+Z140</f>
        <v/>
      </c>
      <c r="AB140" s="239">
        <f>AA140-X140</f>
        <v/>
      </c>
      <c r="AC140" s="237">
        <f>IF(X140=0,"",AA140/X140)</f>
        <v/>
      </c>
      <c r="AD140" s="33" t="n"/>
      <c r="AE140" s="233" t="n"/>
      <c r="AF140" s="233" t="n"/>
      <c r="AG140" s="233">
        <f>AE140+AF140</f>
        <v/>
      </c>
      <c r="AH140" s="233" t="n"/>
      <c r="AI140" s="233" t="n"/>
      <c r="AJ140" s="233">
        <f>AH140+AI140</f>
        <v/>
      </c>
      <c r="AK140" s="238">
        <f>AJ140-AG140</f>
        <v/>
      </c>
      <c r="AL140" s="235">
        <f>IF(AG140=0,"",AJ140/AG140)</f>
        <v/>
      </c>
      <c r="AM140" s="26" t="n"/>
      <c r="AN140" s="236">
        <f>V140+AE140</f>
        <v/>
      </c>
      <c r="AO140" s="236">
        <f>W140+AF140</f>
        <v/>
      </c>
      <c r="AP140" s="236">
        <f>AN140+AO140</f>
        <v/>
      </c>
      <c r="AQ140" s="236">
        <f>Y140+AH140</f>
        <v/>
      </c>
      <c r="AR140" s="236">
        <f>Z140+AI140</f>
        <v/>
      </c>
      <c r="AS140" s="236">
        <f>AQ140+AR140</f>
        <v/>
      </c>
      <c r="AT140" s="239">
        <f>AS140-AP140</f>
        <v/>
      </c>
      <c r="AU140" s="237">
        <f>IF(AP140=0,"",AS140/AP140)</f>
        <v/>
      </c>
      <c r="AV140" s="33" t="n"/>
      <c r="AW140" s="233" t="n"/>
      <c r="AX140" s="233" t="n"/>
      <c r="AY140" s="233">
        <f>AW140+AX140</f>
        <v/>
      </c>
      <c r="AZ140" s="233" t="n"/>
      <c r="BA140" s="233" t="n"/>
      <c r="BB140" s="233">
        <f>AZ140+BA140</f>
        <v/>
      </c>
      <c r="BC140" s="238">
        <f>BB140-AY140</f>
        <v/>
      </c>
      <c r="BD140" s="235">
        <f>IF(AY140=0,"",BB140/AY140)</f>
        <v/>
      </c>
      <c r="BE140" s="26" t="n"/>
      <c r="BF140" s="236">
        <f>AN140+AW140</f>
        <v/>
      </c>
      <c r="BG140" s="236">
        <f>AO140+AX140</f>
        <v/>
      </c>
      <c r="BH140" s="236">
        <f>BF140+BG140</f>
        <v/>
      </c>
      <c r="BI140" s="236">
        <f>AQ140+AZ140</f>
        <v/>
      </c>
      <c r="BJ140" s="236">
        <f>AR140+BA140</f>
        <v/>
      </c>
      <c r="BK140" s="236">
        <f>BI140+BJ140</f>
        <v/>
      </c>
      <c r="BL140" s="239">
        <f>BK140-BH140</f>
        <v/>
      </c>
      <c r="BM140" s="237">
        <f>IF(BH140=0,"",BK140/BH140)</f>
        <v/>
      </c>
      <c r="BN140" s="33" t="n"/>
      <c r="BO140" s="233" t="n"/>
      <c r="BP140" s="233" t="n"/>
      <c r="BQ140" s="233">
        <f>BO140+BP140</f>
        <v/>
      </c>
      <c r="BR140" s="233" t="n"/>
      <c r="BS140" s="233" t="n"/>
      <c r="BT140" s="233">
        <f>BR140+BS140</f>
        <v/>
      </c>
      <c r="BU140" s="238">
        <f>BT140-BQ140</f>
        <v/>
      </c>
      <c r="BV140" s="235">
        <f>IF(BQ140=0,"",BT140/BQ140)</f>
        <v/>
      </c>
      <c r="BW140" s="26" t="n"/>
      <c r="BX140" s="236">
        <f>BF140+BO140</f>
        <v/>
      </c>
      <c r="BY140" s="236">
        <f>BG140+BP140</f>
        <v/>
      </c>
      <c r="BZ140" s="236">
        <f>BX140+BY140</f>
        <v/>
      </c>
      <c r="CA140" s="236">
        <f>BI140+BR140</f>
        <v/>
      </c>
      <c r="CB140" s="236">
        <f>BJ140+BS140</f>
        <v/>
      </c>
      <c r="CC140" s="236">
        <f>CA140+CB140</f>
        <v/>
      </c>
      <c r="CD140" s="239">
        <f>CC140-BZ140</f>
        <v/>
      </c>
      <c r="CE140" s="237">
        <f>IF(BZ140=0,"",CC140/BZ140)</f>
        <v/>
      </c>
      <c r="CF140" s="33" t="n"/>
      <c r="CG140" s="233" t="n"/>
      <c r="CH140" s="233" t="n"/>
      <c r="CI140" s="233">
        <f>CG140+CH140</f>
        <v/>
      </c>
      <c r="CJ140" s="233" t="n"/>
      <c r="CK140" s="233" t="n"/>
      <c r="CL140" s="233">
        <f>CJ140+CK140</f>
        <v/>
      </c>
      <c r="CM140" s="238">
        <f>CL140-CI140</f>
        <v/>
      </c>
      <c r="CN140" s="235">
        <f>IF(CI140=0,"",CL140/CI140)</f>
        <v/>
      </c>
      <c r="CO140" s="26" t="n"/>
      <c r="CP140" s="236">
        <f>BX140+CG140</f>
        <v/>
      </c>
      <c r="CQ140" s="236">
        <f>BY140+CH140</f>
        <v/>
      </c>
      <c r="CR140" s="236">
        <f>CP140+CQ140</f>
        <v/>
      </c>
      <c r="CS140" s="236">
        <f>CA140+CJ140</f>
        <v/>
      </c>
      <c r="CT140" s="236">
        <f>CB140+CK140</f>
        <v/>
      </c>
      <c r="CU140" s="236">
        <f>CS140+CT140</f>
        <v/>
      </c>
      <c r="CV140" s="239">
        <f>CU140-CR140</f>
        <v/>
      </c>
      <c r="CW140" s="237">
        <f>IF(CR140=0,"",CU140/CR140)</f>
        <v/>
      </c>
      <c r="CX140" s="33" t="n"/>
      <c r="CY140" s="233" t="n"/>
      <c r="CZ140" s="233" t="n"/>
      <c r="DA140" s="233">
        <f>CY140+CZ140</f>
        <v/>
      </c>
      <c r="DB140" s="233" t="n"/>
      <c r="DC140" s="233" t="n"/>
      <c r="DD140" s="233">
        <f>DB140+DC140</f>
        <v/>
      </c>
      <c r="DE140" s="238">
        <f>DD140-DA140</f>
        <v/>
      </c>
      <c r="DF140" s="235">
        <f>IF(DA140=0,"",DD140/DA140)</f>
        <v/>
      </c>
      <c r="DG140" s="26" t="n"/>
      <c r="DH140" s="236">
        <f>CP140+CY140</f>
        <v/>
      </c>
      <c r="DI140" s="236">
        <f>CQ140+CZ140</f>
        <v/>
      </c>
      <c r="DJ140" s="236">
        <f>DH140+DI140</f>
        <v/>
      </c>
      <c r="DK140" s="236">
        <f>CS140+DB140</f>
        <v/>
      </c>
      <c r="DL140" s="236">
        <f>CT140+DC140</f>
        <v/>
      </c>
      <c r="DM140" s="236">
        <f>DK140+DL140</f>
        <v/>
      </c>
      <c r="DN140" s="239">
        <f>DM140-DJ140</f>
        <v/>
      </c>
      <c r="DO140" s="237">
        <f>IF(DJ140=0,"",DM140/DJ140)</f>
        <v/>
      </c>
      <c r="DP140" s="33" t="n"/>
      <c r="DQ140" s="233" t="n"/>
      <c r="DR140" s="233" t="n"/>
      <c r="DS140" s="233">
        <f>DQ140+DR140</f>
        <v/>
      </c>
      <c r="DT140" s="233" t="n"/>
      <c r="DU140" s="233" t="n"/>
      <c r="DV140" s="233">
        <f>DT140+DU140</f>
        <v/>
      </c>
      <c r="DW140" s="238">
        <f>DV140-DS140</f>
        <v/>
      </c>
      <c r="DX140" s="235">
        <f>IF(DS140=0,"",DV140/DS140)</f>
        <v/>
      </c>
      <c r="DY140" s="26" t="n"/>
      <c r="DZ140" s="236">
        <f>DH140+DQ140</f>
        <v/>
      </c>
      <c r="EA140" s="236">
        <f>DI140+DR140</f>
        <v/>
      </c>
      <c r="EB140" s="236">
        <f>DZ140+EA140</f>
        <v/>
      </c>
      <c r="EC140" s="236">
        <f>DK140+DT140</f>
        <v/>
      </c>
      <c r="ED140" s="236">
        <f>DL140+DU140</f>
        <v/>
      </c>
      <c r="EE140" s="236">
        <f>EC140+ED140</f>
        <v/>
      </c>
      <c r="EF140" s="239">
        <f>EE140-EB140</f>
        <v/>
      </c>
      <c r="EG140" s="237">
        <f>IF(EB140=0,"",EE140/EB140)</f>
        <v/>
      </c>
      <c r="EH140" s="33" t="n"/>
      <c r="EI140" s="233" t="n"/>
      <c r="EJ140" s="233" t="n"/>
      <c r="EK140" s="233">
        <f>EI140+EJ140</f>
        <v/>
      </c>
      <c r="EL140" s="233" t="n"/>
      <c r="EM140" s="233" t="n"/>
      <c r="EN140" s="233">
        <f>EL140+EM140</f>
        <v/>
      </c>
      <c r="EO140" s="238">
        <f>EN140-EK140</f>
        <v/>
      </c>
      <c r="EP140" s="235">
        <f>IF(EK140=0,"",EN140/EK140)</f>
        <v/>
      </c>
      <c r="EQ140" s="26" t="n"/>
      <c r="ER140" s="236">
        <f>DZ140+EI140</f>
        <v/>
      </c>
      <c r="ES140" s="236">
        <f>EA140+EJ140</f>
        <v/>
      </c>
      <c r="ET140" s="236">
        <f>ER140+ES140</f>
        <v/>
      </c>
      <c r="EU140" s="236">
        <f>EC140+EL140</f>
        <v/>
      </c>
      <c r="EV140" s="236">
        <f>ED140+EM140</f>
        <v/>
      </c>
      <c r="EW140" s="236">
        <f>EU140+EV140</f>
        <v/>
      </c>
      <c r="EX140" s="239">
        <f>EW140-ET140</f>
        <v/>
      </c>
      <c r="EY140" s="237">
        <f>IF(ET140=0,"",EW140/ET140)</f>
        <v/>
      </c>
      <c r="EZ140" s="33" t="n"/>
      <c r="FA140" s="233" t="n"/>
      <c r="FB140" s="233" t="n"/>
      <c r="FC140" s="233">
        <f>FA140+FB140</f>
        <v/>
      </c>
      <c r="FD140" s="233" t="n"/>
      <c r="FE140" s="233" t="n"/>
      <c r="FF140" s="233">
        <f>FD140+FE140</f>
        <v/>
      </c>
      <c r="FG140" s="238">
        <f>FF140-FC140</f>
        <v/>
      </c>
      <c r="FH140" s="235">
        <f>IF(FC140=0,"",FF140/FC140)</f>
        <v/>
      </c>
      <c r="FI140" s="26" t="n"/>
      <c r="FJ140" s="236">
        <f>ER140+FA140</f>
        <v/>
      </c>
      <c r="FK140" s="236">
        <f>ES140+FB140</f>
        <v/>
      </c>
      <c r="FL140" s="236">
        <f>FJ140+FK140</f>
        <v/>
      </c>
      <c r="FM140" s="236">
        <f>EU140+FD140</f>
        <v/>
      </c>
      <c r="FN140" s="236">
        <f>EV140+FE140</f>
        <v/>
      </c>
      <c r="FO140" s="236">
        <f>FM140+FN140</f>
        <v/>
      </c>
      <c r="FP140" s="239">
        <f>FO140-FL140</f>
        <v/>
      </c>
      <c r="FQ140" s="237">
        <f>IF(FL140=0,"",FO140/FL140)</f>
        <v/>
      </c>
      <c r="FR140" s="33" t="n"/>
      <c r="FS140" s="233" t="n"/>
      <c r="FT140" s="233" t="n"/>
      <c r="FU140" s="233">
        <f>FS140+FT140</f>
        <v/>
      </c>
      <c r="FV140" s="233" t="n"/>
      <c r="FW140" s="233" t="n"/>
      <c r="FX140" s="233">
        <f>FV140+FW140</f>
        <v/>
      </c>
      <c r="FY140" s="238">
        <f>FX140-FU140</f>
        <v/>
      </c>
      <c r="FZ140" s="235">
        <f>IF(FU140=0,"",FX140/FU140)</f>
        <v/>
      </c>
      <c r="GA140" s="26" t="n"/>
      <c r="GB140" s="236">
        <f>FJ140+FS140</f>
        <v/>
      </c>
      <c r="GC140" s="236">
        <f>FK140+FT140</f>
        <v/>
      </c>
      <c r="GD140" s="236">
        <f>GB140+GC140</f>
        <v/>
      </c>
      <c r="GE140" s="236">
        <f>FM140+FV140</f>
        <v/>
      </c>
      <c r="GF140" s="236">
        <f>FN140+FW140</f>
        <v/>
      </c>
      <c r="GG140" s="236">
        <f>GE140+GF140</f>
        <v/>
      </c>
      <c r="GH140" s="239">
        <f>GG140-GD140</f>
        <v/>
      </c>
      <c r="GI140" s="237">
        <f>IF(GD140=0,"",GG140/GD140)</f>
        <v/>
      </c>
      <c r="GJ140" s="33" t="n"/>
      <c r="GK140" s="233" t="n"/>
      <c r="GL140" s="233" t="n"/>
      <c r="GM140" s="233">
        <f>GK140+GL140</f>
        <v/>
      </c>
      <c r="GN140" s="233" t="n"/>
      <c r="GO140" s="233" t="n"/>
      <c r="GP140" s="233">
        <f>GN140+GO140</f>
        <v/>
      </c>
      <c r="GQ140" s="238">
        <f>GP140-GM140</f>
        <v/>
      </c>
      <c r="GR140" s="235">
        <f>IF(GM140=0,"",GP140/GM140)</f>
        <v/>
      </c>
      <c r="GS140" s="26" t="n"/>
      <c r="GT140" s="236">
        <f>GB140+GK140</f>
        <v/>
      </c>
      <c r="GU140" s="236">
        <f>GC140+GL140</f>
        <v/>
      </c>
      <c r="GV140" s="236">
        <f>GT140+GU140</f>
        <v/>
      </c>
      <c r="GW140" s="236">
        <f>GE140+GN140</f>
        <v/>
      </c>
      <c r="GX140" s="236">
        <f>GF140+GO140</f>
        <v/>
      </c>
      <c r="GY140" s="236">
        <f>GW140+GX140</f>
        <v/>
      </c>
      <c r="GZ140" s="239">
        <f>GY140-GV140</f>
        <v/>
      </c>
      <c r="HA140" s="237">
        <f>IF(GV140=0,"",GY140/GV140)</f>
        <v/>
      </c>
      <c r="HB140" s="33" t="n"/>
      <c r="HC140" s="233">
        <f>GT140</f>
        <v/>
      </c>
      <c r="HD140" s="233">
        <f>GU140</f>
        <v/>
      </c>
      <c r="HE140" s="233">
        <f>HC140+HD140</f>
        <v/>
      </c>
    </row>
    <row r="141" outlineLevel="1" ht="15" customHeight="1" s="150">
      <c r="A141" s="26" t="n"/>
      <c r="B141" s="26" t="n"/>
      <c r="C141" s="26" t="n"/>
      <c r="D141" s="233" t="n"/>
      <c r="E141" s="233" t="n"/>
      <c r="F141" s="233">
        <f>D141+E141</f>
        <v/>
      </c>
      <c r="G141" s="233" t="n"/>
      <c r="H141" s="233" t="n"/>
      <c r="I141" s="233">
        <f>G141+H141</f>
        <v/>
      </c>
      <c r="J141" s="238">
        <f>I141-F141</f>
        <v/>
      </c>
      <c r="K141" s="235">
        <f>IF(F141=0,"",I141/F141)</f>
        <v/>
      </c>
      <c r="L141" s="26" t="n"/>
      <c r="M141" s="233" t="n"/>
      <c r="N141" s="233" t="n"/>
      <c r="O141" s="233">
        <f>M141+N141</f>
        <v/>
      </c>
      <c r="P141" s="233" t="n"/>
      <c r="Q141" s="233" t="n"/>
      <c r="R141" s="233">
        <f>P141+Q141</f>
        <v/>
      </c>
      <c r="S141" s="238">
        <f>R141-O141</f>
        <v/>
      </c>
      <c r="T141" s="235">
        <f>IF(O141=0,"",R141/O141)</f>
        <v/>
      </c>
      <c r="U141" s="26" t="n"/>
      <c r="V141" s="236">
        <f>D141+M141</f>
        <v/>
      </c>
      <c r="W141" s="236">
        <f>E141+N141</f>
        <v/>
      </c>
      <c r="X141" s="236">
        <f>V141+W141</f>
        <v/>
      </c>
      <c r="Y141" s="236">
        <f>G141+P141</f>
        <v/>
      </c>
      <c r="Z141" s="236">
        <f>H141+Q141</f>
        <v/>
      </c>
      <c r="AA141" s="236">
        <f>Y141+Z141</f>
        <v/>
      </c>
      <c r="AB141" s="239">
        <f>AA141-X141</f>
        <v/>
      </c>
      <c r="AC141" s="237">
        <f>IF(X141=0,"",AA141/X141)</f>
        <v/>
      </c>
      <c r="AD141" s="33" t="n"/>
      <c r="AE141" s="233" t="n"/>
      <c r="AF141" s="233" t="n"/>
      <c r="AG141" s="233">
        <f>AE141+AF141</f>
        <v/>
      </c>
      <c r="AH141" s="233" t="n"/>
      <c r="AI141" s="233" t="n"/>
      <c r="AJ141" s="233">
        <f>AH141+AI141</f>
        <v/>
      </c>
      <c r="AK141" s="238">
        <f>AJ141-AG141</f>
        <v/>
      </c>
      <c r="AL141" s="235">
        <f>IF(AG141=0,"",AJ141/AG141)</f>
        <v/>
      </c>
      <c r="AM141" s="26" t="n"/>
      <c r="AN141" s="236">
        <f>V141+AE141</f>
        <v/>
      </c>
      <c r="AO141" s="236">
        <f>W141+AF141</f>
        <v/>
      </c>
      <c r="AP141" s="236">
        <f>AN141+AO141</f>
        <v/>
      </c>
      <c r="AQ141" s="236">
        <f>Y141+AH141</f>
        <v/>
      </c>
      <c r="AR141" s="236">
        <f>Z141+AI141</f>
        <v/>
      </c>
      <c r="AS141" s="236">
        <f>AQ141+AR141</f>
        <v/>
      </c>
      <c r="AT141" s="239">
        <f>AS141-AP141</f>
        <v/>
      </c>
      <c r="AU141" s="237">
        <f>IF(AP141=0,"",AS141/AP141)</f>
        <v/>
      </c>
      <c r="AV141" s="33" t="n"/>
      <c r="AW141" s="233" t="n"/>
      <c r="AX141" s="233" t="n"/>
      <c r="AY141" s="233">
        <f>AW141+AX141</f>
        <v/>
      </c>
      <c r="AZ141" s="233" t="n"/>
      <c r="BA141" s="233" t="n"/>
      <c r="BB141" s="233">
        <f>AZ141+BA141</f>
        <v/>
      </c>
      <c r="BC141" s="238">
        <f>BB141-AY141</f>
        <v/>
      </c>
      <c r="BD141" s="235">
        <f>IF(AY141=0,"",BB141/AY141)</f>
        <v/>
      </c>
      <c r="BE141" s="26" t="n"/>
      <c r="BF141" s="236">
        <f>AN141+AW141</f>
        <v/>
      </c>
      <c r="BG141" s="236">
        <f>AO141+AX141</f>
        <v/>
      </c>
      <c r="BH141" s="236">
        <f>BF141+BG141</f>
        <v/>
      </c>
      <c r="BI141" s="236">
        <f>AQ141+AZ141</f>
        <v/>
      </c>
      <c r="BJ141" s="236">
        <f>AR141+BA141</f>
        <v/>
      </c>
      <c r="BK141" s="236">
        <f>BI141+BJ141</f>
        <v/>
      </c>
      <c r="BL141" s="239">
        <f>BK141-BH141</f>
        <v/>
      </c>
      <c r="BM141" s="237">
        <f>IF(BH141=0,"",BK141/BH141)</f>
        <v/>
      </c>
      <c r="BN141" s="33" t="n"/>
      <c r="BO141" s="233" t="n"/>
      <c r="BP141" s="233" t="n"/>
      <c r="BQ141" s="233">
        <f>BO141+BP141</f>
        <v/>
      </c>
      <c r="BR141" s="233" t="n"/>
      <c r="BS141" s="233" t="n"/>
      <c r="BT141" s="233">
        <f>BR141+BS141</f>
        <v/>
      </c>
      <c r="BU141" s="238">
        <f>BT141-BQ141</f>
        <v/>
      </c>
      <c r="BV141" s="235">
        <f>IF(BQ141=0,"",BT141/BQ141)</f>
        <v/>
      </c>
      <c r="BW141" s="26" t="n"/>
      <c r="BX141" s="236">
        <f>BF141+BO141</f>
        <v/>
      </c>
      <c r="BY141" s="236">
        <f>BG141+BP141</f>
        <v/>
      </c>
      <c r="BZ141" s="236">
        <f>BX141+BY141</f>
        <v/>
      </c>
      <c r="CA141" s="236">
        <f>BI141+BR141</f>
        <v/>
      </c>
      <c r="CB141" s="236">
        <f>BJ141+BS141</f>
        <v/>
      </c>
      <c r="CC141" s="236">
        <f>CA141+CB141</f>
        <v/>
      </c>
      <c r="CD141" s="239">
        <f>CC141-BZ141</f>
        <v/>
      </c>
      <c r="CE141" s="237">
        <f>IF(BZ141=0,"",CC141/BZ141)</f>
        <v/>
      </c>
      <c r="CF141" s="33" t="n"/>
      <c r="CG141" s="233" t="n"/>
      <c r="CH141" s="233" t="n"/>
      <c r="CI141" s="233">
        <f>CG141+CH141</f>
        <v/>
      </c>
      <c r="CJ141" s="233" t="n"/>
      <c r="CK141" s="233" t="n"/>
      <c r="CL141" s="233">
        <f>CJ141+CK141</f>
        <v/>
      </c>
      <c r="CM141" s="238">
        <f>CL141-CI141</f>
        <v/>
      </c>
      <c r="CN141" s="235">
        <f>IF(CI141=0,"",CL141/CI141)</f>
        <v/>
      </c>
      <c r="CO141" s="26" t="n"/>
      <c r="CP141" s="236">
        <f>BX141+CG141</f>
        <v/>
      </c>
      <c r="CQ141" s="236">
        <f>BY141+CH141</f>
        <v/>
      </c>
      <c r="CR141" s="236">
        <f>CP141+CQ141</f>
        <v/>
      </c>
      <c r="CS141" s="236">
        <f>CA141+CJ141</f>
        <v/>
      </c>
      <c r="CT141" s="236">
        <f>CB141+CK141</f>
        <v/>
      </c>
      <c r="CU141" s="236">
        <f>CS141+CT141</f>
        <v/>
      </c>
      <c r="CV141" s="239">
        <f>CU141-CR141</f>
        <v/>
      </c>
      <c r="CW141" s="237">
        <f>IF(CR141=0,"",CU141/CR141)</f>
        <v/>
      </c>
      <c r="CX141" s="33" t="n"/>
      <c r="CY141" s="233" t="n"/>
      <c r="CZ141" s="233" t="n"/>
      <c r="DA141" s="233">
        <f>CY141+CZ141</f>
        <v/>
      </c>
      <c r="DB141" s="233" t="n"/>
      <c r="DC141" s="233" t="n"/>
      <c r="DD141" s="233">
        <f>DB141+DC141</f>
        <v/>
      </c>
      <c r="DE141" s="238">
        <f>DD141-DA141</f>
        <v/>
      </c>
      <c r="DF141" s="235">
        <f>IF(DA141=0,"",DD141/DA141)</f>
        <v/>
      </c>
      <c r="DG141" s="26" t="n"/>
      <c r="DH141" s="236">
        <f>CP141+CY141</f>
        <v/>
      </c>
      <c r="DI141" s="236">
        <f>CQ141+CZ141</f>
        <v/>
      </c>
      <c r="DJ141" s="236">
        <f>DH141+DI141</f>
        <v/>
      </c>
      <c r="DK141" s="236">
        <f>CS141+DB141</f>
        <v/>
      </c>
      <c r="DL141" s="236">
        <f>CT141+DC141</f>
        <v/>
      </c>
      <c r="DM141" s="236">
        <f>DK141+DL141</f>
        <v/>
      </c>
      <c r="DN141" s="239">
        <f>DM141-DJ141</f>
        <v/>
      </c>
      <c r="DO141" s="237">
        <f>IF(DJ141=0,"",DM141/DJ141)</f>
        <v/>
      </c>
      <c r="DP141" s="33" t="n"/>
      <c r="DQ141" s="233" t="n"/>
      <c r="DR141" s="233" t="n"/>
      <c r="DS141" s="233">
        <f>DQ141+DR141</f>
        <v/>
      </c>
      <c r="DT141" s="233" t="n"/>
      <c r="DU141" s="233" t="n"/>
      <c r="DV141" s="233">
        <f>DT141+DU141</f>
        <v/>
      </c>
      <c r="DW141" s="238">
        <f>DV141-DS141</f>
        <v/>
      </c>
      <c r="DX141" s="235">
        <f>IF(DS141=0,"",DV141/DS141)</f>
        <v/>
      </c>
      <c r="DY141" s="26" t="n"/>
      <c r="DZ141" s="236">
        <f>DH141+DQ141</f>
        <v/>
      </c>
      <c r="EA141" s="236">
        <f>DI141+DR141</f>
        <v/>
      </c>
      <c r="EB141" s="236">
        <f>DZ141+EA141</f>
        <v/>
      </c>
      <c r="EC141" s="236">
        <f>DK141+DT141</f>
        <v/>
      </c>
      <c r="ED141" s="236">
        <f>DL141+DU141</f>
        <v/>
      </c>
      <c r="EE141" s="236">
        <f>EC141+ED141</f>
        <v/>
      </c>
      <c r="EF141" s="239">
        <f>EE141-EB141</f>
        <v/>
      </c>
      <c r="EG141" s="237">
        <f>IF(EB141=0,"",EE141/EB141)</f>
        <v/>
      </c>
      <c r="EH141" s="33" t="n"/>
      <c r="EI141" s="233" t="n"/>
      <c r="EJ141" s="233" t="n"/>
      <c r="EK141" s="233">
        <f>EI141+EJ141</f>
        <v/>
      </c>
      <c r="EL141" s="233" t="n"/>
      <c r="EM141" s="233" t="n"/>
      <c r="EN141" s="233">
        <f>EL141+EM141</f>
        <v/>
      </c>
      <c r="EO141" s="238">
        <f>EN141-EK141</f>
        <v/>
      </c>
      <c r="EP141" s="235">
        <f>IF(EK141=0,"",EN141/EK141)</f>
        <v/>
      </c>
      <c r="EQ141" s="26" t="n"/>
      <c r="ER141" s="236">
        <f>DZ141+EI141</f>
        <v/>
      </c>
      <c r="ES141" s="236">
        <f>EA141+EJ141</f>
        <v/>
      </c>
      <c r="ET141" s="236">
        <f>ER141+ES141</f>
        <v/>
      </c>
      <c r="EU141" s="236">
        <f>EC141+EL141</f>
        <v/>
      </c>
      <c r="EV141" s="236">
        <f>ED141+EM141</f>
        <v/>
      </c>
      <c r="EW141" s="236">
        <f>EU141+EV141</f>
        <v/>
      </c>
      <c r="EX141" s="239">
        <f>EW141-ET141</f>
        <v/>
      </c>
      <c r="EY141" s="237">
        <f>IF(ET141=0,"",EW141/ET141)</f>
        <v/>
      </c>
      <c r="EZ141" s="33" t="n"/>
      <c r="FA141" s="233" t="n"/>
      <c r="FB141" s="233" t="n"/>
      <c r="FC141" s="233">
        <f>FA141+FB141</f>
        <v/>
      </c>
      <c r="FD141" s="233" t="n"/>
      <c r="FE141" s="233" t="n"/>
      <c r="FF141" s="233">
        <f>FD141+FE141</f>
        <v/>
      </c>
      <c r="FG141" s="238">
        <f>FF141-FC141</f>
        <v/>
      </c>
      <c r="FH141" s="235">
        <f>IF(FC141=0,"",FF141/FC141)</f>
        <v/>
      </c>
      <c r="FI141" s="26" t="n"/>
      <c r="FJ141" s="236">
        <f>ER141+FA141</f>
        <v/>
      </c>
      <c r="FK141" s="236">
        <f>ES141+FB141</f>
        <v/>
      </c>
      <c r="FL141" s="236">
        <f>FJ141+FK141</f>
        <v/>
      </c>
      <c r="FM141" s="236">
        <f>EU141+FD141</f>
        <v/>
      </c>
      <c r="FN141" s="236">
        <f>EV141+FE141</f>
        <v/>
      </c>
      <c r="FO141" s="236">
        <f>FM141+FN141</f>
        <v/>
      </c>
      <c r="FP141" s="239">
        <f>FO141-FL141</f>
        <v/>
      </c>
      <c r="FQ141" s="237">
        <f>IF(FL141=0,"",FO141/FL141)</f>
        <v/>
      </c>
      <c r="FR141" s="33" t="n"/>
      <c r="FS141" s="233" t="n"/>
      <c r="FT141" s="233" t="n"/>
      <c r="FU141" s="233">
        <f>FS141+FT141</f>
        <v/>
      </c>
      <c r="FV141" s="233" t="n"/>
      <c r="FW141" s="233" t="n"/>
      <c r="FX141" s="233">
        <f>FV141+FW141</f>
        <v/>
      </c>
      <c r="FY141" s="238">
        <f>FX141-FU141</f>
        <v/>
      </c>
      <c r="FZ141" s="235">
        <f>IF(FU141=0,"",FX141/FU141)</f>
        <v/>
      </c>
      <c r="GA141" s="26" t="n"/>
      <c r="GB141" s="236">
        <f>FJ141+FS141</f>
        <v/>
      </c>
      <c r="GC141" s="236">
        <f>FK141+FT141</f>
        <v/>
      </c>
      <c r="GD141" s="236">
        <f>GB141+GC141</f>
        <v/>
      </c>
      <c r="GE141" s="236">
        <f>FM141+FV141</f>
        <v/>
      </c>
      <c r="GF141" s="236">
        <f>FN141+FW141</f>
        <v/>
      </c>
      <c r="GG141" s="236">
        <f>GE141+GF141</f>
        <v/>
      </c>
      <c r="GH141" s="239">
        <f>GG141-GD141</f>
        <v/>
      </c>
      <c r="GI141" s="237">
        <f>IF(GD141=0,"",GG141/GD141)</f>
        <v/>
      </c>
      <c r="GJ141" s="33" t="n"/>
      <c r="GK141" s="233" t="n"/>
      <c r="GL141" s="233" t="n"/>
      <c r="GM141" s="233">
        <f>GK141+GL141</f>
        <v/>
      </c>
      <c r="GN141" s="233" t="n"/>
      <c r="GO141" s="233" t="n"/>
      <c r="GP141" s="233">
        <f>GN141+GO141</f>
        <v/>
      </c>
      <c r="GQ141" s="238">
        <f>GP141-GM141</f>
        <v/>
      </c>
      <c r="GR141" s="235">
        <f>IF(GM141=0,"",GP141/GM141)</f>
        <v/>
      </c>
      <c r="GS141" s="26" t="n"/>
      <c r="GT141" s="236">
        <f>GB141+GK141</f>
        <v/>
      </c>
      <c r="GU141" s="236">
        <f>GC141+GL141</f>
        <v/>
      </c>
      <c r="GV141" s="236">
        <f>GT141+GU141</f>
        <v/>
      </c>
      <c r="GW141" s="236">
        <f>GE141+GN141</f>
        <v/>
      </c>
      <c r="GX141" s="236">
        <f>GF141+GO141</f>
        <v/>
      </c>
      <c r="GY141" s="236">
        <f>GW141+GX141</f>
        <v/>
      </c>
      <c r="GZ141" s="239">
        <f>GY141-GV141</f>
        <v/>
      </c>
      <c r="HA141" s="237">
        <f>IF(GV141=0,"",GY141/GV141)</f>
        <v/>
      </c>
      <c r="HB141" s="33" t="n"/>
      <c r="HC141" s="233">
        <f>GT141</f>
        <v/>
      </c>
      <c r="HD141" s="233">
        <f>GU141</f>
        <v/>
      </c>
      <c r="HE141" s="233">
        <f>HC141+HD141</f>
        <v/>
      </c>
    </row>
    <row r="142" ht="15" customHeight="1" s="150">
      <c r="A142" s="18" t="n"/>
      <c r="B142" s="18" t="n"/>
      <c r="C142" s="18" t="n"/>
      <c r="D142" s="227">
        <f>D143</f>
        <v/>
      </c>
      <c r="E142" s="227">
        <f>E143</f>
        <v/>
      </c>
      <c r="F142" s="227">
        <f>D142+E142</f>
        <v/>
      </c>
      <c r="G142" s="227">
        <f>G143</f>
        <v/>
      </c>
      <c r="H142" s="227">
        <f>H143</f>
        <v/>
      </c>
      <c r="I142" s="227">
        <f>G142+H142</f>
        <v/>
      </c>
      <c r="J142" s="228">
        <f>I142-F142</f>
        <v/>
      </c>
      <c r="K142" s="229">
        <f>IF(F142=0,"",I142/F142)</f>
        <v/>
      </c>
      <c r="L142" s="18" t="n"/>
      <c r="M142" s="227">
        <f>M143</f>
        <v/>
      </c>
      <c r="N142" s="227">
        <f>N143</f>
        <v/>
      </c>
      <c r="O142" s="227">
        <f>M142+N142</f>
        <v/>
      </c>
      <c r="P142" s="227">
        <f>P143</f>
        <v/>
      </c>
      <c r="Q142" s="227">
        <f>Q143</f>
        <v/>
      </c>
      <c r="R142" s="227">
        <f>P142+Q142</f>
        <v/>
      </c>
      <c r="S142" s="228">
        <f>R142-O142</f>
        <v/>
      </c>
      <c r="T142" s="229">
        <f>IF(O142=0,"",R142/O142)</f>
        <v/>
      </c>
      <c r="U142" s="18" t="n"/>
      <c r="V142" s="230">
        <f>V143</f>
        <v/>
      </c>
      <c r="W142" s="230">
        <f>W143</f>
        <v/>
      </c>
      <c r="X142" s="230">
        <f>V142+W142</f>
        <v/>
      </c>
      <c r="Y142" s="230">
        <f>Y143</f>
        <v/>
      </c>
      <c r="Z142" s="230">
        <f>Z143</f>
        <v/>
      </c>
      <c r="AA142" s="230">
        <f>Y142+Z142</f>
        <v/>
      </c>
      <c r="AB142" s="231">
        <f>AA142-X142</f>
        <v/>
      </c>
      <c r="AC142" s="232">
        <f>IF(X142=0,"",AA142/X142)</f>
        <v/>
      </c>
      <c r="AD142" s="25" t="n"/>
      <c r="AE142" s="227">
        <f>AE143</f>
        <v/>
      </c>
      <c r="AF142" s="227">
        <f>AF143</f>
        <v/>
      </c>
      <c r="AG142" s="227">
        <f>AE142+AF142</f>
        <v/>
      </c>
      <c r="AH142" s="227">
        <f>AH143</f>
        <v/>
      </c>
      <c r="AI142" s="227">
        <f>AI143</f>
        <v/>
      </c>
      <c r="AJ142" s="227">
        <f>AH142+AI142</f>
        <v/>
      </c>
      <c r="AK142" s="228">
        <f>AJ142-AG142</f>
        <v/>
      </c>
      <c r="AL142" s="229">
        <f>IF(AG142=0,"",AJ142/AG142)</f>
        <v/>
      </c>
      <c r="AM142" s="18" t="n"/>
      <c r="AN142" s="230">
        <f>AN143</f>
        <v/>
      </c>
      <c r="AO142" s="230">
        <f>AO143</f>
        <v/>
      </c>
      <c r="AP142" s="230">
        <f>AN142+AO142</f>
        <v/>
      </c>
      <c r="AQ142" s="230">
        <f>AQ143</f>
        <v/>
      </c>
      <c r="AR142" s="230">
        <f>AR143</f>
        <v/>
      </c>
      <c r="AS142" s="230">
        <f>AQ142+AR142</f>
        <v/>
      </c>
      <c r="AT142" s="231">
        <f>AS142-AP142</f>
        <v/>
      </c>
      <c r="AU142" s="232">
        <f>IF(AP142=0,"",AS142/AP142)</f>
        <v/>
      </c>
      <c r="AV142" s="25" t="n"/>
      <c r="AW142" s="227">
        <f>AW143</f>
        <v/>
      </c>
      <c r="AX142" s="227">
        <f>AX143</f>
        <v/>
      </c>
      <c r="AY142" s="227">
        <f>AW142+AX142</f>
        <v/>
      </c>
      <c r="AZ142" s="227">
        <f>AZ143</f>
        <v/>
      </c>
      <c r="BA142" s="227">
        <f>BA143</f>
        <v/>
      </c>
      <c r="BB142" s="227">
        <f>AZ142+BA142</f>
        <v/>
      </c>
      <c r="BC142" s="228">
        <f>BB142-AY142</f>
        <v/>
      </c>
      <c r="BD142" s="229">
        <f>IF(AY142=0,"",BB142/AY142)</f>
        <v/>
      </c>
      <c r="BE142" s="18" t="n"/>
      <c r="BF142" s="230">
        <f>BF143</f>
        <v/>
      </c>
      <c r="BG142" s="230">
        <f>BG143</f>
        <v/>
      </c>
      <c r="BH142" s="230">
        <f>BF142+BG142</f>
        <v/>
      </c>
      <c r="BI142" s="230">
        <f>BI143</f>
        <v/>
      </c>
      <c r="BJ142" s="230">
        <f>BJ143</f>
        <v/>
      </c>
      <c r="BK142" s="230">
        <f>BI142+BJ142</f>
        <v/>
      </c>
      <c r="BL142" s="231">
        <f>BK142-BH142</f>
        <v/>
      </c>
      <c r="BM142" s="232">
        <f>IF(BH142=0,"",BK142/BH142)</f>
        <v/>
      </c>
      <c r="BN142" s="25" t="n"/>
      <c r="BO142" s="227">
        <f>BO143</f>
        <v/>
      </c>
      <c r="BP142" s="227">
        <f>BP143</f>
        <v/>
      </c>
      <c r="BQ142" s="227">
        <f>BO142+BP142</f>
        <v/>
      </c>
      <c r="BR142" s="227">
        <f>BR143</f>
        <v/>
      </c>
      <c r="BS142" s="227">
        <f>BS143</f>
        <v/>
      </c>
      <c r="BT142" s="227">
        <f>BR142+BS142</f>
        <v/>
      </c>
      <c r="BU142" s="228">
        <f>BT142-BQ142</f>
        <v/>
      </c>
      <c r="BV142" s="229">
        <f>IF(BQ142=0,"",BT142/BQ142)</f>
        <v/>
      </c>
      <c r="BW142" s="18" t="n"/>
      <c r="BX142" s="230">
        <f>BX143</f>
        <v/>
      </c>
      <c r="BY142" s="230">
        <f>BY143</f>
        <v/>
      </c>
      <c r="BZ142" s="230">
        <f>BX142+BY142</f>
        <v/>
      </c>
      <c r="CA142" s="230">
        <f>CA143</f>
        <v/>
      </c>
      <c r="CB142" s="230">
        <f>CB143</f>
        <v/>
      </c>
      <c r="CC142" s="230">
        <f>CA142+CB142</f>
        <v/>
      </c>
      <c r="CD142" s="231">
        <f>CC142-BZ142</f>
        <v/>
      </c>
      <c r="CE142" s="232">
        <f>IF(BZ142=0,"",CC142/BZ142)</f>
        <v/>
      </c>
      <c r="CF142" s="25" t="n"/>
      <c r="CG142" s="227">
        <f>CG143</f>
        <v/>
      </c>
      <c r="CH142" s="227">
        <f>CH143</f>
        <v/>
      </c>
      <c r="CI142" s="227">
        <f>CG142+CH142</f>
        <v/>
      </c>
      <c r="CJ142" s="227">
        <f>CJ143</f>
        <v/>
      </c>
      <c r="CK142" s="227">
        <f>CK143</f>
        <v/>
      </c>
      <c r="CL142" s="227">
        <f>CJ142+CK142</f>
        <v/>
      </c>
      <c r="CM142" s="228">
        <f>CL142-CI142</f>
        <v/>
      </c>
      <c r="CN142" s="229">
        <f>IF(CI142=0,"",CL142/CI142)</f>
        <v/>
      </c>
      <c r="CO142" s="18" t="n"/>
      <c r="CP142" s="230">
        <f>CP143</f>
        <v/>
      </c>
      <c r="CQ142" s="230">
        <f>CQ143</f>
        <v/>
      </c>
      <c r="CR142" s="230">
        <f>CP142+CQ142</f>
        <v/>
      </c>
      <c r="CS142" s="230">
        <f>CS143</f>
        <v/>
      </c>
      <c r="CT142" s="230">
        <f>CT143</f>
        <v/>
      </c>
      <c r="CU142" s="230">
        <f>CS142+CT142</f>
        <v/>
      </c>
      <c r="CV142" s="231">
        <f>CU142-CR142</f>
        <v/>
      </c>
      <c r="CW142" s="232">
        <f>IF(CR142=0,"",CU142/CR142)</f>
        <v/>
      </c>
      <c r="CX142" s="25" t="n"/>
      <c r="CY142" s="227">
        <f>CY143</f>
        <v/>
      </c>
      <c r="CZ142" s="227">
        <f>CZ143</f>
        <v/>
      </c>
      <c r="DA142" s="227">
        <f>CY142+CZ142</f>
        <v/>
      </c>
      <c r="DB142" s="227">
        <f>DB143</f>
        <v/>
      </c>
      <c r="DC142" s="227">
        <f>DC143</f>
        <v/>
      </c>
      <c r="DD142" s="227">
        <f>DB142+DC142</f>
        <v/>
      </c>
      <c r="DE142" s="228">
        <f>DD142-DA142</f>
        <v/>
      </c>
      <c r="DF142" s="229">
        <f>IF(DA142=0,"",DD142/DA142)</f>
        <v/>
      </c>
      <c r="DG142" s="18" t="n"/>
      <c r="DH142" s="230">
        <f>DH143</f>
        <v/>
      </c>
      <c r="DI142" s="230">
        <f>DI143</f>
        <v/>
      </c>
      <c r="DJ142" s="230">
        <f>DH142+DI142</f>
        <v/>
      </c>
      <c r="DK142" s="230">
        <f>DK143</f>
        <v/>
      </c>
      <c r="DL142" s="230">
        <f>DL143</f>
        <v/>
      </c>
      <c r="DM142" s="230">
        <f>DK142+DL142</f>
        <v/>
      </c>
      <c r="DN142" s="231">
        <f>DM142-DJ142</f>
        <v/>
      </c>
      <c r="DO142" s="232">
        <f>IF(DJ142=0,"",DM142/DJ142)</f>
        <v/>
      </c>
      <c r="DP142" s="25" t="n"/>
      <c r="DQ142" s="227">
        <f>DQ143</f>
        <v/>
      </c>
      <c r="DR142" s="227">
        <f>DR143</f>
        <v/>
      </c>
      <c r="DS142" s="227">
        <f>DQ142+DR142</f>
        <v/>
      </c>
      <c r="DT142" s="227">
        <f>DT143</f>
        <v/>
      </c>
      <c r="DU142" s="227">
        <f>DU143</f>
        <v/>
      </c>
      <c r="DV142" s="227">
        <f>DT142+DU142</f>
        <v/>
      </c>
      <c r="DW142" s="228">
        <f>DV142-DS142</f>
        <v/>
      </c>
      <c r="DX142" s="229">
        <f>IF(DS142=0,"",DV142/DS142)</f>
        <v/>
      </c>
      <c r="DY142" s="18" t="n"/>
      <c r="DZ142" s="230">
        <f>DZ143</f>
        <v/>
      </c>
      <c r="EA142" s="230">
        <f>EA143</f>
        <v/>
      </c>
      <c r="EB142" s="230">
        <f>DZ142+EA142</f>
        <v/>
      </c>
      <c r="EC142" s="230">
        <f>EC143</f>
        <v/>
      </c>
      <c r="ED142" s="230">
        <f>ED143</f>
        <v/>
      </c>
      <c r="EE142" s="230">
        <f>EC142+ED142</f>
        <v/>
      </c>
      <c r="EF142" s="231">
        <f>EE142-EB142</f>
        <v/>
      </c>
      <c r="EG142" s="232">
        <f>IF(EB142=0,"",EE142/EB142)</f>
        <v/>
      </c>
      <c r="EH142" s="25" t="n"/>
      <c r="EI142" s="227">
        <f>EI143</f>
        <v/>
      </c>
      <c r="EJ142" s="227">
        <f>EJ143</f>
        <v/>
      </c>
      <c r="EK142" s="227">
        <f>EI142+EJ142</f>
        <v/>
      </c>
      <c r="EL142" s="227">
        <f>EL143</f>
        <v/>
      </c>
      <c r="EM142" s="227">
        <f>EM143</f>
        <v/>
      </c>
      <c r="EN142" s="227">
        <f>EL142+EM142</f>
        <v/>
      </c>
      <c r="EO142" s="228">
        <f>EN142-EK142</f>
        <v/>
      </c>
      <c r="EP142" s="229">
        <f>IF(EK142=0,"",EN142/EK142)</f>
        <v/>
      </c>
      <c r="EQ142" s="18" t="n"/>
      <c r="ER142" s="230">
        <f>ER143</f>
        <v/>
      </c>
      <c r="ES142" s="230">
        <f>ES143</f>
        <v/>
      </c>
      <c r="ET142" s="230">
        <f>ER142+ES142</f>
        <v/>
      </c>
      <c r="EU142" s="230">
        <f>EU143</f>
        <v/>
      </c>
      <c r="EV142" s="230">
        <f>EV143</f>
        <v/>
      </c>
      <c r="EW142" s="230">
        <f>EU142+EV142</f>
        <v/>
      </c>
      <c r="EX142" s="231">
        <f>EW142-ET142</f>
        <v/>
      </c>
      <c r="EY142" s="232">
        <f>IF(ET142=0,"",EW142/ET142)</f>
        <v/>
      </c>
      <c r="EZ142" s="25" t="n"/>
      <c r="FA142" s="227">
        <f>FA143</f>
        <v/>
      </c>
      <c r="FB142" s="227">
        <f>FB143</f>
        <v/>
      </c>
      <c r="FC142" s="227">
        <f>FA142+FB142</f>
        <v/>
      </c>
      <c r="FD142" s="227">
        <f>FD143</f>
        <v/>
      </c>
      <c r="FE142" s="227">
        <f>FE143</f>
        <v/>
      </c>
      <c r="FF142" s="227">
        <f>FD142+FE142</f>
        <v/>
      </c>
      <c r="FG142" s="228">
        <f>FF142-FC142</f>
        <v/>
      </c>
      <c r="FH142" s="229">
        <f>IF(FC142=0,"",FF142/FC142)</f>
        <v/>
      </c>
      <c r="FI142" s="18" t="n"/>
      <c r="FJ142" s="230">
        <f>FJ143</f>
        <v/>
      </c>
      <c r="FK142" s="230">
        <f>FK143</f>
        <v/>
      </c>
      <c r="FL142" s="230">
        <f>FJ142+FK142</f>
        <v/>
      </c>
      <c r="FM142" s="230">
        <f>FM143</f>
        <v/>
      </c>
      <c r="FN142" s="230">
        <f>FN143</f>
        <v/>
      </c>
      <c r="FO142" s="230">
        <f>FM142+FN142</f>
        <v/>
      </c>
      <c r="FP142" s="231">
        <f>FO142-FL142</f>
        <v/>
      </c>
      <c r="FQ142" s="232">
        <f>IF(FL142=0,"",FO142/FL142)</f>
        <v/>
      </c>
      <c r="FR142" s="25" t="n"/>
      <c r="FS142" s="227">
        <f>FS143</f>
        <v/>
      </c>
      <c r="FT142" s="227">
        <f>FT143</f>
        <v/>
      </c>
      <c r="FU142" s="227">
        <f>FS142+FT142</f>
        <v/>
      </c>
      <c r="FV142" s="227">
        <f>FV143</f>
        <v/>
      </c>
      <c r="FW142" s="227">
        <f>FW143</f>
        <v/>
      </c>
      <c r="FX142" s="227">
        <f>FV142+FW142</f>
        <v/>
      </c>
      <c r="FY142" s="228">
        <f>FX142-FU142</f>
        <v/>
      </c>
      <c r="FZ142" s="229">
        <f>IF(FU142=0,"",FX142/FU142)</f>
        <v/>
      </c>
      <c r="GA142" s="18" t="n"/>
      <c r="GB142" s="230">
        <f>GB143</f>
        <v/>
      </c>
      <c r="GC142" s="230">
        <f>GC143</f>
        <v/>
      </c>
      <c r="GD142" s="230">
        <f>GB142+GC142</f>
        <v/>
      </c>
      <c r="GE142" s="230">
        <f>GE143</f>
        <v/>
      </c>
      <c r="GF142" s="230">
        <f>GF143</f>
        <v/>
      </c>
      <c r="GG142" s="230">
        <f>GE142+GF142</f>
        <v/>
      </c>
      <c r="GH142" s="231">
        <f>GG142-GD142</f>
        <v/>
      </c>
      <c r="GI142" s="232">
        <f>IF(GD142=0,"",GG142/GD142)</f>
        <v/>
      </c>
      <c r="GJ142" s="25" t="n"/>
      <c r="GK142" s="227">
        <f>GK143</f>
        <v/>
      </c>
      <c r="GL142" s="227">
        <f>GL143</f>
        <v/>
      </c>
      <c r="GM142" s="227">
        <f>GK142+GL142</f>
        <v/>
      </c>
      <c r="GN142" s="227">
        <f>GN143</f>
        <v/>
      </c>
      <c r="GO142" s="227">
        <f>GO143</f>
        <v/>
      </c>
      <c r="GP142" s="227">
        <f>GN142+GO142</f>
        <v/>
      </c>
      <c r="GQ142" s="228">
        <f>GP142-GM142</f>
        <v/>
      </c>
      <c r="GR142" s="229">
        <f>IF(GM142=0,"",GP142/GM142)</f>
        <v/>
      </c>
      <c r="GS142" s="18" t="n"/>
      <c r="GT142" s="230">
        <f>GT143</f>
        <v/>
      </c>
      <c r="GU142" s="230">
        <f>GU143</f>
        <v/>
      </c>
      <c r="GV142" s="230">
        <f>GT142+GU142</f>
        <v/>
      </c>
      <c r="GW142" s="230">
        <f>GW143</f>
        <v/>
      </c>
      <c r="GX142" s="230">
        <f>GX143</f>
        <v/>
      </c>
      <c r="GY142" s="230">
        <f>GW142+GX142</f>
        <v/>
      </c>
      <c r="GZ142" s="231">
        <f>GY142-GV142</f>
        <v/>
      </c>
      <c r="HA142" s="232">
        <f>IF(GV142=0,"",GY142/GV142)</f>
        <v/>
      </c>
      <c r="HB142" s="25" t="n"/>
      <c r="HC142" s="227">
        <f>GT142</f>
        <v/>
      </c>
      <c r="HD142" s="227">
        <f>GU142</f>
        <v/>
      </c>
      <c r="HE142" s="227">
        <f>HC142+HD142</f>
        <v/>
      </c>
    </row>
    <row r="143" outlineLevel="1" ht="15" customHeight="1" s="150">
      <c r="A143" s="26" t="n"/>
      <c r="B143" s="26" t="n"/>
      <c r="C143" s="26" t="n"/>
      <c r="D143" s="233" t="n"/>
      <c r="E143" s="233" t="n"/>
      <c r="F143" s="233">
        <f>D143+E143</f>
        <v/>
      </c>
      <c r="G143" s="233" t="n"/>
      <c r="H143" s="233" t="n"/>
      <c r="I143" s="233">
        <f>G143+H143</f>
        <v/>
      </c>
      <c r="J143" s="238">
        <f>I143-F143</f>
        <v/>
      </c>
      <c r="K143" s="235">
        <f>IF(F143=0,"",I143/F143)</f>
        <v/>
      </c>
      <c r="L143" s="26" t="n"/>
      <c r="M143" s="233" t="n"/>
      <c r="N143" s="233" t="n"/>
      <c r="O143" s="233">
        <f>M143+N143</f>
        <v/>
      </c>
      <c r="P143" s="233" t="n"/>
      <c r="Q143" s="233" t="n"/>
      <c r="R143" s="233">
        <f>P143+Q143</f>
        <v/>
      </c>
      <c r="S143" s="238">
        <f>R143-O143</f>
        <v/>
      </c>
      <c r="T143" s="235">
        <f>IF(O143=0,"",R143/O143)</f>
        <v/>
      </c>
      <c r="U143" s="26" t="n"/>
      <c r="V143" s="236">
        <f>D143+M143</f>
        <v/>
      </c>
      <c r="W143" s="236">
        <f>E143+N143</f>
        <v/>
      </c>
      <c r="X143" s="236">
        <f>V143+W143</f>
        <v/>
      </c>
      <c r="Y143" s="236">
        <f>G143+P143</f>
        <v/>
      </c>
      <c r="Z143" s="236">
        <f>H143+Q143</f>
        <v/>
      </c>
      <c r="AA143" s="236">
        <f>Y143+Z143</f>
        <v/>
      </c>
      <c r="AB143" s="239">
        <f>AA143-X143</f>
        <v/>
      </c>
      <c r="AC143" s="237">
        <f>IF(X143=0,"",AA143/X143)</f>
        <v/>
      </c>
      <c r="AD143" s="33" t="n"/>
      <c r="AE143" s="233" t="n"/>
      <c r="AF143" s="233" t="n"/>
      <c r="AG143" s="233">
        <f>AE143+AF143</f>
        <v/>
      </c>
      <c r="AH143" s="233" t="n"/>
      <c r="AI143" s="233" t="n"/>
      <c r="AJ143" s="233">
        <f>AH143+AI143</f>
        <v/>
      </c>
      <c r="AK143" s="238">
        <f>AJ143-AG143</f>
        <v/>
      </c>
      <c r="AL143" s="235">
        <f>IF(AG143=0,"",AJ143/AG143)</f>
        <v/>
      </c>
      <c r="AM143" s="26" t="n"/>
      <c r="AN143" s="236">
        <f>V143+AE143</f>
        <v/>
      </c>
      <c r="AO143" s="236">
        <f>W143+AF143</f>
        <v/>
      </c>
      <c r="AP143" s="236">
        <f>AN143+AO143</f>
        <v/>
      </c>
      <c r="AQ143" s="236">
        <f>Y143+AH143</f>
        <v/>
      </c>
      <c r="AR143" s="236">
        <f>Z143+AI143</f>
        <v/>
      </c>
      <c r="AS143" s="236">
        <f>AQ143+AR143</f>
        <v/>
      </c>
      <c r="AT143" s="239">
        <f>AS143-AP143</f>
        <v/>
      </c>
      <c r="AU143" s="237">
        <f>IF(AP143=0,"",AS143/AP143)</f>
        <v/>
      </c>
      <c r="AV143" s="33" t="n"/>
      <c r="AW143" s="233" t="n"/>
      <c r="AX143" s="233" t="n"/>
      <c r="AY143" s="233">
        <f>AW143+AX143</f>
        <v/>
      </c>
      <c r="AZ143" s="233" t="n"/>
      <c r="BA143" s="233" t="n"/>
      <c r="BB143" s="233">
        <f>AZ143+BA143</f>
        <v/>
      </c>
      <c r="BC143" s="238">
        <f>BB143-AY143</f>
        <v/>
      </c>
      <c r="BD143" s="235">
        <f>IF(AY143=0,"",BB143/AY143)</f>
        <v/>
      </c>
      <c r="BE143" s="26" t="n"/>
      <c r="BF143" s="236">
        <f>AN143+AW143</f>
        <v/>
      </c>
      <c r="BG143" s="236">
        <f>AO143+AX143</f>
        <v/>
      </c>
      <c r="BH143" s="236">
        <f>BF143+BG143</f>
        <v/>
      </c>
      <c r="BI143" s="236">
        <f>AQ143+AZ143</f>
        <v/>
      </c>
      <c r="BJ143" s="236">
        <f>AR143+BA143</f>
        <v/>
      </c>
      <c r="BK143" s="236">
        <f>BI143+BJ143</f>
        <v/>
      </c>
      <c r="BL143" s="239">
        <f>BK143-BH143</f>
        <v/>
      </c>
      <c r="BM143" s="237">
        <f>IF(BH143=0,"",BK143/BH143)</f>
        <v/>
      </c>
      <c r="BN143" s="33" t="n"/>
      <c r="BO143" s="233" t="n"/>
      <c r="BP143" s="233" t="n"/>
      <c r="BQ143" s="233">
        <f>BO143+BP143</f>
        <v/>
      </c>
      <c r="BR143" s="233" t="n"/>
      <c r="BS143" s="233" t="n"/>
      <c r="BT143" s="233">
        <f>BR143+BS143</f>
        <v/>
      </c>
      <c r="BU143" s="238">
        <f>BT143-BQ143</f>
        <v/>
      </c>
      <c r="BV143" s="235">
        <f>IF(BQ143=0,"",BT143/BQ143)</f>
        <v/>
      </c>
      <c r="BW143" s="26" t="n"/>
      <c r="BX143" s="236">
        <f>BF143+BO143</f>
        <v/>
      </c>
      <c r="BY143" s="236">
        <f>BG143+BP143</f>
        <v/>
      </c>
      <c r="BZ143" s="236">
        <f>BX143+BY143</f>
        <v/>
      </c>
      <c r="CA143" s="236">
        <f>BI143+BR143</f>
        <v/>
      </c>
      <c r="CB143" s="236">
        <f>BJ143+BS143</f>
        <v/>
      </c>
      <c r="CC143" s="236">
        <f>CA143+CB143</f>
        <v/>
      </c>
      <c r="CD143" s="239">
        <f>CC143-BZ143</f>
        <v/>
      </c>
      <c r="CE143" s="237">
        <f>IF(BZ143=0,"",CC143/BZ143)</f>
        <v/>
      </c>
      <c r="CF143" s="33" t="n"/>
      <c r="CG143" s="233" t="n"/>
      <c r="CH143" s="233" t="n"/>
      <c r="CI143" s="233">
        <f>CG143+CH143</f>
        <v/>
      </c>
      <c r="CJ143" s="233" t="n"/>
      <c r="CK143" s="233" t="n"/>
      <c r="CL143" s="233">
        <f>CJ143+CK143</f>
        <v/>
      </c>
      <c r="CM143" s="238">
        <f>CL143-CI143</f>
        <v/>
      </c>
      <c r="CN143" s="235">
        <f>IF(CI143=0,"",CL143/CI143)</f>
        <v/>
      </c>
      <c r="CO143" s="26" t="n"/>
      <c r="CP143" s="236">
        <f>BX143+CG143</f>
        <v/>
      </c>
      <c r="CQ143" s="236">
        <f>BY143+CH143</f>
        <v/>
      </c>
      <c r="CR143" s="236">
        <f>CP143+CQ143</f>
        <v/>
      </c>
      <c r="CS143" s="236">
        <f>CA143+CJ143</f>
        <v/>
      </c>
      <c r="CT143" s="236">
        <f>CB143+CK143</f>
        <v/>
      </c>
      <c r="CU143" s="236">
        <f>CS143+CT143</f>
        <v/>
      </c>
      <c r="CV143" s="239">
        <f>CU143-CR143</f>
        <v/>
      </c>
      <c r="CW143" s="237">
        <f>IF(CR143=0,"",CU143/CR143)</f>
        <v/>
      </c>
      <c r="CX143" s="33" t="n"/>
      <c r="CY143" s="233" t="n"/>
      <c r="CZ143" s="233" t="n"/>
      <c r="DA143" s="233">
        <f>CY143+CZ143</f>
        <v/>
      </c>
      <c r="DB143" s="233" t="n"/>
      <c r="DC143" s="233" t="n"/>
      <c r="DD143" s="233">
        <f>DB143+DC143</f>
        <v/>
      </c>
      <c r="DE143" s="238">
        <f>DD143-DA143</f>
        <v/>
      </c>
      <c r="DF143" s="235">
        <f>IF(DA143=0,"",DD143/DA143)</f>
        <v/>
      </c>
      <c r="DG143" s="26" t="n"/>
      <c r="DH143" s="236">
        <f>CP143+CY143</f>
        <v/>
      </c>
      <c r="DI143" s="236">
        <f>CQ143+CZ143</f>
        <v/>
      </c>
      <c r="DJ143" s="236">
        <f>DH143+DI143</f>
        <v/>
      </c>
      <c r="DK143" s="236">
        <f>CS143+DB143</f>
        <v/>
      </c>
      <c r="DL143" s="236">
        <f>CT143+DC143</f>
        <v/>
      </c>
      <c r="DM143" s="236">
        <f>DK143+DL143</f>
        <v/>
      </c>
      <c r="DN143" s="239">
        <f>DM143-DJ143</f>
        <v/>
      </c>
      <c r="DO143" s="237">
        <f>IF(DJ143=0,"",DM143/DJ143)</f>
        <v/>
      </c>
      <c r="DP143" s="33" t="n"/>
      <c r="DQ143" s="233" t="n"/>
      <c r="DR143" s="233" t="n"/>
      <c r="DS143" s="233">
        <f>DQ143+DR143</f>
        <v/>
      </c>
      <c r="DT143" s="233" t="n"/>
      <c r="DU143" s="233" t="n"/>
      <c r="DV143" s="233">
        <f>DT143+DU143</f>
        <v/>
      </c>
      <c r="DW143" s="238">
        <f>DV143-DS143</f>
        <v/>
      </c>
      <c r="DX143" s="235">
        <f>IF(DS143=0,"",DV143/DS143)</f>
        <v/>
      </c>
      <c r="DY143" s="26" t="n"/>
      <c r="DZ143" s="236">
        <f>DH143+DQ143</f>
        <v/>
      </c>
      <c r="EA143" s="236">
        <f>DI143+DR143</f>
        <v/>
      </c>
      <c r="EB143" s="236">
        <f>DZ143+EA143</f>
        <v/>
      </c>
      <c r="EC143" s="236">
        <f>DK143+DT143</f>
        <v/>
      </c>
      <c r="ED143" s="236">
        <f>DL143+DU143</f>
        <v/>
      </c>
      <c r="EE143" s="236">
        <f>EC143+ED143</f>
        <v/>
      </c>
      <c r="EF143" s="239">
        <f>EE143-EB143</f>
        <v/>
      </c>
      <c r="EG143" s="237">
        <f>IF(EB143=0,"",EE143/EB143)</f>
        <v/>
      </c>
      <c r="EH143" s="33" t="n"/>
      <c r="EI143" s="233" t="n"/>
      <c r="EJ143" s="233" t="n"/>
      <c r="EK143" s="233">
        <f>EI143+EJ143</f>
        <v/>
      </c>
      <c r="EL143" s="233" t="n"/>
      <c r="EM143" s="233" t="n"/>
      <c r="EN143" s="233">
        <f>EL143+EM143</f>
        <v/>
      </c>
      <c r="EO143" s="238">
        <f>EN143-EK143</f>
        <v/>
      </c>
      <c r="EP143" s="235">
        <f>IF(EK143=0,"",EN143/EK143)</f>
        <v/>
      </c>
      <c r="EQ143" s="26" t="n"/>
      <c r="ER143" s="236">
        <f>DZ143+EI143</f>
        <v/>
      </c>
      <c r="ES143" s="236">
        <f>EA143+EJ143</f>
        <v/>
      </c>
      <c r="ET143" s="236">
        <f>ER143+ES143</f>
        <v/>
      </c>
      <c r="EU143" s="236">
        <f>EC143+EL143</f>
        <v/>
      </c>
      <c r="EV143" s="236">
        <f>ED143+EM143</f>
        <v/>
      </c>
      <c r="EW143" s="236">
        <f>EU143+EV143</f>
        <v/>
      </c>
      <c r="EX143" s="239">
        <f>EW143-ET143</f>
        <v/>
      </c>
      <c r="EY143" s="237">
        <f>IF(ET143=0,"",EW143/ET143)</f>
        <v/>
      </c>
      <c r="EZ143" s="33" t="n"/>
      <c r="FA143" s="233" t="n"/>
      <c r="FB143" s="233" t="n"/>
      <c r="FC143" s="233">
        <f>FA143+FB143</f>
        <v/>
      </c>
      <c r="FD143" s="233" t="n"/>
      <c r="FE143" s="233" t="n"/>
      <c r="FF143" s="233">
        <f>FD143+FE143</f>
        <v/>
      </c>
      <c r="FG143" s="238">
        <f>FF143-FC143</f>
        <v/>
      </c>
      <c r="FH143" s="235">
        <f>IF(FC143=0,"",FF143/FC143)</f>
        <v/>
      </c>
      <c r="FI143" s="26" t="n"/>
      <c r="FJ143" s="236">
        <f>ER143+FA143</f>
        <v/>
      </c>
      <c r="FK143" s="236">
        <f>ES143+FB143</f>
        <v/>
      </c>
      <c r="FL143" s="236">
        <f>FJ143+FK143</f>
        <v/>
      </c>
      <c r="FM143" s="236">
        <f>EU143+FD143</f>
        <v/>
      </c>
      <c r="FN143" s="236">
        <f>EV143+FE143</f>
        <v/>
      </c>
      <c r="FO143" s="236">
        <f>FM143+FN143</f>
        <v/>
      </c>
      <c r="FP143" s="239">
        <f>FO143-FL143</f>
        <v/>
      </c>
      <c r="FQ143" s="237">
        <f>IF(FL143=0,"",FO143/FL143)</f>
        <v/>
      </c>
      <c r="FR143" s="33" t="n"/>
      <c r="FS143" s="233" t="n"/>
      <c r="FT143" s="233" t="n"/>
      <c r="FU143" s="233">
        <f>FS143+FT143</f>
        <v/>
      </c>
      <c r="FV143" s="233" t="n"/>
      <c r="FW143" s="233" t="n"/>
      <c r="FX143" s="233">
        <f>FV143+FW143</f>
        <v/>
      </c>
      <c r="FY143" s="238">
        <f>FX143-FU143</f>
        <v/>
      </c>
      <c r="FZ143" s="235">
        <f>IF(FU143=0,"",FX143/FU143)</f>
        <v/>
      </c>
      <c r="GA143" s="26" t="n"/>
      <c r="GB143" s="236">
        <f>FJ143+FS143</f>
        <v/>
      </c>
      <c r="GC143" s="236">
        <f>FK143+FT143</f>
        <v/>
      </c>
      <c r="GD143" s="236">
        <f>GB143+GC143</f>
        <v/>
      </c>
      <c r="GE143" s="236">
        <f>FM143+FV143</f>
        <v/>
      </c>
      <c r="GF143" s="236">
        <f>FN143+FW143</f>
        <v/>
      </c>
      <c r="GG143" s="236">
        <f>GE143+GF143</f>
        <v/>
      </c>
      <c r="GH143" s="239">
        <f>GG143-GD143</f>
        <v/>
      </c>
      <c r="GI143" s="237">
        <f>IF(GD143=0,"",GG143/GD143)</f>
        <v/>
      </c>
      <c r="GJ143" s="33" t="n"/>
      <c r="GK143" s="233" t="n"/>
      <c r="GL143" s="233" t="n"/>
      <c r="GM143" s="233">
        <f>GK143+GL143</f>
        <v/>
      </c>
      <c r="GN143" s="233" t="n"/>
      <c r="GO143" s="233" t="n"/>
      <c r="GP143" s="233">
        <f>GN143+GO143</f>
        <v/>
      </c>
      <c r="GQ143" s="238">
        <f>GP143-GM143</f>
        <v/>
      </c>
      <c r="GR143" s="235">
        <f>IF(GM143=0,"",GP143/GM143)</f>
        <v/>
      </c>
      <c r="GS143" s="26" t="n"/>
      <c r="GT143" s="236">
        <f>GB143+GK143</f>
        <v/>
      </c>
      <c r="GU143" s="236">
        <f>GC143+GL143</f>
        <v/>
      </c>
      <c r="GV143" s="236">
        <f>GT143+GU143</f>
        <v/>
      </c>
      <c r="GW143" s="236">
        <f>GE143+GN143</f>
        <v/>
      </c>
      <c r="GX143" s="236">
        <f>GF143+GO143</f>
        <v/>
      </c>
      <c r="GY143" s="236">
        <f>GW143+GX143</f>
        <v/>
      </c>
      <c r="GZ143" s="239">
        <f>GY143-GV143</f>
        <v/>
      </c>
      <c r="HA143" s="237">
        <f>IF(GV143=0,"",GY143/GV143)</f>
        <v/>
      </c>
      <c r="HB143" s="33" t="n"/>
      <c r="HC143" s="233">
        <f>GT143</f>
        <v/>
      </c>
      <c r="HD143" s="233">
        <f>GU143</f>
        <v/>
      </c>
      <c r="HE143" s="233">
        <f>HC143+HD143</f>
        <v/>
      </c>
    </row>
    <row r="144" ht="15" customHeight="1" s="150">
      <c r="A144" s="18" t="n"/>
      <c r="B144" s="18" t="n"/>
      <c r="C144" s="18" t="n"/>
      <c r="D144" s="227">
        <f>D145</f>
        <v/>
      </c>
      <c r="E144" s="227">
        <f>E145</f>
        <v/>
      </c>
      <c r="F144" s="227">
        <f>D144+E144</f>
        <v/>
      </c>
      <c r="G144" s="227">
        <f>G145</f>
        <v/>
      </c>
      <c r="H144" s="227">
        <f>H145</f>
        <v/>
      </c>
      <c r="I144" s="227">
        <f>G144+H144</f>
        <v/>
      </c>
      <c r="J144" s="228">
        <f>I144-F144</f>
        <v/>
      </c>
      <c r="K144" s="229">
        <f>IF(F144=0,"",I144/F144)</f>
        <v/>
      </c>
      <c r="L144" s="18" t="n"/>
      <c r="M144" s="227">
        <f>M145</f>
        <v/>
      </c>
      <c r="N144" s="227">
        <f>N145</f>
        <v/>
      </c>
      <c r="O144" s="227">
        <f>M144+N144</f>
        <v/>
      </c>
      <c r="P144" s="227">
        <f>P145</f>
        <v/>
      </c>
      <c r="Q144" s="227">
        <f>Q145</f>
        <v/>
      </c>
      <c r="R144" s="227">
        <f>P144+Q144</f>
        <v/>
      </c>
      <c r="S144" s="228">
        <f>R144-O144</f>
        <v/>
      </c>
      <c r="T144" s="229">
        <f>IF(O144=0,"",R144/O144)</f>
        <v/>
      </c>
      <c r="U144" s="18" t="n"/>
      <c r="V144" s="230">
        <f>V145</f>
        <v/>
      </c>
      <c r="W144" s="230">
        <f>W145</f>
        <v/>
      </c>
      <c r="X144" s="230">
        <f>V144+W144</f>
        <v/>
      </c>
      <c r="Y144" s="230">
        <f>Y145</f>
        <v/>
      </c>
      <c r="Z144" s="230">
        <f>Z145</f>
        <v/>
      </c>
      <c r="AA144" s="230">
        <f>Y144+Z144</f>
        <v/>
      </c>
      <c r="AB144" s="231">
        <f>AA144-X144</f>
        <v/>
      </c>
      <c r="AC144" s="232">
        <f>IF(X144=0,"",AA144/X144)</f>
        <v/>
      </c>
      <c r="AD144" s="25" t="n"/>
      <c r="AE144" s="227">
        <f>AE145</f>
        <v/>
      </c>
      <c r="AF144" s="227">
        <f>AF145</f>
        <v/>
      </c>
      <c r="AG144" s="227">
        <f>AE144+AF144</f>
        <v/>
      </c>
      <c r="AH144" s="227">
        <f>AH145</f>
        <v/>
      </c>
      <c r="AI144" s="227">
        <f>AI145</f>
        <v/>
      </c>
      <c r="AJ144" s="227">
        <f>AH144+AI144</f>
        <v/>
      </c>
      <c r="AK144" s="228">
        <f>AJ144-AG144</f>
        <v/>
      </c>
      <c r="AL144" s="229">
        <f>IF(AG144=0,"",AJ144/AG144)</f>
        <v/>
      </c>
      <c r="AM144" s="18" t="n"/>
      <c r="AN144" s="230">
        <f>AN145</f>
        <v/>
      </c>
      <c r="AO144" s="230">
        <f>AO145</f>
        <v/>
      </c>
      <c r="AP144" s="230">
        <f>AN144+AO144</f>
        <v/>
      </c>
      <c r="AQ144" s="230">
        <f>AQ145</f>
        <v/>
      </c>
      <c r="AR144" s="230">
        <f>AR145</f>
        <v/>
      </c>
      <c r="AS144" s="230">
        <f>AQ144+AR144</f>
        <v/>
      </c>
      <c r="AT144" s="231">
        <f>AS144-AP144</f>
        <v/>
      </c>
      <c r="AU144" s="232">
        <f>IF(AP144=0,"",AS144/AP144)</f>
        <v/>
      </c>
      <c r="AV144" s="25" t="n"/>
      <c r="AW144" s="227">
        <f>AW145</f>
        <v/>
      </c>
      <c r="AX144" s="227">
        <f>AX145</f>
        <v/>
      </c>
      <c r="AY144" s="227">
        <f>AW144+AX144</f>
        <v/>
      </c>
      <c r="AZ144" s="227">
        <f>AZ145</f>
        <v/>
      </c>
      <c r="BA144" s="227">
        <f>BA145</f>
        <v/>
      </c>
      <c r="BB144" s="227">
        <f>AZ144+BA144</f>
        <v/>
      </c>
      <c r="BC144" s="228">
        <f>BB144-AY144</f>
        <v/>
      </c>
      <c r="BD144" s="229">
        <f>IF(AY144=0,"",BB144/AY144)</f>
        <v/>
      </c>
      <c r="BE144" s="18" t="n"/>
      <c r="BF144" s="230">
        <f>BF145</f>
        <v/>
      </c>
      <c r="BG144" s="230">
        <f>BG145</f>
        <v/>
      </c>
      <c r="BH144" s="230">
        <f>BF144+BG144</f>
        <v/>
      </c>
      <c r="BI144" s="230">
        <f>BI145</f>
        <v/>
      </c>
      <c r="BJ144" s="230">
        <f>BJ145</f>
        <v/>
      </c>
      <c r="BK144" s="230">
        <f>BI144+BJ144</f>
        <v/>
      </c>
      <c r="BL144" s="231">
        <f>BK144-BH144</f>
        <v/>
      </c>
      <c r="BM144" s="232">
        <f>IF(BH144=0,"",BK144/BH144)</f>
        <v/>
      </c>
      <c r="BN144" s="25" t="n"/>
      <c r="BO144" s="227">
        <f>BO145</f>
        <v/>
      </c>
      <c r="BP144" s="227">
        <f>BP145</f>
        <v/>
      </c>
      <c r="BQ144" s="227">
        <f>BO144+BP144</f>
        <v/>
      </c>
      <c r="BR144" s="227">
        <f>BR145</f>
        <v/>
      </c>
      <c r="BS144" s="227">
        <f>BS145</f>
        <v/>
      </c>
      <c r="BT144" s="227">
        <f>BR144+BS144</f>
        <v/>
      </c>
      <c r="BU144" s="228">
        <f>BT144-BQ144</f>
        <v/>
      </c>
      <c r="BV144" s="229">
        <f>IF(BQ144=0,"",BT144/BQ144)</f>
        <v/>
      </c>
      <c r="BW144" s="18" t="n"/>
      <c r="BX144" s="230">
        <f>BX145</f>
        <v/>
      </c>
      <c r="BY144" s="230">
        <f>BY145</f>
        <v/>
      </c>
      <c r="BZ144" s="230">
        <f>BX144+BY144</f>
        <v/>
      </c>
      <c r="CA144" s="230">
        <f>CA145</f>
        <v/>
      </c>
      <c r="CB144" s="230">
        <f>CB145</f>
        <v/>
      </c>
      <c r="CC144" s="230">
        <f>CA144+CB144</f>
        <v/>
      </c>
      <c r="CD144" s="231">
        <f>CC144-BZ144</f>
        <v/>
      </c>
      <c r="CE144" s="232">
        <f>IF(BZ144=0,"",CC144/BZ144)</f>
        <v/>
      </c>
      <c r="CF144" s="25" t="n"/>
      <c r="CG144" s="227">
        <f>CG145</f>
        <v/>
      </c>
      <c r="CH144" s="227">
        <f>CH145</f>
        <v/>
      </c>
      <c r="CI144" s="227">
        <f>CG144+CH144</f>
        <v/>
      </c>
      <c r="CJ144" s="227">
        <f>CJ145</f>
        <v/>
      </c>
      <c r="CK144" s="227">
        <f>CK145</f>
        <v/>
      </c>
      <c r="CL144" s="227">
        <f>CJ144+CK144</f>
        <v/>
      </c>
      <c r="CM144" s="228">
        <f>CL144-CI144</f>
        <v/>
      </c>
      <c r="CN144" s="229">
        <f>IF(CI144=0,"",CL144/CI144)</f>
        <v/>
      </c>
      <c r="CO144" s="18" t="n"/>
      <c r="CP144" s="230">
        <f>CP145</f>
        <v/>
      </c>
      <c r="CQ144" s="230">
        <f>CQ145</f>
        <v/>
      </c>
      <c r="CR144" s="230">
        <f>CP144+CQ144</f>
        <v/>
      </c>
      <c r="CS144" s="230">
        <f>CS145</f>
        <v/>
      </c>
      <c r="CT144" s="230">
        <f>CT145</f>
        <v/>
      </c>
      <c r="CU144" s="230">
        <f>CS144+CT144</f>
        <v/>
      </c>
      <c r="CV144" s="231">
        <f>CU144-CR144</f>
        <v/>
      </c>
      <c r="CW144" s="232">
        <f>IF(CR144=0,"",CU144/CR144)</f>
        <v/>
      </c>
      <c r="CX144" s="25" t="n"/>
      <c r="CY144" s="227">
        <f>CY145</f>
        <v/>
      </c>
      <c r="CZ144" s="227">
        <f>CZ145</f>
        <v/>
      </c>
      <c r="DA144" s="227">
        <f>CY144+CZ144</f>
        <v/>
      </c>
      <c r="DB144" s="227">
        <f>DB145</f>
        <v/>
      </c>
      <c r="DC144" s="227">
        <f>DC145</f>
        <v/>
      </c>
      <c r="DD144" s="227">
        <f>DB144+DC144</f>
        <v/>
      </c>
      <c r="DE144" s="228">
        <f>DD144-DA144</f>
        <v/>
      </c>
      <c r="DF144" s="229">
        <f>IF(DA144=0,"",DD144/DA144)</f>
        <v/>
      </c>
      <c r="DG144" s="18" t="n"/>
      <c r="DH144" s="230">
        <f>DH145</f>
        <v/>
      </c>
      <c r="DI144" s="230">
        <f>DI145</f>
        <v/>
      </c>
      <c r="DJ144" s="230">
        <f>DH144+DI144</f>
        <v/>
      </c>
      <c r="DK144" s="230">
        <f>DK145</f>
        <v/>
      </c>
      <c r="DL144" s="230">
        <f>DL145</f>
        <v/>
      </c>
      <c r="DM144" s="230">
        <f>DK144+DL144</f>
        <v/>
      </c>
      <c r="DN144" s="231">
        <f>DM144-DJ144</f>
        <v/>
      </c>
      <c r="DO144" s="232">
        <f>IF(DJ144=0,"",DM144/DJ144)</f>
        <v/>
      </c>
      <c r="DP144" s="25" t="n"/>
      <c r="DQ144" s="227">
        <f>DQ145</f>
        <v/>
      </c>
      <c r="DR144" s="227">
        <f>DR145</f>
        <v/>
      </c>
      <c r="DS144" s="227">
        <f>DQ144+DR144</f>
        <v/>
      </c>
      <c r="DT144" s="227">
        <f>DT145</f>
        <v/>
      </c>
      <c r="DU144" s="227">
        <f>DU145</f>
        <v/>
      </c>
      <c r="DV144" s="227">
        <f>DT144+DU144</f>
        <v/>
      </c>
      <c r="DW144" s="228">
        <f>DV144-DS144</f>
        <v/>
      </c>
      <c r="DX144" s="229">
        <f>IF(DS144=0,"",DV144/DS144)</f>
        <v/>
      </c>
      <c r="DY144" s="18" t="n"/>
      <c r="DZ144" s="230">
        <f>DZ145</f>
        <v/>
      </c>
      <c r="EA144" s="230">
        <f>EA145</f>
        <v/>
      </c>
      <c r="EB144" s="230">
        <f>DZ144+EA144</f>
        <v/>
      </c>
      <c r="EC144" s="230">
        <f>EC145</f>
        <v/>
      </c>
      <c r="ED144" s="230">
        <f>ED145</f>
        <v/>
      </c>
      <c r="EE144" s="230">
        <f>EC144+ED144</f>
        <v/>
      </c>
      <c r="EF144" s="231">
        <f>EE144-EB144</f>
        <v/>
      </c>
      <c r="EG144" s="232">
        <f>IF(EB144=0,"",EE144/EB144)</f>
        <v/>
      </c>
      <c r="EH144" s="25" t="n"/>
      <c r="EI144" s="227">
        <f>EI145</f>
        <v/>
      </c>
      <c r="EJ144" s="227">
        <f>EJ145</f>
        <v/>
      </c>
      <c r="EK144" s="227">
        <f>EI144+EJ144</f>
        <v/>
      </c>
      <c r="EL144" s="227">
        <f>EL145</f>
        <v/>
      </c>
      <c r="EM144" s="227">
        <f>EM145</f>
        <v/>
      </c>
      <c r="EN144" s="227">
        <f>EL144+EM144</f>
        <v/>
      </c>
      <c r="EO144" s="228">
        <f>EN144-EK144</f>
        <v/>
      </c>
      <c r="EP144" s="229">
        <f>IF(EK144=0,"",EN144/EK144)</f>
        <v/>
      </c>
      <c r="EQ144" s="18" t="n"/>
      <c r="ER144" s="230">
        <f>ER145</f>
        <v/>
      </c>
      <c r="ES144" s="230">
        <f>ES145</f>
        <v/>
      </c>
      <c r="ET144" s="230">
        <f>ER144+ES144</f>
        <v/>
      </c>
      <c r="EU144" s="230">
        <f>EU145</f>
        <v/>
      </c>
      <c r="EV144" s="230">
        <f>EV145</f>
        <v/>
      </c>
      <c r="EW144" s="230">
        <f>EU144+EV144</f>
        <v/>
      </c>
      <c r="EX144" s="231">
        <f>EW144-ET144</f>
        <v/>
      </c>
      <c r="EY144" s="232">
        <f>IF(ET144=0,"",EW144/ET144)</f>
        <v/>
      </c>
      <c r="EZ144" s="25" t="n"/>
      <c r="FA144" s="227">
        <f>FA145</f>
        <v/>
      </c>
      <c r="FB144" s="227">
        <f>FB145</f>
        <v/>
      </c>
      <c r="FC144" s="227">
        <f>FA144+FB144</f>
        <v/>
      </c>
      <c r="FD144" s="227">
        <f>FD145</f>
        <v/>
      </c>
      <c r="FE144" s="227">
        <f>FE145</f>
        <v/>
      </c>
      <c r="FF144" s="227">
        <f>FD144+FE144</f>
        <v/>
      </c>
      <c r="FG144" s="228">
        <f>FF144-FC144</f>
        <v/>
      </c>
      <c r="FH144" s="229">
        <f>IF(FC144=0,"",FF144/FC144)</f>
        <v/>
      </c>
      <c r="FI144" s="18" t="n"/>
      <c r="FJ144" s="230">
        <f>FJ145</f>
        <v/>
      </c>
      <c r="FK144" s="230">
        <f>FK145</f>
        <v/>
      </c>
      <c r="FL144" s="230">
        <f>FJ144+FK144</f>
        <v/>
      </c>
      <c r="FM144" s="230">
        <f>FM145</f>
        <v/>
      </c>
      <c r="FN144" s="230">
        <f>FN145</f>
        <v/>
      </c>
      <c r="FO144" s="230">
        <f>FM144+FN144</f>
        <v/>
      </c>
      <c r="FP144" s="231">
        <f>FO144-FL144</f>
        <v/>
      </c>
      <c r="FQ144" s="232">
        <f>IF(FL144=0,"",FO144/FL144)</f>
        <v/>
      </c>
      <c r="FR144" s="25" t="n"/>
      <c r="FS144" s="227">
        <f>FS145</f>
        <v/>
      </c>
      <c r="FT144" s="227">
        <f>FT145</f>
        <v/>
      </c>
      <c r="FU144" s="227">
        <f>FS144+FT144</f>
        <v/>
      </c>
      <c r="FV144" s="227">
        <f>FV145</f>
        <v/>
      </c>
      <c r="FW144" s="227">
        <f>FW145</f>
        <v/>
      </c>
      <c r="FX144" s="227">
        <f>FV144+FW144</f>
        <v/>
      </c>
      <c r="FY144" s="228">
        <f>FX144-FU144</f>
        <v/>
      </c>
      <c r="FZ144" s="229">
        <f>IF(FU144=0,"",FX144/FU144)</f>
        <v/>
      </c>
      <c r="GA144" s="18" t="n"/>
      <c r="GB144" s="230">
        <f>GB145</f>
        <v/>
      </c>
      <c r="GC144" s="230">
        <f>GC145</f>
        <v/>
      </c>
      <c r="GD144" s="230">
        <f>GB144+GC144</f>
        <v/>
      </c>
      <c r="GE144" s="230">
        <f>GE145</f>
        <v/>
      </c>
      <c r="GF144" s="230">
        <f>GF145</f>
        <v/>
      </c>
      <c r="GG144" s="230">
        <f>GE144+GF144</f>
        <v/>
      </c>
      <c r="GH144" s="231">
        <f>GG144-GD144</f>
        <v/>
      </c>
      <c r="GI144" s="232">
        <f>IF(GD144=0,"",GG144/GD144)</f>
        <v/>
      </c>
      <c r="GJ144" s="25" t="n"/>
      <c r="GK144" s="227">
        <f>GK145</f>
        <v/>
      </c>
      <c r="GL144" s="227">
        <f>GL145</f>
        <v/>
      </c>
      <c r="GM144" s="227">
        <f>GK144+GL144</f>
        <v/>
      </c>
      <c r="GN144" s="227">
        <f>GN145</f>
        <v/>
      </c>
      <c r="GO144" s="227">
        <f>GO145</f>
        <v/>
      </c>
      <c r="GP144" s="227">
        <f>GN144+GO144</f>
        <v/>
      </c>
      <c r="GQ144" s="228">
        <f>GP144-GM144</f>
        <v/>
      </c>
      <c r="GR144" s="229">
        <f>IF(GM144=0,"",GP144/GM144)</f>
        <v/>
      </c>
      <c r="GS144" s="18" t="n"/>
      <c r="GT144" s="230">
        <f>GT145</f>
        <v/>
      </c>
      <c r="GU144" s="230">
        <f>GU145</f>
        <v/>
      </c>
      <c r="GV144" s="230">
        <f>GT144+GU144</f>
        <v/>
      </c>
      <c r="GW144" s="230">
        <f>GW145</f>
        <v/>
      </c>
      <c r="GX144" s="230">
        <f>GX145</f>
        <v/>
      </c>
      <c r="GY144" s="230">
        <f>GW144+GX144</f>
        <v/>
      </c>
      <c r="GZ144" s="231">
        <f>GY144-GV144</f>
        <v/>
      </c>
      <c r="HA144" s="232">
        <f>IF(GV144=0,"",GY144/GV144)</f>
        <v/>
      </c>
      <c r="HB144" s="25" t="n"/>
      <c r="HC144" s="227">
        <f>GT144</f>
        <v/>
      </c>
      <c r="HD144" s="227">
        <f>GU144</f>
        <v/>
      </c>
      <c r="HE144" s="227">
        <f>HC144+HD144</f>
        <v/>
      </c>
    </row>
    <row r="145" outlineLevel="1" ht="15" customHeight="1" s="150">
      <c r="A145" s="26" t="n"/>
      <c r="B145" s="26" t="n"/>
      <c r="C145" s="26" t="n"/>
      <c r="D145" s="233" t="n"/>
      <c r="E145" s="233" t="n"/>
      <c r="F145" s="233">
        <f>D145+E145</f>
        <v/>
      </c>
      <c r="G145" s="233" t="n"/>
      <c r="H145" s="233" t="n"/>
      <c r="I145" s="233">
        <f>G145+H145</f>
        <v/>
      </c>
      <c r="J145" s="238">
        <f>I145-F145</f>
        <v/>
      </c>
      <c r="K145" s="235">
        <f>IF(F145=0,"",I145/F145)</f>
        <v/>
      </c>
      <c r="L145" s="26" t="n"/>
      <c r="M145" s="233" t="n"/>
      <c r="N145" s="233" t="n"/>
      <c r="O145" s="233">
        <f>M145+N145</f>
        <v/>
      </c>
      <c r="P145" s="233" t="n"/>
      <c r="Q145" s="233" t="n"/>
      <c r="R145" s="233">
        <f>P145+Q145</f>
        <v/>
      </c>
      <c r="S145" s="238">
        <f>R145-O145</f>
        <v/>
      </c>
      <c r="T145" s="235">
        <f>IF(O145=0,"",R145/O145)</f>
        <v/>
      </c>
      <c r="U145" s="26" t="n"/>
      <c r="V145" s="236">
        <f>D145+M145</f>
        <v/>
      </c>
      <c r="W145" s="236">
        <f>E145+N145</f>
        <v/>
      </c>
      <c r="X145" s="236">
        <f>V145+W145</f>
        <v/>
      </c>
      <c r="Y145" s="236">
        <f>G145+P145</f>
        <v/>
      </c>
      <c r="Z145" s="236">
        <f>H145+Q145</f>
        <v/>
      </c>
      <c r="AA145" s="236">
        <f>Y145+Z145</f>
        <v/>
      </c>
      <c r="AB145" s="239">
        <f>AA145-X145</f>
        <v/>
      </c>
      <c r="AC145" s="237">
        <f>IF(X145=0,"",AA145/X145)</f>
        <v/>
      </c>
      <c r="AD145" s="33" t="n"/>
      <c r="AE145" s="233" t="n"/>
      <c r="AF145" s="233" t="n"/>
      <c r="AG145" s="233">
        <f>AE145+AF145</f>
        <v/>
      </c>
      <c r="AH145" s="233" t="n"/>
      <c r="AI145" s="233" t="n"/>
      <c r="AJ145" s="233">
        <f>AH145+AI145</f>
        <v/>
      </c>
      <c r="AK145" s="238">
        <f>AJ145-AG145</f>
        <v/>
      </c>
      <c r="AL145" s="235">
        <f>IF(AG145=0,"",AJ145/AG145)</f>
        <v/>
      </c>
      <c r="AM145" s="26" t="n"/>
      <c r="AN145" s="236">
        <f>V145+AE145</f>
        <v/>
      </c>
      <c r="AO145" s="236">
        <f>W145+AF145</f>
        <v/>
      </c>
      <c r="AP145" s="236">
        <f>AN145+AO145</f>
        <v/>
      </c>
      <c r="AQ145" s="236">
        <f>Y145+AH145</f>
        <v/>
      </c>
      <c r="AR145" s="236">
        <f>Z145+AI145</f>
        <v/>
      </c>
      <c r="AS145" s="236">
        <f>AQ145+AR145</f>
        <v/>
      </c>
      <c r="AT145" s="239">
        <f>AS145-AP145</f>
        <v/>
      </c>
      <c r="AU145" s="237">
        <f>IF(AP145=0,"",AS145/AP145)</f>
        <v/>
      </c>
      <c r="AV145" s="33" t="n"/>
      <c r="AW145" s="233" t="n"/>
      <c r="AX145" s="233" t="n"/>
      <c r="AY145" s="233">
        <f>AW145+AX145</f>
        <v/>
      </c>
      <c r="AZ145" s="233" t="n"/>
      <c r="BA145" s="233" t="n"/>
      <c r="BB145" s="233">
        <f>AZ145+BA145</f>
        <v/>
      </c>
      <c r="BC145" s="238">
        <f>BB145-AY145</f>
        <v/>
      </c>
      <c r="BD145" s="235">
        <f>IF(AY145=0,"",BB145/AY145)</f>
        <v/>
      </c>
      <c r="BE145" s="26" t="n"/>
      <c r="BF145" s="236">
        <f>AN145+AW145</f>
        <v/>
      </c>
      <c r="BG145" s="236">
        <f>AO145+AX145</f>
        <v/>
      </c>
      <c r="BH145" s="236">
        <f>BF145+BG145</f>
        <v/>
      </c>
      <c r="BI145" s="236">
        <f>AQ145+AZ145</f>
        <v/>
      </c>
      <c r="BJ145" s="236">
        <f>AR145+BA145</f>
        <v/>
      </c>
      <c r="BK145" s="236">
        <f>BI145+BJ145</f>
        <v/>
      </c>
      <c r="BL145" s="239">
        <f>BK145-BH145</f>
        <v/>
      </c>
      <c r="BM145" s="237">
        <f>IF(BH145=0,"",BK145/BH145)</f>
        <v/>
      </c>
      <c r="BN145" s="33" t="n"/>
      <c r="BO145" s="233" t="n"/>
      <c r="BP145" s="233" t="n"/>
      <c r="BQ145" s="233">
        <f>BO145+BP145</f>
        <v/>
      </c>
      <c r="BR145" s="233" t="n"/>
      <c r="BS145" s="233" t="n"/>
      <c r="BT145" s="233">
        <f>BR145+BS145</f>
        <v/>
      </c>
      <c r="BU145" s="238">
        <f>BT145-BQ145</f>
        <v/>
      </c>
      <c r="BV145" s="235">
        <f>IF(BQ145=0,"",BT145/BQ145)</f>
        <v/>
      </c>
      <c r="BW145" s="26" t="n"/>
      <c r="BX145" s="236">
        <f>BF145+BO145</f>
        <v/>
      </c>
      <c r="BY145" s="236">
        <f>BG145+BP145</f>
        <v/>
      </c>
      <c r="BZ145" s="236">
        <f>BX145+BY145</f>
        <v/>
      </c>
      <c r="CA145" s="236">
        <f>BI145+BR145</f>
        <v/>
      </c>
      <c r="CB145" s="236">
        <f>BJ145+BS145</f>
        <v/>
      </c>
      <c r="CC145" s="236">
        <f>CA145+CB145</f>
        <v/>
      </c>
      <c r="CD145" s="239">
        <f>CC145-BZ145</f>
        <v/>
      </c>
      <c r="CE145" s="237">
        <f>IF(BZ145=0,"",CC145/BZ145)</f>
        <v/>
      </c>
      <c r="CF145" s="33" t="n"/>
      <c r="CG145" s="233" t="n"/>
      <c r="CH145" s="233" t="n"/>
      <c r="CI145" s="233">
        <f>CG145+CH145</f>
        <v/>
      </c>
      <c r="CJ145" s="233" t="n"/>
      <c r="CK145" s="233" t="n"/>
      <c r="CL145" s="233">
        <f>CJ145+CK145</f>
        <v/>
      </c>
      <c r="CM145" s="238">
        <f>CL145-CI145</f>
        <v/>
      </c>
      <c r="CN145" s="235">
        <f>IF(CI145=0,"",CL145/CI145)</f>
        <v/>
      </c>
      <c r="CO145" s="26" t="n"/>
      <c r="CP145" s="236">
        <f>BX145+CG145</f>
        <v/>
      </c>
      <c r="CQ145" s="236">
        <f>BY145+CH145</f>
        <v/>
      </c>
      <c r="CR145" s="236">
        <f>CP145+CQ145</f>
        <v/>
      </c>
      <c r="CS145" s="236">
        <f>CA145+CJ145</f>
        <v/>
      </c>
      <c r="CT145" s="236">
        <f>CB145+CK145</f>
        <v/>
      </c>
      <c r="CU145" s="236">
        <f>CS145+CT145</f>
        <v/>
      </c>
      <c r="CV145" s="239">
        <f>CU145-CR145</f>
        <v/>
      </c>
      <c r="CW145" s="237">
        <f>IF(CR145=0,"",CU145/CR145)</f>
        <v/>
      </c>
      <c r="CX145" s="33" t="n"/>
      <c r="CY145" s="233" t="n"/>
      <c r="CZ145" s="233" t="n"/>
      <c r="DA145" s="233">
        <f>CY145+CZ145</f>
        <v/>
      </c>
      <c r="DB145" s="233" t="n"/>
      <c r="DC145" s="233" t="n"/>
      <c r="DD145" s="233">
        <f>DB145+DC145</f>
        <v/>
      </c>
      <c r="DE145" s="238">
        <f>DD145-DA145</f>
        <v/>
      </c>
      <c r="DF145" s="235">
        <f>IF(DA145=0,"",DD145/DA145)</f>
        <v/>
      </c>
      <c r="DG145" s="26" t="n"/>
      <c r="DH145" s="236">
        <f>CP145+CY145</f>
        <v/>
      </c>
      <c r="DI145" s="236">
        <f>CQ145+CZ145</f>
        <v/>
      </c>
      <c r="DJ145" s="236">
        <f>DH145+DI145</f>
        <v/>
      </c>
      <c r="DK145" s="236">
        <f>CS145+DB145</f>
        <v/>
      </c>
      <c r="DL145" s="236">
        <f>CT145+DC145</f>
        <v/>
      </c>
      <c r="DM145" s="236">
        <f>DK145+DL145</f>
        <v/>
      </c>
      <c r="DN145" s="239">
        <f>DM145-DJ145</f>
        <v/>
      </c>
      <c r="DO145" s="237">
        <f>IF(DJ145=0,"",DM145/DJ145)</f>
        <v/>
      </c>
      <c r="DP145" s="33" t="n"/>
      <c r="DQ145" s="233" t="n"/>
      <c r="DR145" s="233" t="n"/>
      <c r="DS145" s="233">
        <f>DQ145+DR145</f>
        <v/>
      </c>
      <c r="DT145" s="233" t="n"/>
      <c r="DU145" s="233" t="n"/>
      <c r="DV145" s="233">
        <f>DT145+DU145</f>
        <v/>
      </c>
      <c r="DW145" s="238">
        <f>DV145-DS145</f>
        <v/>
      </c>
      <c r="DX145" s="235">
        <f>IF(DS145=0,"",DV145/DS145)</f>
        <v/>
      </c>
      <c r="DY145" s="26" t="n"/>
      <c r="DZ145" s="236">
        <f>DH145+DQ145</f>
        <v/>
      </c>
      <c r="EA145" s="236">
        <f>DI145+DR145</f>
        <v/>
      </c>
      <c r="EB145" s="236">
        <f>DZ145+EA145</f>
        <v/>
      </c>
      <c r="EC145" s="236">
        <f>DK145+DT145</f>
        <v/>
      </c>
      <c r="ED145" s="236">
        <f>DL145+DU145</f>
        <v/>
      </c>
      <c r="EE145" s="236">
        <f>EC145+ED145</f>
        <v/>
      </c>
      <c r="EF145" s="239">
        <f>EE145-EB145</f>
        <v/>
      </c>
      <c r="EG145" s="237">
        <f>IF(EB145=0,"",EE145/EB145)</f>
        <v/>
      </c>
      <c r="EH145" s="33" t="n"/>
      <c r="EI145" s="233" t="n"/>
      <c r="EJ145" s="233" t="n"/>
      <c r="EK145" s="233">
        <f>EI145+EJ145</f>
        <v/>
      </c>
      <c r="EL145" s="233" t="n"/>
      <c r="EM145" s="233" t="n"/>
      <c r="EN145" s="233">
        <f>EL145+EM145</f>
        <v/>
      </c>
      <c r="EO145" s="238">
        <f>EN145-EK145</f>
        <v/>
      </c>
      <c r="EP145" s="235">
        <f>IF(EK145=0,"",EN145/EK145)</f>
        <v/>
      </c>
      <c r="EQ145" s="26" t="n"/>
      <c r="ER145" s="236">
        <f>DZ145+EI145</f>
        <v/>
      </c>
      <c r="ES145" s="236">
        <f>EA145+EJ145</f>
        <v/>
      </c>
      <c r="ET145" s="236">
        <f>ER145+ES145</f>
        <v/>
      </c>
      <c r="EU145" s="236">
        <f>EC145+EL145</f>
        <v/>
      </c>
      <c r="EV145" s="236">
        <f>ED145+EM145</f>
        <v/>
      </c>
      <c r="EW145" s="236">
        <f>EU145+EV145</f>
        <v/>
      </c>
      <c r="EX145" s="239">
        <f>EW145-ET145</f>
        <v/>
      </c>
      <c r="EY145" s="237">
        <f>IF(ET145=0,"",EW145/ET145)</f>
        <v/>
      </c>
      <c r="EZ145" s="33" t="n"/>
      <c r="FA145" s="233" t="n"/>
      <c r="FB145" s="233" t="n"/>
      <c r="FC145" s="233">
        <f>FA145+FB145</f>
        <v/>
      </c>
      <c r="FD145" s="233" t="n"/>
      <c r="FE145" s="233" t="n"/>
      <c r="FF145" s="233">
        <f>FD145+FE145</f>
        <v/>
      </c>
      <c r="FG145" s="238">
        <f>FF145-FC145</f>
        <v/>
      </c>
      <c r="FH145" s="235">
        <f>IF(FC145=0,"",FF145/FC145)</f>
        <v/>
      </c>
      <c r="FI145" s="26" t="n"/>
      <c r="FJ145" s="236">
        <f>ER145+FA145</f>
        <v/>
      </c>
      <c r="FK145" s="236">
        <f>ES145+FB145</f>
        <v/>
      </c>
      <c r="FL145" s="236">
        <f>FJ145+FK145</f>
        <v/>
      </c>
      <c r="FM145" s="236">
        <f>EU145+FD145</f>
        <v/>
      </c>
      <c r="FN145" s="236">
        <f>EV145+FE145</f>
        <v/>
      </c>
      <c r="FO145" s="236">
        <f>FM145+FN145</f>
        <v/>
      </c>
      <c r="FP145" s="239">
        <f>FO145-FL145</f>
        <v/>
      </c>
      <c r="FQ145" s="237">
        <f>IF(FL145=0,"",FO145/FL145)</f>
        <v/>
      </c>
      <c r="FR145" s="33" t="n"/>
      <c r="FS145" s="233" t="n"/>
      <c r="FT145" s="233" t="n"/>
      <c r="FU145" s="233">
        <f>FS145+FT145</f>
        <v/>
      </c>
      <c r="FV145" s="233" t="n"/>
      <c r="FW145" s="233" t="n"/>
      <c r="FX145" s="233">
        <f>FV145+FW145</f>
        <v/>
      </c>
      <c r="FY145" s="238">
        <f>FX145-FU145</f>
        <v/>
      </c>
      <c r="FZ145" s="235">
        <f>IF(FU145=0,"",FX145/FU145)</f>
        <v/>
      </c>
      <c r="GA145" s="26" t="n"/>
      <c r="GB145" s="236">
        <f>FJ145+FS145</f>
        <v/>
      </c>
      <c r="GC145" s="236">
        <f>FK145+FT145</f>
        <v/>
      </c>
      <c r="GD145" s="236">
        <f>GB145+GC145</f>
        <v/>
      </c>
      <c r="GE145" s="236">
        <f>FM145+FV145</f>
        <v/>
      </c>
      <c r="GF145" s="236">
        <f>FN145+FW145</f>
        <v/>
      </c>
      <c r="GG145" s="236">
        <f>GE145+GF145</f>
        <v/>
      </c>
      <c r="GH145" s="239">
        <f>GG145-GD145</f>
        <v/>
      </c>
      <c r="GI145" s="237">
        <f>IF(GD145=0,"",GG145/GD145)</f>
        <v/>
      </c>
      <c r="GJ145" s="33" t="n"/>
      <c r="GK145" s="233" t="n"/>
      <c r="GL145" s="233" t="n"/>
      <c r="GM145" s="233">
        <f>GK145+GL145</f>
        <v/>
      </c>
      <c r="GN145" s="233" t="n"/>
      <c r="GO145" s="233" t="n"/>
      <c r="GP145" s="233">
        <f>GN145+GO145</f>
        <v/>
      </c>
      <c r="GQ145" s="238">
        <f>GP145-GM145</f>
        <v/>
      </c>
      <c r="GR145" s="235">
        <f>IF(GM145=0,"",GP145/GM145)</f>
        <v/>
      </c>
      <c r="GS145" s="26" t="n"/>
      <c r="GT145" s="236">
        <f>GB145+GK145</f>
        <v/>
      </c>
      <c r="GU145" s="236">
        <f>GC145+GL145</f>
        <v/>
      </c>
      <c r="GV145" s="236">
        <f>GT145+GU145</f>
        <v/>
      </c>
      <c r="GW145" s="236">
        <f>GE145+GN145</f>
        <v/>
      </c>
      <c r="GX145" s="236">
        <f>GF145+GO145</f>
        <v/>
      </c>
      <c r="GY145" s="236">
        <f>GW145+GX145</f>
        <v/>
      </c>
      <c r="GZ145" s="239">
        <f>GY145-GV145</f>
        <v/>
      </c>
      <c r="HA145" s="237">
        <f>IF(GV145=0,"",GY145/GV145)</f>
        <v/>
      </c>
      <c r="HB145" s="33" t="n"/>
      <c r="HC145" s="233">
        <f>GT145</f>
        <v/>
      </c>
      <c r="HD145" s="233">
        <f>GU145</f>
        <v/>
      </c>
      <c r="HE145" s="233">
        <f>HC145+HD145</f>
        <v/>
      </c>
    </row>
    <row r="146" ht="15" customHeight="1" s="150">
      <c r="A146" s="18" t="n"/>
      <c r="B146" s="18" t="n"/>
      <c r="C146" s="18" t="n"/>
      <c r="D146" s="227">
        <f>D147</f>
        <v/>
      </c>
      <c r="E146" s="227">
        <f>E147</f>
        <v/>
      </c>
      <c r="F146" s="227">
        <f>D146+E146</f>
        <v/>
      </c>
      <c r="G146" s="227">
        <f>G147</f>
        <v/>
      </c>
      <c r="H146" s="227">
        <f>H147</f>
        <v/>
      </c>
      <c r="I146" s="227">
        <f>G146+H146</f>
        <v/>
      </c>
      <c r="J146" s="228">
        <f>I146-F146</f>
        <v/>
      </c>
      <c r="K146" s="229">
        <f>IF(F146=0,"",I146/F146)</f>
        <v/>
      </c>
      <c r="L146" s="18" t="n"/>
      <c r="M146" s="227">
        <f>M147</f>
        <v/>
      </c>
      <c r="N146" s="227">
        <f>N147</f>
        <v/>
      </c>
      <c r="O146" s="227">
        <f>M146+N146</f>
        <v/>
      </c>
      <c r="P146" s="227">
        <f>P147</f>
        <v/>
      </c>
      <c r="Q146" s="227">
        <f>Q147</f>
        <v/>
      </c>
      <c r="R146" s="227">
        <f>P146+Q146</f>
        <v/>
      </c>
      <c r="S146" s="228">
        <f>R146-O146</f>
        <v/>
      </c>
      <c r="T146" s="229">
        <f>IF(O146=0,"",R146/O146)</f>
        <v/>
      </c>
      <c r="U146" s="18" t="n"/>
      <c r="V146" s="230">
        <f>V147</f>
        <v/>
      </c>
      <c r="W146" s="230">
        <f>W147</f>
        <v/>
      </c>
      <c r="X146" s="230">
        <f>V146+W146</f>
        <v/>
      </c>
      <c r="Y146" s="230">
        <f>Y147</f>
        <v/>
      </c>
      <c r="Z146" s="230">
        <f>Z147</f>
        <v/>
      </c>
      <c r="AA146" s="230">
        <f>Y146+Z146</f>
        <v/>
      </c>
      <c r="AB146" s="231">
        <f>AA146-X146</f>
        <v/>
      </c>
      <c r="AC146" s="232">
        <f>IF(X146=0,"",AA146/X146)</f>
        <v/>
      </c>
      <c r="AD146" s="25" t="n"/>
      <c r="AE146" s="227">
        <f>AE147</f>
        <v/>
      </c>
      <c r="AF146" s="227">
        <f>AF147</f>
        <v/>
      </c>
      <c r="AG146" s="227">
        <f>AE146+AF146</f>
        <v/>
      </c>
      <c r="AH146" s="227">
        <f>AH147</f>
        <v/>
      </c>
      <c r="AI146" s="227">
        <f>AI147</f>
        <v/>
      </c>
      <c r="AJ146" s="227">
        <f>AH146+AI146</f>
        <v/>
      </c>
      <c r="AK146" s="228">
        <f>AJ146-AG146</f>
        <v/>
      </c>
      <c r="AL146" s="229">
        <f>IF(AG146=0,"",AJ146/AG146)</f>
        <v/>
      </c>
      <c r="AM146" s="18" t="n"/>
      <c r="AN146" s="230">
        <f>AN147</f>
        <v/>
      </c>
      <c r="AO146" s="230">
        <f>AO147</f>
        <v/>
      </c>
      <c r="AP146" s="230">
        <f>AN146+AO146</f>
        <v/>
      </c>
      <c r="AQ146" s="230">
        <f>AQ147</f>
        <v/>
      </c>
      <c r="AR146" s="230">
        <f>AR147</f>
        <v/>
      </c>
      <c r="AS146" s="230">
        <f>AQ146+AR146</f>
        <v/>
      </c>
      <c r="AT146" s="231">
        <f>AS146-AP146</f>
        <v/>
      </c>
      <c r="AU146" s="232">
        <f>IF(AP146=0,"",AS146/AP146)</f>
        <v/>
      </c>
      <c r="AV146" s="25" t="n"/>
      <c r="AW146" s="227">
        <f>AW147</f>
        <v/>
      </c>
      <c r="AX146" s="227">
        <f>AX147</f>
        <v/>
      </c>
      <c r="AY146" s="227">
        <f>AW146+AX146</f>
        <v/>
      </c>
      <c r="AZ146" s="227">
        <f>AZ147</f>
        <v/>
      </c>
      <c r="BA146" s="227">
        <f>BA147</f>
        <v/>
      </c>
      <c r="BB146" s="227">
        <f>AZ146+BA146</f>
        <v/>
      </c>
      <c r="BC146" s="228">
        <f>BB146-AY146</f>
        <v/>
      </c>
      <c r="BD146" s="229">
        <f>IF(AY146=0,"",BB146/AY146)</f>
        <v/>
      </c>
      <c r="BE146" s="18" t="n"/>
      <c r="BF146" s="230">
        <f>BF147</f>
        <v/>
      </c>
      <c r="BG146" s="230">
        <f>BG147</f>
        <v/>
      </c>
      <c r="BH146" s="230">
        <f>BF146+BG146</f>
        <v/>
      </c>
      <c r="BI146" s="230">
        <f>BI147</f>
        <v/>
      </c>
      <c r="BJ146" s="230">
        <f>BJ147</f>
        <v/>
      </c>
      <c r="BK146" s="230">
        <f>BI146+BJ146</f>
        <v/>
      </c>
      <c r="BL146" s="231">
        <f>BK146-BH146</f>
        <v/>
      </c>
      <c r="BM146" s="232">
        <f>IF(BH146=0,"",BK146/BH146)</f>
        <v/>
      </c>
      <c r="BN146" s="25" t="n"/>
      <c r="BO146" s="227">
        <f>BO147</f>
        <v/>
      </c>
      <c r="BP146" s="227">
        <f>BP147</f>
        <v/>
      </c>
      <c r="BQ146" s="227">
        <f>BO146+BP146</f>
        <v/>
      </c>
      <c r="BR146" s="227">
        <f>BR147</f>
        <v/>
      </c>
      <c r="BS146" s="227">
        <f>BS147</f>
        <v/>
      </c>
      <c r="BT146" s="227">
        <f>BR146+BS146</f>
        <v/>
      </c>
      <c r="BU146" s="228">
        <f>BT146-BQ146</f>
        <v/>
      </c>
      <c r="BV146" s="229">
        <f>IF(BQ146=0,"",BT146/BQ146)</f>
        <v/>
      </c>
      <c r="BW146" s="18" t="n"/>
      <c r="BX146" s="230">
        <f>BX147</f>
        <v/>
      </c>
      <c r="BY146" s="230">
        <f>BY147</f>
        <v/>
      </c>
      <c r="BZ146" s="230">
        <f>BX146+BY146</f>
        <v/>
      </c>
      <c r="CA146" s="230">
        <f>CA147</f>
        <v/>
      </c>
      <c r="CB146" s="230">
        <f>CB147</f>
        <v/>
      </c>
      <c r="CC146" s="230">
        <f>CA146+CB146</f>
        <v/>
      </c>
      <c r="CD146" s="231">
        <f>CC146-BZ146</f>
        <v/>
      </c>
      <c r="CE146" s="232">
        <f>IF(BZ146=0,"",CC146/BZ146)</f>
        <v/>
      </c>
      <c r="CF146" s="25" t="n"/>
      <c r="CG146" s="227">
        <f>CG147</f>
        <v/>
      </c>
      <c r="CH146" s="227">
        <f>CH147</f>
        <v/>
      </c>
      <c r="CI146" s="227">
        <f>CG146+CH146</f>
        <v/>
      </c>
      <c r="CJ146" s="227">
        <f>CJ147</f>
        <v/>
      </c>
      <c r="CK146" s="227">
        <f>CK147</f>
        <v/>
      </c>
      <c r="CL146" s="227">
        <f>CJ146+CK146</f>
        <v/>
      </c>
      <c r="CM146" s="228">
        <f>CL146-CI146</f>
        <v/>
      </c>
      <c r="CN146" s="229">
        <f>IF(CI146=0,"",CL146/CI146)</f>
        <v/>
      </c>
      <c r="CO146" s="18" t="n"/>
      <c r="CP146" s="230">
        <f>CP147</f>
        <v/>
      </c>
      <c r="CQ146" s="230">
        <f>CQ147</f>
        <v/>
      </c>
      <c r="CR146" s="230">
        <f>CP146+CQ146</f>
        <v/>
      </c>
      <c r="CS146" s="230">
        <f>CS147</f>
        <v/>
      </c>
      <c r="CT146" s="230">
        <f>CT147</f>
        <v/>
      </c>
      <c r="CU146" s="230">
        <f>CS146+CT146</f>
        <v/>
      </c>
      <c r="CV146" s="231">
        <f>CU146-CR146</f>
        <v/>
      </c>
      <c r="CW146" s="232">
        <f>IF(CR146=0,"",CU146/CR146)</f>
        <v/>
      </c>
      <c r="CX146" s="25" t="n"/>
      <c r="CY146" s="227">
        <f>CY147</f>
        <v/>
      </c>
      <c r="CZ146" s="227">
        <f>CZ147</f>
        <v/>
      </c>
      <c r="DA146" s="227">
        <f>CY146+CZ146</f>
        <v/>
      </c>
      <c r="DB146" s="227">
        <f>DB147</f>
        <v/>
      </c>
      <c r="DC146" s="227">
        <f>DC147</f>
        <v/>
      </c>
      <c r="DD146" s="227">
        <f>DB146+DC146</f>
        <v/>
      </c>
      <c r="DE146" s="228">
        <f>DD146-DA146</f>
        <v/>
      </c>
      <c r="DF146" s="229">
        <f>IF(DA146=0,"",DD146/DA146)</f>
        <v/>
      </c>
      <c r="DG146" s="18" t="n"/>
      <c r="DH146" s="230">
        <f>DH147</f>
        <v/>
      </c>
      <c r="DI146" s="230">
        <f>DI147</f>
        <v/>
      </c>
      <c r="DJ146" s="230">
        <f>DH146+DI146</f>
        <v/>
      </c>
      <c r="DK146" s="230">
        <f>DK147</f>
        <v/>
      </c>
      <c r="DL146" s="230">
        <f>DL147</f>
        <v/>
      </c>
      <c r="DM146" s="230">
        <f>DK146+DL146</f>
        <v/>
      </c>
      <c r="DN146" s="231">
        <f>DM146-DJ146</f>
        <v/>
      </c>
      <c r="DO146" s="232">
        <f>IF(DJ146=0,"",DM146/DJ146)</f>
        <v/>
      </c>
      <c r="DP146" s="25" t="n"/>
      <c r="DQ146" s="227">
        <f>DQ147</f>
        <v/>
      </c>
      <c r="DR146" s="227">
        <f>DR147</f>
        <v/>
      </c>
      <c r="DS146" s="227">
        <f>DQ146+DR146</f>
        <v/>
      </c>
      <c r="DT146" s="227">
        <f>DT147</f>
        <v/>
      </c>
      <c r="DU146" s="227">
        <f>DU147</f>
        <v/>
      </c>
      <c r="DV146" s="227">
        <f>DT146+DU146</f>
        <v/>
      </c>
      <c r="DW146" s="228">
        <f>DV146-DS146</f>
        <v/>
      </c>
      <c r="DX146" s="229">
        <f>IF(DS146=0,"",DV146/DS146)</f>
        <v/>
      </c>
      <c r="DY146" s="18" t="n"/>
      <c r="DZ146" s="230">
        <f>DZ147</f>
        <v/>
      </c>
      <c r="EA146" s="230">
        <f>EA147</f>
        <v/>
      </c>
      <c r="EB146" s="230">
        <f>DZ146+EA146</f>
        <v/>
      </c>
      <c r="EC146" s="230">
        <f>EC147</f>
        <v/>
      </c>
      <c r="ED146" s="230">
        <f>ED147</f>
        <v/>
      </c>
      <c r="EE146" s="230">
        <f>EC146+ED146</f>
        <v/>
      </c>
      <c r="EF146" s="231">
        <f>EE146-EB146</f>
        <v/>
      </c>
      <c r="EG146" s="232">
        <f>IF(EB146=0,"",EE146/EB146)</f>
        <v/>
      </c>
      <c r="EH146" s="25" t="n"/>
      <c r="EI146" s="227">
        <f>EI147</f>
        <v/>
      </c>
      <c r="EJ146" s="227">
        <f>EJ147</f>
        <v/>
      </c>
      <c r="EK146" s="227">
        <f>EI146+EJ146</f>
        <v/>
      </c>
      <c r="EL146" s="227">
        <f>EL147</f>
        <v/>
      </c>
      <c r="EM146" s="227">
        <f>EM147</f>
        <v/>
      </c>
      <c r="EN146" s="227">
        <f>EL146+EM146</f>
        <v/>
      </c>
      <c r="EO146" s="228">
        <f>EN146-EK146</f>
        <v/>
      </c>
      <c r="EP146" s="229">
        <f>IF(EK146=0,"",EN146/EK146)</f>
        <v/>
      </c>
      <c r="EQ146" s="18" t="n"/>
      <c r="ER146" s="230">
        <f>ER147</f>
        <v/>
      </c>
      <c r="ES146" s="230">
        <f>ES147</f>
        <v/>
      </c>
      <c r="ET146" s="230">
        <f>ER146+ES146</f>
        <v/>
      </c>
      <c r="EU146" s="230">
        <f>EU147</f>
        <v/>
      </c>
      <c r="EV146" s="230">
        <f>EV147</f>
        <v/>
      </c>
      <c r="EW146" s="230">
        <f>EU146+EV146</f>
        <v/>
      </c>
      <c r="EX146" s="231">
        <f>EW146-ET146</f>
        <v/>
      </c>
      <c r="EY146" s="232">
        <f>IF(ET146=0,"",EW146/ET146)</f>
        <v/>
      </c>
      <c r="EZ146" s="25" t="n"/>
      <c r="FA146" s="227">
        <f>FA147</f>
        <v/>
      </c>
      <c r="FB146" s="227">
        <f>FB147</f>
        <v/>
      </c>
      <c r="FC146" s="227">
        <f>FA146+FB146</f>
        <v/>
      </c>
      <c r="FD146" s="227">
        <f>FD147</f>
        <v/>
      </c>
      <c r="FE146" s="227">
        <f>FE147</f>
        <v/>
      </c>
      <c r="FF146" s="227">
        <f>FD146+FE146</f>
        <v/>
      </c>
      <c r="FG146" s="228">
        <f>FF146-FC146</f>
        <v/>
      </c>
      <c r="FH146" s="229">
        <f>IF(FC146=0,"",FF146/FC146)</f>
        <v/>
      </c>
      <c r="FI146" s="18" t="n"/>
      <c r="FJ146" s="230">
        <f>FJ147</f>
        <v/>
      </c>
      <c r="FK146" s="230">
        <f>FK147</f>
        <v/>
      </c>
      <c r="FL146" s="230">
        <f>FJ146+FK146</f>
        <v/>
      </c>
      <c r="FM146" s="230">
        <f>FM147</f>
        <v/>
      </c>
      <c r="FN146" s="230">
        <f>FN147</f>
        <v/>
      </c>
      <c r="FO146" s="230">
        <f>FM146+FN146</f>
        <v/>
      </c>
      <c r="FP146" s="231">
        <f>FO146-FL146</f>
        <v/>
      </c>
      <c r="FQ146" s="232">
        <f>IF(FL146=0,"",FO146/FL146)</f>
        <v/>
      </c>
      <c r="FR146" s="25" t="n"/>
      <c r="FS146" s="227">
        <f>FS147</f>
        <v/>
      </c>
      <c r="FT146" s="227">
        <f>FT147</f>
        <v/>
      </c>
      <c r="FU146" s="227">
        <f>FS146+FT146</f>
        <v/>
      </c>
      <c r="FV146" s="227">
        <f>FV147</f>
        <v/>
      </c>
      <c r="FW146" s="227">
        <f>FW147</f>
        <v/>
      </c>
      <c r="FX146" s="227">
        <f>FV146+FW146</f>
        <v/>
      </c>
      <c r="FY146" s="228">
        <f>FX146-FU146</f>
        <v/>
      </c>
      <c r="FZ146" s="229">
        <f>IF(FU146=0,"",FX146/FU146)</f>
        <v/>
      </c>
      <c r="GA146" s="18" t="n"/>
      <c r="GB146" s="230">
        <f>GB147</f>
        <v/>
      </c>
      <c r="GC146" s="230">
        <f>GC147</f>
        <v/>
      </c>
      <c r="GD146" s="230">
        <f>GB146+GC146</f>
        <v/>
      </c>
      <c r="GE146" s="230">
        <f>GE147</f>
        <v/>
      </c>
      <c r="GF146" s="230">
        <f>GF147</f>
        <v/>
      </c>
      <c r="GG146" s="230">
        <f>GE146+GF146</f>
        <v/>
      </c>
      <c r="GH146" s="231">
        <f>GG146-GD146</f>
        <v/>
      </c>
      <c r="GI146" s="232">
        <f>IF(GD146=0,"",GG146/GD146)</f>
        <v/>
      </c>
      <c r="GJ146" s="25" t="n"/>
      <c r="GK146" s="227">
        <f>GK147</f>
        <v/>
      </c>
      <c r="GL146" s="227">
        <f>GL147</f>
        <v/>
      </c>
      <c r="GM146" s="227">
        <f>GK146+GL146</f>
        <v/>
      </c>
      <c r="GN146" s="227">
        <f>GN147</f>
        <v/>
      </c>
      <c r="GO146" s="227">
        <f>GO147</f>
        <v/>
      </c>
      <c r="GP146" s="227">
        <f>GN146+GO146</f>
        <v/>
      </c>
      <c r="GQ146" s="228">
        <f>GP146-GM146</f>
        <v/>
      </c>
      <c r="GR146" s="229">
        <f>IF(GM146=0,"",GP146/GM146)</f>
        <v/>
      </c>
      <c r="GS146" s="18" t="n"/>
      <c r="GT146" s="230">
        <f>GT147</f>
        <v/>
      </c>
      <c r="GU146" s="230">
        <f>GU147</f>
        <v/>
      </c>
      <c r="GV146" s="230">
        <f>GT146+GU146</f>
        <v/>
      </c>
      <c r="GW146" s="230">
        <f>GW147</f>
        <v/>
      </c>
      <c r="GX146" s="230">
        <f>GX147</f>
        <v/>
      </c>
      <c r="GY146" s="230">
        <f>GW146+GX146</f>
        <v/>
      </c>
      <c r="GZ146" s="231">
        <f>GY146-GV146</f>
        <v/>
      </c>
      <c r="HA146" s="232">
        <f>IF(GV146=0,"",GY146/GV146)</f>
        <v/>
      </c>
      <c r="HB146" s="25" t="n"/>
      <c r="HC146" s="227">
        <f>GT146</f>
        <v/>
      </c>
      <c r="HD146" s="227">
        <f>GU146</f>
        <v/>
      </c>
      <c r="HE146" s="227">
        <f>HC146+HD146</f>
        <v/>
      </c>
    </row>
    <row r="147" outlineLevel="1" ht="15" customHeight="1" s="150">
      <c r="A147" s="26" t="n"/>
      <c r="B147" s="26" t="n"/>
      <c r="C147" s="26" t="n"/>
      <c r="D147" s="233" t="n"/>
      <c r="E147" s="233" t="n"/>
      <c r="F147" s="233">
        <f>D147+E147</f>
        <v/>
      </c>
      <c r="G147" s="233" t="n"/>
      <c r="H147" s="233" t="n"/>
      <c r="I147" s="233">
        <f>G147+H147</f>
        <v/>
      </c>
      <c r="J147" s="238">
        <f>I147-F147</f>
        <v/>
      </c>
      <c r="K147" s="235">
        <f>IF(F147=0,"",I147/F147)</f>
        <v/>
      </c>
      <c r="L147" s="26" t="n"/>
      <c r="M147" s="233" t="n"/>
      <c r="N147" s="233" t="n"/>
      <c r="O147" s="233">
        <f>M147+N147</f>
        <v/>
      </c>
      <c r="P147" s="233" t="n"/>
      <c r="Q147" s="233" t="n"/>
      <c r="R147" s="233">
        <f>P147+Q147</f>
        <v/>
      </c>
      <c r="S147" s="238">
        <f>R147-O147</f>
        <v/>
      </c>
      <c r="T147" s="235">
        <f>IF(O147=0,"",R147/O147)</f>
        <v/>
      </c>
      <c r="U147" s="26" t="n"/>
      <c r="V147" s="236">
        <f>D147+M147</f>
        <v/>
      </c>
      <c r="W147" s="236">
        <f>E147+N147</f>
        <v/>
      </c>
      <c r="X147" s="236">
        <f>V147+W147</f>
        <v/>
      </c>
      <c r="Y147" s="236">
        <f>G147+P147</f>
        <v/>
      </c>
      <c r="Z147" s="236">
        <f>H147+Q147</f>
        <v/>
      </c>
      <c r="AA147" s="236">
        <f>Y147+Z147</f>
        <v/>
      </c>
      <c r="AB147" s="239">
        <f>AA147-X147</f>
        <v/>
      </c>
      <c r="AC147" s="237">
        <f>IF(X147=0,"",AA147/X147)</f>
        <v/>
      </c>
      <c r="AD147" s="33" t="n"/>
      <c r="AE147" s="233" t="n"/>
      <c r="AF147" s="233" t="n"/>
      <c r="AG147" s="233">
        <f>AE147+AF147</f>
        <v/>
      </c>
      <c r="AH147" s="233" t="n"/>
      <c r="AI147" s="233" t="n"/>
      <c r="AJ147" s="233">
        <f>AH147+AI147</f>
        <v/>
      </c>
      <c r="AK147" s="238">
        <f>AJ147-AG147</f>
        <v/>
      </c>
      <c r="AL147" s="235">
        <f>IF(AG147=0,"",AJ147/AG147)</f>
        <v/>
      </c>
      <c r="AM147" s="26" t="n"/>
      <c r="AN147" s="236">
        <f>V147+AE147</f>
        <v/>
      </c>
      <c r="AO147" s="236">
        <f>W147+AF147</f>
        <v/>
      </c>
      <c r="AP147" s="236">
        <f>AN147+AO147</f>
        <v/>
      </c>
      <c r="AQ147" s="236">
        <f>Y147+AH147</f>
        <v/>
      </c>
      <c r="AR147" s="236">
        <f>Z147+AI147</f>
        <v/>
      </c>
      <c r="AS147" s="236">
        <f>AQ147+AR147</f>
        <v/>
      </c>
      <c r="AT147" s="239">
        <f>AS147-AP147</f>
        <v/>
      </c>
      <c r="AU147" s="237">
        <f>IF(AP147=0,"",AS147/AP147)</f>
        <v/>
      </c>
      <c r="AV147" s="33" t="n"/>
      <c r="AW147" s="233" t="n"/>
      <c r="AX147" s="233" t="n"/>
      <c r="AY147" s="233">
        <f>AW147+AX147</f>
        <v/>
      </c>
      <c r="AZ147" s="233" t="n"/>
      <c r="BA147" s="233" t="n"/>
      <c r="BB147" s="233">
        <f>AZ147+BA147</f>
        <v/>
      </c>
      <c r="BC147" s="238">
        <f>BB147-AY147</f>
        <v/>
      </c>
      <c r="BD147" s="235">
        <f>IF(AY147=0,"",BB147/AY147)</f>
        <v/>
      </c>
      <c r="BE147" s="26" t="n"/>
      <c r="BF147" s="236">
        <f>AN147+AW147</f>
        <v/>
      </c>
      <c r="BG147" s="236">
        <f>AO147+AX147</f>
        <v/>
      </c>
      <c r="BH147" s="236">
        <f>BF147+BG147</f>
        <v/>
      </c>
      <c r="BI147" s="236">
        <f>AQ147+AZ147</f>
        <v/>
      </c>
      <c r="BJ147" s="236">
        <f>AR147+BA147</f>
        <v/>
      </c>
      <c r="BK147" s="236">
        <f>BI147+BJ147</f>
        <v/>
      </c>
      <c r="BL147" s="239">
        <f>BK147-BH147</f>
        <v/>
      </c>
      <c r="BM147" s="237">
        <f>IF(BH147=0,"",BK147/BH147)</f>
        <v/>
      </c>
      <c r="BN147" s="33" t="n"/>
      <c r="BO147" s="233" t="n"/>
      <c r="BP147" s="233" t="n"/>
      <c r="BQ147" s="233">
        <f>BO147+BP147</f>
        <v/>
      </c>
      <c r="BR147" s="233" t="n"/>
      <c r="BS147" s="233" t="n"/>
      <c r="BT147" s="233">
        <f>BR147+BS147</f>
        <v/>
      </c>
      <c r="BU147" s="238">
        <f>BT147-BQ147</f>
        <v/>
      </c>
      <c r="BV147" s="235">
        <f>IF(BQ147=0,"",BT147/BQ147)</f>
        <v/>
      </c>
      <c r="BW147" s="26" t="n"/>
      <c r="BX147" s="236">
        <f>BF147+BO147</f>
        <v/>
      </c>
      <c r="BY147" s="236">
        <f>BG147+BP147</f>
        <v/>
      </c>
      <c r="BZ147" s="236">
        <f>BX147+BY147</f>
        <v/>
      </c>
      <c r="CA147" s="236">
        <f>BI147+BR147</f>
        <v/>
      </c>
      <c r="CB147" s="236">
        <f>BJ147+BS147</f>
        <v/>
      </c>
      <c r="CC147" s="236">
        <f>CA147+CB147</f>
        <v/>
      </c>
      <c r="CD147" s="239">
        <f>CC147-BZ147</f>
        <v/>
      </c>
      <c r="CE147" s="237">
        <f>IF(BZ147=0,"",CC147/BZ147)</f>
        <v/>
      </c>
      <c r="CF147" s="33" t="n"/>
      <c r="CG147" s="233" t="n"/>
      <c r="CH147" s="233" t="n"/>
      <c r="CI147" s="233">
        <f>CG147+CH147</f>
        <v/>
      </c>
      <c r="CJ147" s="233" t="n"/>
      <c r="CK147" s="233" t="n"/>
      <c r="CL147" s="233">
        <f>CJ147+CK147</f>
        <v/>
      </c>
      <c r="CM147" s="238">
        <f>CL147-CI147</f>
        <v/>
      </c>
      <c r="CN147" s="235">
        <f>IF(CI147=0,"",CL147/CI147)</f>
        <v/>
      </c>
      <c r="CO147" s="26" t="n"/>
      <c r="CP147" s="236">
        <f>BX147+CG147</f>
        <v/>
      </c>
      <c r="CQ147" s="236">
        <f>BY147+CH147</f>
        <v/>
      </c>
      <c r="CR147" s="236">
        <f>CP147+CQ147</f>
        <v/>
      </c>
      <c r="CS147" s="236">
        <f>CA147+CJ147</f>
        <v/>
      </c>
      <c r="CT147" s="236">
        <f>CB147+CK147</f>
        <v/>
      </c>
      <c r="CU147" s="236">
        <f>CS147+CT147</f>
        <v/>
      </c>
      <c r="CV147" s="239">
        <f>CU147-CR147</f>
        <v/>
      </c>
      <c r="CW147" s="237">
        <f>IF(CR147=0,"",CU147/CR147)</f>
        <v/>
      </c>
      <c r="CX147" s="33" t="n"/>
      <c r="CY147" s="233" t="n"/>
      <c r="CZ147" s="233" t="n"/>
      <c r="DA147" s="233">
        <f>CY147+CZ147</f>
        <v/>
      </c>
      <c r="DB147" s="233" t="n"/>
      <c r="DC147" s="233" t="n"/>
      <c r="DD147" s="233">
        <f>DB147+DC147</f>
        <v/>
      </c>
      <c r="DE147" s="238">
        <f>DD147-DA147</f>
        <v/>
      </c>
      <c r="DF147" s="235">
        <f>IF(DA147=0,"",DD147/DA147)</f>
        <v/>
      </c>
      <c r="DG147" s="26" t="n"/>
      <c r="DH147" s="236">
        <f>CP147+CY147</f>
        <v/>
      </c>
      <c r="DI147" s="236">
        <f>CQ147+CZ147</f>
        <v/>
      </c>
      <c r="DJ147" s="236">
        <f>DH147+DI147</f>
        <v/>
      </c>
      <c r="DK147" s="236">
        <f>CS147+DB147</f>
        <v/>
      </c>
      <c r="DL147" s="236">
        <f>CT147+DC147</f>
        <v/>
      </c>
      <c r="DM147" s="236">
        <f>DK147+DL147</f>
        <v/>
      </c>
      <c r="DN147" s="239">
        <f>DM147-DJ147</f>
        <v/>
      </c>
      <c r="DO147" s="237">
        <f>IF(DJ147=0,"",DM147/DJ147)</f>
        <v/>
      </c>
      <c r="DP147" s="33" t="n"/>
      <c r="DQ147" s="233" t="n"/>
      <c r="DR147" s="233" t="n"/>
      <c r="DS147" s="233">
        <f>DQ147+DR147</f>
        <v/>
      </c>
      <c r="DT147" s="233" t="n"/>
      <c r="DU147" s="233" t="n"/>
      <c r="DV147" s="233">
        <f>DT147+DU147</f>
        <v/>
      </c>
      <c r="DW147" s="238">
        <f>DV147-DS147</f>
        <v/>
      </c>
      <c r="DX147" s="235">
        <f>IF(DS147=0,"",DV147/DS147)</f>
        <v/>
      </c>
      <c r="DY147" s="26" t="n"/>
      <c r="DZ147" s="236">
        <f>DH147+DQ147</f>
        <v/>
      </c>
      <c r="EA147" s="236">
        <f>DI147+DR147</f>
        <v/>
      </c>
      <c r="EB147" s="236">
        <f>DZ147+EA147</f>
        <v/>
      </c>
      <c r="EC147" s="236">
        <f>DK147+DT147</f>
        <v/>
      </c>
      <c r="ED147" s="236">
        <f>DL147+DU147</f>
        <v/>
      </c>
      <c r="EE147" s="236">
        <f>EC147+ED147</f>
        <v/>
      </c>
      <c r="EF147" s="239">
        <f>EE147-EB147</f>
        <v/>
      </c>
      <c r="EG147" s="237">
        <f>IF(EB147=0,"",EE147/EB147)</f>
        <v/>
      </c>
      <c r="EH147" s="33" t="n"/>
      <c r="EI147" s="233" t="n"/>
      <c r="EJ147" s="233" t="n"/>
      <c r="EK147" s="233">
        <f>EI147+EJ147</f>
        <v/>
      </c>
      <c r="EL147" s="233" t="n"/>
      <c r="EM147" s="233" t="n"/>
      <c r="EN147" s="233">
        <f>EL147+EM147</f>
        <v/>
      </c>
      <c r="EO147" s="238">
        <f>EN147-EK147</f>
        <v/>
      </c>
      <c r="EP147" s="235">
        <f>IF(EK147=0,"",EN147/EK147)</f>
        <v/>
      </c>
      <c r="EQ147" s="26" t="n"/>
      <c r="ER147" s="236">
        <f>DZ147+EI147</f>
        <v/>
      </c>
      <c r="ES147" s="236">
        <f>EA147+EJ147</f>
        <v/>
      </c>
      <c r="ET147" s="236">
        <f>ER147+ES147</f>
        <v/>
      </c>
      <c r="EU147" s="236">
        <f>EC147+EL147</f>
        <v/>
      </c>
      <c r="EV147" s="236">
        <f>ED147+EM147</f>
        <v/>
      </c>
      <c r="EW147" s="236">
        <f>EU147+EV147</f>
        <v/>
      </c>
      <c r="EX147" s="239">
        <f>EW147-ET147</f>
        <v/>
      </c>
      <c r="EY147" s="237">
        <f>IF(ET147=0,"",EW147/ET147)</f>
        <v/>
      </c>
      <c r="EZ147" s="33" t="n"/>
      <c r="FA147" s="233" t="n"/>
      <c r="FB147" s="233" t="n"/>
      <c r="FC147" s="233">
        <f>FA147+FB147</f>
        <v/>
      </c>
      <c r="FD147" s="233" t="n"/>
      <c r="FE147" s="233" t="n"/>
      <c r="FF147" s="233">
        <f>FD147+FE147</f>
        <v/>
      </c>
      <c r="FG147" s="238">
        <f>FF147-FC147</f>
        <v/>
      </c>
      <c r="FH147" s="235">
        <f>IF(FC147=0,"",FF147/FC147)</f>
        <v/>
      </c>
      <c r="FI147" s="26" t="n"/>
      <c r="FJ147" s="236">
        <f>ER147+FA147</f>
        <v/>
      </c>
      <c r="FK147" s="236">
        <f>ES147+FB147</f>
        <v/>
      </c>
      <c r="FL147" s="236">
        <f>FJ147+FK147</f>
        <v/>
      </c>
      <c r="FM147" s="236">
        <f>EU147+FD147</f>
        <v/>
      </c>
      <c r="FN147" s="236">
        <f>EV147+FE147</f>
        <v/>
      </c>
      <c r="FO147" s="236">
        <f>FM147+FN147</f>
        <v/>
      </c>
      <c r="FP147" s="239">
        <f>FO147-FL147</f>
        <v/>
      </c>
      <c r="FQ147" s="237">
        <f>IF(FL147=0,"",FO147/FL147)</f>
        <v/>
      </c>
      <c r="FR147" s="33" t="n"/>
      <c r="FS147" s="233" t="n"/>
      <c r="FT147" s="233" t="n"/>
      <c r="FU147" s="233">
        <f>FS147+FT147</f>
        <v/>
      </c>
      <c r="FV147" s="233" t="n"/>
      <c r="FW147" s="233" t="n"/>
      <c r="FX147" s="233">
        <f>FV147+FW147</f>
        <v/>
      </c>
      <c r="FY147" s="238">
        <f>FX147-FU147</f>
        <v/>
      </c>
      <c r="FZ147" s="235">
        <f>IF(FU147=0,"",FX147/FU147)</f>
        <v/>
      </c>
      <c r="GA147" s="26" t="n"/>
      <c r="GB147" s="236">
        <f>FJ147+FS147</f>
        <v/>
      </c>
      <c r="GC147" s="236">
        <f>FK147+FT147</f>
        <v/>
      </c>
      <c r="GD147" s="236">
        <f>GB147+GC147</f>
        <v/>
      </c>
      <c r="GE147" s="236">
        <f>FM147+FV147</f>
        <v/>
      </c>
      <c r="GF147" s="236">
        <f>FN147+FW147</f>
        <v/>
      </c>
      <c r="GG147" s="236">
        <f>GE147+GF147</f>
        <v/>
      </c>
      <c r="GH147" s="239">
        <f>GG147-GD147</f>
        <v/>
      </c>
      <c r="GI147" s="237">
        <f>IF(GD147=0,"",GG147/GD147)</f>
        <v/>
      </c>
      <c r="GJ147" s="33" t="n"/>
      <c r="GK147" s="233" t="n"/>
      <c r="GL147" s="233" t="n"/>
      <c r="GM147" s="233">
        <f>GK147+GL147</f>
        <v/>
      </c>
      <c r="GN147" s="233" t="n"/>
      <c r="GO147" s="233" t="n"/>
      <c r="GP147" s="233">
        <f>GN147+GO147</f>
        <v/>
      </c>
      <c r="GQ147" s="238">
        <f>GP147-GM147</f>
        <v/>
      </c>
      <c r="GR147" s="235">
        <f>IF(GM147=0,"",GP147/GM147)</f>
        <v/>
      </c>
      <c r="GS147" s="26" t="n"/>
      <c r="GT147" s="236">
        <f>GB147+GK147</f>
        <v/>
      </c>
      <c r="GU147" s="236">
        <f>GC147+GL147</f>
        <v/>
      </c>
      <c r="GV147" s="236">
        <f>GT147+GU147</f>
        <v/>
      </c>
      <c r="GW147" s="236">
        <f>GE147+GN147</f>
        <v/>
      </c>
      <c r="GX147" s="236">
        <f>GF147+GO147</f>
        <v/>
      </c>
      <c r="GY147" s="236">
        <f>GW147+GX147</f>
        <v/>
      </c>
      <c r="GZ147" s="239">
        <f>GY147-GV147</f>
        <v/>
      </c>
      <c r="HA147" s="237">
        <f>IF(GV147=0,"",GY147/GV147)</f>
        <v/>
      </c>
      <c r="HB147" s="33" t="n"/>
      <c r="HC147" s="233">
        <f>GT147</f>
        <v/>
      </c>
      <c r="HD147" s="233">
        <f>GU147</f>
        <v/>
      </c>
      <c r="HE147" s="233">
        <f>HC147+HD147</f>
        <v/>
      </c>
    </row>
    <row r="148" ht="15" customHeight="1" s="150">
      <c r="A148" s="18" t="n"/>
      <c r="B148" s="18" t="n"/>
      <c r="C148" s="18" t="n"/>
      <c r="D148" s="227">
        <f>SUM(D149:D156)</f>
        <v/>
      </c>
      <c r="E148" s="227">
        <f>SUM(E149:E156)</f>
        <v/>
      </c>
      <c r="F148" s="227">
        <f>D148+E148</f>
        <v/>
      </c>
      <c r="G148" s="227">
        <f>SUM(G149:G156)</f>
        <v/>
      </c>
      <c r="H148" s="227">
        <f>SUM(H149:H156)</f>
        <v/>
      </c>
      <c r="I148" s="227">
        <f>G148+H148</f>
        <v/>
      </c>
      <c r="J148" s="228">
        <f>I148-F148</f>
        <v/>
      </c>
      <c r="K148" s="229">
        <f>IF(F148=0,"",I148/F148)</f>
        <v/>
      </c>
      <c r="L148" s="18" t="n"/>
      <c r="M148" s="227">
        <f>SUM(M149:M156)</f>
        <v/>
      </c>
      <c r="N148" s="227">
        <f>SUM(N149:N156)</f>
        <v/>
      </c>
      <c r="O148" s="227">
        <f>M148+N148</f>
        <v/>
      </c>
      <c r="P148" s="227">
        <f>SUM(P149:P156)</f>
        <v/>
      </c>
      <c r="Q148" s="227">
        <f>SUM(Q149:Q156)</f>
        <v/>
      </c>
      <c r="R148" s="227">
        <f>P148+Q148</f>
        <v/>
      </c>
      <c r="S148" s="228">
        <f>R148-O148</f>
        <v/>
      </c>
      <c r="T148" s="229">
        <f>IF(O148=0,"",R148/O148)</f>
        <v/>
      </c>
      <c r="U148" s="18" t="n"/>
      <c r="V148" s="230">
        <f>SUM(V149:V156)</f>
        <v/>
      </c>
      <c r="W148" s="230">
        <f>SUM(W149:W156)</f>
        <v/>
      </c>
      <c r="X148" s="230">
        <f>V148+W148</f>
        <v/>
      </c>
      <c r="Y148" s="230">
        <f>SUM(Y149:Y156)</f>
        <v/>
      </c>
      <c r="Z148" s="230">
        <f>SUM(Z149:Z156)</f>
        <v/>
      </c>
      <c r="AA148" s="230">
        <f>Y148+Z148</f>
        <v/>
      </c>
      <c r="AB148" s="231">
        <f>AA148-X148</f>
        <v/>
      </c>
      <c r="AC148" s="232">
        <f>IF(X148=0,"",AA148/X148)</f>
        <v/>
      </c>
      <c r="AD148" s="25" t="n"/>
      <c r="AE148" s="227">
        <f>SUM(AE149:AE156)</f>
        <v/>
      </c>
      <c r="AF148" s="227">
        <f>SUM(AF149:AF156)</f>
        <v/>
      </c>
      <c r="AG148" s="227">
        <f>AE148+AF148</f>
        <v/>
      </c>
      <c r="AH148" s="227">
        <f>SUM(AH149:AH156)</f>
        <v/>
      </c>
      <c r="AI148" s="227">
        <f>SUM(AI149:AI156)</f>
        <v/>
      </c>
      <c r="AJ148" s="227">
        <f>AH148+AI148</f>
        <v/>
      </c>
      <c r="AK148" s="228">
        <f>AJ148-AG148</f>
        <v/>
      </c>
      <c r="AL148" s="229">
        <f>IF(AG148=0,"",AJ148/AG148)</f>
        <v/>
      </c>
      <c r="AM148" s="18" t="n"/>
      <c r="AN148" s="230">
        <f>SUM(AN149:AN156)</f>
        <v/>
      </c>
      <c r="AO148" s="230">
        <f>SUM(AO149:AO156)</f>
        <v/>
      </c>
      <c r="AP148" s="230">
        <f>AN148+AO148</f>
        <v/>
      </c>
      <c r="AQ148" s="230">
        <f>SUM(AQ149:AQ156)</f>
        <v/>
      </c>
      <c r="AR148" s="230">
        <f>SUM(AR149:AR156)</f>
        <v/>
      </c>
      <c r="AS148" s="230">
        <f>AQ148+AR148</f>
        <v/>
      </c>
      <c r="AT148" s="231">
        <f>AS148-AP148</f>
        <v/>
      </c>
      <c r="AU148" s="232">
        <f>IF(AP148=0,"",AS148/AP148)</f>
        <v/>
      </c>
      <c r="AV148" s="25" t="n"/>
      <c r="AW148" s="227">
        <f>SUM(AW149:AW156)</f>
        <v/>
      </c>
      <c r="AX148" s="227">
        <f>SUM(AX149:AX156)</f>
        <v/>
      </c>
      <c r="AY148" s="227">
        <f>AW148+AX148</f>
        <v/>
      </c>
      <c r="AZ148" s="227">
        <f>SUM(AZ149:AZ156)</f>
        <v/>
      </c>
      <c r="BA148" s="227">
        <f>SUM(BA149:BA156)</f>
        <v/>
      </c>
      <c r="BB148" s="227">
        <f>AZ148+BA148</f>
        <v/>
      </c>
      <c r="BC148" s="228">
        <f>BB148-AY148</f>
        <v/>
      </c>
      <c r="BD148" s="229">
        <f>IF(AY148=0,"",BB148/AY148)</f>
        <v/>
      </c>
      <c r="BE148" s="18" t="n"/>
      <c r="BF148" s="230">
        <f>SUM(BF149:BF156)</f>
        <v/>
      </c>
      <c r="BG148" s="230">
        <f>SUM(BG149:BG156)</f>
        <v/>
      </c>
      <c r="BH148" s="230">
        <f>BF148+BG148</f>
        <v/>
      </c>
      <c r="BI148" s="230">
        <f>SUM(BI149:BI156)</f>
        <v/>
      </c>
      <c r="BJ148" s="230">
        <f>SUM(BJ149:BJ156)</f>
        <v/>
      </c>
      <c r="BK148" s="230">
        <f>BI148+BJ148</f>
        <v/>
      </c>
      <c r="BL148" s="231">
        <f>BK148-BH148</f>
        <v/>
      </c>
      <c r="BM148" s="232">
        <f>IF(BH148=0,"",BK148/BH148)</f>
        <v/>
      </c>
      <c r="BN148" s="25" t="n"/>
      <c r="BO148" s="227">
        <f>SUM(BO149:BO156)</f>
        <v/>
      </c>
      <c r="BP148" s="227">
        <f>SUM(BP149:BP156)</f>
        <v/>
      </c>
      <c r="BQ148" s="227">
        <f>BO148+BP148</f>
        <v/>
      </c>
      <c r="BR148" s="227">
        <f>SUM(BR149:BR156)</f>
        <v/>
      </c>
      <c r="BS148" s="227">
        <f>SUM(BS149:BS156)</f>
        <v/>
      </c>
      <c r="BT148" s="227">
        <f>BR148+BS148</f>
        <v/>
      </c>
      <c r="BU148" s="228">
        <f>BT148-BQ148</f>
        <v/>
      </c>
      <c r="BV148" s="229">
        <f>IF(BQ148=0,"",BT148/BQ148)</f>
        <v/>
      </c>
      <c r="BW148" s="18" t="n"/>
      <c r="BX148" s="230">
        <f>SUM(BX149:BX156)</f>
        <v/>
      </c>
      <c r="BY148" s="230">
        <f>SUM(BY149:BY156)</f>
        <v/>
      </c>
      <c r="BZ148" s="230">
        <f>BX148+BY148</f>
        <v/>
      </c>
      <c r="CA148" s="230">
        <f>SUM(CA149:CA156)</f>
        <v/>
      </c>
      <c r="CB148" s="230">
        <f>SUM(CB149:CB156)</f>
        <v/>
      </c>
      <c r="CC148" s="230">
        <f>CA148+CB148</f>
        <v/>
      </c>
      <c r="CD148" s="231">
        <f>CC148-BZ148</f>
        <v/>
      </c>
      <c r="CE148" s="232">
        <f>IF(BZ148=0,"",CC148/BZ148)</f>
        <v/>
      </c>
      <c r="CF148" s="25" t="n"/>
      <c r="CG148" s="227">
        <f>SUM(CG149:CG156)</f>
        <v/>
      </c>
      <c r="CH148" s="227">
        <f>SUM(CH149:CH156)</f>
        <v/>
      </c>
      <c r="CI148" s="227">
        <f>CG148+CH148</f>
        <v/>
      </c>
      <c r="CJ148" s="227">
        <f>SUM(CJ149:CJ156)</f>
        <v/>
      </c>
      <c r="CK148" s="227">
        <f>SUM(CK149:CK156)</f>
        <v/>
      </c>
      <c r="CL148" s="227">
        <f>CJ148+CK148</f>
        <v/>
      </c>
      <c r="CM148" s="228">
        <f>CL148-CI148</f>
        <v/>
      </c>
      <c r="CN148" s="229">
        <f>IF(CI148=0,"",CL148/CI148)</f>
        <v/>
      </c>
      <c r="CO148" s="18" t="n"/>
      <c r="CP148" s="230">
        <f>SUM(CP149:CP156)</f>
        <v/>
      </c>
      <c r="CQ148" s="230">
        <f>SUM(CQ149:CQ156)</f>
        <v/>
      </c>
      <c r="CR148" s="230">
        <f>CP148+CQ148</f>
        <v/>
      </c>
      <c r="CS148" s="230">
        <f>SUM(CS149:CS156)</f>
        <v/>
      </c>
      <c r="CT148" s="230">
        <f>SUM(CT149:CT156)</f>
        <v/>
      </c>
      <c r="CU148" s="230">
        <f>CS148+CT148</f>
        <v/>
      </c>
      <c r="CV148" s="231">
        <f>CU148-CR148</f>
        <v/>
      </c>
      <c r="CW148" s="232">
        <f>IF(CR148=0,"",CU148/CR148)</f>
        <v/>
      </c>
      <c r="CX148" s="25" t="n"/>
      <c r="CY148" s="227">
        <f>SUM(CY149:CY156)</f>
        <v/>
      </c>
      <c r="CZ148" s="227">
        <f>SUM(CZ149:CZ156)</f>
        <v/>
      </c>
      <c r="DA148" s="227">
        <f>CY148+CZ148</f>
        <v/>
      </c>
      <c r="DB148" s="227">
        <f>SUM(DB149:DB156)</f>
        <v/>
      </c>
      <c r="DC148" s="227">
        <f>SUM(DC149:DC156)</f>
        <v/>
      </c>
      <c r="DD148" s="227">
        <f>DB148+DC148</f>
        <v/>
      </c>
      <c r="DE148" s="228">
        <f>DD148-DA148</f>
        <v/>
      </c>
      <c r="DF148" s="229">
        <f>IF(DA148=0,"",DD148/DA148)</f>
        <v/>
      </c>
      <c r="DG148" s="18" t="n"/>
      <c r="DH148" s="230">
        <f>SUM(DH149:DH156)</f>
        <v/>
      </c>
      <c r="DI148" s="230">
        <f>SUM(DI149:DI156)</f>
        <v/>
      </c>
      <c r="DJ148" s="230">
        <f>DH148+DI148</f>
        <v/>
      </c>
      <c r="DK148" s="230">
        <f>SUM(DK149:DK156)</f>
        <v/>
      </c>
      <c r="DL148" s="230">
        <f>SUM(DL149:DL156)</f>
        <v/>
      </c>
      <c r="DM148" s="230">
        <f>DK148+DL148</f>
        <v/>
      </c>
      <c r="DN148" s="231">
        <f>DM148-DJ148</f>
        <v/>
      </c>
      <c r="DO148" s="232">
        <f>IF(DJ148=0,"",DM148/DJ148)</f>
        <v/>
      </c>
      <c r="DP148" s="25" t="n"/>
      <c r="DQ148" s="227">
        <f>SUM(DQ149:DQ156)</f>
        <v/>
      </c>
      <c r="DR148" s="227">
        <f>SUM(DR149:DR156)</f>
        <v/>
      </c>
      <c r="DS148" s="227">
        <f>DQ148+DR148</f>
        <v/>
      </c>
      <c r="DT148" s="227">
        <f>SUM(DT149:DT156)</f>
        <v/>
      </c>
      <c r="DU148" s="227">
        <f>SUM(DU149:DU156)</f>
        <v/>
      </c>
      <c r="DV148" s="227">
        <f>DT148+DU148</f>
        <v/>
      </c>
      <c r="DW148" s="228">
        <f>DV148-DS148</f>
        <v/>
      </c>
      <c r="DX148" s="229">
        <f>IF(DS148=0,"",DV148/DS148)</f>
        <v/>
      </c>
      <c r="DY148" s="18" t="n"/>
      <c r="DZ148" s="230">
        <f>SUM(DZ149:DZ156)</f>
        <v/>
      </c>
      <c r="EA148" s="230">
        <f>SUM(EA149:EA156)</f>
        <v/>
      </c>
      <c r="EB148" s="230">
        <f>DZ148+EA148</f>
        <v/>
      </c>
      <c r="EC148" s="230">
        <f>SUM(EC149:EC156)</f>
        <v/>
      </c>
      <c r="ED148" s="230">
        <f>SUM(ED149:ED156)</f>
        <v/>
      </c>
      <c r="EE148" s="230">
        <f>EC148+ED148</f>
        <v/>
      </c>
      <c r="EF148" s="231">
        <f>EE148-EB148</f>
        <v/>
      </c>
      <c r="EG148" s="232">
        <f>IF(EB148=0,"",EE148/EB148)</f>
        <v/>
      </c>
      <c r="EH148" s="25" t="n"/>
      <c r="EI148" s="227">
        <f>SUM(EI149:EI156)</f>
        <v/>
      </c>
      <c r="EJ148" s="227">
        <f>SUM(EJ149:EJ156)</f>
        <v/>
      </c>
      <c r="EK148" s="227">
        <f>EI148+EJ148</f>
        <v/>
      </c>
      <c r="EL148" s="227">
        <f>SUM(EL149:EL156)</f>
        <v/>
      </c>
      <c r="EM148" s="227">
        <f>SUM(EM149:EM156)</f>
        <v/>
      </c>
      <c r="EN148" s="227">
        <f>EL148+EM148</f>
        <v/>
      </c>
      <c r="EO148" s="228">
        <f>EN148-EK148</f>
        <v/>
      </c>
      <c r="EP148" s="229">
        <f>IF(EK148=0,"",EN148/EK148)</f>
        <v/>
      </c>
      <c r="EQ148" s="18" t="n"/>
      <c r="ER148" s="230">
        <f>SUM(ER149:ER156)</f>
        <v/>
      </c>
      <c r="ES148" s="230">
        <f>SUM(ES149:ES156)</f>
        <v/>
      </c>
      <c r="ET148" s="230">
        <f>ER148+ES148</f>
        <v/>
      </c>
      <c r="EU148" s="230">
        <f>SUM(EU149:EU156)</f>
        <v/>
      </c>
      <c r="EV148" s="230">
        <f>SUM(EV149:EV156)</f>
        <v/>
      </c>
      <c r="EW148" s="230">
        <f>EU148+EV148</f>
        <v/>
      </c>
      <c r="EX148" s="231">
        <f>EW148-ET148</f>
        <v/>
      </c>
      <c r="EY148" s="232">
        <f>IF(ET148=0,"",EW148/ET148)</f>
        <v/>
      </c>
      <c r="EZ148" s="25" t="n"/>
      <c r="FA148" s="227">
        <f>SUM(FA149:FA156)</f>
        <v/>
      </c>
      <c r="FB148" s="227">
        <f>SUM(FB149:FB156)</f>
        <v/>
      </c>
      <c r="FC148" s="227">
        <f>FA148+FB148</f>
        <v/>
      </c>
      <c r="FD148" s="227">
        <f>SUM(FD149:FD156)</f>
        <v/>
      </c>
      <c r="FE148" s="227">
        <f>SUM(FE149:FE156)</f>
        <v/>
      </c>
      <c r="FF148" s="227">
        <f>FD148+FE148</f>
        <v/>
      </c>
      <c r="FG148" s="228">
        <f>FF148-FC148</f>
        <v/>
      </c>
      <c r="FH148" s="229">
        <f>IF(FC148=0,"",FF148/FC148)</f>
        <v/>
      </c>
      <c r="FI148" s="18" t="n"/>
      <c r="FJ148" s="230">
        <f>SUM(FJ149:FJ156)</f>
        <v/>
      </c>
      <c r="FK148" s="230">
        <f>SUM(FK149:FK156)</f>
        <v/>
      </c>
      <c r="FL148" s="230">
        <f>FJ148+FK148</f>
        <v/>
      </c>
      <c r="FM148" s="230">
        <f>SUM(FM149:FM156)</f>
        <v/>
      </c>
      <c r="FN148" s="230">
        <f>SUM(FN149:FN156)</f>
        <v/>
      </c>
      <c r="FO148" s="230">
        <f>FM148+FN148</f>
        <v/>
      </c>
      <c r="FP148" s="231">
        <f>FO148-FL148</f>
        <v/>
      </c>
      <c r="FQ148" s="232">
        <f>IF(FL148=0,"",FO148/FL148)</f>
        <v/>
      </c>
      <c r="FR148" s="25" t="n"/>
      <c r="FS148" s="227">
        <f>SUM(FS149:FS156)</f>
        <v/>
      </c>
      <c r="FT148" s="227">
        <f>SUM(FT149:FT156)</f>
        <v/>
      </c>
      <c r="FU148" s="227">
        <f>FS148+FT148</f>
        <v/>
      </c>
      <c r="FV148" s="227">
        <f>SUM(FV149:FV156)</f>
        <v/>
      </c>
      <c r="FW148" s="227">
        <f>SUM(FW149:FW156)</f>
        <v/>
      </c>
      <c r="FX148" s="227">
        <f>FV148+FW148</f>
        <v/>
      </c>
      <c r="FY148" s="228">
        <f>FX148-FU148</f>
        <v/>
      </c>
      <c r="FZ148" s="229">
        <f>IF(FU148=0,"",FX148/FU148)</f>
        <v/>
      </c>
      <c r="GA148" s="18" t="n"/>
      <c r="GB148" s="230">
        <f>SUM(GB149:GB156)</f>
        <v/>
      </c>
      <c r="GC148" s="230">
        <f>SUM(GC149:GC156)</f>
        <v/>
      </c>
      <c r="GD148" s="230">
        <f>GB148+GC148</f>
        <v/>
      </c>
      <c r="GE148" s="230">
        <f>SUM(GE149:GE156)</f>
        <v/>
      </c>
      <c r="GF148" s="230">
        <f>SUM(GF149:GF156)</f>
        <v/>
      </c>
      <c r="GG148" s="230">
        <f>GE148+GF148</f>
        <v/>
      </c>
      <c r="GH148" s="231">
        <f>GG148-GD148</f>
        <v/>
      </c>
      <c r="GI148" s="232">
        <f>IF(GD148=0,"",GG148/GD148)</f>
        <v/>
      </c>
      <c r="GJ148" s="25" t="n"/>
      <c r="GK148" s="227">
        <f>SUM(GK149:GK156)</f>
        <v/>
      </c>
      <c r="GL148" s="227">
        <f>SUM(GL149:GL156)</f>
        <v/>
      </c>
      <c r="GM148" s="227">
        <f>GK148+GL148</f>
        <v/>
      </c>
      <c r="GN148" s="227">
        <f>SUM(GN149:GN156)</f>
        <v/>
      </c>
      <c r="GO148" s="227">
        <f>SUM(GO149:GO156)</f>
        <v/>
      </c>
      <c r="GP148" s="227">
        <f>GN148+GO148</f>
        <v/>
      </c>
      <c r="GQ148" s="228">
        <f>GP148-GM148</f>
        <v/>
      </c>
      <c r="GR148" s="229">
        <f>IF(GM148=0,"",GP148/GM148)</f>
        <v/>
      </c>
      <c r="GS148" s="18" t="n"/>
      <c r="GT148" s="230">
        <f>SUM(GT149:GT156)</f>
        <v/>
      </c>
      <c r="GU148" s="230">
        <f>SUM(GU149:GU156)</f>
        <v/>
      </c>
      <c r="GV148" s="230">
        <f>GT148+GU148</f>
        <v/>
      </c>
      <c r="GW148" s="230">
        <f>SUM(GW149:GW156)</f>
        <v/>
      </c>
      <c r="GX148" s="230">
        <f>SUM(GX149:GX156)</f>
        <v/>
      </c>
      <c r="GY148" s="230">
        <f>GW148+GX148</f>
        <v/>
      </c>
      <c r="GZ148" s="231">
        <f>GY148-GV148</f>
        <v/>
      </c>
      <c r="HA148" s="232">
        <f>IF(GV148=0,"",GY148/GV148)</f>
        <v/>
      </c>
      <c r="HB148" s="25" t="n"/>
      <c r="HC148" s="227">
        <f>GT148</f>
        <v/>
      </c>
      <c r="HD148" s="227">
        <f>GU148</f>
        <v/>
      </c>
      <c r="HE148" s="227">
        <f>HC148+HD148</f>
        <v/>
      </c>
    </row>
    <row r="149" outlineLevel="1" ht="15" customHeight="1" s="150">
      <c r="A149" s="26" t="n"/>
      <c r="B149" s="26" t="n"/>
      <c r="C149" s="26" t="n"/>
      <c r="D149" s="233" t="n"/>
      <c r="E149" s="233" t="n"/>
      <c r="F149" s="233">
        <f>D149+E149</f>
        <v/>
      </c>
      <c r="G149" s="233" t="n"/>
      <c r="H149" s="233" t="n"/>
      <c r="I149" s="233">
        <f>G149+H149</f>
        <v/>
      </c>
      <c r="J149" s="238">
        <f>I149-F149</f>
        <v/>
      </c>
      <c r="K149" s="235">
        <f>IF(F149=0,"",I149/F149)</f>
        <v/>
      </c>
      <c r="L149" s="26" t="n"/>
      <c r="M149" s="233" t="n"/>
      <c r="N149" s="233" t="n"/>
      <c r="O149" s="233">
        <f>M149+N149</f>
        <v/>
      </c>
      <c r="P149" s="233" t="n"/>
      <c r="Q149" s="233" t="n"/>
      <c r="R149" s="233">
        <f>P149+Q149</f>
        <v/>
      </c>
      <c r="S149" s="238">
        <f>R149-O149</f>
        <v/>
      </c>
      <c r="T149" s="235">
        <f>IF(O149=0,"",R149/O149)</f>
        <v/>
      </c>
      <c r="U149" s="26" t="n"/>
      <c r="V149" s="236">
        <f>D149+M149</f>
        <v/>
      </c>
      <c r="W149" s="236">
        <f>E149+N149</f>
        <v/>
      </c>
      <c r="X149" s="236">
        <f>V149+W149</f>
        <v/>
      </c>
      <c r="Y149" s="236">
        <f>G149+P149</f>
        <v/>
      </c>
      <c r="Z149" s="236">
        <f>H149+Q149</f>
        <v/>
      </c>
      <c r="AA149" s="236">
        <f>Y149+Z149</f>
        <v/>
      </c>
      <c r="AB149" s="239">
        <f>AA149-X149</f>
        <v/>
      </c>
      <c r="AC149" s="237">
        <f>IF(X149=0,"",AA149/X149)</f>
        <v/>
      </c>
      <c r="AD149" s="33" t="n"/>
      <c r="AE149" s="233" t="n"/>
      <c r="AF149" s="233" t="n"/>
      <c r="AG149" s="233">
        <f>AE149+AF149</f>
        <v/>
      </c>
      <c r="AH149" s="233" t="n"/>
      <c r="AI149" s="233" t="n"/>
      <c r="AJ149" s="233">
        <f>AH149+AI149</f>
        <v/>
      </c>
      <c r="AK149" s="238">
        <f>AJ149-AG149</f>
        <v/>
      </c>
      <c r="AL149" s="235">
        <f>IF(AG149=0,"",AJ149/AG149)</f>
        <v/>
      </c>
      <c r="AM149" s="26" t="n"/>
      <c r="AN149" s="236">
        <f>V149+AE149</f>
        <v/>
      </c>
      <c r="AO149" s="236">
        <f>W149+AF149</f>
        <v/>
      </c>
      <c r="AP149" s="236">
        <f>AN149+AO149</f>
        <v/>
      </c>
      <c r="AQ149" s="236">
        <f>Y149+AH149</f>
        <v/>
      </c>
      <c r="AR149" s="236">
        <f>Z149+AI149</f>
        <v/>
      </c>
      <c r="AS149" s="236">
        <f>AQ149+AR149</f>
        <v/>
      </c>
      <c r="AT149" s="239">
        <f>AS149-AP149</f>
        <v/>
      </c>
      <c r="AU149" s="237">
        <f>IF(AP149=0,"",AS149/AP149)</f>
        <v/>
      </c>
      <c r="AV149" s="33" t="n"/>
      <c r="AW149" s="233" t="n"/>
      <c r="AX149" s="233" t="n"/>
      <c r="AY149" s="233">
        <f>AW149+AX149</f>
        <v/>
      </c>
      <c r="AZ149" s="233" t="n"/>
      <c r="BA149" s="233" t="n"/>
      <c r="BB149" s="233">
        <f>AZ149+BA149</f>
        <v/>
      </c>
      <c r="BC149" s="238">
        <f>BB149-AY149</f>
        <v/>
      </c>
      <c r="BD149" s="235">
        <f>IF(AY149=0,"",BB149/AY149)</f>
        <v/>
      </c>
      <c r="BE149" s="26" t="n"/>
      <c r="BF149" s="236">
        <f>AN149+AW149</f>
        <v/>
      </c>
      <c r="BG149" s="236">
        <f>AO149+AX149</f>
        <v/>
      </c>
      <c r="BH149" s="236">
        <f>BF149+BG149</f>
        <v/>
      </c>
      <c r="BI149" s="236">
        <f>AQ149+AZ149</f>
        <v/>
      </c>
      <c r="BJ149" s="236">
        <f>AR149+BA149</f>
        <v/>
      </c>
      <c r="BK149" s="236">
        <f>BI149+BJ149</f>
        <v/>
      </c>
      <c r="BL149" s="239">
        <f>BK149-BH149</f>
        <v/>
      </c>
      <c r="BM149" s="237">
        <f>IF(BH149=0,"",BK149/BH149)</f>
        <v/>
      </c>
      <c r="BN149" s="33" t="n"/>
      <c r="BO149" s="233" t="n"/>
      <c r="BP149" s="233" t="n"/>
      <c r="BQ149" s="233">
        <f>BO149+BP149</f>
        <v/>
      </c>
      <c r="BR149" s="233" t="n"/>
      <c r="BS149" s="233" t="n"/>
      <c r="BT149" s="233">
        <f>BR149+BS149</f>
        <v/>
      </c>
      <c r="BU149" s="238">
        <f>BT149-BQ149</f>
        <v/>
      </c>
      <c r="BV149" s="235">
        <f>IF(BQ149=0,"",BT149/BQ149)</f>
        <v/>
      </c>
      <c r="BW149" s="26" t="n"/>
      <c r="BX149" s="236">
        <f>BF149+BO149</f>
        <v/>
      </c>
      <c r="BY149" s="236">
        <f>BG149+BP149</f>
        <v/>
      </c>
      <c r="BZ149" s="236">
        <f>BX149+BY149</f>
        <v/>
      </c>
      <c r="CA149" s="236">
        <f>BI149+BR149</f>
        <v/>
      </c>
      <c r="CB149" s="236">
        <f>BJ149+BS149</f>
        <v/>
      </c>
      <c r="CC149" s="236">
        <f>CA149+CB149</f>
        <v/>
      </c>
      <c r="CD149" s="239">
        <f>CC149-BZ149</f>
        <v/>
      </c>
      <c r="CE149" s="237">
        <f>IF(BZ149=0,"",CC149/BZ149)</f>
        <v/>
      </c>
      <c r="CF149" s="33" t="n"/>
      <c r="CG149" s="233" t="n"/>
      <c r="CH149" s="233" t="n"/>
      <c r="CI149" s="233">
        <f>CG149+CH149</f>
        <v/>
      </c>
      <c r="CJ149" s="233" t="n"/>
      <c r="CK149" s="233" t="n"/>
      <c r="CL149" s="233">
        <f>CJ149+CK149</f>
        <v/>
      </c>
      <c r="CM149" s="238">
        <f>CL149-CI149</f>
        <v/>
      </c>
      <c r="CN149" s="235">
        <f>IF(CI149=0,"",CL149/CI149)</f>
        <v/>
      </c>
      <c r="CO149" s="26" t="n"/>
      <c r="CP149" s="236">
        <f>BX149+CG149</f>
        <v/>
      </c>
      <c r="CQ149" s="236">
        <f>BY149+CH149</f>
        <v/>
      </c>
      <c r="CR149" s="236">
        <f>CP149+CQ149</f>
        <v/>
      </c>
      <c r="CS149" s="236">
        <f>CA149+CJ149</f>
        <v/>
      </c>
      <c r="CT149" s="236">
        <f>CB149+CK149</f>
        <v/>
      </c>
      <c r="CU149" s="236">
        <f>CS149+CT149</f>
        <v/>
      </c>
      <c r="CV149" s="239">
        <f>CU149-CR149</f>
        <v/>
      </c>
      <c r="CW149" s="237">
        <f>IF(CR149=0,"",CU149/CR149)</f>
        <v/>
      </c>
      <c r="CX149" s="33" t="n"/>
      <c r="CY149" s="233" t="n"/>
      <c r="CZ149" s="233" t="n"/>
      <c r="DA149" s="233">
        <f>CY149+CZ149</f>
        <v/>
      </c>
      <c r="DB149" s="233" t="n"/>
      <c r="DC149" s="233" t="n"/>
      <c r="DD149" s="233">
        <f>DB149+DC149</f>
        <v/>
      </c>
      <c r="DE149" s="238">
        <f>DD149-DA149</f>
        <v/>
      </c>
      <c r="DF149" s="235">
        <f>IF(DA149=0,"",DD149/DA149)</f>
        <v/>
      </c>
      <c r="DG149" s="26" t="n"/>
      <c r="DH149" s="236">
        <f>CP149+CY149</f>
        <v/>
      </c>
      <c r="DI149" s="236">
        <f>CQ149+CZ149</f>
        <v/>
      </c>
      <c r="DJ149" s="236">
        <f>DH149+DI149</f>
        <v/>
      </c>
      <c r="DK149" s="236">
        <f>CS149+DB149</f>
        <v/>
      </c>
      <c r="DL149" s="236">
        <f>CT149+DC149</f>
        <v/>
      </c>
      <c r="DM149" s="236">
        <f>DK149+DL149</f>
        <v/>
      </c>
      <c r="DN149" s="239">
        <f>DM149-DJ149</f>
        <v/>
      </c>
      <c r="DO149" s="237">
        <f>IF(DJ149=0,"",DM149/DJ149)</f>
        <v/>
      </c>
      <c r="DP149" s="33" t="n"/>
      <c r="DQ149" s="233" t="n"/>
      <c r="DR149" s="233" t="n"/>
      <c r="DS149" s="233">
        <f>DQ149+DR149</f>
        <v/>
      </c>
      <c r="DT149" s="233" t="n"/>
      <c r="DU149" s="233" t="n"/>
      <c r="DV149" s="233">
        <f>DT149+DU149</f>
        <v/>
      </c>
      <c r="DW149" s="238">
        <f>DV149-DS149</f>
        <v/>
      </c>
      <c r="DX149" s="235">
        <f>IF(DS149=0,"",DV149/DS149)</f>
        <v/>
      </c>
      <c r="DY149" s="26" t="n"/>
      <c r="DZ149" s="236">
        <f>DH149+DQ149</f>
        <v/>
      </c>
      <c r="EA149" s="236">
        <f>DI149+DR149</f>
        <v/>
      </c>
      <c r="EB149" s="236">
        <f>DZ149+EA149</f>
        <v/>
      </c>
      <c r="EC149" s="236">
        <f>DK149+DT149</f>
        <v/>
      </c>
      <c r="ED149" s="236">
        <f>DL149+DU149</f>
        <v/>
      </c>
      <c r="EE149" s="236">
        <f>EC149+ED149</f>
        <v/>
      </c>
      <c r="EF149" s="239">
        <f>EE149-EB149</f>
        <v/>
      </c>
      <c r="EG149" s="237">
        <f>IF(EB149=0,"",EE149/EB149)</f>
        <v/>
      </c>
      <c r="EH149" s="33" t="n"/>
      <c r="EI149" s="233" t="n"/>
      <c r="EJ149" s="233" t="n"/>
      <c r="EK149" s="233">
        <f>EI149+EJ149</f>
        <v/>
      </c>
      <c r="EL149" s="233" t="n"/>
      <c r="EM149" s="233" t="n"/>
      <c r="EN149" s="233">
        <f>EL149+EM149</f>
        <v/>
      </c>
      <c r="EO149" s="238">
        <f>EN149-EK149</f>
        <v/>
      </c>
      <c r="EP149" s="235">
        <f>IF(EK149=0,"",EN149/EK149)</f>
        <v/>
      </c>
      <c r="EQ149" s="26" t="n"/>
      <c r="ER149" s="236">
        <f>DZ149+EI149</f>
        <v/>
      </c>
      <c r="ES149" s="236">
        <f>EA149+EJ149</f>
        <v/>
      </c>
      <c r="ET149" s="236">
        <f>ER149+ES149</f>
        <v/>
      </c>
      <c r="EU149" s="236">
        <f>EC149+EL149</f>
        <v/>
      </c>
      <c r="EV149" s="236">
        <f>ED149+EM149</f>
        <v/>
      </c>
      <c r="EW149" s="236">
        <f>EU149+EV149</f>
        <v/>
      </c>
      <c r="EX149" s="239">
        <f>EW149-ET149</f>
        <v/>
      </c>
      <c r="EY149" s="237">
        <f>IF(ET149=0,"",EW149/ET149)</f>
        <v/>
      </c>
      <c r="EZ149" s="33" t="n"/>
      <c r="FA149" s="233" t="n"/>
      <c r="FB149" s="233" t="n"/>
      <c r="FC149" s="233">
        <f>FA149+FB149</f>
        <v/>
      </c>
      <c r="FD149" s="233" t="n"/>
      <c r="FE149" s="233" t="n"/>
      <c r="FF149" s="233">
        <f>FD149+FE149</f>
        <v/>
      </c>
      <c r="FG149" s="238">
        <f>FF149-FC149</f>
        <v/>
      </c>
      <c r="FH149" s="235">
        <f>IF(FC149=0,"",FF149/FC149)</f>
        <v/>
      </c>
      <c r="FI149" s="26" t="n"/>
      <c r="FJ149" s="236">
        <f>ER149+FA149</f>
        <v/>
      </c>
      <c r="FK149" s="236">
        <f>ES149+FB149</f>
        <v/>
      </c>
      <c r="FL149" s="236">
        <f>FJ149+FK149</f>
        <v/>
      </c>
      <c r="FM149" s="236">
        <f>EU149+FD149</f>
        <v/>
      </c>
      <c r="FN149" s="236">
        <f>EV149+FE149</f>
        <v/>
      </c>
      <c r="FO149" s="236">
        <f>FM149+FN149</f>
        <v/>
      </c>
      <c r="FP149" s="239">
        <f>FO149-FL149</f>
        <v/>
      </c>
      <c r="FQ149" s="237">
        <f>IF(FL149=0,"",FO149/FL149)</f>
        <v/>
      </c>
      <c r="FR149" s="33" t="n"/>
      <c r="FS149" s="233" t="n"/>
      <c r="FT149" s="233" t="n"/>
      <c r="FU149" s="233">
        <f>FS149+FT149</f>
        <v/>
      </c>
      <c r="FV149" s="233" t="n"/>
      <c r="FW149" s="233" t="n"/>
      <c r="FX149" s="233">
        <f>FV149+FW149</f>
        <v/>
      </c>
      <c r="FY149" s="238">
        <f>FX149-FU149</f>
        <v/>
      </c>
      <c r="FZ149" s="235">
        <f>IF(FU149=0,"",FX149/FU149)</f>
        <v/>
      </c>
      <c r="GA149" s="26" t="n"/>
      <c r="GB149" s="236">
        <f>FJ149+FS149</f>
        <v/>
      </c>
      <c r="GC149" s="236">
        <f>FK149+FT149</f>
        <v/>
      </c>
      <c r="GD149" s="236">
        <f>GB149+GC149</f>
        <v/>
      </c>
      <c r="GE149" s="236">
        <f>FM149+FV149</f>
        <v/>
      </c>
      <c r="GF149" s="236">
        <f>FN149+FW149</f>
        <v/>
      </c>
      <c r="GG149" s="236">
        <f>GE149+GF149</f>
        <v/>
      </c>
      <c r="GH149" s="239">
        <f>GG149-GD149</f>
        <v/>
      </c>
      <c r="GI149" s="237">
        <f>IF(GD149=0,"",GG149/GD149)</f>
        <v/>
      </c>
      <c r="GJ149" s="33" t="n"/>
      <c r="GK149" s="233" t="n"/>
      <c r="GL149" s="233" t="n"/>
      <c r="GM149" s="233">
        <f>GK149+GL149</f>
        <v/>
      </c>
      <c r="GN149" s="233" t="n"/>
      <c r="GO149" s="233" t="n"/>
      <c r="GP149" s="233">
        <f>GN149+GO149</f>
        <v/>
      </c>
      <c r="GQ149" s="238">
        <f>GP149-GM149</f>
        <v/>
      </c>
      <c r="GR149" s="235">
        <f>IF(GM149=0,"",GP149/GM149)</f>
        <v/>
      </c>
      <c r="GS149" s="26" t="n"/>
      <c r="GT149" s="236">
        <f>GB149+GK149</f>
        <v/>
      </c>
      <c r="GU149" s="236">
        <f>GC149+GL149</f>
        <v/>
      </c>
      <c r="GV149" s="236">
        <f>GT149+GU149</f>
        <v/>
      </c>
      <c r="GW149" s="236">
        <f>GE149+GN149</f>
        <v/>
      </c>
      <c r="GX149" s="236">
        <f>GF149+GO149</f>
        <v/>
      </c>
      <c r="GY149" s="236">
        <f>GW149+GX149</f>
        <v/>
      </c>
      <c r="GZ149" s="239">
        <f>GY149-GV149</f>
        <v/>
      </c>
      <c r="HA149" s="237">
        <f>IF(GV149=0,"",GY149/GV149)</f>
        <v/>
      </c>
      <c r="HB149" s="33" t="n"/>
      <c r="HC149" s="233">
        <f>GT149</f>
        <v/>
      </c>
      <c r="HD149" s="233">
        <f>GU149</f>
        <v/>
      </c>
      <c r="HE149" s="233">
        <f>HC149+HD149</f>
        <v/>
      </c>
    </row>
    <row r="150" outlineLevel="1" ht="15" customHeight="1" s="150">
      <c r="A150" s="26" t="n"/>
      <c r="B150" s="26" t="n"/>
      <c r="C150" s="26" t="n"/>
      <c r="D150" s="233" t="n"/>
      <c r="E150" s="233" t="n"/>
      <c r="F150" s="233">
        <f>D150+E150</f>
        <v/>
      </c>
      <c r="G150" s="233" t="n"/>
      <c r="H150" s="233" t="n"/>
      <c r="I150" s="233">
        <f>G150+H150</f>
        <v/>
      </c>
      <c r="J150" s="238">
        <f>I150-F150</f>
        <v/>
      </c>
      <c r="K150" s="235">
        <f>IF(F150=0,"",I150/F150)</f>
        <v/>
      </c>
      <c r="L150" s="26" t="n"/>
      <c r="M150" s="233" t="n"/>
      <c r="N150" s="233" t="n"/>
      <c r="O150" s="233">
        <f>M150+N150</f>
        <v/>
      </c>
      <c r="P150" s="233" t="n"/>
      <c r="Q150" s="233" t="n"/>
      <c r="R150" s="233">
        <f>P150+Q150</f>
        <v/>
      </c>
      <c r="S150" s="238">
        <f>R150-O150</f>
        <v/>
      </c>
      <c r="T150" s="235">
        <f>IF(O150=0,"",R150/O150)</f>
        <v/>
      </c>
      <c r="U150" s="26" t="n"/>
      <c r="V150" s="236">
        <f>D150+M150</f>
        <v/>
      </c>
      <c r="W150" s="236">
        <f>E150+N150</f>
        <v/>
      </c>
      <c r="X150" s="236">
        <f>V150+W150</f>
        <v/>
      </c>
      <c r="Y150" s="236">
        <f>G150+P150</f>
        <v/>
      </c>
      <c r="Z150" s="236">
        <f>H150+Q150</f>
        <v/>
      </c>
      <c r="AA150" s="236">
        <f>Y150+Z150</f>
        <v/>
      </c>
      <c r="AB150" s="239">
        <f>AA150-X150</f>
        <v/>
      </c>
      <c r="AC150" s="237">
        <f>IF(X150=0,"",AA150/X150)</f>
        <v/>
      </c>
      <c r="AD150" s="33" t="n"/>
      <c r="AE150" s="233" t="n"/>
      <c r="AF150" s="233" t="n"/>
      <c r="AG150" s="233">
        <f>AE150+AF150</f>
        <v/>
      </c>
      <c r="AH150" s="233" t="n"/>
      <c r="AI150" s="233" t="n"/>
      <c r="AJ150" s="233">
        <f>AH150+AI150</f>
        <v/>
      </c>
      <c r="AK150" s="238">
        <f>AJ150-AG150</f>
        <v/>
      </c>
      <c r="AL150" s="235">
        <f>IF(AG150=0,"",AJ150/AG150)</f>
        <v/>
      </c>
      <c r="AM150" s="26" t="n"/>
      <c r="AN150" s="236">
        <f>V150+AE150</f>
        <v/>
      </c>
      <c r="AO150" s="236">
        <f>W150+AF150</f>
        <v/>
      </c>
      <c r="AP150" s="236">
        <f>AN150+AO150</f>
        <v/>
      </c>
      <c r="AQ150" s="236">
        <f>Y150+AH150</f>
        <v/>
      </c>
      <c r="AR150" s="236">
        <f>Z150+AI150</f>
        <v/>
      </c>
      <c r="AS150" s="236">
        <f>AQ150+AR150</f>
        <v/>
      </c>
      <c r="AT150" s="239">
        <f>AS150-AP150</f>
        <v/>
      </c>
      <c r="AU150" s="237">
        <f>IF(AP150=0,"",AS150/AP150)</f>
        <v/>
      </c>
      <c r="AV150" s="33" t="n"/>
      <c r="AW150" s="233" t="n"/>
      <c r="AX150" s="233" t="n"/>
      <c r="AY150" s="233">
        <f>AW150+AX150</f>
        <v/>
      </c>
      <c r="AZ150" s="233" t="n"/>
      <c r="BA150" s="233" t="n"/>
      <c r="BB150" s="233">
        <f>AZ150+BA150</f>
        <v/>
      </c>
      <c r="BC150" s="238">
        <f>BB150-AY150</f>
        <v/>
      </c>
      <c r="BD150" s="235">
        <f>IF(AY150=0,"",BB150/AY150)</f>
        <v/>
      </c>
      <c r="BE150" s="26" t="n"/>
      <c r="BF150" s="236">
        <f>AN150+AW150</f>
        <v/>
      </c>
      <c r="BG150" s="236">
        <f>AO150+AX150</f>
        <v/>
      </c>
      <c r="BH150" s="236">
        <f>BF150+BG150</f>
        <v/>
      </c>
      <c r="BI150" s="236">
        <f>AQ150+AZ150</f>
        <v/>
      </c>
      <c r="BJ150" s="236">
        <f>AR150+BA150</f>
        <v/>
      </c>
      <c r="BK150" s="236">
        <f>BI150+BJ150</f>
        <v/>
      </c>
      <c r="BL150" s="239">
        <f>BK150-BH150</f>
        <v/>
      </c>
      <c r="BM150" s="237">
        <f>IF(BH150=0,"",BK150/BH150)</f>
        <v/>
      </c>
      <c r="BN150" s="33" t="n"/>
      <c r="BO150" s="233" t="n"/>
      <c r="BP150" s="233" t="n"/>
      <c r="BQ150" s="233">
        <f>BO150+BP150</f>
        <v/>
      </c>
      <c r="BR150" s="233" t="n"/>
      <c r="BS150" s="233" t="n"/>
      <c r="BT150" s="233">
        <f>BR150+BS150</f>
        <v/>
      </c>
      <c r="BU150" s="238">
        <f>BT150-BQ150</f>
        <v/>
      </c>
      <c r="BV150" s="235">
        <f>IF(BQ150=0,"",BT150/BQ150)</f>
        <v/>
      </c>
      <c r="BW150" s="26" t="n"/>
      <c r="BX150" s="236">
        <f>BF150+BO150</f>
        <v/>
      </c>
      <c r="BY150" s="236">
        <f>BG150+BP150</f>
        <v/>
      </c>
      <c r="BZ150" s="236">
        <f>BX150+BY150</f>
        <v/>
      </c>
      <c r="CA150" s="236">
        <f>BI150+BR150</f>
        <v/>
      </c>
      <c r="CB150" s="236">
        <f>BJ150+BS150</f>
        <v/>
      </c>
      <c r="CC150" s="236">
        <f>CA150+CB150</f>
        <v/>
      </c>
      <c r="CD150" s="239">
        <f>CC150-BZ150</f>
        <v/>
      </c>
      <c r="CE150" s="237">
        <f>IF(BZ150=0,"",CC150/BZ150)</f>
        <v/>
      </c>
      <c r="CF150" s="33" t="n"/>
      <c r="CG150" s="233" t="n"/>
      <c r="CH150" s="233" t="n"/>
      <c r="CI150" s="233">
        <f>CG150+CH150</f>
        <v/>
      </c>
      <c r="CJ150" s="233" t="n"/>
      <c r="CK150" s="233" t="n"/>
      <c r="CL150" s="233">
        <f>CJ150+CK150</f>
        <v/>
      </c>
      <c r="CM150" s="238">
        <f>CL150-CI150</f>
        <v/>
      </c>
      <c r="CN150" s="235">
        <f>IF(CI150=0,"",CL150/CI150)</f>
        <v/>
      </c>
      <c r="CO150" s="26" t="n"/>
      <c r="CP150" s="236">
        <f>BX150+CG150</f>
        <v/>
      </c>
      <c r="CQ150" s="236">
        <f>BY150+CH150</f>
        <v/>
      </c>
      <c r="CR150" s="236">
        <f>CP150+CQ150</f>
        <v/>
      </c>
      <c r="CS150" s="236">
        <f>CA150+CJ150</f>
        <v/>
      </c>
      <c r="CT150" s="236">
        <f>CB150+CK150</f>
        <v/>
      </c>
      <c r="CU150" s="236">
        <f>CS150+CT150</f>
        <v/>
      </c>
      <c r="CV150" s="239">
        <f>CU150-CR150</f>
        <v/>
      </c>
      <c r="CW150" s="237">
        <f>IF(CR150=0,"",CU150/CR150)</f>
        <v/>
      </c>
      <c r="CX150" s="33" t="n"/>
      <c r="CY150" s="233" t="n"/>
      <c r="CZ150" s="233" t="n"/>
      <c r="DA150" s="233">
        <f>CY150+CZ150</f>
        <v/>
      </c>
      <c r="DB150" s="233" t="n"/>
      <c r="DC150" s="233" t="n"/>
      <c r="DD150" s="233">
        <f>DB150+DC150</f>
        <v/>
      </c>
      <c r="DE150" s="238">
        <f>DD150-DA150</f>
        <v/>
      </c>
      <c r="DF150" s="235">
        <f>IF(DA150=0,"",DD150/DA150)</f>
        <v/>
      </c>
      <c r="DG150" s="26" t="n"/>
      <c r="DH150" s="236">
        <f>CP150+CY150</f>
        <v/>
      </c>
      <c r="DI150" s="236">
        <f>CQ150+CZ150</f>
        <v/>
      </c>
      <c r="DJ150" s="236">
        <f>DH150+DI150</f>
        <v/>
      </c>
      <c r="DK150" s="236">
        <f>CS150+DB150</f>
        <v/>
      </c>
      <c r="DL150" s="236">
        <f>CT150+DC150</f>
        <v/>
      </c>
      <c r="DM150" s="236">
        <f>DK150+DL150</f>
        <v/>
      </c>
      <c r="DN150" s="239">
        <f>DM150-DJ150</f>
        <v/>
      </c>
      <c r="DO150" s="237">
        <f>IF(DJ150=0,"",DM150/DJ150)</f>
        <v/>
      </c>
      <c r="DP150" s="33" t="n"/>
      <c r="DQ150" s="233" t="n"/>
      <c r="DR150" s="233" t="n"/>
      <c r="DS150" s="233">
        <f>DQ150+DR150</f>
        <v/>
      </c>
      <c r="DT150" s="233" t="n"/>
      <c r="DU150" s="233" t="n"/>
      <c r="DV150" s="233">
        <f>DT150+DU150</f>
        <v/>
      </c>
      <c r="DW150" s="238">
        <f>DV150-DS150</f>
        <v/>
      </c>
      <c r="DX150" s="235">
        <f>IF(DS150=0,"",DV150/DS150)</f>
        <v/>
      </c>
      <c r="DY150" s="26" t="n"/>
      <c r="DZ150" s="236">
        <f>DH150+DQ150</f>
        <v/>
      </c>
      <c r="EA150" s="236">
        <f>DI150+DR150</f>
        <v/>
      </c>
      <c r="EB150" s="236">
        <f>DZ150+EA150</f>
        <v/>
      </c>
      <c r="EC150" s="236">
        <f>DK150+DT150</f>
        <v/>
      </c>
      <c r="ED150" s="236">
        <f>DL150+DU150</f>
        <v/>
      </c>
      <c r="EE150" s="236">
        <f>EC150+ED150</f>
        <v/>
      </c>
      <c r="EF150" s="239">
        <f>EE150-EB150</f>
        <v/>
      </c>
      <c r="EG150" s="237">
        <f>IF(EB150=0,"",EE150/EB150)</f>
        <v/>
      </c>
      <c r="EH150" s="33" t="n"/>
      <c r="EI150" s="233" t="n"/>
      <c r="EJ150" s="233" t="n"/>
      <c r="EK150" s="233">
        <f>EI150+EJ150</f>
        <v/>
      </c>
      <c r="EL150" s="233" t="n"/>
      <c r="EM150" s="233" t="n"/>
      <c r="EN150" s="233">
        <f>EL150+EM150</f>
        <v/>
      </c>
      <c r="EO150" s="238">
        <f>EN150-EK150</f>
        <v/>
      </c>
      <c r="EP150" s="235">
        <f>IF(EK150=0,"",EN150/EK150)</f>
        <v/>
      </c>
      <c r="EQ150" s="26" t="n"/>
      <c r="ER150" s="236">
        <f>DZ150+EI150</f>
        <v/>
      </c>
      <c r="ES150" s="236">
        <f>EA150+EJ150</f>
        <v/>
      </c>
      <c r="ET150" s="236">
        <f>ER150+ES150</f>
        <v/>
      </c>
      <c r="EU150" s="236">
        <f>EC150+EL150</f>
        <v/>
      </c>
      <c r="EV150" s="236">
        <f>ED150+EM150</f>
        <v/>
      </c>
      <c r="EW150" s="236">
        <f>EU150+EV150</f>
        <v/>
      </c>
      <c r="EX150" s="239">
        <f>EW150-ET150</f>
        <v/>
      </c>
      <c r="EY150" s="237">
        <f>IF(ET150=0,"",EW150/ET150)</f>
        <v/>
      </c>
      <c r="EZ150" s="33" t="n"/>
      <c r="FA150" s="233" t="n"/>
      <c r="FB150" s="233" t="n"/>
      <c r="FC150" s="233">
        <f>FA150+FB150</f>
        <v/>
      </c>
      <c r="FD150" s="233" t="n"/>
      <c r="FE150" s="233" t="n"/>
      <c r="FF150" s="233">
        <f>FD150+FE150</f>
        <v/>
      </c>
      <c r="FG150" s="238">
        <f>FF150-FC150</f>
        <v/>
      </c>
      <c r="FH150" s="235">
        <f>IF(FC150=0,"",FF150/FC150)</f>
        <v/>
      </c>
      <c r="FI150" s="26" t="n"/>
      <c r="FJ150" s="236">
        <f>ER150+FA150</f>
        <v/>
      </c>
      <c r="FK150" s="236">
        <f>ES150+FB150</f>
        <v/>
      </c>
      <c r="FL150" s="236">
        <f>FJ150+FK150</f>
        <v/>
      </c>
      <c r="FM150" s="236">
        <f>EU150+FD150</f>
        <v/>
      </c>
      <c r="FN150" s="236">
        <f>EV150+FE150</f>
        <v/>
      </c>
      <c r="FO150" s="236">
        <f>FM150+FN150</f>
        <v/>
      </c>
      <c r="FP150" s="239">
        <f>FO150-FL150</f>
        <v/>
      </c>
      <c r="FQ150" s="237">
        <f>IF(FL150=0,"",FO150/FL150)</f>
        <v/>
      </c>
      <c r="FR150" s="33" t="n"/>
      <c r="FS150" s="233" t="n"/>
      <c r="FT150" s="233" t="n"/>
      <c r="FU150" s="233">
        <f>FS150+FT150</f>
        <v/>
      </c>
      <c r="FV150" s="233" t="n"/>
      <c r="FW150" s="233" t="n"/>
      <c r="FX150" s="233">
        <f>FV150+FW150</f>
        <v/>
      </c>
      <c r="FY150" s="238">
        <f>FX150-FU150</f>
        <v/>
      </c>
      <c r="FZ150" s="235">
        <f>IF(FU150=0,"",FX150/FU150)</f>
        <v/>
      </c>
      <c r="GA150" s="26" t="n"/>
      <c r="GB150" s="236">
        <f>FJ150+FS150</f>
        <v/>
      </c>
      <c r="GC150" s="236">
        <f>FK150+FT150</f>
        <v/>
      </c>
      <c r="GD150" s="236">
        <f>GB150+GC150</f>
        <v/>
      </c>
      <c r="GE150" s="236">
        <f>FM150+FV150</f>
        <v/>
      </c>
      <c r="GF150" s="236">
        <f>FN150+FW150</f>
        <v/>
      </c>
      <c r="GG150" s="236">
        <f>GE150+GF150</f>
        <v/>
      </c>
      <c r="GH150" s="239">
        <f>GG150-GD150</f>
        <v/>
      </c>
      <c r="GI150" s="237">
        <f>IF(GD150=0,"",GG150/GD150)</f>
        <v/>
      </c>
      <c r="GJ150" s="33" t="n"/>
      <c r="GK150" s="233" t="n"/>
      <c r="GL150" s="233" t="n"/>
      <c r="GM150" s="233">
        <f>GK150+GL150</f>
        <v/>
      </c>
      <c r="GN150" s="233" t="n"/>
      <c r="GO150" s="233" t="n"/>
      <c r="GP150" s="233">
        <f>GN150+GO150</f>
        <v/>
      </c>
      <c r="GQ150" s="238">
        <f>GP150-GM150</f>
        <v/>
      </c>
      <c r="GR150" s="235">
        <f>IF(GM150=0,"",GP150/GM150)</f>
        <v/>
      </c>
      <c r="GS150" s="26" t="n"/>
      <c r="GT150" s="236">
        <f>GB150+GK150</f>
        <v/>
      </c>
      <c r="GU150" s="236">
        <f>GC150+GL150</f>
        <v/>
      </c>
      <c r="GV150" s="236">
        <f>GT150+GU150</f>
        <v/>
      </c>
      <c r="GW150" s="236">
        <f>GE150+GN150</f>
        <v/>
      </c>
      <c r="GX150" s="236">
        <f>GF150+GO150</f>
        <v/>
      </c>
      <c r="GY150" s="236">
        <f>GW150+GX150</f>
        <v/>
      </c>
      <c r="GZ150" s="239">
        <f>GY150-GV150</f>
        <v/>
      </c>
      <c r="HA150" s="237">
        <f>IF(GV150=0,"",GY150/GV150)</f>
        <v/>
      </c>
      <c r="HB150" s="33" t="n"/>
      <c r="HC150" s="233">
        <f>GT150</f>
        <v/>
      </c>
      <c r="HD150" s="233">
        <f>GU150</f>
        <v/>
      </c>
      <c r="HE150" s="233">
        <f>HC150+HD150</f>
        <v/>
      </c>
    </row>
    <row r="151" outlineLevel="1" ht="15" customHeight="1" s="150">
      <c r="A151" s="26" t="n"/>
      <c r="B151" s="26" t="n"/>
      <c r="C151" s="26" t="n"/>
      <c r="D151" s="233" t="n"/>
      <c r="E151" s="233" t="n"/>
      <c r="F151" s="233">
        <f>D151+E151</f>
        <v/>
      </c>
      <c r="G151" s="233" t="n"/>
      <c r="H151" s="233" t="n"/>
      <c r="I151" s="233">
        <f>G151+H151</f>
        <v/>
      </c>
      <c r="J151" s="238">
        <f>I151-F151</f>
        <v/>
      </c>
      <c r="K151" s="235">
        <f>IF(F151=0,"",I151/F151)</f>
        <v/>
      </c>
      <c r="L151" s="26" t="n"/>
      <c r="M151" s="233" t="n"/>
      <c r="N151" s="233" t="n"/>
      <c r="O151" s="233">
        <f>M151+N151</f>
        <v/>
      </c>
      <c r="P151" s="233" t="n"/>
      <c r="Q151" s="233" t="n"/>
      <c r="R151" s="233">
        <f>P151+Q151</f>
        <v/>
      </c>
      <c r="S151" s="238">
        <f>R151-O151</f>
        <v/>
      </c>
      <c r="T151" s="235">
        <f>IF(O151=0,"",R151/O151)</f>
        <v/>
      </c>
      <c r="U151" s="26" t="n"/>
      <c r="V151" s="236">
        <f>D151+M151</f>
        <v/>
      </c>
      <c r="W151" s="236">
        <f>E151+N151</f>
        <v/>
      </c>
      <c r="X151" s="236">
        <f>V151+W151</f>
        <v/>
      </c>
      <c r="Y151" s="236">
        <f>G151+P151</f>
        <v/>
      </c>
      <c r="Z151" s="236">
        <f>H151+Q151</f>
        <v/>
      </c>
      <c r="AA151" s="236">
        <f>Y151+Z151</f>
        <v/>
      </c>
      <c r="AB151" s="239">
        <f>AA151-X151</f>
        <v/>
      </c>
      <c r="AC151" s="237">
        <f>IF(X151=0,"",AA151/X151)</f>
        <v/>
      </c>
      <c r="AD151" s="33" t="n"/>
      <c r="AE151" s="233" t="n"/>
      <c r="AF151" s="233" t="n"/>
      <c r="AG151" s="233">
        <f>AE151+AF151</f>
        <v/>
      </c>
      <c r="AH151" s="233" t="n"/>
      <c r="AI151" s="233" t="n"/>
      <c r="AJ151" s="233">
        <f>AH151+AI151</f>
        <v/>
      </c>
      <c r="AK151" s="238">
        <f>AJ151-AG151</f>
        <v/>
      </c>
      <c r="AL151" s="235">
        <f>IF(AG151=0,"",AJ151/AG151)</f>
        <v/>
      </c>
      <c r="AM151" s="26" t="n"/>
      <c r="AN151" s="236">
        <f>V151+AE151</f>
        <v/>
      </c>
      <c r="AO151" s="236">
        <f>W151+AF151</f>
        <v/>
      </c>
      <c r="AP151" s="236">
        <f>AN151+AO151</f>
        <v/>
      </c>
      <c r="AQ151" s="236">
        <f>Y151+AH151</f>
        <v/>
      </c>
      <c r="AR151" s="236">
        <f>Z151+AI151</f>
        <v/>
      </c>
      <c r="AS151" s="236">
        <f>AQ151+AR151</f>
        <v/>
      </c>
      <c r="AT151" s="239">
        <f>AS151-AP151</f>
        <v/>
      </c>
      <c r="AU151" s="237">
        <f>IF(AP151=0,"",AS151/AP151)</f>
        <v/>
      </c>
      <c r="AV151" s="33" t="n"/>
      <c r="AW151" s="233" t="n"/>
      <c r="AX151" s="233" t="n"/>
      <c r="AY151" s="233">
        <f>AW151+AX151</f>
        <v/>
      </c>
      <c r="AZ151" s="233" t="n"/>
      <c r="BA151" s="233" t="n"/>
      <c r="BB151" s="233">
        <f>AZ151+BA151</f>
        <v/>
      </c>
      <c r="BC151" s="238">
        <f>BB151-AY151</f>
        <v/>
      </c>
      <c r="BD151" s="235">
        <f>IF(AY151=0,"",BB151/AY151)</f>
        <v/>
      </c>
      <c r="BE151" s="26" t="n"/>
      <c r="BF151" s="236">
        <f>AN151+AW151</f>
        <v/>
      </c>
      <c r="BG151" s="236">
        <f>AO151+AX151</f>
        <v/>
      </c>
      <c r="BH151" s="236">
        <f>BF151+BG151</f>
        <v/>
      </c>
      <c r="BI151" s="236">
        <f>AQ151+AZ151</f>
        <v/>
      </c>
      <c r="BJ151" s="236">
        <f>AR151+BA151</f>
        <v/>
      </c>
      <c r="BK151" s="236">
        <f>BI151+BJ151</f>
        <v/>
      </c>
      <c r="BL151" s="239">
        <f>BK151-BH151</f>
        <v/>
      </c>
      <c r="BM151" s="237">
        <f>IF(BH151=0,"",BK151/BH151)</f>
        <v/>
      </c>
      <c r="BN151" s="33" t="n"/>
      <c r="BO151" s="233" t="n"/>
      <c r="BP151" s="233" t="n"/>
      <c r="BQ151" s="233">
        <f>BO151+BP151</f>
        <v/>
      </c>
      <c r="BR151" s="233" t="n"/>
      <c r="BS151" s="233" t="n"/>
      <c r="BT151" s="233">
        <f>BR151+BS151</f>
        <v/>
      </c>
      <c r="BU151" s="238">
        <f>BT151-BQ151</f>
        <v/>
      </c>
      <c r="BV151" s="235">
        <f>IF(BQ151=0,"",BT151/BQ151)</f>
        <v/>
      </c>
      <c r="BW151" s="26" t="n"/>
      <c r="BX151" s="236">
        <f>BF151+BO151</f>
        <v/>
      </c>
      <c r="BY151" s="236">
        <f>BG151+BP151</f>
        <v/>
      </c>
      <c r="BZ151" s="236">
        <f>BX151+BY151</f>
        <v/>
      </c>
      <c r="CA151" s="236">
        <f>BI151+BR151</f>
        <v/>
      </c>
      <c r="CB151" s="236">
        <f>BJ151+BS151</f>
        <v/>
      </c>
      <c r="CC151" s="236">
        <f>CA151+CB151</f>
        <v/>
      </c>
      <c r="CD151" s="239">
        <f>CC151-BZ151</f>
        <v/>
      </c>
      <c r="CE151" s="237">
        <f>IF(BZ151=0,"",CC151/BZ151)</f>
        <v/>
      </c>
      <c r="CF151" s="33" t="n"/>
      <c r="CG151" s="233" t="n"/>
      <c r="CH151" s="233" t="n"/>
      <c r="CI151" s="233">
        <f>CG151+CH151</f>
        <v/>
      </c>
      <c r="CJ151" s="233" t="n"/>
      <c r="CK151" s="233" t="n"/>
      <c r="CL151" s="233">
        <f>CJ151+CK151</f>
        <v/>
      </c>
      <c r="CM151" s="238">
        <f>CL151-CI151</f>
        <v/>
      </c>
      <c r="CN151" s="235">
        <f>IF(CI151=0,"",CL151/CI151)</f>
        <v/>
      </c>
      <c r="CO151" s="26" t="n"/>
      <c r="CP151" s="236">
        <f>BX151+CG151</f>
        <v/>
      </c>
      <c r="CQ151" s="236">
        <f>BY151+CH151</f>
        <v/>
      </c>
      <c r="CR151" s="236">
        <f>CP151+CQ151</f>
        <v/>
      </c>
      <c r="CS151" s="236">
        <f>CA151+CJ151</f>
        <v/>
      </c>
      <c r="CT151" s="236">
        <f>CB151+CK151</f>
        <v/>
      </c>
      <c r="CU151" s="236">
        <f>CS151+CT151</f>
        <v/>
      </c>
      <c r="CV151" s="239">
        <f>CU151-CR151</f>
        <v/>
      </c>
      <c r="CW151" s="237">
        <f>IF(CR151=0,"",CU151/CR151)</f>
        <v/>
      </c>
      <c r="CX151" s="33" t="n"/>
      <c r="CY151" s="233" t="n"/>
      <c r="CZ151" s="233" t="n"/>
      <c r="DA151" s="233">
        <f>CY151+CZ151</f>
        <v/>
      </c>
      <c r="DB151" s="233" t="n"/>
      <c r="DC151" s="233" t="n"/>
      <c r="DD151" s="233">
        <f>DB151+DC151</f>
        <v/>
      </c>
      <c r="DE151" s="238">
        <f>DD151-DA151</f>
        <v/>
      </c>
      <c r="DF151" s="235">
        <f>IF(DA151=0,"",DD151/DA151)</f>
        <v/>
      </c>
      <c r="DG151" s="26" t="n"/>
      <c r="DH151" s="236">
        <f>CP151+CY151</f>
        <v/>
      </c>
      <c r="DI151" s="236">
        <f>CQ151+CZ151</f>
        <v/>
      </c>
      <c r="DJ151" s="236">
        <f>DH151+DI151</f>
        <v/>
      </c>
      <c r="DK151" s="236">
        <f>CS151+DB151</f>
        <v/>
      </c>
      <c r="DL151" s="236">
        <f>CT151+DC151</f>
        <v/>
      </c>
      <c r="DM151" s="236">
        <f>DK151+DL151</f>
        <v/>
      </c>
      <c r="DN151" s="239">
        <f>DM151-DJ151</f>
        <v/>
      </c>
      <c r="DO151" s="237">
        <f>IF(DJ151=0,"",DM151/DJ151)</f>
        <v/>
      </c>
      <c r="DP151" s="33" t="n"/>
      <c r="DQ151" s="233" t="n"/>
      <c r="DR151" s="233" t="n"/>
      <c r="DS151" s="233">
        <f>DQ151+DR151</f>
        <v/>
      </c>
      <c r="DT151" s="233" t="n"/>
      <c r="DU151" s="233" t="n"/>
      <c r="DV151" s="233">
        <f>DT151+DU151</f>
        <v/>
      </c>
      <c r="DW151" s="238">
        <f>DV151-DS151</f>
        <v/>
      </c>
      <c r="DX151" s="235">
        <f>IF(DS151=0,"",DV151/DS151)</f>
        <v/>
      </c>
      <c r="DY151" s="26" t="n"/>
      <c r="DZ151" s="236">
        <f>DH151+DQ151</f>
        <v/>
      </c>
      <c r="EA151" s="236">
        <f>DI151+DR151</f>
        <v/>
      </c>
      <c r="EB151" s="236">
        <f>DZ151+EA151</f>
        <v/>
      </c>
      <c r="EC151" s="236">
        <f>DK151+DT151</f>
        <v/>
      </c>
      <c r="ED151" s="236">
        <f>DL151+DU151</f>
        <v/>
      </c>
      <c r="EE151" s="236">
        <f>EC151+ED151</f>
        <v/>
      </c>
      <c r="EF151" s="239">
        <f>EE151-EB151</f>
        <v/>
      </c>
      <c r="EG151" s="237">
        <f>IF(EB151=0,"",EE151/EB151)</f>
        <v/>
      </c>
      <c r="EH151" s="33" t="n"/>
      <c r="EI151" s="233" t="n"/>
      <c r="EJ151" s="233" t="n"/>
      <c r="EK151" s="233">
        <f>EI151+EJ151</f>
        <v/>
      </c>
      <c r="EL151" s="233" t="n"/>
      <c r="EM151" s="233" t="n"/>
      <c r="EN151" s="233">
        <f>EL151+EM151</f>
        <v/>
      </c>
      <c r="EO151" s="238">
        <f>EN151-EK151</f>
        <v/>
      </c>
      <c r="EP151" s="235">
        <f>IF(EK151=0,"",EN151/EK151)</f>
        <v/>
      </c>
      <c r="EQ151" s="26" t="n"/>
      <c r="ER151" s="236">
        <f>DZ151+EI151</f>
        <v/>
      </c>
      <c r="ES151" s="236">
        <f>EA151+EJ151</f>
        <v/>
      </c>
      <c r="ET151" s="236">
        <f>ER151+ES151</f>
        <v/>
      </c>
      <c r="EU151" s="236">
        <f>EC151+EL151</f>
        <v/>
      </c>
      <c r="EV151" s="236">
        <f>ED151+EM151</f>
        <v/>
      </c>
      <c r="EW151" s="236">
        <f>EU151+EV151</f>
        <v/>
      </c>
      <c r="EX151" s="239">
        <f>EW151-ET151</f>
        <v/>
      </c>
      <c r="EY151" s="237">
        <f>IF(ET151=0,"",EW151/ET151)</f>
        <v/>
      </c>
      <c r="EZ151" s="33" t="n"/>
      <c r="FA151" s="233" t="n"/>
      <c r="FB151" s="233" t="n"/>
      <c r="FC151" s="233">
        <f>FA151+FB151</f>
        <v/>
      </c>
      <c r="FD151" s="233" t="n"/>
      <c r="FE151" s="233" t="n"/>
      <c r="FF151" s="233">
        <f>FD151+FE151</f>
        <v/>
      </c>
      <c r="FG151" s="238">
        <f>FF151-FC151</f>
        <v/>
      </c>
      <c r="FH151" s="235">
        <f>IF(FC151=0,"",FF151/FC151)</f>
        <v/>
      </c>
      <c r="FI151" s="26" t="n"/>
      <c r="FJ151" s="236">
        <f>ER151+FA151</f>
        <v/>
      </c>
      <c r="FK151" s="236">
        <f>ES151+FB151</f>
        <v/>
      </c>
      <c r="FL151" s="236">
        <f>FJ151+FK151</f>
        <v/>
      </c>
      <c r="FM151" s="236">
        <f>EU151+FD151</f>
        <v/>
      </c>
      <c r="FN151" s="236">
        <f>EV151+FE151</f>
        <v/>
      </c>
      <c r="FO151" s="236">
        <f>FM151+FN151</f>
        <v/>
      </c>
      <c r="FP151" s="239">
        <f>FO151-FL151</f>
        <v/>
      </c>
      <c r="FQ151" s="237">
        <f>IF(FL151=0,"",FO151/FL151)</f>
        <v/>
      </c>
      <c r="FR151" s="33" t="n"/>
      <c r="FS151" s="233" t="n"/>
      <c r="FT151" s="233" t="n"/>
      <c r="FU151" s="233">
        <f>FS151+FT151</f>
        <v/>
      </c>
      <c r="FV151" s="233" t="n"/>
      <c r="FW151" s="233" t="n"/>
      <c r="FX151" s="233">
        <f>FV151+FW151</f>
        <v/>
      </c>
      <c r="FY151" s="238">
        <f>FX151-FU151</f>
        <v/>
      </c>
      <c r="FZ151" s="235">
        <f>IF(FU151=0,"",FX151/FU151)</f>
        <v/>
      </c>
      <c r="GA151" s="26" t="n"/>
      <c r="GB151" s="236">
        <f>FJ151+FS151</f>
        <v/>
      </c>
      <c r="GC151" s="236">
        <f>FK151+FT151</f>
        <v/>
      </c>
      <c r="GD151" s="236">
        <f>GB151+GC151</f>
        <v/>
      </c>
      <c r="GE151" s="236">
        <f>FM151+FV151</f>
        <v/>
      </c>
      <c r="GF151" s="236">
        <f>FN151+FW151</f>
        <v/>
      </c>
      <c r="GG151" s="236">
        <f>GE151+GF151</f>
        <v/>
      </c>
      <c r="GH151" s="239">
        <f>GG151-GD151</f>
        <v/>
      </c>
      <c r="GI151" s="237">
        <f>IF(GD151=0,"",GG151/GD151)</f>
        <v/>
      </c>
      <c r="GJ151" s="33" t="n"/>
      <c r="GK151" s="233" t="n"/>
      <c r="GL151" s="233" t="n"/>
      <c r="GM151" s="233">
        <f>GK151+GL151</f>
        <v/>
      </c>
      <c r="GN151" s="233" t="n"/>
      <c r="GO151" s="233" t="n"/>
      <c r="GP151" s="233">
        <f>GN151+GO151</f>
        <v/>
      </c>
      <c r="GQ151" s="238">
        <f>GP151-GM151</f>
        <v/>
      </c>
      <c r="GR151" s="235">
        <f>IF(GM151=0,"",GP151/GM151)</f>
        <v/>
      </c>
      <c r="GS151" s="26" t="n"/>
      <c r="GT151" s="236">
        <f>GB151+GK151</f>
        <v/>
      </c>
      <c r="GU151" s="236">
        <f>GC151+GL151</f>
        <v/>
      </c>
      <c r="GV151" s="236">
        <f>GT151+GU151</f>
        <v/>
      </c>
      <c r="GW151" s="236">
        <f>GE151+GN151</f>
        <v/>
      </c>
      <c r="GX151" s="236">
        <f>GF151+GO151</f>
        <v/>
      </c>
      <c r="GY151" s="236">
        <f>GW151+GX151</f>
        <v/>
      </c>
      <c r="GZ151" s="239">
        <f>GY151-GV151</f>
        <v/>
      </c>
      <c r="HA151" s="237">
        <f>IF(GV151=0,"",GY151/GV151)</f>
        <v/>
      </c>
      <c r="HB151" s="33" t="n"/>
      <c r="HC151" s="233">
        <f>GT151</f>
        <v/>
      </c>
      <c r="HD151" s="233">
        <f>GU151</f>
        <v/>
      </c>
      <c r="HE151" s="233">
        <f>HC151+HD151</f>
        <v/>
      </c>
    </row>
    <row r="152" outlineLevel="1" ht="15" customHeight="1" s="150">
      <c r="A152" s="26" t="n"/>
      <c r="B152" s="26" t="n"/>
      <c r="C152" s="26" t="n"/>
      <c r="D152" s="233" t="n"/>
      <c r="E152" s="233" t="n"/>
      <c r="F152" s="233">
        <f>D152+E152</f>
        <v/>
      </c>
      <c r="G152" s="233" t="n"/>
      <c r="H152" s="233" t="n"/>
      <c r="I152" s="233">
        <f>G152+H152</f>
        <v/>
      </c>
      <c r="J152" s="238">
        <f>I152-F152</f>
        <v/>
      </c>
      <c r="K152" s="235">
        <f>IF(F152=0,"",I152/F152)</f>
        <v/>
      </c>
      <c r="L152" s="26" t="n"/>
      <c r="M152" s="233" t="n"/>
      <c r="N152" s="233" t="n"/>
      <c r="O152" s="233">
        <f>M152+N152</f>
        <v/>
      </c>
      <c r="P152" s="233" t="n"/>
      <c r="Q152" s="233" t="n"/>
      <c r="R152" s="233">
        <f>P152+Q152</f>
        <v/>
      </c>
      <c r="S152" s="238">
        <f>R152-O152</f>
        <v/>
      </c>
      <c r="T152" s="235">
        <f>IF(O152=0,"",R152/O152)</f>
        <v/>
      </c>
      <c r="U152" s="26" t="n"/>
      <c r="V152" s="236">
        <f>D152+M152</f>
        <v/>
      </c>
      <c r="W152" s="236">
        <f>E152+N152</f>
        <v/>
      </c>
      <c r="X152" s="236">
        <f>V152+W152</f>
        <v/>
      </c>
      <c r="Y152" s="236">
        <f>G152+P152</f>
        <v/>
      </c>
      <c r="Z152" s="236">
        <f>H152+Q152</f>
        <v/>
      </c>
      <c r="AA152" s="236">
        <f>Y152+Z152</f>
        <v/>
      </c>
      <c r="AB152" s="239">
        <f>AA152-X152</f>
        <v/>
      </c>
      <c r="AC152" s="237">
        <f>IF(X152=0,"",AA152/X152)</f>
        <v/>
      </c>
      <c r="AD152" s="33" t="n"/>
      <c r="AE152" s="233" t="n"/>
      <c r="AF152" s="233" t="n"/>
      <c r="AG152" s="233">
        <f>AE152+AF152</f>
        <v/>
      </c>
      <c r="AH152" s="233" t="n"/>
      <c r="AI152" s="233" t="n"/>
      <c r="AJ152" s="233">
        <f>AH152+AI152</f>
        <v/>
      </c>
      <c r="AK152" s="238">
        <f>AJ152-AG152</f>
        <v/>
      </c>
      <c r="AL152" s="235">
        <f>IF(AG152=0,"",AJ152/AG152)</f>
        <v/>
      </c>
      <c r="AM152" s="26" t="n"/>
      <c r="AN152" s="236">
        <f>V152+AE152</f>
        <v/>
      </c>
      <c r="AO152" s="236">
        <f>W152+AF152</f>
        <v/>
      </c>
      <c r="AP152" s="236">
        <f>AN152+AO152</f>
        <v/>
      </c>
      <c r="AQ152" s="236">
        <f>Y152+AH152</f>
        <v/>
      </c>
      <c r="AR152" s="236">
        <f>Z152+AI152</f>
        <v/>
      </c>
      <c r="AS152" s="236">
        <f>AQ152+AR152</f>
        <v/>
      </c>
      <c r="AT152" s="239">
        <f>AS152-AP152</f>
        <v/>
      </c>
      <c r="AU152" s="237">
        <f>IF(AP152=0,"",AS152/AP152)</f>
        <v/>
      </c>
      <c r="AV152" s="33" t="n"/>
      <c r="AW152" s="233" t="n"/>
      <c r="AX152" s="233" t="n"/>
      <c r="AY152" s="233">
        <f>AW152+AX152</f>
        <v/>
      </c>
      <c r="AZ152" s="233" t="n"/>
      <c r="BA152" s="233" t="n"/>
      <c r="BB152" s="233">
        <f>AZ152+BA152</f>
        <v/>
      </c>
      <c r="BC152" s="238">
        <f>BB152-AY152</f>
        <v/>
      </c>
      <c r="BD152" s="235">
        <f>IF(AY152=0,"",BB152/AY152)</f>
        <v/>
      </c>
      <c r="BE152" s="26" t="n"/>
      <c r="BF152" s="236">
        <f>AN152+AW152</f>
        <v/>
      </c>
      <c r="BG152" s="236">
        <f>AO152+AX152</f>
        <v/>
      </c>
      <c r="BH152" s="236">
        <f>BF152+BG152</f>
        <v/>
      </c>
      <c r="BI152" s="236">
        <f>AQ152+AZ152</f>
        <v/>
      </c>
      <c r="BJ152" s="236">
        <f>AR152+BA152</f>
        <v/>
      </c>
      <c r="BK152" s="236">
        <f>BI152+BJ152</f>
        <v/>
      </c>
      <c r="BL152" s="239">
        <f>BK152-BH152</f>
        <v/>
      </c>
      <c r="BM152" s="237">
        <f>IF(BH152=0,"",BK152/BH152)</f>
        <v/>
      </c>
      <c r="BN152" s="33" t="n"/>
      <c r="BO152" s="233" t="n"/>
      <c r="BP152" s="233" t="n"/>
      <c r="BQ152" s="233">
        <f>BO152+BP152</f>
        <v/>
      </c>
      <c r="BR152" s="233" t="n"/>
      <c r="BS152" s="233" t="n"/>
      <c r="BT152" s="233">
        <f>BR152+BS152</f>
        <v/>
      </c>
      <c r="BU152" s="238">
        <f>BT152-BQ152</f>
        <v/>
      </c>
      <c r="BV152" s="235">
        <f>IF(BQ152=0,"",BT152/BQ152)</f>
        <v/>
      </c>
      <c r="BW152" s="26" t="n"/>
      <c r="BX152" s="236">
        <f>BF152+BO152</f>
        <v/>
      </c>
      <c r="BY152" s="236">
        <f>BG152+BP152</f>
        <v/>
      </c>
      <c r="BZ152" s="236">
        <f>BX152+BY152</f>
        <v/>
      </c>
      <c r="CA152" s="236">
        <f>BI152+BR152</f>
        <v/>
      </c>
      <c r="CB152" s="236">
        <f>BJ152+BS152</f>
        <v/>
      </c>
      <c r="CC152" s="236">
        <f>CA152+CB152</f>
        <v/>
      </c>
      <c r="CD152" s="239">
        <f>CC152-BZ152</f>
        <v/>
      </c>
      <c r="CE152" s="237">
        <f>IF(BZ152=0,"",CC152/BZ152)</f>
        <v/>
      </c>
      <c r="CF152" s="33" t="n"/>
      <c r="CG152" s="233" t="n"/>
      <c r="CH152" s="233" t="n"/>
      <c r="CI152" s="233">
        <f>CG152+CH152</f>
        <v/>
      </c>
      <c r="CJ152" s="233" t="n"/>
      <c r="CK152" s="233" t="n"/>
      <c r="CL152" s="233">
        <f>CJ152+CK152</f>
        <v/>
      </c>
      <c r="CM152" s="238">
        <f>CL152-CI152</f>
        <v/>
      </c>
      <c r="CN152" s="235">
        <f>IF(CI152=0,"",CL152/CI152)</f>
        <v/>
      </c>
      <c r="CO152" s="26" t="n"/>
      <c r="CP152" s="236">
        <f>BX152+CG152</f>
        <v/>
      </c>
      <c r="CQ152" s="236">
        <f>BY152+CH152</f>
        <v/>
      </c>
      <c r="CR152" s="236">
        <f>CP152+CQ152</f>
        <v/>
      </c>
      <c r="CS152" s="236">
        <f>CA152+CJ152</f>
        <v/>
      </c>
      <c r="CT152" s="236">
        <f>CB152+CK152</f>
        <v/>
      </c>
      <c r="CU152" s="236">
        <f>CS152+CT152</f>
        <v/>
      </c>
      <c r="CV152" s="239">
        <f>CU152-CR152</f>
        <v/>
      </c>
      <c r="CW152" s="237">
        <f>IF(CR152=0,"",CU152/CR152)</f>
        <v/>
      </c>
      <c r="CX152" s="33" t="n"/>
      <c r="CY152" s="233" t="n"/>
      <c r="CZ152" s="233" t="n"/>
      <c r="DA152" s="233">
        <f>CY152+CZ152</f>
        <v/>
      </c>
      <c r="DB152" s="233" t="n"/>
      <c r="DC152" s="233" t="n"/>
      <c r="DD152" s="233">
        <f>DB152+DC152</f>
        <v/>
      </c>
      <c r="DE152" s="238">
        <f>DD152-DA152</f>
        <v/>
      </c>
      <c r="DF152" s="235">
        <f>IF(DA152=0,"",DD152/DA152)</f>
        <v/>
      </c>
      <c r="DG152" s="26" t="n"/>
      <c r="DH152" s="236">
        <f>CP152+CY152</f>
        <v/>
      </c>
      <c r="DI152" s="236">
        <f>CQ152+CZ152</f>
        <v/>
      </c>
      <c r="DJ152" s="236">
        <f>DH152+DI152</f>
        <v/>
      </c>
      <c r="DK152" s="236">
        <f>CS152+DB152</f>
        <v/>
      </c>
      <c r="DL152" s="236">
        <f>CT152+DC152</f>
        <v/>
      </c>
      <c r="DM152" s="236">
        <f>DK152+DL152</f>
        <v/>
      </c>
      <c r="DN152" s="239">
        <f>DM152-DJ152</f>
        <v/>
      </c>
      <c r="DO152" s="237">
        <f>IF(DJ152=0,"",DM152/DJ152)</f>
        <v/>
      </c>
      <c r="DP152" s="33" t="n"/>
      <c r="DQ152" s="233" t="n"/>
      <c r="DR152" s="233" t="n"/>
      <c r="DS152" s="233">
        <f>DQ152+DR152</f>
        <v/>
      </c>
      <c r="DT152" s="233" t="n"/>
      <c r="DU152" s="233" t="n"/>
      <c r="DV152" s="233">
        <f>DT152+DU152</f>
        <v/>
      </c>
      <c r="DW152" s="238">
        <f>DV152-DS152</f>
        <v/>
      </c>
      <c r="DX152" s="235">
        <f>IF(DS152=0,"",DV152/DS152)</f>
        <v/>
      </c>
      <c r="DY152" s="26" t="n"/>
      <c r="DZ152" s="236">
        <f>DH152+DQ152</f>
        <v/>
      </c>
      <c r="EA152" s="236">
        <f>DI152+DR152</f>
        <v/>
      </c>
      <c r="EB152" s="236">
        <f>DZ152+EA152</f>
        <v/>
      </c>
      <c r="EC152" s="236">
        <f>DK152+DT152</f>
        <v/>
      </c>
      <c r="ED152" s="236">
        <f>DL152+DU152</f>
        <v/>
      </c>
      <c r="EE152" s="236">
        <f>EC152+ED152</f>
        <v/>
      </c>
      <c r="EF152" s="239">
        <f>EE152-EB152</f>
        <v/>
      </c>
      <c r="EG152" s="237">
        <f>IF(EB152=0,"",EE152/EB152)</f>
        <v/>
      </c>
      <c r="EH152" s="33" t="n"/>
      <c r="EI152" s="233" t="n"/>
      <c r="EJ152" s="233" t="n"/>
      <c r="EK152" s="233">
        <f>EI152+EJ152</f>
        <v/>
      </c>
      <c r="EL152" s="233" t="n"/>
      <c r="EM152" s="233" t="n"/>
      <c r="EN152" s="233">
        <f>EL152+EM152</f>
        <v/>
      </c>
      <c r="EO152" s="238">
        <f>EN152-EK152</f>
        <v/>
      </c>
      <c r="EP152" s="235">
        <f>IF(EK152=0,"",EN152/EK152)</f>
        <v/>
      </c>
      <c r="EQ152" s="26" t="n"/>
      <c r="ER152" s="236">
        <f>DZ152+EI152</f>
        <v/>
      </c>
      <c r="ES152" s="236">
        <f>EA152+EJ152</f>
        <v/>
      </c>
      <c r="ET152" s="236">
        <f>ER152+ES152</f>
        <v/>
      </c>
      <c r="EU152" s="236">
        <f>EC152+EL152</f>
        <v/>
      </c>
      <c r="EV152" s="236">
        <f>ED152+EM152</f>
        <v/>
      </c>
      <c r="EW152" s="236">
        <f>EU152+EV152</f>
        <v/>
      </c>
      <c r="EX152" s="239">
        <f>EW152-ET152</f>
        <v/>
      </c>
      <c r="EY152" s="237">
        <f>IF(ET152=0,"",EW152/ET152)</f>
        <v/>
      </c>
      <c r="EZ152" s="33" t="n"/>
      <c r="FA152" s="233" t="n"/>
      <c r="FB152" s="233" t="n"/>
      <c r="FC152" s="233">
        <f>FA152+FB152</f>
        <v/>
      </c>
      <c r="FD152" s="233" t="n"/>
      <c r="FE152" s="233" t="n"/>
      <c r="FF152" s="233">
        <f>FD152+FE152</f>
        <v/>
      </c>
      <c r="FG152" s="238">
        <f>FF152-FC152</f>
        <v/>
      </c>
      <c r="FH152" s="235">
        <f>IF(FC152=0,"",FF152/FC152)</f>
        <v/>
      </c>
      <c r="FI152" s="26" t="n"/>
      <c r="FJ152" s="236">
        <f>ER152+FA152</f>
        <v/>
      </c>
      <c r="FK152" s="236">
        <f>ES152+FB152</f>
        <v/>
      </c>
      <c r="FL152" s="236">
        <f>FJ152+FK152</f>
        <v/>
      </c>
      <c r="FM152" s="236">
        <f>EU152+FD152</f>
        <v/>
      </c>
      <c r="FN152" s="236">
        <f>EV152+FE152</f>
        <v/>
      </c>
      <c r="FO152" s="236">
        <f>FM152+FN152</f>
        <v/>
      </c>
      <c r="FP152" s="239">
        <f>FO152-FL152</f>
        <v/>
      </c>
      <c r="FQ152" s="237">
        <f>IF(FL152=0,"",FO152/FL152)</f>
        <v/>
      </c>
      <c r="FR152" s="33" t="n"/>
      <c r="FS152" s="233" t="n"/>
      <c r="FT152" s="233" t="n"/>
      <c r="FU152" s="233">
        <f>FS152+FT152</f>
        <v/>
      </c>
      <c r="FV152" s="233" t="n"/>
      <c r="FW152" s="233" t="n"/>
      <c r="FX152" s="233">
        <f>FV152+FW152</f>
        <v/>
      </c>
      <c r="FY152" s="238">
        <f>FX152-FU152</f>
        <v/>
      </c>
      <c r="FZ152" s="235">
        <f>IF(FU152=0,"",FX152/FU152)</f>
        <v/>
      </c>
      <c r="GA152" s="26" t="n"/>
      <c r="GB152" s="236">
        <f>FJ152+FS152</f>
        <v/>
      </c>
      <c r="GC152" s="236">
        <f>FK152+FT152</f>
        <v/>
      </c>
      <c r="GD152" s="236">
        <f>GB152+GC152</f>
        <v/>
      </c>
      <c r="GE152" s="236">
        <f>FM152+FV152</f>
        <v/>
      </c>
      <c r="GF152" s="236">
        <f>FN152+FW152</f>
        <v/>
      </c>
      <c r="GG152" s="236">
        <f>GE152+GF152</f>
        <v/>
      </c>
      <c r="GH152" s="239">
        <f>GG152-GD152</f>
        <v/>
      </c>
      <c r="GI152" s="237">
        <f>IF(GD152=0,"",GG152/GD152)</f>
        <v/>
      </c>
      <c r="GJ152" s="33" t="n"/>
      <c r="GK152" s="233" t="n"/>
      <c r="GL152" s="233" t="n"/>
      <c r="GM152" s="233">
        <f>GK152+GL152</f>
        <v/>
      </c>
      <c r="GN152" s="233" t="n"/>
      <c r="GO152" s="233" t="n"/>
      <c r="GP152" s="233">
        <f>GN152+GO152</f>
        <v/>
      </c>
      <c r="GQ152" s="238">
        <f>GP152-GM152</f>
        <v/>
      </c>
      <c r="GR152" s="235">
        <f>IF(GM152=0,"",GP152/GM152)</f>
        <v/>
      </c>
      <c r="GS152" s="26" t="n"/>
      <c r="GT152" s="236">
        <f>GB152+GK152</f>
        <v/>
      </c>
      <c r="GU152" s="236">
        <f>GC152+GL152</f>
        <v/>
      </c>
      <c r="GV152" s="236">
        <f>GT152+GU152</f>
        <v/>
      </c>
      <c r="GW152" s="236">
        <f>GE152+GN152</f>
        <v/>
      </c>
      <c r="GX152" s="236">
        <f>GF152+GO152</f>
        <v/>
      </c>
      <c r="GY152" s="236">
        <f>GW152+GX152</f>
        <v/>
      </c>
      <c r="GZ152" s="239">
        <f>GY152-GV152</f>
        <v/>
      </c>
      <c r="HA152" s="237">
        <f>IF(GV152=0,"",GY152/GV152)</f>
        <v/>
      </c>
      <c r="HB152" s="33" t="n"/>
      <c r="HC152" s="233">
        <f>GT152</f>
        <v/>
      </c>
      <c r="HD152" s="233">
        <f>GU152</f>
        <v/>
      </c>
      <c r="HE152" s="233">
        <f>HC152+HD152</f>
        <v/>
      </c>
    </row>
    <row r="153" outlineLevel="1" ht="15" customHeight="1" s="150">
      <c r="A153" s="26" t="n"/>
      <c r="B153" s="26" t="n"/>
      <c r="C153" s="26" t="n"/>
      <c r="D153" s="233" t="n"/>
      <c r="E153" s="233" t="n"/>
      <c r="F153" s="233">
        <f>D153+E153</f>
        <v/>
      </c>
      <c r="G153" s="233" t="n"/>
      <c r="H153" s="233" t="n"/>
      <c r="I153" s="233">
        <f>G153+H153</f>
        <v/>
      </c>
      <c r="J153" s="238">
        <f>I153-F153</f>
        <v/>
      </c>
      <c r="K153" s="235">
        <f>IF(F153=0,"",I153/F153)</f>
        <v/>
      </c>
      <c r="L153" s="26" t="n"/>
      <c r="M153" s="233" t="n"/>
      <c r="N153" s="233" t="n"/>
      <c r="O153" s="233">
        <f>M153+N153</f>
        <v/>
      </c>
      <c r="P153" s="233" t="n"/>
      <c r="Q153" s="233" t="n"/>
      <c r="R153" s="233">
        <f>P153+Q153</f>
        <v/>
      </c>
      <c r="S153" s="238">
        <f>R153-O153</f>
        <v/>
      </c>
      <c r="T153" s="235">
        <f>IF(O153=0,"",R153/O153)</f>
        <v/>
      </c>
      <c r="U153" s="26" t="n"/>
      <c r="V153" s="236">
        <f>D153+M153</f>
        <v/>
      </c>
      <c r="W153" s="236">
        <f>E153+N153</f>
        <v/>
      </c>
      <c r="X153" s="236">
        <f>V153+W153</f>
        <v/>
      </c>
      <c r="Y153" s="236">
        <f>G153+P153</f>
        <v/>
      </c>
      <c r="Z153" s="236">
        <f>H153+Q153</f>
        <v/>
      </c>
      <c r="AA153" s="236">
        <f>Y153+Z153</f>
        <v/>
      </c>
      <c r="AB153" s="239">
        <f>AA153-X153</f>
        <v/>
      </c>
      <c r="AC153" s="237">
        <f>IF(X153=0,"",AA153/X153)</f>
        <v/>
      </c>
      <c r="AD153" s="33" t="n"/>
      <c r="AE153" s="233" t="n"/>
      <c r="AF153" s="233" t="n"/>
      <c r="AG153" s="233">
        <f>AE153+AF153</f>
        <v/>
      </c>
      <c r="AH153" s="233" t="n"/>
      <c r="AI153" s="233" t="n"/>
      <c r="AJ153" s="233">
        <f>AH153+AI153</f>
        <v/>
      </c>
      <c r="AK153" s="238">
        <f>AJ153-AG153</f>
        <v/>
      </c>
      <c r="AL153" s="235">
        <f>IF(AG153=0,"",AJ153/AG153)</f>
        <v/>
      </c>
      <c r="AM153" s="26" t="n"/>
      <c r="AN153" s="236">
        <f>V153+AE153</f>
        <v/>
      </c>
      <c r="AO153" s="236">
        <f>W153+AF153</f>
        <v/>
      </c>
      <c r="AP153" s="236">
        <f>AN153+AO153</f>
        <v/>
      </c>
      <c r="AQ153" s="236">
        <f>Y153+AH153</f>
        <v/>
      </c>
      <c r="AR153" s="236">
        <f>Z153+AI153</f>
        <v/>
      </c>
      <c r="AS153" s="236">
        <f>AQ153+AR153</f>
        <v/>
      </c>
      <c r="AT153" s="239">
        <f>AS153-AP153</f>
        <v/>
      </c>
      <c r="AU153" s="237">
        <f>IF(AP153=0,"",AS153/AP153)</f>
        <v/>
      </c>
      <c r="AV153" s="33" t="n"/>
      <c r="AW153" s="233" t="n"/>
      <c r="AX153" s="233" t="n"/>
      <c r="AY153" s="233">
        <f>AW153+AX153</f>
        <v/>
      </c>
      <c r="AZ153" s="233" t="n"/>
      <c r="BA153" s="233" t="n"/>
      <c r="BB153" s="233">
        <f>AZ153+BA153</f>
        <v/>
      </c>
      <c r="BC153" s="238">
        <f>BB153-AY153</f>
        <v/>
      </c>
      <c r="BD153" s="235">
        <f>IF(AY153=0,"",BB153/AY153)</f>
        <v/>
      </c>
      <c r="BE153" s="26" t="n"/>
      <c r="BF153" s="236">
        <f>AN153+AW153</f>
        <v/>
      </c>
      <c r="BG153" s="236">
        <f>AO153+AX153</f>
        <v/>
      </c>
      <c r="BH153" s="236">
        <f>BF153+BG153</f>
        <v/>
      </c>
      <c r="BI153" s="236">
        <f>AQ153+AZ153</f>
        <v/>
      </c>
      <c r="BJ153" s="236">
        <f>AR153+BA153</f>
        <v/>
      </c>
      <c r="BK153" s="236">
        <f>BI153+BJ153</f>
        <v/>
      </c>
      <c r="BL153" s="239">
        <f>BK153-BH153</f>
        <v/>
      </c>
      <c r="BM153" s="237">
        <f>IF(BH153=0,"",BK153/BH153)</f>
        <v/>
      </c>
      <c r="BN153" s="33" t="n"/>
      <c r="BO153" s="233" t="n"/>
      <c r="BP153" s="233" t="n"/>
      <c r="BQ153" s="233">
        <f>BO153+BP153</f>
        <v/>
      </c>
      <c r="BR153" s="233" t="n"/>
      <c r="BS153" s="233" t="n"/>
      <c r="BT153" s="233">
        <f>BR153+BS153</f>
        <v/>
      </c>
      <c r="BU153" s="238">
        <f>BT153-BQ153</f>
        <v/>
      </c>
      <c r="BV153" s="235">
        <f>IF(BQ153=0,"",BT153/BQ153)</f>
        <v/>
      </c>
      <c r="BW153" s="26" t="n"/>
      <c r="BX153" s="236">
        <f>BF153+BO153</f>
        <v/>
      </c>
      <c r="BY153" s="236">
        <f>BG153+BP153</f>
        <v/>
      </c>
      <c r="BZ153" s="236">
        <f>BX153+BY153</f>
        <v/>
      </c>
      <c r="CA153" s="236">
        <f>BI153+BR153</f>
        <v/>
      </c>
      <c r="CB153" s="236">
        <f>BJ153+BS153</f>
        <v/>
      </c>
      <c r="CC153" s="236">
        <f>CA153+CB153</f>
        <v/>
      </c>
      <c r="CD153" s="239">
        <f>CC153-BZ153</f>
        <v/>
      </c>
      <c r="CE153" s="237">
        <f>IF(BZ153=0,"",CC153/BZ153)</f>
        <v/>
      </c>
      <c r="CF153" s="33" t="n"/>
      <c r="CG153" s="233" t="n"/>
      <c r="CH153" s="233" t="n"/>
      <c r="CI153" s="233">
        <f>CG153+CH153</f>
        <v/>
      </c>
      <c r="CJ153" s="233" t="n"/>
      <c r="CK153" s="233" t="n"/>
      <c r="CL153" s="233">
        <f>CJ153+CK153</f>
        <v/>
      </c>
      <c r="CM153" s="238">
        <f>CL153-CI153</f>
        <v/>
      </c>
      <c r="CN153" s="235">
        <f>IF(CI153=0,"",CL153/CI153)</f>
        <v/>
      </c>
      <c r="CO153" s="26" t="n"/>
      <c r="CP153" s="236">
        <f>BX153+CG153</f>
        <v/>
      </c>
      <c r="CQ153" s="236">
        <f>BY153+CH153</f>
        <v/>
      </c>
      <c r="CR153" s="236">
        <f>CP153+CQ153</f>
        <v/>
      </c>
      <c r="CS153" s="236">
        <f>CA153+CJ153</f>
        <v/>
      </c>
      <c r="CT153" s="236">
        <f>CB153+CK153</f>
        <v/>
      </c>
      <c r="CU153" s="236">
        <f>CS153+CT153</f>
        <v/>
      </c>
      <c r="CV153" s="239">
        <f>CU153-CR153</f>
        <v/>
      </c>
      <c r="CW153" s="237">
        <f>IF(CR153=0,"",CU153/CR153)</f>
        <v/>
      </c>
      <c r="CX153" s="33" t="n"/>
      <c r="CY153" s="233" t="n"/>
      <c r="CZ153" s="233" t="n"/>
      <c r="DA153" s="233">
        <f>CY153+CZ153</f>
        <v/>
      </c>
      <c r="DB153" s="233" t="n"/>
      <c r="DC153" s="233" t="n"/>
      <c r="DD153" s="233">
        <f>DB153+DC153</f>
        <v/>
      </c>
      <c r="DE153" s="238">
        <f>DD153-DA153</f>
        <v/>
      </c>
      <c r="DF153" s="235">
        <f>IF(DA153=0,"",DD153/DA153)</f>
        <v/>
      </c>
      <c r="DG153" s="26" t="n"/>
      <c r="DH153" s="236">
        <f>CP153+CY153</f>
        <v/>
      </c>
      <c r="DI153" s="236">
        <f>CQ153+CZ153</f>
        <v/>
      </c>
      <c r="DJ153" s="236">
        <f>DH153+DI153</f>
        <v/>
      </c>
      <c r="DK153" s="236">
        <f>CS153+DB153</f>
        <v/>
      </c>
      <c r="DL153" s="236">
        <f>CT153+DC153</f>
        <v/>
      </c>
      <c r="DM153" s="236">
        <f>DK153+DL153</f>
        <v/>
      </c>
      <c r="DN153" s="239">
        <f>DM153-DJ153</f>
        <v/>
      </c>
      <c r="DO153" s="237">
        <f>IF(DJ153=0,"",DM153/DJ153)</f>
        <v/>
      </c>
      <c r="DP153" s="33" t="n"/>
      <c r="DQ153" s="233" t="n"/>
      <c r="DR153" s="233" t="n"/>
      <c r="DS153" s="233">
        <f>DQ153+DR153</f>
        <v/>
      </c>
      <c r="DT153" s="233" t="n"/>
      <c r="DU153" s="233" t="n"/>
      <c r="DV153" s="233">
        <f>DT153+DU153</f>
        <v/>
      </c>
      <c r="DW153" s="238">
        <f>DV153-DS153</f>
        <v/>
      </c>
      <c r="DX153" s="235">
        <f>IF(DS153=0,"",DV153/DS153)</f>
        <v/>
      </c>
      <c r="DY153" s="26" t="n"/>
      <c r="DZ153" s="236">
        <f>DH153+DQ153</f>
        <v/>
      </c>
      <c r="EA153" s="236">
        <f>DI153+DR153</f>
        <v/>
      </c>
      <c r="EB153" s="236">
        <f>DZ153+EA153</f>
        <v/>
      </c>
      <c r="EC153" s="236">
        <f>DK153+DT153</f>
        <v/>
      </c>
      <c r="ED153" s="236">
        <f>DL153+DU153</f>
        <v/>
      </c>
      <c r="EE153" s="236">
        <f>EC153+ED153</f>
        <v/>
      </c>
      <c r="EF153" s="239">
        <f>EE153-EB153</f>
        <v/>
      </c>
      <c r="EG153" s="237">
        <f>IF(EB153=0,"",EE153/EB153)</f>
        <v/>
      </c>
      <c r="EH153" s="33" t="n"/>
      <c r="EI153" s="233" t="n"/>
      <c r="EJ153" s="233" t="n"/>
      <c r="EK153" s="233">
        <f>EI153+EJ153</f>
        <v/>
      </c>
      <c r="EL153" s="233" t="n"/>
      <c r="EM153" s="233" t="n"/>
      <c r="EN153" s="233">
        <f>EL153+EM153</f>
        <v/>
      </c>
      <c r="EO153" s="238">
        <f>EN153-EK153</f>
        <v/>
      </c>
      <c r="EP153" s="235">
        <f>IF(EK153=0,"",EN153/EK153)</f>
        <v/>
      </c>
      <c r="EQ153" s="26" t="n"/>
      <c r="ER153" s="236">
        <f>DZ153+EI153</f>
        <v/>
      </c>
      <c r="ES153" s="236">
        <f>EA153+EJ153</f>
        <v/>
      </c>
      <c r="ET153" s="236">
        <f>ER153+ES153</f>
        <v/>
      </c>
      <c r="EU153" s="236">
        <f>EC153+EL153</f>
        <v/>
      </c>
      <c r="EV153" s="236">
        <f>ED153+EM153</f>
        <v/>
      </c>
      <c r="EW153" s="236">
        <f>EU153+EV153</f>
        <v/>
      </c>
      <c r="EX153" s="239">
        <f>EW153-ET153</f>
        <v/>
      </c>
      <c r="EY153" s="237">
        <f>IF(ET153=0,"",EW153/ET153)</f>
        <v/>
      </c>
      <c r="EZ153" s="33" t="n"/>
      <c r="FA153" s="233" t="n"/>
      <c r="FB153" s="233" t="n"/>
      <c r="FC153" s="233">
        <f>FA153+FB153</f>
        <v/>
      </c>
      <c r="FD153" s="233" t="n"/>
      <c r="FE153" s="233" t="n"/>
      <c r="FF153" s="233">
        <f>FD153+FE153</f>
        <v/>
      </c>
      <c r="FG153" s="238">
        <f>FF153-FC153</f>
        <v/>
      </c>
      <c r="FH153" s="235">
        <f>IF(FC153=0,"",FF153/FC153)</f>
        <v/>
      </c>
      <c r="FI153" s="26" t="n"/>
      <c r="FJ153" s="236">
        <f>ER153+FA153</f>
        <v/>
      </c>
      <c r="FK153" s="236">
        <f>ES153+FB153</f>
        <v/>
      </c>
      <c r="FL153" s="236">
        <f>FJ153+FK153</f>
        <v/>
      </c>
      <c r="FM153" s="236">
        <f>EU153+FD153</f>
        <v/>
      </c>
      <c r="FN153" s="236">
        <f>EV153+FE153</f>
        <v/>
      </c>
      <c r="FO153" s="236">
        <f>FM153+FN153</f>
        <v/>
      </c>
      <c r="FP153" s="239">
        <f>FO153-FL153</f>
        <v/>
      </c>
      <c r="FQ153" s="237">
        <f>IF(FL153=0,"",FO153/FL153)</f>
        <v/>
      </c>
      <c r="FR153" s="33" t="n"/>
      <c r="FS153" s="233" t="n"/>
      <c r="FT153" s="233" t="n"/>
      <c r="FU153" s="233">
        <f>FS153+FT153</f>
        <v/>
      </c>
      <c r="FV153" s="233" t="n"/>
      <c r="FW153" s="233" t="n"/>
      <c r="FX153" s="233">
        <f>FV153+FW153</f>
        <v/>
      </c>
      <c r="FY153" s="238">
        <f>FX153-FU153</f>
        <v/>
      </c>
      <c r="FZ153" s="235">
        <f>IF(FU153=0,"",FX153/FU153)</f>
        <v/>
      </c>
      <c r="GA153" s="26" t="n"/>
      <c r="GB153" s="236">
        <f>FJ153+FS153</f>
        <v/>
      </c>
      <c r="GC153" s="236">
        <f>FK153+FT153</f>
        <v/>
      </c>
      <c r="GD153" s="236">
        <f>GB153+GC153</f>
        <v/>
      </c>
      <c r="GE153" s="236">
        <f>FM153+FV153</f>
        <v/>
      </c>
      <c r="GF153" s="236">
        <f>FN153+FW153</f>
        <v/>
      </c>
      <c r="GG153" s="236">
        <f>GE153+GF153</f>
        <v/>
      </c>
      <c r="GH153" s="239">
        <f>GG153-GD153</f>
        <v/>
      </c>
      <c r="GI153" s="237">
        <f>IF(GD153=0,"",GG153/GD153)</f>
        <v/>
      </c>
      <c r="GJ153" s="33" t="n"/>
      <c r="GK153" s="233" t="n"/>
      <c r="GL153" s="233" t="n"/>
      <c r="GM153" s="233">
        <f>GK153+GL153</f>
        <v/>
      </c>
      <c r="GN153" s="233" t="n"/>
      <c r="GO153" s="233" t="n"/>
      <c r="GP153" s="233">
        <f>GN153+GO153</f>
        <v/>
      </c>
      <c r="GQ153" s="238">
        <f>GP153-GM153</f>
        <v/>
      </c>
      <c r="GR153" s="235">
        <f>IF(GM153=0,"",GP153/GM153)</f>
        <v/>
      </c>
      <c r="GS153" s="26" t="n"/>
      <c r="GT153" s="236">
        <f>GB153+GK153</f>
        <v/>
      </c>
      <c r="GU153" s="236">
        <f>GC153+GL153</f>
        <v/>
      </c>
      <c r="GV153" s="236">
        <f>GT153+GU153</f>
        <v/>
      </c>
      <c r="GW153" s="236">
        <f>GE153+GN153</f>
        <v/>
      </c>
      <c r="GX153" s="236">
        <f>GF153+GO153</f>
        <v/>
      </c>
      <c r="GY153" s="236">
        <f>GW153+GX153</f>
        <v/>
      </c>
      <c r="GZ153" s="239">
        <f>GY153-GV153</f>
        <v/>
      </c>
      <c r="HA153" s="237">
        <f>IF(GV153=0,"",GY153/GV153)</f>
        <v/>
      </c>
      <c r="HB153" s="33" t="n"/>
      <c r="HC153" s="233">
        <f>GT153</f>
        <v/>
      </c>
      <c r="HD153" s="233">
        <f>GU153</f>
        <v/>
      </c>
      <c r="HE153" s="233">
        <f>HC153+HD153</f>
        <v/>
      </c>
    </row>
    <row r="154" outlineLevel="1" ht="15" customHeight="1" s="150">
      <c r="A154" s="26" t="n"/>
      <c r="B154" s="26" t="n"/>
      <c r="C154" s="26" t="n"/>
      <c r="D154" s="233" t="n"/>
      <c r="E154" s="233" t="n"/>
      <c r="F154" s="233">
        <f>D154+E154</f>
        <v/>
      </c>
      <c r="G154" s="233" t="n"/>
      <c r="H154" s="233" t="n"/>
      <c r="I154" s="233">
        <f>G154+H154</f>
        <v/>
      </c>
      <c r="J154" s="238">
        <f>I154-F154</f>
        <v/>
      </c>
      <c r="K154" s="235">
        <f>IF(F154=0,"",I154/F154)</f>
        <v/>
      </c>
      <c r="L154" s="26" t="n"/>
      <c r="M154" s="233" t="n"/>
      <c r="N154" s="233" t="n"/>
      <c r="O154" s="233">
        <f>M154+N154</f>
        <v/>
      </c>
      <c r="P154" s="233" t="n"/>
      <c r="Q154" s="233" t="n"/>
      <c r="R154" s="233">
        <f>P154+Q154</f>
        <v/>
      </c>
      <c r="S154" s="238">
        <f>R154-O154</f>
        <v/>
      </c>
      <c r="T154" s="235">
        <f>IF(O154=0,"",R154/O154)</f>
        <v/>
      </c>
      <c r="U154" s="26" t="n"/>
      <c r="V154" s="236">
        <f>D154+M154</f>
        <v/>
      </c>
      <c r="W154" s="236">
        <f>E154+N154</f>
        <v/>
      </c>
      <c r="X154" s="236">
        <f>V154+W154</f>
        <v/>
      </c>
      <c r="Y154" s="236">
        <f>G154+P154</f>
        <v/>
      </c>
      <c r="Z154" s="236">
        <f>H154+Q154</f>
        <v/>
      </c>
      <c r="AA154" s="236">
        <f>Y154+Z154</f>
        <v/>
      </c>
      <c r="AB154" s="239">
        <f>AA154-X154</f>
        <v/>
      </c>
      <c r="AC154" s="237">
        <f>IF(X154=0,"",AA154/X154)</f>
        <v/>
      </c>
      <c r="AD154" s="33" t="n"/>
      <c r="AE154" s="233" t="n"/>
      <c r="AF154" s="233" t="n"/>
      <c r="AG154" s="233">
        <f>AE154+AF154</f>
        <v/>
      </c>
      <c r="AH154" s="233" t="n"/>
      <c r="AI154" s="233" t="n"/>
      <c r="AJ154" s="233">
        <f>AH154+AI154</f>
        <v/>
      </c>
      <c r="AK154" s="238">
        <f>AJ154-AG154</f>
        <v/>
      </c>
      <c r="AL154" s="235">
        <f>IF(AG154=0,"",AJ154/AG154)</f>
        <v/>
      </c>
      <c r="AM154" s="26" t="n"/>
      <c r="AN154" s="236">
        <f>V154+AE154</f>
        <v/>
      </c>
      <c r="AO154" s="236">
        <f>W154+AF154</f>
        <v/>
      </c>
      <c r="AP154" s="236">
        <f>AN154+AO154</f>
        <v/>
      </c>
      <c r="AQ154" s="236">
        <f>Y154+AH154</f>
        <v/>
      </c>
      <c r="AR154" s="236">
        <f>Z154+AI154</f>
        <v/>
      </c>
      <c r="AS154" s="236">
        <f>AQ154+AR154</f>
        <v/>
      </c>
      <c r="AT154" s="239">
        <f>AS154-AP154</f>
        <v/>
      </c>
      <c r="AU154" s="237">
        <f>IF(AP154=0,"",AS154/AP154)</f>
        <v/>
      </c>
      <c r="AV154" s="33" t="n"/>
      <c r="AW154" s="233" t="n"/>
      <c r="AX154" s="233" t="n"/>
      <c r="AY154" s="233">
        <f>AW154+AX154</f>
        <v/>
      </c>
      <c r="AZ154" s="233" t="n"/>
      <c r="BA154" s="233" t="n"/>
      <c r="BB154" s="233">
        <f>AZ154+BA154</f>
        <v/>
      </c>
      <c r="BC154" s="238">
        <f>BB154-AY154</f>
        <v/>
      </c>
      <c r="BD154" s="235">
        <f>IF(AY154=0,"",BB154/AY154)</f>
        <v/>
      </c>
      <c r="BE154" s="26" t="n"/>
      <c r="BF154" s="236">
        <f>AN154+AW154</f>
        <v/>
      </c>
      <c r="BG154" s="236">
        <f>AO154+AX154</f>
        <v/>
      </c>
      <c r="BH154" s="236">
        <f>BF154+BG154</f>
        <v/>
      </c>
      <c r="BI154" s="236">
        <f>AQ154+AZ154</f>
        <v/>
      </c>
      <c r="BJ154" s="236">
        <f>AR154+BA154</f>
        <v/>
      </c>
      <c r="BK154" s="236">
        <f>BI154+BJ154</f>
        <v/>
      </c>
      <c r="BL154" s="239">
        <f>BK154-BH154</f>
        <v/>
      </c>
      <c r="BM154" s="237">
        <f>IF(BH154=0,"",BK154/BH154)</f>
        <v/>
      </c>
      <c r="BN154" s="33" t="n"/>
      <c r="BO154" s="233" t="n"/>
      <c r="BP154" s="233" t="n"/>
      <c r="BQ154" s="233">
        <f>BO154+BP154</f>
        <v/>
      </c>
      <c r="BR154" s="233" t="n"/>
      <c r="BS154" s="233" t="n"/>
      <c r="BT154" s="233">
        <f>BR154+BS154</f>
        <v/>
      </c>
      <c r="BU154" s="238">
        <f>BT154-BQ154</f>
        <v/>
      </c>
      <c r="BV154" s="235">
        <f>IF(BQ154=0,"",BT154/BQ154)</f>
        <v/>
      </c>
      <c r="BW154" s="26" t="n"/>
      <c r="BX154" s="236">
        <f>BF154+BO154</f>
        <v/>
      </c>
      <c r="BY154" s="236">
        <f>BG154+BP154</f>
        <v/>
      </c>
      <c r="BZ154" s="236">
        <f>BX154+BY154</f>
        <v/>
      </c>
      <c r="CA154" s="236">
        <f>BI154+BR154</f>
        <v/>
      </c>
      <c r="CB154" s="236">
        <f>BJ154+BS154</f>
        <v/>
      </c>
      <c r="CC154" s="236">
        <f>CA154+CB154</f>
        <v/>
      </c>
      <c r="CD154" s="239">
        <f>CC154-BZ154</f>
        <v/>
      </c>
      <c r="CE154" s="237">
        <f>IF(BZ154=0,"",CC154/BZ154)</f>
        <v/>
      </c>
      <c r="CF154" s="33" t="n"/>
      <c r="CG154" s="233" t="n"/>
      <c r="CH154" s="233" t="n"/>
      <c r="CI154" s="233">
        <f>CG154+CH154</f>
        <v/>
      </c>
      <c r="CJ154" s="233" t="n"/>
      <c r="CK154" s="233" t="n"/>
      <c r="CL154" s="233">
        <f>CJ154+CK154</f>
        <v/>
      </c>
      <c r="CM154" s="238">
        <f>CL154-CI154</f>
        <v/>
      </c>
      <c r="CN154" s="235">
        <f>IF(CI154=0,"",CL154/CI154)</f>
        <v/>
      </c>
      <c r="CO154" s="26" t="n"/>
      <c r="CP154" s="236">
        <f>BX154+CG154</f>
        <v/>
      </c>
      <c r="CQ154" s="236">
        <f>BY154+CH154</f>
        <v/>
      </c>
      <c r="CR154" s="236">
        <f>CP154+CQ154</f>
        <v/>
      </c>
      <c r="CS154" s="236">
        <f>CA154+CJ154</f>
        <v/>
      </c>
      <c r="CT154" s="236">
        <f>CB154+CK154</f>
        <v/>
      </c>
      <c r="CU154" s="236">
        <f>CS154+CT154</f>
        <v/>
      </c>
      <c r="CV154" s="239">
        <f>CU154-CR154</f>
        <v/>
      </c>
      <c r="CW154" s="237">
        <f>IF(CR154=0,"",CU154/CR154)</f>
        <v/>
      </c>
      <c r="CX154" s="33" t="n"/>
      <c r="CY154" s="233" t="n"/>
      <c r="CZ154" s="233" t="n"/>
      <c r="DA154" s="233">
        <f>CY154+CZ154</f>
        <v/>
      </c>
      <c r="DB154" s="233" t="n"/>
      <c r="DC154" s="233" t="n"/>
      <c r="DD154" s="233">
        <f>DB154+DC154</f>
        <v/>
      </c>
      <c r="DE154" s="238">
        <f>DD154-DA154</f>
        <v/>
      </c>
      <c r="DF154" s="235">
        <f>IF(DA154=0,"",DD154/DA154)</f>
        <v/>
      </c>
      <c r="DG154" s="26" t="n"/>
      <c r="DH154" s="236">
        <f>CP154+CY154</f>
        <v/>
      </c>
      <c r="DI154" s="236">
        <f>CQ154+CZ154</f>
        <v/>
      </c>
      <c r="DJ154" s="236">
        <f>DH154+DI154</f>
        <v/>
      </c>
      <c r="DK154" s="236">
        <f>CS154+DB154</f>
        <v/>
      </c>
      <c r="DL154" s="236">
        <f>CT154+DC154</f>
        <v/>
      </c>
      <c r="DM154" s="236">
        <f>DK154+DL154</f>
        <v/>
      </c>
      <c r="DN154" s="239">
        <f>DM154-DJ154</f>
        <v/>
      </c>
      <c r="DO154" s="237">
        <f>IF(DJ154=0,"",DM154/DJ154)</f>
        <v/>
      </c>
      <c r="DP154" s="33" t="n"/>
      <c r="DQ154" s="233" t="n"/>
      <c r="DR154" s="233" t="n"/>
      <c r="DS154" s="233">
        <f>DQ154+DR154</f>
        <v/>
      </c>
      <c r="DT154" s="233" t="n"/>
      <c r="DU154" s="233" t="n"/>
      <c r="DV154" s="233">
        <f>DT154+DU154</f>
        <v/>
      </c>
      <c r="DW154" s="238">
        <f>DV154-DS154</f>
        <v/>
      </c>
      <c r="DX154" s="235">
        <f>IF(DS154=0,"",DV154/DS154)</f>
        <v/>
      </c>
      <c r="DY154" s="26" t="n"/>
      <c r="DZ154" s="236">
        <f>DH154+DQ154</f>
        <v/>
      </c>
      <c r="EA154" s="236">
        <f>DI154+DR154</f>
        <v/>
      </c>
      <c r="EB154" s="236">
        <f>DZ154+EA154</f>
        <v/>
      </c>
      <c r="EC154" s="236">
        <f>DK154+DT154</f>
        <v/>
      </c>
      <c r="ED154" s="236">
        <f>DL154+DU154</f>
        <v/>
      </c>
      <c r="EE154" s="236">
        <f>EC154+ED154</f>
        <v/>
      </c>
      <c r="EF154" s="239">
        <f>EE154-EB154</f>
        <v/>
      </c>
      <c r="EG154" s="237">
        <f>IF(EB154=0,"",EE154/EB154)</f>
        <v/>
      </c>
      <c r="EH154" s="33" t="n"/>
      <c r="EI154" s="233" t="n"/>
      <c r="EJ154" s="233" t="n"/>
      <c r="EK154" s="233">
        <f>EI154+EJ154</f>
        <v/>
      </c>
      <c r="EL154" s="233" t="n"/>
      <c r="EM154" s="233" t="n"/>
      <c r="EN154" s="233">
        <f>EL154+EM154</f>
        <v/>
      </c>
      <c r="EO154" s="238">
        <f>EN154-EK154</f>
        <v/>
      </c>
      <c r="EP154" s="235">
        <f>IF(EK154=0,"",EN154/EK154)</f>
        <v/>
      </c>
      <c r="EQ154" s="26" t="n"/>
      <c r="ER154" s="236">
        <f>DZ154+EI154</f>
        <v/>
      </c>
      <c r="ES154" s="236">
        <f>EA154+EJ154</f>
        <v/>
      </c>
      <c r="ET154" s="236">
        <f>ER154+ES154</f>
        <v/>
      </c>
      <c r="EU154" s="236">
        <f>EC154+EL154</f>
        <v/>
      </c>
      <c r="EV154" s="236">
        <f>ED154+EM154</f>
        <v/>
      </c>
      <c r="EW154" s="236">
        <f>EU154+EV154</f>
        <v/>
      </c>
      <c r="EX154" s="239">
        <f>EW154-ET154</f>
        <v/>
      </c>
      <c r="EY154" s="237">
        <f>IF(ET154=0,"",EW154/ET154)</f>
        <v/>
      </c>
      <c r="EZ154" s="33" t="n"/>
      <c r="FA154" s="233" t="n"/>
      <c r="FB154" s="233" t="n"/>
      <c r="FC154" s="233">
        <f>FA154+FB154</f>
        <v/>
      </c>
      <c r="FD154" s="233" t="n"/>
      <c r="FE154" s="233" t="n"/>
      <c r="FF154" s="233">
        <f>FD154+FE154</f>
        <v/>
      </c>
      <c r="FG154" s="238">
        <f>FF154-FC154</f>
        <v/>
      </c>
      <c r="FH154" s="235">
        <f>IF(FC154=0,"",FF154/FC154)</f>
        <v/>
      </c>
      <c r="FI154" s="26" t="n"/>
      <c r="FJ154" s="236">
        <f>ER154+FA154</f>
        <v/>
      </c>
      <c r="FK154" s="236">
        <f>ES154+FB154</f>
        <v/>
      </c>
      <c r="FL154" s="236">
        <f>FJ154+FK154</f>
        <v/>
      </c>
      <c r="FM154" s="236">
        <f>EU154+FD154</f>
        <v/>
      </c>
      <c r="FN154" s="236">
        <f>EV154+FE154</f>
        <v/>
      </c>
      <c r="FO154" s="236">
        <f>FM154+FN154</f>
        <v/>
      </c>
      <c r="FP154" s="239">
        <f>FO154-FL154</f>
        <v/>
      </c>
      <c r="FQ154" s="237">
        <f>IF(FL154=0,"",FO154/FL154)</f>
        <v/>
      </c>
      <c r="FR154" s="33" t="n"/>
      <c r="FS154" s="233" t="n"/>
      <c r="FT154" s="233" t="n"/>
      <c r="FU154" s="233">
        <f>FS154+FT154</f>
        <v/>
      </c>
      <c r="FV154" s="233" t="n"/>
      <c r="FW154" s="233" t="n"/>
      <c r="FX154" s="233">
        <f>FV154+FW154</f>
        <v/>
      </c>
      <c r="FY154" s="238">
        <f>FX154-FU154</f>
        <v/>
      </c>
      <c r="FZ154" s="235">
        <f>IF(FU154=0,"",FX154/FU154)</f>
        <v/>
      </c>
      <c r="GA154" s="26" t="n"/>
      <c r="GB154" s="236">
        <f>FJ154+FS154</f>
        <v/>
      </c>
      <c r="GC154" s="236">
        <f>FK154+FT154</f>
        <v/>
      </c>
      <c r="GD154" s="236">
        <f>GB154+GC154</f>
        <v/>
      </c>
      <c r="GE154" s="236">
        <f>FM154+FV154</f>
        <v/>
      </c>
      <c r="GF154" s="236">
        <f>FN154+FW154</f>
        <v/>
      </c>
      <c r="GG154" s="236">
        <f>GE154+GF154</f>
        <v/>
      </c>
      <c r="GH154" s="239">
        <f>GG154-GD154</f>
        <v/>
      </c>
      <c r="GI154" s="237">
        <f>IF(GD154=0,"",GG154/GD154)</f>
        <v/>
      </c>
      <c r="GJ154" s="33" t="n"/>
      <c r="GK154" s="233" t="n"/>
      <c r="GL154" s="233" t="n"/>
      <c r="GM154" s="233">
        <f>GK154+GL154</f>
        <v/>
      </c>
      <c r="GN154" s="233" t="n"/>
      <c r="GO154" s="233" t="n"/>
      <c r="GP154" s="233">
        <f>GN154+GO154</f>
        <v/>
      </c>
      <c r="GQ154" s="238">
        <f>GP154-GM154</f>
        <v/>
      </c>
      <c r="GR154" s="235">
        <f>IF(GM154=0,"",GP154/GM154)</f>
        <v/>
      </c>
      <c r="GS154" s="26" t="n"/>
      <c r="GT154" s="236">
        <f>GB154+GK154</f>
        <v/>
      </c>
      <c r="GU154" s="236">
        <f>GC154+GL154</f>
        <v/>
      </c>
      <c r="GV154" s="236">
        <f>GT154+GU154</f>
        <v/>
      </c>
      <c r="GW154" s="236">
        <f>GE154+GN154</f>
        <v/>
      </c>
      <c r="GX154" s="236">
        <f>GF154+GO154</f>
        <v/>
      </c>
      <c r="GY154" s="236">
        <f>GW154+GX154</f>
        <v/>
      </c>
      <c r="GZ154" s="239">
        <f>GY154-GV154</f>
        <v/>
      </c>
      <c r="HA154" s="237">
        <f>IF(GV154=0,"",GY154/GV154)</f>
        <v/>
      </c>
      <c r="HB154" s="33" t="n"/>
      <c r="HC154" s="233">
        <f>GT154</f>
        <v/>
      </c>
      <c r="HD154" s="233">
        <f>GU154</f>
        <v/>
      </c>
      <c r="HE154" s="233">
        <f>HC154+HD154</f>
        <v/>
      </c>
    </row>
    <row r="155" outlineLevel="1" ht="15" customHeight="1" s="150">
      <c r="A155" s="26" t="n"/>
      <c r="B155" s="26" t="n"/>
      <c r="C155" s="26" t="n"/>
      <c r="D155" s="233" t="n"/>
      <c r="E155" s="233" t="n"/>
      <c r="F155" s="233">
        <f>D155+E155</f>
        <v/>
      </c>
      <c r="G155" s="233" t="n"/>
      <c r="H155" s="233" t="n"/>
      <c r="I155" s="233">
        <f>G155+H155</f>
        <v/>
      </c>
      <c r="J155" s="238">
        <f>I155-F155</f>
        <v/>
      </c>
      <c r="K155" s="235">
        <f>IF(F155=0,"",I155/F155)</f>
        <v/>
      </c>
      <c r="L155" s="26" t="n"/>
      <c r="M155" s="233" t="n"/>
      <c r="N155" s="233" t="n"/>
      <c r="O155" s="233">
        <f>M155+N155</f>
        <v/>
      </c>
      <c r="P155" s="233" t="n"/>
      <c r="Q155" s="233" t="n"/>
      <c r="R155" s="233">
        <f>P155+Q155</f>
        <v/>
      </c>
      <c r="S155" s="238">
        <f>R155-O155</f>
        <v/>
      </c>
      <c r="T155" s="235">
        <f>IF(O155=0,"",R155/O155)</f>
        <v/>
      </c>
      <c r="U155" s="26" t="n"/>
      <c r="V155" s="236">
        <f>D155+M155</f>
        <v/>
      </c>
      <c r="W155" s="236">
        <f>E155+N155</f>
        <v/>
      </c>
      <c r="X155" s="236">
        <f>V155+W155</f>
        <v/>
      </c>
      <c r="Y155" s="236">
        <f>G155+P155</f>
        <v/>
      </c>
      <c r="Z155" s="236">
        <f>H155+Q155</f>
        <v/>
      </c>
      <c r="AA155" s="236">
        <f>Y155+Z155</f>
        <v/>
      </c>
      <c r="AB155" s="239">
        <f>AA155-X155</f>
        <v/>
      </c>
      <c r="AC155" s="237">
        <f>IF(X155=0,"",AA155/X155)</f>
        <v/>
      </c>
      <c r="AD155" s="33" t="n"/>
      <c r="AE155" s="233" t="n"/>
      <c r="AF155" s="233" t="n"/>
      <c r="AG155" s="233">
        <f>AE155+AF155</f>
        <v/>
      </c>
      <c r="AH155" s="233" t="n"/>
      <c r="AI155" s="233" t="n"/>
      <c r="AJ155" s="233">
        <f>AH155+AI155</f>
        <v/>
      </c>
      <c r="AK155" s="238">
        <f>AJ155-AG155</f>
        <v/>
      </c>
      <c r="AL155" s="235">
        <f>IF(AG155=0,"",AJ155/AG155)</f>
        <v/>
      </c>
      <c r="AM155" s="26" t="n"/>
      <c r="AN155" s="236">
        <f>V155+AE155</f>
        <v/>
      </c>
      <c r="AO155" s="236">
        <f>W155+AF155</f>
        <v/>
      </c>
      <c r="AP155" s="236">
        <f>AN155+AO155</f>
        <v/>
      </c>
      <c r="AQ155" s="236">
        <f>Y155+AH155</f>
        <v/>
      </c>
      <c r="AR155" s="236">
        <f>Z155+AI155</f>
        <v/>
      </c>
      <c r="AS155" s="236">
        <f>AQ155+AR155</f>
        <v/>
      </c>
      <c r="AT155" s="239">
        <f>AS155-AP155</f>
        <v/>
      </c>
      <c r="AU155" s="237">
        <f>IF(AP155=0,"",AS155/AP155)</f>
        <v/>
      </c>
      <c r="AV155" s="33" t="n"/>
      <c r="AW155" s="233" t="n"/>
      <c r="AX155" s="233" t="n"/>
      <c r="AY155" s="233">
        <f>AW155+AX155</f>
        <v/>
      </c>
      <c r="AZ155" s="233" t="n"/>
      <c r="BA155" s="233" t="n"/>
      <c r="BB155" s="233">
        <f>AZ155+BA155</f>
        <v/>
      </c>
      <c r="BC155" s="238">
        <f>BB155-AY155</f>
        <v/>
      </c>
      <c r="BD155" s="235">
        <f>IF(AY155=0,"",BB155/AY155)</f>
        <v/>
      </c>
      <c r="BE155" s="26" t="n"/>
      <c r="BF155" s="236">
        <f>AN155+AW155</f>
        <v/>
      </c>
      <c r="BG155" s="236">
        <f>AO155+AX155</f>
        <v/>
      </c>
      <c r="BH155" s="236">
        <f>BF155+BG155</f>
        <v/>
      </c>
      <c r="BI155" s="236">
        <f>AQ155+AZ155</f>
        <v/>
      </c>
      <c r="BJ155" s="236">
        <f>AR155+BA155</f>
        <v/>
      </c>
      <c r="BK155" s="236">
        <f>BI155+BJ155</f>
        <v/>
      </c>
      <c r="BL155" s="239">
        <f>BK155-BH155</f>
        <v/>
      </c>
      <c r="BM155" s="237">
        <f>IF(BH155=0,"",BK155/BH155)</f>
        <v/>
      </c>
      <c r="BN155" s="33" t="n"/>
      <c r="BO155" s="233" t="n"/>
      <c r="BP155" s="233" t="n"/>
      <c r="BQ155" s="233">
        <f>BO155+BP155</f>
        <v/>
      </c>
      <c r="BR155" s="233" t="n"/>
      <c r="BS155" s="233" t="n"/>
      <c r="BT155" s="233">
        <f>BR155+BS155</f>
        <v/>
      </c>
      <c r="BU155" s="238">
        <f>BT155-BQ155</f>
        <v/>
      </c>
      <c r="BV155" s="235">
        <f>IF(BQ155=0,"",BT155/BQ155)</f>
        <v/>
      </c>
      <c r="BW155" s="26" t="n"/>
      <c r="BX155" s="236">
        <f>BF155+BO155</f>
        <v/>
      </c>
      <c r="BY155" s="236">
        <f>BG155+BP155</f>
        <v/>
      </c>
      <c r="BZ155" s="236">
        <f>BX155+BY155</f>
        <v/>
      </c>
      <c r="CA155" s="236">
        <f>BI155+BR155</f>
        <v/>
      </c>
      <c r="CB155" s="236">
        <f>BJ155+BS155</f>
        <v/>
      </c>
      <c r="CC155" s="236">
        <f>CA155+CB155</f>
        <v/>
      </c>
      <c r="CD155" s="239">
        <f>CC155-BZ155</f>
        <v/>
      </c>
      <c r="CE155" s="237">
        <f>IF(BZ155=0,"",CC155/BZ155)</f>
        <v/>
      </c>
      <c r="CF155" s="33" t="n"/>
      <c r="CG155" s="233" t="n"/>
      <c r="CH155" s="233" t="n"/>
      <c r="CI155" s="233">
        <f>CG155+CH155</f>
        <v/>
      </c>
      <c r="CJ155" s="233" t="n"/>
      <c r="CK155" s="233" t="n"/>
      <c r="CL155" s="233">
        <f>CJ155+CK155</f>
        <v/>
      </c>
      <c r="CM155" s="238">
        <f>CL155-CI155</f>
        <v/>
      </c>
      <c r="CN155" s="235">
        <f>IF(CI155=0,"",CL155/CI155)</f>
        <v/>
      </c>
      <c r="CO155" s="26" t="n"/>
      <c r="CP155" s="236">
        <f>BX155+CG155</f>
        <v/>
      </c>
      <c r="CQ155" s="236">
        <f>BY155+CH155</f>
        <v/>
      </c>
      <c r="CR155" s="236">
        <f>CP155+CQ155</f>
        <v/>
      </c>
      <c r="CS155" s="236">
        <f>CA155+CJ155</f>
        <v/>
      </c>
      <c r="CT155" s="236">
        <f>CB155+CK155</f>
        <v/>
      </c>
      <c r="CU155" s="236">
        <f>CS155+CT155</f>
        <v/>
      </c>
      <c r="CV155" s="239">
        <f>CU155-CR155</f>
        <v/>
      </c>
      <c r="CW155" s="237">
        <f>IF(CR155=0,"",CU155/CR155)</f>
        <v/>
      </c>
      <c r="CX155" s="33" t="n"/>
      <c r="CY155" s="233" t="n"/>
      <c r="CZ155" s="233" t="n"/>
      <c r="DA155" s="233">
        <f>CY155+CZ155</f>
        <v/>
      </c>
      <c r="DB155" s="233" t="n"/>
      <c r="DC155" s="233" t="n"/>
      <c r="DD155" s="233">
        <f>DB155+DC155</f>
        <v/>
      </c>
      <c r="DE155" s="238">
        <f>DD155-DA155</f>
        <v/>
      </c>
      <c r="DF155" s="235">
        <f>IF(DA155=0,"",DD155/DA155)</f>
        <v/>
      </c>
      <c r="DG155" s="26" t="n"/>
      <c r="DH155" s="236">
        <f>CP155+CY155</f>
        <v/>
      </c>
      <c r="DI155" s="236">
        <f>CQ155+CZ155</f>
        <v/>
      </c>
      <c r="DJ155" s="236">
        <f>DH155+DI155</f>
        <v/>
      </c>
      <c r="DK155" s="236">
        <f>CS155+DB155</f>
        <v/>
      </c>
      <c r="DL155" s="236">
        <f>CT155+DC155</f>
        <v/>
      </c>
      <c r="DM155" s="236">
        <f>DK155+DL155</f>
        <v/>
      </c>
      <c r="DN155" s="239">
        <f>DM155-DJ155</f>
        <v/>
      </c>
      <c r="DO155" s="237">
        <f>IF(DJ155=0,"",DM155/DJ155)</f>
        <v/>
      </c>
      <c r="DP155" s="33" t="n"/>
      <c r="DQ155" s="233" t="n"/>
      <c r="DR155" s="233" t="n"/>
      <c r="DS155" s="233">
        <f>DQ155+DR155</f>
        <v/>
      </c>
      <c r="DT155" s="233" t="n"/>
      <c r="DU155" s="233" t="n"/>
      <c r="DV155" s="233">
        <f>DT155+DU155</f>
        <v/>
      </c>
      <c r="DW155" s="238">
        <f>DV155-DS155</f>
        <v/>
      </c>
      <c r="DX155" s="235">
        <f>IF(DS155=0,"",DV155/DS155)</f>
        <v/>
      </c>
      <c r="DY155" s="26" t="n"/>
      <c r="DZ155" s="236">
        <f>DH155+DQ155</f>
        <v/>
      </c>
      <c r="EA155" s="236">
        <f>DI155+DR155</f>
        <v/>
      </c>
      <c r="EB155" s="236">
        <f>DZ155+EA155</f>
        <v/>
      </c>
      <c r="EC155" s="236">
        <f>DK155+DT155</f>
        <v/>
      </c>
      <c r="ED155" s="236">
        <f>DL155+DU155</f>
        <v/>
      </c>
      <c r="EE155" s="236">
        <f>EC155+ED155</f>
        <v/>
      </c>
      <c r="EF155" s="239">
        <f>EE155-EB155</f>
        <v/>
      </c>
      <c r="EG155" s="237">
        <f>IF(EB155=0,"",EE155/EB155)</f>
        <v/>
      </c>
      <c r="EH155" s="33" t="n"/>
      <c r="EI155" s="233" t="n"/>
      <c r="EJ155" s="233" t="n"/>
      <c r="EK155" s="233">
        <f>EI155+EJ155</f>
        <v/>
      </c>
      <c r="EL155" s="233" t="n"/>
      <c r="EM155" s="233" t="n"/>
      <c r="EN155" s="233">
        <f>EL155+EM155</f>
        <v/>
      </c>
      <c r="EO155" s="238">
        <f>EN155-EK155</f>
        <v/>
      </c>
      <c r="EP155" s="235">
        <f>IF(EK155=0,"",EN155/EK155)</f>
        <v/>
      </c>
      <c r="EQ155" s="26" t="n"/>
      <c r="ER155" s="236">
        <f>DZ155+EI155</f>
        <v/>
      </c>
      <c r="ES155" s="236">
        <f>EA155+EJ155</f>
        <v/>
      </c>
      <c r="ET155" s="236">
        <f>ER155+ES155</f>
        <v/>
      </c>
      <c r="EU155" s="236">
        <f>EC155+EL155</f>
        <v/>
      </c>
      <c r="EV155" s="236">
        <f>ED155+EM155</f>
        <v/>
      </c>
      <c r="EW155" s="236">
        <f>EU155+EV155</f>
        <v/>
      </c>
      <c r="EX155" s="239">
        <f>EW155-ET155</f>
        <v/>
      </c>
      <c r="EY155" s="237">
        <f>IF(ET155=0,"",EW155/ET155)</f>
        <v/>
      </c>
      <c r="EZ155" s="33" t="n"/>
      <c r="FA155" s="233" t="n"/>
      <c r="FB155" s="233" t="n"/>
      <c r="FC155" s="233">
        <f>FA155+FB155</f>
        <v/>
      </c>
      <c r="FD155" s="233" t="n"/>
      <c r="FE155" s="233" t="n"/>
      <c r="FF155" s="233">
        <f>FD155+FE155</f>
        <v/>
      </c>
      <c r="FG155" s="238">
        <f>FF155-FC155</f>
        <v/>
      </c>
      <c r="FH155" s="235">
        <f>IF(FC155=0,"",FF155/FC155)</f>
        <v/>
      </c>
      <c r="FI155" s="26" t="n"/>
      <c r="FJ155" s="236">
        <f>ER155+FA155</f>
        <v/>
      </c>
      <c r="FK155" s="236">
        <f>ES155+FB155</f>
        <v/>
      </c>
      <c r="FL155" s="236">
        <f>FJ155+FK155</f>
        <v/>
      </c>
      <c r="FM155" s="236">
        <f>EU155+FD155</f>
        <v/>
      </c>
      <c r="FN155" s="236">
        <f>EV155+FE155</f>
        <v/>
      </c>
      <c r="FO155" s="236">
        <f>FM155+FN155</f>
        <v/>
      </c>
      <c r="FP155" s="239">
        <f>FO155-FL155</f>
        <v/>
      </c>
      <c r="FQ155" s="237">
        <f>IF(FL155=0,"",FO155/FL155)</f>
        <v/>
      </c>
      <c r="FR155" s="33" t="n"/>
      <c r="FS155" s="233" t="n"/>
      <c r="FT155" s="233" t="n"/>
      <c r="FU155" s="233">
        <f>FS155+FT155</f>
        <v/>
      </c>
      <c r="FV155" s="233" t="n"/>
      <c r="FW155" s="233" t="n"/>
      <c r="FX155" s="233">
        <f>FV155+FW155</f>
        <v/>
      </c>
      <c r="FY155" s="238">
        <f>FX155-FU155</f>
        <v/>
      </c>
      <c r="FZ155" s="235">
        <f>IF(FU155=0,"",FX155/FU155)</f>
        <v/>
      </c>
      <c r="GA155" s="26" t="n"/>
      <c r="GB155" s="236">
        <f>FJ155+FS155</f>
        <v/>
      </c>
      <c r="GC155" s="236">
        <f>FK155+FT155</f>
        <v/>
      </c>
      <c r="GD155" s="236">
        <f>GB155+GC155</f>
        <v/>
      </c>
      <c r="GE155" s="236">
        <f>FM155+FV155</f>
        <v/>
      </c>
      <c r="GF155" s="236">
        <f>FN155+FW155</f>
        <v/>
      </c>
      <c r="GG155" s="236">
        <f>GE155+GF155</f>
        <v/>
      </c>
      <c r="GH155" s="239">
        <f>GG155-GD155</f>
        <v/>
      </c>
      <c r="GI155" s="237">
        <f>IF(GD155=0,"",GG155/GD155)</f>
        <v/>
      </c>
      <c r="GJ155" s="33" t="n"/>
      <c r="GK155" s="233" t="n"/>
      <c r="GL155" s="233" t="n"/>
      <c r="GM155" s="233">
        <f>GK155+GL155</f>
        <v/>
      </c>
      <c r="GN155" s="233" t="n"/>
      <c r="GO155" s="233" t="n"/>
      <c r="GP155" s="233">
        <f>GN155+GO155</f>
        <v/>
      </c>
      <c r="GQ155" s="238">
        <f>GP155-GM155</f>
        <v/>
      </c>
      <c r="GR155" s="235">
        <f>IF(GM155=0,"",GP155/GM155)</f>
        <v/>
      </c>
      <c r="GS155" s="26" t="n"/>
      <c r="GT155" s="236">
        <f>GB155+GK155</f>
        <v/>
      </c>
      <c r="GU155" s="236">
        <f>GC155+GL155</f>
        <v/>
      </c>
      <c r="GV155" s="236">
        <f>GT155+GU155</f>
        <v/>
      </c>
      <c r="GW155" s="236">
        <f>GE155+GN155</f>
        <v/>
      </c>
      <c r="GX155" s="236">
        <f>GF155+GO155</f>
        <v/>
      </c>
      <c r="GY155" s="236">
        <f>GW155+GX155</f>
        <v/>
      </c>
      <c r="GZ155" s="239">
        <f>GY155-GV155</f>
        <v/>
      </c>
      <c r="HA155" s="237">
        <f>IF(GV155=0,"",GY155/GV155)</f>
        <v/>
      </c>
      <c r="HB155" s="33" t="n"/>
      <c r="HC155" s="233">
        <f>GT155</f>
        <v/>
      </c>
      <c r="HD155" s="233">
        <f>GU155</f>
        <v/>
      </c>
      <c r="HE155" s="233">
        <f>HC155+HD155</f>
        <v/>
      </c>
    </row>
    <row r="156" outlineLevel="1" ht="15" customHeight="1" s="150">
      <c r="A156" s="26" t="n"/>
      <c r="B156" s="26" t="n"/>
      <c r="C156" s="26" t="n"/>
      <c r="D156" s="233" t="n"/>
      <c r="E156" s="233" t="n"/>
      <c r="F156" s="233">
        <f>D156+E156</f>
        <v/>
      </c>
      <c r="G156" s="233" t="n"/>
      <c r="H156" s="233" t="n"/>
      <c r="I156" s="233">
        <f>G156+H156</f>
        <v/>
      </c>
      <c r="J156" s="238">
        <f>I156-F156</f>
        <v/>
      </c>
      <c r="K156" s="235">
        <f>IF(F156=0,"",I156/F156)</f>
        <v/>
      </c>
      <c r="L156" s="26" t="n"/>
      <c r="M156" s="233" t="n"/>
      <c r="N156" s="233" t="n"/>
      <c r="O156" s="233">
        <f>M156+N156</f>
        <v/>
      </c>
      <c r="P156" s="233" t="n"/>
      <c r="Q156" s="233" t="n"/>
      <c r="R156" s="233">
        <f>P156+Q156</f>
        <v/>
      </c>
      <c r="S156" s="238">
        <f>R156-O156</f>
        <v/>
      </c>
      <c r="T156" s="235">
        <f>IF(O156=0,"",R156/O156)</f>
        <v/>
      </c>
      <c r="U156" s="26" t="n"/>
      <c r="V156" s="236">
        <f>D156+M156</f>
        <v/>
      </c>
      <c r="W156" s="236">
        <f>E156+N156</f>
        <v/>
      </c>
      <c r="X156" s="236">
        <f>V156+W156</f>
        <v/>
      </c>
      <c r="Y156" s="236">
        <f>G156+P156</f>
        <v/>
      </c>
      <c r="Z156" s="236">
        <f>H156+Q156</f>
        <v/>
      </c>
      <c r="AA156" s="236">
        <f>Y156+Z156</f>
        <v/>
      </c>
      <c r="AB156" s="239">
        <f>AA156-X156</f>
        <v/>
      </c>
      <c r="AC156" s="237">
        <f>IF(X156=0,"",AA156/X156)</f>
        <v/>
      </c>
      <c r="AD156" s="33" t="n"/>
      <c r="AE156" s="233" t="n"/>
      <c r="AF156" s="233" t="n"/>
      <c r="AG156" s="233">
        <f>AE156+AF156</f>
        <v/>
      </c>
      <c r="AH156" s="233" t="n"/>
      <c r="AI156" s="233" t="n"/>
      <c r="AJ156" s="233">
        <f>AH156+AI156</f>
        <v/>
      </c>
      <c r="AK156" s="238">
        <f>AJ156-AG156</f>
        <v/>
      </c>
      <c r="AL156" s="235">
        <f>IF(AG156=0,"",AJ156/AG156)</f>
        <v/>
      </c>
      <c r="AM156" s="26" t="n"/>
      <c r="AN156" s="236">
        <f>V156+AE156</f>
        <v/>
      </c>
      <c r="AO156" s="236">
        <f>W156+AF156</f>
        <v/>
      </c>
      <c r="AP156" s="236">
        <f>AN156+AO156</f>
        <v/>
      </c>
      <c r="AQ156" s="236">
        <f>Y156+AH156</f>
        <v/>
      </c>
      <c r="AR156" s="236">
        <f>Z156+AI156</f>
        <v/>
      </c>
      <c r="AS156" s="236">
        <f>AQ156+AR156</f>
        <v/>
      </c>
      <c r="AT156" s="239">
        <f>AS156-AP156</f>
        <v/>
      </c>
      <c r="AU156" s="237">
        <f>IF(AP156=0,"",AS156/AP156)</f>
        <v/>
      </c>
      <c r="AV156" s="33" t="n"/>
      <c r="AW156" s="233" t="n"/>
      <c r="AX156" s="233" t="n"/>
      <c r="AY156" s="233">
        <f>AW156+AX156</f>
        <v/>
      </c>
      <c r="AZ156" s="233" t="n"/>
      <c r="BA156" s="233" t="n"/>
      <c r="BB156" s="233">
        <f>AZ156+BA156</f>
        <v/>
      </c>
      <c r="BC156" s="238">
        <f>BB156-AY156</f>
        <v/>
      </c>
      <c r="BD156" s="235">
        <f>IF(AY156=0,"",BB156/AY156)</f>
        <v/>
      </c>
      <c r="BE156" s="26" t="n"/>
      <c r="BF156" s="236">
        <f>AN156+AW156</f>
        <v/>
      </c>
      <c r="BG156" s="236">
        <f>AO156+AX156</f>
        <v/>
      </c>
      <c r="BH156" s="236">
        <f>BF156+BG156</f>
        <v/>
      </c>
      <c r="BI156" s="236">
        <f>AQ156+AZ156</f>
        <v/>
      </c>
      <c r="BJ156" s="236">
        <f>AR156+BA156</f>
        <v/>
      </c>
      <c r="BK156" s="236">
        <f>BI156+BJ156</f>
        <v/>
      </c>
      <c r="BL156" s="239">
        <f>BK156-BH156</f>
        <v/>
      </c>
      <c r="BM156" s="237">
        <f>IF(BH156=0,"",BK156/BH156)</f>
        <v/>
      </c>
      <c r="BN156" s="33" t="n"/>
      <c r="BO156" s="233" t="n"/>
      <c r="BP156" s="233" t="n"/>
      <c r="BQ156" s="233">
        <f>BO156+BP156</f>
        <v/>
      </c>
      <c r="BR156" s="233" t="n"/>
      <c r="BS156" s="233" t="n"/>
      <c r="BT156" s="233">
        <f>BR156+BS156</f>
        <v/>
      </c>
      <c r="BU156" s="238">
        <f>BT156-BQ156</f>
        <v/>
      </c>
      <c r="BV156" s="235">
        <f>IF(BQ156=0,"",BT156/BQ156)</f>
        <v/>
      </c>
      <c r="BW156" s="26" t="n"/>
      <c r="BX156" s="236">
        <f>BF156+BO156</f>
        <v/>
      </c>
      <c r="BY156" s="236">
        <f>BG156+BP156</f>
        <v/>
      </c>
      <c r="BZ156" s="236">
        <f>BX156+BY156</f>
        <v/>
      </c>
      <c r="CA156" s="236">
        <f>BI156+BR156</f>
        <v/>
      </c>
      <c r="CB156" s="236">
        <f>BJ156+BS156</f>
        <v/>
      </c>
      <c r="CC156" s="236">
        <f>CA156+CB156</f>
        <v/>
      </c>
      <c r="CD156" s="239">
        <f>CC156-BZ156</f>
        <v/>
      </c>
      <c r="CE156" s="237">
        <f>IF(BZ156=0,"",CC156/BZ156)</f>
        <v/>
      </c>
      <c r="CF156" s="33" t="n"/>
      <c r="CG156" s="233" t="n"/>
      <c r="CH156" s="233" t="n"/>
      <c r="CI156" s="233">
        <f>CG156+CH156</f>
        <v/>
      </c>
      <c r="CJ156" s="233" t="n"/>
      <c r="CK156" s="233" t="n"/>
      <c r="CL156" s="233">
        <f>CJ156+CK156</f>
        <v/>
      </c>
      <c r="CM156" s="238">
        <f>CL156-CI156</f>
        <v/>
      </c>
      <c r="CN156" s="235">
        <f>IF(CI156=0,"",CL156/CI156)</f>
        <v/>
      </c>
      <c r="CO156" s="26" t="n"/>
      <c r="CP156" s="236">
        <f>BX156+CG156</f>
        <v/>
      </c>
      <c r="CQ156" s="236">
        <f>BY156+CH156</f>
        <v/>
      </c>
      <c r="CR156" s="236">
        <f>CP156+CQ156</f>
        <v/>
      </c>
      <c r="CS156" s="236">
        <f>CA156+CJ156</f>
        <v/>
      </c>
      <c r="CT156" s="236">
        <f>CB156+CK156</f>
        <v/>
      </c>
      <c r="CU156" s="236">
        <f>CS156+CT156</f>
        <v/>
      </c>
      <c r="CV156" s="239">
        <f>CU156-CR156</f>
        <v/>
      </c>
      <c r="CW156" s="237">
        <f>IF(CR156=0,"",CU156/CR156)</f>
        <v/>
      </c>
      <c r="CX156" s="33" t="n"/>
      <c r="CY156" s="233" t="n"/>
      <c r="CZ156" s="233" t="n"/>
      <c r="DA156" s="233">
        <f>CY156+CZ156</f>
        <v/>
      </c>
      <c r="DB156" s="233" t="n"/>
      <c r="DC156" s="233" t="n"/>
      <c r="DD156" s="233">
        <f>DB156+DC156</f>
        <v/>
      </c>
      <c r="DE156" s="238">
        <f>DD156-DA156</f>
        <v/>
      </c>
      <c r="DF156" s="235">
        <f>IF(DA156=0,"",DD156/DA156)</f>
        <v/>
      </c>
      <c r="DG156" s="26" t="n"/>
      <c r="DH156" s="236">
        <f>CP156+CY156</f>
        <v/>
      </c>
      <c r="DI156" s="236">
        <f>CQ156+CZ156</f>
        <v/>
      </c>
      <c r="DJ156" s="236">
        <f>DH156+DI156</f>
        <v/>
      </c>
      <c r="DK156" s="236">
        <f>CS156+DB156</f>
        <v/>
      </c>
      <c r="DL156" s="236">
        <f>CT156+DC156</f>
        <v/>
      </c>
      <c r="DM156" s="236">
        <f>DK156+DL156</f>
        <v/>
      </c>
      <c r="DN156" s="239">
        <f>DM156-DJ156</f>
        <v/>
      </c>
      <c r="DO156" s="237">
        <f>IF(DJ156=0,"",DM156/DJ156)</f>
        <v/>
      </c>
      <c r="DP156" s="33" t="n"/>
      <c r="DQ156" s="233" t="n"/>
      <c r="DR156" s="233" t="n"/>
      <c r="DS156" s="233">
        <f>DQ156+DR156</f>
        <v/>
      </c>
      <c r="DT156" s="233" t="n"/>
      <c r="DU156" s="233" t="n"/>
      <c r="DV156" s="233">
        <f>DT156+DU156</f>
        <v/>
      </c>
      <c r="DW156" s="238">
        <f>DV156-DS156</f>
        <v/>
      </c>
      <c r="DX156" s="235">
        <f>IF(DS156=0,"",DV156/DS156)</f>
        <v/>
      </c>
      <c r="DY156" s="26" t="n"/>
      <c r="DZ156" s="236">
        <f>DH156+DQ156</f>
        <v/>
      </c>
      <c r="EA156" s="236">
        <f>DI156+DR156</f>
        <v/>
      </c>
      <c r="EB156" s="236">
        <f>DZ156+EA156</f>
        <v/>
      </c>
      <c r="EC156" s="236">
        <f>DK156+DT156</f>
        <v/>
      </c>
      <c r="ED156" s="236">
        <f>DL156+DU156</f>
        <v/>
      </c>
      <c r="EE156" s="236">
        <f>EC156+ED156</f>
        <v/>
      </c>
      <c r="EF156" s="239">
        <f>EE156-EB156</f>
        <v/>
      </c>
      <c r="EG156" s="237">
        <f>IF(EB156=0,"",EE156/EB156)</f>
        <v/>
      </c>
      <c r="EH156" s="33" t="n"/>
      <c r="EI156" s="233" t="n"/>
      <c r="EJ156" s="233" t="n"/>
      <c r="EK156" s="233">
        <f>EI156+EJ156</f>
        <v/>
      </c>
      <c r="EL156" s="233" t="n"/>
      <c r="EM156" s="233" t="n"/>
      <c r="EN156" s="233">
        <f>EL156+EM156</f>
        <v/>
      </c>
      <c r="EO156" s="238">
        <f>EN156-EK156</f>
        <v/>
      </c>
      <c r="EP156" s="235">
        <f>IF(EK156=0,"",EN156/EK156)</f>
        <v/>
      </c>
      <c r="EQ156" s="26" t="n"/>
      <c r="ER156" s="236">
        <f>DZ156+EI156</f>
        <v/>
      </c>
      <c r="ES156" s="236">
        <f>EA156+EJ156</f>
        <v/>
      </c>
      <c r="ET156" s="236">
        <f>ER156+ES156</f>
        <v/>
      </c>
      <c r="EU156" s="236">
        <f>EC156+EL156</f>
        <v/>
      </c>
      <c r="EV156" s="236">
        <f>ED156+EM156</f>
        <v/>
      </c>
      <c r="EW156" s="236">
        <f>EU156+EV156</f>
        <v/>
      </c>
      <c r="EX156" s="239">
        <f>EW156-ET156</f>
        <v/>
      </c>
      <c r="EY156" s="237">
        <f>IF(ET156=0,"",EW156/ET156)</f>
        <v/>
      </c>
      <c r="EZ156" s="33" t="n"/>
      <c r="FA156" s="233" t="n"/>
      <c r="FB156" s="233" t="n"/>
      <c r="FC156" s="233">
        <f>FA156+FB156</f>
        <v/>
      </c>
      <c r="FD156" s="233" t="n"/>
      <c r="FE156" s="233" t="n"/>
      <c r="FF156" s="233">
        <f>FD156+FE156</f>
        <v/>
      </c>
      <c r="FG156" s="238">
        <f>FF156-FC156</f>
        <v/>
      </c>
      <c r="FH156" s="235">
        <f>IF(FC156=0,"",FF156/FC156)</f>
        <v/>
      </c>
      <c r="FI156" s="26" t="n"/>
      <c r="FJ156" s="236">
        <f>ER156+FA156</f>
        <v/>
      </c>
      <c r="FK156" s="236">
        <f>ES156+FB156</f>
        <v/>
      </c>
      <c r="FL156" s="236">
        <f>FJ156+FK156</f>
        <v/>
      </c>
      <c r="FM156" s="236">
        <f>EU156+FD156</f>
        <v/>
      </c>
      <c r="FN156" s="236">
        <f>EV156+FE156</f>
        <v/>
      </c>
      <c r="FO156" s="236">
        <f>FM156+FN156</f>
        <v/>
      </c>
      <c r="FP156" s="239">
        <f>FO156-FL156</f>
        <v/>
      </c>
      <c r="FQ156" s="237">
        <f>IF(FL156=0,"",FO156/FL156)</f>
        <v/>
      </c>
      <c r="FR156" s="33" t="n"/>
      <c r="FS156" s="233" t="n"/>
      <c r="FT156" s="233" t="n"/>
      <c r="FU156" s="233">
        <f>FS156+FT156</f>
        <v/>
      </c>
      <c r="FV156" s="233" t="n"/>
      <c r="FW156" s="233" t="n"/>
      <c r="FX156" s="233">
        <f>FV156+FW156</f>
        <v/>
      </c>
      <c r="FY156" s="238">
        <f>FX156-FU156</f>
        <v/>
      </c>
      <c r="FZ156" s="235">
        <f>IF(FU156=0,"",FX156/FU156)</f>
        <v/>
      </c>
      <c r="GA156" s="26" t="n"/>
      <c r="GB156" s="236">
        <f>FJ156+FS156</f>
        <v/>
      </c>
      <c r="GC156" s="236">
        <f>FK156+FT156</f>
        <v/>
      </c>
      <c r="GD156" s="236">
        <f>GB156+GC156</f>
        <v/>
      </c>
      <c r="GE156" s="236">
        <f>FM156+FV156</f>
        <v/>
      </c>
      <c r="GF156" s="236">
        <f>FN156+FW156</f>
        <v/>
      </c>
      <c r="GG156" s="236">
        <f>GE156+GF156</f>
        <v/>
      </c>
      <c r="GH156" s="239">
        <f>GG156-GD156</f>
        <v/>
      </c>
      <c r="GI156" s="237">
        <f>IF(GD156=0,"",GG156/GD156)</f>
        <v/>
      </c>
      <c r="GJ156" s="33" t="n"/>
      <c r="GK156" s="233" t="n"/>
      <c r="GL156" s="233" t="n"/>
      <c r="GM156" s="233">
        <f>GK156+GL156</f>
        <v/>
      </c>
      <c r="GN156" s="233" t="n"/>
      <c r="GO156" s="233" t="n"/>
      <c r="GP156" s="233">
        <f>GN156+GO156</f>
        <v/>
      </c>
      <c r="GQ156" s="238">
        <f>GP156-GM156</f>
        <v/>
      </c>
      <c r="GR156" s="235">
        <f>IF(GM156=0,"",GP156/GM156)</f>
        <v/>
      </c>
      <c r="GS156" s="26" t="n"/>
      <c r="GT156" s="236">
        <f>GB156+GK156</f>
        <v/>
      </c>
      <c r="GU156" s="236">
        <f>GC156+GL156</f>
        <v/>
      </c>
      <c r="GV156" s="236">
        <f>GT156+GU156</f>
        <v/>
      </c>
      <c r="GW156" s="236">
        <f>GE156+GN156</f>
        <v/>
      </c>
      <c r="GX156" s="236">
        <f>GF156+GO156</f>
        <v/>
      </c>
      <c r="GY156" s="236">
        <f>GW156+GX156</f>
        <v/>
      </c>
      <c r="GZ156" s="239">
        <f>GY156-GV156</f>
        <v/>
      </c>
      <c r="HA156" s="237">
        <f>IF(GV156=0,"",GY156/GV156)</f>
        <v/>
      </c>
      <c r="HB156" s="33" t="n"/>
      <c r="HC156" s="233">
        <f>GT156</f>
        <v/>
      </c>
      <c r="HD156" s="233">
        <f>GU156</f>
        <v/>
      </c>
      <c r="HE156" s="233">
        <f>HC156+HD156</f>
        <v/>
      </c>
    </row>
    <row r="157" ht="15" customHeight="1" s="150">
      <c r="A157" s="6" t="n"/>
      <c r="B157" s="6" t="n"/>
      <c r="C157" s="6" t="n"/>
      <c r="D157" s="223">
        <f>D5+D108</f>
        <v/>
      </c>
      <c r="E157" s="223">
        <f>E5+E108</f>
        <v/>
      </c>
      <c r="F157" s="223">
        <f>D157+E157</f>
        <v/>
      </c>
      <c r="G157" s="223">
        <f>G5+G108</f>
        <v/>
      </c>
      <c r="H157" s="223">
        <f>H5+H108</f>
        <v/>
      </c>
      <c r="I157" s="223">
        <f>G157+H157</f>
        <v/>
      </c>
      <c r="J157" s="223">
        <f>I157-F157</f>
        <v/>
      </c>
      <c r="K157" s="224">
        <f>IF(F157=0,"",I157/F157)</f>
        <v/>
      </c>
      <c r="L157" s="6" t="n"/>
      <c r="M157" s="223">
        <f>M5+M108</f>
        <v/>
      </c>
      <c r="N157" s="223">
        <f>N5+N108</f>
        <v/>
      </c>
      <c r="O157" s="223">
        <f>M157+N157</f>
        <v/>
      </c>
      <c r="P157" s="223">
        <f>P5+P108</f>
        <v/>
      </c>
      <c r="Q157" s="223">
        <f>Q5+Q108</f>
        <v/>
      </c>
      <c r="R157" s="223">
        <f>P157+Q157</f>
        <v/>
      </c>
      <c r="S157" s="223">
        <f>R157-O157</f>
        <v/>
      </c>
      <c r="T157" s="224">
        <f>IF(O157=0,"",R157/O157)</f>
        <v/>
      </c>
      <c r="U157" s="6" t="n"/>
      <c r="V157" s="225">
        <f>V5+V108</f>
        <v/>
      </c>
      <c r="W157" s="225">
        <f>W5+W108</f>
        <v/>
      </c>
      <c r="X157" s="225">
        <f>V157+W157</f>
        <v/>
      </c>
      <c r="Y157" s="225">
        <f>Y5+Y108</f>
        <v/>
      </c>
      <c r="Z157" s="225">
        <f>Z5+Z108</f>
        <v/>
      </c>
      <c r="AA157" s="225">
        <f>Y157+Z157</f>
        <v/>
      </c>
      <c r="AB157" s="225">
        <f>AA157-X157</f>
        <v/>
      </c>
      <c r="AC157" s="226">
        <f>IF(X157=0,"",AA157/X157)</f>
        <v/>
      </c>
      <c r="AD157" s="11" t="n"/>
      <c r="AE157" s="223">
        <f>AE5+AE108</f>
        <v/>
      </c>
      <c r="AF157" s="223">
        <f>AF5+AF108</f>
        <v/>
      </c>
      <c r="AG157" s="223">
        <f>AE157+AF157</f>
        <v/>
      </c>
      <c r="AH157" s="223">
        <f>AH5+AH108</f>
        <v/>
      </c>
      <c r="AI157" s="223">
        <f>AI5+AI108</f>
        <v/>
      </c>
      <c r="AJ157" s="223">
        <f>AH157+AI157</f>
        <v/>
      </c>
      <c r="AK157" s="223">
        <f>AJ157-AG157</f>
        <v/>
      </c>
      <c r="AL157" s="224">
        <f>IF(AG157=0,"",AJ157/AG157)</f>
        <v/>
      </c>
      <c r="AM157" s="6" t="n"/>
      <c r="AN157" s="225">
        <f>AN5+AN108</f>
        <v/>
      </c>
      <c r="AO157" s="225">
        <f>AO5+AO108</f>
        <v/>
      </c>
      <c r="AP157" s="225">
        <f>AN157+AO157</f>
        <v/>
      </c>
      <c r="AQ157" s="225">
        <f>AQ5+AQ108</f>
        <v/>
      </c>
      <c r="AR157" s="225">
        <f>AR5+AR108</f>
        <v/>
      </c>
      <c r="AS157" s="225">
        <f>AQ157+AR157</f>
        <v/>
      </c>
      <c r="AT157" s="225">
        <f>AS157-AP157</f>
        <v/>
      </c>
      <c r="AU157" s="226">
        <f>IF(AP157=0,"",AS157/AP157)</f>
        <v/>
      </c>
      <c r="AV157" s="11" t="n"/>
      <c r="AW157" s="223">
        <f>AW5+AW108</f>
        <v/>
      </c>
      <c r="AX157" s="223">
        <f>AX5+AX108</f>
        <v/>
      </c>
      <c r="AY157" s="223">
        <f>AW157+AX157</f>
        <v/>
      </c>
      <c r="AZ157" s="223">
        <f>AZ5+AZ108</f>
        <v/>
      </c>
      <c r="BA157" s="223">
        <f>BA5+BA108</f>
        <v/>
      </c>
      <c r="BB157" s="223">
        <f>AZ157+BA157</f>
        <v/>
      </c>
      <c r="BC157" s="223">
        <f>BB157-AY157</f>
        <v/>
      </c>
      <c r="BD157" s="224">
        <f>IF(AY157=0,"",BB157/AY157)</f>
        <v/>
      </c>
      <c r="BE157" s="6" t="n"/>
      <c r="BF157" s="225">
        <f>BF5+BF108</f>
        <v/>
      </c>
      <c r="BG157" s="225">
        <f>BG5+BG108</f>
        <v/>
      </c>
      <c r="BH157" s="225">
        <f>BF157+BG157</f>
        <v/>
      </c>
      <c r="BI157" s="225">
        <f>BI5+BI108</f>
        <v/>
      </c>
      <c r="BJ157" s="225">
        <f>BJ5+BJ108</f>
        <v/>
      </c>
      <c r="BK157" s="225">
        <f>BI157+BJ157</f>
        <v/>
      </c>
      <c r="BL157" s="225">
        <f>BK157-BH157</f>
        <v/>
      </c>
      <c r="BM157" s="226">
        <f>IF(BH157=0,"",BK157/BH157)</f>
        <v/>
      </c>
      <c r="BN157" s="11" t="n"/>
      <c r="BO157" s="223">
        <f>BO5+BO108</f>
        <v/>
      </c>
      <c r="BP157" s="223">
        <f>BP5+BP108</f>
        <v/>
      </c>
      <c r="BQ157" s="223">
        <f>BO157+BP157</f>
        <v/>
      </c>
      <c r="BR157" s="223">
        <f>BR5+BR108</f>
        <v/>
      </c>
      <c r="BS157" s="223">
        <f>BS5+BS108</f>
        <v/>
      </c>
      <c r="BT157" s="223">
        <f>BR157+BS157</f>
        <v/>
      </c>
      <c r="BU157" s="223">
        <f>BT157-BQ157</f>
        <v/>
      </c>
      <c r="BV157" s="224">
        <f>IF(BQ157=0,"",BT157/BQ157)</f>
        <v/>
      </c>
      <c r="BW157" s="6" t="n"/>
      <c r="BX157" s="225">
        <f>BX5+BX108</f>
        <v/>
      </c>
      <c r="BY157" s="225">
        <f>BY5+BY108</f>
        <v/>
      </c>
      <c r="BZ157" s="225">
        <f>BX157+BY157</f>
        <v/>
      </c>
      <c r="CA157" s="225">
        <f>CA5+CA108</f>
        <v/>
      </c>
      <c r="CB157" s="225">
        <f>CB5+CB108</f>
        <v/>
      </c>
      <c r="CC157" s="225">
        <f>CA157+CB157</f>
        <v/>
      </c>
      <c r="CD157" s="225">
        <f>CC157-BZ157</f>
        <v/>
      </c>
      <c r="CE157" s="226">
        <f>IF(BZ157=0,"",CC157/BZ157)</f>
        <v/>
      </c>
      <c r="CF157" s="11" t="n"/>
      <c r="CG157" s="223">
        <f>CG5+CG108</f>
        <v/>
      </c>
      <c r="CH157" s="223">
        <f>CH5+CH108</f>
        <v/>
      </c>
      <c r="CI157" s="223">
        <f>CG157+CH157</f>
        <v/>
      </c>
      <c r="CJ157" s="223">
        <f>CJ5+CJ108</f>
        <v/>
      </c>
      <c r="CK157" s="223">
        <f>CK5+CK108</f>
        <v/>
      </c>
      <c r="CL157" s="223">
        <f>CJ157+CK157</f>
        <v/>
      </c>
      <c r="CM157" s="223">
        <f>CL157-CI157</f>
        <v/>
      </c>
      <c r="CN157" s="224">
        <f>IF(CI157=0,"",CL157/CI157)</f>
        <v/>
      </c>
      <c r="CO157" s="6" t="n"/>
      <c r="CP157" s="225">
        <f>CP5+CP108</f>
        <v/>
      </c>
      <c r="CQ157" s="225">
        <f>CQ5+CQ108</f>
        <v/>
      </c>
      <c r="CR157" s="225">
        <f>CP157+CQ157</f>
        <v/>
      </c>
      <c r="CS157" s="225">
        <f>CS5+CS108</f>
        <v/>
      </c>
      <c r="CT157" s="225">
        <f>CT5+CT108</f>
        <v/>
      </c>
      <c r="CU157" s="225">
        <f>CS157+CT157</f>
        <v/>
      </c>
      <c r="CV157" s="225">
        <f>CU157-CR157</f>
        <v/>
      </c>
      <c r="CW157" s="226">
        <f>IF(CR157=0,"",CU157/CR157)</f>
        <v/>
      </c>
      <c r="CX157" s="11" t="n"/>
      <c r="CY157" s="223">
        <f>CY5+CY108</f>
        <v/>
      </c>
      <c r="CZ157" s="223">
        <f>CZ5+CZ108</f>
        <v/>
      </c>
      <c r="DA157" s="223">
        <f>CY157+CZ157</f>
        <v/>
      </c>
      <c r="DB157" s="223">
        <f>DB5+DB108</f>
        <v/>
      </c>
      <c r="DC157" s="223">
        <f>DC5+DC108</f>
        <v/>
      </c>
      <c r="DD157" s="223">
        <f>DB157+DC157</f>
        <v/>
      </c>
      <c r="DE157" s="223">
        <f>DD157-DA157</f>
        <v/>
      </c>
      <c r="DF157" s="224">
        <f>IF(DA157=0,"",DD157/DA157)</f>
        <v/>
      </c>
      <c r="DG157" s="6" t="n"/>
      <c r="DH157" s="225">
        <f>DH5+DH108</f>
        <v/>
      </c>
      <c r="DI157" s="225">
        <f>DI5+DI108</f>
        <v/>
      </c>
      <c r="DJ157" s="225">
        <f>DH157+DI157</f>
        <v/>
      </c>
      <c r="DK157" s="225">
        <f>DK5+DK108</f>
        <v/>
      </c>
      <c r="DL157" s="225">
        <f>DL5+DL108</f>
        <v/>
      </c>
      <c r="DM157" s="225">
        <f>DK157+DL157</f>
        <v/>
      </c>
      <c r="DN157" s="225">
        <f>DM157-DJ157</f>
        <v/>
      </c>
      <c r="DO157" s="226">
        <f>IF(DJ157=0,"",DM157/DJ157)</f>
        <v/>
      </c>
      <c r="DP157" s="11" t="n"/>
      <c r="DQ157" s="223">
        <f>DQ5+DQ108</f>
        <v/>
      </c>
      <c r="DR157" s="223">
        <f>DR5+DR108</f>
        <v/>
      </c>
      <c r="DS157" s="223">
        <f>DQ157+DR157</f>
        <v/>
      </c>
      <c r="DT157" s="223">
        <f>DT5+DT108</f>
        <v/>
      </c>
      <c r="DU157" s="223">
        <f>DU5+DU108</f>
        <v/>
      </c>
      <c r="DV157" s="223">
        <f>DT157+DU157</f>
        <v/>
      </c>
      <c r="DW157" s="223">
        <f>DV157-DS157</f>
        <v/>
      </c>
      <c r="DX157" s="224">
        <f>IF(DS157=0,"",DV157/DS157)</f>
        <v/>
      </c>
      <c r="DY157" s="6" t="n"/>
      <c r="DZ157" s="225">
        <f>DZ5+DZ108</f>
        <v/>
      </c>
      <c r="EA157" s="225">
        <f>EA5+EA108</f>
        <v/>
      </c>
      <c r="EB157" s="225">
        <f>DZ157+EA157</f>
        <v/>
      </c>
      <c r="EC157" s="225">
        <f>EC5+EC108</f>
        <v/>
      </c>
      <c r="ED157" s="225">
        <f>ED5+ED108</f>
        <v/>
      </c>
      <c r="EE157" s="225">
        <f>EC157+ED157</f>
        <v/>
      </c>
      <c r="EF157" s="225">
        <f>EE157-EB157</f>
        <v/>
      </c>
      <c r="EG157" s="226">
        <f>IF(EB157=0,"",EE157/EB157)</f>
        <v/>
      </c>
      <c r="EH157" s="11" t="n"/>
      <c r="EI157" s="223">
        <f>EI5+EI108</f>
        <v/>
      </c>
      <c r="EJ157" s="223">
        <f>EJ5+EJ108</f>
        <v/>
      </c>
      <c r="EK157" s="223">
        <f>EI157+EJ157</f>
        <v/>
      </c>
      <c r="EL157" s="223">
        <f>EL5+EL108</f>
        <v/>
      </c>
      <c r="EM157" s="223">
        <f>EM5+EM108</f>
        <v/>
      </c>
      <c r="EN157" s="223">
        <f>EL157+EM157</f>
        <v/>
      </c>
      <c r="EO157" s="223">
        <f>EN157-EK157</f>
        <v/>
      </c>
      <c r="EP157" s="224">
        <f>IF(EK157=0,"",EN157/EK157)</f>
        <v/>
      </c>
      <c r="EQ157" s="6" t="n"/>
      <c r="ER157" s="225">
        <f>ER5+ER108</f>
        <v/>
      </c>
      <c r="ES157" s="225">
        <f>ES5+ES108</f>
        <v/>
      </c>
      <c r="ET157" s="225">
        <f>ER157+ES157</f>
        <v/>
      </c>
      <c r="EU157" s="225">
        <f>EU5+EU108</f>
        <v/>
      </c>
      <c r="EV157" s="225">
        <f>EV5+EV108</f>
        <v/>
      </c>
      <c r="EW157" s="225">
        <f>EU157+EV157</f>
        <v/>
      </c>
      <c r="EX157" s="225">
        <f>EW157-ET157</f>
        <v/>
      </c>
      <c r="EY157" s="226">
        <f>IF(ET157=0,"",EW157/ET157)</f>
        <v/>
      </c>
      <c r="EZ157" s="11" t="n"/>
      <c r="FA157" s="223">
        <f>FA5+FA108</f>
        <v/>
      </c>
      <c r="FB157" s="223">
        <f>FB5+FB108</f>
        <v/>
      </c>
      <c r="FC157" s="223">
        <f>FA157+FB157</f>
        <v/>
      </c>
      <c r="FD157" s="223">
        <f>FD5+FD108</f>
        <v/>
      </c>
      <c r="FE157" s="223">
        <f>FE5+FE108</f>
        <v/>
      </c>
      <c r="FF157" s="223">
        <f>FD157+FE157</f>
        <v/>
      </c>
      <c r="FG157" s="223">
        <f>FF157-FC157</f>
        <v/>
      </c>
      <c r="FH157" s="224">
        <f>IF(FC157=0,"",FF157/FC157)</f>
        <v/>
      </c>
      <c r="FI157" s="6" t="n"/>
      <c r="FJ157" s="225">
        <f>FJ5+FJ108</f>
        <v/>
      </c>
      <c r="FK157" s="225">
        <f>FK5+FK108</f>
        <v/>
      </c>
      <c r="FL157" s="225">
        <f>FJ157+FK157</f>
        <v/>
      </c>
      <c r="FM157" s="225">
        <f>FM5+FM108</f>
        <v/>
      </c>
      <c r="FN157" s="225">
        <f>FN5+FN108</f>
        <v/>
      </c>
      <c r="FO157" s="225">
        <f>FM157+FN157</f>
        <v/>
      </c>
      <c r="FP157" s="225">
        <f>FO157-FL157</f>
        <v/>
      </c>
      <c r="FQ157" s="226">
        <f>IF(FL157=0,"",FO157/FL157)</f>
        <v/>
      </c>
      <c r="FR157" s="11" t="n"/>
      <c r="FS157" s="223">
        <f>FS5+FS108</f>
        <v/>
      </c>
      <c r="FT157" s="223">
        <f>FT5+FT108</f>
        <v/>
      </c>
      <c r="FU157" s="223">
        <f>FS157+FT157</f>
        <v/>
      </c>
      <c r="FV157" s="223">
        <f>FV5+FV108</f>
        <v/>
      </c>
      <c r="FW157" s="223">
        <f>FW5+FW108</f>
        <v/>
      </c>
      <c r="FX157" s="223">
        <f>FV157+FW157</f>
        <v/>
      </c>
      <c r="FY157" s="223">
        <f>FX157-FU157</f>
        <v/>
      </c>
      <c r="FZ157" s="224">
        <f>IF(FU157=0,"",FX157/FU157)</f>
        <v/>
      </c>
      <c r="GA157" s="6" t="n"/>
      <c r="GB157" s="225">
        <f>GB5+GB108</f>
        <v/>
      </c>
      <c r="GC157" s="225">
        <f>GC5+GC108</f>
        <v/>
      </c>
      <c r="GD157" s="225">
        <f>GB157+GC157</f>
        <v/>
      </c>
      <c r="GE157" s="225">
        <f>GE5+GE108</f>
        <v/>
      </c>
      <c r="GF157" s="225">
        <f>GF5+GF108</f>
        <v/>
      </c>
      <c r="GG157" s="225">
        <f>GE157+GF157</f>
        <v/>
      </c>
      <c r="GH157" s="225">
        <f>GG157-GD157</f>
        <v/>
      </c>
      <c r="GI157" s="226">
        <f>IF(GD157=0,"",GG157/GD157)</f>
        <v/>
      </c>
      <c r="GJ157" s="11" t="n"/>
      <c r="GK157" s="223">
        <f>GK5+GK108</f>
        <v/>
      </c>
      <c r="GL157" s="223">
        <f>GL5+GL108</f>
        <v/>
      </c>
      <c r="GM157" s="223">
        <f>GK157+GL157</f>
        <v/>
      </c>
      <c r="GN157" s="223">
        <f>GN5+GN108</f>
        <v/>
      </c>
      <c r="GO157" s="223">
        <f>GO5+GO108</f>
        <v/>
      </c>
      <c r="GP157" s="223">
        <f>GN157+GO157</f>
        <v/>
      </c>
      <c r="GQ157" s="223">
        <f>GP157-GM157</f>
        <v/>
      </c>
      <c r="GR157" s="224">
        <f>IF(GM157=0,"",GP157/GM157)</f>
        <v/>
      </c>
      <c r="GS157" s="6" t="n"/>
      <c r="GT157" s="225">
        <f>GT5+GT108</f>
        <v/>
      </c>
      <c r="GU157" s="225">
        <f>GU5+GU108</f>
        <v/>
      </c>
      <c r="GV157" s="225">
        <f>GT157+GU157</f>
        <v/>
      </c>
      <c r="GW157" s="225">
        <f>GW5+GW108</f>
        <v/>
      </c>
      <c r="GX157" s="225">
        <f>GX5+GX108</f>
        <v/>
      </c>
      <c r="GY157" s="225">
        <f>GW157+GX157</f>
        <v/>
      </c>
      <c r="GZ157" s="225">
        <f>GY157-GV157</f>
        <v/>
      </c>
      <c r="HA157" s="226">
        <f>IF(GV157=0,"",GY157/GV157)</f>
        <v/>
      </c>
      <c r="HB157" s="11" t="n"/>
      <c r="HC157" s="223">
        <f>GT157</f>
        <v/>
      </c>
      <c r="HD157" s="223">
        <f>GU157</f>
        <v/>
      </c>
      <c r="HE157" s="223">
        <f>HC157+HD157</f>
        <v/>
      </c>
    </row>
  </sheetData>
  <mergeCells count="28">
    <mergeCell ref="AW3:BE3"/>
    <mergeCell ref="A1:HE1"/>
    <mergeCell ref="CG3:CO3"/>
    <mergeCell ref="DH3:DP3"/>
    <mergeCell ref="B3:B4"/>
    <mergeCell ref="FJ3:FR3"/>
    <mergeCell ref="HC3:HE3"/>
    <mergeCell ref="BO3:BW3"/>
    <mergeCell ref="DQ3:DY3"/>
    <mergeCell ref="CP3:CX3"/>
    <mergeCell ref="A3:A4"/>
    <mergeCell ref="M3:U3"/>
    <mergeCell ref="FS3:GA3"/>
    <mergeCell ref="D3:L3"/>
    <mergeCell ref="BX3:CF3"/>
    <mergeCell ref="DZ3:EH3"/>
    <mergeCell ref="GK3:GS3"/>
    <mergeCell ref="FA3:FI3"/>
    <mergeCell ref="V3:AD3"/>
    <mergeCell ref="GB3:GJ3"/>
    <mergeCell ref="AN3:AV3"/>
    <mergeCell ref="CY3:DG3"/>
    <mergeCell ref="C3:C4"/>
    <mergeCell ref="ER3:EZ3"/>
    <mergeCell ref="EI3:EQ3"/>
    <mergeCell ref="GT3:HB3"/>
    <mergeCell ref="BF3:BN3"/>
    <mergeCell ref="AE3:AM3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G15"/>
  <sheetViews>
    <sheetView showGridLines="0" workbookViewId="0">
      <pane xSplit="5" ySplit="4" topLeftCell="GL5" activePane="bottomRight" state="frozen"/>
      <selection pane="topRight" activeCell="A1" sqref="A1"/>
      <selection pane="bottomLeft" activeCell="A1" sqref="A1"/>
      <selection pane="bottomRight" activeCell="C19" sqref="C19"/>
    </sheetView>
  </sheetViews>
  <sheetFormatPr baseColWidth="8" defaultRowHeight="16.5"/>
  <cols>
    <col width="13" customWidth="1" style="150" min="1" max="1"/>
    <col width="14" customWidth="1" style="150" min="2" max="2"/>
    <col width="50" customWidth="1" style="150" min="3" max="3"/>
    <col width="14" customWidth="1" style="150" min="4" max="4"/>
    <col width="22" customWidth="1" style="150" min="5" max="5"/>
    <col hidden="1" outlineLevel="1" width="10" customWidth="1" style="150" min="6" max="7"/>
    <col collapsed="1" width="10" customWidth="1" style="150" min="8" max="8"/>
    <col hidden="1" outlineLevel="1" width="10" customWidth="1" style="150" min="9" max="10"/>
    <col collapsed="1" width="10" customWidth="1" style="150" min="11" max="11"/>
    <col width="10" customWidth="1" style="150" min="12" max="12"/>
    <col width="7" customWidth="1" style="150" min="13" max="13"/>
    <col width="44.625" customWidth="1" style="150" min="14" max="14"/>
    <col hidden="1" outlineLevel="1" width="10" customWidth="1" style="150" min="15" max="15"/>
    <col hidden="1" outlineLevel="1" width="30.625" customWidth="1" style="150" min="16" max="16"/>
    <col collapsed="1" width="10" customWidth="1" style="150" min="17" max="17"/>
    <col hidden="1" outlineLevel="1" width="10" customWidth="1" style="150" min="18" max="19"/>
    <col collapsed="1" width="10" customWidth="1" style="150" min="20" max="20"/>
    <col width="10" customWidth="1" style="150" min="21" max="21"/>
    <col width="7" customWidth="1" style="150" min="22" max="22"/>
    <col width="54.375" bestFit="1" customWidth="1" style="150" min="23" max="23"/>
    <col hidden="1" outlineLevel="1" width="10" customWidth="1" style="150" min="24" max="25"/>
    <col collapsed="1" width="10" customWidth="1" style="150" min="26" max="26"/>
    <col hidden="1" outlineLevel="1" width="10" customWidth="1" style="150" min="27" max="28"/>
    <col collapsed="1" width="10" customWidth="1" style="150" min="29" max="29"/>
    <col width="10" customWidth="1" style="150" min="30" max="30"/>
    <col width="7" customWidth="1" style="150" min="31" max="31"/>
    <col width="10" customWidth="1" style="150" min="32" max="32"/>
    <col hidden="1" outlineLevel="1" width="10" customWidth="1" style="150" min="33" max="34"/>
    <col collapsed="1" width="10" customWidth="1" style="150" min="35" max="35"/>
    <col hidden="1" outlineLevel="1" width="10" customWidth="1" style="150" min="36" max="37"/>
    <col collapsed="1" width="10" customWidth="1" style="150" min="38" max="38"/>
    <col width="10" customWidth="1" style="150" min="39" max="39"/>
    <col width="7" customWidth="1" style="150" min="40" max="40"/>
    <col width="40.125" customWidth="1" style="150" min="41" max="41"/>
    <col hidden="1" outlineLevel="1" width="10" customWidth="1" style="150" min="42" max="43"/>
    <col collapsed="1" width="10" customWidth="1" style="150" min="44" max="44"/>
    <col hidden="1" outlineLevel="1" width="10" customWidth="1" style="150" min="45" max="46"/>
    <col collapsed="1" width="10" customWidth="1" style="150" min="47" max="47"/>
    <col width="10" customWidth="1" style="150" min="48" max="48"/>
    <col width="7" customWidth="1" style="150" min="49" max="49"/>
    <col width="40.75" customWidth="1" style="150" min="50" max="50"/>
    <col hidden="1" outlineLevel="1" width="10" customWidth="1" style="150" min="51" max="52"/>
    <col collapsed="1" width="10" customWidth="1" style="150" min="53" max="53"/>
    <col hidden="1" outlineLevel="1" width="10" customWidth="1" style="150" min="54" max="55"/>
    <col collapsed="1" width="10" customWidth="1" style="150" min="56" max="56"/>
    <col width="10" customWidth="1" style="150" min="57" max="57"/>
    <col width="7" customWidth="1" style="150" min="58" max="58"/>
    <col width="10" customWidth="1" style="150" min="59" max="59"/>
    <col hidden="1" outlineLevel="1" width="10" customWidth="1" style="150" min="60" max="61"/>
    <col collapsed="1" width="10" customWidth="1" style="150" min="62" max="62"/>
    <col hidden="1" outlineLevel="1" width="10" customWidth="1" style="150" min="63" max="64"/>
    <col collapsed="1" width="10" customWidth="1" style="150" min="65" max="65"/>
    <col width="10" customWidth="1" style="150" min="66" max="66"/>
    <col width="7" customWidth="1" style="150" min="67" max="67"/>
    <col width="10" customWidth="1" style="150" min="68" max="68"/>
    <col hidden="1" outlineLevel="1" width="10" customWidth="1" style="150" min="69" max="70"/>
    <col collapsed="1" width="10" customWidth="1" style="150" min="71" max="71"/>
    <col hidden="1" outlineLevel="1" width="10" customWidth="1" style="150" min="72" max="73"/>
    <col collapsed="1" width="10" customWidth="1" style="150" min="74" max="74"/>
    <col width="10" customWidth="1" style="150" min="75" max="75"/>
    <col width="7" customWidth="1" style="150" min="76" max="76"/>
    <col width="10" customWidth="1" style="150" min="77" max="77"/>
    <col hidden="1" outlineLevel="1" width="10" customWidth="1" style="150" min="78" max="79"/>
    <col collapsed="1" width="10" customWidth="1" style="150" min="80" max="80"/>
    <col hidden="1" outlineLevel="1" width="10" customWidth="1" style="150" min="81" max="82"/>
    <col collapsed="1" width="10" customWidth="1" style="150" min="83" max="83"/>
    <col width="10" customWidth="1" style="150" min="84" max="84"/>
    <col width="7" customWidth="1" style="150" min="85" max="85"/>
    <col width="10" customWidth="1" style="150" min="86" max="86"/>
    <col hidden="1" outlineLevel="1" width="10" customWidth="1" style="150" min="87" max="88"/>
    <col collapsed="1" width="10" customWidth="1" style="150" min="89" max="89"/>
    <col hidden="1" outlineLevel="1" width="10" customWidth="1" style="150" min="90" max="91"/>
    <col collapsed="1" width="10" customWidth="1" style="150" min="92" max="92"/>
    <col width="10" customWidth="1" style="150" min="93" max="93"/>
    <col width="7" customWidth="1" style="150" min="94" max="94"/>
    <col width="10" customWidth="1" style="150" min="95" max="95"/>
    <col hidden="1" outlineLevel="1" width="10" customWidth="1" style="150" min="96" max="97"/>
    <col collapsed="1" width="10" customWidth="1" style="150" min="98" max="98"/>
    <col hidden="1" outlineLevel="1" width="10" customWidth="1" style="150" min="99" max="100"/>
    <col collapsed="1" width="10" customWidth="1" style="150" min="101" max="101"/>
    <col width="10" customWidth="1" style="150" min="102" max="102"/>
    <col width="7" customWidth="1" style="150" min="103" max="103"/>
    <col width="10" customWidth="1" style="150" min="104" max="104"/>
    <col hidden="1" outlineLevel="1" width="10" customWidth="1" style="150" min="105" max="106"/>
    <col collapsed="1" width="10" customWidth="1" style="150" min="107" max="107"/>
    <col hidden="1" outlineLevel="1" width="10" customWidth="1" style="150" min="108" max="109"/>
    <col collapsed="1" width="10" customWidth="1" style="150" min="110" max="110"/>
    <col width="10" customWidth="1" style="150" min="111" max="111"/>
    <col width="7" customWidth="1" style="150" min="112" max="112"/>
    <col width="10" customWidth="1" style="150" min="113" max="113"/>
    <col hidden="1" outlineLevel="1" width="10" customWidth="1" style="150" min="114" max="115"/>
    <col collapsed="1" width="10" customWidth="1" style="150" min="116" max="116"/>
    <col hidden="1" outlineLevel="1" width="10" customWidth="1" style="150" min="117" max="118"/>
    <col collapsed="1" width="10" customWidth="1" style="150" min="119" max="119"/>
    <col width="10" customWidth="1" style="150" min="120" max="120"/>
    <col width="7" customWidth="1" style="150" min="121" max="121"/>
    <col width="10" customWidth="1" style="150" min="122" max="122"/>
    <col hidden="1" outlineLevel="1" width="10" customWidth="1" style="150" min="123" max="124"/>
    <col collapsed="1" width="10" customWidth="1" style="150" min="125" max="125"/>
    <col hidden="1" outlineLevel="1" width="10" customWidth="1" style="150" min="126" max="127"/>
    <col collapsed="1" width="10" customWidth="1" style="150" min="128" max="128"/>
    <col width="10" customWidth="1" style="150" min="129" max="129"/>
    <col width="7" customWidth="1" style="150" min="130" max="130"/>
    <col width="10" customWidth="1" style="150" min="131" max="131"/>
    <col hidden="1" outlineLevel="1" width="10" customWidth="1" style="150" min="132" max="133"/>
    <col collapsed="1" width="10" customWidth="1" style="150" min="134" max="134"/>
    <col hidden="1" outlineLevel="1" width="10" customWidth="1" style="150" min="135" max="136"/>
    <col collapsed="1" width="10" customWidth="1" style="150" min="137" max="137"/>
    <col width="10" customWidth="1" style="150" min="138" max="138"/>
    <col width="7" customWidth="1" style="150" min="139" max="139"/>
    <col width="10" customWidth="1" style="150" min="140" max="140"/>
    <col hidden="1" outlineLevel="1" width="10" customWidth="1" style="150" min="141" max="142"/>
    <col collapsed="1" width="10" customWidth="1" style="150" min="143" max="143"/>
    <col hidden="1" outlineLevel="1" width="10" customWidth="1" style="150" min="144" max="145"/>
    <col collapsed="1" width="10" customWidth="1" style="150" min="146" max="146"/>
    <col width="10" customWidth="1" style="150" min="147" max="147"/>
    <col width="7" customWidth="1" style="150" min="148" max="148"/>
    <col width="10" customWidth="1" style="150" min="149" max="149"/>
    <col hidden="1" outlineLevel="1" width="10" customWidth="1" style="150" min="150" max="151"/>
    <col collapsed="1" width="10" customWidth="1" style="150" min="152" max="152"/>
    <col hidden="1" outlineLevel="1" width="10" customWidth="1" style="150" min="153" max="154"/>
    <col collapsed="1" width="10" customWidth="1" style="150" min="155" max="155"/>
    <col width="10" customWidth="1" style="150" min="156" max="156"/>
    <col width="7" customWidth="1" style="150" min="157" max="157"/>
    <col width="10" customWidth="1" style="150" min="158" max="158"/>
    <col hidden="1" outlineLevel="1" width="10" customWidth="1" style="150" min="159" max="160"/>
    <col collapsed="1" width="10" customWidth="1" style="150" min="161" max="161"/>
    <col hidden="1" outlineLevel="1" width="10" customWidth="1" style="150" min="162" max="163"/>
    <col collapsed="1" width="10" customWidth="1" style="150" min="164" max="164"/>
    <col width="10" customWidth="1" style="150" min="165" max="165"/>
    <col width="7" customWidth="1" style="150" min="166" max="166"/>
    <col width="10" customWidth="1" style="150" min="167" max="167"/>
    <col hidden="1" outlineLevel="1" width="10" customWidth="1" style="150" min="168" max="169"/>
    <col collapsed="1" width="10" customWidth="1" style="150" min="170" max="170"/>
    <col hidden="1" outlineLevel="1" width="10" customWidth="1" style="150" min="171" max="172"/>
    <col collapsed="1" width="10" customWidth="1" style="150" min="173" max="173"/>
    <col width="10" customWidth="1" style="150" min="174" max="174"/>
    <col width="7" customWidth="1" style="150" min="175" max="175"/>
    <col width="10" customWidth="1" style="150" min="176" max="176"/>
    <col hidden="1" outlineLevel="1" width="10" customWidth="1" style="150" min="177" max="178"/>
    <col collapsed="1" width="10" customWidth="1" style="150" min="179" max="179"/>
    <col hidden="1" outlineLevel="1" width="10" customWidth="1" style="150" min="180" max="181"/>
    <col collapsed="1" width="10" customWidth="1" style="150" min="182" max="182"/>
    <col width="10" customWidth="1" style="150" min="183" max="183"/>
    <col width="7" customWidth="1" style="150" min="184" max="184"/>
    <col width="10" customWidth="1" style="150" min="185" max="185"/>
    <col hidden="1" outlineLevel="1" width="10" customWidth="1" style="150" min="186" max="187"/>
    <col collapsed="1" width="10" customWidth="1" style="150" min="188" max="188"/>
    <col hidden="1" outlineLevel="1" width="10" customWidth="1" style="150" min="189" max="190"/>
    <col collapsed="1" width="10" customWidth="1" style="150" min="191" max="191"/>
    <col width="10" customWidth="1" style="150" min="192" max="192"/>
    <col width="7" customWidth="1" style="150" min="193" max="193"/>
    <col width="10" customWidth="1" style="150" min="194" max="194"/>
    <col hidden="1" outlineLevel="1" width="10" customWidth="1" style="150" min="195" max="196"/>
    <col collapsed="1" width="10" customWidth="1" style="150" min="197" max="197"/>
    <col hidden="1" outlineLevel="1" width="10" customWidth="1" style="150" min="198" max="199"/>
    <col collapsed="1" width="10" customWidth="1" style="150" min="200" max="200"/>
    <col width="10" customWidth="1" style="150" min="201" max="201"/>
    <col width="7" customWidth="1" style="150" min="202" max="202"/>
    <col width="10" customWidth="1" style="150" min="203" max="203"/>
    <col hidden="1" outlineLevel="1" width="10" customWidth="1" style="150" min="204" max="205"/>
    <col collapsed="1" width="10" customWidth="1" style="150" min="206" max="206"/>
    <col hidden="1" outlineLevel="1" width="10" customWidth="1" style="150" min="207" max="208"/>
    <col collapsed="1" width="10" customWidth="1" style="150" min="209" max="209"/>
    <col width="10" customWidth="1" style="150" min="210" max="210"/>
    <col width="7" customWidth="1" style="150" min="211" max="211"/>
    <col width="10" customWidth="1" style="150" min="212" max="212"/>
    <col hidden="1" outlineLevel="1" width="10" customWidth="1" style="150" min="213" max="214"/>
    <col collapsed="1" width="10" customWidth="1" style="150" min="215" max="215"/>
  </cols>
  <sheetData>
    <row r="1" ht="24" customHeight="1" s="150">
      <c r="A1" s="151" t="n"/>
    </row>
    <row r="2" ht="14.1" customHeight="1" s="150">
      <c r="A2" s="1" t="n"/>
    </row>
    <row r="3" ht="20.1" customHeight="1" s="150">
      <c r="A3" s="147" t="n"/>
      <c r="B3" s="147" t="n"/>
      <c r="C3" s="147" t="n"/>
      <c r="D3" s="147" t="n"/>
      <c r="E3" s="147" t="n"/>
      <c r="F3" s="147" t="n"/>
      <c r="G3" s="220" t="n"/>
      <c r="H3" s="220" t="n"/>
      <c r="I3" s="220" t="n"/>
      <c r="J3" s="220" t="n"/>
      <c r="K3" s="220" t="n"/>
      <c r="L3" s="220" t="n"/>
      <c r="M3" s="220" t="n"/>
      <c r="N3" s="221" t="n"/>
      <c r="O3" s="147" t="n"/>
      <c r="P3" s="220" t="n"/>
      <c r="Q3" s="220" t="n"/>
      <c r="R3" s="220" t="n"/>
      <c r="S3" s="220" t="n"/>
      <c r="T3" s="220" t="n"/>
      <c r="U3" s="220" t="n"/>
      <c r="V3" s="220" t="n"/>
      <c r="W3" s="221" t="n"/>
      <c r="X3" s="149" t="n"/>
      <c r="Y3" s="220" t="n"/>
      <c r="Z3" s="220" t="n"/>
      <c r="AA3" s="220" t="n"/>
      <c r="AB3" s="220" t="n"/>
      <c r="AC3" s="220" t="n"/>
      <c r="AD3" s="220" t="n"/>
      <c r="AE3" s="220" t="n"/>
      <c r="AF3" s="221" t="n"/>
      <c r="AG3" s="147" t="n"/>
      <c r="AH3" s="220" t="n"/>
      <c r="AI3" s="220" t="n"/>
      <c r="AJ3" s="220" t="n"/>
      <c r="AK3" s="220" t="n"/>
      <c r="AL3" s="220" t="n"/>
      <c r="AM3" s="220" t="n"/>
      <c r="AN3" s="220" t="n"/>
      <c r="AO3" s="221" t="n"/>
      <c r="AP3" s="149" t="n"/>
      <c r="AQ3" s="220" t="n"/>
      <c r="AR3" s="220" t="n"/>
      <c r="AS3" s="220" t="n"/>
      <c r="AT3" s="220" t="n"/>
      <c r="AU3" s="220" t="n"/>
      <c r="AV3" s="220" t="n"/>
      <c r="AW3" s="220" t="n"/>
      <c r="AX3" s="221" t="n"/>
      <c r="AY3" s="147" t="n"/>
      <c r="AZ3" s="220" t="n"/>
      <c r="BA3" s="220" t="n"/>
      <c r="BB3" s="220" t="n"/>
      <c r="BC3" s="220" t="n"/>
      <c r="BD3" s="220" t="n"/>
      <c r="BE3" s="220" t="n"/>
      <c r="BF3" s="220" t="n"/>
      <c r="BG3" s="221" t="n"/>
      <c r="BH3" s="149" t="n"/>
      <c r="BI3" s="220" t="n"/>
      <c r="BJ3" s="220" t="n"/>
      <c r="BK3" s="220" t="n"/>
      <c r="BL3" s="220" t="n"/>
      <c r="BM3" s="220" t="n"/>
      <c r="BN3" s="220" t="n"/>
      <c r="BO3" s="220" t="n"/>
      <c r="BP3" s="221" t="n"/>
      <c r="BQ3" s="147" t="n"/>
      <c r="BR3" s="220" t="n"/>
      <c r="BS3" s="220" t="n"/>
      <c r="BT3" s="220" t="n"/>
      <c r="BU3" s="220" t="n"/>
      <c r="BV3" s="220" t="n"/>
      <c r="BW3" s="220" t="n"/>
      <c r="BX3" s="220" t="n"/>
      <c r="BY3" s="221" t="n"/>
      <c r="BZ3" s="149" t="n"/>
      <c r="CA3" s="220" t="n"/>
      <c r="CB3" s="220" t="n"/>
      <c r="CC3" s="220" t="n"/>
      <c r="CD3" s="220" t="n"/>
      <c r="CE3" s="220" t="n"/>
      <c r="CF3" s="220" t="n"/>
      <c r="CG3" s="220" t="n"/>
      <c r="CH3" s="221" t="n"/>
      <c r="CI3" s="147" t="n"/>
      <c r="CJ3" s="220" t="n"/>
      <c r="CK3" s="220" t="n"/>
      <c r="CL3" s="220" t="n"/>
      <c r="CM3" s="220" t="n"/>
      <c r="CN3" s="220" t="n"/>
      <c r="CO3" s="220" t="n"/>
      <c r="CP3" s="220" t="n"/>
      <c r="CQ3" s="221" t="n"/>
      <c r="CR3" s="149" t="n"/>
      <c r="CS3" s="220" t="n"/>
      <c r="CT3" s="220" t="n"/>
      <c r="CU3" s="220" t="n"/>
      <c r="CV3" s="220" t="n"/>
      <c r="CW3" s="220" t="n"/>
      <c r="CX3" s="220" t="n"/>
      <c r="CY3" s="220" t="n"/>
      <c r="CZ3" s="221" t="n"/>
      <c r="DA3" s="147" t="n"/>
      <c r="DB3" s="220" t="n"/>
      <c r="DC3" s="220" t="n"/>
      <c r="DD3" s="220" t="n"/>
      <c r="DE3" s="220" t="n"/>
      <c r="DF3" s="220" t="n"/>
      <c r="DG3" s="220" t="n"/>
      <c r="DH3" s="220" t="n"/>
      <c r="DI3" s="221" t="n"/>
      <c r="DJ3" s="149" t="n"/>
      <c r="DK3" s="220" t="n"/>
      <c r="DL3" s="220" t="n"/>
      <c r="DM3" s="220" t="n"/>
      <c r="DN3" s="220" t="n"/>
      <c r="DO3" s="220" t="n"/>
      <c r="DP3" s="220" t="n"/>
      <c r="DQ3" s="220" t="n"/>
      <c r="DR3" s="221" t="n"/>
      <c r="DS3" s="147" t="n"/>
      <c r="DT3" s="220" t="n"/>
      <c r="DU3" s="220" t="n"/>
      <c r="DV3" s="220" t="n"/>
      <c r="DW3" s="220" t="n"/>
      <c r="DX3" s="220" t="n"/>
      <c r="DY3" s="220" t="n"/>
      <c r="DZ3" s="220" t="n"/>
      <c r="EA3" s="221" t="n"/>
      <c r="EB3" s="149" t="n"/>
      <c r="EC3" s="220" t="n"/>
      <c r="ED3" s="220" t="n"/>
      <c r="EE3" s="220" t="n"/>
      <c r="EF3" s="220" t="n"/>
      <c r="EG3" s="220" t="n"/>
      <c r="EH3" s="220" t="n"/>
      <c r="EI3" s="220" t="n"/>
      <c r="EJ3" s="221" t="n"/>
      <c r="EK3" s="147" t="n"/>
      <c r="EL3" s="220" t="n"/>
      <c r="EM3" s="220" t="n"/>
      <c r="EN3" s="220" t="n"/>
      <c r="EO3" s="220" t="n"/>
      <c r="EP3" s="220" t="n"/>
      <c r="EQ3" s="220" t="n"/>
      <c r="ER3" s="220" t="n"/>
      <c r="ES3" s="221" t="n"/>
      <c r="ET3" s="149" t="n"/>
      <c r="EU3" s="220" t="n"/>
      <c r="EV3" s="220" t="n"/>
      <c r="EW3" s="220" t="n"/>
      <c r="EX3" s="220" t="n"/>
      <c r="EY3" s="220" t="n"/>
      <c r="EZ3" s="220" t="n"/>
      <c r="FA3" s="220" t="n"/>
      <c r="FB3" s="221" t="n"/>
      <c r="FC3" s="147" t="n"/>
      <c r="FD3" s="220" t="n"/>
      <c r="FE3" s="220" t="n"/>
      <c r="FF3" s="220" t="n"/>
      <c r="FG3" s="220" t="n"/>
      <c r="FH3" s="220" t="n"/>
      <c r="FI3" s="220" t="n"/>
      <c r="FJ3" s="220" t="n"/>
      <c r="FK3" s="221" t="n"/>
      <c r="FL3" s="149" t="n"/>
      <c r="FM3" s="220" t="n"/>
      <c r="FN3" s="220" t="n"/>
      <c r="FO3" s="220" t="n"/>
      <c r="FP3" s="220" t="n"/>
      <c r="FQ3" s="220" t="n"/>
      <c r="FR3" s="220" t="n"/>
      <c r="FS3" s="220" t="n"/>
      <c r="FT3" s="221" t="n"/>
      <c r="FU3" s="147" t="n"/>
      <c r="FV3" s="220" t="n"/>
      <c r="FW3" s="220" t="n"/>
      <c r="FX3" s="220" t="n"/>
      <c r="FY3" s="220" t="n"/>
      <c r="FZ3" s="220" t="n"/>
      <c r="GA3" s="220" t="n"/>
      <c r="GB3" s="220" t="n"/>
      <c r="GC3" s="221" t="n"/>
      <c r="GD3" s="149" t="n"/>
      <c r="GE3" s="220" t="n"/>
      <c r="GF3" s="220" t="n"/>
      <c r="GG3" s="220" t="n"/>
      <c r="GH3" s="220" t="n"/>
      <c r="GI3" s="220" t="n"/>
      <c r="GJ3" s="220" t="n"/>
      <c r="GK3" s="220" t="n"/>
      <c r="GL3" s="221" t="n"/>
      <c r="GM3" s="147" t="n"/>
      <c r="GN3" s="220" t="n"/>
      <c r="GO3" s="220" t="n"/>
      <c r="GP3" s="220" t="n"/>
      <c r="GQ3" s="220" t="n"/>
      <c r="GR3" s="220" t="n"/>
      <c r="GS3" s="220" t="n"/>
      <c r="GT3" s="220" t="n"/>
      <c r="GU3" s="221" t="n"/>
      <c r="GV3" s="149" t="n"/>
      <c r="GW3" s="220" t="n"/>
      <c r="GX3" s="220" t="n"/>
      <c r="GY3" s="220" t="n"/>
      <c r="GZ3" s="220" t="n"/>
      <c r="HA3" s="220" t="n"/>
      <c r="HB3" s="220" t="n"/>
      <c r="HC3" s="220" t="n"/>
      <c r="HD3" s="221" t="n"/>
      <c r="HE3" s="147" t="n"/>
      <c r="HF3" s="220" t="n"/>
      <c r="HG3" s="221" t="n"/>
    </row>
    <row r="4" ht="33.95" customHeight="1" s="150">
      <c r="A4" s="222" t="n"/>
      <c r="B4" s="222" t="n"/>
      <c r="C4" s="222" t="n"/>
      <c r="D4" s="222" t="n"/>
      <c r="E4" s="222" t="n"/>
      <c r="F4" s="2" t="n"/>
      <c r="G4" s="2" t="n"/>
      <c r="H4" s="3" t="n"/>
      <c r="I4" s="2" t="n"/>
      <c r="J4" s="2" t="n"/>
      <c r="K4" s="3" t="n"/>
      <c r="L4" s="3" t="n"/>
      <c r="M4" s="3" t="n"/>
      <c r="N4" s="3" t="n"/>
      <c r="O4" s="2" t="n"/>
      <c r="P4" s="2" t="n"/>
      <c r="Q4" s="3" t="n"/>
      <c r="R4" s="2" t="n"/>
      <c r="S4" s="2" t="n"/>
      <c r="T4" s="3" t="n"/>
      <c r="U4" s="3" t="n"/>
      <c r="V4" s="3" t="n"/>
      <c r="W4" s="3" t="n"/>
      <c r="X4" s="4" t="n"/>
      <c r="Y4" s="4" t="n"/>
      <c r="Z4" s="5" t="n"/>
      <c r="AA4" s="4" t="n"/>
      <c r="AB4" s="4" t="n"/>
      <c r="AC4" s="5" t="n"/>
      <c r="AD4" s="5" t="n"/>
      <c r="AE4" s="5" t="n"/>
      <c r="AF4" s="5" t="n"/>
      <c r="AG4" s="2" t="n"/>
      <c r="AH4" s="2" t="n"/>
      <c r="AI4" s="3" t="n"/>
      <c r="AJ4" s="2" t="n"/>
      <c r="AK4" s="2" t="n"/>
      <c r="AL4" s="3" t="n"/>
      <c r="AM4" s="3" t="n"/>
      <c r="AN4" s="3" t="n"/>
      <c r="AO4" s="3" t="n"/>
      <c r="AP4" s="4" t="n"/>
      <c r="AQ4" s="4" t="n"/>
      <c r="AR4" s="5" t="n"/>
      <c r="AS4" s="4" t="n"/>
      <c r="AT4" s="4" t="n"/>
      <c r="AU4" s="5" t="n"/>
      <c r="AV4" s="5" t="n"/>
      <c r="AW4" s="5" t="n"/>
      <c r="AX4" s="5" t="n"/>
      <c r="AY4" s="2" t="n"/>
      <c r="AZ4" s="2" t="n"/>
      <c r="BA4" s="3" t="n"/>
      <c r="BB4" s="2" t="n"/>
      <c r="BC4" s="2" t="n"/>
      <c r="BD4" s="3" t="n"/>
      <c r="BE4" s="3" t="n"/>
      <c r="BF4" s="3" t="n"/>
      <c r="BG4" s="3" t="n"/>
      <c r="BH4" s="4" t="n"/>
      <c r="BI4" s="4" t="n"/>
      <c r="BJ4" s="5" t="n"/>
      <c r="BK4" s="4" t="n"/>
      <c r="BL4" s="4" t="n"/>
      <c r="BM4" s="5" t="n"/>
      <c r="BN4" s="5" t="n"/>
      <c r="BO4" s="5" t="n"/>
      <c r="BP4" s="5" t="n"/>
      <c r="BQ4" s="2" t="n"/>
      <c r="BR4" s="2" t="n"/>
      <c r="BS4" s="3" t="n"/>
      <c r="BT4" s="2" t="n"/>
      <c r="BU4" s="2" t="n"/>
      <c r="BV4" s="3" t="n"/>
      <c r="BW4" s="3" t="n"/>
      <c r="BX4" s="3" t="n"/>
      <c r="BY4" s="3" t="n"/>
      <c r="BZ4" s="4" t="n"/>
      <c r="CA4" s="4" t="n"/>
      <c r="CB4" s="5" t="n"/>
      <c r="CC4" s="4" t="n"/>
      <c r="CD4" s="4" t="n"/>
      <c r="CE4" s="5" t="n"/>
      <c r="CF4" s="5" t="n"/>
      <c r="CG4" s="5" t="n"/>
      <c r="CH4" s="5" t="n"/>
      <c r="CI4" s="2" t="n"/>
      <c r="CJ4" s="2" t="n"/>
      <c r="CK4" s="3" t="n"/>
      <c r="CL4" s="2" t="n"/>
      <c r="CM4" s="2" t="n"/>
      <c r="CN4" s="3" t="n"/>
      <c r="CO4" s="3" t="n"/>
      <c r="CP4" s="3" t="n"/>
      <c r="CQ4" s="3" t="n"/>
      <c r="CR4" s="4" t="n"/>
      <c r="CS4" s="4" t="n"/>
      <c r="CT4" s="5" t="n"/>
      <c r="CU4" s="4" t="n"/>
      <c r="CV4" s="4" t="n"/>
      <c r="CW4" s="5" t="n"/>
      <c r="CX4" s="5" t="n"/>
      <c r="CY4" s="5" t="n"/>
      <c r="CZ4" s="5" t="n"/>
      <c r="DA4" s="2" t="n"/>
      <c r="DB4" s="2" t="n"/>
      <c r="DC4" s="3" t="n"/>
      <c r="DD4" s="2" t="n"/>
      <c r="DE4" s="2" t="n"/>
      <c r="DF4" s="3" t="n"/>
      <c r="DG4" s="3" t="n"/>
      <c r="DH4" s="3" t="n"/>
      <c r="DI4" s="3" t="n"/>
      <c r="DJ4" s="4" t="n"/>
      <c r="DK4" s="4" t="n"/>
      <c r="DL4" s="5" t="n"/>
      <c r="DM4" s="4" t="n"/>
      <c r="DN4" s="4" t="n"/>
      <c r="DO4" s="5" t="n"/>
      <c r="DP4" s="5" t="n"/>
      <c r="DQ4" s="5" t="n"/>
      <c r="DR4" s="5" t="n"/>
      <c r="DS4" s="2" t="n"/>
      <c r="DT4" s="2" t="n"/>
      <c r="DU4" s="3" t="n"/>
      <c r="DV4" s="2" t="n"/>
      <c r="DW4" s="2" t="n"/>
      <c r="DX4" s="3" t="n"/>
      <c r="DY4" s="3" t="n"/>
      <c r="DZ4" s="3" t="n"/>
      <c r="EA4" s="3" t="n"/>
      <c r="EB4" s="4" t="n"/>
      <c r="EC4" s="4" t="n"/>
      <c r="ED4" s="5" t="n"/>
      <c r="EE4" s="4" t="n"/>
      <c r="EF4" s="4" t="n"/>
      <c r="EG4" s="5" t="n"/>
      <c r="EH4" s="5" t="n"/>
      <c r="EI4" s="5" t="n"/>
      <c r="EJ4" s="5" t="n"/>
      <c r="EK4" s="2" t="n"/>
      <c r="EL4" s="2" t="n"/>
      <c r="EM4" s="3" t="n"/>
      <c r="EN4" s="2" t="n"/>
      <c r="EO4" s="2" t="n"/>
      <c r="EP4" s="3" t="n"/>
      <c r="EQ4" s="3" t="n"/>
      <c r="ER4" s="3" t="n"/>
      <c r="ES4" s="3" t="n"/>
      <c r="ET4" s="4" t="n"/>
      <c r="EU4" s="4" t="n"/>
      <c r="EV4" s="5" t="n"/>
      <c r="EW4" s="4" t="n"/>
      <c r="EX4" s="4" t="n"/>
      <c r="EY4" s="5" t="n"/>
      <c r="EZ4" s="5" t="n"/>
      <c r="FA4" s="5" t="n"/>
      <c r="FB4" s="5" t="n"/>
      <c r="FC4" s="2" t="n"/>
      <c r="FD4" s="2" t="n"/>
      <c r="FE4" s="3" t="n"/>
      <c r="FF4" s="2" t="n"/>
      <c r="FG4" s="2" t="n"/>
      <c r="FH4" s="3" t="n"/>
      <c r="FI4" s="3" t="n"/>
      <c r="FJ4" s="3" t="n"/>
      <c r="FK4" s="3" t="n"/>
      <c r="FL4" s="4" t="n"/>
      <c r="FM4" s="4" t="n"/>
      <c r="FN4" s="5" t="n"/>
      <c r="FO4" s="4" t="n"/>
      <c r="FP4" s="4" t="n"/>
      <c r="FQ4" s="5" t="n"/>
      <c r="FR4" s="5" t="n"/>
      <c r="FS4" s="5" t="n"/>
      <c r="FT4" s="5" t="n"/>
      <c r="FU4" s="2" t="n"/>
      <c r="FV4" s="2" t="n"/>
      <c r="FW4" s="3" t="n"/>
      <c r="FX4" s="2" t="n"/>
      <c r="FY4" s="2" t="n"/>
      <c r="FZ4" s="3" t="n"/>
      <c r="GA4" s="3" t="n"/>
      <c r="GB4" s="3" t="n"/>
      <c r="GC4" s="3" t="n"/>
      <c r="GD4" s="4" t="n"/>
      <c r="GE4" s="4" t="n"/>
      <c r="GF4" s="5" t="n"/>
      <c r="GG4" s="4" t="n"/>
      <c r="GH4" s="4" t="n"/>
      <c r="GI4" s="5" t="n"/>
      <c r="GJ4" s="5" t="n"/>
      <c r="GK4" s="5" t="n"/>
      <c r="GL4" s="5" t="n"/>
      <c r="GM4" s="2" t="n"/>
      <c r="GN4" s="2" t="n"/>
      <c r="GO4" s="3" t="n"/>
      <c r="GP4" s="2" t="n"/>
      <c r="GQ4" s="2" t="n"/>
      <c r="GR4" s="3" t="n"/>
      <c r="GS4" s="3" t="n"/>
      <c r="GT4" s="3" t="n"/>
      <c r="GU4" s="3" t="n"/>
      <c r="GV4" s="4" t="n"/>
      <c r="GW4" s="4" t="n"/>
      <c r="GX4" s="5" t="n"/>
      <c r="GY4" s="4" t="n"/>
      <c r="GZ4" s="4" t="n"/>
      <c r="HA4" s="5" t="n"/>
      <c r="HB4" s="5" t="n"/>
      <c r="HC4" s="5" t="n"/>
      <c r="HD4" s="5" t="n"/>
      <c r="HE4" s="3" t="n"/>
      <c r="HF4" s="3" t="n"/>
      <c r="HG4" s="3" t="n"/>
    </row>
    <row r="5" ht="15" customHeight="1" s="150">
      <c r="A5" s="12" t="n"/>
      <c r="B5" s="12" t="n"/>
      <c r="C5" s="41" t="n"/>
      <c r="D5" s="41" t="n"/>
      <c r="E5" s="41" t="n"/>
      <c r="F5" s="240">
        <f>SUM(F6:F7)</f>
        <v/>
      </c>
      <c r="G5" s="240">
        <f>SUM(G6:G7)</f>
        <v/>
      </c>
      <c r="H5" s="240">
        <f>F5+G5</f>
        <v/>
      </c>
      <c r="I5" s="240">
        <f>SUM(I6:I7)</f>
        <v/>
      </c>
      <c r="J5" s="240">
        <f>SUM(J6:J7)</f>
        <v/>
      </c>
      <c r="K5" s="240">
        <f>I5+J5</f>
        <v/>
      </c>
      <c r="L5" s="240">
        <f>K5-H5</f>
        <v/>
      </c>
      <c r="M5" s="241">
        <f>IF(H5=0,"",K5/H5)</f>
        <v/>
      </c>
      <c r="N5" s="12" t="n"/>
      <c r="O5" s="240">
        <f>SUM(O6:O7)</f>
        <v/>
      </c>
      <c r="P5" s="240">
        <f>SUM(P6:P7)</f>
        <v/>
      </c>
      <c r="Q5" s="240">
        <f>O5+P5</f>
        <v/>
      </c>
      <c r="R5" s="240">
        <f>SUM(R6:R7)</f>
        <v/>
      </c>
      <c r="S5" s="240">
        <f>SUM(S6:S7)</f>
        <v/>
      </c>
      <c r="T5" s="240">
        <f>R5+S5</f>
        <v/>
      </c>
      <c r="U5" s="240">
        <f>T5-Q5</f>
        <v/>
      </c>
      <c r="V5" s="241">
        <f>IF(Q5=0,"",T5/Q5)</f>
        <v/>
      </c>
      <c r="W5" s="12" t="n"/>
      <c r="X5" s="242">
        <f>SUM(X6:X7)</f>
        <v/>
      </c>
      <c r="Y5" s="242">
        <f>SUM(Y6:Y7)</f>
        <v/>
      </c>
      <c r="Z5" s="242">
        <f>X5+Y5</f>
        <v/>
      </c>
      <c r="AA5" s="242">
        <f>SUM(AA6:AA7)</f>
        <v/>
      </c>
      <c r="AB5" s="242">
        <f>SUM(AB6:AB7)</f>
        <v/>
      </c>
      <c r="AC5" s="242">
        <f>AA5+AB5</f>
        <v/>
      </c>
      <c r="AD5" s="242">
        <f>AC5-Z5</f>
        <v/>
      </c>
      <c r="AE5" s="243">
        <f>IF(Z5=0,"",AC5/Z5)</f>
        <v/>
      </c>
      <c r="AF5" s="17" t="n"/>
      <c r="AG5" s="240">
        <f>SUM(AG6:AG7)</f>
        <v/>
      </c>
      <c r="AH5" s="240">
        <f>SUM(AH6:AH7)</f>
        <v/>
      </c>
      <c r="AI5" s="240">
        <f>AG5+AH5</f>
        <v/>
      </c>
      <c r="AJ5" s="240">
        <f>SUM(AJ6:AJ7)</f>
        <v/>
      </c>
      <c r="AK5" s="240">
        <f>SUM(AK6:AK7)</f>
        <v/>
      </c>
      <c r="AL5" s="240">
        <f>AJ5+AK5</f>
        <v/>
      </c>
      <c r="AM5" s="240">
        <f>AL5-AI5</f>
        <v/>
      </c>
      <c r="AN5" s="241">
        <f>IF(AI5=0,"",AL5/AI5)</f>
        <v/>
      </c>
      <c r="AO5" s="12" t="n"/>
      <c r="AP5" s="242">
        <f>SUM(AP6:AP7)</f>
        <v/>
      </c>
      <c r="AQ5" s="242">
        <f>SUM(AQ6:AQ7)</f>
        <v/>
      </c>
      <c r="AR5" s="242">
        <f>AP5+AQ5</f>
        <v/>
      </c>
      <c r="AS5" s="242">
        <f>SUM(AS6:AS7)</f>
        <v/>
      </c>
      <c r="AT5" s="242">
        <f>SUM(AT6:AT7)</f>
        <v/>
      </c>
      <c r="AU5" s="242">
        <f>AS5+AT5</f>
        <v/>
      </c>
      <c r="AV5" s="242">
        <f>AU5-AR5</f>
        <v/>
      </c>
      <c r="AW5" s="243">
        <f>IF(AR5=0,"",AU5/AR5)</f>
        <v/>
      </c>
      <c r="AX5" s="17" t="n"/>
      <c r="AY5" s="240">
        <f>SUM(AY6:AY7)</f>
        <v/>
      </c>
      <c r="AZ5" s="240">
        <f>SUM(AZ6:AZ7)</f>
        <v/>
      </c>
      <c r="BA5" s="240">
        <f>AY5+AZ5</f>
        <v/>
      </c>
      <c r="BB5" s="240">
        <f>SUM(BB6:BB7)</f>
        <v/>
      </c>
      <c r="BC5" s="240">
        <f>SUM(BC6:BC7)</f>
        <v/>
      </c>
      <c r="BD5" s="240">
        <f>BB5+BC5</f>
        <v/>
      </c>
      <c r="BE5" s="240">
        <f>BD5-BA5</f>
        <v/>
      </c>
      <c r="BF5" s="241">
        <f>IF(BA5=0,"",BD5/BA5)</f>
        <v/>
      </c>
      <c r="BG5" s="12" t="n"/>
      <c r="BH5" s="242">
        <f>SUM(BH6:BH7)</f>
        <v/>
      </c>
      <c r="BI5" s="242">
        <f>SUM(BI6:BI7)</f>
        <v/>
      </c>
      <c r="BJ5" s="242">
        <f>BH5+BI5</f>
        <v/>
      </c>
      <c r="BK5" s="242">
        <f>SUM(BK6:BK7)</f>
        <v/>
      </c>
      <c r="BL5" s="242">
        <f>SUM(BL6:BL7)</f>
        <v/>
      </c>
      <c r="BM5" s="242">
        <f>BK5+BL5</f>
        <v/>
      </c>
      <c r="BN5" s="242">
        <f>BM5-BJ5</f>
        <v/>
      </c>
      <c r="BO5" s="243">
        <f>IF(BJ5=0,"",BM5/BJ5)</f>
        <v/>
      </c>
      <c r="BP5" s="17" t="n"/>
      <c r="BQ5" s="240">
        <f>SUM(BQ6:BQ7)</f>
        <v/>
      </c>
      <c r="BR5" s="240">
        <f>SUM(BR6:BR7)</f>
        <v/>
      </c>
      <c r="BS5" s="240">
        <f>BQ5+BR5</f>
        <v/>
      </c>
      <c r="BT5" s="240">
        <f>SUM(BT6:BT7)</f>
        <v/>
      </c>
      <c r="BU5" s="240">
        <f>SUM(BU6:BU7)</f>
        <v/>
      </c>
      <c r="BV5" s="240">
        <f>BT5+BU5</f>
        <v/>
      </c>
      <c r="BW5" s="240">
        <f>BV5-BS5</f>
        <v/>
      </c>
      <c r="BX5" s="241">
        <f>IF(BS5=0,"",BV5/BS5)</f>
        <v/>
      </c>
      <c r="BY5" s="12" t="n"/>
      <c r="BZ5" s="242">
        <f>SUM(BZ6:BZ7)</f>
        <v/>
      </c>
      <c r="CA5" s="242">
        <f>SUM(CA6:CA7)</f>
        <v/>
      </c>
      <c r="CB5" s="242">
        <f>BZ5+CA5</f>
        <v/>
      </c>
      <c r="CC5" s="242">
        <f>SUM(CC6:CC7)</f>
        <v/>
      </c>
      <c r="CD5" s="242">
        <f>SUM(CD6:CD7)</f>
        <v/>
      </c>
      <c r="CE5" s="242">
        <f>CC5+CD5</f>
        <v/>
      </c>
      <c r="CF5" s="242">
        <f>CE5-CB5</f>
        <v/>
      </c>
      <c r="CG5" s="243">
        <f>IF(CB5=0,"",CE5/CB5)</f>
        <v/>
      </c>
      <c r="CH5" s="17" t="n"/>
      <c r="CI5" s="240">
        <f>SUM(CI6:CI7)</f>
        <v/>
      </c>
      <c r="CJ5" s="240">
        <f>SUM(CJ6:CJ7)</f>
        <v/>
      </c>
      <c r="CK5" s="240">
        <f>CI5+CJ5</f>
        <v/>
      </c>
      <c r="CL5" s="240">
        <f>SUM(CL6:CL7)</f>
        <v/>
      </c>
      <c r="CM5" s="240">
        <f>SUM(CM6:CM7)</f>
        <v/>
      </c>
      <c r="CN5" s="240">
        <f>CL5+CM5</f>
        <v/>
      </c>
      <c r="CO5" s="240">
        <f>CN5-CK5</f>
        <v/>
      </c>
      <c r="CP5" s="241">
        <f>IF(CK5=0,"",CN5/CK5)</f>
        <v/>
      </c>
      <c r="CQ5" s="12" t="n"/>
      <c r="CR5" s="242">
        <f>SUM(CR6:CR7)</f>
        <v/>
      </c>
      <c r="CS5" s="242">
        <f>SUM(CS6:CS7)</f>
        <v/>
      </c>
      <c r="CT5" s="242">
        <f>CR5+CS5</f>
        <v/>
      </c>
      <c r="CU5" s="242">
        <f>SUM(CU6:CU7)</f>
        <v/>
      </c>
      <c r="CV5" s="242">
        <f>SUM(CV6:CV7)</f>
        <v/>
      </c>
      <c r="CW5" s="242">
        <f>CU5+CV5</f>
        <v/>
      </c>
      <c r="CX5" s="242">
        <f>CW5-CT5</f>
        <v/>
      </c>
      <c r="CY5" s="243">
        <f>IF(CT5=0,"",CW5/CT5)</f>
        <v/>
      </c>
      <c r="CZ5" s="17" t="n"/>
      <c r="DA5" s="240">
        <f>SUM(DA6:DA7)</f>
        <v/>
      </c>
      <c r="DB5" s="240">
        <f>SUM(DB6:DB7)</f>
        <v/>
      </c>
      <c r="DC5" s="240">
        <f>DA5+DB5</f>
        <v/>
      </c>
      <c r="DD5" s="240">
        <f>SUM(DD6:DD7)</f>
        <v/>
      </c>
      <c r="DE5" s="240">
        <f>SUM(DE6:DE7)</f>
        <v/>
      </c>
      <c r="DF5" s="240">
        <f>DD5+DE5</f>
        <v/>
      </c>
      <c r="DG5" s="240">
        <f>DF5-DC5</f>
        <v/>
      </c>
      <c r="DH5" s="241">
        <f>IF(DC5=0,"",DF5/DC5)</f>
        <v/>
      </c>
      <c r="DI5" s="12" t="n"/>
      <c r="DJ5" s="242">
        <f>SUM(DJ6:DJ7)</f>
        <v/>
      </c>
      <c r="DK5" s="242">
        <f>SUM(DK6:DK7)</f>
        <v/>
      </c>
      <c r="DL5" s="242">
        <f>DJ5+DK5</f>
        <v/>
      </c>
      <c r="DM5" s="242">
        <f>SUM(DM6:DM7)</f>
        <v/>
      </c>
      <c r="DN5" s="242">
        <f>SUM(DN6:DN7)</f>
        <v/>
      </c>
      <c r="DO5" s="242">
        <f>DM5+DN5</f>
        <v/>
      </c>
      <c r="DP5" s="242">
        <f>DO5-DL5</f>
        <v/>
      </c>
      <c r="DQ5" s="243">
        <f>IF(DL5=0,"",DO5/DL5)</f>
        <v/>
      </c>
      <c r="DR5" s="17" t="n"/>
      <c r="DS5" s="240">
        <f>SUM(DS6:DS7)</f>
        <v/>
      </c>
      <c r="DT5" s="240">
        <f>SUM(DT6:DT7)</f>
        <v/>
      </c>
      <c r="DU5" s="240">
        <f>DS5+DT5</f>
        <v/>
      </c>
      <c r="DV5" s="240">
        <f>SUM(DV6:DV7)</f>
        <v/>
      </c>
      <c r="DW5" s="240">
        <f>SUM(DW6:DW7)</f>
        <v/>
      </c>
      <c r="DX5" s="240">
        <f>DV5+DW5</f>
        <v/>
      </c>
      <c r="DY5" s="240">
        <f>DX5-DU5</f>
        <v/>
      </c>
      <c r="DZ5" s="241">
        <f>IF(DU5=0,"",DX5/DU5)</f>
        <v/>
      </c>
      <c r="EA5" s="12" t="n"/>
      <c r="EB5" s="242">
        <f>SUM(EB6:EB7)</f>
        <v/>
      </c>
      <c r="EC5" s="242">
        <f>SUM(EC6:EC7)</f>
        <v/>
      </c>
      <c r="ED5" s="242">
        <f>EB5+EC5</f>
        <v/>
      </c>
      <c r="EE5" s="242">
        <f>SUM(EE6:EE7)</f>
        <v/>
      </c>
      <c r="EF5" s="242">
        <f>SUM(EF6:EF7)</f>
        <v/>
      </c>
      <c r="EG5" s="242">
        <f>EE5+EF5</f>
        <v/>
      </c>
      <c r="EH5" s="242">
        <f>EG5-ED5</f>
        <v/>
      </c>
      <c r="EI5" s="243">
        <f>IF(ED5=0,"",EG5/ED5)</f>
        <v/>
      </c>
      <c r="EJ5" s="17" t="n"/>
      <c r="EK5" s="240">
        <f>SUM(EK6:EK7)</f>
        <v/>
      </c>
      <c r="EL5" s="240">
        <f>SUM(EL6:EL7)</f>
        <v/>
      </c>
      <c r="EM5" s="240">
        <f>EK5+EL5</f>
        <v/>
      </c>
      <c r="EN5" s="240">
        <f>SUM(EN6:EN7)</f>
        <v/>
      </c>
      <c r="EO5" s="240">
        <f>SUM(EO6:EO7)</f>
        <v/>
      </c>
      <c r="EP5" s="240">
        <f>EN5+EO5</f>
        <v/>
      </c>
      <c r="EQ5" s="240">
        <f>EP5-EM5</f>
        <v/>
      </c>
      <c r="ER5" s="241">
        <f>IF(EM5=0,"",EP5/EM5)</f>
        <v/>
      </c>
      <c r="ES5" s="12" t="n"/>
      <c r="ET5" s="242">
        <f>SUM(ET6:ET7)</f>
        <v/>
      </c>
      <c r="EU5" s="242">
        <f>SUM(EU6:EU7)</f>
        <v/>
      </c>
      <c r="EV5" s="242">
        <f>ET5+EU5</f>
        <v/>
      </c>
      <c r="EW5" s="242">
        <f>SUM(EW6:EW7)</f>
        <v/>
      </c>
      <c r="EX5" s="242">
        <f>SUM(EX6:EX7)</f>
        <v/>
      </c>
      <c r="EY5" s="242">
        <f>EW5+EX5</f>
        <v/>
      </c>
      <c r="EZ5" s="242">
        <f>EY5-EV5</f>
        <v/>
      </c>
      <c r="FA5" s="243">
        <f>IF(EV5=0,"",EY5/EV5)</f>
        <v/>
      </c>
      <c r="FB5" s="17" t="n"/>
      <c r="FC5" s="240">
        <f>SUM(FC6:FC7)</f>
        <v/>
      </c>
      <c r="FD5" s="240">
        <f>SUM(FD6:FD7)</f>
        <v/>
      </c>
      <c r="FE5" s="240">
        <f>FC5+FD5</f>
        <v/>
      </c>
      <c r="FF5" s="240">
        <f>SUM(FF6:FF7)</f>
        <v/>
      </c>
      <c r="FG5" s="240">
        <f>SUM(FG6:FG7)</f>
        <v/>
      </c>
      <c r="FH5" s="240">
        <f>FF5+FG5</f>
        <v/>
      </c>
      <c r="FI5" s="240">
        <f>FH5-FE5</f>
        <v/>
      </c>
      <c r="FJ5" s="241">
        <f>IF(FE5=0,"",FH5/FE5)</f>
        <v/>
      </c>
      <c r="FK5" s="12" t="n"/>
      <c r="FL5" s="242">
        <f>SUM(FL6:FL7)</f>
        <v/>
      </c>
      <c r="FM5" s="242">
        <f>SUM(FM6:FM7)</f>
        <v/>
      </c>
      <c r="FN5" s="242">
        <f>FL5+FM5</f>
        <v/>
      </c>
      <c r="FO5" s="242">
        <f>SUM(FO6:FO7)</f>
        <v/>
      </c>
      <c r="FP5" s="242">
        <f>SUM(FP6:FP7)</f>
        <v/>
      </c>
      <c r="FQ5" s="242">
        <f>FO5+FP5</f>
        <v/>
      </c>
      <c r="FR5" s="242">
        <f>FQ5-FN5</f>
        <v/>
      </c>
      <c r="FS5" s="243">
        <f>IF(FN5=0,"",FQ5/FN5)</f>
        <v/>
      </c>
      <c r="FT5" s="17" t="n"/>
      <c r="FU5" s="240">
        <f>SUM(FU6:FU7)</f>
        <v/>
      </c>
      <c r="FV5" s="240">
        <f>SUM(FV6:FV7)</f>
        <v/>
      </c>
      <c r="FW5" s="240">
        <f>FU5+FV5</f>
        <v/>
      </c>
      <c r="FX5" s="240">
        <f>SUM(FX6:FX7)</f>
        <v/>
      </c>
      <c r="FY5" s="240">
        <f>SUM(FY6:FY7)</f>
        <v/>
      </c>
      <c r="FZ5" s="240">
        <f>FX5+FY5</f>
        <v/>
      </c>
      <c r="GA5" s="240">
        <f>FZ5-FW5</f>
        <v/>
      </c>
      <c r="GB5" s="241">
        <f>IF(FW5=0,"",FZ5/FW5)</f>
        <v/>
      </c>
      <c r="GC5" s="12" t="n"/>
      <c r="GD5" s="242">
        <f>SUM(GD6:GD7)</f>
        <v/>
      </c>
      <c r="GE5" s="242">
        <f>SUM(GE6:GE7)</f>
        <v/>
      </c>
      <c r="GF5" s="242">
        <f>GD5+GE5</f>
        <v/>
      </c>
      <c r="GG5" s="242">
        <f>SUM(GG6:GG7)</f>
        <v/>
      </c>
      <c r="GH5" s="242">
        <f>SUM(GH6:GH7)</f>
        <v/>
      </c>
      <c r="GI5" s="242">
        <f>GG5+GH5</f>
        <v/>
      </c>
      <c r="GJ5" s="242">
        <f>GI5-GF5</f>
        <v/>
      </c>
      <c r="GK5" s="243">
        <f>IF(GF5=0,"",GI5/GF5)</f>
        <v/>
      </c>
      <c r="GL5" s="17" t="n"/>
      <c r="GM5" s="240">
        <f>SUM(GM6:GM7)</f>
        <v/>
      </c>
      <c r="GN5" s="240">
        <f>SUM(GN6:GN7)</f>
        <v/>
      </c>
      <c r="GO5" s="240">
        <f>GM5+GN5</f>
        <v/>
      </c>
      <c r="GP5" s="240">
        <f>SUM(GP6:GP7)</f>
        <v/>
      </c>
      <c r="GQ5" s="240">
        <f>SUM(GQ6:GQ7)</f>
        <v/>
      </c>
      <c r="GR5" s="240">
        <f>GP5+GQ5</f>
        <v/>
      </c>
      <c r="GS5" s="240">
        <f>GR5-GO5</f>
        <v/>
      </c>
      <c r="GT5" s="241">
        <f>IF(GO5=0,"",GR5/GO5)</f>
        <v/>
      </c>
      <c r="GU5" s="12" t="n"/>
      <c r="GV5" s="242">
        <f>SUM(GV6:GV7)</f>
        <v/>
      </c>
      <c r="GW5" s="242">
        <f>SUM(GW6:GW7)</f>
        <v/>
      </c>
      <c r="GX5" s="242">
        <f>GV5+GW5</f>
        <v/>
      </c>
      <c r="GY5" s="242">
        <f>SUM(GY6:GY7)</f>
        <v/>
      </c>
      <c r="GZ5" s="242">
        <f>SUM(GZ6:GZ7)</f>
        <v/>
      </c>
      <c r="HA5" s="242">
        <f>GY5+GZ5</f>
        <v/>
      </c>
      <c r="HB5" s="242">
        <f>HA5-GX5</f>
        <v/>
      </c>
      <c r="HC5" s="243">
        <f>IF(GX5=0,"",HA5/GX5)</f>
        <v/>
      </c>
      <c r="HD5" s="17" t="n"/>
      <c r="HE5" s="240">
        <f>GV5</f>
        <v/>
      </c>
      <c r="HF5" s="240">
        <f>GW5</f>
        <v/>
      </c>
      <c r="HG5" s="240">
        <f>HE5+HF5</f>
        <v/>
      </c>
    </row>
    <row r="6" ht="30" customHeight="1" s="150">
      <c r="A6" s="26" t="n"/>
      <c r="B6" s="26" t="n"/>
      <c r="C6" s="42" t="n"/>
      <c r="D6" s="42" t="n"/>
      <c r="E6" s="42" t="n"/>
      <c r="F6" s="233" t="n"/>
      <c r="G6" s="233" t="n"/>
      <c r="H6" s="233">
        <f>F6+G6</f>
        <v/>
      </c>
      <c r="I6" s="233" t="n"/>
      <c r="J6" s="233" t="n"/>
      <c r="K6" s="233">
        <f>I6+J6</f>
        <v/>
      </c>
      <c r="L6" s="234">
        <f>K6-H6</f>
        <v/>
      </c>
      <c r="M6" s="235">
        <f>IF(H6=0,"",K6/H6)</f>
        <v/>
      </c>
      <c r="N6" s="26" t="n"/>
      <c r="O6" s="233" t="n"/>
      <c r="P6" s="233" t="n"/>
      <c r="Q6" s="233">
        <f>O6+P6</f>
        <v/>
      </c>
      <c r="R6" s="233" t="n"/>
      <c r="S6" s="233" t="n"/>
      <c r="T6" s="233">
        <f>R6+S6</f>
        <v/>
      </c>
      <c r="U6" s="234">
        <f>T6-Q6</f>
        <v/>
      </c>
      <c r="V6" s="235">
        <f>IF(Q6=0,"",T6/Q6)</f>
        <v/>
      </c>
      <c r="W6" s="26" t="n"/>
      <c r="X6" s="236">
        <f>F6+O6</f>
        <v/>
      </c>
      <c r="Y6" s="236">
        <f>G6+P6</f>
        <v/>
      </c>
      <c r="Z6" s="236">
        <f>X6+Y6</f>
        <v/>
      </c>
      <c r="AA6" s="236">
        <f>I6+R6</f>
        <v/>
      </c>
      <c r="AB6" s="236">
        <f>J6+S6</f>
        <v/>
      </c>
      <c r="AC6" s="236">
        <f>AA6+AB6</f>
        <v/>
      </c>
      <c r="AD6" s="234">
        <f>AC6-Z6</f>
        <v/>
      </c>
      <c r="AE6" s="237">
        <f>IF(Z6=0,"",AC6/Z6)</f>
        <v/>
      </c>
      <c r="AF6" s="33" t="n"/>
      <c r="AG6" s="233" t="n"/>
      <c r="AH6" s="233" t="n"/>
      <c r="AI6" s="233">
        <f>AG6+AH6</f>
        <v/>
      </c>
      <c r="AJ6" s="233" t="n"/>
      <c r="AK6" s="233" t="n"/>
      <c r="AL6" s="233">
        <f>AJ6+AK6</f>
        <v/>
      </c>
      <c r="AM6" s="234">
        <f>AL6-AI6</f>
        <v/>
      </c>
      <c r="AN6" s="235">
        <f>IF(AI6=0,"",AL6/AI6)</f>
        <v/>
      </c>
      <c r="AO6" s="26" t="n"/>
      <c r="AP6" s="236">
        <f>X6+AG6</f>
        <v/>
      </c>
      <c r="AQ6" s="236">
        <f>Y6+AH6</f>
        <v/>
      </c>
      <c r="AR6" s="236">
        <f>AP6+AQ6</f>
        <v/>
      </c>
      <c r="AS6" s="236">
        <f>AA6+AJ6</f>
        <v/>
      </c>
      <c r="AT6" s="236">
        <f>AB6+AK6</f>
        <v/>
      </c>
      <c r="AU6" s="236">
        <f>AS6+AT6</f>
        <v/>
      </c>
      <c r="AV6" s="239">
        <f>AU6-AR6</f>
        <v/>
      </c>
      <c r="AW6" s="237">
        <f>IF(AR6=0,"",AU6/AR6)</f>
        <v/>
      </c>
      <c r="AX6" s="33" t="n"/>
      <c r="AY6" s="233" t="n"/>
      <c r="AZ6" s="233" t="n"/>
      <c r="BA6" s="233">
        <f>AY6+AZ6</f>
        <v/>
      </c>
      <c r="BB6" s="233" t="n"/>
      <c r="BC6" s="233" t="n"/>
      <c r="BD6" s="233">
        <f>BB6+BC6</f>
        <v/>
      </c>
      <c r="BE6" s="238">
        <f>BD6-BA6</f>
        <v/>
      </c>
      <c r="BF6" s="235">
        <f>IF(BA6=0,"",BD6/BA6)</f>
        <v/>
      </c>
      <c r="BG6" s="26" t="n"/>
      <c r="BH6" s="236">
        <f>AP6+AY6</f>
        <v/>
      </c>
      <c r="BI6" s="236">
        <f>AQ6+AZ6</f>
        <v/>
      </c>
      <c r="BJ6" s="236">
        <f>BH6+BI6</f>
        <v/>
      </c>
      <c r="BK6" s="236">
        <f>AS6+BB6</f>
        <v/>
      </c>
      <c r="BL6" s="236">
        <f>AT6+BC6</f>
        <v/>
      </c>
      <c r="BM6" s="236">
        <f>BK6+BL6</f>
        <v/>
      </c>
      <c r="BN6" s="239">
        <f>BM6-BJ6</f>
        <v/>
      </c>
      <c r="BO6" s="237">
        <f>IF(BJ6=0,"",BM6/BJ6)</f>
        <v/>
      </c>
      <c r="BP6" s="33" t="n"/>
      <c r="BQ6" s="233" t="n"/>
      <c r="BR6" s="233" t="n"/>
      <c r="BS6" s="233">
        <f>BQ6+BR6</f>
        <v/>
      </c>
      <c r="BT6" s="233" t="n"/>
      <c r="BU6" s="233" t="n"/>
      <c r="BV6" s="233">
        <f>BT6+BU6</f>
        <v/>
      </c>
      <c r="BW6" s="238">
        <f>BV6-BS6</f>
        <v/>
      </c>
      <c r="BX6" s="235">
        <f>IF(BS6=0,"",BV6/BS6)</f>
        <v/>
      </c>
      <c r="BY6" s="26" t="n"/>
      <c r="BZ6" s="236">
        <f>BH6+BQ6</f>
        <v/>
      </c>
      <c r="CA6" s="236">
        <f>BI6+BR6</f>
        <v/>
      </c>
      <c r="CB6" s="236">
        <f>BZ6+CA6</f>
        <v/>
      </c>
      <c r="CC6" s="236">
        <f>BK6+BT6</f>
        <v/>
      </c>
      <c r="CD6" s="236">
        <f>BL6+BU6</f>
        <v/>
      </c>
      <c r="CE6" s="236">
        <f>CC6+CD6</f>
        <v/>
      </c>
      <c r="CF6" s="239">
        <f>CE6-CB6</f>
        <v/>
      </c>
      <c r="CG6" s="237">
        <f>IF(CB6=0,"",CE6/CB6)</f>
        <v/>
      </c>
      <c r="CH6" s="33" t="n"/>
      <c r="CI6" s="233" t="n"/>
      <c r="CJ6" s="233" t="n"/>
      <c r="CK6" s="233">
        <f>CI6+CJ6</f>
        <v/>
      </c>
      <c r="CL6" s="233" t="n"/>
      <c r="CM6" s="233" t="n"/>
      <c r="CN6" s="233">
        <f>CL6+CM6</f>
        <v/>
      </c>
      <c r="CO6" s="238">
        <f>CN6-CK6</f>
        <v/>
      </c>
      <c r="CP6" s="235">
        <f>IF(CK6=0,"",CN6/CK6)</f>
        <v/>
      </c>
      <c r="CQ6" s="26" t="n"/>
      <c r="CR6" s="236">
        <f>BZ6+CI6</f>
        <v/>
      </c>
      <c r="CS6" s="236">
        <f>CA6+CJ6</f>
        <v/>
      </c>
      <c r="CT6" s="236">
        <f>CR6+CS6</f>
        <v/>
      </c>
      <c r="CU6" s="236">
        <f>CC6+CL6</f>
        <v/>
      </c>
      <c r="CV6" s="236">
        <f>CD6+CM6</f>
        <v/>
      </c>
      <c r="CW6" s="236">
        <f>CU6+CV6</f>
        <v/>
      </c>
      <c r="CX6" s="239">
        <f>CW6-CT6</f>
        <v/>
      </c>
      <c r="CY6" s="237">
        <f>IF(CT6=0,"",CW6/CT6)</f>
        <v/>
      </c>
      <c r="CZ6" s="33" t="n"/>
      <c r="DA6" s="233" t="n"/>
      <c r="DB6" s="233" t="n"/>
      <c r="DC6" s="233">
        <f>DA6+DB6</f>
        <v/>
      </c>
      <c r="DD6" s="233" t="n"/>
      <c r="DE6" s="233" t="n"/>
      <c r="DF6" s="233">
        <f>DD6+DE6</f>
        <v/>
      </c>
      <c r="DG6" s="238">
        <f>DF6-DC6</f>
        <v/>
      </c>
      <c r="DH6" s="235">
        <f>IF(DC6=0,"",DF6/DC6)</f>
        <v/>
      </c>
      <c r="DI6" s="26" t="n"/>
      <c r="DJ6" s="236">
        <f>CR6+DA6</f>
        <v/>
      </c>
      <c r="DK6" s="236">
        <f>CS6+DB6</f>
        <v/>
      </c>
      <c r="DL6" s="236">
        <f>DJ6+DK6</f>
        <v/>
      </c>
      <c r="DM6" s="236">
        <f>CU6+DD6</f>
        <v/>
      </c>
      <c r="DN6" s="236">
        <f>CV6+DE6</f>
        <v/>
      </c>
      <c r="DO6" s="236">
        <f>DM6+DN6</f>
        <v/>
      </c>
      <c r="DP6" s="239">
        <f>DO6-DL6</f>
        <v/>
      </c>
      <c r="DQ6" s="237">
        <f>IF(DL6=0,"",DO6/DL6)</f>
        <v/>
      </c>
      <c r="DR6" s="33" t="n"/>
      <c r="DS6" s="233" t="n"/>
      <c r="DT6" s="233" t="n"/>
      <c r="DU6" s="233">
        <f>DS6+DT6</f>
        <v/>
      </c>
      <c r="DV6" s="233" t="n"/>
      <c r="DW6" s="233" t="n"/>
      <c r="DX6" s="233">
        <f>DV6+DW6</f>
        <v/>
      </c>
      <c r="DY6" s="238">
        <f>DX6-DU6</f>
        <v/>
      </c>
      <c r="DZ6" s="235">
        <f>IF(DU6=0,"",DX6/DU6)</f>
        <v/>
      </c>
      <c r="EA6" s="26" t="n"/>
      <c r="EB6" s="236">
        <f>DJ6+DS6</f>
        <v/>
      </c>
      <c r="EC6" s="236">
        <f>DK6+DT6</f>
        <v/>
      </c>
      <c r="ED6" s="236">
        <f>EB6+EC6</f>
        <v/>
      </c>
      <c r="EE6" s="236">
        <f>DM6+DV6</f>
        <v/>
      </c>
      <c r="EF6" s="236">
        <f>DN6+DW6</f>
        <v/>
      </c>
      <c r="EG6" s="236">
        <f>EE6+EF6</f>
        <v/>
      </c>
      <c r="EH6" s="239">
        <f>EG6-ED6</f>
        <v/>
      </c>
      <c r="EI6" s="237">
        <f>IF(ED6=0,"",EG6/ED6)</f>
        <v/>
      </c>
      <c r="EJ6" s="33" t="n"/>
      <c r="EK6" s="233" t="n"/>
      <c r="EL6" s="233" t="n"/>
      <c r="EM6" s="233">
        <f>EK6+EL6</f>
        <v/>
      </c>
      <c r="EN6" s="233" t="n"/>
      <c r="EO6" s="233" t="n"/>
      <c r="EP6" s="233">
        <f>EN6+EO6</f>
        <v/>
      </c>
      <c r="EQ6" s="238">
        <f>EP6-EM6</f>
        <v/>
      </c>
      <c r="ER6" s="235">
        <f>IF(EM6=0,"",EP6/EM6)</f>
        <v/>
      </c>
      <c r="ES6" s="26" t="n"/>
      <c r="ET6" s="236">
        <f>EB6+EK6</f>
        <v/>
      </c>
      <c r="EU6" s="236">
        <f>EC6+EL6</f>
        <v/>
      </c>
      <c r="EV6" s="236">
        <f>ET6+EU6</f>
        <v/>
      </c>
      <c r="EW6" s="236">
        <f>EE6+EN6</f>
        <v/>
      </c>
      <c r="EX6" s="236">
        <f>EF6+EO6</f>
        <v/>
      </c>
      <c r="EY6" s="236">
        <f>EW6+EX6</f>
        <v/>
      </c>
      <c r="EZ6" s="239">
        <f>EY6-EV6</f>
        <v/>
      </c>
      <c r="FA6" s="237">
        <f>IF(EV6=0,"",EY6/EV6)</f>
        <v/>
      </c>
      <c r="FB6" s="33" t="n"/>
      <c r="FC6" s="233" t="n"/>
      <c r="FD6" s="233" t="n"/>
      <c r="FE6" s="233">
        <f>FC6+FD6</f>
        <v/>
      </c>
      <c r="FF6" s="233" t="n"/>
      <c r="FG6" s="233" t="n"/>
      <c r="FH6" s="233">
        <f>FF6+FG6</f>
        <v/>
      </c>
      <c r="FI6" s="238">
        <f>FH6-FE6</f>
        <v/>
      </c>
      <c r="FJ6" s="235">
        <f>IF(FE6=0,"",FH6/FE6)</f>
        <v/>
      </c>
      <c r="FK6" s="26" t="n"/>
      <c r="FL6" s="236">
        <f>ET6+FC6</f>
        <v/>
      </c>
      <c r="FM6" s="236">
        <f>EU6+FD6</f>
        <v/>
      </c>
      <c r="FN6" s="236">
        <f>FL6+FM6</f>
        <v/>
      </c>
      <c r="FO6" s="236">
        <f>EW6+FF6</f>
        <v/>
      </c>
      <c r="FP6" s="236">
        <f>EX6+FG6</f>
        <v/>
      </c>
      <c r="FQ6" s="236">
        <f>FO6+FP6</f>
        <v/>
      </c>
      <c r="FR6" s="239">
        <f>FQ6-FN6</f>
        <v/>
      </c>
      <c r="FS6" s="237">
        <f>IF(FN6=0,"",FQ6/FN6)</f>
        <v/>
      </c>
      <c r="FT6" s="33" t="n"/>
      <c r="FU6" s="233" t="n"/>
      <c r="FV6" s="233" t="n"/>
      <c r="FW6" s="233">
        <f>FU6+FV6</f>
        <v/>
      </c>
      <c r="FX6" s="233" t="n"/>
      <c r="FY6" s="233" t="n"/>
      <c r="FZ6" s="233">
        <f>FX6+FY6</f>
        <v/>
      </c>
      <c r="GA6" s="238">
        <f>FZ6-FW6</f>
        <v/>
      </c>
      <c r="GB6" s="235">
        <f>IF(FW6=0,"",FZ6/FW6)</f>
        <v/>
      </c>
      <c r="GC6" s="26" t="n"/>
      <c r="GD6" s="236">
        <f>FL6+FU6</f>
        <v/>
      </c>
      <c r="GE6" s="236">
        <f>FM6+FV6</f>
        <v/>
      </c>
      <c r="GF6" s="236">
        <f>GD6+GE6</f>
        <v/>
      </c>
      <c r="GG6" s="236">
        <f>FO6+FX6</f>
        <v/>
      </c>
      <c r="GH6" s="236">
        <f>FP6+FY6</f>
        <v/>
      </c>
      <c r="GI6" s="236">
        <f>GG6+GH6</f>
        <v/>
      </c>
      <c r="GJ6" s="239">
        <f>GI6-GF6</f>
        <v/>
      </c>
      <c r="GK6" s="237">
        <f>IF(GF6=0,"",GI6/GF6)</f>
        <v/>
      </c>
      <c r="GL6" s="33" t="n"/>
      <c r="GM6" s="233" t="n"/>
      <c r="GN6" s="233" t="n"/>
      <c r="GO6" s="233">
        <f>GM6+GN6</f>
        <v/>
      </c>
      <c r="GP6" s="233" t="n"/>
      <c r="GQ6" s="233" t="n"/>
      <c r="GR6" s="233">
        <f>GP6+GQ6</f>
        <v/>
      </c>
      <c r="GS6" s="238">
        <f>GR6-GO6</f>
        <v/>
      </c>
      <c r="GT6" s="235">
        <f>IF(GO6=0,"",GR6/GO6)</f>
        <v/>
      </c>
      <c r="GU6" s="26" t="n"/>
      <c r="GV6" s="236">
        <f>GD6+GM6</f>
        <v/>
      </c>
      <c r="GW6" s="236">
        <f>GE6+GN6</f>
        <v/>
      </c>
      <c r="GX6" s="236">
        <f>GV6+GW6</f>
        <v/>
      </c>
      <c r="GY6" s="236">
        <f>GG6+GP6</f>
        <v/>
      </c>
      <c r="GZ6" s="236">
        <f>GH6+GQ6</f>
        <v/>
      </c>
      <c r="HA6" s="236">
        <f>GY6+GZ6</f>
        <v/>
      </c>
      <c r="HB6" s="239">
        <f>HA6-GX6</f>
        <v/>
      </c>
      <c r="HC6" s="237">
        <f>IF(GX6=0,"",HA6/GX6)</f>
        <v/>
      </c>
      <c r="HD6" s="33" t="n"/>
      <c r="HE6" s="233">
        <f>GV6</f>
        <v/>
      </c>
      <c r="HF6" s="233">
        <f>GW6</f>
        <v/>
      </c>
      <c r="HG6" s="233">
        <f>HE6+HF6</f>
        <v/>
      </c>
    </row>
    <row r="7" ht="30" customHeight="1" s="150">
      <c r="A7" s="26" t="n"/>
      <c r="B7" s="26" t="n"/>
      <c r="C7" s="42" t="n"/>
      <c r="D7" s="42" t="n"/>
      <c r="E7" s="42" t="n"/>
      <c r="F7" s="233" t="n"/>
      <c r="G7" s="233" t="n"/>
      <c r="H7" s="233">
        <f>F7+G7</f>
        <v/>
      </c>
      <c r="I7" s="233" t="n"/>
      <c r="J7" s="233" t="n"/>
      <c r="K7" s="233">
        <f>I7+J7</f>
        <v/>
      </c>
      <c r="L7" s="234">
        <f>K7-H7</f>
        <v/>
      </c>
      <c r="M7" s="235">
        <f>IF(H7=0,"",K7/H7)</f>
        <v/>
      </c>
      <c r="N7" s="26" t="n"/>
      <c r="O7" s="233" t="n"/>
      <c r="P7" s="233" t="n"/>
      <c r="Q7" s="233">
        <f>O7+P7</f>
        <v/>
      </c>
      <c r="R7" s="233" t="n"/>
      <c r="S7" s="233" t="n"/>
      <c r="T7" s="233">
        <f>R7+S7</f>
        <v/>
      </c>
      <c r="U7" s="234">
        <f>T7-Q7</f>
        <v/>
      </c>
      <c r="V7" s="235">
        <f>IF(Q7=0,"",T7/Q7)</f>
        <v/>
      </c>
      <c r="W7" s="26" t="n"/>
      <c r="X7" s="236">
        <f>F7+O7</f>
        <v/>
      </c>
      <c r="Y7" s="236">
        <f>G7+P7</f>
        <v/>
      </c>
      <c r="Z7" s="236">
        <f>X7+Y7</f>
        <v/>
      </c>
      <c r="AA7" s="236">
        <f>I7+R7</f>
        <v/>
      </c>
      <c r="AB7" s="236">
        <f>J7+S7</f>
        <v/>
      </c>
      <c r="AC7" s="236">
        <f>AA7+AB7</f>
        <v/>
      </c>
      <c r="AD7" s="234">
        <f>AC7-Z7</f>
        <v/>
      </c>
      <c r="AE7" s="237">
        <f>IF(Z7=0,"",AC7/Z7)</f>
        <v/>
      </c>
      <c r="AF7" s="33" t="n"/>
      <c r="AG7" s="233" t="n"/>
      <c r="AH7" s="233" t="n"/>
      <c r="AI7" s="233">
        <f>AG7+AH7</f>
        <v/>
      </c>
      <c r="AJ7" s="233" t="n"/>
      <c r="AK7" s="233" t="n"/>
      <c r="AL7" s="233">
        <f>AJ7+AK7</f>
        <v/>
      </c>
      <c r="AM7" s="234">
        <f>AL7-AI7</f>
        <v/>
      </c>
      <c r="AN7" s="235">
        <f>IF(AI7=0,"",AL7/AI7)</f>
        <v/>
      </c>
      <c r="AO7" s="26" t="n"/>
      <c r="AP7" s="236">
        <f>X7+AG7</f>
        <v/>
      </c>
      <c r="AQ7" s="236">
        <f>Y7+AH7</f>
        <v/>
      </c>
      <c r="AR7" s="236">
        <f>AP7+AQ7</f>
        <v/>
      </c>
      <c r="AS7" s="236">
        <f>AA7+AJ7</f>
        <v/>
      </c>
      <c r="AT7" s="236">
        <f>AB7+AK7</f>
        <v/>
      </c>
      <c r="AU7" s="236">
        <f>AS7+AT7</f>
        <v/>
      </c>
      <c r="AV7" s="234">
        <f>AU7-AR7</f>
        <v/>
      </c>
      <c r="AW7" s="237">
        <f>IF(AR7=0,"",AU7/AR7)</f>
        <v/>
      </c>
      <c r="AX7" s="33" t="n"/>
      <c r="AY7" s="233" t="n"/>
      <c r="AZ7" s="233" t="n"/>
      <c r="BA7" s="233">
        <f>AY7+AZ7</f>
        <v/>
      </c>
      <c r="BB7" s="233" t="n"/>
      <c r="BC7" s="233" t="n"/>
      <c r="BD7" s="233">
        <f>BB7+BC7</f>
        <v/>
      </c>
      <c r="BE7" s="238">
        <f>BD7-BA7</f>
        <v/>
      </c>
      <c r="BF7" s="235">
        <f>IF(BA7=0,"",BD7/BA7)</f>
        <v/>
      </c>
      <c r="BG7" s="26" t="n"/>
      <c r="BH7" s="236">
        <f>AP7+AY7</f>
        <v/>
      </c>
      <c r="BI7" s="236">
        <f>AQ7+AZ7</f>
        <v/>
      </c>
      <c r="BJ7" s="236">
        <f>BH7+BI7</f>
        <v/>
      </c>
      <c r="BK7" s="236">
        <f>AS7+BB7</f>
        <v/>
      </c>
      <c r="BL7" s="236">
        <f>AT7+BC7</f>
        <v/>
      </c>
      <c r="BM7" s="236">
        <f>BK7+BL7</f>
        <v/>
      </c>
      <c r="BN7" s="239">
        <f>BM7-BJ7</f>
        <v/>
      </c>
      <c r="BO7" s="237">
        <f>IF(BJ7=0,"",BM7/BJ7)</f>
        <v/>
      </c>
      <c r="BP7" s="33" t="n"/>
      <c r="BQ7" s="233" t="n"/>
      <c r="BR7" s="233" t="n"/>
      <c r="BS7" s="233">
        <f>BQ7+BR7</f>
        <v/>
      </c>
      <c r="BT7" s="233" t="n"/>
      <c r="BU7" s="233" t="n"/>
      <c r="BV7" s="233">
        <f>BT7+BU7</f>
        <v/>
      </c>
      <c r="BW7" s="238">
        <f>BV7-BS7</f>
        <v/>
      </c>
      <c r="BX7" s="235">
        <f>IF(BS7=0,"",BV7/BS7)</f>
        <v/>
      </c>
      <c r="BY7" s="26" t="n"/>
      <c r="BZ7" s="236">
        <f>BH7+BQ7</f>
        <v/>
      </c>
      <c r="CA7" s="236">
        <f>BI7+BR7</f>
        <v/>
      </c>
      <c r="CB7" s="236">
        <f>BZ7+CA7</f>
        <v/>
      </c>
      <c r="CC7" s="236">
        <f>BK7+BT7</f>
        <v/>
      </c>
      <c r="CD7" s="236">
        <f>BL7+BU7</f>
        <v/>
      </c>
      <c r="CE7" s="236">
        <f>CC7+CD7</f>
        <v/>
      </c>
      <c r="CF7" s="239">
        <f>CE7-CB7</f>
        <v/>
      </c>
      <c r="CG7" s="237">
        <f>IF(CB7=0,"",CE7/CB7)</f>
        <v/>
      </c>
      <c r="CH7" s="33" t="n"/>
      <c r="CI7" s="233" t="n"/>
      <c r="CJ7" s="233" t="n"/>
      <c r="CK7" s="233">
        <f>CI7+CJ7</f>
        <v/>
      </c>
      <c r="CL7" s="233" t="n"/>
      <c r="CM7" s="233" t="n"/>
      <c r="CN7" s="233">
        <f>CL7+CM7</f>
        <v/>
      </c>
      <c r="CO7" s="238">
        <f>CN7-CK7</f>
        <v/>
      </c>
      <c r="CP7" s="235">
        <f>IF(CK7=0,"",CN7/CK7)</f>
        <v/>
      </c>
      <c r="CQ7" s="26" t="n"/>
      <c r="CR7" s="236">
        <f>BZ7+CI7</f>
        <v/>
      </c>
      <c r="CS7" s="236">
        <f>CA7+CJ7</f>
        <v/>
      </c>
      <c r="CT7" s="236">
        <f>CR7+CS7</f>
        <v/>
      </c>
      <c r="CU7" s="236">
        <f>CC7+CL7</f>
        <v/>
      </c>
      <c r="CV7" s="236">
        <f>CD7+CM7</f>
        <v/>
      </c>
      <c r="CW7" s="236">
        <f>CU7+CV7</f>
        <v/>
      </c>
      <c r="CX7" s="239">
        <f>CW7-CT7</f>
        <v/>
      </c>
      <c r="CY7" s="237">
        <f>IF(CT7=0,"",CW7/CT7)</f>
        <v/>
      </c>
      <c r="CZ7" s="33" t="n"/>
      <c r="DA7" s="233" t="n"/>
      <c r="DB7" s="233" t="n"/>
      <c r="DC7" s="233">
        <f>DA7+DB7</f>
        <v/>
      </c>
      <c r="DD7" s="233" t="n"/>
      <c r="DE7" s="233" t="n"/>
      <c r="DF7" s="233">
        <f>DD7+DE7</f>
        <v/>
      </c>
      <c r="DG7" s="238">
        <f>DF7-DC7</f>
        <v/>
      </c>
      <c r="DH7" s="235">
        <f>IF(DC7=0,"",DF7/DC7)</f>
        <v/>
      </c>
      <c r="DI7" s="26" t="n"/>
      <c r="DJ7" s="236">
        <f>CR7+DA7</f>
        <v/>
      </c>
      <c r="DK7" s="236">
        <f>CS7+DB7</f>
        <v/>
      </c>
      <c r="DL7" s="236">
        <f>DJ7+DK7</f>
        <v/>
      </c>
      <c r="DM7" s="236">
        <f>CU7+DD7</f>
        <v/>
      </c>
      <c r="DN7" s="236">
        <f>CV7+DE7</f>
        <v/>
      </c>
      <c r="DO7" s="236">
        <f>DM7+DN7</f>
        <v/>
      </c>
      <c r="DP7" s="239">
        <f>DO7-DL7</f>
        <v/>
      </c>
      <c r="DQ7" s="237">
        <f>IF(DL7=0,"",DO7/DL7)</f>
        <v/>
      </c>
      <c r="DR7" s="33" t="n"/>
      <c r="DS7" s="233" t="n"/>
      <c r="DT7" s="233" t="n"/>
      <c r="DU7" s="233">
        <f>DS7+DT7</f>
        <v/>
      </c>
      <c r="DV7" s="233" t="n"/>
      <c r="DW7" s="233" t="n"/>
      <c r="DX7" s="233">
        <f>DV7+DW7</f>
        <v/>
      </c>
      <c r="DY7" s="238">
        <f>DX7-DU7</f>
        <v/>
      </c>
      <c r="DZ7" s="235">
        <f>IF(DU7=0,"",DX7/DU7)</f>
        <v/>
      </c>
      <c r="EA7" s="26" t="n"/>
      <c r="EB7" s="236">
        <f>DJ7+DS7</f>
        <v/>
      </c>
      <c r="EC7" s="236">
        <f>DK7+DT7</f>
        <v/>
      </c>
      <c r="ED7" s="236">
        <f>EB7+EC7</f>
        <v/>
      </c>
      <c r="EE7" s="236">
        <f>DM7+DV7</f>
        <v/>
      </c>
      <c r="EF7" s="236">
        <f>DN7+DW7</f>
        <v/>
      </c>
      <c r="EG7" s="236">
        <f>EE7+EF7</f>
        <v/>
      </c>
      <c r="EH7" s="239">
        <f>EG7-ED7</f>
        <v/>
      </c>
      <c r="EI7" s="237">
        <f>IF(ED7=0,"",EG7/ED7)</f>
        <v/>
      </c>
      <c r="EJ7" s="33" t="n"/>
      <c r="EK7" s="233" t="n"/>
      <c r="EL7" s="233" t="n"/>
      <c r="EM7" s="233">
        <f>EK7+EL7</f>
        <v/>
      </c>
      <c r="EN7" s="233" t="n"/>
      <c r="EO7" s="233" t="n"/>
      <c r="EP7" s="233">
        <f>EN7+EO7</f>
        <v/>
      </c>
      <c r="EQ7" s="238">
        <f>EP7-EM7</f>
        <v/>
      </c>
      <c r="ER7" s="235">
        <f>IF(EM7=0,"",EP7/EM7)</f>
        <v/>
      </c>
      <c r="ES7" s="26" t="n"/>
      <c r="ET7" s="236">
        <f>EB7+EK7</f>
        <v/>
      </c>
      <c r="EU7" s="236">
        <f>EC7+EL7</f>
        <v/>
      </c>
      <c r="EV7" s="236">
        <f>ET7+EU7</f>
        <v/>
      </c>
      <c r="EW7" s="236">
        <f>EE7+EN7</f>
        <v/>
      </c>
      <c r="EX7" s="236">
        <f>EF7+EO7</f>
        <v/>
      </c>
      <c r="EY7" s="236">
        <f>EW7+EX7</f>
        <v/>
      </c>
      <c r="EZ7" s="239">
        <f>EY7-EV7</f>
        <v/>
      </c>
      <c r="FA7" s="237">
        <f>IF(EV7=0,"",EY7/EV7)</f>
        <v/>
      </c>
      <c r="FB7" s="33" t="n"/>
      <c r="FC7" s="233" t="n"/>
      <c r="FD7" s="233" t="n"/>
      <c r="FE7" s="233">
        <f>FC7+FD7</f>
        <v/>
      </c>
      <c r="FF7" s="233" t="n"/>
      <c r="FG7" s="233" t="n"/>
      <c r="FH7" s="233">
        <f>FF7+FG7</f>
        <v/>
      </c>
      <c r="FI7" s="238">
        <f>FH7-FE7</f>
        <v/>
      </c>
      <c r="FJ7" s="235">
        <f>IF(FE7=0,"",FH7/FE7)</f>
        <v/>
      </c>
      <c r="FK7" s="26" t="n"/>
      <c r="FL7" s="236">
        <f>ET7+FC7</f>
        <v/>
      </c>
      <c r="FM7" s="236">
        <f>EU7+FD7</f>
        <v/>
      </c>
      <c r="FN7" s="236">
        <f>FL7+FM7</f>
        <v/>
      </c>
      <c r="FO7" s="236">
        <f>EW7+FF7</f>
        <v/>
      </c>
      <c r="FP7" s="236">
        <f>EX7+FG7</f>
        <v/>
      </c>
      <c r="FQ7" s="236">
        <f>FO7+FP7</f>
        <v/>
      </c>
      <c r="FR7" s="239">
        <f>FQ7-FN7</f>
        <v/>
      </c>
      <c r="FS7" s="237">
        <f>IF(FN7=0,"",FQ7/FN7)</f>
        <v/>
      </c>
      <c r="FT7" s="33" t="n"/>
      <c r="FU7" s="233" t="n"/>
      <c r="FV7" s="233" t="n"/>
      <c r="FW7" s="233">
        <f>FU7+FV7</f>
        <v/>
      </c>
      <c r="FX7" s="233" t="n"/>
      <c r="FY7" s="233" t="n"/>
      <c r="FZ7" s="233">
        <f>FX7+FY7</f>
        <v/>
      </c>
      <c r="GA7" s="238">
        <f>FZ7-FW7</f>
        <v/>
      </c>
      <c r="GB7" s="235">
        <f>IF(FW7=0,"",FZ7/FW7)</f>
        <v/>
      </c>
      <c r="GC7" s="26" t="n"/>
      <c r="GD7" s="236">
        <f>FL7+FU7</f>
        <v/>
      </c>
      <c r="GE7" s="236">
        <f>FM7+FV7</f>
        <v/>
      </c>
      <c r="GF7" s="236">
        <f>GD7+GE7</f>
        <v/>
      </c>
      <c r="GG7" s="236">
        <f>FO7+FX7</f>
        <v/>
      </c>
      <c r="GH7" s="236">
        <f>FP7+FY7</f>
        <v/>
      </c>
      <c r="GI7" s="236">
        <f>GG7+GH7</f>
        <v/>
      </c>
      <c r="GJ7" s="239">
        <f>GI7-GF7</f>
        <v/>
      </c>
      <c r="GK7" s="237">
        <f>IF(GF7=0,"",GI7/GF7)</f>
        <v/>
      </c>
      <c r="GL7" s="33" t="n"/>
      <c r="GM7" s="233" t="n"/>
      <c r="GN7" s="233" t="n"/>
      <c r="GO7" s="233">
        <f>GM7+GN7</f>
        <v/>
      </c>
      <c r="GP7" s="233" t="n"/>
      <c r="GQ7" s="233" t="n"/>
      <c r="GR7" s="233">
        <f>GP7+GQ7</f>
        <v/>
      </c>
      <c r="GS7" s="238">
        <f>GR7-GO7</f>
        <v/>
      </c>
      <c r="GT7" s="235">
        <f>IF(GO7=0,"",GR7/GO7)</f>
        <v/>
      </c>
      <c r="GU7" s="26" t="n"/>
      <c r="GV7" s="236">
        <f>GD7+GM7</f>
        <v/>
      </c>
      <c r="GW7" s="236">
        <f>GE7+GN7</f>
        <v/>
      </c>
      <c r="GX7" s="236">
        <f>GV7+GW7</f>
        <v/>
      </c>
      <c r="GY7" s="236">
        <f>GG7+GP7</f>
        <v/>
      </c>
      <c r="GZ7" s="236">
        <f>GH7+GQ7</f>
        <v/>
      </c>
      <c r="HA7" s="236">
        <f>GY7+GZ7</f>
        <v/>
      </c>
      <c r="HB7" s="239">
        <f>HA7-GX7</f>
        <v/>
      </c>
      <c r="HC7" s="237">
        <f>IF(GX7=0,"",HA7/GX7)</f>
        <v/>
      </c>
      <c r="HD7" s="33" t="n"/>
      <c r="HE7" s="233">
        <f>GV7</f>
        <v/>
      </c>
      <c r="HF7" s="233">
        <f>GW7</f>
        <v/>
      </c>
      <c r="HG7" s="233">
        <f>HE7+HF7</f>
        <v/>
      </c>
    </row>
    <row r="8" ht="15" customHeight="1" s="150">
      <c r="A8" s="12" t="n"/>
      <c r="B8" s="12" t="n"/>
      <c r="C8" s="41" t="n"/>
      <c r="D8" s="41" t="n"/>
      <c r="E8" s="41" t="n"/>
      <c r="F8" s="240">
        <f>SUM(F9:F10)</f>
        <v/>
      </c>
      <c r="G8" s="240">
        <f>SUM(G9:G10)</f>
        <v/>
      </c>
      <c r="H8" s="240">
        <f>F8+G8</f>
        <v/>
      </c>
      <c r="I8" s="240">
        <f>SUM(I9:I10)</f>
        <v/>
      </c>
      <c r="J8" s="240">
        <f>SUM(J9:J10)</f>
        <v/>
      </c>
      <c r="K8" s="240">
        <f>I8+J8</f>
        <v/>
      </c>
      <c r="L8" s="240">
        <f>K8-H8</f>
        <v/>
      </c>
      <c r="M8" s="241">
        <f>IF(H8=0,"",K8/H8)</f>
        <v/>
      </c>
      <c r="N8" s="12" t="n"/>
      <c r="O8" s="240">
        <f>SUM(O9:O10)</f>
        <v/>
      </c>
      <c r="P8" s="240">
        <f>SUM(P9:P10)</f>
        <v/>
      </c>
      <c r="Q8" s="240">
        <f>O8+P8</f>
        <v/>
      </c>
      <c r="R8" s="240">
        <f>SUM(R9:R10)</f>
        <v/>
      </c>
      <c r="S8" s="240">
        <f>SUM(S9:S10)</f>
        <v/>
      </c>
      <c r="T8" s="240">
        <f>R8+S8</f>
        <v/>
      </c>
      <c r="U8" s="240">
        <f>T8-Q8</f>
        <v/>
      </c>
      <c r="V8" s="241">
        <f>IF(Q8=0,"",T8/Q8)</f>
        <v/>
      </c>
      <c r="W8" s="12" t="n"/>
      <c r="X8" s="242">
        <f>SUM(X9:X10)</f>
        <v/>
      </c>
      <c r="Y8" s="242">
        <f>SUM(Y9:Y10)</f>
        <v/>
      </c>
      <c r="Z8" s="242">
        <f>X8+Y8</f>
        <v/>
      </c>
      <c r="AA8" s="242">
        <f>SUM(AA9:AA10)</f>
        <v/>
      </c>
      <c r="AB8" s="242">
        <f>SUM(AB9:AB10)</f>
        <v/>
      </c>
      <c r="AC8" s="242">
        <f>AA8+AB8</f>
        <v/>
      </c>
      <c r="AD8" s="242">
        <f>AC8-Z8</f>
        <v/>
      </c>
      <c r="AE8" s="243">
        <f>IF(Z8=0,"",AC8/Z8)</f>
        <v/>
      </c>
      <c r="AF8" s="17" t="n"/>
      <c r="AG8" s="240">
        <f>SUM(AG9:AG10)</f>
        <v/>
      </c>
      <c r="AH8" s="240">
        <f>SUM(AH9:AH10)</f>
        <v/>
      </c>
      <c r="AI8" s="240">
        <f>AG8+AH8</f>
        <v/>
      </c>
      <c r="AJ8" s="240">
        <f>SUM(AJ9:AJ10)</f>
        <v/>
      </c>
      <c r="AK8" s="240">
        <f>SUM(AK9:AK10)</f>
        <v/>
      </c>
      <c r="AL8" s="240">
        <f>AJ8+AK8</f>
        <v/>
      </c>
      <c r="AM8" s="240">
        <f>AL8-AI8</f>
        <v/>
      </c>
      <c r="AN8" s="241">
        <f>IF(AI8=0,"",AL8/AI8)</f>
        <v/>
      </c>
      <c r="AO8" s="12" t="n"/>
      <c r="AP8" s="242">
        <f>SUM(AP9:AP10)</f>
        <v/>
      </c>
      <c r="AQ8" s="242">
        <f>SUM(AQ9:AQ10)</f>
        <v/>
      </c>
      <c r="AR8" s="242">
        <f>AP8+AQ8</f>
        <v/>
      </c>
      <c r="AS8" s="242">
        <f>SUM(AS9:AS10)</f>
        <v/>
      </c>
      <c r="AT8" s="242">
        <f>SUM(AT9:AT10)</f>
        <v/>
      </c>
      <c r="AU8" s="242">
        <f>AS8+AT8</f>
        <v/>
      </c>
      <c r="AV8" s="242">
        <f>AU8-AR8</f>
        <v/>
      </c>
      <c r="AW8" s="243">
        <f>IF(AR8=0,"",AU8/AR8)</f>
        <v/>
      </c>
      <c r="AX8" s="17" t="n"/>
      <c r="AY8" s="240">
        <f>SUM(AY9:AY10)</f>
        <v/>
      </c>
      <c r="AZ8" s="240">
        <f>SUM(AZ9:AZ10)</f>
        <v/>
      </c>
      <c r="BA8" s="240">
        <f>AY8+AZ8</f>
        <v/>
      </c>
      <c r="BB8" s="240">
        <f>SUM(BB9:BB10)</f>
        <v/>
      </c>
      <c r="BC8" s="240">
        <f>SUM(BC9:BC10)</f>
        <v/>
      </c>
      <c r="BD8" s="240">
        <f>BB8+BC8</f>
        <v/>
      </c>
      <c r="BE8" s="240">
        <f>BD8-BA8</f>
        <v/>
      </c>
      <c r="BF8" s="241">
        <f>IF(BA8=0,"",BD8/BA8)</f>
        <v/>
      </c>
      <c r="BG8" s="12" t="n"/>
      <c r="BH8" s="242">
        <f>SUM(BH9:BH10)</f>
        <v/>
      </c>
      <c r="BI8" s="242">
        <f>SUM(BI9:BI10)</f>
        <v/>
      </c>
      <c r="BJ8" s="242">
        <f>BH8+BI8</f>
        <v/>
      </c>
      <c r="BK8" s="242">
        <f>SUM(BK9:BK10)</f>
        <v/>
      </c>
      <c r="BL8" s="242">
        <f>SUM(BL9:BL10)</f>
        <v/>
      </c>
      <c r="BM8" s="242">
        <f>BK8+BL8</f>
        <v/>
      </c>
      <c r="BN8" s="242">
        <f>BM8-BJ8</f>
        <v/>
      </c>
      <c r="BO8" s="243">
        <f>IF(BJ8=0,"",BM8/BJ8)</f>
        <v/>
      </c>
      <c r="BP8" s="17" t="n"/>
      <c r="BQ8" s="240">
        <f>SUM(BQ9:BQ10)</f>
        <v/>
      </c>
      <c r="BR8" s="240">
        <f>SUM(BR9:BR10)</f>
        <v/>
      </c>
      <c r="BS8" s="240">
        <f>BQ8+BR8</f>
        <v/>
      </c>
      <c r="BT8" s="240">
        <f>SUM(BT9:BT10)</f>
        <v/>
      </c>
      <c r="BU8" s="240">
        <f>SUM(BU9:BU10)</f>
        <v/>
      </c>
      <c r="BV8" s="240">
        <f>BT8+BU8</f>
        <v/>
      </c>
      <c r="BW8" s="240">
        <f>BV8-BS8</f>
        <v/>
      </c>
      <c r="BX8" s="241">
        <f>IF(BS8=0,"",BV8/BS8)</f>
        <v/>
      </c>
      <c r="BY8" s="12" t="n"/>
      <c r="BZ8" s="242">
        <f>SUM(BZ9:BZ10)</f>
        <v/>
      </c>
      <c r="CA8" s="242">
        <f>SUM(CA9:CA10)</f>
        <v/>
      </c>
      <c r="CB8" s="242">
        <f>BZ8+CA8</f>
        <v/>
      </c>
      <c r="CC8" s="242">
        <f>SUM(CC9:CC10)</f>
        <v/>
      </c>
      <c r="CD8" s="242">
        <f>SUM(CD9:CD10)</f>
        <v/>
      </c>
      <c r="CE8" s="242">
        <f>CC8+CD8</f>
        <v/>
      </c>
      <c r="CF8" s="242">
        <f>CE8-CB8</f>
        <v/>
      </c>
      <c r="CG8" s="243">
        <f>IF(CB8=0,"",CE8/CB8)</f>
        <v/>
      </c>
      <c r="CH8" s="17" t="n"/>
      <c r="CI8" s="240">
        <f>SUM(CI9:CI10)</f>
        <v/>
      </c>
      <c r="CJ8" s="240">
        <f>SUM(CJ9:CJ10)</f>
        <v/>
      </c>
      <c r="CK8" s="240">
        <f>CI8+CJ8</f>
        <v/>
      </c>
      <c r="CL8" s="240">
        <f>SUM(CL9:CL10)</f>
        <v/>
      </c>
      <c r="CM8" s="240">
        <f>SUM(CM9:CM10)</f>
        <v/>
      </c>
      <c r="CN8" s="240">
        <f>CL8+CM8</f>
        <v/>
      </c>
      <c r="CO8" s="240">
        <f>CN8-CK8</f>
        <v/>
      </c>
      <c r="CP8" s="241">
        <f>IF(CK8=0,"",CN8/CK8)</f>
        <v/>
      </c>
      <c r="CQ8" s="12" t="n"/>
      <c r="CR8" s="242">
        <f>SUM(CR9:CR10)</f>
        <v/>
      </c>
      <c r="CS8" s="242">
        <f>SUM(CS9:CS10)</f>
        <v/>
      </c>
      <c r="CT8" s="242">
        <f>CR8+CS8</f>
        <v/>
      </c>
      <c r="CU8" s="242">
        <f>SUM(CU9:CU10)</f>
        <v/>
      </c>
      <c r="CV8" s="242">
        <f>SUM(CV9:CV10)</f>
        <v/>
      </c>
      <c r="CW8" s="242">
        <f>CU8+CV8</f>
        <v/>
      </c>
      <c r="CX8" s="242">
        <f>CW8-CT8</f>
        <v/>
      </c>
      <c r="CY8" s="243">
        <f>IF(CT8=0,"",CW8/CT8)</f>
        <v/>
      </c>
      <c r="CZ8" s="17" t="n"/>
      <c r="DA8" s="240">
        <f>SUM(DA9:DA10)</f>
        <v/>
      </c>
      <c r="DB8" s="240">
        <f>SUM(DB9:DB10)</f>
        <v/>
      </c>
      <c r="DC8" s="240">
        <f>DA8+DB8</f>
        <v/>
      </c>
      <c r="DD8" s="240">
        <f>SUM(DD9:DD10)</f>
        <v/>
      </c>
      <c r="DE8" s="240">
        <f>SUM(DE9:DE10)</f>
        <v/>
      </c>
      <c r="DF8" s="240">
        <f>DD8+DE8</f>
        <v/>
      </c>
      <c r="DG8" s="240">
        <f>DF8-DC8</f>
        <v/>
      </c>
      <c r="DH8" s="241">
        <f>IF(DC8=0,"",DF8/DC8)</f>
        <v/>
      </c>
      <c r="DI8" s="12" t="n"/>
      <c r="DJ8" s="242">
        <f>SUM(DJ9:DJ10)</f>
        <v/>
      </c>
      <c r="DK8" s="242">
        <f>SUM(DK9:DK10)</f>
        <v/>
      </c>
      <c r="DL8" s="242">
        <f>DJ8+DK8</f>
        <v/>
      </c>
      <c r="DM8" s="242">
        <f>SUM(DM9:DM10)</f>
        <v/>
      </c>
      <c r="DN8" s="242">
        <f>SUM(DN9:DN10)</f>
        <v/>
      </c>
      <c r="DO8" s="242">
        <f>DM8+DN8</f>
        <v/>
      </c>
      <c r="DP8" s="242">
        <f>DO8-DL8</f>
        <v/>
      </c>
      <c r="DQ8" s="243">
        <f>IF(DL8=0,"",DO8/DL8)</f>
        <v/>
      </c>
      <c r="DR8" s="17" t="n"/>
      <c r="DS8" s="240">
        <f>SUM(DS9:DS10)</f>
        <v/>
      </c>
      <c r="DT8" s="240">
        <f>SUM(DT9:DT10)</f>
        <v/>
      </c>
      <c r="DU8" s="240">
        <f>DS8+DT8</f>
        <v/>
      </c>
      <c r="DV8" s="240">
        <f>SUM(DV9:DV10)</f>
        <v/>
      </c>
      <c r="DW8" s="240">
        <f>SUM(DW9:DW10)</f>
        <v/>
      </c>
      <c r="DX8" s="240">
        <f>DV8+DW8</f>
        <v/>
      </c>
      <c r="DY8" s="240">
        <f>DX8-DU8</f>
        <v/>
      </c>
      <c r="DZ8" s="241">
        <f>IF(DU8=0,"",DX8/DU8)</f>
        <v/>
      </c>
      <c r="EA8" s="12" t="n"/>
      <c r="EB8" s="242">
        <f>SUM(EB9:EB10)</f>
        <v/>
      </c>
      <c r="EC8" s="242">
        <f>SUM(EC9:EC10)</f>
        <v/>
      </c>
      <c r="ED8" s="242">
        <f>EB8+EC8</f>
        <v/>
      </c>
      <c r="EE8" s="242">
        <f>SUM(EE9:EE10)</f>
        <v/>
      </c>
      <c r="EF8" s="242">
        <f>SUM(EF9:EF10)</f>
        <v/>
      </c>
      <c r="EG8" s="242">
        <f>EE8+EF8</f>
        <v/>
      </c>
      <c r="EH8" s="242">
        <f>EG8-ED8</f>
        <v/>
      </c>
      <c r="EI8" s="243">
        <f>IF(ED8=0,"",EG8/ED8)</f>
        <v/>
      </c>
      <c r="EJ8" s="17" t="n"/>
      <c r="EK8" s="240">
        <f>SUM(EK9:EK10)</f>
        <v/>
      </c>
      <c r="EL8" s="240">
        <f>SUM(EL9:EL10)</f>
        <v/>
      </c>
      <c r="EM8" s="240">
        <f>EK8+EL8</f>
        <v/>
      </c>
      <c r="EN8" s="240">
        <f>SUM(EN9:EN10)</f>
        <v/>
      </c>
      <c r="EO8" s="240">
        <f>SUM(EO9:EO10)</f>
        <v/>
      </c>
      <c r="EP8" s="240">
        <f>EN8+EO8</f>
        <v/>
      </c>
      <c r="EQ8" s="240">
        <f>EP8-EM8</f>
        <v/>
      </c>
      <c r="ER8" s="241">
        <f>IF(EM8=0,"",EP8/EM8)</f>
        <v/>
      </c>
      <c r="ES8" s="12" t="n"/>
      <c r="ET8" s="242">
        <f>SUM(ET9:ET10)</f>
        <v/>
      </c>
      <c r="EU8" s="242">
        <f>SUM(EU9:EU10)</f>
        <v/>
      </c>
      <c r="EV8" s="242">
        <f>ET8+EU8</f>
        <v/>
      </c>
      <c r="EW8" s="242">
        <f>SUM(EW9:EW10)</f>
        <v/>
      </c>
      <c r="EX8" s="242">
        <f>SUM(EX9:EX10)</f>
        <v/>
      </c>
      <c r="EY8" s="242">
        <f>EW8+EX8</f>
        <v/>
      </c>
      <c r="EZ8" s="242">
        <f>EY8-EV8</f>
        <v/>
      </c>
      <c r="FA8" s="243">
        <f>IF(EV8=0,"",EY8/EV8)</f>
        <v/>
      </c>
      <c r="FB8" s="17" t="n"/>
      <c r="FC8" s="240">
        <f>SUM(FC9:FC10)</f>
        <v/>
      </c>
      <c r="FD8" s="240">
        <f>SUM(FD9:FD10)</f>
        <v/>
      </c>
      <c r="FE8" s="240">
        <f>FC8+FD8</f>
        <v/>
      </c>
      <c r="FF8" s="240">
        <f>SUM(FF9:FF10)</f>
        <v/>
      </c>
      <c r="FG8" s="240">
        <f>SUM(FG9:FG10)</f>
        <v/>
      </c>
      <c r="FH8" s="240">
        <f>FF8+FG8</f>
        <v/>
      </c>
      <c r="FI8" s="240">
        <f>FH8-FE8</f>
        <v/>
      </c>
      <c r="FJ8" s="241">
        <f>IF(FE8=0,"",FH8/FE8)</f>
        <v/>
      </c>
      <c r="FK8" s="12" t="n"/>
      <c r="FL8" s="242">
        <f>SUM(FL9:FL10)</f>
        <v/>
      </c>
      <c r="FM8" s="242">
        <f>SUM(FM9:FM10)</f>
        <v/>
      </c>
      <c r="FN8" s="242">
        <f>FL8+FM8</f>
        <v/>
      </c>
      <c r="FO8" s="242">
        <f>SUM(FO9:FO10)</f>
        <v/>
      </c>
      <c r="FP8" s="242">
        <f>SUM(FP9:FP10)</f>
        <v/>
      </c>
      <c r="FQ8" s="242">
        <f>FO8+FP8</f>
        <v/>
      </c>
      <c r="FR8" s="242">
        <f>FQ8-FN8</f>
        <v/>
      </c>
      <c r="FS8" s="243">
        <f>IF(FN8=0,"",FQ8/FN8)</f>
        <v/>
      </c>
      <c r="FT8" s="17" t="n"/>
      <c r="FU8" s="240">
        <f>SUM(FU9:FU10)</f>
        <v/>
      </c>
      <c r="FV8" s="240">
        <f>SUM(FV9:FV10)</f>
        <v/>
      </c>
      <c r="FW8" s="240">
        <f>FU8+FV8</f>
        <v/>
      </c>
      <c r="FX8" s="240">
        <f>SUM(FX9:FX10)</f>
        <v/>
      </c>
      <c r="FY8" s="240">
        <f>SUM(FY9:FY10)</f>
        <v/>
      </c>
      <c r="FZ8" s="240">
        <f>FX8+FY8</f>
        <v/>
      </c>
      <c r="GA8" s="240">
        <f>FZ8-FW8</f>
        <v/>
      </c>
      <c r="GB8" s="241">
        <f>IF(FW8=0,"",FZ8/FW8)</f>
        <v/>
      </c>
      <c r="GC8" s="12" t="n"/>
      <c r="GD8" s="242">
        <f>SUM(GD9:GD10)</f>
        <v/>
      </c>
      <c r="GE8" s="242">
        <f>SUM(GE9:GE10)</f>
        <v/>
      </c>
      <c r="GF8" s="242">
        <f>GD8+GE8</f>
        <v/>
      </c>
      <c r="GG8" s="242">
        <f>SUM(GG9:GG10)</f>
        <v/>
      </c>
      <c r="GH8" s="242">
        <f>SUM(GH9:GH10)</f>
        <v/>
      </c>
      <c r="GI8" s="242">
        <f>GG8+GH8</f>
        <v/>
      </c>
      <c r="GJ8" s="242">
        <f>GI8-GF8</f>
        <v/>
      </c>
      <c r="GK8" s="243">
        <f>IF(GF8=0,"",GI8/GF8)</f>
        <v/>
      </c>
      <c r="GL8" s="17" t="n"/>
      <c r="GM8" s="240">
        <f>SUM(GM9:GM10)</f>
        <v/>
      </c>
      <c r="GN8" s="240">
        <f>SUM(GN9:GN10)</f>
        <v/>
      </c>
      <c r="GO8" s="240">
        <f>GM8+GN8</f>
        <v/>
      </c>
      <c r="GP8" s="240">
        <f>SUM(GP9:GP10)</f>
        <v/>
      </c>
      <c r="GQ8" s="240">
        <f>SUM(GQ9:GQ10)</f>
        <v/>
      </c>
      <c r="GR8" s="240">
        <f>GP8+GQ8</f>
        <v/>
      </c>
      <c r="GS8" s="240">
        <f>GR8-GO8</f>
        <v/>
      </c>
      <c r="GT8" s="241">
        <f>IF(GO8=0,"",GR8/GO8)</f>
        <v/>
      </c>
      <c r="GU8" s="12" t="n"/>
      <c r="GV8" s="242">
        <f>SUM(GV9:GV10)</f>
        <v/>
      </c>
      <c r="GW8" s="242">
        <f>SUM(GW9:GW10)</f>
        <v/>
      </c>
      <c r="GX8" s="242">
        <f>GV8+GW8</f>
        <v/>
      </c>
      <c r="GY8" s="242">
        <f>SUM(GY9:GY10)</f>
        <v/>
      </c>
      <c r="GZ8" s="242">
        <f>SUM(GZ9:GZ10)</f>
        <v/>
      </c>
      <c r="HA8" s="242">
        <f>GY8+GZ8</f>
        <v/>
      </c>
      <c r="HB8" s="242">
        <f>HA8-GX8</f>
        <v/>
      </c>
      <c r="HC8" s="243">
        <f>IF(GX8=0,"",HA8/GX8)</f>
        <v/>
      </c>
      <c r="HD8" s="17" t="n"/>
      <c r="HE8" s="240">
        <f>GV8</f>
        <v/>
      </c>
      <c r="HF8" s="240">
        <f>GW8</f>
        <v/>
      </c>
      <c r="HG8" s="240">
        <f>HE8+HF8</f>
        <v/>
      </c>
    </row>
    <row r="9" ht="60" customHeight="1" s="150">
      <c r="A9" s="26" t="n"/>
      <c r="B9" s="26" t="n"/>
      <c r="C9" s="42" t="n"/>
      <c r="D9" s="42" t="n"/>
      <c r="E9" s="42" t="n"/>
      <c r="F9" s="233" t="n"/>
      <c r="G9" s="233" t="n"/>
      <c r="H9" s="233">
        <f>F9+G9</f>
        <v/>
      </c>
      <c r="I9" s="233" t="n"/>
      <c r="J9" s="233" t="n"/>
      <c r="K9" s="233">
        <f>I9+J9</f>
        <v/>
      </c>
      <c r="L9" s="238">
        <f>K9-H9</f>
        <v/>
      </c>
      <c r="M9" s="235">
        <f>IF(H9=0,"",K9/H9)</f>
        <v/>
      </c>
      <c r="N9" s="42" t="n"/>
      <c r="O9" s="233" t="n"/>
      <c r="P9" s="233" t="n"/>
      <c r="Q9" s="233">
        <f>O9+P9</f>
        <v/>
      </c>
      <c r="R9" s="233" t="n"/>
      <c r="S9" s="233" t="n"/>
      <c r="T9" s="233">
        <f>R9+S9</f>
        <v/>
      </c>
      <c r="U9" s="234">
        <f>T9-Q9</f>
        <v/>
      </c>
      <c r="V9" s="235">
        <f>IF(Q9=0,"",T9/Q9)</f>
        <v/>
      </c>
      <c r="W9" s="26" t="n"/>
      <c r="X9" s="236">
        <f>F9+O9</f>
        <v/>
      </c>
      <c r="Y9" s="236">
        <f>G9+P9</f>
        <v/>
      </c>
      <c r="Z9" s="236">
        <f>X9+Y9</f>
        <v/>
      </c>
      <c r="AA9" s="236">
        <f>I9+R9</f>
        <v/>
      </c>
      <c r="AB9" s="236">
        <f>J9+S9</f>
        <v/>
      </c>
      <c r="AC9" s="236">
        <f>AA9+AB9</f>
        <v/>
      </c>
      <c r="AD9" s="234">
        <f>AC9-Z9</f>
        <v/>
      </c>
      <c r="AE9" s="237">
        <f>IF(Z9=0,"",AC9/Z9)</f>
        <v/>
      </c>
      <c r="AF9" s="33" t="n"/>
      <c r="AG9" s="233" t="n"/>
      <c r="AH9" s="233" t="n"/>
      <c r="AI9" s="233">
        <f>AG9+AH9</f>
        <v/>
      </c>
      <c r="AJ9" s="233" t="n"/>
      <c r="AK9" s="233" t="n"/>
      <c r="AL9" s="233">
        <f>AJ9+AK9</f>
        <v/>
      </c>
      <c r="AM9" s="234">
        <f>AL9-AI9</f>
        <v/>
      </c>
      <c r="AN9" s="235">
        <f>IF(AI9=0,"",AL9/AI9)</f>
        <v/>
      </c>
      <c r="AO9" s="26" t="n"/>
      <c r="AP9" s="236">
        <f>X9+AG9</f>
        <v/>
      </c>
      <c r="AQ9" s="236">
        <f>Y9+AH9</f>
        <v/>
      </c>
      <c r="AR9" s="236">
        <f>AP9+AQ9</f>
        <v/>
      </c>
      <c r="AS9" s="236">
        <f>AA9+AJ9</f>
        <v/>
      </c>
      <c r="AT9" s="236">
        <f>AB9+AK9</f>
        <v/>
      </c>
      <c r="AU9" s="236">
        <f>AS9+AT9</f>
        <v/>
      </c>
      <c r="AV9" s="234">
        <f>AU9-AR9</f>
        <v/>
      </c>
      <c r="AW9" s="237">
        <f>IF(AR9=0,"",AU9/AR9)</f>
        <v/>
      </c>
      <c r="AX9" s="44" t="n"/>
      <c r="AY9" s="233" t="n"/>
      <c r="AZ9" s="233" t="n"/>
      <c r="BA9" s="233">
        <f>AY9+AZ9</f>
        <v/>
      </c>
      <c r="BB9" s="233" t="n"/>
      <c r="BC9" s="233" t="n"/>
      <c r="BD9" s="233">
        <f>BB9+BC9</f>
        <v/>
      </c>
      <c r="BE9" s="238">
        <f>BD9-BA9</f>
        <v/>
      </c>
      <c r="BF9" s="235">
        <f>IF(BA9=0,"",BD9/BA9)</f>
        <v/>
      </c>
      <c r="BG9" s="26" t="n"/>
      <c r="BH9" s="236">
        <f>AP9+AY9</f>
        <v/>
      </c>
      <c r="BI9" s="236">
        <f>AQ9+AZ9</f>
        <v/>
      </c>
      <c r="BJ9" s="236">
        <f>BH9+BI9</f>
        <v/>
      </c>
      <c r="BK9" s="236">
        <f>AS9+BB9</f>
        <v/>
      </c>
      <c r="BL9" s="236">
        <f>AT9+BC9</f>
        <v/>
      </c>
      <c r="BM9" s="236">
        <f>BK9+BL9</f>
        <v/>
      </c>
      <c r="BN9" s="239">
        <f>BM9-BJ9</f>
        <v/>
      </c>
      <c r="BO9" s="237">
        <f>IF(BJ9=0,"",BM9/BJ9)</f>
        <v/>
      </c>
      <c r="BP9" s="33" t="n"/>
      <c r="BQ9" s="233" t="n"/>
      <c r="BR9" s="233" t="n"/>
      <c r="BS9" s="233">
        <f>BQ9+BR9</f>
        <v/>
      </c>
      <c r="BT9" s="233" t="n"/>
      <c r="BU9" s="233" t="n"/>
      <c r="BV9" s="233">
        <f>BT9+BU9</f>
        <v/>
      </c>
      <c r="BW9" s="238">
        <f>BV9-BS9</f>
        <v/>
      </c>
      <c r="BX9" s="235">
        <f>IF(BS9=0,"",BV9/BS9)</f>
        <v/>
      </c>
      <c r="BY9" s="26" t="n"/>
      <c r="BZ9" s="236">
        <f>BH9+BQ9</f>
        <v/>
      </c>
      <c r="CA9" s="236">
        <f>BI9+BR9</f>
        <v/>
      </c>
      <c r="CB9" s="236">
        <f>BZ9+CA9</f>
        <v/>
      </c>
      <c r="CC9" s="236">
        <f>BK9+BT9</f>
        <v/>
      </c>
      <c r="CD9" s="236">
        <f>BL9+BU9</f>
        <v/>
      </c>
      <c r="CE9" s="236">
        <f>CC9+CD9</f>
        <v/>
      </c>
      <c r="CF9" s="239">
        <f>CE9-CB9</f>
        <v/>
      </c>
      <c r="CG9" s="237">
        <f>IF(CB9=0,"",CE9/CB9)</f>
        <v/>
      </c>
      <c r="CH9" s="33" t="n"/>
      <c r="CI9" s="233" t="n"/>
      <c r="CJ9" s="233" t="n"/>
      <c r="CK9" s="233">
        <f>CI9+CJ9</f>
        <v/>
      </c>
      <c r="CL9" s="233" t="n"/>
      <c r="CM9" s="233" t="n"/>
      <c r="CN9" s="233">
        <f>CL9+CM9</f>
        <v/>
      </c>
      <c r="CO9" s="238">
        <f>CN9-CK9</f>
        <v/>
      </c>
      <c r="CP9" s="235">
        <f>IF(CK9=0,"",CN9/CK9)</f>
        <v/>
      </c>
      <c r="CQ9" s="26" t="n"/>
      <c r="CR9" s="236">
        <f>BZ9+CI9</f>
        <v/>
      </c>
      <c r="CS9" s="236">
        <f>CA9+CJ9</f>
        <v/>
      </c>
      <c r="CT9" s="236">
        <f>CR9+CS9</f>
        <v/>
      </c>
      <c r="CU9" s="236">
        <f>CC9+CL9</f>
        <v/>
      </c>
      <c r="CV9" s="236">
        <f>CD9+CM9</f>
        <v/>
      </c>
      <c r="CW9" s="236">
        <f>CU9+CV9</f>
        <v/>
      </c>
      <c r="CX9" s="239">
        <f>CW9-CT9</f>
        <v/>
      </c>
      <c r="CY9" s="237">
        <f>IF(CT9=0,"",CW9/CT9)</f>
        <v/>
      </c>
      <c r="CZ9" s="33" t="n"/>
      <c r="DA9" s="233" t="n"/>
      <c r="DB9" s="233" t="n"/>
      <c r="DC9" s="233">
        <f>DA9+DB9</f>
        <v/>
      </c>
      <c r="DD9" s="233" t="n"/>
      <c r="DE9" s="233" t="n"/>
      <c r="DF9" s="233">
        <f>DD9+DE9</f>
        <v/>
      </c>
      <c r="DG9" s="238">
        <f>DF9-DC9</f>
        <v/>
      </c>
      <c r="DH9" s="235">
        <f>IF(DC9=0,"",DF9/DC9)</f>
        <v/>
      </c>
      <c r="DI9" s="26" t="n"/>
      <c r="DJ9" s="236">
        <f>CR9+DA9</f>
        <v/>
      </c>
      <c r="DK9" s="236">
        <f>CS9+DB9</f>
        <v/>
      </c>
      <c r="DL9" s="236">
        <f>DJ9+DK9</f>
        <v/>
      </c>
      <c r="DM9" s="236">
        <f>CU9+DD9</f>
        <v/>
      </c>
      <c r="DN9" s="236">
        <f>CV9+DE9</f>
        <v/>
      </c>
      <c r="DO9" s="236">
        <f>DM9+DN9</f>
        <v/>
      </c>
      <c r="DP9" s="239">
        <f>DO9-DL9</f>
        <v/>
      </c>
      <c r="DQ9" s="237">
        <f>IF(DL9=0,"",DO9/DL9)</f>
        <v/>
      </c>
      <c r="DR9" s="33" t="n"/>
      <c r="DS9" s="233" t="n"/>
      <c r="DT9" s="233" t="n"/>
      <c r="DU9" s="233">
        <f>DS9+DT9</f>
        <v/>
      </c>
      <c r="DV9" s="233" t="n"/>
      <c r="DW9" s="233" t="n"/>
      <c r="DX9" s="233">
        <f>DV9+DW9</f>
        <v/>
      </c>
      <c r="DY9" s="238">
        <f>DX9-DU9</f>
        <v/>
      </c>
      <c r="DZ9" s="235">
        <f>IF(DU9=0,"",DX9/DU9)</f>
        <v/>
      </c>
      <c r="EA9" s="26" t="n"/>
      <c r="EB9" s="236">
        <f>DJ9+DS9</f>
        <v/>
      </c>
      <c r="EC9" s="236">
        <f>DK9+DT9</f>
        <v/>
      </c>
      <c r="ED9" s="236">
        <f>EB9+EC9</f>
        <v/>
      </c>
      <c r="EE9" s="236">
        <f>DM9+DV9</f>
        <v/>
      </c>
      <c r="EF9" s="236">
        <f>DN9+DW9</f>
        <v/>
      </c>
      <c r="EG9" s="236">
        <f>EE9+EF9</f>
        <v/>
      </c>
      <c r="EH9" s="239">
        <f>EG9-ED9</f>
        <v/>
      </c>
      <c r="EI9" s="237">
        <f>IF(ED9=0,"",EG9/ED9)</f>
        <v/>
      </c>
      <c r="EJ9" s="33" t="n"/>
      <c r="EK9" s="233" t="n"/>
      <c r="EL9" s="233" t="n"/>
      <c r="EM9" s="233">
        <f>EK9+EL9</f>
        <v/>
      </c>
      <c r="EN9" s="233" t="n"/>
      <c r="EO9" s="233" t="n"/>
      <c r="EP9" s="233">
        <f>EN9+EO9</f>
        <v/>
      </c>
      <c r="EQ9" s="238">
        <f>EP9-EM9</f>
        <v/>
      </c>
      <c r="ER9" s="235">
        <f>IF(EM9=0,"",EP9/EM9)</f>
        <v/>
      </c>
      <c r="ES9" s="26" t="n"/>
      <c r="ET9" s="236">
        <f>EB9+EK9</f>
        <v/>
      </c>
      <c r="EU9" s="236">
        <f>EC9+EL9</f>
        <v/>
      </c>
      <c r="EV9" s="236">
        <f>ET9+EU9</f>
        <v/>
      </c>
      <c r="EW9" s="236">
        <f>EE9+EN9</f>
        <v/>
      </c>
      <c r="EX9" s="236">
        <f>EF9+EO9</f>
        <v/>
      </c>
      <c r="EY9" s="236">
        <f>EW9+EX9</f>
        <v/>
      </c>
      <c r="EZ9" s="239">
        <f>EY9-EV9</f>
        <v/>
      </c>
      <c r="FA9" s="237">
        <f>IF(EV9=0,"",EY9/EV9)</f>
        <v/>
      </c>
      <c r="FB9" s="33" t="n"/>
      <c r="FC9" s="233" t="n"/>
      <c r="FD9" s="233" t="n"/>
      <c r="FE9" s="233">
        <f>FC9+FD9</f>
        <v/>
      </c>
      <c r="FF9" s="233" t="n"/>
      <c r="FG9" s="233" t="n"/>
      <c r="FH9" s="233">
        <f>FF9+FG9</f>
        <v/>
      </c>
      <c r="FI9" s="238">
        <f>FH9-FE9</f>
        <v/>
      </c>
      <c r="FJ9" s="235">
        <f>IF(FE9=0,"",FH9/FE9)</f>
        <v/>
      </c>
      <c r="FK9" s="26" t="n"/>
      <c r="FL9" s="236">
        <f>ET9+FC9</f>
        <v/>
      </c>
      <c r="FM9" s="236">
        <f>EU9+FD9</f>
        <v/>
      </c>
      <c r="FN9" s="236">
        <f>FL9+FM9</f>
        <v/>
      </c>
      <c r="FO9" s="236">
        <f>EW9+FF9</f>
        <v/>
      </c>
      <c r="FP9" s="236">
        <f>EX9+FG9</f>
        <v/>
      </c>
      <c r="FQ9" s="236">
        <f>FO9+FP9</f>
        <v/>
      </c>
      <c r="FR9" s="239">
        <f>FQ9-FN9</f>
        <v/>
      </c>
      <c r="FS9" s="237">
        <f>IF(FN9=0,"",FQ9/FN9)</f>
        <v/>
      </c>
      <c r="FT9" s="33" t="n"/>
      <c r="FU9" s="233" t="n"/>
      <c r="FV9" s="233" t="n"/>
      <c r="FW9" s="233">
        <f>FU9+FV9</f>
        <v/>
      </c>
      <c r="FX9" s="233" t="n"/>
      <c r="FY9" s="233" t="n"/>
      <c r="FZ9" s="233">
        <f>FX9+FY9</f>
        <v/>
      </c>
      <c r="GA9" s="238">
        <f>FZ9-FW9</f>
        <v/>
      </c>
      <c r="GB9" s="235">
        <f>IF(FW9=0,"",FZ9/FW9)</f>
        <v/>
      </c>
      <c r="GC9" s="26" t="n"/>
      <c r="GD9" s="236">
        <f>FL9+FU9</f>
        <v/>
      </c>
      <c r="GE9" s="236">
        <f>FM9+FV9</f>
        <v/>
      </c>
      <c r="GF9" s="236">
        <f>GD9+GE9</f>
        <v/>
      </c>
      <c r="GG9" s="236">
        <f>FO9+FX9</f>
        <v/>
      </c>
      <c r="GH9" s="236">
        <f>FP9+FY9</f>
        <v/>
      </c>
      <c r="GI9" s="236">
        <f>GG9+GH9</f>
        <v/>
      </c>
      <c r="GJ9" s="239">
        <f>GI9-GF9</f>
        <v/>
      </c>
      <c r="GK9" s="237">
        <f>IF(GF9=0,"",GI9/GF9)</f>
        <v/>
      </c>
      <c r="GL9" s="33" t="n"/>
      <c r="GM9" s="233" t="n"/>
      <c r="GN9" s="233" t="n"/>
      <c r="GO9" s="233">
        <f>GM9+GN9</f>
        <v/>
      </c>
      <c r="GP9" s="233" t="n"/>
      <c r="GQ9" s="233" t="n"/>
      <c r="GR9" s="233">
        <f>GP9+GQ9</f>
        <v/>
      </c>
      <c r="GS9" s="238">
        <f>GR9-GO9</f>
        <v/>
      </c>
      <c r="GT9" s="235">
        <f>IF(GO9=0,"",GR9/GO9)</f>
        <v/>
      </c>
      <c r="GU9" s="26" t="n"/>
      <c r="GV9" s="236">
        <f>GD9+GM9</f>
        <v/>
      </c>
      <c r="GW9" s="236">
        <f>GE9+GN9</f>
        <v/>
      </c>
      <c r="GX9" s="236">
        <f>GV9+GW9</f>
        <v/>
      </c>
      <c r="GY9" s="236">
        <f>GG9+GP9</f>
        <v/>
      </c>
      <c r="GZ9" s="236">
        <f>GH9+GQ9</f>
        <v/>
      </c>
      <c r="HA9" s="236">
        <f>GY9+GZ9</f>
        <v/>
      </c>
      <c r="HB9" s="239">
        <f>HA9-GX9</f>
        <v/>
      </c>
      <c r="HC9" s="237">
        <f>IF(GX9=0,"",HA9/GX9)</f>
        <v/>
      </c>
      <c r="HD9" s="33" t="n"/>
      <c r="HE9" s="233">
        <f>GV9</f>
        <v/>
      </c>
      <c r="HF9" s="233">
        <f>GW9</f>
        <v/>
      </c>
      <c r="HG9" s="233">
        <f>HE9+HF9</f>
        <v/>
      </c>
    </row>
    <row r="10" ht="42.75" customHeight="1" s="150">
      <c r="A10" s="26" t="n"/>
      <c r="B10" s="26" t="n"/>
      <c r="C10" s="42" t="n"/>
      <c r="D10" s="42" t="n"/>
      <c r="E10" s="42" t="n"/>
      <c r="F10" s="233" t="n"/>
      <c r="G10" s="233" t="n"/>
      <c r="H10" s="233">
        <f>F10+G10</f>
        <v/>
      </c>
      <c r="I10" s="233" t="n"/>
      <c r="J10" s="233" t="n"/>
      <c r="K10" s="233">
        <f>I10+J10</f>
        <v/>
      </c>
      <c r="L10" s="234">
        <f>K10-H10</f>
        <v/>
      </c>
      <c r="M10" s="235">
        <f>IF(H10=0,"",K10/H10)</f>
        <v/>
      </c>
      <c r="N10" s="42" t="n"/>
      <c r="O10" s="233" t="n"/>
      <c r="P10" s="233" t="n"/>
      <c r="Q10" s="233">
        <f>O10+P10</f>
        <v/>
      </c>
      <c r="R10" s="233" t="n"/>
      <c r="S10" s="233" t="n"/>
      <c r="T10" s="233">
        <f>R10+S10</f>
        <v/>
      </c>
      <c r="U10" s="238">
        <f>T10-Q10</f>
        <v/>
      </c>
      <c r="V10" s="235">
        <f>IF(Q10=0,"",T10/Q10)</f>
        <v/>
      </c>
      <c r="W10" s="26" t="n"/>
      <c r="X10" s="236">
        <f>F10+O10</f>
        <v/>
      </c>
      <c r="Y10" s="236">
        <f>G10+P10</f>
        <v/>
      </c>
      <c r="Z10" s="236">
        <f>X10+Y10</f>
        <v/>
      </c>
      <c r="AA10" s="236">
        <f>I10+R10</f>
        <v/>
      </c>
      <c r="AB10" s="236">
        <f>J10+S10</f>
        <v/>
      </c>
      <c r="AC10" s="236">
        <f>AA10+AB10</f>
        <v/>
      </c>
      <c r="AD10" s="234">
        <f>AC10-Z10</f>
        <v/>
      </c>
      <c r="AE10" s="237">
        <f>IF(Z10=0,"",AC10/Z10)</f>
        <v/>
      </c>
      <c r="AF10" s="33" t="n"/>
      <c r="AG10" s="233" t="n"/>
      <c r="AH10" s="233" t="n"/>
      <c r="AI10" s="233">
        <f>AG10+AH10</f>
        <v/>
      </c>
      <c r="AJ10" s="233" t="n"/>
      <c r="AK10" s="233" t="n"/>
      <c r="AL10" s="233">
        <f>AJ10+AK10</f>
        <v/>
      </c>
      <c r="AM10" s="234">
        <f>AL10-AI10</f>
        <v/>
      </c>
      <c r="AN10" s="235">
        <f>IF(AI10=0,"",AL10/AI10)</f>
        <v/>
      </c>
      <c r="AO10" s="42" t="n"/>
      <c r="AP10" s="236">
        <f>X10+AG10</f>
        <v/>
      </c>
      <c r="AQ10" s="236">
        <f>Y10+AH10</f>
        <v/>
      </c>
      <c r="AR10" s="236">
        <f>AP10+AQ10</f>
        <v/>
      </c>
      <c r="AS10" s="236">
        <f>AA10+AJ10</f>
        <v/>
      </c>
      <c r="AT10" s="236">
        <f>AB10+AK10</f>
        <v/>
      </c>
      <c r="AU10" s="236">
        <f>AS10+AT10</f>
        <v/>
      </c>
      <c r="AV10" s="239">
        <f>AU10-AR10</f>
        <v/>
      </c>
      <c r="AW10" s="237">
        <f>IF(AR10=0,"",AU10/AR10)</f>
        <v/>
      </c>
      <c r="AX10" s="33" t="n"/>
      <c r="AY10" s="233" t="n"/>
      <c r="AZ10" s="233" t="n"/>
      <c r="BA10" s="233">
        <f>AY10+AZ10</f>
        <v/>
      </c>
      <c r="BB10" s="233" t="n"/>
      <c r="BC10" s="233" t="n"/>
      <c r="BD10" s="233">
        <f>BB10+BC10</f>
        <v/>
      </c>
      <c r="BE10" s="238">
        <f>BD10-BA10</f>
        <v/>
      </c>
      <c r="BF10" s="235">
        <f>IF(BA10=0,"",BD10/BA10)</f>
        <v/>
      </c>
      <c r="BG10" s="26" t="n"/>
      <c r="BH10" s="236">
        <f>AP10+AY10</f>
        <v/>
      </c>
      <c r="BI10" s="236">
        <f>AQ10+AZ10</f>
        <v/>
      </c>
      <c r="BJ10" s="236">
        <f>BH10+BI10</f>
        <v/>
      </c>
      <c r="BK10" s="236">
        <f>AS10+BB10</f>
        <v/>
      </c>
      <c r="BL10" s="236">
        <f>AT10+BC10</f>
        <v/>
      </c>
      <c r="BM10" s="236">
        <f>BK10+BL10</f>
        <v/>
      </c>
      <c r="BN10" s="239">
        <f>BM10-BJ10</f>
        <v/>
      </c>
      <c r="BO10" s="237">
        <f>IF(BJ10=0,"",BM10/BJ10)</f>
        <v/>
      </c>
      <c r="BP10" s="33" t="n"/>
      <c r="BQ10" s="233" t="n"/>
      <c r="BR10" s="233" t="n"/>
      <c r="BS10" s="233">
        <f>BQ10+BR10</f>
        <v/>
      </c>
      <c r="BT10" s="233" t="n"/>
      <c r="BU10" s="233" t="n"/>
      <c r="BV10" s="233">
        <f>BT10+BU10</f>
        <v/>
      </c>
      <c r="BW10" s="238">
        <f>BV10-BS10</f>
        <v/>
      </c>
      <c r="BX10" s="235">
        <f>IF(BS10=0,"",BV10/BS10)</f>
        <v/>
      </c>
      <c r="BY10" s="26" t="n"/>
      <c r="BZ10" s="236">
        <f>BH10+BQ10</f>
        <v/>
      </c>
      <c r="CA10" s="236">
        <f>BI10+BR10</f>
        <v/>
      </c>
      <c r="CB10" s="236">
        <f>BZ10+CA10</f>
        <v/>
      </c>
      <c r="CC10" s="236">
        <f>BK10+BT10</f>
        <v/>
      </c>
      <c r="CD10" s="236">
        <f>BL10+BU10</f>
        <v/>
      </c>
      <c r="CE10" s="236">
        <f>CC10+CD10</f>
        <v/>
      </c>
      <c r="CF10" s="239">
        <f>CE10-CB10</f>
        <v/>
      </c>
      <c r="CG10" s="237">
        <f>IF(CB10=0,"",CE10/CB10)</f>
        <v/>
      </c>
      <c r="CH10" s="33" t="n"/>
      <c r="CI10" s="233" t="n"/>
      <c r="CJ10" s="233" t="n"/>
      <c r="CK10" s="233">
        <f>CI10+CJ10</f>
        <v/>
      </c>
      <c r="CL10" s="233" t="n"/>
      <c r="CM10" s="233" t="n"/>
      <c r="CN10" s="233">
        <f>CL10+CM10</f>
        <v/>
      </c>
      <c r="CO10" s="238">
        <f>CN10-CK10</f>
        <v/>
      </c>
      <c r="CP10" s="235">
        <f>IF(CK10=0,"",CN10/CK10)</f>
        <v/>
      </c>
      <c r="CQ10" s="26" t="n"/>
      <c r="CR10" s="236">
        <f>BZ10+CI10</f>
        <v/>
      </c>
      <c r="CS10" s="236">
        <f>CA10+CJ10</f>
        <v/>
      </c>
      <c r="CT10" s="236">
        <f>CR10+CS10</f>
        <v/>
      </c>
      <c r="CU10" s="236">
        <f>CC10+CL10</f>
        <v/>
      </c>
      <c r="CV10" s="236">
        <f>CD10+CM10</f>
        <v/>
      </c>
      <c r="CW10" s="236">
        <f>CU10+CV10</f>
        <v/>
      </c>
      <c r="CX10" s="239">
        <f>CW10-CT10</f>
        <v/>
      </c>
      <c r="CY10" s="237">
        <f>IF(CT10=0,"",CW10/CT10)</f>
        <v/>
      </c>
      <c r="CZ10" s="33" t="n"/>
      <c r="DA10" s="233" t="n"/>
      <c r="DB10" s="233" t="n"/>
      <c r="DC10" s="233">
        <f>DA10+DB10</f>
        <v/>
      </c>
      <c r="DD10" s="233" t="n"/>
      <c r="DE10" s="233" t="n"/>
      <c r="DF10" s="233">
        <f>DD10+DE10</f>
        <v/>
      </c>
      <c r="DG10" s="238">
        <f>DF10-DC10</f>
        <v/>
      </c>
      <c r="DH10" s="235">
        <f>IF(DC10=0,"",DF10/DC10)</f>
        <v/>
      </c>
      <c r="DI10" s="26" t="n"/>
      <c r="DJ10" s="236">
        <f>CR10+DA10</f>
        <v/>
      </c>
      <c r="DK10" s="236">
        <f>CS10+DB10</f>
        <v/>
      </c>
      <c r="DL10" s="236">
        <f>DJ10+DK10</f>
        <v/>
      </c>
      <c r="DM10" s="236">
        <f>CU10+DD10</f>
        <v/>
      </c>
      <c r="DN10" s="236">
        <f>CV10+DE10</f>
        <v/>
      </c>
      <c r="DO10" s="236">
        <f>DM10+DN10</f>
        <v/>
      </c>
      <c r="DP10" s="239">
        <f>DO10-DL10</f>
        <v/>
      </c>
      <c r="DQ10" s="237">
        <f>IF(DL10=0,"",DO10/DL10)</f>
        <v/>
      </c>
      <c r="DR10" s="33" t="n"/>
      <c r="DS10" s="233" t="n"/>
      <c r="DT10" s="233" t="n"/>
      <c r="DU10" s="233">
        <f>DS10+DT10</f>
        <v/>
      </c>
      <c r="DV10" s="233" t="n"/>
      <c r="DW10" s="233" t="n"/>
      <c r="DX10" s="233">
        <f>DV10+DW10</f>
        <v/>
      </c>
      <c r="DY10" s="238">
        <f>DX10-DU10</f>
        <v/>
      </c>
      <c r="DZ10" s="235">
        <f>IF(DU10=0,"",DX10/DU10)</f>
        <v/>
      </c>
      <c r="EA10" s="26" t="n"/>
      <c r="EB10" s="236">
        <f>DJ10+DS10</f>
        <v/>
      </c>
      <c r="EC10" s="236">
        <f>DK10+DT10</f>
        <v/>
      </c>
      <c r="ED10" s="236">
        <f>EB10+EC10</f>
        <v/>
      </c>
      <c r="EE10" s="236">
        <f>DM10+DV10</f>
        <v/>
      </c>
      <c r="EF10" s="236">
        <f>DN10+DW10</f>
        <v/>
      </c>
      <c r="EG10" s="236">
        <f>EE10+EF10</f>
        <v/>
      </c>
      <c r="EH10" s="239">
        <f>EG10-ED10</f>
        <v/>
      </c>
      <c r="EI10" s="237">
        <f>IF(ED10=0,"",EG10/ED10)</f>
        <v/>
      </c>
      <c r="EJ10" s="33" t="n"/>
      <c r="EK10" s="233" t="n"/>
      <c r="EL10" s="233" t="n"/>
      <c r="EM10" s="233">
        <f>EK10+EL10</f>
        <v/>
      </c>
      <c r="EN10" s="233" t="n"/>
      <c r="EO10" s="233" t="n"/>
      <c r="EP10" s="233">
        <f>EN10+EO10</f>
        <v/>
      </c>
      <c r="EQ10" s="238">
        <f>EP10-EM10</f>
        <v/>
      </c>
      <c r="ER10" s="235">
        <f>IF(EM10=0,"",EP10/EM10)</f>
        <v/>
      </c>
      <c r="ES10" s="26" t="n"/>
      <c r="ET10" s="236">
        <f>EB10+EK10</f>
        <v/>
      </c>
      <c r="EU10" s="236">
        <f>EC10+EL10</f>
        <v/>
      </c>
      <c r="EV10" s="236">
        <f>ET10+EU10</f>
        <v/>
      </c>
      <c r="EW10" s="236">
        <f>EE10+EN10</f>
        <v/>
      </c>
      <c r="EX10" s="236">
        <f>EF10+EO10</f>
        <v/>
      </c>
      <c r="EY10" s="236">
        <f>EW10+EX10</f>
        <v/>
      </c>
      <c r="EZ10" s="239">
        <f>EY10-EV10</f>
        <v/>
      </c>
      <c r="FA10" s="237">
        <f>IF(EV10=0,"",EY10/EV10)</f>
        <v/>
      </c>
      <c r="FB10" s="33" t="n"/>
      <c r="FC10" s="233" t="n"/>
      <c r="FD10" s="233" t="n"/>
      <c r="FE10" s="233">
        <f>FC10+FD10</f>
        <v/>
      </c>
      <c r="FF10" s="233" t="n"/>
      <c r="FG10" s="233" t="n"/>
      <c r="FH10" s="233">
        <f>FF10+FG10</f>
        <v/>
      </c>
      <c r="FI10" s="238">
        <f>FH10-FE10</f>
        <v/>
      </c>
      <c r="FJ10" s="235">
        <f>IF(FE10=0,"",FH10/FE10)</f>
        <v/>
      </c>
      <c r="FK10" s="26" t="n"/>
      <c r="FL10" s="236">
        <f>ET10+FC10</f>
        <v/>
      </c>
      <c r="FM10" s="236">
        <f>EU10+FD10</f>
        <v/>
      </c>
      <c r="FN10" s="236">
        <f>FL10+FM10</f>
        <v/>
      </c>
      <c r="FO10" s="236">
        <f>EW10+FF10</f>
        <v/>
      </c>
      <c r="FP10" s="236">
        <f>EX10+FG10</f>
        <v/>
      </c>
      <c r="FQ10" s="236">
        <f>FO10+FP10</f>
        <v/>
      </c>
      <c r="FR10" s="239">
        <f>FQ10-FN10</f>
        <v/>
      </c>
      <c r="FS10" s="237">
        <f>IF(FN10=0,"",FQ10/FN10)</f>
        <v/>
      </c>
      <c r="FT10" s="33" t="n"/>
      <c r="FU10" s="233" t="n"/>
      <c r="FV10" s="233" t="n"/>
      <c r="FW10" s="233">
        <f>FU10+FV10</f>
        <v/>
      </c>
      <c r="FX10" s="233" t="n"/>
      <c r="FY10" s="233" t="n"/>
      <c r="FZ10" s="233">
        <f>FX10+FY10</f>
        <v/>
      </c>
      <c r="GA10" s="238">
        <f>FZ10-FW10</f>
        <v/>
      </c>
      <c r="GB10" s="235">
        <f>IF(FW10=0,"",FZ10/FW10)</f>
        <v/>
      </c>
      <c r="GC10" s="26" t="n"/>
      <c r="GD10" s="236">
        <f>FL10+FU10</f>
        <v/>
      </c>
      <c r="GE10" s="236">
        <f>FM10+FV10</f>
        <v/>
      </c>
      <c r="GF10" s="236">
        <f>GD10+GE10</f>
        <v/>
      </c>
      <c r="GG10" s="236">
        <f>FO10+FX10</f>
        <v/>
      </c>
      <c r="GH10" s="236">
        <f>FP10+FY10</f>
        <v/>
      </c>
      <c r="GI10" s="236">
        <f>GG10+GH10</f>
        <v/>
      </c>
      <c r="GJ10" s="239">
        <f>GI10-GF10</f>
        <v/>
      </c>
      <c r="GK10" s="237">
        <f>IF(GF10=0,"",GI10/GF10)</f>
        <v/>
      </c>
      <c r="GL10" s="33" t="n"/>
      <c r="GM10" s="233" t="n"/>
      <c r="GN10" s="233" t="n"/>
      <c r="GO10" s="233">
        <f>GM10+GN10</f>
        <v/>
      </c>
      <c r="GP10" s="233" t="n"/>
      <c r="GQ10" s="233" t="n"/>
      <c r="GR10" s="233">
        <f>GP10+GQ10</f>
        <v/>
      </c>
      <c r="GS10" s="238">
        <f>GR10-GO10</f>
        <v/>
      </c>
      <c r="GT10" s="235">
        <f>IF(GO10=0,"",GR10/GO10)</f>
        <v/>
      </c>
      <c r="GU10" s="26" t="n"/>
      <c r="GV10" s="236">
        <f>GD10+GM10</f>
        <v/>
      </c>
      <c r="GW10" s="236">
        <f>GE10+GN10</f>
        <v/>
      </c>
      <c r="GX10" s="236">
        <f>GV10+GW10</f>
        <v/>
      </c>
      <c r="GY10" s="236">
        <f>GG10+GP10</f>
        <v/>
      </c>
      <c r="GZ10" s="236">
        <f>GH10+GQ10</f>
        <v/>
      </c>
      <c r="HA10" s="236">
        <f>GY10+GZ10</f>
        <v/>
      </c>
      <c r="HB10" s="239">
        <f>HA10-GX10</f>
        <v/>
      </c>
      <c r="HC10" s="237">
        <f>IF(GX10=0,"",HA10/GX10)</f>
        <v/>
      </c>
      <c r="HD10" s="33" t="n"/>
      <c r="HE10" s="233">
        <f>GV10</f>
        <v/>
      </c>
      <c r="HF10" s="233">
        <f>GW10</f>
        <v/>
      </c>
      <c r="HG10" s="233">
        <f>HE10+HF10</f>
        <v/>
      </c>
    </row>
    <row r="11" ht="15" customHeight="1" s="150">
      <c r="A11" s="12" t="n"/>
      <c r="B11" s="12" t="n"/>
      <c r="C11" s="41" t="n"/>
      <c r="D11" s="41" t="n"/>
      <c r="E11" s="41" t="n"/>
      <c r="F11" s="240">
        <f>F12</f>
        <v/>
      </c>
      <c r="G11" s="240">
        <f>G12</f>
        <v/>
      </c>
      <c r="H11" s="240">
        <f>F11+G11</f>
        <v/>
      </c>
      <c r="I11" s="240">
        <f>I12</f>
        <v/>
      </c>
      <c r="J11" s="240">
        <f>J12</f>
        <v/>
      </c>
      <c r="K11" s="240">
        <f>I11+J11</f>
        <v/>
      </c>
      <c r="L11" s="240">
        <f>K11-H11</f>
        <v/>
      </c>
      <c r="M11" s="241">
        <f>IF(H11=0,"",K11/H11)</f>
        <v/>
      </c>
      <c r="N11" s="12" t="n"/>
      <c r="O11" s="240">
        <f>O12</f>
        <v/>
      </c>
      <c r="P11" s="240">
        <f>P12</f>
        <v/>
      </c>
      <c r="Q11" s="240">
        <f>O11+P11</f>
        <v/>
      </c>
      <c r="R11" s="240">
        <f>R12</f>
        <v/>
      </c>
      <c r="S11" s="240">
        <f>S12</f>
        <v/>
      </c>
      <c r="T11" s="240">
        <f>R11+S11</f>
        <v/>
      </c>
      <c r="U11" s="240">
        <f>T11-Q11</f>
        <v/>
      </c>
      <c r="V11" s="241">
        <f>IF(Q11=0,"",T11/Q11)</f>
        <v/>
      </c>
      <c r="W11" s="12" t="n"/>
      <c r="X11" s="242">
        <f>X12</f>
        <v/>
      </c>
      <c r="Y11" s="242">
        <f>Y12</f>
        <v/>
      </c>
      <c r="Z11" s="242">
        <f>X11+Y11</f>
        <v/>
      </c>
      <c r="AA11" s="242">
        <f>AA12</f>
        <v/>
      </c>
      <c r="AB11" s="242">
        <f>AB12</f>
        <v/>
      </c>
      <c r="AC11" s="242">
        <f>AA11+AB11</f>
        <v/>
      </c>
      <c r="AD11" s="242">
        <f>AC11-Z11</f>
        <v/>
      </c>
      <c r="AE11" s="243">
        <f>IF(Z11=0,"",AC11/Z11)</f>
        <v/>
      </c>
      <c r="AF11" s="17" t="n"/>
      <c r="AG11" s="240">
        <f>AG12</f>
        <v/>
      </c>
      <c r="AH11" s="240">
        <f>AH12</f>
        <v/>
      </c>
      <c r="AI11" s="240">
        <f>AG11+AH11</f>
        <v/>
      </c>
      <c r="AJ11" s="240">
        <f>AJ12</f>
        <v/>
      </c>
      <c r="AK11" s="240">
        <f>AK12</f>
        <v/>
      </c>
      <c r="AL11" s="240">
        <f>AJ11+AK11</f>
        <v/>
      </c>
      <c r="AM11" s="240">
        <f>AL11-AI11</f>
        <v/>
      </c>
      <c r="AN11" s="241">
        <f>IF(AI11=0,"",AL11/AI11)</f>
        <v/>
      </c>
      <c r="AO11" s="12" t="n"/>
      <c r="AP11" s="242">
        <f>AP12</f>
        <v/>
      </c>
      <c r="AQ11" s="242">
        <f>AQ12</f>
        <v/>
      </c>
      <c r="AR11" s="242">
        <f>AP11+AQ11</f>
        <v/>
      </c>
      <c r="AS11" s="242">
        <f>AS12</f>
        <v/>
      </c>
      <c r="AT11" s="242">
        <f>AT12</f>
        <v/>
      </c>
      <c r="AU11" s="242">
        <f>AS11+AT11</f>
        <v/>
      </c>
      <c r="AV11" s="242">
        <f>AU11-AR11</f>
        <v/>
      </c>
      <c r="AW11" s="243">
        <f>IF(AR11=0,"",AU11/AR11)</f>
        <v/>
      </c>
      <c r="AX11" s="17" t="n"/>
      <c r="AY11" s="240">
        <f>AY12</f>
        <v/>
      </c>
      <c r="AZ11" s="240">
        <f>AZ12</f>
        <v/>
      </c>
      <c r="BA11" s="240">
        <f>AY11+AZ11</f>
        <v/>
      </c>
      <c r="BB11" s="240">
        <f>BB12</f>
        <v/>
      </c>
      <c r="BC11" s="240">
        <f>BC12</f>
        <v/>
      </c>
      <c r="BD11" s="240">
        <f>BB11+BC11</f>
        <v/>
      </c>
      <c r="BE11" s="240">
        <f>BD11-BA11</f>
        <v/>
      </c>
      <c r="BF11" s="241">
        <f>IF(BA11=0,"",BD11/BA11)</f>
        <v/>
      </c>
      <c r="BG11" s="12" t="n"/>
      <c r="BH11" s="242">
        <f>BH12</f>
        <v/>
      </c>
      <c r="BI11" s="242">
        <f>BI12</f>
        <v/>
      </c>
      <c r="BJ11" s="242">
        <f>BH11+BI11</f>
        <v/>
      </c>
      <c r="BK11" s="242">
        <f>BK12</f>
        <v/>
      </c>
      <c r="BL11" s="242">
        <f>BL12</f>
        <v/>
      </c>
      <c r="BM11" s="242">
        <f>BK11+BL11</f>
        <v/>
      </c>
      <c r="BN11" s="242">
        <f>BM11-BJ11</f>
        <v/>
      </c>
      <c r="BO11" s="243">
        <f>IF(BJ11=0,"",BM11/BJ11)</f>
        <v/>
      </c>
      <c r="BP11" s="17" t="n"/>
      <c r="BQ11" s="240">
        <f>BQ12</f>
        <v/>
      </c>
      <c r="BR11" s="240">
        <f>BR12</f>
        <v/>
      </c>
      <c r="BS11" s="240">
        <f>BQ11+BR11</f>
        <v/>
      </c>
      <c r="BT11" s="240">
        <f>BT12</f>
        <v/>
      </c>
      <c r="BU11" s="240">
        <f>BU12</f>
        <v/>
      </c>
      <c r="BV11" s="240">
        <f>BT11+BU11</f>
        <v/>
      </c>
      <c r="BW11" s="240">
        <f>BV11-BS11</f>
        <v/>
      </c>
      <c r="BX11" s="241">
        <f>IF(BS11=0,"",BV11/BS11)</f>
        <v/>
      </c>
      <c r="BY11" s="12" t="n"/>
      <c r="BZ11" s="242">
        <f>BZ12</f>
        <v/>
      </c>
      <c r="CA11" s="242">
        <f>CA12</f>
        <v/>
      </c>
      <c r="CB11" s="242">
        <f>BZ11+CA11</f>
        <v/>
      </c>
      <c r="CC11" s="242">
        <f>CC12</f>
        <v/>
      </c>
      <c r="CD11" s="242">
        <f>CD12</f>
        <v/>
      </c>
      <c r="CE11" s="242">
        <f>CC11+CD11</f>
        <v/>
      </c>
      <c r="CF11" s="242">
        <f>CE11-CB11</f>
        <v/>
      </c>
      <c r="CG11" s="243">
        <f>IF(CB11=0,"",CE11/CB11)</f>
        <v/>
      </c>
      <c r="CH11" s="17" t="n"/>
      <c r="CI11" s="240">
        <f>CI12</f>
        <v/>
      </c>
      <c r="CJ11" s="240">
        <f>CJ12</f>
        <v/>
      </c>
      <c r="CK11" s="240">
        <f>CI11+CJ11</f>
        <v/>
      </c>
      <c r="CL11" s="240">
        <f>CL12</f>
        <v/>
      </c>
      <c r="CM11" s="240">
        <f>CM12</f>
        <v/>
      </c>
      <c r="CN11" s="240">
        <f>CL11+CM11</f>
        <v/>
      </c>
      <c r="CO11" s="240">
        <f>CN11-CK11</f>
        <v/>
      </c>
      <c r="CP11" s="241">
        <f>IF(CK11=0,"",CN11/CK11)</f>
        <v/>
      </c>
      <c r="CQ11" s="12" t="n"/>
      <c r="CR11" s="242">
        <f>CR12</f>
        <v/>
      </c>
      <c r="CS11" s="242">
        <f>CS12</f>
        <v/>
      </c>
      <c r="CT11" s="242">
        <f>CR11+CS11</f>
        <v/>
      </c>
      <c r="CU11" s="242">
        <f>CU12</f>
        <v/>
      </c>
      <c r="CV11" s="242">
        <f>CV12</f>
        <v/>
      </c>
      <c r="CW11" s="242">
        <f>CU11+CV11</f>
        <v/>
      </c>
      <c r="CX11" s="242">
        <f>CW11-CT11</f>
        <v/>
      </c>
      <c r="CY11" s="243">
        <f>IF(CT11=0,"",CW11/CT11)</f>
        <v/>
      </c>
      <c r="CZ11" s="17" t="n"/>
      <c r="DA11" s="240">
        <f>DA12</f>
        <v/>
      </c>
      <c r="DB11" s="240">
        <f>DB12</f>
        <v/>
      </c>
      <c r="DC11" s="240">
        <f>DA11+DB11</f>
        <v/>
      </c>
      <c r="DD11" s="240">
        <f>DD12</f>
        <v/>
      </c>
      <c r="DE11" s="240">
        <f>DE12</f>
        <v/>
      </c>
      <c r="DF11" s="240">
        <f>DD11+DE11</f>
        <v/>
      </c>
      <c r="DG11" s="240">
        <f>DF11-DC11</f>
        <v/>
      </c>
      <c r="DH11" s="241">
        <f>IF(DC11=0,"",DF11/DC11)</f>
        <v/>
      </c>
      <c r="DI11" s="12" t="n"/>
      <c r="DJ11" s="242">
        <f>DJ12</f>
        <v/>
      </c>
      <c r="DK11" s="242">
        <f>DK12</f>
        <v/>
      </c>
      <c r="DL11" s="242">
        <f>DJ11+DK11</f>
        <v/>
      </c>
      <c r="DM11" s="242">
        <f>DM12</f>
        <v/>
      </c>
      <c r="DN11" s="242">
        <f>DN12</f>
        <v/>
      </c>
      <c r="DO11" s="242">
        <f>DM11+DN11</f>
        <v/>
      </c>
      <c r="DP11" s="242">
        <f>DO11-DL11</f>
        <v/>
      </c>
      <c r="DQ11" s="243">
        <f>IF(DL11=0,"",DO11/DL11)</f>
        <v/>
      </c>
      <c r="DR11" s="17" t="n"/>
      <c r="DS11" s="240">
        <f>DS12</f>
        <v/>
      </c>
      <c r="DT11" s="240">
        <f>DT12</f>
        <v/>
      </c>
      <c r="DU11" s="240">
        <f>DS11+DT11</f>
        <v/>
      </c>
      <c r="DV11" s="240">
        <f>DV12</f>
        <v/>
      </c>
      <c r="DW11" s="240">
        <f>DW12</f>
        <v/>
      </c>
      <c r="DX11" s="240">
        <f>DV11+DW11</f>
        <v/>
      </c>
      <c r="DY11" s="240">
        <f>DX11-DU11</f>
        <v/>
      </c>
      <c r="DZ11" s="241">
        <f>IF(DU11=0,"",DX11/DU11)</f>
        <v/>
      </c>
      <c r="EA11" s="12" t="n"/>
      <c r="EB11" s="242">
        <f>EB12</f>
        <v/>
      </c>
      <c r="EC11" s="242">
        <f>EC12</f>
        <v/>
      </c>
      <c r="ED11" s="242">
        <f>EB11+EC11</f>
        <v/>
      </c>
      <c r="EE11" s="242">
        <f>EE12</f>
        <v/>
      </c>
      <c r="EF11" s="242">
        <f>EF12</f>
        <v/>
      </c>
      <c r="EG11" s="242">
        <f>EE11+EF11</f>
        <v/>
      </c>
      <c r="EH11" s="242">
        <f>EG11-ED11</f>
        <v/>
      </c>
      <c r="EI11" s="243">
        <f>IF(ED11=0,"",EG11/ED11)</f>
        <v/>
      </c>
      <c r="EJ11" s="17" t="n"/>
      <c r="EK11" s="240">
        <f>EK12</f>
        <v/>
      </c>
      <c r="EL11" s="240">
        <f>EL12</f>
        <v/>
      </c>
      <c r="EM11" s="240">
        <f>EK11+EL11</f>
        <v/>
      </c>
      <c r="EN11" s="240">
        <f>EN12</f>
        <v/>
      </c>
      <c r="EO11" s="240">
        <f>EO12</f>
        <v/>
      </c>
      <c r="EP11" s="240">
        <f>EN11+EO11</f>
        <v/>
      </c>
      <c r="EQ11" s="240">
        <f>EP11-EM11</f>
        <v/>
      </c>
      <c r="ER11" s="241">
        <f>IF(EM11=0,"",EP11/EM11)</f>
        <v/>
      </c>
      <c r="ES11" s="12" t="n"/>
      <c r="ET11" s="242">
        <f>ET12</f>
        <v/>
      </c>
      <c r="EU11" s="242">
        <f>EU12</f>
        <v/>
      </c>
      <c r="EV11" s="242">
        <f>ET11+EU11</f>
        <v/>
      </c>
      <c r="EW11" s="242">
        <f>EW12</f>
        <v/>
      </c>
      <c r="EX11" s="242">
        <f>EX12</f>
        <v/>
      </c>
      <c r="EY11" s="242">
        <f>EW11+EX11</f>
        <v/>
      </c>
      <c r="EZ11" s="242">
        <f>EY11-EV11</f>
        <v/>
      </c>
      <c r="FA11" s="243">
        <f>IF(EV11=0,"",EY11/EV11)</f>
        <v/>
      </c>
      <c r="FB11" s="17" t="n"/>
      <c r="FC11" s="240">
        <f>FC12</f>
        <v/>
      </c>
      <c r="FD11" s="240">
        <f>FD12</f>
        <v/>
      </c>
      <c r="FE11" s="240">
        <f>FC11+FD11</f>
        <v/>
      </c>
      <c r="FF11" s="240">
        <f>FF12</f>
        <v/>
      </c>
      <c r="FG11" s="240">
        <f>FG12</f>
        <v/>
      </c>
      <c r="FH11" s="240">
        <f>FF11+FG11</f>
        <v/>
      </c>
      <c r="FI11" s="240">
        <f>FH11-FE11</f>
        <v/>
      </c>
      <c r="FJ11" s="241">
        <f>IF(FE11=0,"",FH11/FE11)</f>
        <v/>
      </c>
      <c r="FK11" s="12" t="n"/>
      <c r="FL11" s="242">
        <f>FL12</f>
        <v/>
      </c>
      <c r="FM11" s="242">
        <f>FM12</f>
        <v/>
      </c>
      <c r="FN11" s="242">
        <f>FL11+FM11</f>
        <v/>
      </c>
      <c r="FO11" s="242">
        <f>FO12</f>
        <v/>
      </c>
      <c r="FP11" s="242">
        <f>FP12</f>
        <v/>
      </c>
      <c r="FQ11" s="242">
        <f>FO11+FP11</f>
        <v/>
      </c>
      <c r="FR11" s="242">
        <f>FQ11-FN11</f>
        <v/>
      </c>
      <c r="FS11" s="243">
        <f>IF(FN11=0,"",FQ11/FN11)</f>
        <v/>
      </c>
      <c r="FT11" s="17" t="n"/>
      <c r="FU11" s="240">
        <f>FU12</f>
        <v/>
      </c>
      <c r="FV11" s="240">
        <f>FV12</f>
        <v/>
      </c>
      <c r="FW11" s="240">
        <f>FU11+FV11</f>
        <v/>
      </c>
      <c r="FX11" s="240">
        <f>FX12</f>
        <v/>
      </c>
      <c r="FY11" s="240">
        <f>FY12</f>
        <v/>
      </c>
      <c r="FZ11" s="240">
        <f>FX11+FY11</f>
        <v/>
      </c>
      <c r="GA11" s="240">
        <f>FZ11-FW11</f>
        <v/>
      </c>
      <c r="GB11" s="241">
        <f>IF(FW11=0,"",FZ11/FW11)</f>
        <v/>
      </c>
      <c r="GC11" s="12" t="n"/>
      <c r="GD11" s="242">
        <f>GD12</f>
        <v/>
      </c>
      <c r="GE11" s="242">
        <f>GE12</f>
        <v/>
      </c>
      <c r="GF11" s="242">
        <f>GD11+GE11</f>
        <v/>
      </c>
      <c r="GG11" s="242">
        <f>GG12</f>
        <v/>
      </c>
      <c r="GH11" s="242">
        <f>GH12</f>
        <v/>
      </c>
      <c r="GI11" s="242">
        <f>GG11+GH11</f>
        <v/>
      </c>
      <c r="GJ11" s="242">
        <f>GI11-GF11</f>
        <v/>
      </c>
      <c r="GK11" s="243">
        <f>IF(GF11=0,"",GI11/GF11)</f>
        <v/>
      </c>
      <c r="GL11" s="17" t="n"/>
      <c r="GM11" s="240">
        <f>GM12</f>
        <v/>
      </c>
      <c r="GN11" s="240">
        <f>GN12</f>
        <v/>
      </c>
      <c r="GO11" s="240">
        <f>GM11+GN11</f>
        <v/>
      </c>
      <c r="GP11" s="240">
        <f>GP12</f>
        <v/>
      </c>
      <c r="GQ11" s="240">
        <f>GQ12</f>
        <v/>
      </c>
      <c r="GR11" s="240">
        <f>GP11+GQ11</f>
        <v/>
      </c>
      <c r="GS11" s="240">
        <f>GR11-GO11</f>
        <v/>
      </c>
      <c r="GT11" s="241">
        <f>IF(GO11=0,"",GR11/GO11)</f>
        <v/>
      </c>
      <c r="GU11" s="12" t="n"/>
      <c r="GV11" s="242">
        <f>GV12</f>
        <v/>
      </c>
      <c r="GW11" s="242">
        <f>GW12</f>
        <v/>
      </c>
      <c r="GX11" s="242">
        <f>GV11+GW11</f>
        <v/>
      </c>
      <c r="GY11" s="242">
        <f>GY12</f>
        <v/>
      </c>
      <c r="GZ11" s="242">
        <f>GZ12</f>
        <v/>
      </c>
      <c r="HA11" s="242">
        <f>GY11+GZ11</f>
        <v/>
      </c>
      <c r="HB11" s="242">
        <f>HA11-GX11</f>
        <v/>
      </c>
      <c r="HC11" s="243">
        <f>IF(GX11=0,"",HA11/GX11)</f>
        <v/>
      </c>
      <c r="HD11" s="17" t="n"/>
      <c r="HE11" s="240">
        <f>GV11</f>
        <v/>
      </c>
      <c r="HF11" s="240">
        <f>GW11</f>
        <v/>
      </c>
      <c r="HG11" s="240">
        <f>HE11+HF11</f>
        <v/>
      </c>
    </row>
    <row r="12" ht="30" customHeight="1" s="150">
      <c r="A12" s="26" t="n"/>
      <c r="B12" s="26" t="n"/>
      <c r="C12" s="42" t="n"/>
      <c r="D12" s="42" t="n"/>
      <c r="E12" s="42" t="n"/>
      <c r="F12" s="233" t="n"/>
      <c r="G12" s="233" t="n"/>
      <c r="H12" s="233">
        <f>F12+G12</f>
        <v/>
      </c>
      <c r="I12" s="233" t="n"/>
      <c r="J12" s="233" t="n"/>
      <c r="K12" s="233">
        <f>I12+J12</f>
        <v/>
      </c>
      <c r="L12" s="238">
        <f>K12-H12</f>
        <v/>
      </c>
      <c r="M12" s="235">
        <f>IF(H12=0,"",K12/H12)</f>
        <v/>
      </c>
      <c r="N12" s="26" t="n"/>
      <c r="O12" s="233" t="n"/>
      <c r="P12" s="233" t="n"/>
      <c r="Q12" s="233">
        <f>O12+P12</f>
        <v/>
      </c>
      <c r="R12" s="233" t="n"/>
      <c r="S12" s="233" t="n"/>
      <c r="T12" s="233">
        <f>R12+S12</f>
        <v/>
      </c>
      <c r="U12" s="238">
        <f>T12-Q12</f>
        <v/>
      </c>
      <c r="V12" s="235">
        <f>IF(Q12=0,"",T12/Q12)</f>
        <v/>
      </c>
      <c r="W12" s="26" t="n"/>
      <c r="X12" s="236">
        <f>F12+O12</f>
        <v/>
      </c>
      <c r="Y12" s="236">
        <f>G12+P12</f>
        <v/>
      </c>
      <c r="Z12" s="236">
        <f>X12+Y12</f>
        <v/>
      </c>
      <c r="AA12" s="236">
        <f>I12+R12</f>
        <v/>
      </c>
      <c r="AB12" s="236">
        <f>J12+S12</f>
        <v/>
      </c>
      <c r="AC12" s="236">
        <f>AA12+AB12</f>
        <v/>
      </c>
      <c r="AD12" s="239">
        <f>AC12-Z12</f>
        <v/>
      </c>
      <c r="AE12" s="237">
        <f>IF(Z12=0,"",AC12/Z12)</f>
        <v/>
      </c>
      <c r="AF12" s="33" t="n"/>
      <c r="AG12" s="233" t="n"/>
      <c r="AH12" s="233" t="n"/>
      <c r="AI12" s="233">
        <f>AG12+AH12</f>
        <v/>
      </c>
      <c r="AJ12" s="233" t="n"/>
      <c r="AK12" s="233" t="n"/>
      <c r="AL12" s="233">
        <f>AJ12+AK12</f>
        <v/>
      </c>
      <c r="AM12" s="238">
        <f>AL12-AI12</f>
        <v/>
      </c>
      <c r="AN12" s="235">
        <f>IF(AI12=0,"",AL12/AI12)</f>
        <v/>
      </c>
      <c r="AO12" s="26" t="n"/>
      <c r="AP12" s="236">
        <f>X12+AG12</f>
        <v/>
      </c>
      <c r="AQ12" s="236">
        <f>Y12+AH12</f>
        <v/>
      </c>
      <c r="AR12" s="236">
        <f>AP12+AQ12</f>
        <v/>
      </c>
      <c r="AS12" s="236">
        <f>AA12+AJ12</f>
        <v/>
      </c>
      <c r="AT12" s="236">
        <f>AB12+AK12</f>
        <v/>
      </c>
      <c r="AU12" s="236">
        <f>AS12+AT12</f>
        <v/>
      </c>
      <c r="AV12" s="239">
        <f>AU12-AR12</f>
        <v/>
      </c>
      <c r="AW12" s="237">
        <f>IF(AR12=0,"",AU12/AR12)</f>
        <v/>
      </c>
      <c r="AX12" s="33" t="n"/>
      <c r="AY12" s="233" t="n"/>
      <c r="AZ12" s="233" t="n"/>
      <c r="BA12" s="233">
        <f>AY12+AZ12</f>
        <v/>
      </c>
      <c r="BB12" s="233" t="n"/>
      <c r="BC12" s="233" t="n"/>
      <c r="BD12" s="233">
        <f>BB12+BC12</f>
        <v/>
      </c>
      <c r="BE12" s="238">
        <f>BD12-BA12</f>
        <v/>
      </c>
      <c r="BF12" s="235">
        <f>IF(BA12=0,"",BD12/BA12)</f>
        <v/>
      </c>
      <c r="BG12" s="26" t="n"/>
      <c r="BH12" s="236">
        <f>AP12+AY12</f>
        <v/>
      </c>
      <c r="BI12" s="236">
        <f>AQ12+AZ12</f>
        <v/>
      </c>
      <c r="BJ12" s="236">
        <f>BH12+BI12</f>
        <v/>
      </c>
      <c r="BK12" s="236">
        <f>AS12+BB12</f>
        <v/>
      </c>
      <c r="BL12" s="236">
        <f>AT12+BC12</f>
        <v/>
      </c>
      <c r="BM12" s="236">
        <f>BK12+BL12</f>
        <v/>
      </c>
      <c r="BN12" s="239">
        <f>BM12-BJ12</f>
        <v/>
      </c>
      <c r="BO12" s="237">
        <f>IF(BJ12=0,"",BM12/BJ12)</f>
        <v/>
      </c>
      <c r="BP12" s="33" t="n"/>
      <c r="BQ12" s="233" t="n"/>
      <c r="BR12" s="233" t="n"/>
      <c r="BS12" s="233">
        <f>BQ12+BR12</f>
        <v/>
      </c>
      <c r="BT12" s="233" t="n"/>
      <c r="BU12" s="233" t="n"/>
      <c r="BV12" s="233">
        <f>BT12+BU12</f>
        <v/>
      </c>
      <c r="BW12" s="238">
        <f>BV12-BS12</f>
        <v/>
      </c>
      <c r="BX12" s="235">
        <f>IF(BS12=0,"",BV12/BS12)</f>
        <v/>
      </c>
      <c r="BY12" s="26" t="n"/>
      <c r="BZ12" s="236">
        <f>BH12+BQ12</f>
        <v/>
      </c>
      <c r="CA12" s="236">
        <f>BI12+BR12</f>
        <v/>
      </c>
      <c r="CB12" s="236">
        <f>BZ12+CA12</f>
        <v/>
      </c>
      <c r="CC12" s="236">
        <f>BK12+BT12</f>
        <v/>
      </c>
      <c r="CD12" s="236">
        <f>BL12+BU12</f>
        <v/>
      </c>
      <c r="CE12" s="236">
        <f>CC12+CD12</f>
        <v/>
      </c>
      <c r="CF12" s="239">
        <f>CE12-CB12</f>
        <v/>
      </c>
      <c r="CG12" s="237">
        <f>IF(CB12=0,"",CE12/CB12)</f>
        <v/>
      </c>
      <c r="CH12" s="33" t="n"/>
      <c r="CI12" s="233" t="n"/>
      <c r="CJ12" s="233" t="n"/>
      <c r="CK12" s="233">
        <f>CI12+CJ12</f>
        <v/>
      </c>
      <c r="CL12" s="233" t="n"/>
      <c r="CM12" s="233" t="n"/>
      <c r="CN12" s="233">
        <f>CL12+CM12</f>
        <v/>
      </c>
      <c r="CO12" s="238">
        <f>CN12-CK12</f>
        <v/>
      </c>
      <c r="CP12" s="235">
        <f>IF(CK12=0,"",CN12/CK12)</f>
        <v/>
      </c>
      <c r="CQ12" s="26" t="n"/>
      <c r="CR12" s="236">
        <f>BZ12+CI12</f>
        <v/>
      </c>
      <c r="CS12" s="236">
        <f>CA12+CJ12</f>
        <v/>
      </c>
      <c r="CT12" s="236">
        <f>CR12+CS12</f>
        <v/>
      </c>
      <c r="CU12" s="236">
        <f>CC12+CL12</f>
        <v/>
      </c>
      <c r="CV12" s="236">
        <f>CD12+CM12</f>
        <v/>
      </c>
      <c r="CW12" s="236">
        <f>CU12+CV12</f>
        <v/>
      </c>
      <c r="CX12" s="239">
        <f>CW12-CT12</f>
        <v/>
      </c>
      <c r="CY12" s="237">
        <f>IF(CT12=0,"",CW12/CT12)</f>
        <v/>
      </c>
      <c r="CZ12" s="33" t="n"/>
      <c r="DA12" s="233" t="n"/>
      <c r="DB12" s="233" t="n"/>
      <c r="DC12" s="233">
        <f>DA12+DB12</f>
        <v/>
      </c>
      <c r="DD12" s="233" t="n"/>
      <c r="DE12" s="233" t="n"/>
      <c r="DF12" s="233">
        <f>DD12+DE12</f>
        <v/>
      </c>
      <c r="DG12" s="238">
        <f>DF12-DC12</f>
        <v/>
      </c>
      <c r="DH12" s="235">
        <f>IF(DC12=0,"",DF12/DC12)</f>
        <v/>
      </c>
      <c r="DI12" s="26" t="n"/>
      <c r="DJ12" s="236">
        <f>CR12+DA12</f>
        <v/>
      </c>
      <c r="DK12" s="236">
        <f>CS12+DB12</f>
        <v/>
      </c>
      <c r="DL12" s="236">
        <f>DJ12+DK12</f>
        <v/>
      </c>
      <c r="DM12" s="236">
        <f>CU12+DD12</f>
        <v/>
      </c>
      <c r="DN12" s="236">
        <f>CV12+DE12</f>
        <v/>
      </c>
      <c r="DO12" s="236">
        <f>DM12+DN12</f>
        <v/>
      </c>
      <c r="DP12" s="239">
        <f>DO12-DL12</f>
        <v/>
      </c>
      <c r="DQ12" s="237">
        <f>IF(DL12=0,"",DO12/DL12)</f>
        <v/>
      </c>
      <c r="DR12" s="33" t="n"/>
      <c r="DS12" s="233" t="n"/>
      <c r="DT12" s="233" t="n"/>
      <c r="DU12" s="233">
        <f>DS12+DT12</f>
        <v/>
      </c>
      <c r="DV12" s="233" t="n"/>
      <c r="DW12" s="233" t="n"/>
      <c r="DX12" s="233">
        <f>DV12+DW12</f>
        <v/>
      </c>
      <c r="DY12" s="238">
        <f>DX12-DU12</f>
        <v/>
      </c>
      <c r="DZ12" s="235">
        <f>IF(DU12=0,"",DX12/DU12)</f>
        <v/>
      </c>
      <c r="EA12" s="26" t="n"/>
      <c r="EB12" s="236">
        <f>DJ12+DS12</f>
        <v/>
      </c>
      <c r="EC12" s="236">
        <f>DK12+DT12</f>
        <v/>
      </c>
      <c r="ED12" s="236">
        <f>EB12+EC12</f>
        <v/>
      </c>
      <c r="EE12" s="236">
        <f>DM12+DV12</f>
        <v/>
      </c>
      <c r="EF12" s="236">
        <f>DN12+DW12</f>
        <v/>
      </c>
      <c r="EG12" s="236">
        <f>EE12+EF12</f>
        <v/>
      </c>
      <c r="EH12" s="239">
        <f>EG12-ED12</f>
        <v/>
      </c>
      <c r="EI12" s="237">
        <f>IF(ED12=0,"",EG12/ED12)</f>
        <v/>
      </c>
      <c r="EJ12" s="33" t="n"/>
      <c r="EK12" s="233" t="n"/>
      <c r="EL12" s="233" t="n"/>
      <c r="EM12" s="233">
        <f>EK12+EL12</f>
        <v/>
      </c>
      <c r="EN12" s="233" t="n"/>
      <c r="EO12" s="233" t="n"/>
      <c r="EP12" s="233">
        <f>EN12+EO12</f>
        <v/>
      </c>
      <c r="EQ12" s="238">
        <f>EP12-EM12</f>
        <v/>
      </c>
      <c r="ER12" s="235">
        <f>IF(EM12=0,"",EP12/EM12)</f>
        <v/>
      </c>
      <c r="ES12" s="26" t="n"/>
      <c r="ET12" s="236">
        <f>EB12+EK12</f>
        <v/>
      </c>
      <c r="EU12" s="236">
        <f>EC12+EL12</f>
        <v/>
      </c>
      <c r="EV12" s="236">
        <f>ET12+EU12</f>
        <v/>
      </c>
      <c r="EW12" s="236">
        <f>EE12+EN12</f>
        <v/>
      </c>
      <c r="EX12" s="236">
        <f>EF12+EO12</f>
        <v/>
      </c>
      <c r="EY12" s="236">
        <f>EW12+EX12</f>
        <v/>
      </c>
      <c r="EZ12" s="239">
        <f>EY12-EV12</f>
        <v/>
      </c>
      <c r="FA12" s="237">
        <f>IF(EV12=0,"",EY12/EV12)</f>
        <v/>
      </c>
      <c r="FB12" s="33" t="n"/>
      <c r="FC12" s="233" t="n"/>
      <c r="FD12" s="233" t="n"/>
      <c r="FE12" s="233">
        <f>FC12+FD12</f>
        <v/>
      </c>
      <c r="FF12" s="233" t="n"/>
      <c r="FG12" s="233" t="n"/>
      <c r="FH12" s="233">
        <f>FF12+FG12</f>
        <v/>
      </c>
      <c r="FI12" s="238">
        <f>FH12-FE12</f>
        <v/>
      </c>
      <c r="FJ12" s="235">
        <f>IF(FE12=0,"",FH12/FE12)</f>
        <v/>
      </c>
      <c r="FK12" s="26" t="n"/>
      <c r="FL12" s="236">
        <f>ET12+FC12</f>
        <v/>
      </c>
      <c r="FM12" s="236">
        <f>EU12+FD12</f>
        <v/>
      </c>
      <c r="FN12" s="236">
        <f>FL12+FM12</f>
        <v/>
      </c>
      <c r="FO12" s="236">
        <f>EW12+FF12</f>
        <v/>
      </c>
      <c r="FP12" s="236">
        <f>EX12+FG12</f>
        <v/>
      </c>
      <c r="FQ12" s="236">
        <f>FO12+FP12</f>
        <v/>
      </c>
      <c r="FR12" s="239">
        <f>FQ12-FN12</f>
        <v/>
      </c>
      <c r="FS12" s="237">
        <f>IF(FN12=0,"",FQ12/FN12)</f>
        <v/>
      </c>
      <c r="FT12" s="33" t="n"/>
      <c r="FU12" s="233" t="n"/>
      <c r="FV12" s="233" t="n"/>
      <c r="FW12" s="233">
        <f>FU12+FV12</f>
        <v/>
      </c>
      <c r="FX12" s="233" t="n"/>
      <c r="FY12" s="233" t="n"/>
      <c r="FZ12" s="233">
        <f>FX12+FY12</f>
        <v/>
      </c>
      <c r="GA12" s="238">
        <f>FZ12-FW12</f>
        <v/>
      </c>
      <c r="GB12" s="235">
        <f>IF(FW12=0,"",FZ12/FW12)</f>
        <v/>
      </c>
      <c r="GC12" s="26" t="n"/>
      <c r="GD12" s="236">
        <f>FL12+FU12</f>
        <v/>
      </c>
      <c r="GE12" s="236">
        <f>FM12+FV12</f>
        <v/>
      </c>
      <c r="GF12" s="236">
        <f>GD12+GE12</f>
        <v/>
      </c>
      <c r="GG12" s="236">
        <f>FO12+FX12</f>
        <v/>
      </c>
      <c r="GH12" s="236">
        <f>FP12+FY12</f>
        <v/>
      </c>
      <c r="GI12" s="236">
        <f>GG12+GH12</f>
        <v/>
      </c>
      <c r="GJ12" s="239">
        <f>GI12-GF12</f>
        <v/>
      </c>
      <c r="GK12" s="237">
        <f>IF(GF12=0,"",GI12/GF12)</f>
        <v/>
      </c>
      <c r="GL12" s="33" t="n"/>
      <c r="GM12" s="233" t="n"/>
      <c r="GN12" s="233" t="n"/>
      <c r="GO12" s="233">
        <f>GM12+GN12</f>
        <v/>
      </c>
      <c r="GP12" s="233" t="n"/>
      <c r="GQ12" s="233" t="n"/>
      <c r="GR12" s="233">
        <f>GP12+GQ12</f>
        <v/>
      </c>
      <c r="GS12" s="238">
        <f>GR12-GO12</f>
        <v/>
      </c>
      <c r="GT12" s="235">
        <f>IF(GO12=0,"",GR12/GO12)</f>
        <v/>
      </c>
      <c r="GU12" s="26" t="n"/>
      <c r="GV12" s="236">
        <f>GD12+GM12</f>
        <v/>
      </c>
      <c r="GW12" s="236">
        <f>GE12+GN12</f>
        <v/>
      </c>
      <c r="GX12" s="236">
        <f>GV12+GW12</f>
        <v/>
      </c>
      <c r="GY12" s="236">
        <f>GG12+GP12</f>
        <v/>
      </c>
      <c r="GZ12" s="236">
        <f>GH12+GQ12</f>
        <v/>
      </c>
      <c r="HA12" s="236">
        <f>GY12+GZ12</f>
        <v/>
      </c>
      <c r="HB12" s="239">
        <f>HA12-GX12</f>
        <v/>
      </c>
      <c r="HC12" s="237">
        <f>IF(GX12=0,"",HA12/GX12)</f>
        <v/>
      </c>
      <c r="HD12" s="33" t="n"/>
      <c r="HE12" s="233">
        <f>GV12</f>
        <v/>
      </c>
      <c r="HF12" s="233">
        <f>GW12</f>
        <v/>
      </c>
      <c r="HG12" s="233">
        <f>HE12+HF12</f>
        <v/>
      </c>
    </row>
    <row r="13" ht="15" customHeight="1" s="150">
      <c r="A13" s="12" t="n"/>
      <c r="B13" s="12" t="n"/>
      <c r="C13" s="41" t="n"/>
      <c r="D13" s="41" t="n"/>
      <c r="E13" s="41" t="n"/>
      <c r="F13" s="240">
        <f>F14</f>
        <v/>
      </c>
      <c r="G13" s="240">
        <f>G14</f>
        <v/>
      </c>
      <c r="H13" s="240">
        <f>F13+G13</f>
        <v/>
      </c>
      <c r="I13" s="240">
        <f>I14</f>
        <v/>
      </c>
      <c r="J13" s="240">
        <f>J14</f>
        <v/>
      </c>
      <c r="K13" s="240">
        <f>I13+J13</f>
        <v/>
      </c>
      <c r="L13" s="240">
        <f>K13-H13</f>
        <v/>
      </c>
      <c r="M13" s="241">
        <f>IF(H13=0,"",K13/H13)</f>
        <v/>
      </c>
      <c r="N13" s="12" t="n"/>
      <c r="O13" s="240">
        <f>O14</f>
        <v/>
      </c>
      <c r="P13" s="240">
        <f>P14</f>
        <v/>
      </c>
      <c r="Q13" s="240">
        <f>O13+P13</f>
        <v/>
      </c>
      <c r="R13" s="240">
        <f>R14</f>
        <v/>
      </c>
      <c r="S13" s="240">
        <f>S14</f>
        <v/>
      </c>
      <c r="T13" s="240">
        <f>R13+S13</f>
        <v/>
      </c>
      <c r="U13" s="240">
        <f>T13-Q13</f>
        <v/>
      </c>
      <c r="V13" s="241">
        <f>IF(Q13=0,"",T13/Q13)</f>
        <v/>
      </c>
      <c r="W13" s="12" t="n"/>
      <c r="X13" s="242">
        <f>X14</f>
        <v/>
      </c>
      <c r="Y13" s="242">
        <f>Y14</f>
        <v/>
      </c>
      <c r="Z13" s="242">
        <f>X13+Y13</f>
        <v/>
      </c>
      <c r="AA13" s="242">
        <f>AA14</f>
        <v/>
      </c>
      <c r="AB13" s="242">
        <f>AB14</f>
        <v/>
      </c>
      <c r="AC13" s="242">
        <f>AA13+AB13</f>
        <v/>
      </c>
      <c r="AD13" s="242">
        <f>AC13-Z13</f>
        <v/>
      </c>
      <c r="AE13" s="243">
        <f>IF(Z13=0,"",AC13/Z13)</f>
        <v/>
      </c>
      <c r="AF13" s="17" t="n"/>
      <c r="AG13" s="240">
        <f>AG14</f>
        <v/>
      </c>
      <c r="AH13" s="240">
        <f>AH14</f>
        <v/>
      </c>
      <c r="AI13" s="240">
        <f>AG13+AH13</f>
        <v/>
      </c>
      <c r="AJ13" s="240">
        <f>AJ14</f>
        <v/>
      </c>
      <c r="AK13" s="240">
        <f>AK14</f>
        <v/>
      </c>
      <c r="AL13" s="240">
        <f>AJ13+AK13</f>
        <v/>
      </c>
      <c r="AM13" s="240">
        <f>AL13-AI13</f>
        <v/>
      </c>
      <c r="AN13" s="241">
        <f>IF(AI13=0,"",AL13/AI13)</f>
        <v/>
      </c>
      <c r="AO13" s="12" t="n"/>
      <c r="AP13" s="242">
        <f>AP14</f>
        <v/>
      </c>
      <c r="AQ13" s="242">
        <f>AQ14</f>
        <v/>
      </c>
      <c r="AR13" s="242">
        <f>AP13+AQ13</f>
        <v/>
      </c>
      <c r="AS13" s="242">
        <f>AS14</f>
        <v/>
      </c>
      <c r="AT13" s="242">
        <f>AT14</f>
        <v/>
      </c>
      <c r="AU13" s="242">
        <f>AS13+AT13</f>
        <v/>
      </c>
      <c r="AV13" s="242">
        <f>AU13-AR13</f>
        <v/>
      </c>
      <c r="AW13" s="243">
        <f>IF(AR13=0,"",AU13/AR13)</f>
        <v/>
      </c>
      <c r="AX13" s="17" t="n"/>
      <c r="AY13" s="240">
        <f>AY14</f>
        <v/>
      </c>
      <c r="AZ13" s="240">
        <f>AZ14</f>
        <v/>
      </c>
      <c r="BA13" s="240">
        <f>AY13+AZ13</f>
        <v/>
      </c>
      <c r="BB13" s="240">
        <f>BB14</f>
        <v/>
      </c>
      <c r="BC13" s="240">
        <f>BC14</f>
        <v/>
      </c>
      <c r="BD13" s="240">
        <f>BB13+BC13</f>
        <v/>
      </c>
      <c r="BE13" s="240">
        <f>BD13-BA13</f>
        <v/>
      </c>
      <c r="BF13" s="241">
        <f>IF(BA13=0,"",BD13/BA13)</f>
        <v/>
      </c>
      <c r="BG13" s="12" t="n"/>
      <c r="BH13" s="242">
        <f>BH14</f>
        <v/>
      </c>
      <c r="BI13" s="242">
        <f>BI14</f>
        <v/>
      </c>
      <c r="BJ13" s="242">
        <f>BH13+BI13</f>
        <v/>
      </c>
      <c r="BK13" s="242">
        <f>BK14</f>
        <v/>
      </c>
      <c r="BL13" s="242">
        <f>BL14</f>
        <v/>
      </c>
      <c r="BM13" s="242">
        <f>BK13+BL13</f>
        <v/>
      </c>
      <c r="BN13" s="242">
        <f>BM13-BJ13</f>
        <v/>
      </c>
      <c r="BO13" s="243">
        <f>IF(BJ13=0,"",BM13/BJ13)</f>
        <v/>
      </c>
      <c r="BP13" s="17" t="n"/>
      <c r="BQ13" s="240">
        <f>BQ14</f>
        <v/>
      </c>
      <c r="BR13" s="240">
        <f>BR14</f>
        <v/>
      </c>
      <c r="BS13" s="240">
        <f>BQ13+BR13</f>
        <v/>
      </c>
      <c r="BT13" s="240">
        <f>BT14</f>
        <v/>
      </c>
      <c r="BU13" s="240">
        <f>BU14</f>
        <v/>
      </c>
      <c r="BV13" s="240">
        <f>BT13+BU13</f>
        <v/>
      </c>
      <c r="BW13" s="240">
        <f>BV13-BS13</f>
        <v/>
      </c>
      <c r="BX13" s="241">
        <f>IF(BS13=0,"",BV13/BS13)</f>
        <v/>
      </c>
      <c r="BY13" s="12" t="n"/>
      <c r="BZ13" s="242">
        <f>BZ14</f>
        <v/>
      </c>
      <c r="CA13" s="242">
        <f>CA14</f>
        <v/>
      </c>
      <c r="CB13" s="242">
        <f>BZ13+CA13</f>
        <v/>
      </c>
      <c r="CC13" s="242">
        <f>CC14</f>
        <v/>
      </c>
      <c r="CD13" s="242">
        <f>CD14</f>
        <v/>
      </c>
      <c r="CE13" s="242">
        <f>CC13+CD13</f>
        <v/>
      </c>
      <c r="CF13" s="242">
        <f>CE13-CB13</f>
        <v/>
      </c>
      <c r="CG13" s="243">
        <f>IF(CB13=0,"",CE13/CB13)</f>
        <v/>
      </c>
      <c r="CH13" s="17" t="n"/>
      <c r="CI13" s="240">
        <f>CI14</f>
        <v/>
      </c>
      <c r="CJ13" s="240">
        <f>CJ14</f>
        <v/>
      </c>
      <c r="CK13" s="240">
        <f>CI13+CJ13</f>
        <v/>
      </c>
      <c r="CL13" s="240">
        <f>CL14</f>
        <v/>
      </c>
      <c r="CM13" s="240">
        <f>CM14</f>
        <v/>
      </c>
      <c r="CN13" s="240">
        <f>CL13+CM13</f>
        <v/>
      </c>
      <c r="CO13" s="240">
        <f>CN13-CK13</f>
        <v/>
      </c>
      <c r="CP13" s="241">
        <f>IF(CK13=0,"",CN13/CK13)</f>
        <v/>
      </c>
      <c r="CQ13" s="12" t="n"/>
      <c r="CR13" s="242">
        <f>CR14</f>
        <v/>
      </c>
      <c r="CS13" s="242">
        <f>CS14</f>
        <v/>
      </c>
      <c r="CT13" s="242">
        <f>CR13+CS13</f>
        <v/>
      </c>
      <c r="CU13" s="242">
        <f>CU14</f>
        <v/>
      </c>
      <c r="CV13" s="242">
        <f>CV14</f>
        <v/>
      </c>
      <c r="CW13" s="242">
        <f>CU13+CV13</f>
        <v/>
      </c>
      <c r="CX13" s="242">
        <f>CW13-CT13</f>
        <v/>
      </c>
      <c r="CY13" s="243">
        <f>IF(CT13=0,"",CW13/CT13)</f>
        <v/>
      </c>
      <c r="CZ13" s="17" t="n"/>
      <c r="DA13" s="240">
        <f>DA14</f>
        <v/>
      </c>
      <c r="DB13" s="240">
        <f>DB14</f>
        <v/>
      </c>
      <c r="DC13" s="240">
        <f>DA13+DB13</f>
        <v/>
      </c>
      <c r="DD13" s="240">
        <f>DD14</f>
        <v/>
      </c>
      <c r="DE13" s="240">
        <f>DE14</f>
        <v/>
      </c>
      <c r="DF13" s="240">
        <f>DD13+DE13</f>
        <v/>
      </c>
      <c r="DG13" s="240">
        <f>DF13-DC13</f>
        <v/>
      </c>
      <c r="DH13" s="241">
        <f>IF(DC13=0,"",DF13/DC13)</f>
        <v/>
      </c>
      <c r="DI13" s="12" t="n"/>
      <c r="DJ13" s="242">
        <f>DJ14</f>
        <v/>
      </c>
      <c r="DK13" s="242">
        <f>DK14</f>
        <v/>
      </c>
      <c r="DL13" s="242">
        <f>DJ13+DK13</f>
        <v/>
      </c>
      <c r="DM13" s="242">
        <f>DM14</f>
        <v/>
      </c>
      <c r="DN13" s="242">
        <f>DN14</f>
        <v/>
      </c>
      <c r="DO13" s="242">
        <f>DM13+DN13</f>
        <v/>
      </c>
      <c r="DP13" s="242">
        <f>DO13-DL13</f>
        <v/>
      </c>
      <c r="DQ13" s="243">
        <f>IF(DL13=0,"",DO13/DL13)</f>
        <v/>
      </c>
      <c r="DR13" s="17" t="n"/>
      <c r="DS13" s="240">
        <f>DS14</f>
        <v/>
      </c>
      <c r="DT13" s="240">
        <f>DT14</f>
        <v/>
      </c>
      <c r="DU13" s="240">
        <f>DS13+DT13</f>
        <v/>
      </c>
      <c r="DV13" s="240">
        <f>DV14</f>
        <v/>
      </c>
      <c r="DW13" s="240">
        <f>DW14</f>
        <v/>
      </c>
      <c r="DX13" s="240">
        <f>DV13+DW13</f>
        <v/>
      </c>
      <c r="DY13" s="240">
        <f>DX13-DU13</f>
        <v/>
      </c>
      <c r="DZ13" s="241">
        <f>IF(DU13=0,"",DX13/DU13)</f>
        <v/>
      </c>
      <c r="EA13" s="12" t="n"/>
      <c r="EB13" s="242">
        <f>EB14</f>
        <v/>
      </c>
      <c r="EC13" s="242">
        <f>EC14</f>
        <v/>
      </c>
      <c r="ED13" s="242">
        <f>EB13+EC13</f>
        <v/>
      </c>
      <c r="EE13" s="242">
        <f>EE14</f>
        <v/>
      </c>
      <c r="EF13" s="242">
        <f>EF14</f>
        <v/>
      </c>
      <c r="EG13" s="242">
        <f>EE13+EF13</f>
        <v/>
      </c>
      <c r="EH13" s="242">
        <f>EG13-ED13</f>
        <v/>
      </c>
      <c r="EI13" s="243">
        <f>IF(ED13=0,"",EG13/ED13)</f>
        <v/>
      </c>
      <c r="EJ13" s="17" t="n"/>
      <c r="EK13" s="240">
        <f>EK14</f>
        <v/>
      </c>
      <c r="EL13" s="240">
        <f>EL14</f>
        <v/>
      </c>
      <c r="EM13" s="240">
        <f>EK13+EL13</f>
        <v/>
      </c>
      <c r="EN13" s="240">
        <f>EN14</f>
        <v/>
      </c>
      <c r="EO13" s="240">
        <f>EO14</f>
        <v/>
      </c>
      <c r="EP13" s="240">
        <f>EN13+EO13</f>
        <v/>
      </c>
      <c r="EQ13" s="240">
        <f>EP13-EM13</f>
        <v/>
      </c>
      <c r="ER13" s="241">
        <f>IF(EM13=0,"",EP13/EM13)</f>
        <v/>
      </c>
      <c r="ES13" s="12" t="n"/>
      <c r="ET13" s="242">
        <f>ET14</f>
        <v/>
      </c>
      <c r="EU13" s="242">
        <f>EU14</f>
        <v/>
      </c>
      <c r="EV13" s="242">
        <f>ET13+EU13</f>
        <v/>
      </c>
      <c r="EW13" s="242">
        <f>EW14</f>
        <v/>
      </c>
      <c r="EX13" s="242">
        <f>EX14</f>
        <v/>
      </c>
      <c r="EY13" s="242">
        <f>EW13+EX13</f>
        <v/>
      </c>
      <c r="EZ13" s="242">
        <f>EY13-EV13</f>
        <v/>
      </c>
      <c r="FA13" s="243">
        <f>IF(EV13=0,"",EY13/EV13)</f>
        <v/>
      </c>
      <c r="FB13" s="17" t="n"/>
      <c r="FC13" s="240">
        <f>FC14</f>
        <v/>
      </c>
      <c r="FD13" s="240">
        <f>FD14</f>
        <v/>
      </c>
      <c r="FE13" s="240">
        <f>FC13+FD13</f>
        <v/>
      </c>
      <c r="FF13" s="240">
        <f>FF14</f>
        <v/>
      </c>
      <c r="FG13" s="240">
        <f>FG14</f>
        <v/>
      </c>
      <c r="FH13" s="240">
        <f>FF13+FG13</f>
        <v/>
      </c>
      <c r="FI13" s="240">
        <f>FH13-FE13</f>
        <v/>
      </c>
      <c r="FJ13" s="241">
        <f>IF(FE13=0,"",FH13/FE13)</f>
        <v/>
      </c>
      <c r="FK13" s="12" t="n"/>
      <c r="FL13" s="242">
        <f>FL14</f>
        <v/>
      </c>
      <c r="FM13" s="242">
        <f>FM14</f>
        <v/>
      </c>
      <c r="FN13" s="242">
        <f>FL13+FM13</f>
        <v/>
      </c>
      <c r="FO13" s="242">
        <f>FO14</f>
        <v/>
      </c>
      <c r="FP13" s="242">
        <f>FP14</f>
        <v/>
      </c>
      <c r="FQ13" s="242">
        <f>FO13+FP13</f>
        <v/>
      </c>
      <c r="FR13" s="242">
        <f>FQ13-FN13</f>
        <v/>
      </c>
      <c r="FS13" s="243">
        <f>IF(FN13=0,"",FQ13/FN13)</f>
        <v/>
      </c>
      <c r="FT13" s="17" t="n"/>
      <c r="FU13" s="240">
        <f>FU14</f>
        <v/>
      </c>
      <c r="FV13" s="240">
        <f>FV14</f>
        <v/>
      </c>
      <c r="FW13" s="240">
        <f>FU13+FV13</f>
        <v/>
      </c>
      <c r="FX13" s="240">
        <f>FX14</f>
        <v/>
      </c>
      <c r="FY13" s="240">
        <f>FY14</f>
        <v/>
      </c>
      <c r="FZ13" s="240">
        <f>FX13+FY13</f>
        <v/>
      </c>
      <c r="GA13" s="240">
        <f>FZ13-FW13</f>
        <v/>
      </c>
      <c r="GB13" s="241">
        <f>IF(FW13=0,"",FZ13/FW13)</f>
        <v/>
      </c>
      <c r="GC13" s="12" t="n"/>
      <c r="GD13" s="242">
        <f>GD14</f>
        <v/>
      </c>
      <c r="GE13" s="242">
        <f>GE14</f>
        <v/>
      </c>
      <c r="GF13" s="242">
        <f>GD13+GE13</f>
        <v/>
      </c>
      <c r="GG13" s="242">
        <f>GG14</f>
        <v/>
      </c>
      <c r="GH13" s="242">
        <f>GH14</f>
        <v/>
      </c>
      <c r="GI13" s="242">
        <f>GG13+GH13</f>
        <v/>
      </c>
      <c r="GJ13" s="242">
        <f>GI13-GF13</f>
        <v/>
      </c>
      <c r="GK13" s="243">
        <f>IF(GF13=0,"",GI13/GF13)</f>
        <v/>
      </c>
      <c r="GL13" s="17" t="n"/>
      <c r="GM13" s="240">
        <f>GM14</f>
        <v/>
      </c>
      <c r="GN13" s="240">
        <f>GN14</f>
        <v/>
      </c>
      <c r="GO13" s="240">
        <f>GM13+GN13</f>
        <v/>
      </c>
      <c r="GP13" s="240">
        <f>GP14</f>
        <v/>
      </c>
      <c r="GQ13" s="240">
        <f>GQ14</f>
        <v/>
      </c>
      <c r="GR13" s="240">
        <f>GP13+GQ13</f>
        <v/>
      </c>
      <c r="GS13" s="240">
        <f>GR13-GO13</f>
        <v/>
      </c>
      <c r="GT13" s="241">
        <f>IF(GO13=0,"",GR13/GO13)</f>
        <v/>
      </c>
      <c r="GU13" s="12" t="n"/>
      <c r="GV13" s="242">
        <f>GV14</f>
        <v/>
      </c>
      <c r="GW13" s="242">
        <f>GW14</f>
        <v/>
      </c>
      <c r="GX13" s="242">
        <f>GV13+GW13</f>
        <v/>
      </c>
      <c r="GY13" s="242">
        <f>GY14</f>
        <v/>
      </c>
      <c r="GZ13" s="242">
        <f>GZ14</f>
        <v/>
      </c>
      <c r="HA13" s="242">
        <f>GY13+GZ13</f>
        <v/>
      </c>
      <c r="HB13" s="242">
        <f>HA13-GX13</f>
        <v/>
      </c>
      <c r="HC13" s="243">
        <f>IF(GX13=0,"",HA13/GX13)</f>
        <v/>
      </c>
      <c r="HD13" s="17" t="n"/>
      <c r="HE13" s="240">
        <f>GV13</f>
        <v/>
      </c>
      <c r="HF13" s="240">
        <f>GW13</f>
        <v/>
      </c>
      <c r="HG13" s="240">
        <f>HE13+HF13</f>
        <v/>
      </c>
    </row>
    <row r="14" ht="30" customHeight="1" s="150">
      <c r="A14" s="26" t="n"/>
      <c r="B14" s="26" t="n"/>
      <c r="C14" s="42" t="n"/>
      <c r="D14" s="42" t="n"/>
      <c r="E14" s="42" t="n"/>
      <c r="F14" s="233" t="n"/>
      <c r="G14" s="233" t="n"/>
      <c r="H14" s="233">
        <f>F14+G14</f>
        <v/>
      </c>
      <c r="I14" s="233" t="n"/>
      <c r="J14" s="233" t="n"/>
      <c r="K14" s="233">
        <f>I14+J14</f>
        <v/>
      </c>
      <c r="L14" s="238">
        <f>K14-H14</f>
        <v/>
      </c>
      <c r="M14" s="235">
        <f>IF(H14=0,"",K14/H14)</f>
        <v/>
      </c>
      <c r="N14" s="26" t="n"/>
      <c r="O14" s="233" t="n"/>
      <c r="P14" s="233" t="n"/>
      <c r="Q14" s="233">
        <f>O14+P14</f>
        <v/>
      </c>
      <c r="R14" s="233" t="n"/>
      <c r="S14" s="233" t="n"/>
      <c r="T14" s="233">
        <f>R14+S14</f>
        <v/>
      </c>
      <c r="U14" s="238">
        <f>T14-Q14</f>
        <v/>
      </c>
      <c r="V14" s="235">
        <f>IF(Q14=0,"",T14/Q14)</f>
        <v/>
      </c>
      <c r="W14" s="26" t="n"/>
      <c r="X14" s="236">
        <f>F14+O14</f>
        <v/>
      </c>
      <c r="Y14" s="236">
        <f>G14+P14</f>
        <v/>
      </c>
      <c r="Z14" s="236">
        <f>X14+Y14</f>
        <v/>
      </c>
      <c r="AA14" s="236">
        <f>I14+R14</f>
        <v/>
      </c>
      <c r="AB14" s="236">
        <f>J14+S14</f>
        <v/>
      </c>
      <c r="AC14" s="236">
        <f>AA14+AB14</f>
        <v/>
      </c>
      <c r="AD14" s="239">
        <f>AC14-Z14</f>
        <v/>
      </c>
      <c r="AE14" s="237">
        <f>IF(Z14=0,"",AC14/Z14)</f>
        <v/>
      </c>
      <c r="AF14" s="33" t="n"/>
      <c r="AG14" s="233" t="n"/>
      <c r="AH14" s="233" t="n"/>
      <c r="AI14" s="233">
        <f>AG14+AH14</f>
        <v/>
      </c>
      <c r="AJ14" s="233" t="n"/>
      <c r="AK14" s="233" t="n"/>
      <c r="AL14" s="233">
        <f>AJ14+AK14</f>
        <v/>
      </c>
      <c r="AM14" s="238">
        <f>AL14-AI14</f>
        <v/>
      </c>
      <c r="AN14" s="235">
        <f>IF(AI14=0,"",AL14/AI14)</f>
        <v/>
      </c>
      <c r="AO14" s="26" t="n"/>
      <c r="AP14" s="236">
        <f>X14+AG14</f>
        <v/>
      </c>
      <c r="AQ14" s="236">
        <f>Y14+AH14</f>
        <v/>
      </c>
      <c r="AR14" s="236">
        <f>AP14+AQ14</f>
        <v/>
      </c>
      <c r="AS14" s="236">
        <f>AA14+AJ14</f>
        <v/>
      </c>
      <c r="AT14" s="236">
        <f>AB14+AK14</f>
        <v/>
      </c>
      <c r="AU14" s="236">
        <f>AS14+AT14</f>
        <v/>
      </c>
      <c r="AV14" s="239">
        <f>AU14-AR14</f>
        <v/>
      </c>
      <c r="AW14" s="237">
        <f>IF(AR14=0,"",AU14/AR14)</f>
        <v/>
      </c>
      <c r="AX14" s="33" t="n"/>
      <c r="AY14" s="233" t="n"/>
      <c r="AZ14" s="233" t="n"/>
      <c r="BA14" s="233">
        <f>AY14+AZ14</f>
        <v/>
      </c>
      <c r="BB14" s="233" t="n"/>
      <c r="BC14" s="233" t="n"/>
      <c r="BD14" s="233">
        <f>BB14+BC14</f>
        <v/>
      </c>
      <c r="BE14" s="238">
        <f>BD14-BA14</f>
        <v/>
      </c>
      <c r="BF14" s="235">
        <f>IF(BA14=0,"",BD14/BA14)</f>
        <v/>
      </c>
      <c r="BG14" s="26" t="n"/>
      <c r="BH14" s="236">
        <f>AP14+AY14</f>
        <v/>
      </c>
      <c r="BI14" s="236">
        <f>AQ14+AZ14</f>
        <v/>
      </c>
      <c r="BJ14" s="236">
        <f>BH14+BI14</f>
        <v/>
      </c>
      <c r="BK14" s="236">
        <f>AS14+BB14</f>
        <v/>
      </c>
      <c r="BL14" s="236">
        <f>AT14+BC14</f>
        <v/>
      </c>
      <c r="BM14" s="236">
        <f>BK14+BL14</f>
        <v/>
      </c>
      <c r="BN14" s="239">
        <f>BM14-BJ14</f>
        <v/>
      </c>
      <c r="BO14" s="237">
        <f>IF(BJ14=0,"",BM14/BJ14)</f>
        <v/>
      </c>
      <c r="BP14" s="33" t="n"/>
      <c r="BQ14" s="233" t="n"/>
      <c r="BR14" s="233" t="n"/>
      <c r="BS14" s="233">
        <f>BQ14+BR14</f>
        <v/>
      </c>
      <c r="BT14" s="233" t="n"/>
      <c r="BU14" s="233" t="n"/>
      <c r="BV14" s="233">
        <f>BT14+BU14</f>
        <v/>
      </c>
      <c r="BW14" s="238">
        <f>BV14-BS14</f>
        <v/>
      </c>
      <c r="BX14" s="235">
        <f>IF(BS14=0,"",BV14/BS14)</f>
        <v/>
      </c>
      <c r="BY14" s="26" t="n"/>
      <c r="BZ14" s="236">
        <f>BH14+BQ14</f>
        <v/>
      </c>
      <c r="CA14" s="236">
        <f>BI14+BR14</f>
        <v/>
      </c>
      <c r="CB14" s="236">
        <f>BZ14+CA14</f>
        <v/>
      </c>
      <c r="CC14" s="236">
        <f>BK14+BT14</f>
        <v/>
      </c>
      <c r="CD14" s="236">
        <f>BL14+BU14</f>
        <v/>
      </c>
      <c r="CE14" s="236">
        <f>CC14+CD14</f>
        <v/>
      </c>
      <c r="CF14" s="239">
        <f>CE14-CB14</f>
        <v/>
      </c>
      <c r="CG14" s="237">
        <f>IF(CB14=0,"",CE14/CB14)</f>
        <v/>
      </c>
      <c r="CH14" s="33" t="n"/>
      <c r="CI14" s="233" t="n"/>
      <c r="CJ14" s="233" t="n"/>
      <c r="CK14" s="233">
        <f>CI14+CJ14</f>
        <v/>
      </c>
      <c r="CL14" s="233" t="n"/>
      <c r="CM14" s="233" t="n"/>
      <c r="CN14" s="233">
        <f>CL14+CM14</f>
        <v/>
      </c>
      <c r="CO14" s="238">
        <f>CN14-CK14</f>
        <v/>
      </c>
      <c r="CP14" s="235">
        <f>IF(CK14=0,"",CN14/CK14)</f>
        <v/>
      </c>
      <c r="CQ14" s="26" t="n"/>
      <c r="CR14" s="236">
        <f>BZ14+CI14</f>
        <v/>
      </c>
      <c r="CS14" s="236">
        <f>CA14+CJ14</f>
        <v/>
      </c>
      <c r="CT14" s="236">
        <f>CR14+CS14</f>
        <v/>
      </c>
      <c r="CU14" s="236">
        <f>CC14+CL14</f>
        <v/>
      </c>
      <c r="CV14" s="236">
        <f>CD14+CM14</f>
        <v/>
      </c>
      <c r="CW14" s="236">
        <f>CU14+CV14</f>
        <v/>
      </c>
      <c r="CX14" s="239">
        <f>CW14-CT14</f>
        <v/>
      </c>
      <c r="CY14" s="237">
        <f>IF(CT14=0,"",CW14/CT14)</f>
        <v/>
      </c>
      <c r="CZ14" s="33" t="n"/>
      <c r="DA14" s="233" t="n"/>
      <c r="DB14" s="233" t="n"/>
      <c r="DC14" s="233">
        <f>DA14+DB14</f>
        <v/>
      </c>
      <c r="DD14" s="233" t="n"/>
      <c r="DE14" s="233" t="n"/>
      <c r="DF14" s="233">
        <f>DD14+DE14</f>
        <v/>
      </c>
      <c r="DG14" s="238">
        <f>DF14-DC14</f>
        <v/>
      </c>
      <c r="DH14" s="235">
        <f>IF(DC14=0,"",DF14/DC14)</f>
        <v/>
      </c>
      <c r="DI14" s="26" t="n"/>
      <c r="DJ14" s="236">
        <f>CR14+DA14</f>
        <v/>
      </c>
      <c r="DK14" s="236">
        <f>CS14+DB14</f>
        <v/>
      </c>
      <c r="DL14" s="236">
        <f>DJ14+DK14</f>
        <v/>
      </c>
      <c r="DM14" s="236">
        <f>CU14+DD14</f>
        <v/>
      </c>
      <c r="DN14" s="236">
        <f>CV14+DE14</f>
        <v/>
      </c>
      <c r="DO14" s="236">
        <f>DM14+DN14</f>
        <v/>
      </c>
      <c r="DP14" s="239">
        <f>DO14-DL14</f>
        <v/>
      </c>
      <c r="DQ14" s="237">
        <f>IF(DL14=0,"",DO14/DL14)</f>
        <v/>
      </c>
      <c r="DR14" s="33" t="n"/>
      <c r="DS14" s="233" t="n"/>
      <c r="DT14" s="233" t="n"/>
      <c r="DU14" s="233">
        <f>DS14+DT14</f>
        <v/>
      </c>
      <c r="DV14" s="233" t="n"/>
      <c r="DW14" s="233" t="n"/>
      <c r="DX14" s="233">
        <f>DV14+DW14</f>
        <v/>
      </c>
      <c r="DY14" s="238">
        <f>DX14-DU14</f>
        <v/>
      </c>
      <c r="DZ14" s="235">
        <f>IF(DU14=0,"",DX14/DU14)</f>
        <v/>
      </c>
      <c r="EA14" s="26" t="n"/>
      <c r="EB14" s="236">
        <f>DJ14+DS14</f>
        <v/>
      </c>
      <c r="EC14" s="236">
        <f>DK14+DT14</f>
        <v/>
      </c>
      <c r="ED14" s="236">
        <f>EB14+EC14</f>
        <v/>
      </c>
      <c r="EE14" s="236">
        <f>DM14+DV14</f>
        <v/>
      </c>
      <c r="EF14" s="236">
        <f>DN14+DW14</f>
        <v/>
      </c>
      <c r="EG14" s="236">
        <f>EE14+EF14</f>
        <v/>
      </c>
      <c r="EH14" s="239">
        <f>EG14-ED14</f>
        <v/>
      </c>
      <c r="EI14" s="237">
        <f>IF(ED14=0,"",EG14/ED14)</f>
        <v/>
      </c>
      <c r="EJ14" s="33" t="n"/>
      <c r="EK14" s="233" t="n"/>
      <c r="EL14" s="233" t="n"/>
      <c r="EM14" s="233">
        <f>EK14+EL14</f>
        <v/>
      </c>
      <c r="EN14" s="233" t="n"/>
      <c r="EO14" s="233" t="n"/>
      <c r="EP14" s="233">
        <f>EN14+EO14</f>
        <v/>
      </c>
      <c r="EQ14" s="238">
        <f>EP14-EM14</f>
        <v/>
      </c>
      <c r="ER14" s="235">
        <f>IF(EM14=0,"",EP14/EM14)</f>
        <v/>
      </c>
      <c r="ES14" s="26" t="n"/>
      <c r="ET14" s="236">
        <f>EB14+EK14</f>
        <v/>
      </c>
      <c r="EU14" s="236">
        <f>EC14+EL14</f>
        <v/>
      </c>
      <c r="EV14" s="236">
        <f>ET14+EU14</f>
        <v/>
      </c>
      <c r="EW14" s="236">
        <f>EE14+EN14</f>
        <v/>
      </c>
      <c r="EX14" s="236">
        <f>EF14+EO14</f>
        <v/>
      </c>
      <c r="EY14" s="236">
        <f>EW14+EX14</f>
        <v/>
      </c>
      <c r="EZ14" s="239">
        <f>EY14-EV14</f>
        <v/>
      </c>
      <c r="FA14" s="237">
        <f>IF(EV14=0,"",EY14/EV14)</f>
        <v/>
      </c>
      <c r="FB14" s="33" t="n"/>
      <c r="FC14" s="233" t="n"/>
      <c r="FD14" s="233" t="n"/>
      <c r="FE14" s="233">
        <f>FC14+FD14</f>
        <v/>
      </c>
      <c r="FF14" s="233" t="n"/>
      <c r="FG14" s="233" t="n"/>
      <c r="FH14" s="233">
        <f>FF14+FG14</f>
        <v/>
      </c>
      <c r="FI14" s="238">
        <f>FH14-FE14</f>
        <v/>
      </c>
      <c r="FJ14" s="235">
        <f>IF(FE14=0,"",FH14/FE14)</f>
        <v/>
      </c>
      <c r="FK14" s="26" t="n"/>
      <c r="FL14" s="236">
        <f>ET14+FC14</f>
        <v/>
      </c>
      <c r="FM14" s="236">
        <f>EU14+FD14</f>
        <v/>
      </c>
      <c r="FN14" s="236">
        <f>FL14+FM14</f>
        <v/>
      </c>
      <c r="FO14" s="236">
        <f>EW14+FF14</f>
        <v/>
      </c>
      <c r="FP14" s="236">
        <f>EX14+FG14</f>
        <v/>
      </c>
      <c r="FQ14" s="236">
        <f>FO14+FP14</f>
        <v/>
      </c>
      <c r="FR14" s="239">
        <f>FQ14-FN14</f>
        <v/>
      </c>
      <c r="FS14" s="237">
        <f>IF(FN14=0,"",FQ14/FN14)</f>
        <v/>
      </c>
      <c r="FT14" s="33" t="n"/>
      <c r="FU14" s="233" t="n"/>
      <c r="FV14" s="233" t="n"/>
      <c r="FW14" s="233">
        <f>FU14+FV14</f>
        <v/>
      </c>
      <c r="FX14" s="233" t="n"/>
      <c r="FY14" s="233" t="n"/>
      <c r="FZ14" s="233">
        <f>FX14+FY14</f>
        <v/>
      </c>
      <c r="GA14" s="238">
        <f>FZ14-FW14</f>
        <v/>
      </c>
      <c r="GB14" s="235">
        <f>IF(FW14=0,"",FZ14/FW14)</f>
        <v/>
      </c>
      <c r="GC14" s="26" t="n"/>
      <c r="GD14" s="236">
        <f>FL14+FU14</f>
        <v/>
      </c>
      <c r="GE14" s="236">
        <f>FM14+FV14</f>
        <v/>
      </c>
      <c r="GF14" s="236">
        <f>GD14+GE14</f>
        <v/>
      </c>
      <c r="GG14" s="236">
        <f>FO14+FX14</f>
        <v/>
      </c>
      <c r="GH14" s="236">
        <f>FP14+FY14</f>
        <v/>
      </c>
      <c r="GI14" s="236">
        <f>GG14+GH14</f>
        <v/>
      </c>
      <c r="GJ14" s="239">
        <f>GI14-GF14</f>
        <v/>
      </c>
      <c r="GK14" s="237">
        <f>IF(GF14=0,"",GI14/GF14)</f>
        <v/>
      </c>
      <c r="GL14" s="33" t="n"/>
      <c r="GM14" s="233" t="n"/>
      <c r="GN14" s="233" t="n"/>
      <c r="GO14" s="233">
        <f>GM14+GN14</f>
        <v/>
      </c>
      <c r="GP14" s="233" t="n"/>
      <c r="GQ14" s="233" t="n"/>
      <c r="GR14" s="233">
        <f>GP14+GQ14</f>
        <v/>
      </c>
      <c r="GS14" s="238">
        <f>GR14-GO14</f>
        <v/>
      </c>
      <c r="GT14" s="235">
        <f>IF(GO14=0,"",GR14/GO14)</f>
        <v/>
      </c>
      <c r="GU14" s="26" t="n"/>
      <c r="GV14" s="236">
        <f>GD14+GM14</f>
        <v/>
      </c>
      <c r="GW14" s="236">
        <f>GE14+GN14</f>
        <v/>
      </c>
      <c r="GX14" s="236">
        <f>GV14+GW14</f>
        <v/>
      </c>
      <c r="GY14" s="236">
        <f>GG14+GP14</f>
        <v/>
      </c>
      <c r="GZ14" s="236">
        <f>GH14+GQ14</f>
        <v/>
      </c>
      <c r="HA14" s="236">
        <f>GY14+GZ14</f>
        <v/>
      </c>
      <c r="HB14" s="239">
        <f>HA14-GX14</f>
        <v/>
      </c>
      <c r="HC14" s="237">
        <f>IF(GX14=0,"",HA14/GX14)</f>
        <v/>
      </c>
      <c r="HD14" s="33" t="n"/>
      <c r="HE14" s="233">
        <f>GV14</f>
        <v/>
      </c>
      <c r="HF14" s="233">
        <f>GW14</f>
        <v/>
      </c>
      <c r="HG14" s="233">
        <f>HE14+HF14</f>
        <v/>
      </c>
    </row>
    <row r="15" ht="15" customHeight="1" s="150">
      <c r="A15" s="6" t="n"/>
      <c r="B15" s="6" t="n"/>
      <c r="C15" s="43" t="n"/>
      <c r="D15" s="43" t="n"/>
      <c r="E15" s="43" t="n"/>
      <c r="F15" s="223">
        <f>F5+F8+F11+F13</f>
        <v/>
      </c>
      <c r="G15" s="223">
        <f>G5+G8+G11+G13</f>
        <v/>
      </c>
      <c r="H15" s="223">
        <f>F15+G15</f>
        <v/>
      </c>
      <c r="I15" s="223">
        <f>I5+I8+I11+I13</f>
        <v/>
      </c>
      <c r="J15" s="223">
        <f>J5+J8+J11+J13</f>
        <v/>
      </c>
      <c r="K15" s="223">
        <f>I15+J15</f>
        <v/>
      </c>
      <c r="L15" s="223">
        <f>K15-H15</f>
        <v/>
      </c>
      <c r="M15" s="224">
        <f>IF(H15=0,"",K15/H15)</f>
        <v/>
      </c>
      <c r="N15" s="6" t="n"/>
      <c r="O15" s="223">
        <f>O5+O8+O11+O13</f>
        <v/>
      </c>
      <c r="P15" s="223">
        <f>P5+P8+P11+P13</f>
        <v/>
      </c>
      <c r="Q15" s="223">
        <f>O15+P15</f>
        <v/>
      </c>
      <c r="R15" s="223">
        <f>R5+R8+R11+R13</f>
        <v/>
      </c>
      <c r="S15" s="223">
        <f>S5+S8+S11+S13</f>
        <v/>
      </c>
      <c r="T15" s="223">
        <f>R15+S15</f>
        <v/>
      </c>
      <c r="U15" s="223">
        <f>T15-Q15</f>
        <v/>
      </c>
      <c r="V15" s="224">
        <f>IF(Q15=0,"",T15/Q15)</f>
        <v/>
      </c>
      <c r="W15" s="6" t="n"/>
      <c r="X15" s="225">
        <f>X5+X8+X11+X13</f>
        <v/>
      </c>
      <c r="Y15" s="225">
        <f>Y5+Y8+Y11+Y13</f>
        <v/>
      </c>
      <c r="Z15" s="225">
        <f>X15+Y15</f>
        <v/>
      </c>
      <c r="AA15" s="225">
        <f>AA5+AA8+AA11+AA13</f>
        <v/>
      </c>
      <c r="AB15" s="225">
        <f>AB5+AB8+AB11+AB13</f>
        <v/>
      </c>
      <c r="AC15" s="225">
        <f>AA15+AB15</f>
        <v/>
      </c>
      <c r="AD15" s="225">
        <f>AC15-Z15</f>
        <v/>
      </c>
      <c r="AE15" s="226">
        <f>IF(Z15=0,"",AC15/Z15)</f>
        <v/>
      </c>
      <c r="AF15" s="11" t="n"/>
      <c r="AG15" s="223">
        <f>AG5+AG8+AG11+AG13</f>
        <v/>
      </c>
      <c r="AH15" s="223">
        <f>AH5+AH8+AH11+AH13</f>
        <v/>
      </c>
      <c r="AI15" s="223">
        <f>AG15+AH15</f>
        <v/>
      </c>
      <c r="AJ15" s="223">
        <f>AJ5+AJ8+AJ11+AJ13</f>
        <v/>
      </c>
      <c r="AK15" s="223">
        <f>AK5+AK8+AK11+AK13</f>
        <v/>
      </c>
      <c r="AL15" s="223">
        <f>AJ15+AK15</f>
        <v/>
      </c>
      <c r="AM15" s="223">
        <f>AL15-AI15</f>
        <v/>
      </c>
      <c r="AN15" s="224">
        <f>IF(AI15=0,"",AL15/AI15)</f>
        <v/>
      </c>
      <c r="AO15" s="6" t="n"/>
      <c r="AP15" s="225">
        <f>AP5+AP8+AP11+AP13</f>
        <v/>
      </c>
      <c r="AQ15" s="225">
        <f>AQ5+AQ8+AQ11+AQ13</f>
        <v/>
      </c>
      <c r="AR15" s="225">
        <f>AP15+AQ15</f>
        <v/>
      </c>
      <c r="AS15" s="225">
        <f>AS5+AS8+AS11+AS13</f>
        <v/>
      </c>
      <c r="AT15" s="225">
        <f>AT5+AT8+AT11+AT13</f>
        <v/>
      </c>
      <c r="AU15" s="225">
        <f>AS15+AT15</f>
        <v/>
      </c>
      <c r="AV15" s="225">
        <f>AU15-AR15</f>
        <v/>
      </c>
      <c r="AW15" s="226">
        <f>IF(AR15=0,"",AU15/AR15)</f>
        <v/>
      </c>
      <c r="AX15" s="11" t="n"/>
      <c r="AY15" s="223">
        <f>AY5+AY8+AY11+AY13</f>
        <v/>
      </c>
      <c r="AZ15" s="223">
        <f>AZ5+AZ8+AZ11+AZ13</f>
        <v/>
      </c>
      <c r="BA15" s="223">
        <f>AY15+AZ15</f>
        <v/>
      </c>
      <c r="BB15" s="223">
        <f>BB5+BB8+BB11+BB13</f>
        <v/>
      </c>
      <c r="BC15" s="223">
        <f>BC5+BC8+BC11+BC13</f>
        <v/>
      </c>
      <c r="BD15" s="223">
        <f>BB15+BC15</f>
        <v/>
      </c>
      <c r="BE15" s="223">
        <f>BD15-BA15</f>
        <v/>
      </c>
      <c r="BF15" s="224">
        <f>IF(BA15=0,"",BD15/BA15)</f>
        <v/>
      </c>
      <c r="BG15" s="6" t="n"/>
      <c r="BH15" s="225">
        <f>BH5+BH8+BH11+BH13</f>
        <v/>
      </c>
      <c r="BI15" s="225">
        <f>BI5+BI8+BI11+BI13</f>
        <v/>
      </c>
      <c r="BJ15" s="225">
        <f>BH15+BI15</f>
        <v/>
      </c>
      <c r="BK15" s="225">
        <f>BK5+BK8+BK11+BK13</f>
        <v/>
      </c>
      <c r="BL15" s="225">
        <f>BL5+BL8+BL11+BL13</f>
        <v/>
      </c>
      <c r="BM15" s="225">
        <f>BK15+BL15</f>
        <v/>
      </c>
      <c r="BN15" s="225">
        <f>BM15-BJ15</f>
        <v/>
      </c>
      <c r="BO15" s="226">
        <f>IF(BJ15=0,"",BM15/BJ15)</f>
        <v/>
      </c>
      <c r="BP15" s="11" t="n"/>
      <c r="BQ15" s="223">
        <f>BQ5+BQ8+BQ11+BQ13</f>
        <v/>
      </c>
      <c r="BR15" s="223">
        <f>BR5+BR8+BR11+BR13</f>
        <v/>
      </c>
      <c r="BS15" s="223">
        <f>BQ15+BR15</f>
        <v/>
      </c>
      <c r="BT15" s="223">
        <f>BT5+BT8+BT11+BT13</f>
        <v/>
      </c>
      <c r="BU15" s="223">
        <f>BU5+BU8+BU11+BU13</f>
        <v/>
      </c>
      <c r="BV15" s="223">
        <f>BT15+BU15</f>
        <v/>
      </c>
      <c r="BW15" s="223">
        <f>BV15-BS15</f>
        <v/>
      </c>
      <c r="BX15" s="224">
        <f>IF(BS15=0,"",BV15/BS15)</f>
        <v/>
      </c>
      <c r="BY15" s="6" t="n"/>
      <c r="BZ15" s="225">
        <f>BZ5+BZ8+BZ11+BZ13</f>
        <v/>
      </c>
      <c r="CA15" s="225">
        <f>CA5+CA8+CA11+CA13</f>
        <v/>
      </c>
      <c r="CB15" s="225">
        <f>BZ15+CA15</f>
        <v/>
      </c>
      <c r="CC15" s="225">
        <f>CC5+CC8+CC11+CC13</f>
        <v/>
      </c>
      <c r="CD15" s="225">
        <f>CD5+CD8+CD11+CD13</f>
        <v/>
      </c>
      <c r="CE15" s="225">
        <f>CC15+CD15</f>
        <v/>
      </c>
      <c r="CF15" s="225">
        <f>CE15-CB15</f>
        <v/>
      </c>
      <c r="CG15" s="226">
        <f>IF(CB15=0,"",CE15/CB15)</f>
        <v/>
      </c>
      <c r="CH15" s="11" t="n"/>
      <c r="CI15" s="223">
        <f>CI5+CI8+CI11+CI13</f>
        <v/>
      </c>
      <c r="CJ15" s="223">
        <f>CJ5+CJ8+CJ11+CJ13</f>
        <v/>
      </c>
      <c r="CK15" s="223">
        <f>CI15+CJ15</f>
        <v/>
      </c>
      <c r="CL15" s="223">
        <f>CL5+CL8+CL11+CL13</f>
        <v/>
      </c>
      <c r="CM15" s="223">
        <f>CM5+CM8+CM11+CM13</f>
        <v/>
      </c>
      <c r="CN15" s="223">
        <f>CL15+CM15</f>
        <v/>
      </c>
      <c r="CO15" s="223">
        <f>CN15-CK15</f>
        <v/>
      </c>
      <c r="CP15" s="224">
        <f>IF(CK15=0,"",CN15/CK15)</f>
        <v/>
      </c>
      <c r="CQ15" s="6" t="n"/>
      <c r="CR15" s="225">
        <f>CR5+CR8+CR11+CR13</f>
        <v/>
      </c>
      <c r="CS15" s="225">
        <f>CS5+CS8+CS11+CS13</f>
        <v/>
      </c>
      <c r="CT15" s="225">
        <f>CR15+CS15</f>
        <v/>
      </c>
      <c r="CU15" s="225">
        <f>CU5+CU8+CU11+CU13</f>
        <v/>
      </c>
      <c r="CV15" s="225">
        <f>CV5+CV8+CV11+CV13</f>
        <v/>
      </c>
      <c r="CW15" s="225">
        <f>CU15+CV15</f>
        <v/>
      </c>
      <c r="CX15" s="225">
        <f>CW15-CT15</f>
        <v/>
      </c>
      <c r="CY15" s="226">
        <f>IF(CT15=0,"",CW15/CT15)</f>
        <v/>
      </c>
      <c r="CZ15" s="11" t="n"/>
      <c r="DA15" s="223">
        <f>DA5+DA8+DA11+DA13</f>
        <v/>
      </c>
      <c r="DB15" s="223">
        <f>DB5+DB8+DB11+DB13</f>
        <v/>
      </c>
      <c r="DC15" s="223">
        <f>DA15+DB15</f>
        <v/>
      </c>
      <c r="DD15" s="223">
        <f>DD5+DD8+DD11+DD13</f>
        <v/>
      </c>
      <c r="DE15" s="223">
        <f>DE5+DE8+DE11+DE13</f>
        <v/>
      </c>
      <c r="DF15" s="223">
        <f>DD15+DE15</f>
        <v/>
      </c>
      <c r="DG15" s="223">
        <f>DF15-DC15</f>
        <v/>
      </c>
      <c r="DH15" s="224">
        <f>IF(DC15=0,"",DF15/DC15)</f>
        <v/>
      </c>
      <c r="DI15" s="6" t="n"/>
      <c r="DJ15" s="225">
        <f>DJ5+DJ8+DJ11+DJ13</f>
        <v/>
      </c>
      <c r="DK15" s="225">
        <f>DK5+DK8+DK11+DK13</f>
        <v/>
      </c>
      <c r="DL15" s="225">
        <f>DJ15+DK15</f>
        <v/>
      </c>
      <c r="DM15" s="225">
        <f>DM5+DM8+DM11+DM13</f>
        <v/>
      </c>
      <c r="DN15" s="225">
        <f>DN5+DN8+DN11+DN13</f>
        <v/>
      </c>
      <c r="DO15" s="225">
        <f>DM15+DN15</f>
        <v/>
      </c>
      <c r="DP15" s="225">
        <f>DO15-DL15</f>
        <v/>
      </c>
      <c r="DQ15" s="226">
        <f>IF(DL15=0,"",DO15/DL15)</f>
        <v/>
      </c>
      <c r="DR15" s="11" t="n"/>
      <c r="DS15" s="223">
        <f>DS5+DS8+DS11+DS13</f>
        <v/>
      </c>
      <c r="DT15" s="223">
        <f>DT5+DT8+DT11+DT13</f>
        <v/>
      </c>
      <c r="DU15" s="223">
        <f>DS15+DT15</f>
        <v/>
      </c>
      <c r="DV15" s="223">
        <f>DV5+DV8+DV11+DV13</f>
        <v/>
      </c>
      <c r="DW15" s="223">
        <f>DW5+DW8+DW11+DW13</f>
        <v/>
      </c>
      <c r="DX15" s="223">
        <f>DV15+DW15</f>
        <v/>
      </c>
      <c r="DY15" s="223">
        <f>DX15-DU15</f>
        <v/>
      </c>
      <c r="DZ15" s="224">
        <f>IF(DU15=0,"",DX15/DU15)</f>
        <v/>
      </c>
      <c r="EA15" s="6" t="n"/>
      <c r="EB15" s="225">
        <f>EB5+EB8+EB11+EB13</f>
        <v/>
      </c>
      <c r="EC15" s="225">
        <f>EC5+EC8+EC11+EC13</f>
        <v/>
      </c>
      <c r="ED15" s="225">
        <f>EB15+EC15</f>
        <v/>
      </c>
      <c r="EE15" s="225">
        <f>EE5+EE8+EE11+EE13</f>
        <v/>
      </c>
      <c r="EF15" s="225">
        <f>EF5+EF8+EF11+EF13</f>
        <v/>
      </c>
      <c r="EG15" s="225">
        <f>EE15+EF15</f>
        <v/>
      </c>
      <c r="EH15" s="225">
        <f>EG15-ED15</f>
        <v/>
      </c>
      <c r="EI15" s="226">
        <f>IF(ED15=0,"",EG15/ED15)</f>
        <v/>
      </c>
      <c r="EJ15" s="11" t="n"/>
      <c r="EK15" s="223">
        <f>EK5+EK8+EK11+EK13</f>
        <v/>
      </c>
      <c r="EL15" s="223">
        <f>EL5+EL8+EL11+EL13</f>
        <v/>
      </c>
      <c r="EM15" s="223">
        <f>EK15+EL15</f>
        <v/>
      </c>
      <c r="EN15" s="223">
        <f>EN5+EN8+EN11+EN13</f>
        <v/>
      </c>
      <c r="EO15" s="223">
        <f>EO5+EO8+EO11+EO13</f>
        <v/>
      </c>
      <c r="EP15" s="223">
        <f>EN15+EO15</f>
        <v/>
      </c>
      <c r="EQ15" s="223">
        <f>EP15-EM15</f>
        <v/>
      </c>
      <c r="ER15" s="224">
        <f>IF(EM15=0,"",EP15/EM15)</f>
        <v/>
      </c>
      <c r="ES15" s="6" t="n"/>
      <c r="ET15" s="225">
        <f>ET5+ET8+ET11+ET13</f>
        <v/>
      </c>
      <c r="EU15" s="225">
        <f>EU5+EU8+EU11+EU13</f>
        <v/>
      </c>
      <c r="EV15" s="225">
        <f>ET15+EU15</f>
        <v/>
      </c>
      <c r="EW15" s="225">
        <f>EW5+EW8+EW11+EW13</f>
        <v/>
      </c>
      <c r="EX15" s="225">
        <f>EX5+EX8+EX11+EX13</f>
        <v/>
      </c>
      <c r="EY15" s="225">
        <f>EW15+EX15</f>
        <v/>
      </c>
      <c r="EZ15" s="225">
        <f>EY15-EV15</f>
        <v/>
      </c>
      <c r="FA15" s="226">
        <f>IF(EV15=0,"",EY15/EV15)</f>
        <v/>
      </c>
      <c r="FB15" s="11" t="n"/>
      <c r="FC15" s="223">
        <f>FC5+FC8+FC11+FC13</f>
        <v/>
      </c>
      <c r="FD15" s="223">
        <f>FD5+FD8+FD11+FD13</f>
        <v/>
      </c>
      <c r="FE15" s="223">
        <f>FC15+FD15</f>
        <v/>
      </c>
      <c r="FF15" s="223">
        <f>FF5+FF8+FF11+FF13</f>
        <v/>
      </c>
      <c r="FG15" s="223">
        <f>FG5+FG8+FG11+FG13</f>
        <v/>
      </c>
      <c r="FH15" s="223">
        <f>FF15+FG15</f>
        <v/>
      </c>
      <c r="FI15" s="223">
        <f>FH15-FE15</f>
        <v/>
      </c>
      <c r="FJ15" s="224">
        <f>IF(FE15=0,"",FH15/FE15)</f>
        <v/>
      </c>
      <c r="FK15" s="6" t="n"/>
      <c r="FL15" s="225">
        <f>FL5+FL8+FL11+FL13</f>
        <v/>
      </c>
      <c r="FM15" s="225">
        <f>FM5+FM8+FM11+FM13</f>
        <v/>
      </c>
      <c r="FN15" s="225">
        <f>FL15+FM15</f>
        <v/>
      </c>
      <c r="FO15" s="225">
        <f>FO5+FO8+FO11+FO13</f>
        <v/>
      </c>
      <c r="FP15" s="225">
        <f>FP5+FP8+FP11+FP13</f>
        <v/>
      </c>
      <c r="FQ15" s="225">
        <f>FO15+FP15</f>
        <v/>
      </c>
      <c r="FR15" s="225">
        <f>FQ15-FN15</f>
        <v/>
      </c>
      <c r="FS15" s="226">
        <f>IF(FN15=0,"",FQ15/FN15)</f>
        <v/>
      </c>
      <c r="FT15" s="11" t="n"/>
      <c r="FU15" s="223">
        <f>FU5+FU8+FU11+FU13</f>
        <v/>
      </c>
      <c r="FV15" s="223">
        <f>FV5+FV8+FV11+FV13</f>
        <v/>
      </c>
      <c r="FW15" s="223">
        <f>FU15+FV15</f>
        <v/>
      </c>
      <c r="FX15" s="223">
        <f>FX5+FX8+FX11+FX13</f>
        <v/>
      </c>
      <c r="FY15" s="223">
        <f>FY5+FY8+FY11+FY13</f>
        <v/>
      </c>
      <c r="FZ15" s="223">
        <f>FX15+FY15</f>
        <v/>
      </c>
      <c r="GA15" s="223">
        <f>FZ15-FW15</f>
        <v/>
      </c>
      <c r="GB15" s="224">
        <f>IF(FW15=0,"",FZ15/FW15)</f>
        <v/>
      </c>
      <c r="GC15" s="6" t="n"/>
      <c r="GD15" s="225">
        <f>GD5+GD8+GD11+GD13</f>
        <v/>
      </c>
      <c r="GE15" s="225">
        <f>GE5+GE8+GE11+GE13</f>
        <v/>
      </c>
      <c r="GF15" s="225">
        <f>GD15+GE15</f>
        <v/>
      </c>
      <c r="GG15" s="225">
        <f>GG5+GG8+GG11+GG13</f>
        <v/>
      </c>
      <c r="GH15" s="225">
        <f>GH5+GH8+GH11+GH13</f>
        <v/>
      </c>
      <c r="GI15" s="225">
        <f>GG15+GH15</f>
        <v/>
      </c>
      <c r="GJ15" s="225">
        <f>GI15-GF15</f>
        <v/>
      </c>
      <c r="GK15" s="226">
        <f>IF(GF15=0,"",GI15/GF15)</f>
        <v/>
      </c>
      <c r="GL15" s="11" t="n"/>
      <c r="GM15" s="223">
        <f>GM5+GM8+GM11+GM13</f>
        <v/>
      </c>
      <c r="GN15" s="223">
        <f>GN5+GN8+GN11+GN13</f>
        <v/>
      </c>
      <c r="GO15" s="223">
        <f>GM15+GN15</f>
        <v/>
      </c>
      <c r="GP15" s="223">
        <f>GP5+GP8+GP11+GP13</f>
        <v/>
      </c>
      <c r="GQ15" s="223">
        <f>GQ5+GQ8+GQ11+GQ13</f>
        <v/>
      </c>
      <c r="GR15" s="223">
        <f>GP15+GQ15</f>
        <v/>
      </c>
      <c r="GS15" s="223">
        <f>GR15-GO15</f>
        <v/>
      </c>
      <c r="GT15" s="224">
        <f>IF(GO15=0,"",GR15/GO15)</f>
        <v/>
      </c>
      <c r="GU15" s="6" t="n"/>
      <c r="GV15" s="225">
        <f>GV5+GV8+GV11+GV13</f>
        <v/>
      </c>
      <c r="GW15" s="225">
        <f>GW5+GW8+GW11+GW13</f>
        <v/>
      </c>
      <c r="GX15" s="225">
        <f>GV15+GW15</f>
        <v/>
      </c>
      <c r="GY15" s="225">
        <f>GY5+GY8+GY11+GY13</f>
        <v/>
      </c>
      <c r="GZ15" s="225">
        <f>GZ5+GZ8+GZ11+GZ13</f>
        <v/>
      </c>
      <c r="HA15" s="225">
        <f>GY15+GZ15</f>
        <v/>
      </c>
      <c r="HB15" s="225">
        <f>HA15-GX15</f>
        <v/>
      </c>
      <c r="HC15" s="226">
        <f>IF(GX15=0,"",HA15/GX15)</f>
        <v/>
      </c>
      <c r="HD15" s="11" t="n"/>
      <c r="HE15" s="223">
        <f>GV15</f>
        <v/>
      </c>
      <c r="HF15" s="223">
        <f>GW15</f>
        <v/>
      </c>
      <c r="HG15" s="223">
        <f>HE15+HF15</f>
        <v/>
      </c>
    </row>
  </sheetData>
  <mergeCells count="30">
    <mergeCell ref="BH3:BP3"/>
    <mergeCell ref="BZ3:CH3"/>
    <mergeCell ref="EK3:ES3"/>
    <mergeCell ref="B3:B4"/>
    <mergeCell ref="DJ3:DR3"/>
    <mergeCell ref="EB3:EJ3"/>
    <mergeCell ref="GM3:GU3"/>
    <mergeCell ref="FL3:FT3"/>
    <mergeCell ref="X3:AF3"/>
    <mergeCell ref="BQ3:BY3"/>
    <mergeCell ref="A3:A4"/>
    <mergeCell ref="DS3:EA3"/>
    <mergeCell ref="A1:HG1"/>
    <mergeCell ref="CR3:CZ3"/>
    <mergeCell ref="D3:D4"/>
    <mergeCell ref="ET3:FB3"/>
    <mergeCell ref="FU3:GC3"/>
    <mergeCell ref="GD3:GL3"/>
    <mergeCell ref="GV3:HD3"/>
    <mergeCell ref="AG3:AO3"/>
    <mergeCell ref="CI3:CQ3"/>
    <mergeCell ref="HE3:HG3"/>
    <mergeCell ref="FC3:FK3"/>
    <mergeCell ref="O3:W3"/>
    <mergeCell ref="AY3:BG3"/>
    <mergeCell ref="AP3:AX3"/>
    <mergeCell ref="DA3:DI3"/>
    <mergeCell ref="C3:C4"/>
    <mergeCell ref="E3:E4"/>
    <mergeCell ref="F3:N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4" tint="0.7999816888943144"/>
    <outlinePr summaryBelow="1" summaryRight="1"/>
    <pageSetUpPr fitToPage="1"/>
  </sheetPr>
  <dimension ref="A1:T35"/>
  <sheetViews>
    <sheetView topLeftCell="C1" zoomScaleNormal="100" workbookViewId="0">
      <selection activeCell="B31" sqref="B31:E31"/>
    </sheetView>
  </sheetViews>
  <sheetFormatPr baseColWidth="8" defaultRowHeight="16.5"/>
  <cols>
    <col width="3.5" customWidth="1" style="45" min="1" max="1"/>
    <col width="9" customWidth="1" style="45" min="2" max="2"/>
    <col width="13.5" bestFit="1" customWidth="1" style="45" min="3" max="3"/>
    <col width="24.625" bestFit="1" customWidth="1" style="45" min="4" max="4"/>
    <col width="5.25" bestFit="1" customWidth="1" style="45" min="5" max="5"/>
    <col width="16.125" bestFit="1" customWidth="1" style="45" min="6" max="6"/>
    <col width="14.625" customWidth="1" style="45" min="7" max="7"/>
    <col width="17.25" customWidth="1" style="45" min="8" max="8"/>
    <col width="13.25" customWidth="1" style="45" min="9" max="11"/>
    <col width="15.5" customWidth="1" style="45" min="12" max="12"/>
    <col width="13.25" customWidth="1" style="45" min="13" max="14"/>
    <col width="14" bestFit="1" customWidth="1" style="45" min="15" max="15"/>
    <col hidden="1" width="13.75" customWidth="1" style="45" min="16" max="17"/>
    <col hidden="1" width="16.25" customWidth="1" style="45" min="18" max="18"/>
    <col hidden="1" width="17.625" customWidth="1" style="45" min="19" max="19"/>
    <col width="41.25" customWidth="1" style="45" min="20" max="20"/>
    <col width="9" customWidth="1" style="45" min="21" max="16384"/>
  </cols>
  <sheetData>
    <row r="1" ht="17.25" customHeight="1" s="150" thickBot="1"/>
    <row r="2" ht="18" customHeight="1" s="150" thickBot="1" thickTop="1">
      <c r="B2" s="46" t="n"/>
      <c r="C2" s="47" t="n"/>
      <c r="D2" s="48" t="n"/>
      <c r="E2" s="49" t="n"/>
      <c r="F2" s="50" t="n"/>
      <c r="G2" s="51" t="n"/>
      <c r="H2" s="52" t="n"/>
      <c r="I2" s="52" t="n"/>
      <c r="J2" s="52" t="n"/>
      <c r="K2" s="52" t="n"/>
      <c r="L2" s="52" t="n"/>
      <c r="M2" s="52" t="n"/>
      <c r="N2" s="53" t="n"/>
      <c r="O2" s="50" t="n"/>
      <c r="P2" s="54" t="n"/>
      <c r="Q2" s="54" t="n"/>
      <c r="R2" s="55" t="n"/>
      <c r="S2" s="56" t="n"/>
      <c r="T2" s="57" t="n"/>
    </row>
    <row r="3" ht="17.25" customHeight="1" s="150" thickTop="1">
      <c r="B3" s="212" t="n"/>
      <c r="C3" s="248" t="n"/>
      <c r="D3" s="249" t="n"/>
      <c r="E3" s="250" t="n"/>
      <c r="F3" s="58" t="n"/>
      <c r="G3" s="251" t="n"/>
      <c r="H3" s="252" t="n"/>
      <c r="I3" s="252" t="n"/>
      <c r="J3" s="252" t="n"/>
      <c r="K3" s="252" t="n"/>
      <c r="L3" s="252" t="n"/>
      <c r="M3" s="252" t="n"/>
      <c r="N3" s="253" t="n"/>
      <c r="O3" s="254">
        <f>SUM(G3:N3)</f>
        <v/>
      </c>
      <c r="P3" s="255" t="n"/>
      <c r="Q3" s="256" t="n"/>
      <c r="R3" s="257" t="n"/>
      <c r="S3" s="256" t="n"/>
      <c r="T3" s="200" t="n"/>
    </row>
    <row r="4">
      <c r="B4" s="258" t="n"/>
      <c r="C4" s="259" t="n"/>
      <c r="D4" s="259" t="n"/>
      <c r="E4" s="260" t="n"/>
      <c r="F4" s="66" t="n"/>
      <c r="G4" s="251" t="n"/>
      <c r="H4" s="261" t="n"/>
      <c r="I4" s="252" t="n"/>
      <c r="J4" s="252" t="n"/>
      <c r="K4" s="252" t="n"/>
      <c r="L4" s="252" t="n"/>
      <c r="M4" s="252" t="n"/>
      <c r="N4" s="253" t="n"/>
      <c r="O4" s="254">
        <f>SUM(G4:N4)</f>
        <v/>
      </c>
      <c r="P4" s="262" t="n"/>
      <c r="Q4" s="263" t="n"/>
      <c r="R4" s="264" t="n"/>
      <c r="S4" s="265" t="n"/>
      <c r="T4" s="266" t="n"/>
    </row>
    <row r="5">
      <c r="B5" s="258" t="n"/>
      <c r="C5" s="259" t="n"/>
      <c r="D5" s="259" t="n"/>
      <c r="E5" s="260" t="n"/>
      <c r="F5" s="66" t="n"/>
      <c r="G5" s="251" t="n"/>
      <c r="H5" s="252" t="n"/>
      <c r="I5" s="252" t="n"/>
      <c r="J5" s="252" t="n"/>
      <c r="K5" s="252" t="n"/>
      <c r="L5" s="261" t="n"/>
      <c r="M5" s="252" t="n"/>
      <c r="N5" s="253" t="n"/>
      <c r="O5" s="254">
        <f>SUM(G5:N5)</f>
        <v/>
      </c>
      <c r="P5" s="262" t="n"/>
      <c r="Q5" s="267" t="n"/>
      <c r="R5" s="268" t="n"/>
      <c r="S5" s="265" t="n"/>
      <c r="T5" s="266" t="n"/>
    </row>
    <row r="6">
      <c r="B6" s="258" t="n"/>
      <c r="C6" s="259" t="n"/>
      <c r="D6" s="269" t="n"/>
      <c r="E6" s="270" t="n"/>
      <c r="F6" s="66" t="n"/>
      <c r="G6" s="251" t="n"/>
      <c r="H6" s="252" t="n"/>
      <c r="I6" s="252" t="n"/>
      <c r="J6" s="252" t="n"/>
      <c r="K6" s="252" t="n"/>
      <c r="L6" s="261" t="n"/>
      <c r="M6" s="252" t="n"/>
      <c r="N6" s="253" t="n"/>
      <c r="O6" s="254">
        <f>SUM(G6:N6)</f>
        <v/>
      </c>
      <c r="P6" s="262" t="n"/>
      <c r="Q6" s="267" t="n"/>
      <c r="R6" s="264" t="n"/>
      <c r="S6" s="271" t="n"/>
      <c r="T6" s="272" t="n"/>
    </row>
    <row r="7">
      <c r="B7" s="258" t="n"/>
      <c r="C7" s="259" t="n"/>
      <c r="D7" s="273" t="n"/>
      <c r="E7" s="274" t="n"/>
      <c r="F7" s="66" t="n"/>
      <c r="G7" s="275" t="n"/>
      <c r="H7" s="276" t="n"/>
      <c r="I7" s="277" t="n"/>
      <c r="J7" s="277" t="n"/>
      <c r="K7" s="277" t="n"/>
      <c r="L7" s="277" t="n"/>
      <c r="M7" s="277" t="n"/>
      <c r="N7" s="278" t="n"/>
      <c r="O7" s="254">
        <f>SUM(G7:N7)</f>
        <v/>
      </c>
      <c r="P7" s="279" t="n"/>
      <c r="Q7" s="265" t="n"/>
      <c r="R7" s="280" t="n"/>
      <c r="S7" s="81" t="n"/>
      <c r="T7" s="168" t="n"/>
    </row>
    <row r="8">
      <c r="B8" s="258" t="n"/>
      <c r="C8" s="259" t="n"/>
      <c r="D8" s="259" t="n"/>
      <c r="E8" s="260" t="n"/>
      <c r="F8" s="66" t="n"/>
      <c r="G8" s="275" t="n"/>
      <c r="H8" s="276" t="n"/>
      <c r="I8" s="277" t="n"/>
      <c r="J8" s="277" t="n"/>
      <c r="K8" s="277" t="n"/>
      <c r="L8" s="277" t="n"/>
      <c r="M8" s="277" t="n"/>
      <c r="N8" s="278" t="n"/>
      <c r="O8" s="254">
        <f>SUM(G8:N8)</f>
        <v/>
      </c>
      <c r="P8" s="279" t="n"/>
      <c r="Q8" s="265" t="n"/>
      <c r="R8" s="280" t="n"/>
      <c r="S8" s="82" t="n"/>
      <c r="T8" s="266" t="n"/>
    </row>
    <row r="9">
      <c r="B9" s="258" t="n"/>
      <c r="C9" s="259" t="n"/>
      <c r="D9" s="269" t="n"/>
      <c r="E9" s="270" t="n"/>
      <c r="F9" s="66" t="n"/>
      <c r="G9" s="275" t="n"/>
      <c r="H9" s="277" t="n"/>
      <c r="I9" s="277" t="n"/>
      <c r="J9" s="277" t="n"/>
      <c r="K9" s="277" t="n"/>
      <c r="L9" s="281" t="n"/>
      <c r="M9" s="277" t="n"/>
      <c r="N9" s="278" t="n"/>
      <c r="O9" s="254">
        <f>SUM(G9:N9)</f>
        <v/>
      </c>
      <c r="P9" s="279" t="n"/>
      <c r="Q9" s="265" t="n"/>
      <c r="R9" s="282" t="n"/>
      <c r="S9" s="283" t="n"/>
      <c r="T9" s="272" t="n"/>
    </row>
    <row r="10">
      <c r="B10" s="258" t="n"/>
      <c r="C10" s="259" t="n"/>
      <c r="D10" s="284" t="n"/>
      <c r="E10" s="274" t="n"/>
      <c r="F10" s="66" t="n"/>
      <c r="G10" s="275" t="n"/>
      <c r="H10" s="277" t="n"/>
      <c r="I10" s="277" t="n"/>
      <c r="J10" s="277" t="n"/>
      <c r="K10" s="277" t="n"/>
      <c r="L10" s="277" t="n"/>
      <c r="M10" s="277" t="n"/>
      <c r="N10" s="278" t="n"/>
      <c r="O10" s="254">
        <f>SUM(G10:N10)</f>
        <v/>
      </c>
      <c r="P10" s="279" t="n"/>
      <c r="Q10" s="265" t="n"/>
      <c r="R10" s="280" t="n"/>
      <c r="S10" s="81" t="n"/>
      <c r="T10" s="168" t="n"/>
    </row>
    <row r="11">
      <c r="B11" s="258" t="n"/>
      <c r="C11" s="269" t="n"/>
      <c r="D11" s="269" t="n"/>
      <c r="E11" s="270" t="n"/>
      <c r="F11" s="66" t="n"/>
      <c r="G11" s="275" t="n"/>
      <c r="H11" s="277" t="n"/>
      <c r="I11" s="277" t="n"/>
      <c r="J11" s="277" t="n"/>
      <c r="K11" s="277" t="n"/>
      <c r="L11" s="281" t="n"/>
      <c r="M11" s="277" t="n"/>
      <c r="N11" s="278" t="n"/>
      <c r="O11" s="254">
        <f>SUM(G11:N11)</f>
        <v/>
      </c>
      <c r="P11" s="279" t="n"/>
      <c r="Q11" s="265" t="n"/>
      <c r="R11" s="282" t="n"/>
      <c r="S11" s="283" t="n"/>
      <c r="T11" s="272" t="n"/>
    </row>
    <row r="12">
      <c r="B12" s="258" t="n"/>
      <c r="C12" s="285" t="n"/>
      <c r="D12" s="273" t="n"/>
      <c r="E12" s="129" t="n"/>
      <c r="F12" s="66" t="n"/>
      <c r="G12" s="286" t="n"/>
      <c r="H12" s="276" t="n"/>
      <c r="I12" s="277" t="n"/>
      <c r="J12" s="277" t="n"/>
      <c r="K12" s="277" t="n"/>
      <c r="L12" s="277" t="n"/>
      <c r="M12" s="277" t="n"/>
      <c r="N12" s="278" t="n"/>
      <c r="O12" s="254">
        <f>SUM(G12:N12)</f>
        <v/>
      </c>
      <c r="P12" s="279" t="n"/>
      <c r="Q12" s="265" t="n"/>
      <c r="R12" s="280" t="n"/>
      <c r="S12" s="81" t="n"/>
      <c r="T12" s="168" t="n"/>
    </row>
    <row r="13">
      <c r="B13" s="258" t="n"/>
      <c r="C13" s="259" t="n"/>
      <c r="D13" s="259" t="n"/>
      <c r="E13" s="260" t="n"/>
      <c r="F13" s="66" t="n"/>
      <c r="G13" s="286" t="n"/>
      <c r="H13" s="276" t="n"/>
      <c r="I13" s="277" t="n"/>
      <c r="J13" s="277" t="n"/>
      <c r="K13" s="277" t="n"/>
      <c r="L13" s="277" t="n"/>
      <c r="M13" s="277" t="n"/>
      <c r="N13" s="278" t="n"/>
      <c r="O13" s="254">
        <f>SUM(G13:N13)</f>
        <v/>
      </c>
      <c r="P13" s="279" t="n"/>
      <c r="Q13" s="265" t="n"/>
      <c r="R13" s="280" t="n"/>
      <c r="S13" s="82" t="n"/>
      <c r="T13" s="266" t="n"/>
    </row>
    <row r="14">
      <c r="B14" s="258" t="n"/>
      <c r="C14" s="269" t="n"/>
      <c r="D14" s="269" t="n"/>
      <c r="E14" s="270" t="n"/>
      <c r="F14" s="66" t="n"/>
      <c r="G14" s="275" t="n"/>
      <c r="H14" s="277" t="n"/>
      <c r="I14" s="277" t="n"/>
      <c r="J14" s="277" t="n"/>
      <c r="L14" s="281" t="n"/>
      <c r="M14" s="277" t="n"/>
      <c r="N14" s="278" t="n"/>
      <c r="O14" s="254">
        <f>SUM(G14:N14)</f>
        <v/>
      </c>
      <c r="P14" s="279" t="n"/>
      <c r="Q14" s="265" t="n"/>
      <c r="R14" s="282" t="n"/>
      <c r="S14" s="283" t="n"/>
      <c r="T14" s="272" t="n"/>
    </row>
    <row r="15">
      <c r="B15" s="258" t="n"/>
      <c r="C15" s="285" t="n"/>
      <c r="D15" s="273" t="n"/>
      <c r="E15" s="274" t="n"/>
      <c r="F15" s="66" t="n"/>
      <c r="G15" s="286" t="n"/>
      <c r="H15" s="276" t="n"/>
      <c r="I15" s="277" t="n"/>
      <c r="J15" s="277" t="n"/>
      <c r="K15" s="277" t="n"/>
      <c r="L15" s="277" t="n"/>
      <c r="M15" s="277" t="n"/>
      <c r="N15" s="278" t="n"/>
      <c r="O15" s="254">
        <f>SUM(G15:N15)</f>
        <v/>
      </c>
      <c r="P15" s="279" t="n"/>
      <c r="Q15" s="265" t="n"/>
      <c r="R15" s="280" t="n"/>
      <c r="S15" s="81" t="n"/>
      <c r="T15" s="168" t="n"/>
    </row>
    <row r="16">
      <c r="B16" s="258" t="n"/>
      <c r="C16" s="259" t="n"/>
      <c r="D16" s="259" t="n"/>
      <c r="E16" s="260" t="n"/>
      <c r="F16" s="66" t="n"/>
      <c r="G16" s="286" t="n"/>
      <c r="H16" s="276" t="n"/>
      <c r="I16" s="277" t="n"/>
      <c r="J16" s="277" t="n"/>
      <c r="K16" s="277" t="n"/>
      <c r="L16" s="277" t="n"/>
      <c r="M16" s="277" t="n"/>
      <c r="N16" s="278" t="n"/>
      <c r="O16" s="254">
        <f>SUM(G16:N16)</f>
        <v/>
      </c>
      <c r="P16" s="279" t="n"/>
      <c r="Q16" s="265" t="n"/>
      <c r="R16" s="280" t="n"/>
      <c r="S16" s="82" t="n"/>
      <c r="T16" s="266" t="n"/>
    </row>
    <row r="17">
      <c r="B17" s="258" t="n"/>
      <c r="C17" s="269" t="n"/>
      <c r="D17" s="269" t="n"/>
      <c r="E17" s="270" t="n"/>
      <c r="F17" s="66" t="n"/>
      <c r="G17" s="275" t="n"/>
      <c r="H17" s="287" t="n"/>
      <c r="I17" s="277" t="n"/>
      <c r="J17" s="277" t="n"/>
      <c r="L17" s="281" t="n"/>
      <c r="M17" s="277" t="n"/>
      <c r="N17" s="278" t="n"/>
      <c r="O17" s="254">
        <f>SUM(G17:N17)</f>
        <v/>
      </c>
      <c r="P17" s="279" t="n"/>
      <c r="Q17" s="265" t="n"/>
      <c r="R17" s="282" t="n"/>
      <c r="S17" s="283" t="n"/>
      <c r="T17" s="272" t="n"/>
    </row>
    <row r="18">
      <c r="B18" s="258" t="n"/>
      <c r="C18" s="288" t="n"/>
      <c r="D18" s="273" t="n"/>
      <c r="E18" s="274" t="n"/>
      <c r="F18" s="66" t="n"/>
      <c r="G18" s="275" t="n"/>
      <c r="H18" s="277" t="n"/>
      <c r="I18" s="289" t="n"/>
      <c r="J18" s="277" t="n"/>
      <c r="K18" s="277" t="n"/>
      <c r="L18" s="277" t="n"/>
      <c r="M18" s="277" t="n"/>
      <c r="N18" s="278" t="n"/>
      <c r="O18" s="254">
        <f>SUM(G18:N18)</f>
        <v/>
      </c>
      <c r="P18" s="290" t="n"/>
      <c r="Q18" s="291" t="n"/>
      <c r="R18" s="264" t="n"/>
      <c r="S18" s="265" t="n"/>
      <c r="T18" s="168" t="n"/>
    </row>
    <row r="19">
      <c r="B19" s="258" t="n"/>
      <c r="C19" s="269" t="n"/>
      <c r="D19" s="269" t="n"/>
      <c r="E19" s="270" t="n"/>
      <c r="F19" s="66" t="n"/>
      <c r="G19" s="292" t="n"/>
      <c r="H19" s="293" t="n"/>
      <c r="I19" s="293" t="n"/>
      <c r="J19" s="293" t="n"/>
      <c r="K19" s="293" t="n"/>
      <c r="L19" s="294" t="n"/>
      <c r="M19" s="293" t="n"/>
      <c r="N19" s="295" t="n"/>
      <c r="O19" s="254">
        <f>SUM(G19:N19)</f>
        <v/>
      </c>
      <c r="P19" s="296" t="n"/>
      <c r="Q19" s="297" t="n"/>
      <c r="R19" s="298" t="n"/>
      <c r="S19" s="291" t="n"/>
      <c r="T19" s="272" t="n"/>
    </row>
    <row r="20">
      <c r="B20" s="258" t="n"/>
      <c r="C20" s="299" t="n"/>
      <c r="D20" s="300" t="n"/>
      <c r="E20" s="301" t="n"/>
      <c r="F20" s="66" t="n"/>
      <c r="G20" s="292" t="n"/>
      <c r="H20" s="293" t="n"/>
      <c r="I20" s="293" t="n"/>
      <c r="J20" s="293" t="n"/>
      <c r="K20" s="293" t="n"/>
      <c r="L20" s="293" t="n"/>
      <c r="M20" s="293" t="n"/>
      <c r="N20" s="295" t="n"/>
      <c r="O20" s="254">
        <f>SUM(G20:N20)</f>
        <v/>
      </c>
      <c r="P20" s="302" t="n"/>
      <c r="Q20" s="303" t="n"/>
      <c r="R20" s="298" t="n"/>
      <c r="S20" s="265" t="n"/>
      <c r="T20" s="304" t="n"/>
    </row>
    <row r="21">
      <c r="B21" s="258" t="n"/>
      <c r="C21" s="259" t="n"/>
      <c r="D21" s="259" t="n"/>
      <c r="E21" s="260" t="n"/>
      <c r="F21" s="98" t="n"/>
      <c r="G21" s="292" t="n"/>
      <c r="H21" s="305" t="n"/>
      <c r="I21" s="293" t="n"/>
      <c r="J21" s="293" t="n"/>
      <c r="K21" s="293" t="n"/>
      <c r="L21" s="293" t="n"/>
      <c r="M21" s="293" t="n"/>
      <c r="N21" s="295" t="n"/>
      <c r="O21" s="254">
        <f>SUM(G21:N21)</f>
        <v/>
      </c>
      <c r="P21" s="306" t="n"/>
      <c r="Q21" s="303" t="n"/>
      <c r="R21" s="298" t="n"/>
      <c r="S21" s="303" t="n"/>
      <c r="T21" s="266" t="n"/>
    </row>
    <row r="22" ht="17.25" customHeight="1" s="150" thickBot="1">
      <c r="B22" s="307" t="n"/>
      <c r="C22" s="308" t="n"/>
      <c r="D22" s="308" t="n"/>
      <c r="E22" s="309" t="n"/>
      <c r="F22" s="101" t="n"/>
      <c r="G22" s="310" t="n"/>
      <c r="H22" s="311" t="n"/>
      <c r="I22" s="311" t="n"/>
      <c r="J22" s="311" t="n"/>
      <c r="K22" s="311" t="n"/>
      <c r="L22" s="312" t="n"/>
      <c r="M22" s="311" t="n"/>
      <c r="N22" s="313" t="n"/>
      <c r="O22" s="254">
        <f>SUM(G22:N22)</f>
        <v/>
      </c>
      <c r="P22" s="314" t="n"/>
      <c r="Q22" s="315" t="n"/>
      <c r="R22" s="316" t="n"/>
      <c r="S22" s="317" t="n"/>
      <c r="T22" s="318" t="n"/>
    </row>
    <row r="23" ht="17.25" customHeight="1" s="150" thickTop="1">
      <c r="B23" s="319" t="n"/>
      <c r="C23" s="320" t="n"/>
      <c r="D23" s="249" t="n"/>
      <c r="E23" s="321" t="n"/>
      <c r="F23" s="108" t="n"/>
      <c r="G23" s="322" t="n"/>
      <c r="H23" s="323" t="n"/>
      <c r="I23" s="323" t="n"/>
      <c r="J23" s="323" t="n"/>
      <c r="K23" s="323" t="n"/>
      <c r="L23" s="323" t="n"/>
      <c r="M23" s="323" t="n"/>
      <c r="N23" s="324" t="n"/>
      <c r="O23" s="325">
        <f>SUM(G23:N23)</f>
        <v/>
      </c>
      <c r="P23" s="326" t="n"/>
      <c r="Q23" s="256" t="n"/>
      <c r="R23" s="257" t="n"/>
      <c r="S23" s="256" t="n"/>
      <c r="T23" s="200" t="n"/>
    </row>
    <row r="24">
      <c r="B24" s="258" t="n"/>
      <c r="C24" s="269" t="n"/>
      <c r="D24" s="269" t="n"/>
      <c r="E24" s="327" t="n"/>
      <c r="F24" s="66" t="n"/>
      <c r="G24" s="328" t="n"/>
      <c r="H24" s="329" t="n"/>
      <c r="I24" s="329" t="n"/>
      <c r="J24" s="329" t="n"/>
      <c r="K24" s="329" t="n"/>
      <c r="L24" s="330" t="n"/>
      <c r="M24" s="329" t="n"/>
      <c r="N24" s="331" t="n"/>
      <c r="O24" s="332">
        <f>SUM(G24:N24)</f>
        <v/>
      </c>
      <c r="P24" s="333" t="n"/>
      <c r="Q24" s="265" t="n"/>
      <c r="R24" s="268" t="n"/>
      <c r="S24" s="265" t="n"/>
      <c r="T24" s="272" t="n"/>
    </row>
    <row r="25">
      <c r="B25" s="258" t="n"/>
      <c r="C25" s="334" t="n"/>
      <c r="D25" s="300" t="n"/>
      <c r="E25" s="134" t="n"/>
      <c r="F25" s="66" t="n"/>
      <c r="G25" s="275" t="n"/>
      <c r="H25" s="277" t="n"/>
      <c r="I25" s="277" t="n"/>
      <c r="J25" s="277" t="n"/>
      <c r="K25" s="277" t="n"/>
      <c r="L25" s="277" t="n"/>
      <c r="M25" s="277" t="n"/>
      <c r="N25" s="278" t="n"/>
      <c r="O25" s="335">
        <f>SUM(G25:N25)</f>
        <v/>
      </c>
      <c r="P25" s="302" t="n"/>
      <c r="Q25" s="265" t="n"/>
      <c r="R25" s="264" t="n"/>
      <c r="S25" s="265" t="n"/>
      <c r="T25" s="168" t="n"/>
    </row>
    <row r="26" ht="17.25" customHeight="1" s="150" thickBot="1">
      <c r="B26" s="336" t="n"/>
      <c r="C26" s="308" t="n"/>
      <c r="D26" s="308" t="n"/>
      <c r="E26" s="337" t="n"/>
      <c r="F26" s="101" t="n"/>
      <c r="G26" s="310" t="n"/>
      <c r="H26" s="311" t="n"/>
      <c r="I26" s="311" t="n"/>
      <c r="J26" s="311" t="n"/>
      <c r="K26" s="311" t="n"/>
      <c r="L26" s="312" t="n"/>
      <c r="M26" s="311" t="n"/>
      <c r="N26" s="313" t="n"/>
      <c r="O26" s="338">
        <f>SUM(G26:N26)</f>
        <v/>
      </c>
      <c r="P26" s="339" t="n"/>
      <c r="Q26" s="315" t="n"/>
      <c r="R26" s="340" t="n"/>
      <c r="S26" s="315" t="n"/>
      <c r="T26" s="272" t="n"/>
    </row>
    <row r="27" ht="17.25" customHeight="1" s="150" thickTop="1">
      <c r="B27" s="170" t="n"/>
      <c r="C27" s="173" t="n"/>
      <c r="D27" s="124" t="n"/>
      <c r="E27" s="125" t="n"/>
      <c r="F27" s="108" t="n"/>
      <c r="G27" s="251" t="n"/>
      <c r="H27" s="252" t="n"/>
      <c r="I27" s="252" t="n"/>
      <c r="J27" s="252" t="n"/>
      <c r="K27" s="252" t="n"/>
      <c r="L27" s="252" t="n"/>
      <c r="M27" s="252" t="n"/>
      <c r="N27" s="253" t="n"/>
      <c r="O27" s="254">
        <f>SUM(G27:N27)</f>
        <v/>
      </c>
      <c r="P27" s="341" t="n"/>
      <c r="Q27" s="267" t="n"/>
      <c r="R27" s="342" t="n"/>
      <c r="S27" s="343" t="n"/>
      <c r="T27" s="344" t="n"/>
    </row>
    <row r="28">
      <c r="B28" s="258" t="n"/>
      <c r="C28" s="269" t="n"/>
      <c r="D28" s="129" t="n"/>
      <c r="E28" s="130" t="n"/>
      <c r="F28" s="66" t="n"/>
      <c r="G28" s="275" t="n"/>
      <c r="H28" s="277" t="n"/>
      <c r="I28" s="277" t="n"/>
      <c r="J28" s="277" t="n"/>
      <c r="K28" s="277" t="n"/>
      <c r="L28" s="277" t="n"/>
      <c r="M28" s="277" t="n"/>
      <c r="N28" s="278" t="n"/>
      <c r="O28" s="345">
        <f>SUM(G28:N28)</f>
        <v/>
      </c>
      <c r="P28" s="346" t="n"/>
      <c r="Q28" s="265" t="n"/>
      <c r="R28" s="264" t="n"/>
      <c r="S28" s="291" t="n"/>
      <c r="T28" s="266" t="n"/>
    </row>
    <row r="29">
      <c r="B29" s="258" t="n"/>
      <c r="C29" s="174" t="n"/>
      <c r="D29" s="129" t="n"/>
      <c r="E29" s="130" t="n"/>
      <c r="F29" s="66" t="n"/>
      <c r="G29" s="275" t="n"/>
      <c r="H29" s="277" t="n"/>
      <c r="I29" s="277" t="n"/>
      <c r="J29" s="277" t="n"/>
      <c r="K29" s="277" t="n"/>
      <c r="L29" s="277" t="n"/>
      <c r="M29" s="277" t="n"/>
      <c r="N29" s="278" t="n"/>
      <c r="O29" s="254">
        <f>SUM(G29:N29)</f>
        <v/>
      </c>
      <c r="P29" s="346" t="n"/>
      <c r="Q29" s="265" t="n"/>
      <c r="R29" s="347" t="n"/>
      <c r="S29" s="283" t="n"/>
      <c r="T29" s="272" t="n"/>
    </row>
    <row r="30" ht="17.25" customHeight="1" s="150" thickBot="1">
      <c r="B30" s="307" t="n"/>
      <c r="C30" s="269" t="n"/>
      <c r="D30" s="133" t="n"/>
      <c r="E30" s="134" t="n"/>
      <c r="F30" s="101" t="n"/>
      <c r="G30" s="310" t="n"/>
      <c r="H30" s="311" t="n"/>
      <c r="I30" s="311" t="n"/>
      <c r="J30" s="311" t="n"/>
      <c r="K30" s="311" t="n"/>
      <c r="L30" s="311" t="n"/>
      <c r="M30" s="311" t="n"/>
      <c r="N30" s="313" t="n"/>
      <c r="O30" s="345">
        <f>SUM(G30:N30)</f>
        <v/>
      </c>
      <c r="P30" s="348" t="n"/>
      <c r="Q30" s="315" t="n"/>
      <c r="R30" s="349" t="n"/>
      <c r="S30" s="350" t="n"/>
      <c r="T30" s="351" t="n"/>
    </row>
    <row r="31" ht="18" customHeight="1" s="150" thickBot="1" thickTop="1">
      <c r="B31" s="50" t="n"/>
      <c r="C31" s="352" t="n"/>
      <c r="D31" s="352" t="n"/>
      <c r="E31" s="353" t="n"/>
      <c r="F31" s="154" t="n"/>
      <c r="G31" s="354">
        <f>SUM(G3:G30)</f>
        <v/>
      </c>
      <c r="H31" s="355">
        <f>SUM(H3:H30)</f>
        <v/>
      </c>
      <c r="I31" s="355">
        <f>SUM(I3:I30)</f>
        <v/>
      </c>
      <c r="J31" s="355">
        <f>SUM(J3:J30)</f>
        <v/>
      </c>
      <c r="K31" s="355">
        <f>SUM(K3:K30)</f>
        <v/>
      </c>
      <c r="L31" s="355">
        <f>SUM(L3:L30)</f>
        <v/>
      </c>
      <c r="M31" s="355">
        <f>SUM(M3:M30)</f>
        <v/>
      </c>
      <c r="N31" s="356">
        <f>SUM(N3:N30)</f>
        <v/>
      </c>
      <c r="O31" s="357">
        <f>SUM(G31:N31)</f>
        <v/>
      </c>
      <c r="P31" s="358">
        <f>SUM(P3:P30)</f>
        <v/>
      </c>
      <c r="Q31" s="358">
        <f>SUM(Q3:Q30)</f>
        <v/>
      </c>
      <c r="R31" s="358">
        <f>SUM(R3:S30)</f>
        <v/>
      </c>
      <c r="S31" s="353" t="n"/>
      <c r="T31" s="145" t="n"/>
    </row>
    <row r="32" ht="17.25" customHeight="1" s="150" thickTop="1"/>
    <row r="33">
      <c r="D33" s="359" t="n"/>
      <c r="Q33" s="360" t="n"/>
      <c r="R33" s="360" t="n"/>
      <c r="S33" s="360" t="n"/>
      <c r="T33" s="360" t="n"/>
    </row>
    <row r="34">
      <c r="D34" s="159" t="n"/>
      <c r="Q34" s="360" t="n"/>
      <c r="R34" s="360" t="n"/>
      <c r="S34" s="360" t="n"/>
    </row>
    <row r="35">
      <c r="D35" s="160" t="n"/>
      <c r="Q35" s="360" t="n"/>
      <c r="R35" s="360" t="n"/>
      <c r="S35" s="360" t="n"/>
      <c r="T35" s="360" t="n"/>
    </row>
  </sheetData>
  <mergeCells count="51">
    <mergeCell ref="D15:D17"/>
    <mergeCell ref="C12:C14"/>
    <mergeCell ref="D12:D14"/>
    <mergeCell ref="R29:S29"/>
    <mergeCell ref="R11:S11"/>
    <mergeCell ref="C29:C30"/>
    <mergeCell ref="T7:T9"/>
    <mergeCell ref="E23:E24"/>
    <mergeCell ref="B27:B30"/>
    <mergeCell ref="E10:E11"/>
    <mergeCell ref="R31:S31"/>
    <mergeCell ref="T27:T29"/>
    <mergeCell ref="T25:T26"/>
    <mergeCell ref="E7:E9"/>
    <mergeCell ref="B23:B26"/>
    <mergeCell ref="E12:E14"/>
    <mergeCell ref="D20:D22"/>
    <mergeCell ref="C25:C26"/>
    <mergeCell ref="T15:T17"/>
    <mergeCell ref="D33:F33"/>
    <mergeCell ref="B31:E31"/>
    <mergeCell ref="C23:C24"/>
    <mergeCell ref="C15:C17"/>
    <mergeCell ref="D18:D19"/>
    <mergeCell ref="C20:C22"/>
    <mergeCell ref="T20:T22"/>
    <mergeCell ref="C3:C11"/>
    <mergeCell ref="D3:D6"/>
    <mergeCell ref="E20:E22"/>
    <mergeCell ref="D25:D26"/>
    <mergeCell ref="C27:C28"/>
    <mergeCell ref="D35:F35"/>
    <mergeCell ref="T23:T24"/>
    <mergeCell ref="R17:S17"/>
    <mergeCell ref="B3:B22"/>
    <mergeCell ref="R22:S22"/>
    <mergeCell ref="D34:F34"/>
    <mergeCell ref="D10:D11"/>
    <mergeCell ref="E25:E26"/>
    <mergeCell ref="T3:T6"/>
    <mergeCell ref="E18:E19"/>
    <mergeCell ref="T18:T19"/>
    <mergeCell ref="T12:T14"/>
    <mergeCell ref="D23:D24"/>
    <mergeCell ref="D7:D9"/>
    <mergeCell ref="E3:E6"/>
    <mergeCell ref="E15:E17"/>
    <mergeCell ref="R14:S14"/>
    <mergeCell ref="R9:S9"/>
    <mergeCell ref="C18:C19"/>
    <mergeCell ref="T10:T11"/>
  </mergeCells>
  <pageMargins left="0.7086614173228347" right="0.7086614173228347" top="0.7480314960629921" bottom="0.7480314960629921" header="0.3149606299212598" footer="0.3149606299212598"/>
  <pageSetup orientation="landscape" paperSize="9" scale="56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2026-05-07T01:57:08Z</dcterms:created>
  <dcterms:modified xsi:type="dcterms:W3CDTF">2026-05-19T06:47:15Z</dcterms:modified>
  <cp:lastModifiedBy>주혜윤(Hyeyun Ju)</cp:lastModifiedBy>
</cp:coreProperties>
</file>